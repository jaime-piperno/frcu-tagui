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ckup\SOLIDO\Usuario\Mis documentos\CERVEZA TRACTOR SRL\AÑO 2025\Bancos\MERCADO PAGO\"/>
    </mc:Choice>
  </mc:AlternateContent>
  <bookViews>
    <workbookView xWindow="0" yWindow="0" windowWidth="20400" windowHeight="7755" activeTab="6"/>
  </bookViews>
  <sheets>
    <sheet name="sheet0" sheetId="1" r:id="rId1"/>
    <sheet name="Detallado" sheetId="7" r:id="rId2"/>
    <sheet name="TR" sheetId="8" r:id="rId3"/>
    <sheet name="Tabla Resumen" sheetId="2" r:id="rId4"/>
    <sheet name="SIRCUPA" sheetId="4" r:id="rId5"/>
    <sheet name="SIRTAC" sheetId="5" r:id="rId6"/>
    <sheet name="Gastos" sheetId="6" r:id="rId7"/>
    <sheet name="IDC" sheetId="3" r:id="rId8"/>
  </sheets>
  <externalReferences>
    <externalReference r:id="rId9"/>
  </externalReferences>
  <definedNames>
    <definedName name="_xlnm._FilterDatabase" localSheetId="1" hidden="1">Detallado!$A$4:$H$1570</definedName>
    <definedName name="_xlnm._FilterDatabase" localSheetId="6" hidden="1">Gastos!$A$8:$U$8</definedName>
    <definedName name="_xlnm._FilterDatabase" localSheetId="7" hidden="1">IDC!$A$19:$Q$19</definedName>
    <definedName name="_xlnm._FilterDatabase" localSheetId="0" hidden="1">sheet0!$A$4:$O$1570</definedName>
  </definedNames>
  <calcPr calcId="162913"/>
  <pivotCaches>
    <pivotCache cacheId="14" r:id="rId10"/>
    <pivotCache cacheId="15" r:id="rId11"/>
  </pivotCaches>
</workbook>
</file>

<file path=xl/calcChain.xml><?xml version="1.0" encoding="utf-8"?>
<calcChain xmlns="http://schemas.openxmlformats.org/spreadsheetml/2006/main">
  <c r="J1543" i="6" l="1"/>
  <c r="J1542" i="6"/>
  <c r="K13" i="8" l="1"/>
  <c r="K12" i="8"/>
  <c r="K15" i="8"/>
  <c r="K18" i="8"/>
  <c r="H1534" i="3" l="1"/>
  <c r="G1534" i="3"/>
  <c r="L32" i="1"/>
  <c r="L33" i="1"/>
  <c r="L34" i="1"/>
  <c r="L35" i="1"/>
  <c r="L36" i="1"/>
  <c r="L37" i="1"/>
  <c r="L38" i="1"/>
  <c r="L39" i="1"/>
  <c r="L40" i="1"/>
  <c r="L41" i="1"/>
  <c r="L42" i="1"/>
  <c r="L43" i="1"/>
  <c r="L51" i="1"/>
  <c r="P51" i="1" s="1"/>
  <c r="L52" i="1"/>
  <c r="P52" i="1" s="1"/>
  <c r="L53" i="1"/>
  <c r="P53" i="1" s="1"/>
  <c r="L54" i="1"/>
  <c r="L55" i="1"/>
  <c r="P55" i="1" s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P68" i="1" s="1"/>
  <c r="L69" i="1"/>
  <c r="P69" i="1" s="1"/>
  <c r="L70" i="1"/>
  <c r="L71" i="1"/>
  <c r="P71" i="1" s="1"/>
  <c r="L72" i="1"/>
  <c r="L73" i="1"/>
  <c r="L74" i="1"/>
  <c r="L75" i="1"/>
  <c r="L76" i="1"/>
  <c r="L77" i="1"/>
  <c r="L78" i="1"/>
  <c r="L79" i="1"/>
  <c r="L80" i="1"/>
  <c r="L81" i="1"/>
  <c r="L82" i="1"/>
  <c r="L83" i="1"/>
  <c r="P83" i="1" s="1"/>
  <c r="L84" i="1"/>
  <c r="P84" i="1" s="1"/>
  <c r="L85" i="1"/>
  <c r="P85" i="1" s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P99" i="1" s="1"/>
  <c r="L100" i="1"/>
  <c r="P100" i="1" s="1"/>
  <c r="L101" i="1"/>
  <c r="P101" i="1" s="1"/>
  <c r="L102" i="1"/>
  <c r="L103" i="1"/>
  <c r="P103" i="1" s="1"/>
  <c r="L110" i="1"/>
  <c r="L111" i="1"/>
  <c r="L112" i="1"/>
  <c r="L113" i="1"/>
  <c r="L114" i="1"/>
  <c r="L115" i="1"/>
  <c r="L116" i="1"/>
  <c r="L117" i="1"/>
  <c r="L118" i="1"/>
  <c r="L119" i="1"/>
  <c r="L120" i="1"/>
  <c r="L121" i="1"/>
  <c r="P121" i="1" s="1"/>
  <c r="L122" i="1"/>
  <c r="P122" i="1" s="1"/>
  <c r="L123" i="1"/>
  <c r="P123" i="1" s="1"/>
  <c r="L124" i="1"/>
  <c r="L125" i="1"/>
  <c r="P125" i="1" s="1"/>
  <c r="L126" i="1"/>
  <c r="L127" i="1"/>
  <c r="L128" i="1"/>
  <c r="L129" i="1"/>
  <c r="L130" i="1"/>
  <c r="L131" i="1"/>
  <c r="L132" i="1"/>
  <c r="L133" i="1"/>
  <c r="L134" i="1"/>
  <c r="L135" i="1"/>
  <c r="L136" i="1"/>
  <c r="L137" i="1"/>
  <c r="P137" i="1" s="1"/>
  <c r="L138" i="1"/>
  <c r="P138" i="1" s="1"/>
  <c r="L139" i="1"/>
  <c r="P139" i="1" s="1"/>
  <c r="L140" i="1"/>
  <c r="L141" i="1"/>
  <c r="P141" i="1" s="1"/>
  <c r="L142" i="1"/>
  <c r="L143" i="1"/>
  <c r="L144" i="1"/>
  <c r="L145" i="1"/>
  <c r="L146" i="1"/>
  <c r="L147" i="1"/>
  <c r="L148" i="1"/>
  <c r="L149" i="1"/>
  <c r="L150" i="1"/>
  <c r="L151" i="1"/>
  <c r="L152" i="1"/>
  <c r="L153" i="1"/>
  <c r="P153" i="1" s="1"/>
  <c r="L154" i="1"/>
  <c r="P154" i="1" s="1"/>
  <c r="L155" i="1"/>
  <c r="P155" i="1" s="1"/>
  <c r="L156" i="1"/>
  <c r="L157" i="1"/>
  <c r="P157" i="1" s="1"/>
  <c r="L158" i="1"/>
  <c r="L159" i="1"/>
  <c r="L160" i="1"/>
  <c r="L161" i="1"/>
  <c r="L162" i="1"/>
  <c r="L163" i="1"/>
  <c r="L164" i="1"/>
  <c r="L165" i="1"/>
  <c r="L166" i="1"/>
  <c r="L167" i="1"/>
  <c r="L168" i="1"/>
  <c r="L169" i="1"/>
  <c r="P169" i="1" s="1"/>
  <c r="L170" i="1"/>
  <c r="P170" i="1" s="1"/>
  <c r="L171" i="1"/>
  <c r="P171" i="1" s="1"/>
  <c r="L172" i="1"/>
  <c r="L173" i="1"/>
  <c r="P173" i="1" s="1"/>
  <c r="L174" i="1"/>
  <c r="L175" i="1"/>
  <c r="L176" i="1"/>
  <c r="L177" i="1"/>
  <c r="L178" i="1"/>
  <c r="L179" i="1"/>
  <c r="L180" i="1"/>
  <c r="L181" i="1"/>
  <c r="L182" i="1"/>
  <c r="L183" i="1"/>
  <c r="L184" i="1"/>
  <c r="L185" i="1"/>
  <c r="P185" i="1" s="1"/>
  <c r="L186" i="1"/>
  <c r="P186" i="1" s="1"/>
  <c r="L187" i="1"/>
  <c r="P187" i="1" s="1"/>
  <c r="L188" i="1"/>
  <c r="L189" i="1"/>
  <c r="P189" i="1" s="1"/>
  <c r="L190" i="1"/>
  <c r="L191" i="1"/>
  <c r="L192" i="1"/>
  <c r="L193" i="1"/>
  <c r="L194" i="1"/>
  <c r="L195" i="1"/>
  <c r="L196" i="1"/>
  <c r="L197" i="1"/>
  <c r="L198" i="1"/>
  <c r="L199" i="1"/>
  <c r="L200" i="1"/>
  <c r="L201" i="1"/>
  <c r="P201" i="1" s="1"/>
  <c r="L202" i="1"/>
  <c r="P202" i="1" s="1"/>
  <c r="L203" i="1"/>
  <c r="P203" i="1" s="1"/>
  <c r="L204" i="1"/>
  <c r="L205" i="1"/>
  <c r="P205" i="1" s="1"/>
  <c r="L206" i="1"/>
  <c r="L210" i="1"/>
  <c r="L211" i="1"/>
  <c r="L212" i="1"/>
  <c r="L213" i="1"/>
  <c r="L214" i="1"/>
  <c r="L215" i="1"/>
  <c r="L216" i="1"/>
  <c r="L217" i="1"/>
  <c r="L218" i="1"/>
  <c r="L219" i="1"/>
  <c r="L220" i="1"/>
  <c r="P220" i="1" s="1"/>
  <c r="L221" i="1"/>
  <c r="L222" i="1"/>
  <c r="L223" i="1"/>
  <c r="L224" i="1"/>
  <c r="P224" i="1" s="1"/>
  <c r="L225" i="1"/>
  <c r="L226" i="1"/>
  <c r="L227" i="1"/>
  <c r="L228" i="1"/>
  <c r="L229" i="1"/>
  <c r="L230" i="1"/>
  <c r="L231" i="1"/>
  <c r="L232" i="1"/>
  <c r="L233" i="1"/>
  <c r="L234" i="1"/>
  <c r="L235" i="1"/>
  <c r="L236" i="1"/>
  <c r="P236" i="1" s="1"/>
  <c r="L237" i="1"/>
  <c r="P237" i="1" s="1"/>
  <c r="L238" i="1"/>
  <c r="P238" i="1" s="1"/>
  <c r="L239" i="1"/>
  <c r="L240" i="1"/>
  <c r="P240" i="1" s="1"/>
  <c r="L241" i="1"/>
  <c r="L242" i="1"/>
  <c r="L243" i="1"/>
  <c r="L244" i="1"/>
  <c r="L245" i="1"/>
  <c r="L246" i="1"/>
  <c r="L247" i="1"/>
  <c r="L248" i="1"/>
  <c r="L249" i="1"/>
  <c r="L250" i="1"/>
  <c r="L251" i="1"/>
  <c r="L252" i="1"/>
  <c r="P252" i="1" s="1"/>
  <c r="L253" i="1"/>
  <c r="P253" i="1" s="1"/>
  <c r="L254" i="1"/>
  <c r="P254" i="1" s="1"/>
  <c r="L255" i="1"/>
  <c r="L256" i="1"/>
  <c r="P256" i="1" s="1"/>
  <c r="L257" i="1"/>
  <c r="L258" i="1"/>
  <c r="L259" i="1"/>
  <c r="L260" i="1"/>
  <c r="L261" i="1"/>
  <c r="L262" i="1"/>
  <c r="L263" i="1"/>
  <c r="L264" i="1"/>
  <c r="L266" i="1"/>
  <c r="L267" i="1"/>
  <c r="L268" i="1"/>
  <c r="L269" i="1"/>
  <c r="P269" i="1" s="1"/>
  <c r="L270" i="1"/>
  <c r="P270" i="1" s="1"/>
  <c r="L271" i="1"/>
  <c r="P271" i="1" s="1"/>
  <c r="L272" i="1"/>
  <c r="L273" i="1"/>
  <c r="P273" i="1" s="1"/>
  <c r="L274" i="1"/>
  <c r="L275" i="1"/>
  <c r="L276" i="1"/>
  <c r="L277" i="1"/>
  <c r="L278" i="1"/>
  <c r="L279" i="1"/>
  <c r="L280" i="1"/>
  <c r="L281" i="1"/>
  <c r="L282" i="1"/>
  <c r="L283" i="1"/>
  <c r="L284" i="1"/>
  <c r="L285" i="1"/>
  <c r="P285" i="1" s="1"/>
  <c r="L286" i="1"/>
  <c r="P286" i="1" s="1"/>
  <c r="L287" i="1"/>
  <c r="L288" i="1"/>
  <c r="L289" i="1"/>
  <c r="P289" i="1" s="1"/>
  <c r="L290" i="1"/>
  <c r="L291" i="1"/>
  <c r="L292" i="1"/>
  <c r="L293" i="1"/>
  <c r="L294" i="1"/>
  <c r="L295" i="1"/>
  <c r="L296" i="1"/>
  <c r="L297" i="1"/>
  <c r="L298" i="1"/>
  <c r="L299" i="1"/>
  <c r="L300" i="1"/>
  <c r="L301" i="1"/>
  <c r="P301" i="1" s="1"/>
  <c r="L302" i="1"/>
  <c r="P302" i="1" s="1"/>
  <c r="L303" i="1"/>
  <c r="P303" i="1" s="1"/>
  <c r="L304" i="1"/>
  <c r="L305" i="1"/>
  <c r="P305" i="1" s="1"/>
  <c r="L306" i="1"/>
  <c r="L307" i="1"/>
  <c r="L308" i="1"/>
  <c r="L309" i="1"/>
  <c r="L310" i="1"/>
  <c r="L311" i="1"/>
  <c r="L312" i="1"/>
  <c r="L313" i="1"/>
  <c r="L314" i="1"/>
  <c r="L315" i="1"/>
  <c r="L316" i="1"/>
  <c r="L317" i="1"/>
  <c r="P317" i="1" s="1"/>
  <c r="L318" i="1"/>
  <c r="P318" i="1" s="1"/>
  <c r="L319" i="1"/>
  <c r="P319" i="1" s="1"/>
  <c r="L320" i="1"/>
  <c r="L321" i="1"/>
  <c r="P321" i="1" s="1"/>
  <c r="L322" i="1"/>
  <c r="L323" i="1"/>
  <c r="L324" i="1"/>
  <c r="L325" i="1"/>
  <c r="L326" i="1"/>
  <c r="L327" i="1"/>
  <c r="L328" i="1"/>
  <c r="L329" i="1"/>
  <c r="L330" i="1"/>
  <c r="L331" i="1"/>
  <c r="L332" i="1"/>
  <c r="L333" i="1"/>
  <c r="P333" i="1" s="1"/>
  <c r="L334" i="1"/>
  <c r="P334" i="1" s="1"/>
  <c r="L335" i="1"/>
  <c r="P335" i="1" s="1"/>
  <c r="L336" i="1"/>
  <c r="L337" i="1"/>
  <c r="P337" i="1" s="1"/>
  <c r="L338" i="1"/>
  <c r="L339" i="1"/>
  <c r="L340" i="1"/>
  <c r="L341" i="1"/>
  <c r="L342" i="1"/>
  <c r="L343" i="1"/>
  <c r="L344" i="1"/>
  <c r="L345" i="1"/>
  <c r="L346" i="1"/>
  <c r="L347" i="1"/>
  <c r="L348" i="1"/>
  <c r="L349" i="1"/>
  <c r="P349" i="1" s="1"/>
  <c r="L350" i="1"/>
  <c r="L351" i="1"/>
  <c r="L352" i="1"/>
  <c r="L353" i="1"/>
  <c r="P353" i="1" s="1"/>
  <c r="L354" i="1"/>
  <c r="L355" i="1"/>
  <c r="L356" i="1"/>
  <c r="L357" i="1"/>
  <c r="L358" i="1"/>
  <c r="L359" i="1"/>
  <c r="L360" i="1"/>
  <c r="L361" i="1"/>
  <c r="L362" i="1"/>
  <c r="L363" i="1"/>
  <c r="L364" i="1"/>
  <c r="L365" i="1"/>
  <c r="P365" i="1" s="1"/>
  <c r="L366" i="1"/>
  <c r="P366" i="1" s="1"/>
  <c r="L367" i="1"/>
  <c r="P367" i="1" s="1"/>
  <c r="L368" i="1"/>
  <c r="L369" i="1"/>
  <c r="P369" i="1" s="1"/>
  <c r="L370" i="1"/>
  <c r="L371" i="1"/>
  <c r="L372" i="1"/>
  <c r="L373" i="1"/>
  <c r="L374" i="1"/>
  <c r="L375" i="1"/>
  <c r="L376" i="1"/>
  <c r="L377" i="1"/>
  <c r="L378" i="1"/>
  <c r="L379" i="1"/>
  <c r="L380" i="1"/>
  <c r="L381" i="1"/>
  <c r="P381" i="1" s="1"/>
  <c r="L382" i="1"/>
  <c r="P382" i="1" s="1"/>
  <c r="L383" i="1"/>
  <c r="P383" i="1" s="1"/>
  <c r="L384" i="1"/>
  <c r="L385" i="1"/>
  <c r="P385" i="1" s="1"/>
  <c r="L386" i="1"/>
  <c r="L387" i="1"/>
  <c r="L388" i="1"/>
  <c r="L389" i="1"/>
  <c r="L390" i="1"/>
  <c r="L391" i="1"/>
  <c r="L392" i="1"/>
  <c r="L393" i="1"/>
  <c r="L394" i="1"/>
  <c r="L395" i="1"/>
  <c r="L396" i="1"/>
  <c r="L397" i="1"/>
  <c r="P397" i="1" s="1"/>
  <c r="L398" i="1"/>
  <c r="P398" i="1" s="1"/>
  <c r="L399" i="1"/>
  <c r="P399" i="1" s="1"/>
  <c r="L400" i="1"/>
  <c r="L401" i="1"/>
  <c r="P401" i="1" s="1"/>
  <c r="L402" i="1"/>
  <c r="L403" i="1"/>
  <c r="L404" i="1"/>
  <c r="L405" i="1"/>
  <c r="L406" i="1"/>
  <c r="L407" i="1"/>
  <c r="L408" i="1"/>
  <c r="L409" i="1"/>
  <c r="L413" i="1"/>
  <c r="L414" i="1"/>
  <c r="L415" i="1"/>
  <c r="L416" i="1"/>
  <c r="P416" i="1" s="1"/>
  <c r="L417" i="1"/>
  <c r="P417" i="1" s="1"/>
  <c r="L418" i="1"/>
  <c r="L419" i="1"/>
  <c r="L420" i="1"/>
  <c r="P420" i="1" s="1"/>
  <c r="L431" i="1"/>
  <c r="L432" i="1"/>
  <c r="L433" i="1"/>
  <c r="L434" i="1"/>
  <c r="L435" i="1"/>
  <c r="L436" i="1"/>
  <c r="L437" i="1"/>
  <c r="L438" i="1"/>
  <c r="L439" i="1"/>
  <c r="L440" i="1"/>
  <c r="L441" i="1"/>
  <c r="L442" i="1"/>
  <c r="P442" i="1" s="1"/>
  <c r="L443" i="1"/>
  <c r="P443" i="1" s="1"/>
  <c r="L444" i="1"/>
  <c r="P444" i="1" s="1"/>
  <c r="L445" i="1"/>
  <c r="L446" i="1"/>
  <c r="P446" i="1" s="1"/>
  <c r="L447" i="1"/>
  <c r="L448" i="1"/>
  <c r="L449" i="1"/>
  <c r="L450" i="1"/>
  <c r="L451" i="1"/>
  <c r="L452" i="1"/>
  <c r="L453" i="1"/>
  <c r="L454" i="1"/>
  <c r="L455" i="1"/>
  <c r="L456" i="1"/>
  <c r="L457" i="1"/>
  <c r="L458" i="1"/>
  <c r="P458" i="1" s="1"/>
  <c r="L459" i="1"/>
  <c r="P459" i="1" s="1"/>
  <c r="L460" i="1"/>
  <c r="P460" i="1" s="1"/>
  <c r="L461" i="1"/>
  <c r="L462" i="1"/>
  <c r="P462" i="1" s="1"/>
  <c r="L463" i="1"/>
  <c r="L471" i="1"/>
  <c r="L472" i="1"/>
  <c r="L473" i="1"/>
  <c r="L474" i="1"/>
  <c r="L475" i="1"/>
  <c r="L476" i="1"/>
  <c r="L477" i="1"/>
  <c r="L478" i="1"/>
  <c r="L479" i="1"/>
  <c r="L480" i="1"/>
  <c r="L481" i="1"/>
  <c r="P481" i="1" s="1"/>
  <c r="L482" i="1"/>
  <c r="P482" i="1" s="1"/>
  <c r="L483" i="1"/>
  <c r="P483" i="1" s="1"/>
  <c r="L484" i="1"/>
  <c r="L485" i="1"/>
  <c r="P485" i="1" s="1"/>
  <c r="L486" i="1"/>
  <c r="L487" i="1"/>
  <c r="L488" i="1"/>
  <c r="L489" i="1"/>
  <c r="L490" i="1"/>
  <c r="L491" i="1"/>
  <c r="L492" i="1"/>
  <c r="L493" i="1"/>
  <c r="L494" i="1"/>
  <c r="L495" i="1"/>
  <c r="L496" i="1"/>
  <c r="L497" i="1"/>
  <c r="P497" i="1" s="1"/>
  <c r="L498" i="1"/>
  <c r="P498" i="1" s="1"/>
  <c r="L499" i="1"/>
  <c r="P499" i="1" s="1"/>
  <c r="L500" i="1"/>
  <c r="L501" i="1"/>
  <c r="P501" i="1" s="1"/>
  <c r="L502" i="1"/>
  <c r="L503" i="1"/>
  <c r="L504" i="1"/>
  <c r="P504" i="1" s="1"/>
  <c r="L505" i="1"/>
  <c r="L506" i="1"/>
  <c r="P506" i="1" s="1"/>
  <c r="L507" i="1"/>
  <c r="L508" i="1"/>
  <c r="L509" i="1"/>
  <c r="L510" i="1"/>
  <c r="L511" i="1"/>
  <c r="P511" i="1" s="1"/>
  <c r="L512" i="1"/>
  <c r="L513" i="1"/>
  <c r="P513" i="1" s="1"/>
  <c r="L514" i="1"/>
  <c r="P514" i="1" s="1"/>
  <c r="L515" i="1"/>
  <c r="P515" i="1" s="1"/>
  <c r="L516" i="1"/>
  <c r="L517" i="1"/>
  <c r="P517" i="1" s="1"/>
  <c r="L518" i="1"/>
  <c r="L519" i="1"/>
  <c r="L520" i="1"/>
  <c r="P520" i="1" s="1"/>
  <c r="L521" i="1"/>
  <c r="L522" i="1"/>
  <c r="L523" i="1"/>
  <c r="P523" i="1" s="1"/>
  <c r="L524" i="1"/>
  <c r="L525" i="1"/>
  <c r="L526" i="1"/>
  <c r="L527" i="1"/>
  <c r="P527" i="1" s="1"/>
  <c r="L528" i="1"/>
  <c r="L529" i="1"/>
  <c r="P529" i="1" s="1"/>
  <c r="L530" i="1"/>
  <c r="P530" i="1" s="1"/>
  <c r="L531" i="1"/>
  <c r="P531" i="1" s="1"/>
  <c r="L532" i="1"/>
  <c r="L533" i="1"/>
  <c r="P533" i="1" s="1"/>
  <c r="L534" i="1"/>
  <c r="L535" i="1"/>
  <c r="L536" i="1"/>
  <c r="P536" i="1" s="1"/>
  <c r="L537" i="1"/>
  <c r="L538" i="1"/>
  <c r="L539" i="1"/>
  <c r="P539" i="1" s="1"/>
  <c r="L540" i="1"/>
  <c r="L550" i="1"/>
  <c r="L551" i="1"/>
  <c r="L552" i="1"/>
  <c r="L553" i="1"/>
  <c r="L554" i="1"/>
  <c r="P554" i="1" s="1"/>
  <c r="L555" i="1"/>
  <c r="P555" i="1" s="1"/>
  <c r="L556" i="1"/>
  <c r="P556" i="1" s="1"/>
  <c r="L557" i="1"/>
  <c r="L558" i="1"/>
  <c r="L559" i="1"/>
  <c r="L560" i="1"/>
  <c r="L561" i="1"/>
  <c r="L562" i="1"/>
  <c r="L563" i="1"/>
  <c r="L564" i="1"/>
  <c r="L565" i="1"/>
  <c r="P565" i="1" s="1"/>
  <c r="L566" i="1"/>
  <c r="L567" i="1"/>
  <c r="L568" i="1"/>
  <c r="L569" i="1"/>
  <c r="L570" i="1"/>
  <c r="P570" i="1" s="1"/>
  <c r="L571" i="1"/>
  <c r="P571" i="1" s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P586" i="1" s="1"/>
  <c r="L587" i="1"/>
  <c r="P587" i="1" s="1"/>
  <c r="L588" i="1"/>
  <c r="P588" i="1" s="1"/>
  <c r="L589" i="1"/>
  <c r="L590" i="1"/>
  <c r="L591" i="1"/>
  <c r="L592" i="1"/>
  <c r="L593" i="1"/>
  <c r="L594" i="1"/>
  <c r="L595" i="1"/>
  <c r="L596" i="1"/>
  <c r="L597" i="1"/>
  <c r="P597" i="1" s="1"/>
  <c r="L598" i="1"/>
  <c r="L599" i="1"/>
  <c r="L600" i="1"/>
  <c r="L601" i="1"/>
  <c r="L602" i="1"/>
  <c r="P602" i="1" s="1"/>
  <c r="L603" i="1"/>
  <c r="P603" i="1" s="1"/>
  <c r="L604" i="1"/>
  <c r="P604" i="1" s="1"/>
  <c r="L605" i="1"/>
  <c r="L606" i="1"/>
  <c r="L607" i="1"/>
  <c r="L608" i="1"/>
  <c r="L609" i="1"/>
  <c r="L610" i="1"/>
  <c r="L611" i="1"/>
  <c r="L612" i="1"/>
  <c r="L613" i="1"/>
  <c r="P613" i="1" s="1"/>
  <c r="L614" i="1"/>
  <c r="L615" i="1"/>
  <c r="L616" i="1"/>
  <c r="L617" i="1"/>
  <c r="L618" i="1"/>
  <c r="P618" i="1" s="1"/>
  <c r="L619" i="1"/>
  <c r="P619" i="1" s="1"/>
  <c r="L620" i="1"/>
  <c r="P620" i="1" s="1"/>
  <c r="L621" i="1"/>
  <c r="L622" i="1"/>
  <c r="L623" i="1"/>
  <c r="L624" i="1"/>
  <c r="L625" i="1"/>
  <c r="L626" i="1"/>
  <c r="L627" i="1"/>
  <c r="L628" i="1"/>
  <c r="L629" i="1"/>
  <c r="P629" i="1" s="1"/>
  <c r="L630" i="1"/>
  <c r="L631" i="1"/>
  <c r="L632" i="1"/>
  <c r="L633" i="1"/>
  <c r="L636" i="1"/>
  <c r="P636" i="1" s="1"/>
  <c r="L637" i="1"/>
  <c r="P637" i="1" s="1"/>
  <c r="L638" i="1"/>
  <c r="P638" i="1" s="1"/>
  <c r="L639" i="1"/>
  <c r="L640" i="1"/>
  <c r="L641" i="1"/>
  <c r="L642" i="1"/>
  <c r="L643" i="1"/>
  <c r="L644" i="1"/>
  <c r="L645" i="1"/>
  <c r="L646" i="1"/>
  <c r="L647" i="1"/>
  <c r="P647" i="1" s="1"/>
  <c r="L648" i="1"/>
  <c r="L649" i="1"/>
  <c r="L650" i="1"/>
  <c r="L651" i="1"/>
  <c r="L652" i="1"/>
  <c r="P652" i="1" s="1"/>
  <c r="L653" i="1"/>
  <c r="P653" i="1" s="1"/>
  <c r="L654" i="1"/>
  <c r="P654" i="1" s="1"/>
  <c r="L655" i="1"/>
  <c r="L656" i="1"/>
  <c r="L657" i="1"/>
  <c r="L658" i="1"/>
  <c r="L659" i="1"/>
  <c r="L660" i="1"/>
  <c r="L661" i="1"/>
  <c r="L662" i="1"/>
  <c r="L663" i="1"/>
  <c r="P663" i="1" s="1"/>
  <c r="L664" i="1"/>
  <c r="L665" i="1"/>
  <c r="L666" i="1"/>
  <c r="L667" i="1"/>
  <c r="L668" i="1"/>
  <c r="P668" i="1" s="1"/>
  <c r="L669" i="1"/>
  <c r="P669" i="1" s="1"/>
  <c r="L670" i="1"/>
  <c r="P670" i="1" s="1"/>
  <c r="L671" i="1"/>
  <c r="L672" i="1"/>
  <c r="L673" i="1"/>
  <c r="L674" i="1"/>
  <c r="L675" i="1"/>
  <c r="L676" i="1"/>
  <c r="L677" i="1"/>
  <c r="L678" i="1"/>
  <c r="L679" i="1"/>
  <c r="P679" i="1" s="1"/>
  <c r="L680" i="1"/>
  <c r="L681" i="1"/>
  <c r="L682" i="1"/>
  <c r="L683" i="1"/>
  <c r="L684" i="1"/>
  <c r="P684" i="1" s="1"/>
  <c r="L685" i="1"/>
  <c r="P685" i="1" s="1"/>
  <c r="L686" i="1"/>
  <c r="P686" i="1" s="1"/>
  <c r="L687" i="1"/>
  <c r="L688" i="1"/>
  <c r="L689" i="1"/>
  <c r="L690" i="1"/>
  <c r="L691" i="1"/>
  <c r="L692" i="1"/>
  <c r="L693" i="1"/>
  <c r="L694" i="1"/>
  <c r="L695" i="1"/>
  <c r="P695" i="1" s="1"/>
  <c r="L696" i="1"/>
  <c r="L697" i="1"/>
  <c r="L698" i="1"/>
  <c r="L699" i="1"/>
  <c r="L700" i="1"/>
  <c r="P700" i="1" s="1"/>
  <c r="L701" i="1"/>
  <c r="P701" i="1" s="1"/>
  <c r="L702" i="1"/>
  <c r="P702" i="1" s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P716" i="1" s="1"/>
  <c r="L717" i="1"/>
  <c r="P717" i="1" s="1"/>
  <c r="L718" i="1"/>
  <c r="P718" i="1" s="1"/>
  <c r="L719" i="1"/>
  <c r="L720" i="1"/>
  <c r="L721" i="1"/>
  <c r="L722" i="1"/>
  <c r="L723" i="1"/>
  <c r="L724" i="1"/>
  <c r="L726" i="1"/>
  <c r="L727" i="1"/>
  <c r="L728" i="1"/>
  <c r="P728" i="1" s="1"/>
  <c r="L729" i="1"/>
  <c r="L730" i="1"/>
  <c r="L731" i="1"/>
  <c r="L732" i="1"/>
  <c r="L733" i="1"/>
  <c r="P733" i="1" s="1"/>
  <c r="L734" i="1"/>
  <c r="P734" i="1" s="1"/>
  <c r="L735" i="1"/>
  <c r="P735" i="1" s="1"/>
  <c r="L736" i="1"/>
  <c r="L737" i="1"/>
  <c r="L738" i="1"/>
  <c r="L739" i="1"/>
  <c r="L740" i="1"/>
  <c r="L741" i="1"/>
  <c r="L742" i="1"/>
  <c r="L743" i="1"/>
  <c r="L744" i="1"/>
  <c r="P744" i="1" s="1"/>
  <c r="L745" i="1"/>
  <c r="L746" i="1"/>
  <c r="L747" i="1"/>
  <c r="L748" i="1"/>
  <c r="L749" i="1"/>
  <c r="P749" i="1" s="1"/>
  <c r="L750" i="1"/>
  <c r="P750" i="1" s="1"/>
  <c r="L751" i="1"/>
  <c r="P751" i="1" s="1"/>
  <c r="L752" i="1"/>
  <c r="L753" i="1"/>
  <c r="L754" i="1"/>
  <c r="L755" i="1"/>
  <c r="L756" i="1"/>
  <c r="L757" i="1"/>
  <c r="L758" i="1"/>
  <c r="L759" i="1"/>
  <c r="L760" i="1"/>
  <c r="P760" i="1" s="1"/>
  <c r="L761" i="1"/>
  <c r="L762" i="1"/>
  <c r="L763" i="1"/>
  <c r="L764" i="1"/>
  <c r="L765" i="1"/>
  <c r="P765" i="1" s="1"/>
  <c r="L766" i="1"/>
  <c r="P766" i="1" s="1"/>
  <c r="L767" i="1"/>
  <c r="P767" i="1" s="1"/>
  <c r="L768" i="1"/>
  <c r="L769" i="1"/>
  <c r="L770" i="1"/>
  <c r="L771" i="1"/>
  <c r="L772" i="1"/>
  <c r="L773" i="1"/>
  <c r="L774" i="1"/>
  <c r="L775" i="1"/>
  <c r="L776" i="1"/>
  <c r="P776" i="1" s="1"/>
  <c r="L777" i="1"/>
  <c r="L778" i="1"/>
  <c r="L779" i="1"/>
  <c r="L780" i="1"/>
  <c r="L781" i="1"/>
  <c r="P781" i="1" s="1"/>
  <c r="L782" i="1"/>
  <c r="P782" i="1" s="1"/>
  <c r="L783" i="1"/>
  <c r="P783" i="1" s="1"/>
  <c r="L784" i="1"/>
  <c r="L785" i="1"/>
  <c r="L786" i="1"/>
  <c r="L787" i="1"/>
  <c r="L788" i="1"/>
  <c r="L789" i="1"/>
  <c r="L790" i="1"/>
  <c r="L791" i="1"/>
  <c r="L792" i="1"/>
  <c r="P792" i="1" s="1"/>
  <c r="L793" i="1"/>
  <c r="L794" i="1"/>
  <c r="L795" i="1"/>
  <c r="L796" i="1"/>
  <c r="L797" i="1"/>
  <c r="P797" i="1" s="1"/>
  <c r="L798" i="1"/>
  <c r="P798" i="1" s="1"/>
  <c r="L799" i="1"/>
  <c r="P799" i="1" s="1"/>
  <c r="L800" i="1"/>
  <c r="L801" i="1"/>
  <c r="L802" i="1"/>
  <c r="L803" i="1"/>
  <c r="L804" i="1"/>
  <c r="L805" i="1"/>
  <c r="L806" i="1"/>
  <c r="L807" i="1"/>
  <c r="L808" i="1"/>
  <c r="P808" i="1" s="1"/>
  <c r="L809" i="1"/>
  <c r="L812" i="1"/>
  <c r="L813" i="1"/>
  <c r="L814" i="1"/>
  <c r="L815" i="1"/>
  <c r="P815" i="1" s="1"/>
  <c r="L816" i="1"/>
  <c r="P816" i="1" s="1"/>
  <c r="L817" i="1"/>
  <c r="P817" i="1" s="1"/>
  <c r="L818" i="1"/>
  <c r="L819" i="1"/>
  <c r="L820" i="1"/>
  <c r="L821" i="1"/>
  <c r="L822" i="1"/>
  <c r="L849" i="1"/>
  <c r="L850" i="1"/>
  <c r="L851" i="1"/>
  <c r="L852" i="1"/>
  <c r="P852" i="1" s="1"/>
  <c r="L853" i="1"/>
  <c r="L854" i="1"/>
  <c r="L855" i="1"/>
  <c r="L856" i="1"/>
  <c r="L857" i="1"/>
  <c r="P857" i="1" s="1"/>
  <c r="L858" i="1"/>
  <c r="P858" i="1" s="1"/>
  <c r="L859" i="1"/>
  <c r="P859" i="1" s="1"/>
  <c r="L860" i="1"/>
  <c r="L861" i="1"/>
  <c r="L862" i="1"/>
  <c r="L863" i="1"/>
  <c r="L864" i="1"/>
  <c r="L865" i="1"/>
  <c r="L866" i="1"/>
  <c r="L867" i="1"/>
  <c r="L868" i="1"/>
  <c r="P868" i="1" s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P884" i="1" s="1"/>
  <c r="L885" i="1"/>
  <c r="L886" i="1"/>
  <c r="L887" i="1"/>
  <c r="L888" i="1"/>
  <c r="L889" i="1"/>
  <c r="P889" i="1" s="1"/>
  <c r="L890" i="1"/>
  <c r="P890" i="1" s="1"/>
  <c r="L891" i="1"/>
  <c r="P891" i="1" s="1"/>
  <c r="L892" i="1"/>
  <c r="L893" i="1"/>
  <c r="L894" i="1"/>
  <c r="L895" i="1"/>
  <c r="L896" i="1"/>
  <c r="L897" i="1"/>
  <c r="L898" i="1"/>
  <c r="L899" i="1"/>
  <c r="L900" i="1"/>
  <c r="P900" i="1" s="1"/>
  <c r="L901" i="1"/>
  <c r="L902" i="1"/>
  <c r="L903" i="1"/>
  <c r="L904" i="1"/>
  <c r="L905" i="1"/>
  <c r="P905" i="1" s="1"/>
  <c r="L906" i="1"/>
  <c r="P906" i="1" s="1"/>
  <c r="L907" i="1"/>
  <c r="P907" i="1" s="1"/>
  <c r="L908" i="1"/>
  <c r="L909" i="1"/>
  <c r="L910" i="1"/>
  <c r="L911" i="1"/>
  <c r="L912" i="1"/>
  <c r="L913" i="1"/>
  <c r="L914" i="1"/>
  <c r="L915" i="1"/>
  <c r="L916" i="1"/>
  <c r="P916" i="1" s="1"/>
  <c r="L917" i="1"/>
  <c r="L918" i="1"/>
  <c r="L919" i="1"/>
  <c r="L920" i="1"/>
  <c r="L921" i="1"/>
  <c r="P921" i="1" s="1"/>
  <c r="L922" i="1"/>
  <c r="P922" i="1" s="1"/>
  <c r="L923" i="1"/>
  <c r="P923" i="1" s="1"/>
  <c r="L924" i="1"/>
  <c r="L925" i="1"/>
  <c r="L926" i="1"/>
  <c r="L927" i="1"/>
  <c r="L928" i="1"/>
  <c r="L929" i="1"/>
  <c r="L930" i="1"/>
  <c r="L931" i="1"/>
  <c r="L943" i="1"/>
  <c r="P943" i="1" s="1"/>
  <c r="L944" i="1"/>
  <c r="L945" i="1"/>
  <c r="L946" i="1"/>
  <c r="L947" i="1"/>
  <c r="L948" i="1"/>
  <c r="P948" i="1" s="1"/>
  <c r="L949" i="1"/>
  <c r="P949" i="1" s="1"/>
  <c r="L950" i="1"/>
  <c r="P950" i="1" s="1"/>
  <c r="L951" i="1"/>
  <c r="L952" i="1"/>
  <c r="L953" i="1"/>
  <c r="L954" i="1"/>
  <c r="L955" i="1"/>
  <c r="L956" i="1"/>
  <c r="L957" i="1"/>
  <c r="L958" i="1"/>
  <c r="L959" i="1"/>
  <c r="P959" i="1" s="1"/>
  <c r="L960" i="1"/>
  <c r="L961" i="1"/>
  <c r="L962" i="1"/>
  <c r="L963" i="1"/>
  <c r="L964" i="1"/>
  <c r="P964" i="1" s="1"/>
  <c r="L965" i="1"/>
  <c r="P965" i="1" s="1"/>
  <c r="L966" i="1"/>
  <c r="P966" i="1" s="1"/>
  <c r="L967" i="1"/>
  <c r="L968" i="1"/>
  <c r="L969" i="1"/>
  <c r="L970" i="1"/>
  <c r="L971" i="1"/>
  <c r="L972" i="1"/>
  <c r="L973" i="1"/>
  <c r="L974" i="1"/>
  <c r="L975" i="1"/>
  <c r="P975" i="1" s="1"/>
  <c r="L976" i="1"/>
  <c r="L977" i="1"/>
  <c r="L978" i="1"/>
  <c r="L979" i="1"/>
  <c r="L980" i="1"/>
  <c r="P980" i="1" s="1"/>
  <c r="L981" i="1"/>
  <c r="P981" i="1" s="1"/>
  <c r="L982" i="1"/>
  <c r="P982" i="1" s="1"/>
  <c r="L983" i="1"/>
  <c r="L984" i="1"/>
  <c r="L985" i="1"/>
  <c r="L988" i="1"/>
  <c r="L989" i="1"/>
  <c r="L990" i="1"/>
  <c r="L991" i="1"/>
  <c r="L992" i="1"/>
  <c r="L993" i="1"/>
  <c r="P993" i="1" s="1"/>
  <c r="L994" i="1"/>
  <c r="L995" i="1"/>
  <c r="L996" i="1"/>
  <c r="L997" i="1"/>
  <c r="L998" i="1"/>
  <c r="L999" i="1"/>
  <c r="P999" i="1" s="1"/>
  <c r="L1000" i="1"/>
  <c r="P1000" i="1" s="1"/>
  <c r="L1001" i="1"/>
  <c r="L1002" i="1"/>
  <c r="L1003" i="1"/>
  <c r="L1004" i="1"/>
  <c r="L1005" i="1"/>
  <c r="L1006" i="1"/>
  <c r="L1007" i="1"/>
  <c r="L1008" i="1"/>
  <c r="L1009" i="1"/>
  <c r="P1009" i="1" s="1"/>
  <c r="L1010" i="1"/>
  <c r="L1011" i="1"/>
  <c r="L1012" i="1"/>
  <c r="L1013" i="1"/>
  <c r="L1016" i="1"/>
  <c r="P1016" i="1" s="1"/>
  <c r="L1017" i="1"/>
  <c r="P1017" i="1" s="1"/>
  <c r="L1018" i="1"/>
  <c r="P1018" i="1" s="1"/>
  <c r="L1019" i="1"/>
  <c r="L1020" i="1"/>
  <c r="L1021" i="1"/>
  <c r="L1022" i="1"/>
  <c r="L1023" i="1"/>
  <c r="L1024" i="1"/>
  <c r="L1025" i="1"/>
  <c r="L1026" i="1"/>
  <c r="L1027" i="1"/>
  <c r="P1027" i="1" s="1"/>
  <c r="L1028" i="1"/>
  <c r="L1029" i="1"/>
  <c r="L1030" i="1"/>
  <c r="L1031" i="1"/>
  <c r="L1032" i="1"/>
  <c r="P1032" i="1" s="1"/>
  <c r="L1033" i="1"/>
  <c r="P1033" i="1" s="1"/>
  <c r="L1034" i="1"/>
  <c r="P1034" i="1" s="1"/>
  <c r="L1035" i="1"/>
  <c r="L1036" i="1"/>
  <c r="L1037" i="1"/>
  <c r="L1038" i="1"/>
  <c r="L1039" i="1"/>
  <c r="L1040" i="1"/>
  <c r="L1041" i="1"/>
  <c r="L1042" i="1"/>
  <c r="L1043" i="1"/>
  <c r="P1043" i="1" s="1"/>
  <c r="L1044" i="1"/>
  <c r="L1045" i="1"/>
  <c r="L1046" i="1"/>
  <c r="L1047" i="1"/>
  <c r="L1048" i="1"/>
  <c r="P1048" i="1" s="1"/>
  <c r="L1049" i="1"/>
  <c r="P1049" i="1" s="1"/>
  <c r="L1050" i="1"/>
  <c r="P1050" i="1" s="1"/>
  <c r="L1051" i="1"/>
  <c r="L1052" i="1"/>
  <c r="L1053" i="1"/>
  <c r="L1054" i="1"/>
  <c r="L1055" i="1"/>
  <c r="L1056" i="1"/>
  <c r="L1057" i="1"/>
  <c r="L1058" i="1"/>
  <c r="L1059" i="1"/>
  <c r="P1059" i="1" s="1"/>
  <c r="L1060" i="1"/>
  <c r="L1061" i="1"/>
  <c r="L1062" i="1"/>
  <c r="L1063" i="1"/>
  <c r="L1064" i="1"/>
  <c r="P1064" i="1" s="1"/>
  <c r="L1065" i="1"/>
  <c r="P1065" i="1" s="1"/>
  <c r="L1066" i="1"/>
  <c r="P1066" i="1" s="1"/>
  <c r="L1067" i="1"/>
  <c r="L1068" i="1"/>
  <c r="L1069" i="1"/>
  <c r="L1070" i="1"/>
  <c r="L1071" i="1"/>
  <c r="L1072" i="1"/>
  <c r="L1073" i="1"/>
  <c r="L1074" i="1"/>
  <c r="L1075" i="1"/>
  <c r="P1075" i="1" s="1"/>
  <c r="L1076" i="1"/>
  <c r="L1077" i="1"/>
  <c r="L1078" i="1"/>
  <c r="L1079" i="1"/>
  <c r="L1080" i="1"/>
  <c r="P1080" i="1" s="1"/>
  <c r="L1081" i="1"/>
  <c r="P1081" i="1" s="1"/>
  <c r="L1082" i="1"/>
  <c r="P1082" i="1" s="1"/>
  <c r="L1083" i="1"/>
  <c r="L1084" i="1"/>
  <c r="L1085" i="1"/>
  <c r="L1086" i="1"/>
  <c r="L1087" i="1"/>
  <c r="L1088" i="1"/>
  <c r="L1089" i="1"/>
  <c r="L1090" i="1"/>
  <c r="L1091" i="1"/>
  <c r="P1091" i="1" s="1"/>
  <c r="L1092" i="1"/>
  <c r="L1093" i="1"/>
  <c r="L1094" i="1"/>
  <c r="L1095" i="1"/>
  <c r="L1096" i="1"/>
  <c r="P1096" i="1" s="1"/>
  <c r="L1097" i="1"/>
  <c r="P1097" i="1" s="1"/>
  <c r="L1098" i="1"/>
  <c r="P1098" i="1" s="1"/>
  <c r="L1099" i="1"/>
  <c r="L1100" i="1"/>
  <c r="L1101" i="1"/>
  <c r="L1102" i="1"/>
  <c r="L1103" i="1"/>
  <c r="L1104" i="1"/>
  <c r="L1105" i="1"/>
  <c r="L1106" i="1"/>
  <c r="L1107" i="1"/>
  <c r="P1107" i="1" s="1"/>
  <c r="L1108" i="1"/>
  <c r="L1109" i="1"/>
  <c r="L1110" i="1"/>
  <c r="L1111" i="1"/>
  <c r="L1112" i="1"/>
  <c r="P1112" i="1" s="1"/>
  <c r="L1113" i="1"/>
  <c r="P1113" i="1" s="1"/>
  <c r="L1114" i="1"/>
  <c r="P1114" i="1" s="1"/>
  <c r="L1115" i="1"/>
  <c r="L1116" i="1"/>
  <c r="L1117" i="1"/>
  <c r="L1118" i="1"/>
  <c r="L1119" i="1"/>
  <c r="L1120" i="1"/>
  <c r="L1121" i="1"/>
  <c r="L1122" i="1"/>
  <c r="L1123" i="1"/>
  <c r="P1123" i="1" s="1"/>
  <c r="L1124" i="1"/>
  <c r="L1125" i="1"/>
  <c r="L1126" i="1"/>
  <c r="L1127" i="1"/>
  <c r="L1128" i="1"/>
  <c r="P1128" i="1" s="1"/>
  <c r="L1129" i="1"/>
  <c r="P1129" i="1" s="1"/>
  <c r="L1130" i="1"/>
  <c r="P1130" i="1" s="1"/>
  <c r="L1131" i="1"/>
  <c r="L1132" i="1"/>
  <c r="L1133" i="1"/>
  <c r="L1134" i="1"/>
  <c r="L1135" i="1"/>
  <c r="L1136" i="1"/>
  <c r="L1137" i="1"/>
  <c r="L1138" i="1"/>
  <c r="L1139" i="1"/>
  <c r="P1139" i="1" s="1"/>
  <c r="L1140" i="1"/>
  <c r="L1141" i="1"/>
  <c r="L1142" i="1"/>
  <c r="L1143" i="1"/>
  <c r="L1144" i="1"/>
  <c r="P1144" i="1" s="1"/>
  <c r="L1145" i="1"/>
  <c r="P1145" i="1" s="1"/>
  <c r="L1146" i="1"/>
  <c r="P1146" i="1" s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P1160" i="1" s="1"/>
  <c r="L1161" i="1"/>
  <c r="P1161" i="1" s="1"/>
  <c r="L1162" i="1"/>
  <c r="P1162" i="1" s="1"/>
  <c r="L1163" i="1"/>
  <c r="L1164" i="1"/>
  <c r="L1165" i="1"/>
  <c r="L1166" i="1"/>
  <c r="L1167" i="1"/>
  <c r="L1168" i="1"/>
  <c r="L1192" i="1"/>
  <c r="L1193" i="1"/>
  <c r="L1194" i="1"/>
  <c r="P1194" i="1" s="1"/>
  <c r="L1195" i="1"/>
  <c r="L1196" i="1"/>
  <c r="L1197" i="1"/>
  <c r="L1198" i="1"/>
  <c r="L1199" i="1"/>
  <c r="P1199" i="1" s="1"/>
  <c r="L1200" i="1"/>
  <c r="P1200" i="1" s="1"/>
  <c r="L1201" i="1"/>
  <c r="P1201" i="1" s="1"/>
  <c r="L1202" i="1"/>
  <c r="L1203" i="1"/>
  <c r="L1204" i="1"/>
  <c r="L1207" i="1"/>
  <c r="L1208" i="1"/>
  <c r="L1209" i="1"/>
  <c r="L1210" i="1"/>
  <c r="L1211" i="1"/>
  <c r="L1212" i="1"/>
  <c r="P1212" i="1" s="1"/>
  <c r="L1213" i="1"/>
  <c r="L1214" i="1"/>
  <c r="L1215" i="1"/>
  <c r="L1216" i="1"/>
  <c r="L1217" i="1"/>
  <c r="P1217" i="1" s="1"/>
  <c r="L1218" i="1"/>
  <c r="P1218" i="1" s="1"/>
  <c r="L1219" i="1"/>
  <c r="P1219" i="1" s="1"/>
  <c r="L1220" i="1"/>
  <c r="L1221" i="1"/>
  <c r="L1222" i="1"/>
  <c r="L1223" i="1"/>
  <c r="L1224" i="1"/>
  <c r="L1225" i="1"/>
  <c r="L1226" i="1"/>
  <c r="L1227" i="1"/>
  <c r="L1228" i="1"/>
  <c r="P1228" i="1" s="1"/>
  <c r="L1229" i="1"/>
  <c r="L1230" i="1"/>
  <c r="L1231" i="1"/>
  <c r="L1232" i="1"/>
  <c r="L1233" i="1"/>
  <c r="P1233" i="1" s="1"/>
  <c r="L1234" i="1"/>
  <c r="P1234" i="1" s="1"/>
  <c r="L1235" i="1"/>
  <c r="P1235" i="1" s="1"/>
  <c r="L1236" i="1"/>
  <c r="L1237" i="1"/>
  <c r="L1238" i="1"/>
  <c r="L1239" i="1"/>
  <c r="L1240" i="1"/>
  <c r="L1241" i="1"/>
  <c r="L1242" i="1"/>
  <c r="L1243" i="1"/>
  <c r="L1244" i="1"/>
  <c r="P1244" i="1" s="1"/>
  <c r="L1245" i="1"/>
  <c r="L1246" i="1"/>
  <c r="L1247" i="1"/>
  <c r="L1248" i="1"/>
  <c r="L1249" i="1"/>
  <c r="P1249" i="1" s="1"/>
  <c r="L1250" i="1"/>
  <c r="P1250" i="1" s="1"/>
  <c r="L1251" i="1"/>
  <c r="P1251" i="1" s="1"/>
  <c r="L1252" i="1"/>
  <c r="L1253" i="1"/>
  <c r="L1254" i="1"/>
  <c r="L1255" i="1"/>
  <c r="L1256" i="1"/>
  <c r="L1257" i="1"/>
  <c r="L1258" i="1"/>
  <c r="L1259" i="1"/>
  <c r="L1260" i="1"/>
  <c r="P1260" i="1" s="1"/>
  <c r="L1261" i="1"/>
  <c r="L1266" i="1"/>
  <c r="L1267" i="1"/>
  <c r="L1268" i="1"/>
  <c r="L1269" i="1"/>
  <c r="P1269" i="1" s="1"/>
  <c r="L1270" i="1"/>
  <c r="P1270" i="1" s="1"/>
  <c r="L1271" i="1"/>
  <c r="L1272" i="1"/>
  <c r="L1273" i="1"/>
  <c r="L1274" i="1"/>
  <c r="L1275" i="1"/>
  <c r="L1276" i="1"/>
  <c r="L1277" i="1"/>
  <c r="L1278" i="1"/>
  <c r="L1279" i="1"/>
  <c r="L1280" i="1"/>
  <c r="P1280" i="1" s="1"/>
  <c r="L1281" i="1"/>
  <c r="L1282" i="1"/>
  <c r="L1283" i="1"/>
  <c r="L1284" i="1"/>
  <c r="L1285" i="1"/>
  <c r="P1285" i="1" s="1"/>
  <c r="L1286" i="1"/>
  <c r="P1286" i="1" s="1"/>
  <c r="L1287" i="1"/>
  <c r="P1287" i="1" s="1"/>
  <c r="L1288" i="1"/>
  <c r="L1289" i="1"/>
  <c r="L1290" i="1"/>
  <c r="L1291" i="1"/>
  <c r="L1292" i="1"/>
  <c r="L1293" i="1"/>
  <c r="L1294" i="1"/>
  <c r="L1295" i="1"/>
  <c r="L1296" i="1"/>
  <c r="P1296" i="1" s="1"/>
  <c r="L1297" i="1"/>
  <c r="L1298" i="1"/>
  <c r="L1299" i="1"/>
  <c r="L1300" i="1"/>
  <c r="L1301" i="1"/>
  <c r="L1302" i="1"/>
  <c r="P1302" i="1" s="1"/>
  <c r="L1303" i="1"/>
  <c r="P1303" i="1" s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P1317" i="1" s="1"/>
  <c r="L1318" i="1"/>
  <c r="P1318" i="1" s="1"/>
  <c r="L1319" i="1"/>
  <c r="P1319" i="1" s="1"/>
  <c r="L1320" i="1"/>
  <c r="L1321" i="1"/>
  <c r="L1322" i="1"/>
  <c r="L1323" i="1"/>
  <c r="L1324" i="1"/>
  <c r="L1325" i="1"/>
  <c r="L1326" i="1"/>
  <c r="L1327" i="1"/>
  <c r="L1328" i="1"/>
  <c r="P1328" i="1" s="1"/>
  <c r="L1329" i="1"/>
  <c r="L1330" i="1"/>
  <c r="L1331" i="1"/>
  <c r="L1332" i="1"/>
  <c r="L1333" i="1"/>
  <c r="P1333" i="1" s="1"/>
  <c r="L1334" i="1"/>
  <c r="P1334" i="1" s="1"/>
  <c r="L1335" i="1"/>
  <c r="P1335" i="1" s="1"/>
  <c r="L1336" i="1"/>
  <c r="L1337" i="1"/>
  <c r="L1338" i="1"/>
  <c r="L1339" i="1"/>
  <c r="L1340" i="1"/>
  <c r="L1341" i="1"/>
  <c r="L1342" i="1"/>
  <c r="L1343" i="1"/>
  <c r="L1344" i="1"/>
  <c r="P1344" i="1" s="1"/>
  <c r="L1345" i="1"/>
  <c r="L1346" i="1"/>
  <c r="L1347" i="1"/>
  <c r="L1348" i="1"/>
  <c r="L1349" i="1"/>
  <c r="P1349" i="1" s="1"/>
  <c r="L1350" i="1"/>
  <c r="P1350" i="1" s="1"/>
  <c r="L1351" i="1"/>
  <c r="P1351" i="1" s="1"/>
  <c r="L1352" i="1"/>
  <c r="L1353" i="1"/>
  <c r="L1354" i="1"/>
  <c r="L1363" i="1"/>
  <c r="L1364" i="1"/>
  <c r="L1365" i="1"/>
  <c r="L1366" i="1"/>
  <c r="L1367" i="1"/>
  <c r="L1368" i="1"/>
  <c r="P1368" i="1" s="1"/>
  <c r="L1369" i="1"/>
  <c r="L1370" i="1"/>
  <c r="L1371" i="1"/>
  <c r="L1372" i="1"/>
  <c r="L1373" i="1"/>
  <c r="P1373" i="1" s="1"/>
  <c r="L1374" i="1"/>
  <c r="P1374" i="1" s="1"/>
  <c r="L1375" i="1"/>
  <c r="P1375" i="1" s="1"/>
  <c r="L1376" i="1"/>
  <c r="L1377" i="1"/>
  <c r="L1378" i="1"/>
  <c r="L1379" i="1"/>
  <c r="L1380" i="1"/>
  <c r="L1381" i="1"/>
  <c r="L1382" i="1"/>
  <c r="L1383" i="1"/>
  <c r="L1384" i="1"/>
  <c r="P1384" i="1" s="1"/>
  <c r="L1385" i="1"/>
  <c r="L1386" i="1"/>
  <c r="L1387" i="1"/>
  <c r="L1388" i="1"/>
  <c r="L1389" i="1"/>
  <c r="P1389" i="1" s="1"/>
  <c r="L1390" i="1"/>
  <c r="P1390" i="1" s="1"/>
  <c r="L1391" i="1"/>
  <c r="P1391" i="1" s="1"/>
  <c r="L1392" i="1"/>
  <c r="L1393" i="1"/>
  <c r="L1394" i="1"/>
  <c r="L1395" i="1"/>
  <c r="L1396" i="1"/>
  <c r="L1397" i="1"/>
  <c r="L1398" i="1"/>
  <c r="L1399" i="1"/>
  <c r="L1400" i="1"/>
  <c r="P1400" i="1" s="1"/>
  <c r="L1401" i="1"/>
  <c r="L1402" i="1"/>
  <c r="L1403" i="1"/>
  <c r="L1404" i="1"/>
  <c r="L1405" i="1"/>
  <c r="P1405" i="1" s="1"/>
  <c r="L1406" i="1"/>
  <c r="P1406" i="1" s="1"/>
  <c r="L1407" i="1"/>
  <c r="P1407" i="1" s="1"/>
  <c r="L1408" i="1"/>
  <c r="L1409" i="1"/>
  <c r="L1410" i="1"/>
  <c r="L1411" i="1"/>
  <c r="L1412" i="1"/>
  <c r="L1413" i="1"/>
  <c r="L1414" i="1"/>
  <c r="L1415" i="1"/>
  <c r="L1416" i="1"/>
  <c r="P1416" i="1" s="1"/>
  <c r="L1417" i="1"/>
  <c r="L1418" i="1"/>
  <c r="L1419" i="1"/>
  <c r="L1420" i="1"/>
  <c r="L1421" i="1"/>
  <c r="P1421" i="1" s="1"/>
  <c r="L1422" i="1"/>
  <c r="P1422" i="1" s="1"/>
  <c r="L1423" i="1"/>
  <c r="P1423" i="1" s="1"/>
  <c r="L1424" i="1"/>
  <c r="L1425" i="1"/>
  <c r="L1426" i="1"/>
  <c r="L1427" i="1"/>
  <c r="L1428" i="1"/>
  <c r="L1429" i="1"/>
  <c r="L1430" i="1"/>
  <c r="L1431" i="1"/>
  <c r="L1432" i="1"/>
  <c r="P1432" i="1" s="1"/>
  <c r="L1433" i="1"/>
  <c r="L1434" i="1"/>
  <c r="L1435" i="1"/>
  <c r="P1435" i="1" s="1"/>
  <c r="L1436" i="1"/>
  <c r="L1437" i="1"/>
  <c r="P1437" i="1" s="1"/>
  <c r="L1438" i="1"/>
  <c r="P1438" i="1" s="1"/>
  <c r="L1439" i="1"/>
  <c r="P1439" i="1" s="1"/>
  <c r="L1440" i="1"/>
  <c r="L1441" i="1"/>
  <c r="L1442" i="1"/>
  <c r="L1443" i="1"/>
  <c r="P1443" i="1" s="1"/>
  <c r="L1444" i="1"/>
  <c r="L1445" i="1"/>
  <c r="L1446" i="1"/>
  <c r="L1447" i="1"/>
  <c r="P1447" i="1" s="1"/>
  <c r="L1448" i="1"/>
  <c r="P1448" i="1" s="1"/>
  <c r="L1449" i="1"/>
  <c r="L1450" i="1"/>
  <c r="L1451" i="1"/>
  <c r="L1452" i="1"/>
  <c r="L1453" i="1"/>
  <c r="P1453" i="1" s="1"/>
  <c r="L1454" i="1"/>
  <c r="P1454" i="1" s="1"/>
  <c r="L1455" i="1"/>
  <c r="P1455" i="1" s="1"/>
  <c r="L1456" i="1"/>
  <c r="L1457" i="1"/>
  <c r="L1458" i="1"/>
  <c r="L1459" i="1"/>
  <c r="L1460" i="1"/>
  <c r="L1461" i="1"/>
  <c r="L1462" i="1"/>
  <c r="L1463" i="1"/>
  <c r="P1463" i="1" s="1"/>
  <c r="L1464" i="1"/>
  <c r="P1464" i="1" s="1"/>
  <c r="L1465" i="1"/>
  <c r="L1466" i="1"/>
  <c r="P1466" i="1" s="1"/>
  <c r="L1467" i="1"/>
  <c r="L1468" i="1"/>
  <c r="L1469" i="1"/>
  <c r="P1469" i="1" s="1"/>
  <c r="L1470" i="1"/>
  <c r="P1470" i="1" s="1"/>
  <c r="L1471" i="1"/>
  <c r="P1471" i="1" s="1"/>
  <c r="L1472" i="1"/>
  <c r="L1473" i="1"/>
  <c r="L1474" i="1"/>
  <c r="P1474" i="1" s="1"/>
  <c r="L1475" i="1"/>
  <c r="L1476" i="1"/>
  <c r="L1477" i="1"/>
  <c r="L1478" i="1"/>
  <c r="P1478" i="1" s="1"/>
  <c r="L1479" i="1"/>
  <c r="L1480" i="1"/>
  <c r="P1480" i="1" s="1"/>
  <c r="L1481" i="1"/>
  <c r="L1482" i="1"/>
  <c r="L1483" i="1"/>
  <c r="P1483" i="1" s="1"/>
  <c r="L1484" i="1"/>
  <c r="L1485" i="1"/>
  <c r="P1485" i="1" s="1"/>
  <c r="L1486" i="1"/>
  <c r="P1486" i="1" s="1"/>
  <c r="L1487" i="1"/>
  <c r="P1487" i="1" s="1"/>
  <c r="L1488" i="1"/>
  <c r="P1488" i="1" s="1"/>
  <c r="L1489" i="1"/>
  <c r="L1490" i="1"/>
  <c r="L1491" i="1"/>
  <c r="L1492" i="1"/>
  <c r="L1493" i="1"/>
  <c r="L1494" i="1"/>
  <c r="L1495" i="1"/>
  <c r="L1496" i="1"/>
  <c r="P1496" i="1" s="1"/>
  <c r="L1497" i="1"/>
  <c r="L1498" i="1"/>
  <c r="L1499" i="1"/>
  <c r="P1499" i="1" s="1"/>
  <c r="L1500" i="1"/>
  <c r="L1501" i="1"/>
  <c r="P1501" i="1" s="1"/>
  <c r="L1502" i="1"/>
  <c r="P1502" i="1" s="1"/>
  <c r="L1503" i="1"/>
  <c r="P1503" i="1" s="1"/>
  <c r="L1504" i="1"/>
  <c r="P1504" i="1" s="1"/>
  <c r="L1505" i="1"/>
  <c r="L1506" i="1"/>
  <c r="L1507" i="1"/>
  <c r="P1507" i="1" s="1"/>
  <c r="L1508" i="1"/>
  <c r="L1509" i="1"/>
  <c r="L1510" i="1"/>
  <c r="L1511" i="1"/>
  <c r="P1511" i="1" s="1"/>
  <c r="L1512" i="1"/>
  <c r="P1512" i="1" s="1"/>
  <c r="L1513" i="1"/>
  <c r="L1514" i="1"/>
  <c r="P1514" i="1" s="1"/>
  <c r="L1515" i="1"/>
  <c r="L1516" i="1"/>
  <c r="P1516" i="1" s="1"/>
  <c r="L1517" i="1"/>
  <c r="P1517" i="1" s="1"/>
  <c r="L1518" i="1"/>
  <c r="P1518" i="1" s="1"/>
  <c r="L1519" i="1"/>
  <c r="P1519" i="1" s="1"/>
  <c r="L1520" i="1"/>
  <c r="P1520" i="1" s="1"/>
  <c r="L1521" i="1"/>
  <c r="L1522" i="1"/>
  <c r="P1522" i="1" s="1"/>
  <c r="L1523" i="1"/>
  <c r="P1523" i="1" s="1"/>
  <c r="L1524" i="1"/>
  <c r="L1525" i="1"/>
  <c r="L1526" i="1"/>
  <c r="P1526" i="1" s="1"/>
  <c r="L1527" i="1"/>
  <c r="P1527" i="1" s="1"/>
  <c r="L1528" i="1"/>
  <c r="P1528" i="1" s="1"/>
  <c r="L1529" i="1"/>
  <c r="L1530" i="1"/>
  <c r="L1531" i="1"/>
  <c r="L1532" i="1"/>
  <c r="L1533" i="1"/>
  <c r="P1533" i="1" s="1"/>
  <c r="L1534" i="1"/>
  <c r="P1534" i="1" s="1"/>
  <c r="L1535" i="1"/>
  <c r="P1535" i="1" s="1"/>
  <c r="L1536" i="1"/>
  <c r="P1536" i="1" s="1"/>
  <c r="L1537" i="1"/>
  <c r="L1538" i="1"/>
  <c r="P1538" i="1" s="1"/>
  <c r="L1542" i="1"/>
  <c r="L1543" i="1"/>
  <c r="L1544" i="1"/>
  <c r="L1545" i="1"/>
  <c r="P1545" i="1" s="1"/>
  <c r="L1546" i="1"/>
  <c r="L1547" i="1"/>
  <c r="P1547" i="1" s="1"/>
  <c r="L1548" i="1"/>
  <c r="P1548" i="1" s="1"/>
  <c r="L1549" i="1"/>
  <c r="P1549" i="1" s="1"/>
  <c r="L1550" i="1"/>
  <c r="L1551" i="1"/>
  <c r="P1551" i="1" s="1"/>
  <c r="L1552" i="1"/>
  <c r="P1552" i="1" s="1"/>
  <c r="L1553" i="1"/>
  <c r="P1553" i="1" s="1"/>
  <c r="L1554" i="1"/>
  <c r="P1554" i="1" s="1"/>
  <c r="L1555" i="1"/>
  <c r="P1555" i="1" s="1"/>
  <c r="L1556" i="1"/>
  <c r="L1557" i="1"/>
  <c r="P1557" i="1" s="1"/>
  <c r="L1558" i="1"/>
  <c r="L1559" i="1"/>
  <c r="L1560" i="1"/>
  <c r="L1561" i="1"/>
  <c r="P1561" i="1" s="1"/>
  <c r="L1562" i="1"/>
  <c r="P1562" i="1" s="1"/>
  <c r="L1563" i="1"/>
  <c r="P1563" i="1" s="1"/>
  <c r="L7" i="1"/>
  <c r="P7" i="1" s="1"/>
  <c r="L6" i="1"/>
  <c r="P6" i="1" s="1"/>
  <c r="P1532" i="1"/>
  <c r="P1529" i="1"/>
  <c r="P1513" i="1"/>
  <c r="P1500" i="1"/>
  <c r="P1497" i="1"/>
  <c r="P1484" i="1"/>
  <c r="P1481" i="1"/>
  <c r="P1468" i="1"/>
  <c r="P1465" i="1"/>
  <c r="P1452" i="1"/>
  <c r="P1449" i="1"/>
  <c r="P1436" i="1"/>
  <c r="P1433" i="1"/>
  <c r="P1420" i="1"/>
  <c r="P1417" i="1"/>
  <c r="P1401" i="1"/>
  <c r="P1388" i="1"/>
  <c r="P1385" i="1"/>
  <c r="P1372" i="1"/>
  <c r="P1369" i="1"/>
  <c r="P1348" i="1"/>
  <c r="P1345" i="1"/>
  <c r="P1332" i="1"/>
  <c r="P1329" i="1"/>
  <c r="P1316" i="1"/>
  <c r="P1313" i="1"/>
  <c r="P1300" i="1"/>
  <c r="P1297" i="1"/>
  <c r="P1284" i="1"/>
  <c r="P1281" i="1"/>
  <c r="P1268" i="1"/>
  <c r="P1261" i="1"/>
  <c r="P1248" i="1"/>
  <c r="P1245" i="1"/>
  <c r="P1232" i="1"/>
  <c r="P1229" i="1"/>
  <c r="P1216" i="1"/>
  <c r="P1213" i="1"/>
  <c r="P1198" i="1"/>
  <c r="P1195" i="1"/>
  <c r="P1159" i="1"/>
  <c r="P1156" i="1"/>
  <c r="P1143" i="1"/>
  <c r="P1140" i="1"/>
  <c r="P1127" i="1"/>
  <c r="P1124" i="1"/>
  <c r="P1108" i="1"/>
  <c r="P1095" i="1"/>
  <c r="P1092" i="1"/>
  <c r="P1079" i="1"/>
  <c r="P1076" i="1"/>
  <c r="P1063" i="1"/>
  <c r="P1060" i="1"/>
  <c r="P1047" i="1"/>
  <c r="P1044" i="1"/>
  <c r="P1031" i="1"/>
  <c r="P1028" i="1"/>
  <c r="P1013" i="1"/>
  <c r="P1010" i="1"/>
  <c r="P997" i="1"/>
  <c r="P994" i="1"/>
  <c r="P979" i="1"/>
  <c r="P976" i="1"/>
  <c r="P963" i="1"/>
  <c r="P960" i="1"/>
  <c r="P947" i="1"/>
  <c r="P944" i="1"/>
  <c r="P920" i="1"/>
  <c r="P917" i="1"/>
  <c r="P904" i="1"/>
  <c r="P901" i="1"/>
  <c r="P888" i="1"/>
  <c r="P885" i="1"/>
  <c r="P872" i="1"/>
  <c r="P869" i="1"/>
  <c r="P856" i="1"/>
  <c r="P853" i="1"/>
  <c r="P809" i="1"/>
  <c r="P796" i="1"/>
  <c r="P793" i="1"/>
  <c r="P780" i="1"/>
  <c r="P777" i="1"/>
  <c r="P764" i="1"/>
  <c r="P761" i="1"/>
  <c r="P748" i="1"/>
  <c r="P745" i="1"/>
  <c r="P732" i="1"/>
  <c r="P729" i="1"/>
  <c r="P715" i="1"/>
  <c r="P712" i="1"/>
  <c r="P699" i="1"/>
  <c r="P696" i="1"/>
  <c r="P683" i="1"/>
  <c r="P680" i="1"/>
  <c r="P667" i="1"/>
  <c r="P664" i="1"/>
  <c r="P651" i="1"/>
  <c r="P648" i="1"/>
  <c r="P633" i="1"/>
  <c r="P630" i="1"/>
  <c r="P617" i="1"/>
  <c r="P614" i="1"/>
  <c r="P601" i="1"/>
  <c r="P598" i="1"/>
  <c r="P585" i="1"/>
  <c r="P582" i="1"/>
  <c r="P569" i="1"/>
  <c r="P566" i="1"/>
  <c r="P551" i="1"/>
  <c r="P550" i="1"/>
  <c r="P528" i="1"/>
  <c r="P526" i="1"/>
  <c r="P525" i="1"/>
  <c r="P512" i="1"/>
  <c r="P510" i="1"/>
  <c r="P509" i="1"/>
  <c r="P496" i="1"/>
  <c r="P494" i="1"/>
  <c r="P493" i="1"/>
  <c r="P480" i="1"/>
  <c r="P478" i="1"/>
  <c r="P477" i="1"/>
  <c r="P457" i="1"/>
  <c r="P455" i="1"/>
  <c r="P454" i="1"/>
  <c r="P441" i="1"/>
  <c r="P439" i="1"/>
  <c r="P438" i="1"/>
  <c r="P415" i="1"/>
  <c r="P413" i="1"/>
  <c r="P409" i="1"/>
  <c r="P396" i="1"/>
  <c r="P394" i="1"/>
  <c r="P393" i="1"/>
  <c r="P380" i="1"/>
  <c r="P378" i="1"/>
  <c r="P377" i="1"/>
  <c r="P364" i="1"/>
  <c r="P362" i="1"/>
  <c r="P361" i="1"/>
  <c r="P348" i="1"/>
  <c r="P346" i="1"/>
  <c r="P345" i="1"/>
  <c r="P332" i="1"/>
  <c r="P330" i="1"/>
  <c r="P329" i="1"/>
  <c r="P316" i="1"/>
  <c r="P314" i="1"/>
  <c r="P313" i="1"/>
  <c r="P300" i="1"/>
  <c r="P298" i="1"/>
  <c r="P297" i="1"/>
  <c r="P284" i="1"/>
  <c r="P282" i="1"/>
  <c r="P281" i="1"/>
  <c r="P268" i="1"/>
  <c r="P266" i="1"/>
  <c r="P265" i="1"/>
  <c r="P250" i="1"/>
  <c r="P249" i="1"/>
  <c r="P234" i="1"/>
  <c r="P233" i="1"/>
  <c r="P228" i="1"/>
  <c r="P218" i="1"/>
  <c r="P217" i="1"/>
  <c r="P212" i="1"/>
  <c r="P199" i="1"/>
  <c r="P198" i="1"/>
  <c r="P193" i="1"/>
  <c r="P188" i="1"/>
  <c r="P183" i="1"/>
  <c r="P182" i="1"/>
  <c r="P177" i="1"/>
  <c r="P172" i="1"/>
  <c r="P166" i="1"/>
  <c r="P161" i="1"/>
  <c r="P156" i="1"/>
  <c r="P151" i="1"/>
  <c r="P150" i="1"/>
  <c r="P145" i="1"/>
  <c r="P140" i="1"/>
  <c r="P135" i="1"/>
  <c r="P134" i="1"/>
  <c r="P129" i="1"/>
  <c r="P124" i="1"/>
  <c r="P119" i="1"/>
  <c r="P118" i="1"/>
  <c r="P113" i="1"/>
  <c r="P97" i="1"/>
  <c r="P96" i="1"/>
  <c r="P91" i="1"/>
  <c r="P90" i="1"/>
  <c r="P86" i="1"/>
  <c r="P81" i="1"/>
  <c r="P80" i="1"/>
  <c r="P75" i="1"/>
  <c r="P70" i="1"/>
  <c r="P67" i="1"/>
  <c r="P65" i="1"/>
  <c r="P64" i="1"/>
  <c r="P60" i="1"/>
  <c r="P54" i="1"/>
  <c r="P42" i="1"/>
  <c r="P41" i="1"/>
  <c r="P37" i="1"/>
  <c r="O24" i="3"/>
  <c r="O23" i="3"/>
  <c r="O22" i="3"/>
  <c r="O21" i="3"/>
  <c r="O20" i="3"/>
  <c r="P10" i="1"/>
  <c r="P9" i="1"/>
  <c r="P8" i="1"/>
  <c r="P5" i="1"/>
  <c r="Q1570" i="1"/>
  <c r="Q1569" i="1"/>
  <c r="Q1568" i="1"/>
  <c r="Q1567" i="1"/>
  <c r="Q1566" i="1"/>
  <c r="Q1565" i="1"/>
  <c r="Q1564" i="1"/>
  <c r="Q1541" i="1"/>
  <c r="Q1540" i="1"/>
  <c r="Q1358" i="1"/>
  <c r="Q1357" i="1"/>
  <c r="Q1189" i="1"/>
  <c r="Q1190" i="1"/>
  <c r="Q1188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71" i="1"/>
  <c r="Q987" i="1"/>
  <c r="Q848" i="1"/>
  <c r="Q939" i="1"/>
  <c r="Q836" i="1"/>
  <c r="Q837" i="1"/>
  <c r="Q838" i="1"/>
  <c r="Q839" i="1"/>
  <c r="Q840" i="1"/>
  <c r="Q841" i="1"/>
  <c r="Q842" i="1"/>
  <c r="Q843" i="1"/>
  <c r="Q835" i="1"/>
  <c r="Q827" i="1"/>
  <c r="Q826" i="1"/>
  <c r="Q825" i="1"/>
  <c r="Q824" i="1"/>
  <c r="Q823" i="1"/>
  <c r="Q811" i="1"/>
  <c r="Q810" i="1"/>
  <c r="Q725" i="1"/>
  <c r="Q635" i="1"/>
  <c r="Q634" i="1"/>
  <c r="Q549" i="1"/>
  <c r="Q548" i="1"/>
  <c r="Q547" i="1"/>
  <c r="M1570" i="1"/>
  <c r="M1569" i="1"/>
  <c r="R1569" i="1" s="1"/>
  <c r="M1568" i="1"/>
  <c r="M1567" i="1"/>
  <c r="M1566" i="1"/>
  <c r="M1565" i="1"/>
  <c r="M1564" i="1"/>
  <c r="M1541" i="1"/>
  <c r="M1540" i="1"/>
  <c r="M1358" i="1"/>
  <c r="M1357" i="1"/>
  <c r="M1190" i="1"/>
  <c r="R1190" i="1" s="1"/>
  <c r="M1189" i="1"/>
  <c r="M1188" i="1"/>
  <c r="M1172" i="1"/>
  <c r="M1173" i="1"/>
  <c r="M1174" i="1"/>
  <c r="M1175" i="1"/>
  <c r="R1175" i="1" s="1"/>
  <c r="M1176" i="1"/>
  <c r="M1177" i="1"/>
  <c r="M1178" i="1"/>
  <c r="M1179" i="1"/>
  <c r="M1180" i="1"/>
  <c r="M1181" i="1"/>
  <c r="M1182" i="1"/>
  <c r="M1183" i="1"/>
  <c r="M1184" i="1"/>
  <c r="M1171" i="1"/>
  <c r="M987" i="1"/>
  <c r="M939" i="1"/>
  <c r="M848" i="1"/>
  <c r="M836" i="1"/>
  <c r="M837" i="1"/>
  <c r="M838" i="1"/>
  <c r="M839" i="1"/>
  <c r="M840" i="1"/>
  <c r="M841" i="1"/>
  <c r="M842" i="1"/>
  <c r="M843" i="1"/>
  <c r="M835" i="1"/>
  <c r="M827" i="1"/>
  <c r="M826" i="1"/>
  <c r="M825" i="1"/>
  <c r="M824" i="1"/>
  <c r="M823" i="1"/>
  <c r="M811" i="1"/>
  <c r="M810" i="1"/>
  <c r="M725" i="1"/>
  <c r="M635" i="1"/>
  <c r="M634" i="1"/>
  <c r="R634" i="1" s="1"/>
  <c r="M549" i="1"/>
  <c r="M548" i="1"/>
  <c r="M547" i="1"/>
  <c r="M546" i="1"/>
  <c r="M545" i="1"/>
  <c r="M544" i="1"/>
  <c r="M543" i="1"/>
  <c r="M542" i="1"/>
  <c r="M541" i="1"/>
  <c r="M470" i="1"/>
  <c r="M469" i="1"/>
  <c r="M468" i="1"/>
  <c r="M467" i="1"/>
  <c r="M466" i="1"/>
  <c r="M465" i="1"/>
  <c r="M464" i="1"/>
  <c r="M430" i="1"/>
  <c r="M429" i="1"/>
  <c r="M428" i="1"/>
  <c r="M427" i="1"/>
  <c r="M426" i="1"/>
  <c r="M425" i="1"/>
  <c r="M424" i="1"/>
  <c r="M423" i="1"/>
  <c r="M422" i="1"/>
  <c r="M421" i="1"/>
  <c r="M412" i="1"/>
  <c r="M411" i="1"/>
  <c r="M410" i="1"/>
  <c r="M209" i="1"/>
  <c r="M208" i="1"/>
  <c r="M207" i="1"/>
  <c r="M109" i="1"/>
  <c r="M108" i="1"/>
  <c r="M107" i="1"/>
  <c r="M106" i="1"/>
  <c r="M105" i="1"/>
  <c r="M104" i="1"/>
  <c r="M50" i="1"/>
  <c r="M49" i="1"/>
  <c r="M48" i="1"/>
  <c r="M47" i="1"/>
  <c r="M46" i="1"/>
  <c r="M45" i="1"/>
  <c r="M44" i="1"/>
  <c r="M31" i="1"/>
  <c r="M30" i="1"/>
  <c r="M29" i="1"/>
  <c r="M28" i="1"/>
  <c r="M27" i="1"/>
  <c r="M26" i="1"/>
  <c r="M25" i="1"/>
  <c r="M24" i="1"/>
  <c r="M23" i="1"/>
  <c r="M22" i="1"/>
  <c r="M21" i="1"/>
  <c r="I1585" i="1"/>
  <c r="I1577" i="1"/>
  <c r="L14" i="1"/>
  <c r="Q14" i="1" s="1"/>
  <c r="L19" i="1"/>
  <c r="Q19" i="1" s="1"/>
  <c r="L21" i="1"/>
  <c r="Q21" i="1" s="1"/>
  <c r="L22" i="1"/>
  <c r="Q22" i="1" s="1"/>
  <c r="L23" i="1"/>
  <c r="Q23" i="1" s="1"/>
  <c r="L24" i="1"/>
  <c r="Q24" i="1" s="1"/>
  <c r="L25" i="1"/>
  <c r="Q25" i="1" s="1"/>
  <c r="L26" i="1"/>
  <c r="Q26" i="1" s="1"/>
  <c r="L27" i="1"/>
  <c r="Q27" i="1" s="1"/>
  <c r="L28" i="1"/>
  <c r="Q28" i="1" s="1"/>
  <c r="L29" i="1"/>
  <c r="Q29" i="1" s="1"/>
  <c r="L30" i="1"/>
  <c r="Q30" i="1" s="1"/>
  <c r="L31" i="1"/>
  <c r="Q31" i="1" s="1"/>
  <c r="L44" i="1"/>
  <c r="Q44" i="1" s="1"/>
  <c r="L45" i="1"/>
  <c r="Q45" i="1" s="1"/>
  <c r="L46" i="1"/>
  <c r="Q46" i="1" s="1"/>
  <c r="L47" i="1"/>
  <c r="Q47" i="1" s="1"/>
  <c r="P32" i="1"/>
  <c r="P33" i="1"/>
  <c r="P34" i="1"/>
  <c r="P35" i="1"/>
  <c r="P36" i="1"/>
  <c r="P38" i="1"/>
  <c r="P39" i="1"/>
  <c r="P40" i="1"/>
  <c r="P43" i="1"/>
  <c r="P56" i="1"/>
  <c r="P57" i="1"/>
  <c r="P58" i="1"/>
  <c r="P59" i="1"/>
  <c r="P61" i="1"/>
  <c r="L48" i="1"/>
  <c r="Q48" i="1" s="1"/>
  <c r="L49" i="1"/>
  <c r="Q49" i="1" s="1"/>
  <c r="L50" i="1"/>
  <c r="Q50" i="1" s="1"/>
  <c r="L104" i="1"/>
  <c r="Q104" i="1" s="1"/>
  <c r="L105" i="1"/>
  <c r="Q105" i="1" s="1"/>
  <c r="L207" i="1"/>
  <c r="Q207" i="1" s="1"/>
  <c r="L109" i="1"/>
  <c r="Q109" i="1" s="1"/>
  <c r="P62" i="1"/>
  <c r="P63" i="1"/>
  <c r="P66" i="1"/>
  <c r="P72" i="1"/>
  <c r="P73" i="1"/>
  <c r="P74" i="1"/>
  <c r="P76" i="1"/>
  <c r="P77" i="1"/>
  <c r="P78" i="1"/>
  <c r="P79" i="1"/>
  <c r="P82" i="1"/>
  <c r="P87" i="1"/>
  <c r="P88" i="1"/>
  <c r="P89" i="1"/>
  <c r="P92" i="1"/>
  <c r="P93" i="1"/>
  <c r="P94" i="1"/>
  <c r="P95" i="1"/>
  <c r="P98" i="1"/>
  <c r="P102" i="1"/>
  <c r="P110" i="1"/>
  <c r="P111" i="1"/>
  <c r="P112" i="1"/>
  <c r="P114" i="1"/>
  <c r="P115" i="1"/>
  <c r="P116" i="1"/>
  <c r="P117" i="1"/>
  <c r="P120" i="1"/>
  <c r="P126" i="1"/>
  <c r="P127" i="1"/>
  <c r="P128" i="1"/>
  <c r="P130" i="1"/>
  <c r="P131" i="1"/>
  <c r="P132" i="1"/>
  <c r="P133" i="1"/>
  <c r="P136" i="1"/>
  <c r="P142" i="1"/>
  <c r="P143" i="1"/>
  <c r="P144" i="1"/>
  <c r="P146" i="1"/>
  <c r="P147" i="1"/>
  <c r="P148" i="1"/>
  <c r="P149" i="1"/>
  <c r="P152" i="1"/>
  <c r="P158" i="1"/>
  <c r="L107" i="1"/>
  <c r="Q107" i="1" s="1"/>
  <c r="L106" i="1"/>
  <c r="Q106" i="1" s="1"/>
  <c r="L108" i="1"/>
  <c r="Q108" i="1" s="1"/>
  <c r="L208" i="1"/>
  <c r="Q208" i="1" s="1"/>
  <c r="L209" i="1"/>
  <c r="Q209" i="1" s="1"/>
  <c r="P159" i="1"/>
  <c r="P160" i="1"/>
  <c r="P162" i="1"/>
  <c r="P163" i="1"/>
  <c r="P164" i="1"/>
  <c r="P165" i="1"/>
  <c r="P167" i="1"/>
  <c r="P168" i="1"/>
  <c r="P174" i="1"/>
  <c r="P175" i="1"/>
  <c r="P176" i="1"/>
  <c r="P178" i="1"/>
  <c r="P179" i="1"/>
  <c r="P180" i="1"/>
  <c r="P181" i="1"/>
  <c r="P184" i="1"/>
  <c r="P190" i="1"/>
  <c r="P191" i="1"/>
  <c r="P192" i="1"/>
  <c r="P194" i="1"/>
  <c r="P195" i="1"/>
  <c r="P196" i="1"/>
  <c r="P197" i="1"/>
  <c r="P200" i="1"/>
  <c r="P204" i="1"/>
  <c r="P206" i="1"/>
  <c r="P210" i="1"/>
  <c r="P211" i="1"/>
  <c r="P213" i="1"/>
  <c r="P214" i="1"/>
  <c r="P215" i="1"/>
  <c r="P216" i="1"/>
  <c r="P219" i="1"/>
  <c r="P221" i="1"/>
  <c r="P222" i="1"/>
  <c r="P223" i="1"/>
  <c r="P225" i="1"/>
  <c r="P226" i="1"/>
  <c r="P227" i="1"/>
  <c r="P229" i="1"/>
  <c r="P230" i="1"/>
  <c r="P231" i="1"/>
  <c r="P232" i="1"/>
  <c r="P235" i="1"/>
  <c r="P239" i="1"/>
  <c r="P241" i="1"/>
  <c r="P242" i="1"/>
  <c r="P243" i="1"/>
  <c r="P244" i="1"/>
  <c r="P245" i="1"/>
  <c r="P246" i="1"/>
  <c r="P247" i="1"/>
  <c r="P248" i="1"/>
  <c r="P251" i="1"/>
  <c r="P255" i="1"/>
  <c r="P257" i="1"/>
  <c r="P258" i="1"/>
  <c r="P259" i="1"/>
  <c r="P260" i="1"/>
  <c r="P261" i="1"/>
  <c r="P262" i="1"/>
  <c r="P263" i="1"/>
  <c r="P264" i="1"/>
  <c r="P267" i="1"/>
  <c r="P272" i="1"/>
  <c r="P274" i="1"/>
  <c r="P275" i="1"/>
  <c r="P276" i="1"/>
  <c r="P277" i="1"/>
  <c r="P278" i="1"/>
  <c r="P279" i="1"/>
  <c r="P280" i="1"/>
  <c r="P283" i="1"/>
  <c r="P287" i="1"/>
  <c r="P288" i="1"/>
  <c r="P290" i="1"/>
  <c r="P291" i="1"/>
  <c r="P292" i="1"/>
  <c r="P293" i="1"/>
  <c r="P294" i="1"/>
  <c r="P295" i="1"/>
  <c r="P296" i="1"/>
  <c r="P299" i="1"/>
  <c r="P304" i="1"/>
  <c r="P306" i="1"/>
  <c r="P307" i="1"/>
  <c r="P308" i="1"/>
  <c r="P309" i="1"/>
  <c r="P310" i="1"/>
  <c r="P311" i="1"/>
  <c r="P312" i="1"/>
  <c r="P315" i="1"/>
  <c r="P320" i="1"/>
  <c r="P322" i="1"/>
  <c r="P323" i="1"/>
  <c r="P324" i="1"/>
  <c r="P325" i="1"/>
  <c r="P326" i="1"/>
  <c r="P327" i="1"/>
  <c r="P328" i="1"/>
  <c r="P331" i="1"/>
  <c r="P336" i="1"/>
  <c r="P338" i="1"/>
  <c r="P339" i="1"/>
  <c r="P340" i="1"/>
  <c r="P341" i="1"/>
  <c r="P342" i="1"/>
  <c r="P343" i="1"/>
  <c r="P344" i="1"/>
  <c r="P347" i="1"/>
  <c r="P350" i="1"/>
  <c r="P351" i="1"/>
  <c r="P352" i="1"/>
  <c r="P354" i="1"/>
  <c r="P355" i="1"/>
  <c r="P356" i="1"/>
  <c r="P357" i="1"/>
  <c r="P358" i="1"/>
  <c r="P359" i="1"/>
  <c r="P360" i="1"/>
  <c r="P363" i="1"/>
  <c r="P368" i="1"/>
  <c r="P370" i="1"/>
  <c r="P371" i="1"/>
  <c r="P372" i="1"/>
  <c r="P373" i="1"/>
  <c r="P374" i="1"/>
  <c r="P375" i="1"/>
  <c r="P376" i="1"/>
  <c r="P379" i="1"/>
  <c r="P384" i="1"/>
  <c r="P386" i="1"/>
  <c r="P387" i="1"/>
  <c r="P388" i="1"/>
  <c r="P389" i="1"/>
  <c r="P390" i="1"/>
  <c r="P391" i="1"/>
  <c r="P392" i="1"/>
  <c r="P395" i="1"/>
  <c r="P400" i="1"/>
  <c r="P402" i="1"/>
  <c r="P403" i="1"/>
  <c r="P404" i="1"/>
  <c r="P405" i="1"/>
  <c r="P406" i="1"/>
  <c r="P407" i="1"/>
  <c r="P408" i="1"/>
  <c r="P414" i="1"/>
  <c r="P418" i="1"/>
  <c r="P419" i="1"/>
  <c r="L410" i="1"/>
  <c r="Q410" i="1" s="1"/>
  <c r="L412" i="1"/>
  <c r="Q412" i="1" s="1"/>
  <c r="L421" i="1"/>
  <c r="Q421" i="1" s="1"/>
  <c r="R421" i="1" s="1"/>
  <c r="L411" i="1"/>
  <c r="Q411" i="1" s="1"/>
  <c r="L422" i="1"/>
  <c r="Q422" i="1" s="1"/>
  <c r="R422" i="1" s="1"/>
  <c r="L424" i="1"/>
  <c r="Q424" i="1" s="1"/>
  <c r="L425" i="1"/>
  <c r="Q425" i="1" s="1"/>
  <c r="L423" i="1"/>
  <c r="Q423" i="1" s="1"/>
  <c r="L430" i="1"/>
  <c r="Q430" i="1" s="1"/>
  <c r="L464" i="1"/>
  <c r="Q464" i="1" s="1"/>
  <c r="L426" i="1"/>
  <c r="Q426" i="1" s="1"/>
  <c r="L427" i="1"/>
  <c r="Q427" i="1" s="1"/>
  <c r="L428" i="1"/>
  <c r="Q428" i="1" s="1"/>
  <c r="P431" i="1"/>
  <c r="P432" i="1"/>
  <c r="P433" i="1"/>
  <c r="P434" i="1"/>
  <c r="P435" i="1"/>
  <c r="P436" i="1"/>
  <c r="P437" i="1"/>
  <c r="P440" i="1"/>
  <c r="L429" i="1"/>
  <c r="Q429" i="1" s="1"/>
  <c r="L466" i="1"/>
  <c r="Q466" i="1" s="1"/>
  <c r="P445" i="1"/>
  <c r="P447" i="1"/>
  <c r="P448" i="1"/>
  <c r="P449" i="1"/>
  <c r="P450" i="1"/>
  <c r="P451" i="1"/>
  <c r="P452" i="1"/>
  <c r="P453" i="1"/>
  <c r="P456" i="1"/>
  <c r="P461" i="1"/>
  <c r="P463" i="1"/>
  <c r="P471" i="1"/>
  <c r="P472" i="1"/>
  <c r="P473" i="1"/>
  <c r="P474" i="1"/>
  <c r="P475" i="1"/>
  <c r="P476" i="1"/>
  <c r="P479" i="1"/>
  <c r="P484" i="1"/>
  <c r="P486" i="1"/>
  <c r="P487" i="1"/>
  <c r="P488" i="1"/>
  <c r="P489" i="1"/>
  <c r="P490" i="1"/>
  <c r="L465" i="1"/>
  <c r="Q465" i="1" s="1"/>
  <c r="L467" i="1"/>
  <c r="Q467" i="1" s="1"/>
  <c r="L468" i="1"/>
  <c r="Q468" i="1" s="1"/>
  <c r="L469" i="1"/>
  <c r="Q469" i="1" s="1"/>
  <c r="L541" i="1"/>
  <c r="Q541" i="1" s="1"/>
  <c r="L470" i="1"/>
  <c r="Q470" i="1" s="1"/>
  <c r="L545" i="1"/>
  <c r="Q545" i="1" s="1"/>
  <c r="L542" i="1"/>
  <c r="Q542" i="1" s="1"/>
  <c r="L543" i="1"/>
  <c r="Q543" i="1" s="1"/>
  <c r="L544" i="1"/>
  <c r="Q544" i="1" s="1"/>
  <c r="L546" i="1"/>
  <c r="Q546" i="1" s="1"/>
  <c r="P491" i="1"/>
  <c r="P492" i="1"/>
  <c r="P495" i="1"/>
  <c r="P500" i="1"/>
  <c r="P502" i="1"/>
  <c r="P503" i="1"/>
  <c r="P505" i="1"/>
  <c r="P507" i="1"/>
  <c r="P508" i="1"/>
  <c r="P516" i="1"/>
  <c r="P518" i="1"/>
  <c r="P519" i="1"/>
  <c r="P521" i="1"/>
  <c r="P522" i="1"/>
  <c r="P524" i="1"/>
  <c r="P532" i="1"/>
  <c r="P534" i="1"/>
  <c r="P535" i="1"/>
  <c r="P537" i="1"/>
  <c r="P538" i="1"/>
  <c r="P540" i="1"/>
  <c r="P552" i="1"/>
  <c r="P553" i="1"/>
  <c r="P557" i="1"/>
  <c r="P558" i="1"/>
  <c r="P559" i="1"/>
  <c r="P560" i="1"/>
  <c r="P561" i="1"/>
  <c r="P562" i="1"/>
  <c r="P563" i="1"/>
  <c r="P564" i="1"/>
  <c r="P567" i="1"/>
  <c r="P568" i="1"/>
  <c r="P572" i="1"/>
  <c r="P573" i="1"/>
  <c r="P574" i="1"/>
  <c r="P575" i="1"/>
  <c r="P576" i="1"/>
  <c r="P577" i="1"/>
  <c r="P578" i="1"/>
  <c r="P579" i="1"/>
  <c r="P580" i="1"/>
  <c r="P581" i="1"/>
  <c r="P583" i="1"/>
  <c r="P584" i="1"/>
  <c r="P589" i="1"/>
  <c r="P590" i="1"/>
  <c r="P591" i="1"/>
  <c r="P592" i="1"/>
  <c r="P593" i="1"/>
  <c r="P594" i="1"/>
  <c r="P595" i="1"/>
  <c r="P596" i="1"/>
  <c r="P599" i="1"/>
  <c r="P600" i="1"/>
  <c r="P605" i="1"/>
  <c r="P606" i="1"/>
  <c r="P607" i="1"/>
  <c r="P608" i="1"/>
  <c r="P609" i="1"/>
  <c r="P610" i="1"/>
  <c r="P611" i="1"/>
  <c r="P612" i="1"/>
  <c r="P615" i="1"/>
  <c r="P616" i="1"/>
  <c r="P621" i="1"/>
  <c r="P622" i="1"/>
  <c r="P623" i="1"/>
  <c r="P624" i="1"/>
  <c r="P625" i="1"/>
  <c r="P626" i="1"/>
  <c r="P627" i="1"/>
  <c r="P628" i="1"/>
  <c r="P631" i="1"/>
  <c r="P632" i="1"/>
  <c r="P639" i="1"/>
  <c r="P640" i="1"/>
  <c r="P641" i="1"/>
  <c r="P642" i="1"/>
  <c r="P643" i="1"/>
  <c r="P644" i="1"/>
  <c r="P645" i="1"/>
  <c r="P646" i="1"/>
  <c r="P649" i="1"/>
  <c r="P650" i="1"/>
  <c r="P655" i="1"/>
  <c r="P656" i="1"/>
  <c r="P657" i="1"/>
  <c r="P658" i="1"/>
  <c r="P659" i="1"/>
  <c r="P660" i="1"/>
  <c r="P661" i="1"/>
  <c r="P662" i="1"/>
  <c r="P665" i="1"/>
  <c r="P666" i="1"/>
  <c r="P671" i="1"/>
  <c r="P672" i="1"/>
  <c r="P673" i="1"/>
  <c r="P674" i="1"/>
  <c r="P675" i="1"/>
  <c r="P676" i="1"/>
  <c r="P677" i="1"/>
  <c r="P678" i="1"/>
  <c r="P681" i="1"/>
  <c r="P682" i="1"/>
  <c r="P687" i="1"/>
  <c r="P688" i="1"/>
  <c r="P689" i="1"/>
  <c r="P690" i="1"/>
  <c r="P691" i="1"/>
  <c r="P692" i="1"/>
  <c r="P693" i="1"/>
  <c r="P694" i="1"/>
  <c r="P697" i="1"/>
  <c r="P698" i="1"/>
  <c r="P703" i="1"/>
  <c r="P704" i="1"/>
  <c r="P705" i="1"/>
  <c r="P706" i="1"/>
  <c r="P707" i="1"/>
  <c r="P708" i="1"/>
  <c r="P709" i="1"/>
  <c r="P710" i="1"/>
  <c r="P711" i="1"/>
  <c r="P713" i="1"/>
  <c r="P714" i="1"/>
  <c r="P719" i="1"/>
  <c r="P720" i="1"/>
  <c r="P721" i="1"/>
  <c r="P722" i="1"/>
  <c r="P723" i="1"/>
  <c r="P724" i="1"/>
  <c r="P726" i="1"/>
  <c r="P727" i="1"/>
  <c r="P730" i="1"/>
  <c r="P731" i="1"/>
  <c r="P736" i="1"/>
  <c r="P737" i="1"/>
  <c r="P738" i="1"/>
  <c r="P739" i="1"/>
  <c r="P740" i="1"/>
  <c r="P741" i="1"/>
  <c r="P742" i="1"/>
  <c r="P743" i="1"/>
  <c r="P746" i="1"/>
  <c r="P747" i="1"/>
  <c r="P752" i="1"/>
  <c r="P753" i="1"/>
  <c r="P754" i="1"/>
  <c r="P755" i="1"/>
  <c r="P756" i="1"/>
  <c r="P757" i="1"/>
  <c r="P758" i="1"/>
  <c r="P759" i="1"/>
  <c r="P762" i="1"/>
  <c r="P763" i="1"/>
  <c r="P768" i="1"/>
  <c r="P769" i="1"/>
  <c r="P770" i="1"/>
  <c r="P771" i="1"/>
  <c r="P772" i="1"/>
  <c r="P773" i="1"/>
  <c r="P774" i="1"/>
  <c r="P775" i="1"/>
  <c r="P778" i="1"/>
  <c r="P779" i="1"/>
  <c r="P784" i="1"/>
  <c r="P785" i="1"/>
  <c r="P786" i="1"/>
  <c r="P787" i="1"/>
  <c r="P788" i="1"/>
  <c r="P789" i="1"/>
  <c r="P790" i="1"/>
  <c r="P791" i="1"/>
  <c r="P794" i="1"/>
  <c r="P795" i="1"/>
  <c r="P800" i="1"/>
  <c r="P801" i="1"/>
  <c r="P802" i="1"/>
  <c r="P803" i="1"/>
  <c r="P804" i="1"/>
  <c r="P805" i="1"/>
  <c r="P806" i="1"/>
  <c r="P807" i="1"/>
  <c r="P812" i="1"/>
  <c r="P813" i="1"/>
  <c r="P814" i="1"/>
  <c r="P818" i="1"/>
  <c r="P819" i="1"/>
  <c r="P820" i="1"/>
  <c r="P821" i="1"/>
  <c r="P822" i="1"/>
  <c r="P849" i="1"/>
  <c r="P850" i="1"/>
  <c r="P851" i="1"/>
  <c r="P854" i="1"/>
  <c r="P855" i="1"/>
  <c r="P860" i="1"/>
  <c r="P861" i="1"/>
  <c r="P862" i="1"/>
  <c r="P863" i="1"/>
  <c r="P864" i="1"/>
  <c r="P865" i="1"/>
  <c r="P866" i="1"/>
  <c r="P867" i="1"/>
  <c r="P870" i="1"/>
  <c r="P871" i="1"/>
  <c r="P873" i="1"/>
  <c r="P874" i="1"/>
  <c r="P875" i="1"/>
  <c r="P876" i="1"/>
  <c r="P877" i="1"/>
  <c r="P878" i="1"/>
  <c r="P879" i="1"/>
  <c r="P880" i="1"/>
  <c r="P881" i="1"/>
  <c r="P882" i="1"/>
  <c r="P883" i="1"/>
  <c r="P886" i="1"/>
  <c r="P887" i="1"/>
  <c r="P892" i="1"/>
  <c r="P893" i="1"/>
  <c r="P894" i="1"/>
  <c r="P895" i="1"/>
  <c r="P896" i="1"/>
  <c r="P897" i="1"/>
  <c r="P898" i="1"/>
  <c r="P899" i="1"/>
  <c r="P902" i="1"/>
  <c r="P903" i="1"/>
  <c r="P908" i="1"/>
  <c r="P909" i="1"/>
  <c r="P910" i="1"/>
  <c r="P911" i="1"/>
  <c r="P912" i="1"/>
  <c r="P913" i="1"/>
  <c r="P914" i="1"/>
  <c r="P915" i="1"/>
  <c r="P918" i="1"/>
  <c r="P919" i="1"/>
  <c r="P924" i="1"/>
  <c r="P925" i="1"/>
  <c r="P926" i="1"/>
  <c r="P927" i="1"/>
  <c r="P928" i="1"/>
  <c r="P929" i="1"/>
  <c r="P930" i="1"/>
  <c r="P931" i="1"/>
  <c r="P945" i="1"/>
  <c r="P946" i="1"/>
  <c r="P951" i="1"/>
  <c r="P952" i="1"/>
  <c r="P953" i="1"/>
  <c r="P954" i="1"/>
  <c r="P955" i="1"/>
  <c r="P956" i="1"/>
  <c r="P957" i="1"/>
  <c r="P958" i="1"/>
  <c r="P961" i="1"/>
  <c r="P962" i="1"/>
  <c r="P967" i="1"/>
  <c r="P968" i="1"/>
  <c r="P969" i="1"/>
  <c r="P970" i="1"/>
  <c r="P971" i="1"/>
  <c r="P972" i="1"/>
  <c r="P973" i="1"/>
  <c r="P974" i="1"/>
  <c r="P977" i="1"/>
  <c r="P978" i="1"/>
  <c r="P983" i="1"/>
  <c r="P984" i="1"/>
  <c r="P985" i="1"/>
  <c r="P988" i="1"/>
  <c r="P989" i="1"/>
  <c r="P990" i="1"/>
  <c r="P991" i="1"/>
  <c r="P992" i="1"/>
  <c r="P995" i="1"/>
  <c r="P996" i="1"/>
  <c r="P998" i="1"/>
  <c r="P1001" i="1"/>
  <c r="P1002" i="1"/>
  <c r="P1003" i="1"/>
  <c r="P1004" i="1"/>
  <c r="P1005" i="1"/>
  <c r="P1006" i="1"/>
  <c r="P1007" i="1"/>
  <c r="P1008" i="1"/>
  <c r="P1011" i="1"/>
  <c r="P1012" i="1"/>
  <c r="P1019" i="1"/>
  <c r="P1020" i="1"/>
  <c r="P1021" i="1"/>
  <c r="P1022" i="1"/>
  <c r="P1023" i="1"/>
  <c r="P1024" i="1"/>
  <c r="P1025" i="1"/>
  <c r="P1026" i="1"/>
  <c r="P1029" i="1"/>
  <c r="P1030" i="1"/>
  <c r="P1035" i="1"/>
  <c r="P1036" i="1"/>
  <c r="P1037" i="1"/>
  <c r="P1038" i="1"/>
  <c r="P1039" i="1"/>
  <c r="P1040" i="1"/>
  <c r="P1041" i="1"/>
  <c r="P1042" i="1"/>
  <c r="P1045" i="1"/>
  <c r="P1046" i="1"/>
  <c r="P1051" i="1"/>
  <c r="P1052" i="1"/>
  <c r="P1053" i="1"/>
  <c r="P1054" i="1"/>
  <c r="P1055" i="1"/>
  <c r="P1056" i="1"/>
  <c r="P1057" i="1"/>
  <c r="P1058" i="1"/>
  <c r="P1061" i="1"/>
  <c r="P1062" i="1"/>
  <c r="P1067" i="1"/>
  <c r="P1068" i="1"/>
  <c r="P1069" i="1"/>
  <c r="P1070" i="1"/>
  <c r="P1071" i="1"/>
  <c r="P1072" i="1"/>
  <c r="P1073" i="1"/>
  <c r="P1074" i="1"/>
  <c r="P1077" i="1"/>
  <c r="P1078" i="1"/>
  <c r="P1083" i="1"/>
  <c r="P1084" i="1"/>
  <c r="P1085" i="1"/>
  <c r="P1086" i="1"/>
  <c r="P1087" i="1"/>
  <c r="P1088" i="1"/>
  <c r="P1089" i="1"/>
  <c r="P1090" i="1"/>
  <c r="P1093" i="1"/>
  <c r="P1094" i="1"/>
  <c r="P1099" i="1"/>
  <c r="P1100" i="1"/>
  <c r="P1101" i="1"/>
  <c r="P1102" i="1"/>
  <c r="P1103" i="1"/>
  <c r="P1104" i="1"/>
  <c r="P1105" i="1"/>
  <c r="P1106" i="1"/>
  <c r="P1109" i="1"/>
  <c r="P1110" i="1"/>
  <c r="P1111" i="1"/>
  <c r="P1115" i="1"/>
  <c r="P1116" i="1"/>
  <c r="P1117" i="1"/>
  <c r="P1118" i="1"/>
  <c r="P1119" i="1"/>
  <c r="P1120" i="1"/>
  <c r="P1121" i="1"/>
  <c r="P1122" i="1"/>
  <c r="P1125" i="1"/>
  <c r="P1126" i="1"/>
  <c r="P1131" i="1"/>
  <c r="P1132" i="1"/>
  <c r="P1133" i="1"/>
  <c r="P1134" i="1"/>
  <c r="P1135" i="1"/>
  <c r="P1136" i="1"/>
  <c r="P1137" i="1"/>
  <c r="P1138" i="1"/>
  <c r="P1141" i="1"/>
  <c r="P1142" i="1"/>
  <c r="P1147" i="1"/>
  <c r="P1148" i="1"/>
  <c r="P1149" i="1"/>
  <c r="P1150" i="1"/>
  <c r="P1151" i="1"/>
  <c r="P1152" i="1"/>
  <c r="P1153" i="1"/>
  <c r="P1154" i="1"/>
  <c r="P1155" i="1"/>
  <c r="P1157" i="1"/>
  <c r="P1158" i="1"/>
  <c r="P1163" i="1"/>
  <c r="P1164" i="1"/>
  <c r="P1165" i="1"/>
  <c r="P1166" i="1"/>
  <c r="P1167" i="1"/>
  <c r="P1168" i="1"/>
  <c r="P1192" i="1"/>
  <c r="P1193" i="1"/>
  <c r="P1196" i="1"/>
  <c r="P1197" i="1"/>
  <c r="P1202" i="1"/>
  <c r="P1203" i="1"/>
  <c r="P1204" i="1"/>
  <c r="P1207" i="1"/>
  <c r="P1208" i="1"/>
  <c r="P1209" i="1"/>
  <c r="P1210" i="1"/>
  <c r="P1211" i="1"/>
  <c r="P1214" i="1"/>
  <c r="P1215" i="1"/>
  <c r="P1220" i="1"/>
  <c r="P1221" i="1"/>
  <c r="P1222" i="1"/>
  <c r="P1223" i="1"/>
  <c r="P1224" i="1"/>
  <c r="P1225" i="1"/>
  <c r="P1226" i="1"/>
  <c r="P1227" i="1"/>
  <c r="P1230" i="1"/>
  <c r="P1231" i="1"/>
  <c r="P1236" i="1"/>
  <c r="P1237" i="1"/>
  <c r="P1238" i="1"/>
  <c r="P1239" i="1"/>
  <c r="P1240" i="1"/>
  <c r="P1241" i="1"/>
  <c r="P1242" i="1"/>
  <c r="P1243" i="1"/>
  <c r="P1246" i="1"/>
  <c r="P1247" i="1"/>
  <c r="P1252" i="1"/>
  <c r="P1253" i="1"/>
  <c r="P1254" i="1"/>
  <c r="P1255" i="1"/>
  <c r="P1256" i="1"/>
  <c r="P1257" i="1"/>
  <c r="P1258" i="1"/>
  <c r="P1259" i="1"/>
  <c r="P1266" i="1"/>
  <c r="P1267" i="1"/>
  <c r="P1271" i="1"/>
  <c r="P1272" i="1"/>
  <c r="P1273" i="1"/>
  <c r="P1274" i="1"/>
  <c r="P1275" i="1"/>
  <c r="P1276" i="1"/>
  <c r="P1277" i="1"/>
  <c r="P1278" i="1"/>
  <c r="P1279" i="1"/>
  <c r="P1282" i="1"/>
  <c r="P1283" i="1"/>
  <c r="P1288" i="1"/>
  <c r="P1289" i="1"/>
  <c r="P1290" i="1"/>
  <c r="P1291" i="1"/>
  <c r="P1292" i="1"/>
  <c r="P1293" i="1"/>
  <c r="P1294" i="1"/>
  <c r="P1295" i="1"/>
  <c r="P1298" i="1"/>
  <c r="P1299" i="1"/>
  <c r="P1301" i="1"/>
  <c r="P1304" i="1"/>
  <c r="P1305" i="1"/>
  <c r="P1306" i="1"/>
  <c r="P1307" i="1"/>
  <c r="P1308" i="1"/>
  <c r="P1309" i="1"/>
  <c r="P1310" i="1"/>
  <c r="P1311" i="1"/>
  <c r="P1312" i="1"/>
  <c r="P1314" i="1"/>
  <c r="P1315" i="1"/>
  <c r="P1320" i="1"/>
  <c r="P1321" i="1"/>
  <c r="P1322" i="1"/>
  <c r="P1323" i="1"/>
  <c r="P1324" i="1"/>
  <c r="P1325" i="1"/>
  <c r="P1326" i="1"/>
  <c r="P1327" i="1"/>
  <c r="P1330" i="1"/>
  <c r="P1331" i="1"/>
  <c r="P1336" i="1"/>
  <c r="P1337" i="1"/>
  <c r="P1338" i="1"/>
  <c r="P1339" i="1"/>
  <c r="P1340" i="1"/>
  <c r="P1341" i="1"/>
  <c r="P1342" i="1"/>
  <c r="P1343" i="1"/>
  <c r="P1346" i="1"/>
  <c r="P1347" i="1"/>
  <c r="P1352" i="1"/>
  <c r="P1353" i="1"/>
  <c r="P1354" i="1"/>
  <c r="P1363" i="1"/>
  <c r="P1364" i="1"/>
  <c r="P1365" i="1"/>
  <c r="P1366" i="1"/>
  <c r="P1367" i="1"/>
  <c r="P1370" i="1"/>
  <c r="P1371" i="1"/>
  <c r="P1376" i="1"/>
  <c r="P1377" i="1"/>
  <c r="P1378" i="1"/>
  <c r="P1379" i="1"/>
  <c r="P1380" i="1"/>
  <c r="P1381" i="1"/>
  <c r="P1382" i="1"/>
  <c r="P1383" i="1"/>
  <c r="P1386" i="1"/>
  <c r="P1387" i="1"/>
  <c r="P1392" i="1"/>
  <c r="P1393" i="1"/>
  <c r="P1394" i="1"/>
  <c r="P1395" i="1"/>
  <c r="P1396" i="1"/>
  <c r="P1397" i="1"/>
  <c r="P1398" i="1"/>
  <c r="P1399" i="1"/>
  <c r="P1402" i="1"/>
  <c r="P1403" i="1"/>
  <c r="P1404" i="1"/>
  <c r="P1408" i="1"/>
  <c r="P1409" i="1"/>
  <c r="P1410" i="1"/>
  <c r="P1411" i="1"/>
  <c r="P1412" i="1"/>
  <c r="P1413" i="1"/>
  <c r="P1414" i="1"/>
  <c r="P1415" i="1"/>
  <c r="P1418" i="1"/>
  <c r="P1419" i="1"/>
  <c r="P1424" i="1"/>
  <c r="P1425" i="1"/>
  <c r="P1426" i="1"/>
  <c r="P1427" i="1"/>
  <c r="P1428" i="1"/>
  <c r="P1429" i="1"/>
  <c r="P1430" i="1"/>
  <c r="P1431" i="1"/>
  <c r="P1434" i="1"/>
  <c r="P1440" i="1"/>
  <c r="P1441" i="1"/>
  <c r="P1442" i="1"/>
  <c r="P1444" i="1"/>
  <c r="P1445" i="1"/>
  <c r="P1446" i="1"/>
  <c r="P1450" i="1"/>
  <c r="P1451" i="1"/>
  <c r="P1456" i="1"/>
  <c r="P1457" i="1"/>
  <c r="P1458" i="1"/>
  <c r="P1459" i="1"/>
  <c r="P1460" i="1"/>
  <c r="P1461" i="1"/>
  <c r="P1462" i="1"/>
  <c r="P1467" i="1"/>
  <c r="P1472" i="1"/>
  <c r="P1473" i="1"/>
  <c r="P1475" i="1"/>
  <c r="P1476" i="1"/>
  <c r="P1477" i="1"/>
  <c r="P1479" i="1"/>
  <c r="P1482" i="1"/>
  <c r="P1489" i="1"/>
  <c r="P1490" i="1"/>
  <c r="P1491" i="1"/>
  <c r="P1492" i="1"/>
  <c r="P1493" i="1"/>
  <c r="P1494" i="1"/>
  <c r="P1495" i="1"/>
  <c r="P1498" i="1"/>
  <c r="P1505" i="1"/>
  <c r="P1506" i="1"/>
  <c r="P1508" i="1"/>
  <c r="P1509" i="1"/>
  <c r="P1510" i="1"/>
  <c r="P1515" i="1"/>
  <c r="P1521" i="1"/>
  <c r="P1524" i="1"/>
  <c r="P1525" i="1"/>
  <c r="P1530" i="1"/>
  <c r="P1531" i="1"/>
  <c r="P1537" i="1"/>
  <c r="P1542" i="1"/>
  <c r="P1543" i="1"/>
  <c r="P1544" i="1"/>
  <c r="P1546" i="1"/>
  <c r="P1550" i="1"/>
  <c r="P1556" i="1"/>
  <c r="P1558" i="1"/>
  <c r="P1559" i="1"/>
  <c r="P1560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44" i="1"/>
  <c r="K45" i="1"/>
  <c r="K46" i="1"/>
  <c r="K47" i="1"/>
  <c r="K32" i="1"/>
  <c r="K33" i="1"/>
  <c r="K34" i="1"/>
  <c r="K35" i="1"/>
  <c r="K36" i="1"/>
  <c r="K37" i="1"/>
  <c r="K38" i="1"/>
  <c r="K39" i="1"/>
  <c r="K40" i="1"/>
  <c r="K41" i="1"/>
  <c r="K42" i="1"/>
  <c r="K43" i="1"/>
  <c r="K51" i="1"/>
  <c r="K52" i="1"/>
  <c r="K53" i="1"/>
  <c r="K54" i="1"/>
  <c r="K55" i="1"/>
  <c r="K56" i="1"/>
  <c r="K57" i="1"/>
  <c r="K58" i="1"/>
  <c r="K59" i="1"/>
  <c r="K60" i="1"/>
  <c r="K61" i="1"/>
  <c r="K48" i="1"/>
  <c r="K49" i="1"/>
  <c r="K50" i="1"/>
  <c r="K104" i="1"/>
  <c r="K105" i="1"/>
  <c r="K207" i="1"/>
  <c r="K109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07" i="1"/>
  <c r="K106" i="1"/>
  <c r="K108" i="1"/>
  <c r="K208" i="1"/>
  <c r="K209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3" i="1"/>
  <c r="K414" i="1"/>
  <c r="K415" i="1"/>
  <c r="K416" i="1"/>
  <c r="K417" i="1"/>
  <c r="K418" i="1"/>
  <c r="K419" i="1"/>
  <c r="K420" i="1"/>
  <c r="K410" i="1"/>
  <c r="K412" i="1"/>
  <c r="K421" i="1"/>
  <c r="K411" i="1"/>
  <c r="K422" i="1"/>
  <c r="K424" i="1"/>
  <c r="K425" i="1"/>
  <c r="K423" i="1"/>
  <c r="K430" i="1"/>
  <c r="K464" i="1"/>
  <c r="K426" i="1"/>
  <c r="K427" i="1"/>
  <c r="K428" i="1"/>
  <c r="K431" i="1"/>
  <c r="K432" i="1"/>
  <c r="K433" i="1"/>
  <c r="K434" i="1"/>
  <c r="K435" i="1"/>
  <c r="K436" i="1"/>
  <c r="K437" i="1"/>
  <c r="K438" i="1"/>
  <c r="K439" i="1"/>
  <c r="K440" i="1"/>
  <c r="K441" i="1"/>
  <c r="K429" i="1"/>
  <c r="K466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65" i="1"/>
  <c r="K467" i="1"/>
  <c r="K468" i="1"/>
  <c r="K469" i="1"/>
  <c r="K541" i="1"/>
  <c r="K470" i="1"/>
  <c r="K545" i="1"/>
  <c r="K542" i="1"/>
  <c r="K543" i="1"/>
  <c r="K544" i="1"/>
  <c r="K546" i="1"/>
  <c r="K547" i="1"/>
  <c r="K548" i="1"/>
  <c r="K549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634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35" i="1"/>
  <c r="K725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2" i="1"/>
  <c r="K813" i="1"/>
  <c r="K814" i="1"/>
  <c r="K815" i="1"/>
  <c r="K816" i="1"/>
  <c r="K817" i="1"/>
  <c r="K818" i="1"/>
  <c r="K819" i="1"/>
  <c r="K820" i="1"/>
  <c r="K821" i="1"/>
  <c r="K822" i="1"/>
  <c r="K810" i="1"/>
  <c r="K811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932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33" i="1"/>
  <c r="K934" i="1"/>
  <c r="K935" i="1"/>
  <c r="K936" i="1"/>
  <c r="K937" i="1"/>
  <c r="K938" i="1"/>
  <c r="K939" i="1"/>
  <c r="K940" i="1"/>
  <c r="K941" i="1"/>
  <c r="K942" i="1"/>
  <c r="K986" i="1"/>
  <c r="K987" i="1"/>
  <c r="K1014" i="1"/>
  <c r="K1015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69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70" i="1"/>
  <c r="K1171" i="1"/>
  <c r="K1172" i="1"/>
  <c r="K1173" i="1"/>
  <c r="K1175" i="1"/>
  <c r="K1174" i="1"/>
  <c r="K1178" i="1"/>
  <c r="K1176" i="1"/>
  <c r="K1177" i="1"/>
  <c r="K1182" i="1"/>
  <c r="K1179" i="1"/>
  <c r="K1180" i="1"/>
  <c r="K1181" i="1"/>
  <c r="K1183" i="1"/>
  <c r="K1184" i="1"/>
  <c r="K1185" i="1"/>
  <c r="K1187" i="1"/>
  <c r="K1186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7" i="1"/>
  <c r="K1208" i="1"/>
  <c r="K1209" i="1"/>
  <c r="K1205" i="1"/>
  <c r="K1206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262" i="1"/>
  <c r="K1263" i="1"/>
  <c r="K1264" i="1"/>
  <c r="K1265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56" i="1"/>
  <c r="K1355" i="1"/>
  <c r="K1357" i="1"/>
  <c r="K1358" i="1"/>
  <c r="K1359" i="1"/>
  <c r="K1360" i="1"/>
  <c r="K1361" i="1"/>
  <c r="K1362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39" i="1"/>
  <c r="K1540" i="1"/>
  <c r="K1541" i="1"/>
  <c r="K1564" i="1"/>
  <c r="K1566" i="1"/>
  <c r="K1565" i="1"/>
  <c r="K1567" i="1"/>
  <c r="K1568" i="1"/>
  <c r="K1569" i="1"/>
  <c r="K1570" i="1"/>
  <c r="K5" i="1"/>
  <c r="K8" i="1"/>
  <c r="K9" i="1"/>
  <c r="K10" i="1"/>
  <c r="K11" i="1"/>
  <c r="K6" i="1"/>
  <c r="K7" i="1"/>
  <c r="K12" i="1"/>
  <c r="Q1283" i="6"/>
  <c r="J1283" i="6"/>
  <c r="K1573" i="1" s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4" i="1"/>
  <c r="J45" i="1"/>
  <c r="J46" i="1"/>
  <c r="J47" i="1"/>
  <c r="J32" i="1"/>
  <c r="J33" i="1"/>
  <c r="J34" i="1"/>
  <c r="J35" i="1"/>
  <c r="J36" i="1"/>
  <c r="J37" i="1"/>
  <c r="J38" i="1"/>
  <c r="J39" i="1"/>
  <c r="J40" i="1"/>
  <c r="J41" i="1"/>
  <c r="J42" i="1"/>
  <c r="J43" i="1"/>
  <c r="J51" i="1"/>
  <c r="J52" i="1"/>
  <c r="J53" i="1"/>
  <c r="J54" i="1"/>
  <c r="J55" i="1"/>
  <c r="J56" i="1"/>
  <c r="J57" i="1"/>
  <c r="J58" i="1"/>
  <c r="J59" i="1"/>
  <c r="J60" i="1"/>
  <c r="J61" i="1"/>
  <c r="J48" i="1"/>
  <c r="J49" i="1"/>
  <c r="J50" i="1"/>
  <c r="J104" i="1"/>
  <c r="J105" i="1"/>
  <c r="J207" i="1"/>
  <c r="J109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07" i="1"/>
  <c r="J106" i="1"/>
  <c r="J108" i="1"/>
  <c r="J208" i="1"/>
  <c r="J209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3" i="1"/>
  <c r="J414" i="1"/>
  <c r="J415" i="1"/>
  <c r="J416" i="1"/>
  <c r="J417" i="1"/>
  <c r="J418" i="1"/>
  <c r="J419" i="1"/>
  <c r="J420" i="1"/>
  <c r="J410" i="1"/>
  <c r="J412" i="1"/>
  <c r="J421" i="1"/>
  <c r="J411" i="1"/>
  <c r="J422" i="1"/>
  <c r="J424" i="1"/>
  <c r="J425" i="1"/>
  <c r="J423" i="1"/>
  <c r="J430" i="1"/>
  <c r="J464" i="1"/>
  <c r="J426" i="1"/>
  <c r="J427" i="1"/>
  <c r="J428" i="1"/>
  <c r="J431" i="1"/>
  <c r="J432" i="1"/>
  <c r="J433" i="1"/>
  <c r="J434" i="1"/>
  <c r="J435" i="1"/>
  <c r="J436" i="1"/>
  <c r="J437" i="1"/>
  <c r="J438" i="1"/>
  <c r="J439" i="1"/>
  <c r="J440" i="1"/>
  <c r="J441" i="1"/>
  <c r="J429" i="1"/>
  <c r="J466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65" i="1"/>
  <c r="J467" i="1"/>
  <c r="J468" i="1"/>
  <c r="J469" i="1"/>
  <c r="J541" i="1"/>
  <c r="J470" i="1"/>
  <c r="J545" i="1"/>
  <c r="J542" i="1"/>
  <c r="J543" i="1"/>
  <c r="J544" i="1"/>
  <c r="J546" i="1"/>
  <c r="J547" i="1"/>
  <c r="J548" i="1"/>
  <c r="J549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634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35" i="1"/>
  <c r="J725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2" i="1"/>
  <c r="J813" i="1"/>
  <c r="J814" i="1"/>
  <c r="J815" i="1"/>
  <c r="J816" i="1"/>
  <c r="J817" i="1"/>
  <c r="J818" i="1"/>
  <c r="J819" i="1"/>
  <c r="J820" i="1"/>
  <c r="J821" i="1"/>
  <c r="J822" i="1"/>
  <c r="J810" i="1"/>
  <c r="J811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932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33" i="1"/>
  <c r="J934" i="1"/>
  <c r="J935" i="1"/>
  <c r="J936" i="1"/>
  <c r="J937" i="1"/>
  <c r="J938" i="1"/>
  <c r="J939" i="1"/>
  <c r="J940" i="1"/>
  <c r="J941" i="1"/>
  <c r="J942" i="1"/>
  <c r="J986" i="1"/>
  <c r="J987" i="1"/>
  <c r="J1014" i="1"/>
  <c r="J1015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69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70" i="1"/>
  <c r="J1171" i="1"/>
  <c r="J1172" i="1"/>
  <c r="J1173" i="1"/>
  <c r="J1175" i="1"/>
  <c r="J1174" i="1"/>
  <c r="J1178" i="1"/>
  <c r="J1176" i="1"/>
  <c r="J1177" i="1"/>
  <c r="J1182" i="1"/>
  <c r="J1179" i="1"/>
  <c r="J1180" i="1"/>
  <c r="J1181" i="1"/>
  <c r="J1183" i="1"/>
  <c r="J1184" i="1"/>
  <c r="J1185" i="1"/>
  <c r="J1187" i="1"/>
  <c r="J1186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7" i="1"/>
  <c r="J1208" i="1"/>
  <c r="J1209" i="1"/>
  <c r="J1205" i="1"/>
  <c r="J1206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262" i="1"/>
  <c r="J1263" i="1"/>
  <c r="J1264" i="1"/>
  <c r="J1265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56" i="1"/>
  <c r="J1355" i="1"/>
  <c r="J1357" i="1"/>
  <c r="J1358" i="1"/>
  <c r="J1359" i="1"/>
  <c r="J1360" i="1"/>
  <c r="J1361" i="1"/>
  <c r="J1362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39" i="1"/>
  <c r="J1540" i="1"/>
  <c r="J1541" i="1"/>
  <c r="J1564" i="1"/>
  <c r="J1566" i="1"/>
  <c r="J1565" i="1"/>
  <c r="J1567" i="1"/>
  <c r="J1568" i="1"/>
  <c r="J1569" i="1"/>
  <c r="J1570" i="1"/>
  <c r="J5" i="1"/>
  <c r="J8" i="1"/>
  <c r="J9" i="1"/>
  <c r="J10" i="1"/>
  <c r="J11" i="1"/>
  <c r="P11" i="1" s="1"/>
  <c r="J6" i="1"/>
  <c r="J7" i="1"/>
  <c r="J12" i="1"/>
  <c r="E1572" i="1"/>
  <c r="F1572" i="1"/>
  <c r="I13" i="1"/>
  <c r="I14" i="1"/>
  <c r="M14" i="1" s="1"/>
  <c r="R14" i="1" s="1"/>
  <c r="I15" i="1"/>
  <c r="I16" i="1"/>
  <c r="I17" i="1"/>
  <c r="I18" i="1"/>
  <c r="I19" i="1"/>
  <c r="M19" i="1" s="1"/>
  <c r="I20" i="1"/>
  <c r="I21" i="1"/>
  <c r="I22" i="1"/>
  <c r="I23" i="1"/>
  <c r="I24" i="1"/>
  <c r="I25" i="1"/>
  <c r="I26" i="1"/>
  <c r="I27" i="1"/>
  <c r="I28" i="1"/>
  <c r="I29" i="1"/>
  <c r="I30" i="1"/>
  <c r="I31" i="1"/>
  <c r="I44" i="1"/>
  <c r="I45" i="1"/>
  <c r="I46" i="1"/>
  <c r="I47" i="1"/>
  <c r="I32" i="1"/>
  <c r="I33" i="1"/>
  <c r="I34" i="1"/>
  <c r="I35" i="1"/>
  <c r="I36" i="1"/>
  <c r="I37" i="1"/>
  <c r="M37" i="1" s="1"/>
  <c r="I38" i="1"/>
  <c r="I39" i="1"/>
  <c r="I40" i="1"/>
  <c r="I41" i="1"/>
  <c r="I42" i="1"/>
  <c r="I43" i="1"/>
  <c r="M43" i="1" s="1"/>
  <c r="Q43" i="1" s="1"/>
  <c r="I51" i="1"/>
  <c r="I52" i="1"/>
  <c r="I53" i="1"/>
  <c r="I54" i="1"/>
  <c r="I55" i="1"/>
  <c r="I56" i="1"/>
  <c r="I57" i="1"/>
  <c r="I58" i="1"/>
  <c r="I59" i="1"/>
  <c r="I60" i="1"/>
  <c r="M60" i="1" s="1"/>
  <c r="I61" i="1"/>
  <c r="I48" i="1"/>
  <c r="I49" i="1"/>
  <c r="I50" i="1"/>
  <c r="I104" i="1"/>
  <c r="I105" i="1"/>
  <c r="I207" i="1"/>
  <c r="I109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M75" i="1" s="1"/>
  <c r="I76" i="1"/>
  <c r="I77" i="1"/>
  <c r="M77" i="1" s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M93" i="1" s="1"/>
  <c r="I94" i="1"/>
  <c r="I95" i="1"/>
  <c r="I96" i="1"/>
  <c r="I97" i="1"/>
  <c r="I98" i="1"/>
  <c r="I99" i="1"/>
  <c r="I100" i="1"/>
  <c r="I101" i="1"/>
  <c r="I102" i="1"/>
  <c r="I103" i="1"/>
  <c r="I110" i="1"/>
  <c r="I111" i="1"/>
  <c r="I112" i="1"/>
  <c r="I113" i="1"/>
  <c r="I114" i="1"/>
  <c r="I115" i="1"/>
  <c r="M115" i="1" s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M131" i="1" s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M147" i="1" s="1"/>
  <c r="I148" i="1"/>
  <c r="I149" i="1"/>
  <c r="I150" i="1"/>
  <c r="I151" i="1"/>
  <c r="I152" i="1"/>
  <c r="I153" i="1"/>
  <c r="I154" i="1"/>
  <c r="I155" i="1"/>
  <c r="I156" i="1"/>
  <c r="I157" i="1"/>
  <c r="I158" i="1"/>
  <c r="I107" i="1"/>
  <c r="I106" i="1"/>
  <c r="I108" i="1"/>
  <c r="I208" i="1"/>
  <c r="I209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M174" i="1" s="1"/>
  <c r="Q174" i="1" s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M190" i="1" s="1"/>
  <c r="Q190" i="1" s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M206" i="1" s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M225" i="1" s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M241" i="1" s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M257" i="1" s="1"/>
  <c r="I258" i="1"/>
  <c r="I259" i="1"/>
  <c r="I260" i="1"/>
  <c r="I261" i="1"/>
  <c r="I262" i="1"/>
  <c r="I263" i="1"/>
  <c r="I264" i="1"/>
  <c r="I265" i="1"/>
  <c r="I266" i="1"/>
  <c r="I267" i="1"/>
  <c r="M267" i="1" s="1"/>
  <c r="I268" i="1"/>
  <c r="I269" i="1"/>
  <c r="I270" i="1"/>
  <c r="I271" i="1"/>
  <c r="I272" i="1"/>
  <c r="M272" i="1" s="1"/>
  <c r="I273" i="1"/>
  <c r="M273" i="1" s="1"/>
  <c r="I274" i="1"/>
  <c r="M274" i="1" s="1"/>
  <c r="I275" i="1"/>
  <c r="I276" i="1"/>
  <c r="I277" i="1"/>
  <c r="M277" i="1" s="1"/>
  <c r="I278" i="1"/>
  <c r="I279" i="1"/>
  <c r="I280" i="1"/>
  <c r="M280" i="1" s="1"/>
  <c r="I281" i="1"/>
  <c r="I282" i="1"/>
  <c r="I283" i="1"/>
  <c r="M283" i="1" s="1"/>
  <c r="I284" i="1"/>
  <c r="I285" i="1"/>
  <c r="I286" i="1"/>
  <c r="I287" i="1"/>
  <c r="I288" i="1"/>
  <c r="M288" i="1" s="1"/>
  <c r="Q288" i="1" s="1"/>
  <c r="I289" i="1"/>
  <c r="I290" i="1"/>
  <c r="M290" i="1" s="1"/>
  <c r="I291" i="1"/>
  <c r="I292" i="1"/>
  <c r="I293" i="1"/>
  <c r="M293" i="1" s="1"/>
  <c r="I294" i="1"/>
  <c r="I295" i="1"/>
  <c r="I296" i="1"/>
  <c r="M296" i="1" s="1"/>
  <c r="I297" i="1"/>
  <c r="I298" i="1"/>
  <c r="I299" i="1"/>
  <c r="M299" i="1" s="1"/>
  <c r="I300" i="1"/>
  <c r="I301" i="1"/>
  <c r="I302" i="1"/>
  <c r="I303" i="1"/>
  <c r="I304" i="1"/>
  <c r="M304" i="1" s="1"/>
  <c r="Q304" i="1" s="1"/>
  <c r="I305" i="1"/>
  <c r="M305" i="1" s="1"/>
  <c r="I306" i="1"/>
  <c r="M306" i="1" s="1"/>
  <c r="I307" i="1"/>
  <c r="I308" i="1"/>
  <c r="I309" i="1"/>
  <c r="M309" i="1" s="1"/>
  <c r="I310" i="1"/>
  <c r="I311" i="1"/>
  <c r="I312" i="1"/>
  <c r="M312" i="1" s="1"/>
  <c r="I313" i="1"/>
  <c r="I314" i="1"/>
  <c r="I315" i="1"/>
  <c r="M315" i="1" s="1"/>
  <c r="I316" i="1"/>
  <c r="I317" i="1"/>
  <c r="I318" i="1"/>
  <c r="I319" i="1"/>
  <c r="I320" i="1"/>
  <c r="M320" i="1" s="1"/>
  <c r="Q320" i="1" s="1"/>
  <c r="I321" i="1"/>
  <c r="M321" i="1" s="1"/>
  <c r="I322" i="1"/>
  <c r="M322" i="1" s="1"/>
  <c r="I323" i="1"/>
  <c r="I324" i="1"/>
  <c r="I325" i="1"/>
  <c r="M325" i="1" s="1"/>
  <c r="I326" i="1"/>
  <c r="I327" i="1"/>
  <c r="I328" i="1"/>
  <c r="M328" i="1" s="1"/>
  <c r="Q328" i="1" s="1"/>
  <c r="I329" i="1"/>
  <c r="I330" i="1"/>
  <c r="I331" i="1"/>
  <c r="M331" i="1" s="1"/>
  <c r="I332" i="1"/>
  <c r="I333" i="1"/>
  <c r="I334" i="1"/>
  <c r="I335" i="1"/>
  <c r="I336" i="1"/>
  <c r="M336" i="1" s="1"/>
  <c r="Q336" i="1" s="1"/>
  <c r="I337" i="1"/>
  <c r="M337" i="1" s="1"/>
  <c r="I338" i="1"/>
  <c r="M338" i="1" s="1"/>
  <c r="I339" i="1"/>
  <c r="I340" i="1"/>
  <c r="I341" i="1"/>
  <c r="M341" i="1" s="1"/>
  <c r="I342" i="1"/>
  <c r="I343" i="1"/>
  <c r="I344" i="1"/>
  <c r="M344" i="1" s="1"/>
  <c r="I345" i="1"/>
  <c r="I346" i="1"/>
  <c r="I347" i="1"/>
  <c r="M347" i="1" s="1"/>
  <c r="I348" i="1"/>
  <c r="I349" i="1"/>
  <c r="I350" i="1"/>
  <c r="I351" i="1"/>
  <c r="I352" i="1"/>
  <c r="M352" i="1" s="1"/>
  <c r="Q352" i="1" s="1"/>
  <c r="I353" i="1"/>
  <c r="M353" i="1" s="1"/>
  <c r="I354" i="1"/>
  <c r="M354" i="1" s="1"/>
  <c r="I355" i="1"/>
  <c r="I356" i="1"/>
  <c r="I357" i="1"/>
  <c r="M357" i="1" s="1"/>
  <c r="I358" i="1"/>
  <c r="I359" i="1"/>
  <c r="I360" i="1"/>
  <c r="M360" i="1" s="1"/>
  <c r="Q360" i="1" s="1"/>
  <c r="I361" i="1"/>
  <c r="I362" i="1"/>
  <c r="I363" i="1"/>
  <c r="M363" i="1" s="1"/>
  <c r="I364" i="1"/>
  <c r="I365" i="1"/>
  <c r="I366" i="1"/>
  <c r="I367" i="1"/>
  <c r="I368" i="1"/>
  <c r="M368" i="1" s="1"/>
  <c r="Q368" i="1" s="1"/>
  <c r="I369" i="1"/>
  <c r="M369" i="1" s="1"/>
  <c r="I370" i="1"/>
  <c r="M370" i="1" s="1"/>
  <c r="I371" i="1"/>
  <c r="I372" i="1"/>
  <c r="I373" i="1"/>
  <c r="M373" i="1" s="1"/>
  <c r="I374" i="1"/>
  <c r="I375" i="1"/>
  <c r="I376" i="1"/>
  <c r="M376" i="1" s="1"/>
  <c r="Q376" i="1" s="1"/>
  <c r="I377" i="1"/>
  <c r="I378" i="1"/>
  <c r="I379" i="1"/>
  <c r="M379" i="1" s="1"/>
  <c r="I380" i="1"/>
  <c r="I381" i="1"/>
  <c r="I382" i="1"/>
  <c r="I383" i="1"/>
  <c r="I384" i="1"/>
  <c r="M384" i="1" s="1"/>
  <c r="Q384" i="1" s="1"/>
  <c r="I385" i="1"/>
  <c r="M385" i="1" s="1"/>
  <c r="I386" i="1"/>
  <c r="M386" i="1" s="1"/>
  <c r="I387" i="1"/>
  <c r="I388" i="1"/>
  <c r="I389" i="1"/>
  <c r="M389" i="1" s="1"/>
  <c r="I390" i="1"/>
  <c r="I391" i="1"/>
  <c r="I392" i="1"/>
  <c r="M392" i="1" s="1"/>
  <c r="I393" i="1"/>
  <c r="I394" i="1"/>
  <c r="I395" i="1"/>
  <c r="M395" i="1" s="1"/>
  <c r="I396" i="1"/>
  <c r="I397" i="1"/>
  <c r="I398" i="1"/>
  <c r="I399" i="1"/>
  <c r="I400" i="1"/>
  <c r="M400" i="1" s="1"/>
  <c r="I401" i="1"/>
  <c r="M401" i="1" s="1"/>
  <c r="I402" i="1"/>
  <c r="M402" i="1" s="1"/>
  <c r="I403" i="1"/>
  <c r="I404" i="1"/>
  <c r="I405" i="1"/>
  <c r="M405" i="1" s="1"/>
  <c r="I406" i="1"/>
  <c r="I407" i="1"/>
  <c r="I408" i="1"/>
  <c r="M408" i="1" s="1"/>
  <c r="I409" i="1"/>
  <c r="I413" i="1"/>
  <c r="I414" i="1"/>
  <c r="M414" i="1" s="1"/>
  <c r="I415" i="1"/>
  <c r="I416" i="1"/>
  <c r="I417" i="1"/>
  <c r="I418" i="1"/>
  <c r="I419" i="1"/>
  <c r="M419" i="1" s="1"/>
  <c r="Q419" i="1" s="1"/>
  <c r="I420" i="1"/>
  <c r="M420" i="1" s="1"/>
  <c r="I410" i="1"/>
  <c r="I412" i="1"/>
  <c r="I421" i="1"/>
  <c r="I411" i="1"/>
  <c r="I422" i="1"/>
  <c r="I424" i="1"/>
  <c r="I425" i="1"/>
  <c r="I423" i="1"/>
  <c r="I430" i="1"/>
  <c r="I464" i="1"/>
  <c r="I426" i="1"/>
  <c r="I427" i="1"/>
  <c r="I428" i="1"/>
  <c r="I431" i="1"/>
  <c r="I432" i="1"/>
  <c r="M432" i="1" s="1"/>
  <c r="I433" i="1"/>
  <c r="M433" i="1" s="1"/>
  <c r="Q433" i="1" s="1"/>
  <c r="I434" i="1"/>
  <c r="M434" i="1" s="1"/>
  <c r="I435" i="1"/>
  <c r="I436" i="1"/>
  <c r="I437" i="1"/>
  <c r="M437" i="1" s="1"/>
  <c r="I438" i="1"/>
  <c r="I439" i="1"/>
  <c r="I440" i="1"/>
  <c r="M440" i="1" s="1"/>
  <c r="I441" i="1"/>
  <c r="I429" i="1"/>
  <c r="I466" i="1"/>
  <c r="I442" i="1"/>
  <c r="I443" i="1"/>
  <c r="I444" i="1"/>
  <c r="I445" i="1"/>
  <c r="I446" i="1"/>
  <c r="I447" i="1"/>
  <c r="M447" i="1" s="1"/>
  <c r="Q447" i="1" s="1"/>
  <c r="I448" i="1"/>
  <c r="M448" i="1" s="1"/>
  <c r="I449" i="1"/>
  <c r="I450" i="1"/>
  <c r="I451" i="1"/>
  <c r="M451" i="1" s="1"/>
  <c r="I452" i="1"/>
  <c r="I453" i="1"/>
  <c r="I454" i="1"/>
  <c r="I455" i="1"/>
  <c r="I456" i="1"/>
  <c r="M456" i="1" s="1"/>
  <c r="Q456" i="1" s="1"/>
  <c r="I457" i="1"/>
  <c r="I458" i="1"/>
  <c r="I459" i="1"/>
  <c r="I460" i="1"/>
  <c r="I461" i="1"/>
  <c r="I462" i="1"/>
  <c r="I463" i="1"/>
  <c r="M463" i="1" s="1"/>
  <c r="I471" i="1"/>
  <c r="M471" i="1" s="1"/>
  <c r="I472" i="1"/>
  <c r="I473" i="1"/>
  <c r="I474" i="1"/>
  <c r="M474" i="1" s="1"/>
  <c r="I475" i="1"/>
  <c r="I476" i="1"/>
  <c r="I477" i="1"/>
  <c r="I478" i="1"/>
  <c r="I479" i="1"/>
  <c r="M479" i="1" s="1"/>
  <c r="I480" i="1"/>
  <c r="I481" i="1"/>
  <c r="I482" i="1"/>
  <c r="I483" i="1"/>
  <c r="I484" i="1"/>
  <c r="I485" i="1"/>
  <c r="I486" i="1"/>
  <c r="M486" i="1" s="1"/>
  <c r="I487" i="1"/>
  <c r="M487" i="1" s="1"/>
  <c r="I488" i="1"/>
  <c r="I489" i="1"/>
  <c r="I490" i="1"/>
  <c r="M490" i="1" s="1"/>
  <c r="I465" i="1"/>
  <c r="I467" i="1"/>
  <c r="I468" i="1"/>
  <c r="I469" i="1"/>
  <c r="I541" i="1"/>
  <c r="I470" i="1"/>
  <c r="I545" i="1"/>
  <c r="I542" i="1"/>
  <c r="I543" i="1"/>
  <c r="I544" i="1"/>
  <c r="I546" i="1"/>
  <c r="I547" i="1"/>
  <c r="I548" i="1"/>
  <c r="I549" i="1"/>
  <c r="I491" i="1"/>
  <c r="M491" i="1" s="1"/>
  <c r="I492" i="1"/>
  <c r="M492" i="1" s="1"/>
  <c r="Q492" i="1" s="1"/>
  <c r="I493" i="1"/>
  <c r="I494" i="1"/>
  <c r="I495" i="1"/>
  <c r="M495" i="1" s="1"/>
  <c r="I496" i="1"/>
  <c r="M496" i="1" s="1"/>
  <c r="I497" i="1"/>
  <c r="I498" i="1"/>
  <c r="I499" i="1"/>
  <c r="I500" i="1"/>
  <c r="M500" i="1" s="1"/>
  <c r="Q500" i="1" s="1"/>
  <c r="I501" i="1"/>
  <c r="I502" i="1"/>
  <c r="M502" i="1" s="1"/>
  <c r="I503" i="1"/>
  <c r="I504" i="1"/>
  <c r="M504" i="1" s="1"/>
  <c r="I505" i="1"/>
  <c r="I506" i="1"/>
  <c r="M506" i="1" s="1"/>
  <c r="I507" i="1"/>
  <c r="M507" i="1" s="1"/>
  <c r="I508" i="1"/>
  <c r="M508" i="1" s="1"/>
  <c r="I509" i="1"/>
  <c r="I510" i="1"/>
  <c r="I511" i="1"/>
  <c r="M511" i="1" s="1"/>
  <c r="I512" i="1"/>
  <c r="M512" i="1" s="1"/>
  <c r="I513" i="1"/>
  <c r="I514" i="1"/>
  <c r="I515" i="1"/>
  <c r="I516" i="1"/>
  <c r="M516" i="1" s="1"/>
  <c r="I517" i="1"/>
  <c r="I518" i="1"/>
  <c r="M518" i="1" s="1"/>
  <c r="I519" i="1"/>
  <c r="I520" i="1"/>
  <c r="M520" i="1" s="1"/>
  <c r="I521" i="1"/>
  <c r="I522" i="1"/>
  <c r="M522" i="1" s="1"/>
  <c r="I523" i="1"/>
  <c r="M523" i="1" s="1"/>
  <c r="I524" i="1"/>
  <c r="M524" i="1" s="1"/>
  <c r="Q524" i="1" s="1"/>
  <c r="I525" i="1"/>
  <c r="I526" i="1"/>
  <c r="I527" i="1"/>
  <c r="M527" i="1" s="1"/>
  <c r="I528" i="1"/>
  <c r="M528" i="1" s="1"/>
  <c r="I529" i="1"/>
  <c r="I530" i="1"/>
  <c r="I531" i="1"/>
  <c r="I532" i="1"/>
  <c r="M532" i="1" s="1"/>
  <c r="Q532" i="1" s="1"/>
  <c r="I533" i="1"/>
  <c r="I534" i="1"/>
  <c r="M534" i="1" s="1"/>
  <c r="I535" i="1"/>
  <c r="I536" i="1"/>
  <c r="M536" i="1" s="1"/>
  <c r="I537" i="1"/>
  <c r="I538" i="1"/>
  <c r="M538" i="1" s="1"/>
  <c r="I539" i="1"/>
  <c r="M539" i="1" s="1"/>
  <c r="I540" i="1"/>
  <c r="M540" i="1" s="1"/>
  <c r="Q540" i="1" s="1"/>
  <c r="I550" i="1"/>
  <c r="I551" i="1"/>
  <c r="I552" i="1"/>
  <c r="M552" i="1" s="1"/>
  <c r="Q552" i="1" s="1"/>
  <c r="I553" i="1"/>
  <c r="M553" i="1" s="1"/>
  <c r="I554" i="1"/>
  <c r="I555" i="1"/>
  <c r="I556" i="1"/>
  <c r="I557" i="1"/>
  <c r="M557" i="1" s="1"/>
  <c r="Q557" i="1" s="1"/>
  <c r="I558" i="1"/>
  <c r="M558" i="1" s="1"/>
  <c r="Q558" i="1" s="1"/>
  <c r="I559" i="1"/>
  <c r="M559" i="1" s="1"/>
  <c r="I560" i="1"/>
  <c r="I561" i="1"/>
  <c r="M561" i="1" s="1"/>
  <c r="Q561" i="1" s="1"/>
  <c r="I562" i="1"/>
  <c r="I563" i="1"/>
  <c r="M563" i="1" s="1"/>
  <c r="I564" i="1"/>
  <c r="M564" i="1" s="1"/>
  <c r="I565" i="1"/>
  <c r="I566" i="1"/>
  <c r="I567" i="1"/>
  <c r="I568" i="1"/>
  <c r="M568" i="1" s="1"/>
  <c r="I569" i="1"/>
  <c r="M569" i="1" s="1"/>
  <c r="I570" i="1"/>
  <c r="I571" i="1"/>
  <c r="I572" i="1"/>
  <c r="I573" i="1"/>
  <c r="M573" i="1" s="1"/>
  <c r="Q573" i="1" s="1"/>
  <c r="I574" i="1"/>
  <c r="M574" i="1" s="1"/>
  <c r="Q574" i="1" s="1"/>
  <c r="I575" i="1"/>
  <c r="M575" i="1" s="1"/>
  <c r="I576" i="1"/>
  <c r="I577" i="1"/>
  <c r="M577" i="1" s="1"/>
  <c r="Q577" i="1" s="1"/>
  <c r="I578" i="1"/>
  <c r="I579" i="1"/>
  <c r="M579" i="1" s="1"/>
  <c r="I580" i="1"/>
  <c r="M580" i="1" s="1"/>
  <c r="I581" i="1"/>
  <c r="I582" i="1"/>
  <c r="I583" i="1"/>
  <c r="I584" i="1"/>
  <c r="M584" i="1" s="1"/>
  <c r="Q584" i="1" s="1"/>
  <c r="I585" i="1"/>
  <c r="I586" i="1"/>
  <c r="I587" i="1"/>
  <c r="I588" i="1"/>
  <c r="I634" i="1"/>
  <c r="I589" i="1"/>
  <c r="M589" i="1" s="1"/>
  <c r="I590" i="1"/>
  <c r="M590" i="1" s="1"/>
  <c r="I591" i="1"/>
  <c r="M591" i="1" s="1"/>
  <c r="I592" i="1"/>
  <c r="M592" i="1" s="1"/>
  <c r="Q592" i="1" s="1"/>
  <c r="I593" i="1"/>
  <c r="M593" i="1" s="1"/>
  <c r="I594" i="1"/>
  <c r="I595" i="1"/>
  <c r="M595" i="1" s="1"/>
  <c r="I596" i="1"/>
  <c r="M596" i="1" s="1"/>
  <c r="I597" i="1"/>
  <c r="I598" i="1"/>
  <c r="I599" i="1"/>
  <c r="I600" i="1"/>
  <c r="M600" i="1" s="1"/>
  <c r="Q600" i="1" s="1"/>
  <c r="I601" i="1"/>
  <c r="I602" i="1"/>
  <c r="I603" i="1"/>
  <c r="I604" i="1"/>
  <c r="I605" i="1"/>
  <c r="M605" i="1" s="1"/>
  <c r="Q605" i="1" s="1"/>
  <c r="I606" i="1"/>
  <c r="M606" i="1" s="1"/>
  <c r="Q606" i="1" s="1"/>
  <c r="I607" i="1"/>
  <c r="M607" i="1" s="1"/>
  <c r="Q607" i="1" s="1"/>
  <c r="I608" i="1"/>
  <c r="M608" i="1" s="1"/>
  <c r="I609" i="1"/>
  <c r="M609" i="1" s="1"/>
  <c r="I610" i="1"/>
  <c r="I611" i="1"/>
  <c r="M611" i="1" s="1"/>
  <c r="I612" i="1"/>
  <c r="M612" i="1" s="1"/>
  <c r="I613" i="1"/>
  <c r="I614" i="1"/>
  <c r="I615" i="1"/>
  <c r="I616" i="1"/>
  <c r="M616" i="1" s="1"/>
  <c r="Q616" i="1" s="1"/>
  <c r="I617" i="1"/>
  <c r="I618" i="1"/>
  <c r="I619" i="1"/>
  <c r="I620" i="1"/>
  <c r="I621" i="1"/>
  <c r="M621" i="1" s="1"/>
  <c r="I622" i="1"/>
  <c r="M622" i="1" s="1"/>
  <c r="Q622" i="1" s="1"/>
  <c r="I623" i="1"/>
  <c r="M623" i="1" s="1"/>
  <c r="Q623" i="1" s="1"/>
  <c r="I624" i="1"/>
  <c r="M624" i="1" s="1"/>
  <c r="Q624" i="1" s="1"/>
  <c r="I625" i="1"/>
  <c r="M625" i="1" s="1"/>
  <c r="I626" i="1"/>
  <c r="I627" i="1"/>
  <c r="M627" i="1" s="1"/>
  <c r="I628" i="1"/>
  <c r="M628" i="1" s="1"/>
  <c r="I629" i="1"/>
  <c r="I630" i="1"/>
  <c r="I631" i="1"/>
  <c r="I632" i="1"/>
  <c r="M632" i="1" s="1"/>
  <c r="Q632" i="1" s="1"/>
  <c r="I633" i="1"/>
  <c r="I636" i="1"/>
  <c r="I637" i="1"/>
  <c r="I638" i="1"/>
  <c r="I639" i="1"/>
  <c r="M639" i="1" s="1"/>
  <c r="I640" i="1"/>
  <c r="M640" i="1" s="1"/>
  <c r="I641" i="1"/>
  <c r="M641" i="1" s="1"/>
  <c r="Q641" i="1" s="1"/>
  <c r="I642" i="1"/>
  <c r="M642" i="1" s="1"/>
  <c r="Q642" i="1" s="1"/>
  <c r="I643" i="1"/>
  <c r="M643" i="1" s="1"/>
  <c r="I644" i="1"/>
  <c r="I645" i="1"/>
  <c r="M645" i="1" s="1"/>
  <c r="I646" i="1"/>
  <c r="M646" i="1" s="1"/>
  <c r="I647" i="1"/>
  <c r="I648" i="1"/>
  <c r="I649" i="1"/>
  <c r="I650" i="1"/>
  <c r="M650" i="1" s="1"/>
  <c r="Q650" i="1" s="1"/>
  <c r="I651" i="1"/>
  <c r="I652" i="1"/>
  <c r="I653" i="1"/>
  <c r="I654" i="1"/>
  <c r="I655" i="1"/>
  <c r="M655" i="1" s="1"/>
  <c r="Q655" i="1" s="1"/>
  <c r="I656" i="1"/>
  <c r="M656" i="1" s="1"/>
  <c r="Q656" i="1" s="1"/>
  <c r="I657" i="1"/>
  <c r="M657" i="1" s="1"/>
  <c r="I658" i="1"/>
  <c r="M658" i="1" s="1"/>
  <c r="Q658" i="1" s="1"/>
  <c r="I659" i="1"/>
  <c r="M659" i="1" s="1"/>
  <c r="I660" i="1"/>
  <c r="I661" i="1"/>
  <c r="M661" i="1" s="1"/>
  <c r="I662" i="1"/>
  <c r="M662" i="1" s="1"/>
  <c r="Q662" i="1" s="1"/>
  <c r="I663" i="1"/>
  <c r="I664" i="1"/>
  <c r="I665" i="1"/>
  <c r="I666" i="1"/>
  <c r="M666" i="1" s="1"/>
  <c r="I667" i="1"/>
  <c r="I668" i="1"/>
  <c r="I669" i="1"/>
  <c r="I670" i="1"/>
  <c r="I671" i="1"/>
  <c r="M671" i="1" s="1"/>
  <c r="I672" i="1"/>
  <c r="M672" i="1" s="1"/>
  <c r="Q672" i="1" s="1"/>
  <c r="I673" i="1"/>
  <c r="M673" i="1" s="1"/>
  <c r="Q673" i="1" s="1"/>
  <c r="I674" i="1"/>
  <c r="M674" i="1" s="1"/>
  <c r="I675" i="1"/>
  <c r="M675" i="1" s="1"/>
  <c r="I676" i="1"/>
  <c r="I677" i="1"/>
  <c r="M677" i="1" s="1"/>
  <c r="Q677" i="1" s="1"/>
  <c r="I678" i="1"/>
  <c r="M678" i="1" s="1"/>
  <c r="Q678" i="1" s="1"/>
  <c r="I679" i="1"/>
  <c r="I680" i="1"/>
  <c r="I681" i="1"/>
  <c r="I682" i="1"/>
  <c r="M682" i="1" s="1"/>
  <c r="Q682" i="1" s="1"/>
  <c r="I683" i="1"/>
  <c r="I684" i="1"/>
  <c r="I685" i="1"/>
  <c r="I686" i="1"/>
  <c r="I635" i="1"/>
  <c r="I725" i="1"/>
  <c r="I687" i="1"/>
  <c r="M687" i="1" s="1"/>
  <c r="I688" i="1"/>
  <c r="M688" i="1" s="1"/>
  <c r="Q688" i="1" s="1"/>
  <c r="I689" i="1"/>
  <c r="M689" i="1" s="1"/>
  <c r="I690" i="1"/>
  <c r="I691" i="1"/>
  <c r="M691" i="1" s="1"/>
  <c r="I692" i="1"/>
  <c r="I693" i="1"/>
  <c r="I694" i="1"/>
  <c r="M694" i="1" s="1"/>
  <c r="Q694" i="1" s="1"/>
  <c r="I695" i="1"/>
  <c r="I696" i="1"/>
  <c r="I697" i="1"/>
  <c r="I698" i="1"/>
  <c r="M698" i="1" s="1"/>
  <c r="Q698" i="1" s="1"/>
  <c r="I699" i="1"/>
  <c r="I700" i="1"/>
  <c r="I701" i="1"/>
  <c r="I702" i="1"/>
  <c r="I703" i="1"/>
  <c r="M703" i="1" s="1"/>
  <c r="Q703" i="1" s="1"/>
  <c r="I704" i="1"/>
  <c r="M704" i="1" s="1"/>
  <c r="I705" i="1"/>
  <c r="M705" i="1" s="1"/>
  <c r="Q705" i="1" s="1"/>
  <c r="I706" i="1"/>
  <c r="I707" i="1"/>
  <c r="M707" i="1" s="1"/>
  <c r="Q707" i="1" s="1"/>
  <c r="I708" i="1"/>
  <c r="I709" i="1"/>
  <c r="I710" i="1"/>
  <c r="M710" i="1" s="1"/>
  <c r="Q710" i="1" s="1"/>
  <c r="I711" i="1"/>
  <c r="I712" i="1"/>
  <c r="I713" i="1"/>
  <c r="I714" i="1"/>
  <c r="M714" i="1" s="1"/>
  <c r="I715" i="1"/>
  <c r="I716" i="1"/>
  <c r="I717" i="1"/>
  <c r="I718" i="1"/>
  <c r="I719" i="1"/>
  <c r="M719" i="1" s="1"/>
  <c r="Q719" i="1" s="1"/>
  <c r="I720" i="1"/>
  <c r="M720" i="1" s="1"/>
  <c r="I721" i="1"/>
  <c r="M721" i="1" s="1"/>
  <c r="Q721" i="1" s="1"/>
  <c r="I722" i="1"/>
  <c r="I723" i="1"/>
  <c r="M723" i="1" s="1"/>
  <c r="Q723" i="1" s="1"/>
  <c r="I724" i="1"/>
  <c r="I726" i="1"/>
  <c r="I727" i="1"/>
  <c r="M727" i="1" s="1"/>
  <c r="Q727" i="1" s="1"/>
  <c r="I728" i="1"/>
  <c r="I729" i="1"/>
  <c r="I730" i="1"/>
  <c r="I731" i="1"/>
  <c r="M731" i="1" s="1"/>
  <c r="I732" i="1"/>
  <c r="I733" i="1"/>
  <c r="I734" i="1"/>
  <c r="I735" i="1"/>
  <c r="I736" i="1"/>
  <c r="M736" i="1" s="1"/>
  <c r="Q736" i="1" s="1"/>
  <c r="I737" i="1"/>
  <c r="M737" i="1" s="1"/>
  <c r="Q737" i="1" s="1"/>
  <c r="I738" i="1"/>
  <c r="M738" i="1" s="1"/>
  <c r="Q738" i="1" s="1"/>
  <c r="I739" i="1"/>
  <c r="I740" i="1"/>
  <c r="M740" i="1" s="1"/>
  <c r="Q740" i="1" s="1"/>
  <c r="I741" i="1"/>
  <c r="I742" i="1"/>
  <c r="I743" i="1"/>
  <c r="M743" i="1" s="1"/>
  <c r="I744" i="1"/>
  <c r="I745" i="1"/>
  <c r="I746" i="1"/>
  <c r="I747" i="1"/>
  <c r="M747" i="1" s="1"/>
  <c r="Q747" i="1" s="1"/>
  <c r="I748" i="1"/>
  <c r="I749" i="1"/>
  <c r="I750" i="1"/>
  <c r="I751" i="1"/>
  <c r="I752" i="1"/>
  <c r="M752" i="1" s="1"/>
  <c r="I753" i="1"/>
  <c r="M753" i="1" s="1"/>
  <c r="Q753" i="1" s="1"/>
  <c r="I754" i="1"/>
  <c r="M754" i="1" s="1"/>
  <c r="I755" i="1"/>
  <c r="I756" i="1"/>
  <c r="M756" i="1" s="1"/>
  <c r="Q756" i="1" s="1"/>
  <c r="I757" i="1"/>
  <c r="I758" i="1"/>
  <c r="I759" i="1"/>
  <c r="M759" i="1" s="1"/>
  <c r="Q759" i="1" s="1"/>
  <c r="I760" i="1"/>
  <c r="I761" i="1"/>
  <c r="I762" i="1"/>
  <c r="I763" i="1"/>
  <c r="M763" i="1" s="1"/>
  <c r="Q763" i="1" s="1"/>
  <c r="I764" i="1"/>
  <c r="I765" i="1"/>
  <c r="I766" i="1"/>
  <c r="I767" i="1"/>
  <c r="I768" i="1"/>
  <c r="M768" i="1" s="1"/>
  <c r="I769" i="1"/>
  <c r="M769" i="1" s="1"/>
  <c r="I770" i="1"/>
  <c r="M770" i="1" s="1"/>
  <c r="I771" i="1"/>
  <c r="I772" i="1"/>
  <c r="M772" i="1" s="1"/>
  <c r="Q772" i="1" s="1"/>
  <c r="I773" i="1"/>
  <c r="I774" i="1"/>
  <c r="I775" i="1"/>
  <c r="M775" i="1" s="1"/>
  <c r="I776" i="1"/>
  <c r="I777" i="1"/>
  <c r="I778" i="1"/>
  <c r="I779" i="1"/>
  <c r="M779" i="1" s="1"/>
  <c r="Q779" i="1" s="1"/>
  <c r="I780" i="1"/>
  <c r="I781" i="1"/>
  <c r="I782" i="1"/>
  <c r="I783" i="1"/>
  <c r="I784" i="1"/>
  <c r="M784" i="1" s="1"/>
  <c r="Q784" i="1" s="1"/>
  <c r="I785" i="1"/>
  <c r="M785" i="1" s="1"/>
  <c r="Q785" i="1" s="1"/>
  <c r="I786" i="1"/>
  <c r="M786" i="1" s="1"/>
  <c r="I787" i="1"/>
  <c r="I788" i="1"/>
  <c r="M788" i="1" s="1"/>
  <c r="I789" i="1"/>
  <c r="I790" i="1"/>
  <c r="I791" i="1"/>
  <c r="M791" i="1" s="1"/>
  <c r="Q791" i="1" s="1"/>
  <c r="I792" i="1"/>
  <c r="I793" i="1"/>
  <c r="I794" i="1"/>
  <c r="I795" i="1"/>
  <c r="M795" i="1" s="1"/>
  <c r="I796" i="1"/>
  <c r="I797" i="1"/>
  <c r="I798" i="1"/>
  <c r="I799" i="1"/>
  <c r="I800" i="1"/>
  <c r="M800" i="1" s="1"/>
  <c r="I801" i="1"/>
  <c r="M801" i="1" s="1"/>
  <c r="I802" i="1"/>
  <c r="M802" i="1" s="1"/>
  <c r="Q802" i="1" s="1"/>
  <c r="I803" i="1"/>
  <c r="I804" i="1"/>
  <c r="M804" i="1" s="1"/>
  <c r="I805" i="1"/>
  <c r="I806" i="1"/>
  <c r="I807" i="1"/>
  <c r="M807" i="1" s="1"/>
  <c r="I808" i="1"/>
  <c r="I809" i="1"/>
  <c r="I812" i="1"/>
  <c r="I813" i="1"/>
  <c r="M813" i="1" s="1"/>
  <c r="Q813" i="1" s="1"/>
  <c r="I814" i="1"/>
  <c r="I815" i="1"/>
  <c r="I816" i="1"/>
  <c r="I817" i="1"/>
  <c r="I818" i="1"/>
  <c r="M818" i="1" s="1"/>
  <c r="Q818" i="1" s="1"/>
  <c r="I819" i="1"/>
  <c r="M819" i="1" s="1"/>
  <c r="Q819" i="1" s="1"/>
  <c r="I820" i="1"/>
  <c r="M820" i="1" s="1"/>
  <c r="Q820" i="1" s="1"/>
  <c r="I821" i="1"/>
  <c r="I822" i="1"/>
  <c r="M822" i="1" s="1"/>
  <c r="Q822" i="1" s="1"/>
  <c r="I810" i="1"/>
  <c r="I811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M850" i="1" s="1"/>
  <c r="Q850" i="1" s="1"/>
  <c r="I851" i="1"/>
  <c r="M851" i="1" s="1"/>
  <c r="Q851" i="1" s="1"/>
  <c r="I852" i="1"/>
  <c r="I853" i="1"/>
  <c r="I854" i="1"/>
  <c r="I855" i="1"/>
  <c r="M855" i="1" s="1"/>
  <c r="I856" i="1"/>
  <c r="I857" i="1"/>
  <c r="I858" i="1"/>
  <c r="I859" i="1"/>
  <c r="I860" i="1"/>
  <c r="M860" i="1" s="1"/>
  <c r="Q860" i="1" s="1"/>
  <c r="I861" i="1"/>
  <c r="M861" i="1" s="1"/>
  <c r="I862" i="1"/>
  <c r="M862" i="1" s="1"/>
  <c r="Q862" i="1" s="1"/>
  <c r="I863" i="1"/>
  <c r="I864" i="1"/>
  <c r="I865" i="1"/>
  <c r="I866" i="1"/>
  <c r="M866" i="1" s="1"/>
  <c r="Q866" i="1" s="1"/>
  <c r="I867" i="1"/>
  <c r="M867" i="1" s="1"/>
  <c r="I868" i="1"/>
  <c r="I869" i="1"/>
  <c r="I870" i="1"/>
  <c r="I871" i="1"/>
  <c r="M871" i="1" s="1"/>
  <c r="I872" i="1"/>
  <c r="I873" i="1"/>
  <c r="I874" i="1"/>
  <c r="I932" i="1"/>
  <c r="I875" i="1"/>
  <c r="I876" i="1"/>
  <c r="M876" i="1" s="1"/>
  <c r="Q876" i="1" s="1"/>
  <c r="I877" i="1"/>
  <c r="M877" i="1" s="1"/>
  <c r="Q877" i="1" s="1"/>
  <c r="I878" i="1"/>
  <c r="M878" i="1" s="1"/>
  <c r="Q878" i="1" s="1"/>
  <c r="I879" i="1"/>
  <c r="I880" i="1"/>
  <c r="M880" i="1" s="1"/>
  <c r="Q880" i="1" s="1"/>
  <c r="I881" i="1"/>
  <c r="I882" i="1"/>
  <c r="M882" i="1" s="1"/>
  <c r="Q882" i="1" s="1"/>
  <c r="I883" i="1"/>
  <c r="M883" i="1" s="1"/>
  <c r="Q883" i="1" s="1"/>
  <c r="I884" i="1"/>
  <c r="I885" i="1"/>
  <c r="I886" i="1"/>
  <c r="I887" i="1"/>
  <c r="M887" i="1" s="1"/>
  <c r="Q887" i="1" s="1"/>
  <c r="I888" i="1"/>
  <c r="I889" i="1"/>
  <c r="I890" i="1"/>
  <c r="I891" i="1"/>
  <c r="I892" i="1"/>
  <c r="M892" i="1" s="1"/>
  <c r="Q892" i="1" s="1"/>
  <c r="I893" i="1"/>
  <c r="M893" i="1" s="1"/>
  <c r="I894" i="1"/>
  <c r="M894" i="1" s="1"/>
  <c r="I895" i="1"/>
  <c r="I896" i="1"/>
  <c r="M896" i="1" s="1"/>
  <c r="Q896" i="1" s="1"/>
  <c r="I897" i="1"/>
  <c r="I898" i="1"/>
  <c r="M898" i="1" s="1"/>
  <c r="Q898" i="1" s="1"/>
  <c r="I899" i="1"/>
  <c r="M899" i="1" s="1"/>
  <c r="Q899" i="1" s="1"/>
  <c r="I900" i="1"/>
  <c r="I901" i="1"/>
  <c r="I902" i="1"/>
  <c r="I903" i="1"/>
  <c r="M903" i="1" s="1"/>
  <c r="Q903" i="1" s="1"/>
  <c r="I904" i="1"/>
  <c r="M904" i="1" s="1"/>
  <c r="I905" i="1"/>
  <c r="I906" i="1"/>
  <c r="I907" i="1"/>
  <c r="I908" i="1"/>
  <c r="M908" i="1" s="1"/>
  <c r="I909" i="1"/>
  <c r="M909" i="1" s="1"/>
  <c r="I910" i="1"/>
  <c r="M910" i="1" s="1"/>
  <c r="Q910" i="1" s="1"/>
  <c r="I911" i="1"/>
  <c r="I912" i="1"/>
  <c r="M912" i="1" s="1"/>
  <c r="I913" i="1"/>
  <c r="I914" i="1"/>
  <c r="M914" i="1" s="1"/>
  <c r="Q914" i="1" s="1"/>
  <c r="I915" i="1"/>
  <c r="M915" i="1" s="1"/>
  <c r="I916" i="1"/>
  <c r="I917" i="1"/>
  <c r="I918" i="1"/>
  <c r="I919" i="1"/>
  <c r="M919" i="1" s="1"/>
  <c r="Q919" i="1" s="1"/>
  <c r="I920" i="1"/>
  <c r="M920" i="1" s="1"/>
  <c r="I921" i="1"/>
  <c r="I922" i="1"/>
  <c r="I923" i="1"/>
  <c r="I924" i="1"/>
  <c r="M924" i="1" s="1"/>
  <c r="Q924" i="1" s="1"/>
  <c r="I925" i="1"/>
  <c r="M925" i="1" s="1"/>
  <c r="I926" i="1"/>
  <c r="M926" i="1" s="1"/>
  <c r="Q926" i="1" s="1"/>
  <c r="I927" i="1"/>
  <c r="I928" i="1"/>
  <c r="I929" i="1"/>
  <c r="I930" i="1"/>
  <c r="M930" i="1" s="1"/>
  <c r="Q930" i="1" s="1"/>
  <c r="I931" i="1"/>
  <c r="M931" i="1" s="1"/>
  <c r="I943" i="1"/>
  <c r="I944" i="1"/>
  <c r="I945" i="1"/>
  <c r="I946" i="1"/>
  <c r="M946" i="1" s="1"/>
  <c r="Q946" i="1" s="1"/>
  <c r="I947" i="1"/>
  <c r="M947" i="1" s="1"/>
  <c r="I948" i="1"/>
  <c r="I949" i="1"/>
  <c r="I950" i="1"/>
  <c r="I951" i="1"/>
  <c r="M951" i="1" s="1"/>
  <c r="Q951" i="1" s="1"/>
  <c r="I952" i="1"/>
  <c r="M952" i="1" s="1"/>
  <c r="I953" i="1"/>
  <c r="M953" i="1" s="1"/>
  <c r="I954" i="1"/>
  <c r="I955" i="1"/>
  <c r="M955" i="1" s="1"/>
  <c r="I956" i="1"/>
  <c r="I957" i="1"/>
  <c r="M957" i="1" s="1"/>
  <c r="Q957" i="1" s="1"/>
  <c r="I958" i="1"/>
  <c r="M958" i="1" s="1"/>
  <c r="Q958" i="1" s="1"/>
  <c r="I959" i="1"/>
  <c r="I960" i="1"/>
  <c r="I961" i="1"/>
  <c r="I962" i="1"/>
  <c r="M962" i="1" s="1"/>
  <c r="Q962" i="1" s="1"/>
  <c r="I963" i="1"/>
  <c r="M963" i="1" s="1"/>
  <c r="I964" i="1"/>
  <c r="I965" i="1"/>
  <c r="I966" i="1"/>
  <c r="I967" i="1"/>
  <c r="M967" i="1" s="1"/>
  <c r="Q967" i="1" s="1"/>
  <c r="I968" i="1"/>
  <c r="M968" i="1" s="1"/>
  <c r="Q968" i="1" s="1"/>
  <c r="I969" i="1"/>
  <c r="M969" i="1" s="1"/>
  <c r="Q969" i="1" s="1"/>
  <c r="I970" i="1"/>
  <c r="I971" i="1"/>
  <c r="I972" i="1"/>
  <c r="I973" i="1"/>
  <c r="M973" i="1" s="1"/>
  <c r="Q973" i="1" s="1"/>
  <c r="I974" i="1"/>
  <c r="M974" i="1" s="1"/>
  <c r="Q974" i="1" s="1"/>
  <c r="I975" i="1"/>
  <c r="I976" i="1"/>
  <c r="I977" i="1"/>
  <c r="I978" i="1"/>
  <c r="M978" i="1" s="1"/>
  <c r="I979" i="1"/>
  <c r="M979" i="1" s="1"/>
  <c r="I980" i="1"/>
  <c r="I981" i="1"/>
  <c r="I982" i="1"/>
  <c r="I983" i="1"/>
  <c r="M983" i="1" s="1"/>
  <c r="I984" i="1"/>
  <c r="M984" i="1" s="1"/>
  <c r="I985" i="1"/>
  <c r="M985" i="1" s="1"/>
  <c r="Q985" i="1" s="1"/>
  <c r="I933" i="1"/>
  <c r="I934" i="1"/>
  <c r="I935" i="1"/>
  <c r="I936" i="1"/>
  <c r="I937" i="1"/>
  <c r="I938" i="1"/>
  <c r="I939" i="1"/>
  <c r="I940" i="1"/>
  <c r="I941" i="1"/>
  <c r="I942" i="1"/>
  <c r="I986" i="1"/>
  <c r="I987" i="1"/>
  <c r="I1014" i="1"/>
  <c r="I1015" i="1"/>
  <c r="I988" i="1"/>
  <c r="I989" i="1"/>
  <c r="I990" i="1"/>
  <c r="I991" i="1"/>
  <c r="M991" i="1" s="1"/>
  <c r="Q991" i="1" s="1"/>
  <c r="I992" i="1"/>
  <c r="M992" i="1" s="1"/>
  <c r="Q992" i="1" s="1"/>
  <c r="I993" i="1"/>
  <c r="I994" i="1"/>
  <c r="I995" i="1"/>
  <c r="I996" i="1"/>
  <c r="I997" i="1"/>
  <c r="I998" i="1"/>
  <c r="I999" i="1"/>
  <c r="M999" i="1" s="1"/>
  <c r="I1000" i="1"/>
  <c r="I1001" i="1"/>
  <c r="M1001" i="1" s="1"/>
  <c r="Q1001" i="1" s="1"/>
  <c r="I1002" i="1"/>
  <c r="M1002" i="1" s="1"/>
  <c r="Q1002" i="1" s="1"/>
  <c r="I1003" i="1"/>
  <c r="M1003" i="1" s="1"/>
  <c r="Q1003" i="1" s="1"/>
  <c r="I1004" i="1"/>
  <c r="I1005" i="1"/>
  <c r="I1006" i="1"/>
  <c r="I1007" i="1"/>
  <c r="M1007" i="1" s="1"/>
  <c r="Q1007" i="1" s="1"/>
  <c r="I1008" i="1"/>
  <c r="M1008" i="1" s="1"/>
  <c r="I1009" i="1"/>
  <c r="I1010" i="1"/>
  <c r="I1011" i="1"/>
  <c r="I1012" i="1"/>
  <c r="I1013" i="1"/>
  <c r="I1016" i="1"/>
  <c r="I1017" i="1"/>
  <c r="M1017" i="1" s="1"/>
  <c r="I1018" i="1"/>
  <c r="I1019" i="1"/>
  <c r="M1019" i="1" s="1"/>
  <c r="Q1019" i="1" s="1"/>
  <c r="I1020" i="1"/>
  <c r="M1020" i="1" s="1"/>
  <c r="Q1020" i="1" s="1"/>
  <c r="I1021" i="1"/>
  <c r="M1021" i="1" s="1"/>
  <c r="Q1021" i="1" s="1"/>
  <c r="I1022" i="1"/>
  <c r="I1023" i="1"/>
  <c r="I1024" i="1"/>
  <c r="I1025" i="1"/>
  <c r="M1025" i="1" s="1"/>
  <c r="I1026" i="1"/>
  <c r="M1026" i="1" s="1"/>
  <c r="I1027" i="1"/>
  <c r="I1028" i="1"/>
  <c r="I1029" i="1"/>
  <c r="I1030" i="1"/>
  <c r="I1031" i="1"/>
  <c r="I1032" i="1"/>
  <c r="I1033" i="1"/>
  <c r="M1033" i="1" s="1"/>
  <c r="I1034" i="1"/>
  <c r="I1035" i="1"/>
  <c r="M1035" i="1" s="1"/>
  <c r="I1036" i="1"/>
  <c r="M1036" i="1" s="1"/>
  <c r="Q1036" i="1" s="1"/>
  <c r="I1037" i="1"/>
  <c r="M1037" i="1" s="1"/>
  <c r="Q1037" i="1" s="1"/>
  <c r="I1038" i="1"/>
  <c r="I1039" i="1"/>
  <c r="I1040" i="1"/>
  <c r="I1041" i="1"/>
  <c r="M1041" i="1" s="1"/>
  <c r="Q1041" i="1" s="1"/>
  <c r="I1042" i="1"/>
  <c r="M1042" i="1" s="1"/>
  <c r="I1043" i="1"/>
  <c r="I1044" i="1"/>
  <c r="I1045" i="1"/>
  <c r="I1046" i="1"/>
  <c r="I1047" i="1"/>
  <c r="I1048" i="1"/>
  <c r="I1049" i="1"/>
  <c r="M1049" i="1" s="1"/>
  <c r="I1050" i="1"/>
  <c r="I1051" i="1"/>
  <c r="M1051" i="1" s="1"/>
  <c r="Q1051" i="1" s="1"/>
  <c r="I1052" i="1"/>
  <c r="M1052" i="1" s="1"/>
  <c r="Q1052" i="1" s="1"/>
  <c r="I1053" i="1"/>
  <c r="M1053" i="1" s="1"/>
  <c r="Q1053" i="1" s="1"/>
  <c r="I1054" i="1"/>
  <c r="I1055" i="1"/>
  <c r="I1056" i="1"/>
  <c r="I1057" i="1"/>
  <c r="M1057" i="1" s="1"/>
  <c r="I1058" i="1"/>
  <c r="M1058" i="1" s="1"/>
  <c r="Q1058" i="1" s="1"/>
  <c r="I1059" i="1"/>
  <c r="I1060" i="1"/>
  <c r="I1061" i="1"/>
  <c r="I1062" i="1"/>
  <c r="I1063" i="1"/>
  <c r="I1064" i="1"/>
  <c r="I1065" i="1"/>
  <c r="M1065" i="1" s="1"/>
  <c r="I1066" i="1"/>
  <c r="I1067" i="1"/>
  <c r="M1067" i="1" s="1"/>
  <c r="I1068" i="1"/>
  <c r="M1068" i="1" s="1"/>
  <c r="Q1068" i="1" s="1"/>
  <c r="I1069" i="1"/>
  <c r="M1069" i="1" s="1"/>
  <c r="Q1069" i="1" s="1"/>
  <c r="I1070" i="1"/>
  <c r="I1071" i="1"/>
  <c r="I1072" i="1"/>
  <c r="I1073" i="1"/>
  <c r="M1073" i="1" s="1"/>
  <c r="Q1073" i="1" s="1"/>
  <c r="I1074" i="1"/>
  <c r="M1074" i="1" s="1"/>
  <c r="Q1074" i="1" s="1"/>
  <c r="I1075" i="1"/>
  <c r="I1076" i="1"/>
  <c r="I1077" i="1"/>
  <c r="I1078" i="1"/>
  <c r="I1079" i="1"/>
  <c r="I1080" i="1"/>
  <c r="I1081" i="1"/>
  <c r="M1081" i="1" s="1"/>
  <c r="I1082" i="1"/>
  <c r="I1083" i="1"/>
  <c r="M1083" i="1" s="1"/>
  <c r="Q1083" i="1" s="1"/>
  <c r="I1084" i="1"/>
  <c r="M1084" i="1" s="1"/>
  <c r="I1085" i="1"/>
  <c r="M1085" i="1" s="1"/>
  <c r="I1086" i="1"/>
  <c r="I1087" i="1"/>
  <c r="I1088" i="1"/>
  <c r="I1089" i="1"/>
  <c r="M1089" i="1" s="1"/>
  <c r="Q1089" i="1" s="1"/>
  <c r="I1090" i="1"/>
  <c r="M1090" i="1" s="1"/>
  <c r="Q1090" i="1" s="1"/>
  <c r="I1091" i="1"/>
  <c r="I1092" i="1"/>
  <c r="I1093" i="1"/>
  <c r="I1094" i="1"/>
  <c r="I1095" i="1"/>
  <c r="I1096" i="1"/>
  <c r="I1097" i="1"/>
  <c r="M1097" i="1" s="1"/>
  <c r="I1098" i="1"/>
  <c r="I1099" i="1"/>
  <c r="M1099" i="1" s="1"/>
  <c r="Q1099" i="1" s="1"/>
  <c r="I1100" i="1"/>
  <c r="M1100" i="1" s="1"/>
  <c r="Q1100" i="1" s="1"/>
  <c r="I1101" i="1"/>
  <c r="M1101" i="1" s="1"/>
  <c r="Q1101" i="1" s="1"/>
  <c r="I1102" i="1"/>
  <c r="I1103" i="1"/>
  <c r="I1104" i="1"/>
  <c r="I1105" i="1"/>
  <c r="M1105" i="1" s="1"/>
  <c r="I1106" i="1"/>
  <c r="M1106" i="1" s="1"/>
  <c r="Q1106" i="1" s="1"/>
  <c r="I1107" i="1"/>
  <c r="I1108" i="1"/>
  <c r="I1109" i="1"/>
  <c r="I1110" i="1"/>
  <c r="I1111" i="1"/>
  <c r="I1112" i="1"/>
  <c r="I1113" i="1"/>
  <c r="M1113" i="1" s="1"/>
  <c r="I1114" i="1"/>
  <c r="I1115" i="1"/>
  <c r="M1115" i="1" s="1"/>
  <c r="Q1115" i="1" s="1"/>
  <c r="I1116" i="1"/>
  <c r="M1116" i="1" s="1"/>
  <c r="I1117" i="1"/>
  <c r="M1117" i="1" s="1"/>
  <c r="Q1117" i="1" s="1"/>
  <c r="I1118" i="1"/>
  <c r="I1119" i="1"/>
  <c r="I1120" i="1"/>
  <c r="I1121" i="1"/>
  <c r="M1121" i="1" s="1"/>
  <c r="Q1121" i="1" s="1"/>
  <c r="I1122" i="1"/>
  <c r="M1122" i="1" s="1"/>
  <c r="I1123" i="1"/>
  <c r="I1124" i="1"/>
  <c r="I1125" i="1"/>
  <c r="I1126" i="1"/>
  <c r="I1127" i="1"/>
  <c r="I1128" i="1"/>
  <c r="I1129" i="1"/>
  <c r="M1129" i="1" s="1"/>
  <c r="I1130" i="1"/>
  <c r="I1131" i="1"/>
  <c r="M1131" i="1" s="1"/>
  <c r="I1132" i="1"/>
  <c r="M1132" i="1" s="1"/>
  <c r="Q1132" i="1" s="1"/>
  <c r="I1133" i="1"/>
  <c r="M1133" i="1" s="1"/>
  <c r="Q1133" i="1" s="1"/>
  <c r="I1134" i="1"/>
  <c r="I1135" i="1"/>
  <c r="I1136" i="1"/>
  <c r="I1137" i="1"/>
  <c r="M1137" i="1" s="1"/>
  <c r="I1138" i="1"/>
  <c r="M1138" i="1" s="1"/>
  <c r="Q1138" i="1" s="1"/>
  <c r="I1139" i="1"/>
  <c r="I1140" i="1"/>
  <c r="I1141" i="1"/>
  <c r="I1142" i="1"/>
  <c r="I1143" i="1"/>
  <c r="I1144" i="1"/>
  <c r="I1145" i="1"/>
  <c r="M1145" i="1" s="1"/>
  <c r="I1146" i="1"/>
  <c r="I1147" i="1"/>
  <c r="M1147" i="1" s="1"/>
  <c r="Q1147" i="1" s="1"/>
  <c r="I1148" i="1"/>
  <c r="M1148" i="1" s="1"/>
  <c r="Q1148" i="1" s="1"/>
  <c r="I1149" i="1"/>
  <c r="M1149" i="1" s="1"/>
  <c r="Q1149" i="1" s="1"/>
  <c r="I1150" i="1"/>
  <c r="I1151" i="1"/>
  <c r="I1152" i="1"/>
  <c r="I1153" i="1"/>
  <c r="M1153" i="1" s="1"/>
  <c r="Q1153" i="1" s="1"/>
  <c r="I1169" i="1"/>
  <c r="I1154" i="1"/>
  <c r="M1154" i="1" s="1"/>
  <c r="Q1154" i="1" s="1"/>
  <c r="I1155" i="1"/>
  <c r="I1156" i="1"/>
  <c r="I1157" i="1"/>
  <c r="I1158" i="1"/>
  <c r="M1158" i="1" s="1"/>
  <c r="I1159" i="1"/>
  <c r="I1160" i="1"/>
  <c r="I1161" i="1"/>
  <c r="I1162" i="1"/>
  <c r="I1163" i="1"/>
  <c r="M1163" i="1" s="1"/>
  <c r="I1164" i="1"/>
  <c r="M1164" i="1" s="1"/>
  <c r="Q1164" i="1" s="1"/>
  <c r="I1165" i="1"/>
  <c r="M1165" i="1" s="1"/>
  <c r="Q1165" i="1" s="1"/>
  <c r="I1166" i="1"/>
  <c r="I1167" i="1"/>
  <c r="I1168" i="1"/>
  <c r="I1170" i="1"/>
  <c r="I1171" i="1"/>
  <c r="I1172" i="1"/>
  <c r="I1173" i="1"/>
  <c r="I1175" i="1"/>
  <c r="I1174" i="1"/>
  <c r="I1178" i="1"/>
  <c r="I1176" i="1"/>
  <c r="I1177" i="1"/>
  <c r="I1182" i="1"/>
  <c r="I1179" i="1"/>
  <c r="I1180" i="1"/>
  <c r="I1181" i="1"/>
  <c r="I1183" i="1"/>
  <c r="I1184" i="1"/>
  <c r="I1185" i="1"/>
  <c r="I1187" i="1"/>
  <c r="I1186" i="1"/>
  <c r="I1188" i="1"/>
  <c r="I1189" i="1"/>
  <c r="I1190" i="1"/>
  <c r="I1191" i="1"/>
  <c r="I1192" i="1"/>
  <c r="M1192" i="1" s="1"/>
  <c r="Q1192" i="1" s="1"/>
  <c r="I1193" i="1"/>
  <c r="M1193" i="1" s="1"/>
  <c r="Q1193" i="1" s="1"/>
  <c r="I1194" i="1"/>
  <c r="I1195" i="1"/>
  <c r="I1196" i="1"/>
  <c r="I1197" i="1"/>
  <c r="M1197" i="1" s="1"/>
  <c r="I1198" i="1"/>
  <c r="I1199" i="1"/>
  <c r="I1200" i="1"/>
  <c r="I1201" i="1"/>
  <c r="I1202" i="1"/>
  <c r="M1202" i="1" s="1"/>
  <c r="I1203" i="1"/>
  <c r="M1203" i="1" s="1"/>
  <c r="I1204" i="1"/>
  <c r="M1204" i="1" s="1"/>
  <c r="I1207" i="1"/>
  <c r="I1208" i="1"/>
  <c r="I1209" i="1"/>
  <c r="I1205" i="1"/>
  <c r="I1206" i="1"/>
  <c r="I1210" i="1"/>
  <c r="M1210" i="1" s="1"/>
  <c r="Q1210" i="1" s="1"/>
  <c r="I1211" i="1"/>
  <c r="M1211" i="1" s="1"/>
  <c r="Q1211" i="1" s="1"/>
  <c r="I1212" i="1"/>
  <c r="I1213" i="1"/>
  <c r="I1214" i="1"/>
  <c r="M1214" i="1" s="1"/>
  <c r="Q1214" i="1" s="1"/>
  <c r="I1215" i="1"/>
  <c r="M1215" i="1" s="1"/>
  <c r="Q1215" i="1" s="1"/>
  <c r="I1216" i="1"/>
  <c r="I1217" i="1"/>
  <c r="I1218" i="1"/>
  <c r="I1219" i="1"/>
  <c r="I1220" i="1"/>
  <c r="M1220" i="1" s="1"/>
  <c r="Q1220" i="1" s="1"/>
  <c r="I1221" i="1"/>
  <c r="M1221" i="1" s="1"/>
  <c r="I1222" i="1"/>
  <c r="I1223" i="1"/>
  <c r="M1223" i="1" s="1"/>
  <c r="Q1223" i="1" s="1"/>
  <c r="I1224" i="1"/>
  <c r="M1224" i="1" s="1"/>
  <c r="Q1224" i="1" s="1"/>
  <c r="I1225" i="1"/>
  <c r="M1225" i="1" s="1"/>
  <c r="Q1225" i="1" s="1"/>
  <c r="I1226" i="1"/>
  <c r="M1226" i="1" s="1"/>
  <c r="I1227" i="1"/>
  <c r="M1227" i="1" s="1"/>
  <c r="Q1227" i="1" s="1"/>
  <c r="I1228" i="1"/>
  <c r="I1229" i="1"/>
  <c r="I1230" i="1"/>
  <c r="I1231" i="1"/>
  <c r="M1231" i="1" s="1"/>
  <c r="I1232" i="1"/>
  <c r="I1233" i="1"/>
  <c r="I1234" i="1"/>
  <c r="I1235" i="1"/>
  <c r="I1236" i="1"/>
  <c r="M1236" i="1" s="1"/>
  <c r="I1237" i="1"/>
  <c r="M1237" i="1" s="1"/>
  <c r="Q1237" i="1" s="1"/>
  <c r="I1238" i="1"/>
  <c r="I1239" i="1"/>
  <c r="M1239" i="1" s="1"/>
  <c r="Q1239" i="1" s="1"/>
  <c r="I1240" i="1"/>
  <c r="M1240" i="1" s="1"/>
  <c r="Q1240" i="1" s="1"/>
  <c r="I1241" i="1"/>
  <c r="M1241" i="1" s="1"/>
  <c r="Q1241" i="1" s="1"/>
  <c r="I1242" i="1"/>
  <c r="M1242" i="1" s="1"/>
  <c r="Q1242" i="1" s="1"/>
  <c r="I1243" i="1"/>
  <c r="M1243" i="1" s="1"/>
  <c r="Q1243" i="1" s="1"/>
  <c r="I1244" i="1"/>
  <c r="I1245" i="1"/>
  <c r="I1246" i="1"/>
  <c r="M1246" i="1" s="1"/>
  <c r="I1247" i="1"/>
  <c r="M1247" i="1" s="1"/>
  <c r="I1248" i="1"/>
  <c r="I1249" i="1"/>
  <c r="I1250" i="1"/>
  <c r="I1251" i="1"/>
  <c r="I1252" i="1"/>
  <c r="M1252" i="1" s="1"/>
  <c r="Q1252" i="1" s="1"/>
  <c r="I1253" i="1"/>
  <c r="M1253" i="1" s="1"/>
  <c r="Q1253" i="1" s="1"/>
  <c r="I1254" i="1"/>
  <c r="I1255" i="1"/>
  <c r="M1255" i="1" s="1"/>
  <c r="I1256" i="1"/>
  <c r="M1256" i="1" s="1"/>
  <c r="Q1256" i="1" s="1"/>
  <c r="I1257" i="1"/>
  <c r="M1257" i="1" s="1"/>
  <c r="I1258" i="1"/>
  <c r="M1258" i="1" s="1"/>
  <c r="Q1258" i="1" s="1"/>
  <c r="I1259" i="1"/>
  <c r="M1259" i="1" s="1"/>
  <c r="Q1259" i="1" s="1"/>
  <c r="I1260" i="1"/>
  <c r="I1261" i="1"/>
  <c r="I1266" i="1"/>
  <c r="M1266" i="1" s="1"/>
  <c r="Q1266" i="1" s="1"/>
  <c r="I1267" i="1"/>
  <c r="M1267" i="1" s="1"/>
  <c r="Q1267" i="1" s="1"/>
  <c r="I1268" i="1"/>
  <c r="I1269" i="1"/>
  <c r="I1270" i="1"/>
  <c r="I1271" i="1"/>
  <c r="I1272" i="1"/>
  <c r="M1272" i="1" s="1"/>
  <c r="Q1272" i="1" s="1"/>
  <c r="I1273" i="1"/>
  <c r="M1273" i="1" s="1"/>
  <c r="Q1273" i="1" s="1"/>
  <c r="I1274" i="1"/>
  <c r="I1275" i="1"/>
  <c r="M1275" i="1" s="1"/>
  <c r="Q1275" i="1" s="1"/>
  <c r="I1276" i="1"/>
  <c r="M1276" i="1" s="1"/>
  <c r="I1277" i="1"/>
  <c r="M1277" i="1" s="1"/>
  <c r="I1278" i="1"/>
  <c r="M1278" i="1" s="1"/>
  <c r="Q1278" i="1" s="1"/>
  <c r="I1279" i="1"/>
  <c r="M1279" i="1" s="1"/>
  <c r="Q1279" i="1" s="1"/>
  <c r="I1280" i="1"/>
  <c r="I1281" i="1"/>
  <c r="I1282" i="1"/>
  <c r="M1282" i="1" s="1"/>
  <c r="Q1282" i="1" s="1"/>
  <c r="I1283" i="1"/>
  <c r="M1283" i="1" s="1"/>
  <c r="I1284" i="1"/>
  <c r="I1285" i="1"/>
  <c r="I1286" i="1"/>
  <c r="I1287" i="1"/>
  <c r="I1288" i="1"/>
  <c r="M1288" i="1" s="1"/>
  <c r="Q1288" i="1" s="1"/>
  <c r="I1289" i="1"/>
  <c r="M1289" i="1" s="1"/>
  <c r="I1290" i="1"/>
  <c r="I1291" i="1"/>
  <c r="M1291" i="1" s="1"/>
  <c r="Q1291" i="1" s="1"/>
  <c r="I1292" i="1"/>
  <c r="M1292" i="1" s="1"/>
  <c r="Q1292" i="1" s="1"/>
  <c r="I1293" i="1"/>
  <c r="M1293" i="1" s="1"/>
  <c r="Q1293" i="1" s="1"/>
  <c r="I1294" i="1"/>
  <c r="M1294" i="1" s="1"/>
  <c r="I1295" i="1"/>
  <c r="M1295" i="1" s="1"/>
  <c r="Q1295" i="1" s="1"/>
  <c r="I1296" i="1"/>
  <c r="I1297" i="1"/>
  <c r="I1298" i="1"/>
  <c r="M1298" i="1" s="1"/>
  <c r="Q1298" i="1" s="1"/>
  <c r="I1299" i="1"/>
  <c r="M1299" i="1" s="1"/>
  <c r="Q1299" i="1" s="1"/>
  <c r="I1300" i="1"/>
  <c r="I1301" i="1"/>
  <c r="I1302" i="1"/>
  <c r="I1303" i="1"/>
  <c r="I1304" i="1"/>
  <c r="M1304" i="1" s="1"/>
  <c r="Q1304" i="1" s="1"/>
  <c r="I1305" i="1"/>
  <c r="M1305" i="1" s="1"/>
  <c r="Q1305" i="1" s="1"/>
  <c r="I1306" i="1"/>
  <c r="I1307" i="1"/>
  <c r="M1307" i="1" s="1"/>
  <c r="Q1307" i="1" s="1"/>
  <c r="I1308" i="1"/>
  <c r="M1308" i="1" s="1"/>
  <c r="I1309" i="1"/>
  <c r="M1309" i="1" s="1"/>
  <c r="Q1309" i="1" s="1"/>
  <c r="I1310" i="1"/>
  <c r="M1310" i="1" s="1"/>
  <c r="I1311" i="1"/>
  <c r="M1311" i="1" s="1"/>
  <c r="Q1311" i="1" s="1"/>
  <c r="I1312" i="1"/>
  <c r="I1262" i="1"/>
  <c r="I1263" i="1"/>
  <c r="I1264" i="1"/>
  <c r="I1265" i="1"/>
  <c r="I1313" i="1"/>
  <c r="I1314" i="1"/>
  <c r="I1315" i="1"/>
  <c r="M1315" i="1" s="1"/>
  <c r="I1316" i="1"/>
  <c r="I1317" i="1"/>
  <c r="I1318" i="1"/>
  <c r="I1319" i="1"/>
  <c r="I1320" i="1"/>
  <c r="M1320" i="1" s="1"/>
  <c r="Q1320" i="1" s="1"/>
  <c r="I1321" i="1"/>
  <c r="M1321" i="1" s="1"/>
  <c r="Q1321" i="1" s="1"/>
  <c r="I1322" i="1"/>
  <c r="M1322" i="1" s="1"/>
  <c r="Q1322" i="1" s="1"/>
  <c r="I1323" i="1"/>
  <c r="I1324" i="1"/>
  <c r="I1325" i="1"/>
  <c r="I1326" i="1"/>
  <c r="M1326" i="1" s="1"/>
  <c r="I1327" i="1"/>
  <c r="I1328" i="1"/>
  <c r="I1329" i="1"/>
  <c r="I1330" i="1"/>
  <c r="I1331" i="1"/>
  <c r="M1331" i="1" s="1"/>
  <c r="I1332" i="1"/>
  <c r="I1333" i="1"/>
  <c r="I1334" i="1"/>
  <c r="I1335" i="1"/>
  <c r="I1336" i="1"/>
  <c r="M1336" i="1" s="1"/>
  <c r="Q1336" i="1" s="1"/>
  <c r="I1337" i="1"/>
  <c r="M1337" i="1" s="1"/>
  <c r="Q1337" i="1" s="1"/>
  <c r="I1338" i="1"/>
  <c r="M1338" i="1" s="1"/>
  <c r="Q1338" i="1" s="1"/>
  <c r="I1339" i="1"/>
  <c r="I1340" i="1"/>
  <c r="I1341" i="1"/>
  <c r="I1342" i="1"/>
  <c r="M1342" i="1" s="1"/>
  <c r="Q1342" i="1" s="1"/>
  <c r="I1343" i="1"/>
  <c r="I1344" i="1"/>
  <c r="I1345" i="1"/>
  <c r="I1346" i="1"/>
  <c r="I1347" i="1"/>
  <c r="M1347" i="1" s="1"/>
  <c r="I1348" i="1"/>
  <c r="I1349" i="1"/>
  <c r="I1350" i="1"/>
  <c r="I1351" i="1"/>
  <c r="I1352" i="1"/>
  <c r="M1352" i="1" s="1"/>
  <c r="Q1352" i="1" s="1"/>
  <c r="I1353" i="1"/>
  <c r="M1353" i="1" s="1"/>
  <c r="Q1353" i="1" s="1"/>
  <c r="I1354" i="1"/>
  <c r="M1354" i="1" s="1"/>
  <c r="Q1354" i="1" s="1"/>
  <c r="I1363" i="1"/>
  <c r="I1364" i="1"/>
  <c r="I1365" i="1"/>
  <c r="I1366" i="1"/>
  <c r="M1366" i="1" s="1"/>
  <c r="Q1366" i="1" s="1"/>
  <c r="I1367" i="1"/>
  <c r="I1368" i="1"/>
  <c r="I1369" i="1"/>
  <c r="I1370" i="1"/>
  <c r="I1371" i="1"/>
  <c r="M1371" i="1" s="1"/>
  <c r="Q1371" i="1" s="1"/>
  <c r="I1372" i="1"/>
  <c r="I1373" i="1"/>
  <c r="I1374" i="1"/>
  <c r="I1375" i="1"/>
  <c r="I1376" i="1"/>
  <c r="M1376" i="1" s="1"/>
  <c r="I1377" i="1"/>
  <c r="M1377" i="1" s="1"/>
  <c r="Q1377" i="1" s="1"/>
  <c r="I1378" i="1"/>
  <c r="M1378" i="1" s="1"/>
  <c r="Q1378" i="1" s="1"/>
  <c r="I1379" i="1"/>
  <c r="I1380" i="1"/>
  <c r="I1381" i="1"/>
  <c r="I1382" i="1"/>
  <c r="I1383" i="1"/>
  <c r="I1384" i="1"/>
  <c r="I1385" i="1"/>
  <c r="I1386" i="1"/>
  <c r="I1387" i="1"/>
  <c r="M1387" i="1" s="1"/>
  <c r="I1388" i="1"/>
  <c r="I1389" i="1"/>
  <c r="I1390" i="1"/>
  <c r="I1391" i="1"/>
  <c r="I1392" i="1"/>
  <c r="M1392" i="1" s="1"/>
  <c r="Q1392" i="1" s="1"/>
  <c r="I1393" i="1"/>
  <c r="M1393" i="1" s="1"/>
  <c r="I1356" i="1"/>
  <c r="I1355" i="1"/>
  <c r="I1357" i="1"/>
  <c r="I1358" i="1"/>
  <c r="I1359" i="1"/>
  <c r="I1360" i="1"/>
  <c r="I1361" i="1"/>
  <c r="I1362" i="1"/>
  <c r="I1394" i="1"/>
  <c r="M1394" i="1" s="1"/>
  <c r="I1395" i="1"/>
  <c r="I1396" i="1"/>
  <c r="I1397" i="1"/>
  <c r="I1398" i="1"/>
  <c r="I1399" i="1"/>
  <c r="I1400" i="1"/>
  <c r="I1401" i="1"/>
  <c r="I1402" i="1"/>
  <c r="I1403" i="1"/>
  <c r="M1403" i="1" s="1"/>
  <c r="Q1403" i="1" s="1"/>
  <c r="I1404" i="1"/>
  <c r="I1405" i="1"/>
  <c r="I1406" i="1"/>
  <c r="I1407" i="1"/>
  <c r="I1408" i="1"/>
  <c r="M1408" i="1" s="1"/>
  <c r="Q1408" i="1" s="1"/>
  <c r="I1409" i="1"/>
  <c r="M1409" i="1" s="1"/>
  <c r="Q1409" i="1" s="1"/>
  <c r="I1410" i="1"/>
  <c r="M1410" i="1" s="1"/>
  <c r="Q1410" i="1" s="1"/>
  <c r="I1411" i="1"/>
  <c r="I1412" i="1"/>
  <c r="I1413" i="1"/>
  <c r="I1414" i="1"/>
  <c r="I1415" i="1"/>
  <c r="I1416" i="1"/>
  <c r="I1417" i="1"/>
  <c r="I1418" i="1"/>
  <c r="I1419" i="1"/>
  <c r="M1419" i="1" s="1"/>
  <c r="Q1419" i="1" s="1"/>
  <c r="I1420" i="1"/>
  <c r="I1421" i="1"/>
  <c r="I1422" i="1"/>
  <c r="I1423" i="1"/>
  <c r="I1424" i="1"/>
  <c r="M1424" i="1" s="1"/>
  <c r="I1425" i="1"/>
  <c r="M1425" i="1" s="1"/>
  <c r="Q1425" i="1" s="1"/>
  <c r="I1426" i="1"/>
  <c r="M1426" i="1" s="1"/>
  <c r="Q1426" i="1" s="1"/>
  <c r="I1427" i="1"/>
  <c r="I1428" i="1"/>
  <c r="I1429" i="1"/>
  <c r="I1430" i="1"/>
  <c r="I1431" i="1"/>
  <c r="I1432" i="1"/>
  <c r="I1433" i="1"/>
  <c r="I1434" i="1"/>
  <c r="I1435" i="1"/>
  <c r="M1435" i="1" s="1"/>
  <c r="I1436" i="1"/>
  <c r="I1437" i="1"/>
  <c r="I1438" i="1"/>
  <c r="I1439" i="1"/>
  <c r="I1440" i="1"/>
  <c r="M1440" i="1" s="1"/>
  <c r="Q1440" i="1" s="1"/>
  <c r="I1441" i="1"/>
  <c r="M1441" i="1" s="1"/>
  <c r="Q1441" i="1" s="1"/>
  <c r="I1442" i="1"/>
  <c r="M1442" i="1" s="1"/>
  <c r="Q1442" i="1" s="1"/>
  <c r="I1443" i="1"/>
  <c r="I1444" i="1"/>
  <c r="I1445" i="1"/>
  <c r="I1446" i="1"/>
  <c r="I1447" i="1"/>
  <c r="I1448" i="1"/>
  <c r="I1449" i="1"/>
  <c r="I1450" i="1"/>
  <c r="I1451" i="1"/>
  <c r="M1451" i="1" s="1"/>
  <c r="Q1451" i="1" s="1"/>
  <c r="I1452" i="1"/>
  <c r="I1453" i="1"/>
  <c r="I1454" i="1"/>
  <c r="I1455" i="1"/>
  <c r="I1456" i="1"/>
  <c r="M1456" i="1" s="1"/>
  <c r="Q1456" i="1" s="1"/>
  <c r="I1457" i="1"/>
  <c r="M1457" i="1" s="1"/>
  <c r="Q1457" i="1" s="1"/>
  <c r="I1458" i="1"/>
  <c r="M1458" i="1" s="1"/>
  <c r="Q1458" i="1" s="1"/>
  <c r="I1459" i="1"/>
  <c r="I1460" i="1"/>
  <c r="I1461" i="1"/>
  <c r="I1462" i="1"/>
  <c r="I1463" i="1"/>
  <c r="I1464" i="1"/>
  <c r="I1465" i="1"/>
  <c r="I1466" i="1"/>
  <c r="I1467" i="1"/>
  <c r="M1467" i="1" s="1"/>
  <c r="Q1467" i="1" s="1"/>
  <c r="I1468" i="1"/>
  <c r="I1469" i="1"/>
  <c r="I1470" i="1"/>
  <c r="I1471" i="1"/>
  <c r="I1472" i="1"/>
  <c r="M1472" i="1" s="1"/>
  <c r="I1473" i="1"/>
  <c r="M1473" i="1" s="1"/>
  <c r="I1474" i="1"/>
  <c r="M1474" i="1" s="1"/>
  <c r="I1475" i="1"/>
  <c r="I1476" i="1"/>
  <c r="I1477" i="1"/>
  <c r="I1478" i="1"/>
  <c r="I1479" i="1"/>
  <c r="I1480" i="1"/>
  <c r="I1481" i="1"/>
  <c r="I1482" i="1"/>
  <c r="I1483" i="1"/>
  <c r="M1483" i="1" s="1"/>
  <c r="I1484" i="1"/>
  <c r="I1485" i="1"/>
  <c r="I1486" i="1"/>
  <c r="I1487" i="1"/>
  <c r="I1488" i="1"/>
  <c r="M1488" i="1" s="1"/>
  <c r="I1489" i="1"/>
  <c r="M1489" i="1" s="1"/>
  <c r="I1490" i="1"/>
  <c r="M1490" i="1" s="1"/>
  <c r="Q1490" i="1" s="1"/>
  <c r="I1491" i="1"/>
  <c r="I1492" i="1"/>
  <c r="I1493" i="1"/>
  <c r="I1494" i="1"/>
  <c r="I1495" i="1"/>
  <c r="I1496" i="1"/>
  <c r="I1497" i="1"/>
  <c r="I1498" i="1"/>
  <c r="I1499" i="1"/>
  <c r="M1499" i="1" s="1"/>
  <c r="I1500" i="1"/>
  <c r="I1501" i="1"/>
  <c r="I1502" i="1"/>
  <c r="I1503" i="1"/>
  <c r="I1504" i="1"/>
  <c r="M1504" i="1" s="1"/>
  <c r="I1505" i="1"/>
  <c r="M1505" i="1" s="1"/>
  <c r="I1506" i="1"/>
  <c r="M1506" i="1" s="1"/>
  <c r="I1507" i="1"/>
  <c r="I1508" i="1"/>
  <c r="I1509" i="1"/>
  <c r="I1510" i="1"/>
  <c r="I1511" i="1"/>
  <c r="I1512" i="1"/>
  <c r="I1513" i="1"/>
  <c r="I1514" i="1"/>
  <c r="I1515" i="1"/>
  <c r="M1515" i="1" s="1"/>
  <c r="Q1515" i="1" s="1"/>
  <c r="I1516" i="1"/>
  <c r="I1517" i="1"/>
  <c r="I1518" i="1"/>
  <c r="I1519" i="1"/>
  <c r="I1520" i="1"/>
  <c r="M1520" i="1" s="1"/>
  <c r="I1521" i="1"/>
  <c r="M1521" i="1" s="1"/>
  <c r="I1522" i="1"/>
  <c r="M1522" i="1" s="1"/>
  <c r="I1523" i="1"/>
  <c r="I1524" i="1"/>
  <c r="I1525" i="1"/>
  <c r="I1526" i="1"/>
  <c r="I1527" i="1"/>
  <c r="I1528" i="1"/>
  <c r="I1529" i="1"/>
  <c r="I1530" i="1"/>
  <c r="I1531" i="1"/>
  <c r="M1531" i="1" s="1"/>
  <c r="I1532" i="1"/>
  <c r="I1533" i="1"/>
  <c r="I1534" i="1"/>
  <c r="I1535" i="1"/>
  <c r="I1536" i="1"/>
  <c r="M1536" i="1" s="1"/>
  <c r="I1537" i="1"/>
  <c r="M1537" i="1" s="1"/>
  <c r="Q1537" i="1" s="1"/>
  <c r="I1538" i="1"/>
  <c r="M1538" i="1" s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M1555" i="1" s="1"/>
  <c r="I1556" i="1"/>
  <c r="M1556" i="1" s="1"/>
  <c r="I1557" i="1"/>
  <c r="M1557" i="1" s="1"/>
  <c r="I1558" i="1"/>
  <c r="I1559" i="1"/>
  <c r="I1560" i="1"/>
  <c r="I1561" i="1"/>
  <c r="I1562" i="1"/>
  <c r="I1563" i="1"/>
  <c r="I1539" i="1"/>
  <c r="I1540" i="1"/>
  <c r="I1541" i="1"/>
  <c r="I1564" i="1"/>
  <c r="I1566" i="1"/>
  <c r="I1565" i="1"/>
  <c r="I1567" i="1"/>
  <c r="I1568" i="1"/>
  <c r="I1569" i="1"/>
  <c r="I1570" i="1"/>
  <c r="I5" i="1"/>
  <c r="M5" i="1" s="1"/>
  <c r="Q5" i="1" s="1"/>
  <c r="I8" i="1"/>
  <c r="M8" i="1" s="1"/>
  <c r="Q8" i="1" s="1"/>
  <c r="I9" i="1"/>
  <c r="M9" i="1" s="1"/>
  <c r="Q9" i="1" s="1"/>
  <c r="I10" i="1"/>
  <c r="I11" i="1"/>
  <c r="M11" i="1" s="1"/>
  <c r="Q11" i="1" s="1"/>
  <c r="I6" i="1"/>
  <c r="M6" i="1" s="1"/>
  <c r="I7" i="1"/>
  <c r="I12" i="1"/>
  <c r="G1570" i="1"/>
  <c r="H1570" i="1" s="1"/>
  <c r="G1569" i="1"/>
  <c r="H1569" i="1" s="1"/>
  <c r="G1568" i="1"/>
  <c r="H1568" i="1" s="1"/>
  <c r="G1567" i="1"/>
  <c r="H1567" i="1" s="1"/>
  <c r="G1565" i="1"/>
  <c r="H1565" i="1" s="1"/>
  <c r="G1566" i="1"/>
  <c r="H1566" i="1" s="1"/>
  <c r="G1564" i="1"/>
  <c r="H1564" i="1" s="1"/>
  <c r="G1541" i="1"/>
  <c r="H1541" i="1" s="1"/>
  <c r="G1540" i="1"/>
  <c r="H1540" i="1" s="1"/>
  <c r="G1539" i="1"/>
  <c r="H1539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7" i="1"/>
  <c r="H1357" i="1" s="1"/>
  <c r="G1355" i="1"/>
  <c r="H1355" i="1" s="1"/>
  <c r="G1356" i="1"/>
  <c r="H1356" i="1" s="1"/>
  <c r="G1265" i="1"/>
  <c r="H1265" i="1" s="1"/>
  <c r="G1264" i="1"/>
  <c r="H1264" i="1" s="1"/>
  <c r="G1263" i="1"/>
  <c r="H1263" i="1" s="1"/>
  <c r="G1262" i="1"/>
  <c r="H1262" i="1" s="1"/>
  <c r="G1206" i="1"/>
  <c r="H1206" i="1" s="1"/>
  <c r="G1205" i="1"/>
  <c r="H1205" i="1" s="1"/>
  <c r="G1191" i="1"/>
  <c r="H1191" i="1" s="1"/>
  <c r="G1190" i="1"/>
  <c r="H1190" i="1" s="1"/>
  <c r="G1189" i="1"/>
  <c r="H1189" i="1" s="1"/>
  <c r="G1188" i="1"/>
  <c r="H1188" i="1" s="1"/>
  <c r="G1186" i="1"/>
  <c r="H1186" i="1" s="1"/>
  <c r="G1187" i="1"/>
  <c r="H1187" i="1" s="1"/>
  <c r="G1185" i="1"/>
  <c r="H1185" i="1" s="1"/>
  <c r="G1184" i="1"/>
  <c r="H1184" i="1" s="1"/>
  <c r="G1183" i="1"/>
  <c r="H1183" i="1" s="1"/>
  <c r="G1181" i="1"/>
  <c r="H1181" i="1" s="1"/>
  <c r="G1180" i="1"/>
  <c r="H1180" i="1" s="1"/>
  <c r="G1179" i="1"/>
  <c r="H1179" i="1" s="1"/>
  <c r="G1182" i="1"/>
  <c r="H1182" i="1" s="1"/>
  <c r="G1177" i="1"/>
  <c r="H1177" i="1" s="1"/>
  <c r="G1176" i="1"/>
  <c r="H1176" i="1" s="1"/>
  <c r="G1178" i="1"/>
  <c r="H1178" i="1" s="1"/>
  <c r="G1174" i="1"/>
  <c r="H1174" i="1" s="1"/>
  <c r="G1175" i="1"/>
  <c r="H1175" i="1" s="1"/>
  <c r="G1173" i="1"/>
  <c r="H1173" i="1" s="1"/>
  <c r="G1172" i="1"/>
  <c r="H1172" i="1" s="1"/>
  <c r="G1171" i="1"/>
  <c r="H1171" i="1" s="1"/>
  <c r="G1170" i="1"/>
  <c r="H1170" i="1" s="1"/>
  <c r="G1169" i="1"/>
  <c r="H1169" i="1" s="1"/>
  <c r="G1015" i="1"/>
  <c r="H1015" i="1" s="1"/>
  <c r="G1014" i="1"/>
  <c r="H1014" i="1" s="1"/>
  <c r="G987" i="1"/>
  <c r="H987" i="1" s="1"/>
  <c r="G986" i="1"/>
  <c r="H986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L831" i="1" s="1"/>
  <c r="Q831" i="1" s="1"/>
  <c r="G830" i="1"/>
  <c r="H830" i="1" s="1"/>
  <c r="L830" i="1" s="1"/>
  <c r="Q830" i="1" s="1"/>
  <c r="G829" i="1"/>
  <c r="H829" i="1" s="1"/>
  <c r="L829" i="1" s="1"/>
  <c r="Q829" i="1" s="1"/>
  <c r="G828" i="1"/>
  <c r="H828" i="1" s="1"/>
  <c r="L828" i="1" s="1"/>
  <c r="Q828" i="1" s="1"/>
  <c r="G827" i="1"/>
  <c r="H827" i="1" s="1"/>
  <c r="G826" i="1"/>
  <c r="H826" i="1" s="1"/>
  <c r="G825" i="1"/>
  <c r="H825" i="1" s="1"/>
  <c r="G824" i="1"/>
  <c r="H824" i="1" s="1"/>
  <c r="G823" i="1"/>
  <c r="H823" i="1" s="1"/>
  <c r="G811" i="1"/>
  <c r="H811" i="1" s="1"/>
  <c r="G810" i="1"/>
  <c r="H810" i="1" s="1"/>
  <c r="G725" i="1"/>
  <c r="H725" i="1" s="1"/>
  <c r="G635" i="1"/>
  <c r="H635" i="1" s="1"/>
  <c r="G634" i="1"/>
  <c r="H634" i="1" s="1"/>
  <c r="G549" i="1"/>
  <c r="H549" i="1" s="1"/>
  <c r="G548" i="1"/>
  <c r="H548" i="1" s="1"/>
  <c r="G547" i="1"/>
  <c r="H547" i="1" s="1"/>
  <c r="G546" i="1"/>
  <c r="G544" i="1"/>
  <c r="G543" i="1"/>
  <c r="G542" i="1"/>
  <c r="G545" i="1"/>
  <c r="G470" i="1"/>
  <c r="G541" i="1"/>
  <c r="G469" i="1"/>
  <c r="G468" i="1"/>
  <c r="G467" i="1"/>
  <c r="G465" i="1"/>
  <c r="G466" i="1"/>
  <c r="G429" i="1"/>
  <c r="G428" i="1"/>
  <c r="G427" i="1"/>
  <c r="G426" i="1"/>
  <c r="G464" i="1"/>
  <c r="G430" i="1"/>
  <c r="G423" i="1"/>
  <c r="G425" i="1"/>
  <c r="G424" i="1"/>
  <c r="G422" i="1"/>
  <c r="G411" i="1"/>
  <c r="G421" i="1"/>
  <c r="G412" i="1"/>
  <c r="G410" i="1"/>
  <c r="G209" i="1"/>
  <c r="G208" i="1"/>
  <c r="G108" i="1"/>
  <c r="G106" i="1"/>
  <c r="G107" i="1"/>
  <c r="G109" i="1"/>
  <c r="G207" i="1"/>
  <c r="G105" i="1"/>
  <c r="G104" i="1"/>
  <c r="G50" i="1"/>
  <c r="G49" i="1"/>
  <c r="G48" i="1"/>
  <c r="G47" i="1"/>
  <c r="G46" i="1"/>
  <c r="G45" i="1"/>
  <c r="G44" i="1"/>
  <c r="G31" i="1"/>
  <c r="G30" i="1"/>
  <c r="G29" i="1"/>
  <c r="G28" i="1"/>
  <c r="G27" i="1"/>
  <c r="G26" i="1"/>
  <c r="G25" i="1"/>
  <c r="G24" i="1"/>
  <c r="G23" i="1"/>
  <c r="G22" i="1"/>
  <c r="G21" i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L12" i="1" s="1"/>
  <c r="Q12" i="1" s="1"/>
  <c r="M10" i="1" l="1"/>
  <c r="Q10" i="1" s="1"/>
  <c r="M1561" i="1"/>
  <c r="M1545" i="1"/>
  <c r="M1526" i="1"/>
  <c r="M1510" i="1"/>
  <c r="M1494" i="1"/>
  <c r="Q1494" i="1" s="1"/>
  <c r="M1478" i="1"/>
  <c r="M1462" i="1"/>
  <c r="Q1462" i="1" s="1"/>
  <c r="M1446" i="1"/>
  <c r="Q1446" i="1" s="1"/>
  <c r="M1430" i="1"/>
  <c r="Q1430" i="1" s="1"/>
  <c r="M1414" i="1"/>
  <c r="Q1414" i="1" s="1"/>
  <c r="M1398" i="1"/>
  <c r="Q1398" i="1" s="1"/>
  <c r="M1306" i="1"/>
  <c r="Q1306" i="1" s="1"/>
  <c r="M1290" i="1"/>
  <c r="M1274" i="1"/>
  <c r="Q1274" i="1" s="1"/>
  <c r="M1254" i="1"/>
  <c r="Q1254" i="1" s="1"/>
  <c r="M1238" i="1"/>
  <c r="M1222" i="1"/>
  <c r="Q1222" i="1" s="1"/>
  <c r="M1142" i="1"/>
  <c r="Q1142" i="1" s="1"/>
  <c r="M1126" i="1"/>
  <c r="Q1126" i="1" s="1"/>
  <c r="M1110" i="1"/>
  <c r="Q1110" i="1" s="1"/>
  <c r="M1094" i="1"/>
  <c r="M1078" i="1"/>
  <c r="Q1078" i="1" s="1"/>
  <c r="M1062" i="1"/>
  <c r="Q1062" i="1" s="1"/>
  <c r="M1046" i="1"/>
  <c r="M1030" i="1"/>
  <c r="M1012" i="1"/>
  <c r="Q1012" i="1" s="1"/>
  <c r="M996" i="1"/>
  <c r="Q996" i="1" s="1"/>
  <c r="M806" i="1"/>
  <c r="M790" i="1"/>
  <c r="Q790" i="1" s="1"/>
  <c r="M774" i="1"/>
  <c r="Q774" i="1" s="1"/>
  <c r="M758" i="1"/>
  <c r="Q758" i="1" s="1"/>
  <c r="M742" i="1"/>
  <c r="Q742" i="1" s="1"/>
  <c r="M726" i="1"/>
  <c r="M709" i="1"/>
  <c r="M693" i="1"/>
  <c r="M151" i="1"/>
  <c r="M135" i="1"/>
  <c r="M119" i="1"/>
  <c r="M97" i="1"/>
  <c r="M81" i="1"/>
  <c r="M65" i="1"/>
  <c r="M56" i="1"/>
  <c r="Q56" i="1" s="1"/>
  <c r="M33" i="1"/>
  <c r="Q33" i="1" s="1"/>
  <c r="M251" i="1"/>
  <c r="M235" i="1"/>
  <c r="M219" i="1"/>
  <c r="M200" i="1"/>
  <c r="Q200" i="1" s="1"/>
  <c r="M184" i="1"/>
  <c r="M168" i="1"/>
  <c r="Q168" i="1" s="1"/>
  <c r="M39" i="1"/>
  <c r="Q568" i="1"/>
  <c r="Q1393" i="1"/>
  <c r="Q1257" i="1"/>
  <c r="Q1308" i="1"/>
  <c r="Q770" i="1"/>
  <c r="R1189" i="1"/>
  <c r="Q1057" i="1"/>
  <c r="Q955" i="1"/>
  <c r="Q720" i="1"/>
  <c r="Q486" i="1"/>
  <c r="Q1035" i="1"/>
  <c r="Q1283" i="1"/>
  <c r="Q1231" i="1"/>
  <c r="Q1474" i="1"/>
  <c r="Q1478" i="1"/>
  <c r="R423" i="1"/>
  <c r="R48" i="1"/>
  <c r="R46" i="1"/>
  <c r="R26" i="1"/>
  <c r="R548" i="1"/>
  <c r="R824" i="1"/>
  <c r="R1171" i="1"/>
  <c r="R1177" i="1"/>
  <c r="Q1545" i="1"/>
  <c r="Q1522" i="1"/>
  <c r="R542" i="1"/>
  <c r="R549" i="1"/>
  <c r="R810" i="1"/>
  <c r="R839" i="1"/>
  <c r="R848" i="1"/>
  <c r="R1176" i="1"/>
  <c r="R1172" i="1"/>
  <c r="R1568" i="1"/>
  <c r="Q1538" i="1"/>
  <c r="Q1526" i="1"/>
  <c r="Q1499" i="1"/>
  <c r="Q1483" i="1"/>
  <c r="Q1435" i="1"/>
  <c r="Q1116" i="1"/>
  <c r="M481" i="1"/>
  <c r="M458" i="1"/>
  <c r="M442" i="1"/>
  <c r="M86" i="1"/>
  <c r="Q86" i="1" s="1"/>
  <c r="M70" i="1"/>
  <c r="Q1277" i="1"/>
  <c r="Q1158" i="1"/>
  <c r="Q775" i="1"/>
  <c r="Q915" i="1"/>
  <c r="Q661" i="1"/>
  <c r="Q754" i="1"/>
  <c r="Q1505" i="1"/>
  <c r="M1301" i="1"/>
  <c r="Q1301" i="1" s="1"/>
  <c r="M1285" i="1"/>
  <c r="Q1285" i="1" s="1"/>
  <c r="M1269" i="1"/>
  <c r="Q1269" i="1" s="1"/>
  <c r="M1249" i="1"/>
  <c r="Q1249" i="1" s="1"/>
  <c r="M1233" i="1"/>
  <c r="Q1233" i="1" s="1"/>
  <c r="M1217" i="1"/>
  <c r="Q1217" i="1" s="1"/>
  <c r="Q801" i="1"/>
  <c r="Q463" i="1"/>
  <c r="M1382" i="1"/>
  <c r="Q1382" i="1" s="1"/>
  <c r="Q1555" i="1"/>
  <c r="Q687" i="1"/>
  <c r="Q591" i="1"/>
  <c r="Q400" i="1"/>
  <c r="M1550" i="1"/>
  <c r="Q1550" i="1" s="1"/>
  <c r="Q1145" i="1"/>
  <c r="Q1129" i="1"/>
  <c r="Q1113" i="1"/>
  <c r="Q1097" i="1"/>
  <c r="Q1081" i="1"/>
  <c r="Q1065" i="1"/>
  <c r="Q1049" i="1"/>
  <c r="Q1033" i="1"/>
  <c r="Q1017" i="1"/>
  <c r="Q999" i="1"/>
  <c r="Q553" i="1"/>
  <c r="M155" i="1"/>
  <c r="Q155" i="1" s="1"/>
  <c r="M139" i="1"/>
  <c r="Q139" i="1" s="1"/>
  <c r="M123" i="1"/>
  <c r="Q123" i="1" s="1"/>
  <c r="M101" i="1"/>
  <c r="Q101" i="1" s="1"/>
  <c r="M85" i="1"/>
  <c r="Q85" i="1" s="1"/>
  <c r="M69" i="1"/>
  <c r="Q69" i="1" s="1"/>
  <c r="M1334" i="1"/>
  <c r="Q1334" i="1" s="1"/>
  <c r="Q1046" i="1"/>
  <c r="Q1510" i="1"/>
  <c r="M1318" i="1"/>
  <c r="Q1318" i="1" s="1"/>
  <c r="Q1289" i="1"/>
  <c r="Q508" i="1"/>
  <c r="Q807" i="1"/>
  <c r="M1350" i="1"/>
  <c r="Q1350" i="1" s="1"/>
  <c r="Q806" i="1"/>
  <c r="Q709" i="1"/>
  <c r="Q1204" i="1"/>
  <c r="Q931" i="1"/>
  <c r="Q788" i="1"/>
  <c r="M1287" i="1"/>
  <c r="Q1287" i="1" s="1"/>
  <c r="M1302" i="1"/>
  <c r="Q1302" i="1" s="1"/>
  <c r="M1286" i="1"/>
  <c r="Q1286" i="1" s="1"/>
  <c r="M1270" i="1"/>
  <c r="Q1270" i="1" s="1"/>
  <c r="M1250" i="1"/>
  <c r="Q1250" i="1" s="1"/>
  <c r="M1234" i="1"/>
  <c r="Q1234" i="1" s="1"/>
  <c r="M1218" i="1"/>
  <c r="Q1218" i="1" s="1"/>
  <c r="Q1122" i="1"/>
  <c r="Q1026" i="1"/>
  <c r="Q689" i="1"/>
  <c r="R811" i="1"/>
  <c r="R939" i="1"/>
  <c r="R1188" i="1"/>
  <c r="Q855" i="1"/>
  <c r="M1235" i="1"/>
  <c r="Q1235" i="1" s="1"/>
  <c r="Q1557" i="1"/>
  <c r="Q1556" i="1"/>
  <c r="Q912" i="1"/>
  <c r="Q769" i="1"/>
  <c r="Q608" i="1"/>
  <c r="M52" i="1"/>
  <c r="M1251" i="1"/>
  <c r="Q1251" i="1" s="1"/>
  <c r="Q1105" i="1"/>
  <c r="Q1536" i="1"/>
  <c r="Q1520" i="1"/>
  <c r="Q1504" i="1"/>
  <c r="Q1488" i="1"/>
  <c r="M1200" i="1"/>
  <c r="Q1200" i="1" s="1"/>
  <c r="Q432" i="1"/>
  <c r="Q6" i="1"/>
  <c r="Q1247" i="1"/>
  <c r="Q894" i="1"/>
  <c r="Q590" i="1"/>
  <c r="M1303" i="1"/>
  <c r="Q1303" i="1" s="1"/>
  <c r="M1518" i="1"/>
  <c r="Q1518" i="1" s="1"/>
  <c r="M1438" i="1"/>
  <c r="Q1438" i="1" s="1"/>
  <c r="Q893" i="1"/>
  <c r="M816" i="1"/>
  <c r="Q816" i="1" s="1"/>
  <c r="M798" i="1"/>
  <c r="Q798" i="1" s="1"/>
  <c r="M782" i="1"/>
  <c r="Q782" i="1" s="1"/>
  <c r="M766" i="1"/>
  <c r="Q766" i="1" s="1"/>
  <c r="M750" i="1"/>
  <c r="Q750" i="1" s="1"/>
  <c r="M734" i="1"/>
  <c r="Q734" i="1" s="1"/>
  <c r="M717" i="1"/>
  <c r="Q717" i="1" s="1"/>
  <c r="M701" i="1"/>
  <c r="Q701" i="1" s="1"/>
  <c r="Q589" i="1"/>
  <c r="M483" i="1"/>
  <c r="M460" i="1"/>
  <c r="Q460" i="1" s="1"/>
  <c r="M444" i="1"/>
  <c r="Q444" i="1" s="1"/>
  <c r="M417" i="1"/>
  <c r="Q417" i="1" s="1"/>
  <c r="M398" i="1"/>
  <c r="M382" i="1"/>
  <c r="Q382" i="1" s="1"/>
  <c r="M366" i="1"/>
  <c r="Q366" i="1" s="1"/>
  <c r="M350" i="1"/>
  <c r="Q350" i="1" s="1"/>
  <c r="M334" i="1"/>
  <c r="Q334" i="1" s="1"/>
  <c r="M318" i="1"/>
  <c r="Q318" i="1" s="1"/>
  <c r="M302" i="1"/>
  <c r="Q302" i="1" s="1"/>
  <c r="M286" i="1"/>
  <c r="Q286" i="1" s="1"/>
  <c r="M270" i="1"/>
  <c r="Q1290" i="1"/>
  <c r="M1219" i="1"/>
  <c r="Q1219" i="1" s="1"/>
  <c r="M1502" i="1"/>
  <c r="Q1502" i="1" s="1"/>
  <c r="M1422" i="1"/>
  <c r="Q1422" i="1" s="1"/>
  <c r="Q1326" i="1"/>
  <c r="Q1246" i="1"/>
  <c r="Q1085" i="1"/>
  <c r="M1390" i="1"/>
  <c r="Q1390" i="1" s="1"/>
  <c r="M1553" i="1"/>
  <c r="Q1553" i="1" s="1"/>
  <c r="M1454" i="1"/>
  <c r="Q1454" i="1" s="1"/>
  <c r="Q984" i="1"/>
  <c r="Q1163" i="1"/>
  <c r="M685" i="1"/>
  <c r="Q685" i="1" s="1"/>
  <c r="M669" i="1"/>
  <c r="Q669" i="1" s="1"/>
  <c r="M653" i="1"/>
  <c r="Q653" i="1" s="1"/>
  <c r="M637" i="1"/>
  <c r="Q637" i="1" s="1"/>
  <c r="M619" i="1"/>
  <c r="Q619" i="1" s="1"/>
  <c r="M603" i="1"/>
  <c r="Q603" i="1" s="1"/>
  <c r="Q1347" i="1"/>
  <c r="M1534" i="1"/>
  <c r="Q1534" i="1" s="1"/>
  <c r="M1470" i="1"/>
  <c r="Q1470" i="1" s="1"/>
  <c r="Q1531" i="1"/>
  <c r="Q1067" i="1"/>
  <c r="M981" i="1"/>
  <c r="Q981" i="1" s="1"/>
  <c r="M965" i="1"/>
  <c r="Q965" i="1" s="1"/>
  <c r="M949" i="1"/>
  <c r="Q949" i="1" s="1"/>
  <c r="M922" i="1"/>
  <c r="Q922" i="1" s="1"/>
  <c r="M906" i="1"/>
  <c r="Q906" i="1" s="1"/>
  <c r="M890" i="1"/>
  <c r="Q890" i="1" s="1"/>
  <c r="M587" i="1"/>
  <c r="M571" i="1"/>
  <c r="Q571" i="1" s="1"/>
  <c r="M555" i="1"/>
  <c r="Q555" i="1" s="1"/>
  <c r="M530" i="1"/>
  <c r="Q530" i="1" s="1"/>
  <c r="M514" i="1"/>
  <c r="Q514" i="1" s="1"/>
  <c r="M498" i="1"/>
  <c r="Q498" i="1" s="1"/>
  <c r="M1374" i="1"/>
  <c r="Q1374" i="1" s="1"/>
  <c r="M1271" i="1"/>
  <c r="Q1271" i="1" s="1"/>
  <c r="M1486" i="1"/>
  <c r="Q1486" i="1" s="1"/>
  <c r="M1406" i="1"/>
  <c r="Q1406" i="1" s="1"/>
  <c r="Q1226" i="1"/>
  <c r="M1161" i="1"/>
  <c r="Q1161" i="1" s="1"/>
  <c r="M874" i="1"/>
  <c r="M858" i="1"/>
  <c r="Q858" i="1" s="1"/>
  <c r="Q479" i="1"/>
  <c r="Q420" i="1"/>
  <c r="M485" i="1"/>
  <c r="Q485" i="1" s="1"/>
  <c r="M462" i="1"/>
  <c r="Q462" i="1" s="1"/>
  <c r="M446" i="1"/>
  <c r="Q446" i="1" s="1"/>
  <c r="Q272" i="1"/>
  <c r="Q536" i="1"/>
  <c r="Q401" i="1"/>
  <c r="Q321" i="1"/>
  <c r="M533" i="1"/>
  <c r="Q533" i="1" s="1"/>
  <c r="M517" i="1"/>
  <c r="Q517" i="1" s="1"/>
  <c r="M501" i="1"/>
  <c r="Q501" i="1" s="1"/>
  <c r="Q520" i="1"/>
  <c r="Q516" i="1"/>
  <c r="Q504" i="1"/>
  <c r="Q385" i="1"/>
  <c r="M289" i="1"/>
  <c r="Q289" i="1" s="1"/>
  <c r="M157" i="1"/>
  <c r="Q157" i="1" s="1"/>
  <c r="M141" i="1"/>
  <c r="M125" i="1"/>
  <c r="Q125" i="1" s="1"/>
  <c r="M103" i="1"/>
  <c r="Q103" i="1" s="1"/>
  <c r="M87" i="1"/>
  <c r="Q87" i="1" s="1"/>
  <c r="M71" i="1"/>
  <c r="Q71" i="1" s="1"/>
  <c r="Q369" i="1"/>
  <c r="Q511" i="1"/>
  <c r="Q337" i="1"/>
  <c r="Q305" i="1"/>
  <c r="Q273" i="1"/>
  <c r="M1563" i="1"/>
  <c r="Q1563" i="1" s="1"/>
  <c r="M1528" i="1"/>
  <c r="Q1528" i="1" s="1"/>
  <c r="M1512" i="1"/>
  <c r="Q1512" i="1" s="1"/>
  <c r="M1496" i="1"/>
  <c r="Q1496" i="1" s="1"/>
  <c r="M1480" i="1"/>
  <c r="Q1480" i="1" s="1"/>
  <c r="M1464" i="1"/>
  <c r="Q1464" i="1" s="1"/>
  <c r="M1448" i="1"/>
  <c r="Q1448" i="1" s="1"/>
  <c r="M1432" i="1"/>
  <c r="Q1432" i="1" s="1"/>
  <c r="M1416" i="1"/>
  <c r="Q1416" i="1" s="1"/>
  <c r="M1400" i="1"/>
  <c r="Q1400" i="1" s="1"/>
  <c r="Q1376" i="1"/>
  <c r="M808" i="1"/>
  <c r="Q808" i="1" s="1"/>
  <c r="M792" i="1"/>
  <c r="Q792" i="1" s="1"/>
  <c r="M776" i="1"/>
  <c r="Q776" i="1" s="1"/>
  <c r="M760" i="1"/>
  <c r="Q760" i="1" s="1"/>
  <c r="M744" i="1"/>
  <c r="Q744" i="1" s="1"/>
  <c r="M728" i="1"/>
  <c r="Q728" i="1" s="1"/>
  <c r="M711" i="1"/>
  <c r="Q711" i="1" s="1"/>
  <c r="M695" i="1"/>
  <c r="Q695" i="1" s="1"/>
  <c r="M1547" i="1"/>
  <c r="Q1547" i="1" s="1"/>
  <c r="Q693" i="1"/>
  <c r="M679" i="1"/>
  <c r="Q679" i="1" s="1"/>
  <c r="M663" i="1"/>
  <c r="Q663" i="1" s="1"/>
  <c r="M647" i="1"/>
  <c r="Q647" i="1" s="1"/>
  <c r="M629" i="1"/>
  <c r="Q629" i="1" s="1"/>
  <c r="M613" i="1"/>
  <c r="Q613" i="1" s="1"/>
  <c r="M597" i="1"/>
  <c r="Q597" i="1" s="1"/>
  <c r="M975" i="1"/>
  <c r="Q975" i="1" s="1"/>
  <c r="M959" i="1"/>
  <c r="Q959" i="1" s="1"/>
  <c r="M943" i="1"/>
  <c r="Q943" i="1" s="1"/>
  <c r="M916" i="1"/>
  <c r="Q916" i="1" s="1"/>
  <c r="M900" i="1"/>
  <c r="Q900" i="1" s="1"/>
  <c r="M884" i="1"/>
  <c r="Q884" i="1" s="1"/>
  <c r="M581" i="1"/>
  <c r="Q581" i="1" s="1"/>
  <c r="M565" i="1"/>
  <c r="Q565" i="1" s="1"/>
  <c r="Q1236" i="1"/>
  <c r="M1155" i="1"/>
  <c r="Q1155" i="1" s="1"/>
  <c r="M868" i="1"/>
  <c r="Q868" i="1" s="1"/>
  <c r="M852" i="1"/>
  <c r="Q852" i="1" s="1"/>
  <c r="Q804" i="1"/>
  <c r="Q1561" i="1"/>
  <c r="Q1331" i="1"/>
  <c r="M1139" i="1"/>
  <c r="Q1139" i="1" s="1"/>
  <c r="M1123" i="1"/>
  <c r="Q1123" i="1" s="1"/>
  <c r="M1107" i="1"/>
  <c r="Q1107" i="1" s="1"/>
  <c r="M1091" i="1"/>
  <c r="Q1091" i="1" s="1"/>
  <c r="M1075" i="1"/>
  <c r="Q1075" i="1" s="1"/>
  <c r="M1059" i="1"/>
  <c r="Q1059" i="1" s="1"/>
  <c r="M1043" i="1"/>
  <c r="Q1043" i="1" s="1"/>
  <c r="M1027" i="1"/>
  <c r="Q1027" i="1" s="1"/>
  <c r="M1009" i="1"/>
  <c r="Q1009" i="1" s="1"/>
  <c r="M993" i="1"/>
  <c r="Q993" i="1" s="1"/>
  <c r="Q867" i="1"/>
  <c r="Q1394" i="1"/>
  <c r="Q1008" i="1"/>
  <c r="Q786" i="1"/>
  <c r="Q675" i="1"/>
  <c r="Q1137" i="1"/>
  <c r="M1384" i="1"/>
  <c r="Q1384" i="1" s="1"/>
  <c r="M1368" i="1"/>
  <c r="Q1368" i="1" s="1"/>
  <c r="M1344" i="1"/>
  <c r="Q1344" i="1" s="1"/>
  <c r="M1328" i="1"/>
  <c r="Q1328" i="1" s="1"/>
  <c r="Q768" i="1"/>
  <c r="Q952" i="1"/>
  <c r="Q639" i="1"/>
  <c r="Q1197" i="1"/>
  <c r="Q1521" i="1"/>
  <c r="M1312" i="1"/>
  <c r="Q1312" i="1" s="1"/>
  <c r="M1296" i="1"/>
  <c r="Q1296" i="1" s="1"/>
  <c r="M1280" i="1"/>
  <c r="Q1280" i="1" s="1"/>
  <c r="M1260" i="1"/>
  <c r="Q1260" i="1" s="1"/>
  <c r="M1244" i="1"/>
  <c r="Q1244" i="1" s="1"/>
  <c r="M1228" i="1"/>
  <c r="Q1228" i="1" s="1"/>
  <c r="M1212" i="1"/>
  <c r="Q1212" i="1" s="1"/>
  <c r="Q1084" i="1"/>
  <c r="Q731" i="1"/>
  <c r="Q1294" i="1"/>
  <c r="M1194" i="1"/>
  <c r="Q1194" i="1" s="1"/>
  <c r="R546" i="1"/>
  <c r="R635" i="1"/>
  <c r="M457" i="1"/>
  <c r="Q457" i="1" s="1"/>
  <c r="Q1310" i="1"/>
  <c r="Q874" i="1"/>
  <c r="M683" i="1"/>
  <c r="Q683" i="1" s="1"/>
  <c r="M667" i="1"/>
  <c r="Q667" i="1" s="1"/>
  <c r="M651" i="1"/>
  <c r="Q651" i="1" s="1"/>
  <c r="M633" i="1"/>
  <c r="Q633" i="1" s="1"/>
  <c r="M617" i="1"/>
  <c r="Q617" i="1" s="1"/>
  <c r="M601" i="1"/>
  <c r="Q601" i="1" s="1"/>
  <c r="Q1276" i="1"/>
  <c r="M856" i="1"/>
  <c r="Q856" i="1" s="1"/>
  <c r="Q527" i="1"/>
  <c r="Q1255" i="1"/>
  <c r="M1127" i="1"/>
  <c r="Q1127" i="1" s="1"/>
  <c r="M1111" i="1"/>
  <c r="Q1111" i="1" s="1"/>
  <c r="M1095" i="1"/>
  <c r="Q1095" i="1" s="1"/>
  <c r="M1079" i="1"/>
  <c r="Q1079" i="1" s="1"/>
  <c r="M1063" i="1"/>
  <c r="Q1063" i="1" s="1"/>
  <c r="M1047" i="1"/>
  <c r="Q1047" i="1" s="1"/>
  <c r="M997" i="1"/>
  <c r="Q997" i="1" s="1"/>
  <c r="Q743" i="1"/>
  <c r="Q947" i="1"/>
  <c r="Q1094" i="1"/>
  <c r="Q726" i="1"/>
  <c r="Q979" i="1"/>
  <c r="Q1221" i="1"/>
  <c r="Q904" i="1"/>
  <c r="Q512" i="1"/>
  <c r="M1388" i="1"/>
  <c r="Q1388" i="1" s="1"/>
  <c r="M1372" i="1"/>
  <c r="Q1372" i="1" s="1"/>
  <c r="M1348" i="1"/>
  <c r="Q1348" i="1" s="1"/>
  <c r="M1332" i="1"/>
  <c r="Q1332" i="1" s="1"/>
  <c r="Q691" i="1"/>
  <c r="Q528" i="1"/>
  <c r="Q1238" i="1"/>
  <c r="Q1387" i="1"/>
  <c r="Q1506" i="1"/>
  <c r="Q1042" i="1"/>
  <c r="Q496" i="1"/>
  <c r="Q1025" i="1"/>
  <c r="Q674" i="1"/>
  <c r="Q353" i="1"/>
  <c r="R823" i="1"/>
  <c r="R987" i="1"/>
  <c r="Q1202" i="1"/>
  <c r="Q1489" i="1"/>
  <c r="Q1472" i="1"/>
  <c r="M1300" i="1"/>
  <c r="Q1300" i="1" s="1"/>
  <c r="M1284" i="1"/>
  <c r="Q1284" i="1" s="1"/>
  <c r="M1268" i="1"/>
  <c r="Q1268" i="1" s="1"/>
  <c r="M1248" i="1"/>
  <c r="Q1248" i="1" s="1"/>
  <c r="M1232" i="1"/>
  <c r="Q1232" i="1" s="1"/>
  <c r="M1216" i="1"/>
  <c r="Q1216" i="1" s="1"/>
  <c r="Q657" i="1"/>
  <c r="R107" i="1"/>
  <c r="Q920" i="1"/>
  <c r="Q569" i="1"/>
  <c r="Q953" i="1"/>
  <c r="Q640" i="1"/>
  <c r="Q963" i="1"/>
  <c r="M1198" i="1"/>
  <c r="Q1198" i="1" s="1"/>
  <c r="Q925" i="1"/>
  <c r="Q621" i="1"/>
  <c r="R428" i="1"/>
  <c r="Q908" i="1"/>
  <c r="M1551" i="1"/>
  <c r="Q1551" i="1" s="1"/>
  <c r="M1532" i="1"/>
  <c r="Q1532" i="1" s="1"/>
  <c r="M1516" i="1"/>
  <c r="Q1516" i="1" s="1"/>
  <c r="M1500" i="1"/>
  <c r="Q1500" i="1" s="1"/>
  <c r="M1484" i="1"/>
  <c r="Q1484" i="1" s="1"/>
  <c r="M1468" i="1"/>
  <c r="Q1468" i="1" s="1"/>
  <c r="M1452" i="1"/>
  <c r="Q1452" i="1" s="1"/>
  <c r="M1420" i="1"/>
  <c r="Q1420" i="1" s="1"/>
  <c r="M1404" i="1"/>
  <c r="Q1404" i="1" s="1"/>
  <c r="M814" i="1"/>
  <c r="Q814" i="1" s="1"/>
  <c r="M796" i="1"/>
  <c r="Q796" i="1" s="1"/>
  <c r="M780" i="1"/>
  <c r="Q780" i="1" s="1"/>
  <c r="M764" i="1"/>
  <c r="Q764" i="1" s="1"/>
  <c r="M748" i="1"/>
  <c r="Q748" i="1" s="1"/>
  <c r="M699" i="1"/>
  <c r="Q699" i="1" s="1"/>
  <c r="M415" i="1"/>
  <c r="Q415" i="1" s="1"/>
  <c r="M396" i="1"/>
  <c r="Q396" i="1" s="1"/>
  <c r="M380" i="1"/>
  <c r="Q380" i="1" s="1"/>
  <c r="M364" i="1"/>
  <c r="M348" i="1"/>
  <c r="Q348" i="1" s="1"/>
  <c r="M332" i="1"/>
  <c r="Q332" i="1" s="1"/>
  <c r="M316" i="1"/>
  <c r="Q316" i="1" s="1"/>
  <c r="M300" i="1"/>
  <c r="M284" i="1"/>
  <c r="Q284" i="1" s="1"/>
  <c r="M268" i="1"/>
  <c r="Q268" i="1" s="1"/>
  <c r="Q587" i="1"/>
  <c r="M480" i="1"/>
  <c r="Q480" i="1" s="1"/>
  <c r="M1297" i="1"/>
  <c r="Q1297" i="1" s="1"/>
  <c r="M1281" i="1"/>
  <c r="Q1281" i="1" s="1"/>
  <c r="M1261" i="1"/>
  <c r="Q1261" i="1" s="1"/>
  <c r="M1245" i="1"/>
  <c r="Q1245" i="1" s="1"/>
  <c r="M1229" i="1"/>
  <c r="Q1229" i="1" s="1"/>
  <c r="M1213" i="1"/>
  <c r="Q1213" i="1" s="1"/>
  <c r="Q487" i="1"/>
  <c r="Q471" i="1"/>
  <c r="Q448" i="1"/>
  <c r="Q434" i="1"/>
  <c r="Q402" i="1"/>
  <c r="Q386" i="1"/>
  <c r="Q370" i="1"/>
  <c r="Q354" i="1"/>
  <c r="Q338" i="1"/>
  <c r="Q322" i="1"/>
  <c r="Q306" i="1"/>
  <c r="Q290" i="1"/>
  <c r="Q274" i="1"/>
  <c r="Q257" i="1"/>
  <c r="Q241" i="1"/>
  <c r="Q225" i="1"/>
  <c r="Q206" i="1"/>
  <c r="Q52" i="1"/>
  <c r="Q75" i="1"/>
  <c r="Q414" i="1"/>
  <c r="Q331" i="1"/>
  <c r="Q315" i="1"/>
  <c r="Q283" i="1"/>
  <c r="M413" i="1"/>
  <c r="Q413" i="1" s="1"/>
  <c r="M394" i="1"/>
  <c r="Q394" i="1" s="1"/>
  <c r="M378" i="1"/>
  <c r="Q378" i="1" s="1"/>
  <c r="M362" i="1"/>
  <c r="Q362" i="1" s="1"/>
  <c r="M346" i="1"/>
  <c r="Q346" i="1" s="1"/>
  <c r="M330" i="1"/>
  <c r="Q330" i="1" s="1"/>
  <c r="M314" i="1"/>
  <c r="Q314" i="1" s="1"/>
  <c r="M298" i="1"/>
  <c r="Q298" i="1" s="1"/>
  <c r="M282" i="1"/>
  <c r="Q282" i="1" s="1"/>
  <c r="M266" i="1"/>
  <c r="Q266" i="1" s="1"/>
  <c r="M250" i="1"/>
  <c r="Q250" i="1" s="1"/>
  <c r="M234" i="1"/>
  <c r="Q234" i="1" s="1"/>
  <c r="M218" i="1"/>
  <c r="Q218" i="1" s="1"/>
  <c r="M199" i="1"/>
  <c r="Q199" i="1" s="1"/>
  <c r="M183" i="1"/>
  <c r="Q183" i="1" s="1"/>
  <c r="M167" i="1"/>
  <c r="M265" i="1"/>
  <c r="Q265" i="1" s="1"/>
  <c r="M249" i="1"/>
  <c r="Q249" i="1" s="1"/>
  <c r="M233" i="1"/>
  <c r="Q233" i="1" s="1"/>
  <c r="M217" i="1"/>
  <c r="Q217" i="1" s="1"/>
  <c r="M198" i="1"/>
  <c r="Q198" i="1" s="1"/>
  <c r="M182" i="1"/>
  <c r="M166" i="1"/>
  <c r="Q166" i="1" s="1"/>
  <c r="Q60" i="1"/>
  <c r="Q37" i="1"/>
  <c r="M477" i="1"/>
  <c r="Q477" i="1" s="1"/>
  <c r="M454" i="1"/>
  <c r="Q454" i="1" s="1"/>
  <c r="M1196" i="1"/>
  <c r="Q1196" i="1" s="1"/>
  <c r="M1549" i="1"/>
  <c r="Q1549" i="1" s="1"/>
  <c r="M1530" i="1"/>
  <c r="Q1530" i="1" s="1"/>
  <c r="M1514" i="1"/>
  <c r="Q1514" i="1" s="1"/>
  <c r="M1498" i="1"/>
  <c r="Q1498" i="1" s="1"/>
  <c r="M1482" i="1"/>
  <c r="Q1482" i="1" s="1"/>
  <c r="M1466" i="1"/>
  <c r="Q1466" i="1" s="1"/>
  <c r="M1450" i="1"/>
  <c r="Q1450" i="1" s="1"/>
  <c r="M1434" i="1"/>
  <c r="Q1434" i="1" s="1"/>
  <c r="M1418" i="1"/>
  <c r="Q1418" i="1" s="1"/>
  <c r="M1402" i="1"/>
  <c r="Q1402" i="1" s="1"/>
  <c r="M812" i="1"/>
  <c r="Q812" i="1" s="1"/>
  <c r="M794" i="1"/>
  <c r="Q794" i="1" s="1"/>
  <c r="M778" i="1"/>
  <c r="Q778" i="1" s="1"/>
  <c r="M762" i="1"/>
  <c r="Q762" i="1" s="1"/>
  <c r="M746" i="1"/>
  <c r="Q746" i="1" s="1"/>
  <c r="M730" i="1"/>
  <c r="Q730" i="1" s="1"/>
  <c r="M713" i="1"/>
  <c r="Q713" i="1" s="1"/>
  <c r="M697" i="1"/>
  <c r="Q697" i="1" s="1"/>
  <c r="M681" i="1"/>
  <c r="Q681" i="1" s="1"/>
  <c r="M665" i="1"/>
  <c r="Q665" i="1" s="1"/>
  <c r="M649" i="1"/>
  <c r="Q649" i="1" s="1"/>
  <c r="M631" i="1"/>
  <c r="Q631" i="1" s="1"/>
  <c r="M615" i="1"/>
  <c r="Q615" i="1" s="1"/>
  <c r="M599" i="1"/>
  <c r="Q599" i="1" s="1"/>
  <c r="M73" i="1"/>
  <c r="Q73" i="1" s="1"/>
  <c r="M977" i="1"/>
  <c r="Q977" i="1" s="1"/>
  <c r="M961" i="1"/>
  <c r="Q961" i="1" s="1"/>
  <c r="M945" i="1"/>
  <c r="Q945" i="1" s="1"/>
  <c r="M918" i="1"/>
  <c r="Q918" i="1" s="1"/>
  <c r="M902" i="1"/>
  <c r="Q902" i="1" s="1"/>
  <c r="M886" i="1"/>
  <c r="Q886" i="1" s="1"/>
  <c r="M583" i="1"/>
  <c r="Q583" i="1" s="1"/>
  <c r="M567" i="1"/>
  <c r="Q567" i="1" s="1"/>
  <c r="M551" i="1"/>
  <c r="Q551" i="1" s="1"/>
  <c r="M526" i="1"/>
  <c r="M510" i="1"/>
  <c r="Q510" i="1" s="1"/>
  <c r="M494" i="1"/>
  <c r="Q494" i="1" s="1"/>
  <c r="R49" i="1"/>
  <c r="M1157" i="1"/>
  <c r="Q1157" i="1" s="1"/>
  <c r="M870" i="1"/>
  <c r="Q870" i="1" s="1"/>
  <c r="M854" i="1"/>
  <c r="Q854" i="1" s="1"/>
  <c r="M1141" i="1"/>
  <c r="Q1141" i="1" s="1"/>
  <c r="M1125" i="1"/>
  <c r="Q1125" i="1" s="1"/>
  <c r="M1109" i="1"/>
  <c r="Q1109" i="1" s="1"/>
  <c r="M1093" i="1"/>
  <c r="Q1093" i="1" s="1"/>
  <c r="M1077" i="1"/>
  <c r="Q1077" i="1" s="1"/>
  <c r="M1061" i="1"/>
  <c r="Q1061" i="1" s="1"/>
  <c r="M1045" i="1"/>
  <c r="Q1045" i="1" s="1"/>
  <c r="M1029" i="1"/>
  <c r="Q1029" i="1" s="1"/>
  <c r="M1011" i="1"/>
  <c r="Q1011" i="1" s="1"/>
  <c r="M995" i="1"/>
  <c r="Q995" i="1" s="1"/>
  <c r="M1230" i="1"/>
  <c r="Q1230" i="1" s="1"/>
  <c r="M41" i="1"/>
  <c r="Q41" i="1" s="1"/>
  <c r="M54" i="1"/>
  <c r="Q54" i="1" s="1"/>
  <c r="M1386" i="1"/>
  <c r="Q1386" i="1" s="1"/>
  <c r="M1370" i="1"/>
  <c r="Q1370" i="1" s="1"/>
  <c r="M1346" i="1"/>
  <c r="Q1346" i="1" s="1"/>
  <c r="M1330" i="1"/>
  <c r="Q1330" i="1" s="1"/>
  <c r="M1314" i="1"/>
  <c r="Q1314" i="1" s="1"/>
  <c r="R468" i="1"/>
  <c r="R411" i="1"/>
  <c r="R725" i="1"/>
  <c r="R836" i="1"/>
  <c r="R1173" i="1"/>
  <c r="M180" i="1"/>
  <c r="Q180" i="1" s="1"/>
  <c r="M121" i="1"/>
  <c r="Q121" i="1" s="1"/>
  <c r="M35" i="1"/>
  <c r="M1208" i="1"/>
  <c r="Q1208" i="1" s="1"/>
  <c r="M1560" i="1"/>
  <c r="Q1560" i="1" s="1"/>
  <c r="M1544" i="1"/>
  <c r="Q1544" i="1" s="1"/>
  <c r="M1525" i="1"/>
  <c r="Q1525" i="1" s="1"/>
  <c r="M1509" i="1"/>
  <c r="Q1509" i="1" s="1"/>
  <c r="M1493" i="1"/>
  <c r="Q1493" i="1" s="1"/>
  <c r="M1477" i="1"/>
  <c r="Q1477" i="1" s="1"/>
  <c r="M1461" i="1"/>
  <c r="Q1461" i="1" s="1"/>
  <c r="M1445" i="1"/>
  <c r="Q1445" i="1" s="1"/>
  <c r="M1429" i="1"/>
  <c r="Q1429" i="1" s="1"/>
  <c r="M1413" i="1"/>
  <c r="Q1413" i="1" s="1"/>
  <c r="M1397" i="1"/>
  <c r="Q1397" i="1" s="1"/>
  <c r="M805" i="1"/>
  <c r="Q805" i="1" s="1"/>
  <c r="M789" i="1"/>
  <c r="Q789" i="1" s="1"/>
  <c r="M773" i="1"/>
  <c r="Q773" i="1" s="1"/>
  <c r="M757" i="1"/>
  <c r="Q757" i="1" s="1"/>
  <c r="M741" i="1"/>
  <c r="Q741" i="1" s="1"/>
  <c r="M724" i="1"/>
  <c r="Q724" i="1" s="1"/>
  <c r="M708" i="1"/>
  <c r="Q708" i="1" s="1"/>
  <c r="M692" i="1"/>
  <c r="Q692" i="1" s="1"/>
  <c r="M247" i="1"/>
  <c r="Q247" i="1" s="1"/>
  <c r="M153" i="1"/>
  <c r="Q153" i="1" s="1"/>
  <c r="M67" i="1"/>
  <c r="Q67" i="1" s="1"/>
  <c r="M1492" i="1"/>
  <c r="Q1492" i="1" s="1"/>
  <c r="M1209" i="1"/>
  <c r="Q1209" i="1" s="1"/>
  <c r="M1508" i="1"/>
  <c r="Q1508" i="1" s="1"/>
  <c r="M676" i="1"/>
  <c r="Q676" i="1" s="1"/>
  <c r="M660" i="1"/>
  <c r="Q660" i="1" s="1"/>
  <c r="M644" i="1"/>
  <c r="Q644" i="1" s="1"/>
  <c r="M626" i="1"/>
  <c r="Q626" i="1" s="1"/>
  <c r="M610" i="1"/>
  <c r="Q610" i="1" s="1"/>
  <c r="M594" i="1"/>
  <c r="Q594" i="1" s="1"/>
  <c r="M196" i="1"/>
  <c r="Q196" i="1" s="1"/>
  <c r="M137" i="1"/>
  <c r="Q137" i="1" s="1"/>
  <c r="M1460" i="1"/>
  <c r="Q1460" i="1" s="1"/>
  <c r="M972" i="1"/>
  <c r="Q972" i="1" s="1"/>
  <c r="M956" i="1"/>
  <c r="Q956" i="1" s="1"/>
  <c r="M929" i="1"/>
  <c r="Q929" i="1" s="1"/>
  <c r="M913" i="1"/>
  <c r="Q913" i="1" s="1"/>
  <c r="M897" i="1"/>
  <c r="Q897" i="1" s="1"/>
  <c r="M881" i="1"/>
  <c r="Q881" i="1" s="1"/>
  <c r="M578" i="1"/>
  <c r="Q578" i="1" s="1"/>
  <c r="M562" i="1"/>
  <c r="Q562" i="1" s="1"/>
  <c r="M537" i="1"/>
  <c r="Q537" i="1" s="1"/>
  <c r="M521" i="1"/>
  <c r="Q521" i="1" s="1"/>
  <c r="M505" i="1"/>
  <c r="Q505" i="1" s="1"/>
  <c r="M1428" i="1"/>
  <c r="Q1428" i="1" s="1"/>
  <c r="M849" i="1"/>
  <c r="Q849" i="1" s="1"/>
  <c r="M215" i="1"/>
  <c r="Q215" i="1" s="1"/>
  <c r="M1559" i="1"/>
  <c r="Q1559" i="1" s="1"/>
  <c r="M971" i="1"/>
  <c r="Q971" i="1" s="1"/>
  <c r="M1167" i="1"/>
  <c r="Q1167" i="1" s="1"/>
  <c r="M1152" i="1"/>
  <c r="Q1152" i="1" s="1"/>
  <c r="M1136" i="1"/>
  <c r="Q1136" i="1" s="1"/>
  <c r="M1120" i="1"/>
  <c r="Q1120" i="1" s="1"/>
  <c r="M1104" i="1"/>
  <c r="Q1104" i="1" s="1"/>
  <c r="M1088" i="1"/>
  <c r="Q1088" i="1" s="1"/>
  <c r="M1072" i="1"/>
  <c r="Q1072" i="1" s="1"/>
  <c r="M1056" i="1"/>
  <c r="Q1056" i="1" s="1"/>
  <c r="M1040" i="1"/>
  <c r="Q1040" i="1" s="1"/>
  <c r="M1024" i="1"/>
  <c r="Q1024" i="1" s="1"/>
  <c r="M1006" i="1"/>
  <c r="Q1006" i="1" s="1"/>
  <c r="M990" i="1"/>
  <c r="Q990" i="1" s="1"/>
  <c r="M864" i="1"/>
  <c r="Q864" i="1" s="1"/>
  <c r="M1476" i="1"/>
  <c r="Q1476" i="1" s="1"/>
  <c r="M1151" i="1"/>
  <c r="Q1151" i="1" s="1"/>
  <c r="M1135" i="1"/>
  <c r="Q1135" i="1" s="1"/>
  <c r="M1119" i="1"/>
  <c r="Q1119" i="1" s="1"/>
  <c r="M1103" i="1"/>
  <c r="Q1103" i="1" s="1"/>
  <c r="M1087" i="1"/>
  <c r="Q1087" i="1" s="1"/>
  <c r="M1071" i="1"/>
  <c r="Q1071" i="1" s="1"/>
  <c r="M1055" i="1"/>
  <c r="Q1055" i="1" s="1"/>
  <c r="M1039" i="1"/>
  <c r="Q1039" i="1" s="1"/>
  <c r="M1023" i="1"/>
  <c r="Q1023" i="1" s="1"/>
  <c r="M1005" i="1"/>
  <c r="Q1005" i="1" s="1"/>
  <c r="M989" i="1"/>
  <c r="Q989" i="1" s="1"/>
  <c r="M484" i="1"/>
  <c r="Q484" i="1" s="1"/>
  <c r="M461" i="1"/>
  <c r="Q461" i="1" s="1"/>
  <c r="M445" i="1"/>
  <c r="Q445" i="1" s="1"/>
  <c r="M431" i="1"/>
  <c r="Q431" i="1" s="1"/>
  <c r="M418" i="1"/>
  <c r="Q418" i="1" s="1"/>
  <c r="M399" i="1"/>
  <c r="Q399" i="1" s="1"/>
  <c r="M383" i="1"/>
  <c r="Q383" i="1" s="1"/>
  <c r="M367" i="1"/>
  <c r="Q367" i="1" s="1"/>
  <c r="M351" i="1"/>
  <c r="Q351" i="1" s="1"/>
  <c r="M335" i="1"/>
  <c r="Q335" i="1" s="1"/>
  <c r="M319" i="1"/>
  <c r="Q319" i="1" s="1"/>
  <c r="M303" i="1"/>
  <c r="Q303" i="1" s="1"/>
  <c r="M287" i="1"/>
  <c r="Q287" i="1" s="1"/>
  <c r="M271" i="1"/>
  <c r="Q271" i="1" s="1"/>
  <c r="M231" i="1"/>
  <c r="Q231" i="1" s="1"/>
  <c r="M99" i="1"/>
  <c r="Q99" i="1" s="1"/>
  <c r="M1396" i="1"/>
  <c r="Q1396" i="1" s="1"/>
  <c r="M1168" i="1"/>
  <c r="Q1168" i="1" s="1"/>
  <c r="M254" i="1"/>
  <c r="Q254" i="1" s="1"/>
  <c r="M238" i="1"/>
  <c r="Q238" i="1" s="1"/>
  <c r="M222" i="1"/>
  <c r="Q222" i="1" s="1"/>
  <c r="M203" i="1"/>
  <c r="Q203" i="1" s="1"/>
  <c r="M187" i="1"/>
  <c r="Q187" i="1" s="1"/>
  <c r="M171" i="1"/>
  <c r="Q171" i="1" s="1"/>
  <c r="M144" i="1"/>
  <c r="Q144" i="1" s="1"/>
  <c r="M128" i="1"/>
  <c r="Q128" i="1" s="1"/>
  <c r="M112" i="1"/>
  <c r="Q112" i="1" s="1"/>
  <c r="M90" i="1"/>
  <c r="Q90" i="1" s="1"/>
  <c r="M74" i="1"/>
  <c r="Q74" i="1" s="1"/>
  <c r="M42" i="1"/>
  <c r="Q42" i="1" s="1"/>
  <c r="M1543" i="1"/>
  <c r="Q1543" i="1" s="1"/>
  <c r="M865" i="1"/>
  <c r="Q865" i="1" s="1"/>
  <c r="M1381" i="1"/>
  <c r="Q1381" i="1" s="1"/>
  <c r="M1365" i="1"/>
  <c r="Q1365" i="1" s="1"/>
  <c r="M1341" i="1"/>
  <c r="Q1341" i="1" s="1"/>
  <c r="M1325" i="1"/>
  <c r="Q1325" i="1" s="1"/>
  <c r="M263" i="1"/>
  <c r="Q263" i="1" s="1"/>
  <c r="M164" i="1"/>
  <c r="Q164" i="1" s="1"/>
  <c r="M83" i="1"/>
  <c r="Q83" i="1" s="1"/>
  <c r="M58" i="1"/>
  <c r="Q58" i="1" s="1"/>
  <c r="M1444" i="1"/>
  <c r="Q1444" i="1" s="1"/>
  <c r="M1380" i="1"/>
  <c r="Q1380" i="1" s="1"/>
  <c r="M1364" i="1"/>
  <c r="Q1364" i="1" s="1"/>
  <c r="M1340" i="1"/>
  <c r="Q1340" i="1" s="1"/>
  <c r="M1324" i="1"/>
  <c r="Q1324" i="1" s="1"/>
  <c r="M1524" i="1"/>
  <c r="Q1524" i="1" s="1"/>
  <c r="M1412" i="1"/>
  <c r="Q1412" i="1" s="1"/>
  <c r="M260" i="1"/>
  <c r="Q260" i="1" s="1"/>
  <c r="M244" i="1"/>
  <c r="Q244" i="1" s="1"/>
  <c r="M228" i="1"/>
  <c r="Q228" i="1" s="1"/>
  <c r="M212" i="1"/>
  <c r="Q212" i="1" s="1"/>
  <c r="M193" i="1"/>
  <c r="M177" i="1"/>
  <c r="M161" i="1"/>
  <c r="Q161" i="1" s="1"/>
  <c r="M150" i="1"/>
  <c r="Q150" i="1" s="1"/>
  <c r="M134" i="1"/>
  <c r="Q134" i="1" s="1"/>
  <c r="M118" i="1"/>
  <c r="Q118" i="1" s="1"/>
  <c r="M96" i="1"/>
  <c r="Q96" i="1" s="1"/>
  <c r="M80" i="1"/>
  <c r="Q80" i="1" s="1"/>
  <c r="M64" i="1"/>
  <c r="Q64" i="1" s="1"/>
  <c r="M55" i="1"/>
  <c r="Q55" i="1" s="1"/>
  <c r="M32" i="1"/>
  <c r="Q32" i="1" s="1"/>
  <c r="M1201" i="1"/>
  <c r="Q1201" i="1" s="1"/>
  <c r="M1519" i="1"/>
  <c r="Q1519" i="1" s="1"/>
  <c r="M817" i="1"/>
  <c r="Q817" i="1" s="1"/>
  <c r="M799" i="1"/>
  <c r="Q799" i="1" s="1"/>
  <c r="M783" i="1"/>
  <c r="Q783" i="1" s="1"/>
  <c r="M767" i="1"/>
  <c r="Q767" i="1" s="1"/>
  <c r="M751" i="1"/>
  <c r="Q751" i="1" s="1"/>
  <c r="M735" i="1"/>
  <c r="Q735" i="1" s="1"/>
  <c r="M718" i="1"/>
  <c r="Q718" i="1" s="1"/>
  <c r="M702" i="1"/>
  <c r="Q702" i="1" s="1"/>
  <c r="M1487" i="1"/>
  <c r="Q1487" i="1" s="1"/>
  <c r="M686" i="1"/>
  <c r="Q686" i="1" s="1"/>
  <c r="M670" i="1"/>
  <c r="Q670" i="1" s="1"/>
  <c r="M654" i="1"/>
  <c r="Q654" i="1" s="1"/>
  <c r="M638" i="1"/>
  <c r="Q638" i="1" s="1"/>
  <c r="M620" i="1"/>
  <c r="Q620" i="1" s="1"/>
  <c r="M604" i="1"/>
  <c r="Q604" i="1" s="1"/>
  <c r="M1439" i="1"/>
  <c r="Q1439" i="1" s="1"/>
  <c r="M982" i="1"/>
  <c r="Q982" i="1" s="1"/>
  <c r="M966" i="1"/>
  <c r="Q966" i="1" s="1"/>
  <c r="M950" i="1"/>
  <c r="Q950" i="1" s="1"/>
  <c r="M923" i="1"/>
  <c r="Q923" i="1" s="1"/>
  <c r="M907" i="1"/>
  <c r="Q907" i="1" s="1"/>
  <c r="M891" i="1"/>
  <c r="Q891" i="1" s="1"/>
  <c r="M875" i="1"/>
  <c r="Q875" i="1" s="1"/>
  <c r="M588" i="1"/>
  <c r="Q588" i="1" s="1"/>
  <c r="M572" i="1"/>
  <c r="Q572" i="1" s="1"/>
  <c r="M556" i="1"/>
  <c r="Q556" i="1" s="1"/>
  <c r="M531" i="1"/>
  <c r="Q531" i="1" s="1"/>
  <c r="M515" i="1"/>
  <c r="Q515" i="1" s="1"/>
  <c r="M499" i="1"/>
  <c r="Q499" i="1" s="1"/>
  <c r="R840" i="1"/>
  <c r="R1567" i="1"/>
  <c r="M1162" i="1"/>
  <c r="Q1162" i="1" s="1"/>
  <c r="M859" i="1"/>
  <c r="Q859" i="1" s="1"/>
  <c r="M1503" i="1"/>
  <c r="Q1503" i="1" s="1"/>
  <c r="M1146" i="1"/>
  <c r="Q1146" i="1" s="1"/>
  <c r="M1130" i="1"/>
  <c r="Q1130" i="1" s="1"/>
  <c r="M1114" i="1"/>
  <c r="Q1114" i="1" s="1"/>
  <c r="M1098" i="1"/>
  <c r="Q1098" i="1" s="1"/>
  <c r="M1082" i="1"/>
  <c r="Q1082" i="1" s="1"/>
  <c r="M1066" i="1"/>
  <c r="Q1066" i="1" s="1"/>
  <c r="M1050" i="1"/>
  <c r="Q1050" i="1" s="1"/>
  <c r="M1034" i="1"/>
  <c r="Q1034" i="1" s="1"/>
  <c r="M1018" i="1"/>
  <c r="Q1018" i="1" s="1"/>
  <c r="M1000" i="1"/>
  <c r="Q1000" i="1" s="1"/>
  <c r="R108" i="1"/>
  <c r="R1184" i="1"/>
  <c r="R1357" i="1"/>
  <c r="M1471" i="1"/>
  <c r="Q1471" i="1" s="1"/>
  <c r="M478" i="1"/>
  <c r="Q478" i="1" s="1"/>
  <c r="M455" i="1"/>
  <c r="Q455" i="1" s="1"/>
  <c r="M441" i="1"/>
  <c r="Q441" i="1" s="1"/>
  <c r="M409" i="1"/>
  <c r="Q409" i="1" s="1"/>
  <c r="M393" i="1"/>
  <c r="Q393" i="1" s="1"/>
  <c r="M377" i="1"/>
  <c r="Q377" i="1" s="1"/>
  <c r="M361" i="1"/>
  <c r="Q361" i="1" s="1"/>
  <c r="M345" i="1"/>
  <c r="Q345" i="1" s="1"/>
  <c r="M329" i="1"/>
  <c r="Q329" i="1" s="1"/>
  <c r="M313" i="1"/>
  <c r="Q313" i="1" s="1"/>
  <c r="M297" i="1"/>
  <c r="Q297" i="1" s="1"/>
  <c r="M281" i="1"/>
  <c r="Q281" i="1" s="1"/>
  <c r="R1183" i="1"/>
  <c r="R1358" i="1"/>
  <c r="M1455" i="1"/>
  <c r="Q1455" i="1" s="1"/>
  <c r="M264" i="1"/>
  <c r="Q264" i="1" s="1"/>
  <c r="M248" i="1"/>
  <c r="Q248" i="1" s="1"/>
  <c r="M232" i="1"/>
  <c r="Q232" i="1" s="1"/>
  <c r="M216" i="1"/>
  <c r="Q216" i="1" s="1"/>
  <c r="M197" i="1"/>
  <c r="Q197" i="1" s="1"/>
  <c r="M181" i="1"/>
  <c r="Q181" i="1" s="1"/>
  <c r="M165" i="1"/>
  <c r="Q165" i="1" s="1"/>
  <c r="M154" i="1"/>
  <c r="Q154" i="1" s="1"/>
  <c r="M138" i="1"/>
  <c r="Q138" i="1" s="1"/>
  <c r="M122" i="1"/>
  <c r="Q122" i="1" s="1"/>
  <c r="M100" i="1"/>
  <c r="Q100" i="1" s="1"/>
  <c r="M84" i="1"/>
  <c r="Q84" i="1" s="1"/>
  <c r="M68" i="1"/>
  <c r="Q68" i="1" s="1"/>
  <c r="M59" i="1"/>
  <c r="Q59" i="1" s="1"/>
  <c r="M36" i="1"/>
  <c r="Q36" i="1" s="1"/>
  <c r="R827" i="1"/>
  <c r="R1182" i="1"/>
  <c r="R1540" i="1"/>
  <c r="M1535" i="1"/>
  <c r="Q1535" i="1" s="1"/>
  <c r="M1391" i="1"/>
  <c r="Q1391" i="1" s="1"/>
  <c r="M1375" i="1"/>
  <c r="Q1375" i="1" s="1"/>
  <c r="M1351" i="1"/>
  <c r="Q1351" i="1" s="1"/>
  <c r="M1335" i="1"/>
  <c r="Q1335" i="1" s="1"/>
  <c r="M1319" i="1"/>
  <c r="Q1319" i="1" s="1"/>
  <c r="R835" i="1"/>
  <c r="R1181" i="1"/>
  <c r="R1541" i="1"/>
  <c r="R27" i="1"/>
  <c r="R843" i="1"/>
  <c r="R1564" i="1"/>
  <c r="M1423" i="1"/>
  <c r="Q1423" i="1" s="1"/>
  <c r="R842" i="1"/>
  <c r="R1179" i="1"/>
  <c r="R1565" i="1"/>
  <c r="M1554" i="1"/>
  <c r="Q1554" i="1" s="1"/>
  <c r="R429" i="1"/>
  <c r="R547" i="1"/>
  <c r="R1566" i="1"/>
  <c r="M1407" i="1"/>
  <c r="Q1407" i="1" s="1"/>
  <c r="M684" i="1"/>
  <c r="Q684" i="1" s="1"/>
  <c r="M668" i="1"/>
  <c r="Q668" i="1" s="1"/>
  <c r="M652" i="1"/>
  <c r="Q652" i="1" s="1"/>
  <c r="M636" i="1"/>
  <c r="Q636" i="1" s="1"/>
  <c r="M618" i="1"/>
  <c r="Q618" i="1" s="1"/>
  <c r="M602" i="1"/>
  <c r="Q602" i="1" s="1"/>
  <c r="M1160" i="1"/>
  <c r="Q1160" i="1" s="1"/>
  <c r="M873" i="1"/>
  <c r="Q873" i="1" s="1"/>
  <c r="M857" i="1"/>
  <c r="Q857" i="1" s="1"/>
  <c r="M1144" i="1"/>
  <c r="Q1144" i="1" s="1"/>
  <c r="M1128" i="1"/>
  <c r="Q1128" i="1" s="1"/>
  <c r="M1112" i="1"/>
  <c r="Q1112" i="1" s="1"/>
  <c r="M1096" i="1"/>
  <c r="Q1096" i="1" s="1"/>
  <c r="M1080" i="1"/>
  <c r="Q1080" i="1" s="1"/>
  <c r="M1064" i="1"/>
  <c r="Q1064" i="1" s="1"/>
  <c r="M1048" i="1"/>
  <c r="Q1048" i="1" s="1"/>
  <c r="M1032" i="1"/>
  <c r="Q1032" i="1" s="1"/>
  <c r="M1016" i="1"/>
  <c r="Q1016" i="1" s="1"/>
  <c r="M998" i="1"/>
  <c r="Q998" i="1" s="1"/>
  <c r="Q871" i="1"/>
  <c r="Q1030" i="1"/>
  <c r="Q646" i="1"/>
  <c r="Q628" i="1"/>
  <c r="Q612" i="1"/>
  <c r="Q596" i="1"/>
  <c r="Q490" i="1"/>
  <c r="Q474" i="1"/>
  <c r="Q451" i="1"/>
  <c r="Q595" i="1"/>
  <c r="Q564" i="1"/>
  <c r="Q539" i="1"/>
  <c r="Q523" i="1"/>
  <c r="Q507" i="1"/>
  <c r="Q491" i="1"/>
  <c r="Q580" i="1"/>
  <c r="Q1203" i="1"/>
  <c r="R19" i="1"/>
  <c r="Q1473" i="1"/>
  <c r="Q704" i="1"/>
  <c r="Q147" i="1"/>
  <c r="Q131" i="1"/>
  <c r="Q115" i="1"/>
  <c r="Q93" i="1"/>
  <c r="Q77" i="1"/>
  <c r="Q611" i="1"/>
  <c r="Q1424" i="1"/>
  <c r="Q800" i="1"/>
  <c r="Q752" i="1"/>
  <c r="R464" i="1"/>
  <c r="Q909" i="1"/>
  <c r="Q671" i="1"/>
  <c r="Q983" i="1"/>
  <c r="Q1131" i="1"/>
  <c r="Q795" i="1"/>
  <c r="Q714" i="1"/>
  <c r="Q39" i="1"/>
  <c r="Q666" i="1"/>
  <c r="Q182" i="1"/>
  <c r="Q978" i="1"/>
  <c r="M1389" i="1"/>
  <c r="Q1389" i="1" s="1"/>
  <c r="M1373" i="1"/>
  <c r="Q1373" i="1" s="1"/>
  <c r="M1349" i="1"/>
  <c r="Q1349" i="1" s="1"/>
  <c r="M1333" i="1"/>
  <c r="Q1333" i="1" s="1"/>
  <c r="M1317" i="1"/>
  <c r="Q1317" i="1" s="1"/>
  <c r="Q645" i="1"/>
  <c r="Q627" i="1"/>
  <c r="M928" i="1"/>
  <c r="Q928" i="1" s="1"/>
  <c r="Q1315" i="1"/>
  <c r="Q659" i="1"/>
  <c r="Q643" i="1"/>
  <c r="Q625" i="1"/>
  <c r="Q609" i="1"/>
  <c r="Q593" i="1"/>
  <c r="M1199" i="1"/>
  <c r="Q1199" i="1" s="1"/>
  <c r="Q575" i="1"/>
  <c r="Q559" i="1"/>
  <c r="Q534" i="1"/>
  <c r="Q518" i="1"/>
  <c r="Q502" i="1"/>
  <c r="R30" i="1"/>
  <c r="Q483" i="1"/>
  <c r="Q270" i="1"/>
  <c r="Q398" i="1"/>
  <c r="M1552" i="1"/>
  <c r="Q1552" i="1" s="1"/>
  <c r="M1533" i="1"/>
  <c r="Q1533" i="1" s="1"/>
  <c r="M1517" i="1"/>
  <c r="Q1517" i="1" s="1"/>
  <c r="M1501" i="1"/>
  <c r="Q1501" i="1" s="1"/>
  <c r="M1469" i="1"/>
  <c r="Q1469" i="1" s="1"/>
  <c r="M1453" i="1"/>
  <c r="Q1453" i="1" s="1"/>
  <c r="M1437" i="1"/>
  <c r="Q1437" i="1" s="1"/>
  <c r="M1421" i="1"/>
  <c r="Q1421" i="1" s="1"/>
  <c r="M1405" i="1"/>
  <c r="Q1405" i="1" s="1"/>
  <c r="Q861" i="1"/>
  <c r="M815" i="1"/>
  <c r="Q815" i="1" s="1"/>
  <c r="M797" i="1"/>
  <c r="Q797" i="1" s="1"/>
  <c r="M781" i="1"/>
  <c r="Q781" i="1" s="1"/>
  <c r="M765" i="1"/>
  <c r="Q765" i="1" s="1"/>
  <c r="M749" i="1"/>
  <c r="Q749" i="1" s="1"/>
  <c r="M733" i="1"/>
  <c r="Q733" i="1" s="1"/>
  <c r="M716" i="1"/>
  <c r="Q716" i="1" s="1"/>
  <c r="M700" i="1"/>
  <c r="Q700" i="1" s="1"/>
  <c r="Q481" i="1"/>
  <c r="Q458" i="1"/>
  <c r="Q442" i="1"/>
  <c r="Q364" i="1"/>
  <c r="Q300" i="1"/>
  <c r="Q184" i="1"/>
  <c r="M12" i="1"/>
  <c r="R12" i="1" s="1"/>
  <c r="M980" i="1"/>
  <c r="Q980" i="1" s="1"/>
  <c r="M964" i="1"/>
  <c r="Q964" i="1" s="1"/>
  <c r="M948" i="1"/>
  <c r="Q948" i="1" s="1"/>
  <c r="M921" i="1"/>
  <c r="Q921" i="1" s="1"/>
  <c r="M905" i="1"/>
  <c r="Q905" i="1" s="1"/>
  <c r="M889" i="1"/>
  <c r="Q889" i="1" s="1"/>
  <c r="M586" i="1"/>
  <c r="Q586" i="1" s="1"/>
  <c r="M570" i="1"/>
  <c r="Q570" i="1" s="1"/>
  <c r="M554" i="1"/>
  <c r="Q554" i="1" s="1"/>
  <c r="M529" i="1"/>
  <c r="Q529" i="1" s="1"/>
  <c r="M513" i="1"/>
  <c r="Q513" i="1" s="1"/>
  <c r="M497" i="1"/>
  <c r="Q497" i="1" s="1"/>
  <c r="R29" i="1"/>
  <c r="R207" i="1"/>
  <c r="R837" i="1"/>
  <c r="R1174" i="1"/>
  <c r="R1570" i="1"/>
  <c r="R44" i="1"/>
  <c r="R467" i="1"/>
  <c r="R209" i="1"/>
  <c r="R109" i="1"/>
  <c r="Q395" i="1"/>
  <c r="Q379" i="1"/>
  <c r="Q363" i="1"/>
  <c r="Q347" i="1"/>
  <c r="Q299" i="1"/>
  <c r="Q267" i="1"/>
  <c r="Q251" i="1"/>
  <c r="Q235" i="1"/>
  <c r="Q219" i="1"/>
  <c r="Q141" i="1"/>
  <c r="R469" i="1"/>
  <c r="Q167" i="1"/>
  <c r="Q70" i="1"/>
  <c r="R31" i="1"/>
  <c r="R47" i="1"/>
  <c r="R470" i="1"/>
  <c r="R825" i="1"/>
  <c r="Q495" i="1"/>
  <c r="Q440" i="1"/>
  <c r="Q408" i="1"/>
  <c r="Q392" i="1"/>
  <c r="Q344" i="1"/>
  <c r="Q312" i="1"/>
  <c r="Q296" i="1"/>
  <c r="Q280" i="1"/>
  <c r="R21" i="1"/>
  <c r="R826" i="1"/>
  <c r="Q526" i="1"/>
  <c r="M476" i="1"/>
  <c r="Q476" i="1" s="1"/>
  <c r="M453" i="1"/>
  <c r="Q453" i="1" s="1"/>
  <c r="M439" i="1"/>
  <c r="Q439" i="1" s="1"/>
  <c r="M407" i="1"/>
  <c r="Q407" i="1" s="1"/>
  <c r="M391" i="1"/>
  <c r="Q391" i="1" s="1"/>
  <c r="M375" i="1"/>
  <c r="Q375" i="1" s="1"/>
  <c r="M359" i="1"/>
  <c r="Q359" i="1" s="1"/>
  <c r="M343" i="1"/>
  <c r="Q343" i="1" s="1"/>
  <c r="M327" i="1"/>
  <c r="Q327" i="1" s="1"/>
  <c r="M311" i="1"/>
  <c r="Q311" i="1" s="1"/>
  <c r="M295" i="1"/>
  <c r="Q295" i="1" s="1"/>
  <c r="M279" i="1"/>
  <c r="Q279" i="1" s="1"/>
  <c r="Q35" i="1"/>
  <c r="R28" i="1"/>
  <c r="R22" i="1"/>
  <c r="R50" i="1"/>
  <c r="R23" i="1"/>
  <c r="R425" i="1"/>
  <c r="Q437" i="1"/>
  <c r="Q405" i="1"/>
  <c r="Q389" i="1"/>
  <c r="Q373" i="1"/>
  <c r="Q357" i="1"/>
  <c r="Q341" i="1"/>
  <c r="Q325" i="1"/>
  <c r="Q309" i="1"/>
  <c r="Q293" i="1"/>
  <c r="Q277" i="1"/>
  <c r="Q151" i="1"/>
  <c r="Q135" i="1"/>
  <c r="Q119" i="1"/>
  <c r="Q97" i="1"/>
  <c r="Q81" i="1"/>
  <c r="Q65" i="1"/>
  <c r="R466" i="1"/>
  <c r="R24" i="1"/>
  <c r="Q193" i="1"/>
  <c r="Q177" i="1"/>
  <c r="R430" i="1"/>
  <c r="R106" i="1"/>
  <c r="R427" i="1"/>
  <c r="Q579" i="1"/>
  <c r="Q563" i="1"/>
  <c r="Q538" i="1"/>
  <c r="Q522" i="1"/>
  <c r="Q506" i="1"/>
  <c r="R1178" i="1"/>
  <c r="R410" i="1"/>
  <c r="R412" i="1"/>
  <c r="R541" i="1"/>
  <c r="R424" i="1"/>
  <c r="R543" i="1"/>
  <c r="R104" i="1"/>
  <c r="R544" i="1"/>
  <c r="R45" i="1"/>
  <c r="R105" i="1"/>
  <c r="R426" i="1"/>
  <c r="R545" i="1"/>
  <c r="R25" i="1"/>
  <c r="R208" i="1"/>
  <c r="R465" i="1"/>
  <c r="M262" i="1"/>
  <c r="Q262" i="1" s="1"/>
  <c r="M246" i="1"/>
  <c r="Q246" i="1" s="1"/>
  <c r="M230" i="1"/>
  <c r="Q230" i="1" s="1"/>
  <c r="M214" i="1"/>
  <c r="Q214" i="1" s="1"/>
  <c r="M195" i="1"/>
  <c r="Q195" i="1" s="1"/>
  <c r="M179" i="1"/>
  <c r="Q179" i="1" s="1"/>
  <c r="M163" i="1"/>
  <c r="Q163" i="1" s="1"/>
  <c r="M152" i="1"/>
  <c r="Q152" i="1" s="1"/>
  <c r="M136" i="1"/>
  <c r="Q136" i="1" s="1"/>
  <c r="M120" i="1"/>
  <c r="Q120" i="1" s="1"/>
  <c r="M98" i="1"/>
  <c r="Q98" i="1" s="1"/>
  <c r="M82" i="1"/>
  <c r="Q82" i="1" s="1"/>
  <c r="M66" i="1"/>
  <c r="Q66" i="1" s="1"/>
  <c r="M57" i="1"/>
  <c r="Q57" i="1" s="1"/>
  <c r="M34" i="1"/>
  <c r="Q34" i="1" s="1"/>
  <c r="M1207" i="1"/>
  <c r="Q1207" i="1" s="1"/>
  <c r="M1558" i="1"/>
  <c r="Q1558" i="1" s="1"/>
  <c r="M1542" i="1"/>
  <c r="Q1542" i="1" s="1"/>
  <c r="M1523" i="1"/>
  <c r="Q1523" i="1" s="1"/>
  <c r="M1507" i="1"/>
  <c r="Q1507" i="1" s="1"/>
  <c r="M1491" i="1"/>
  <c r="Q1491" i="1" s="1"/>
  <c r="M1475" i="1"/>
  <c r="Q1475" i="1" s="1"/>
  <c r="M1459" i="1"/>
  <c r="Q1459" i="1" s="1"/>
  <c r="M1443" i="1"/>
  <c r="Q1443" i="1" s="1"/>
  <c r="M1427" i="1"/>
  <c r="Q1427" i="1" s="1"/>
  <c r="M1411" i="1"/>
  <c r="Q1411" i="1" s="1"/>
  <c r="M1395" i="1"/>
  <c r="Q1395" i="1" s="1"/>
  <c r="M821" i="1"/>
  <c r="Q821" i="1" s="1"/>
  <c r="M803" i="1"/>
  <c r="Q803" i="1" s="1"/>
  <c r="M787" i="1"/>
  <c r="Q787" i="1" s="1"/>
  <c r="M771" i="1"/>
  <c r="Q771" i="1" s="1"/>
  <c r="M755" i="1"/>
  <c r="Q755" i="1" s="1"/>
  <c r="M739" i="1"/>
  <c r="Q739" i="1" s="1"/>
  <c r="M722" i="1"/>
  <c r="Q722" i="1" s="1"/>
  <c r="M706" i="1"/>
  <c r="Q706" i="1" s="1"/>
  <c r="M690" i="1"/>
  <c r="Q690" i="1" s="1"/>
  <c r="M970" i="1"/>
  <c r="Q970" i="1" s="1"/>
  <c r="M954" i="1"/>
  <c r="Q954" i="1" s="1"/>
  <c r="M927" i="1"/>
  <c r="Q927" i="1" s="1"/>
  <c r="M911" i="1"/>
  <c r="Q911" i="1" s="1"/>
  <c r="M895" i="1"/>
  <c r="Q895" i="1" s="1"/>
  <c r="M879" i="1"/>
  <c r="Q879" i="1" s="1"/>
  <c r="M576" i="1"/>
  <c r="Q576" i="1" s="1"/>
  <c r="M560" i="1"/>
  <c r="Q560" i="1" s="1"/>
  <c r="M535" i="1"/>
  <c r="Q535" i="1" s="1"/>
  <c r="M519" i="1"/>
  <c r="Q519" i="1" s="1"/>
  <c r="M503" i="1"/>
  <c r="Q503" i="1" s="1"/>
  <c r="M256" i="1"/>
  <c r="Q256" i="1" s="1"/>
  <c r="M240" i="1"/>
  <c r="Q240" i="1" s="1"/>
  <c r="M224" i="1"/>
  <c r="Q224" i="1" s="1"/>
  <c r="M205" i="1"/>
  <c r="Q205" i="1" s="1"/>
  <c r="M189" i="1"/>
  <c r="Q189" i="1" s="1"/>
  <c r="M173" i="1"/>
  <c r="Q173" i="1" s="1"/>
  <c r="M146" i="1"/>
  <c r="Q146" i="1" s="1"/>
  <c r="M130" i="1"/>
  <c r="Q130" i="1" s="1"/>
  <c r="M114" i="1"/>
  <c r="Q114" i="1" s="1"/>
  <c r="M92" i="1"/>
  <c r="Q92" i="1" s="1"/>
  <c r="M76" i="1"/>
  <c r="Q76" i="1" s="1"/>
  <c r="M51" i="1"/>
  <c r="Q51" i="1" s="1"/>
  <c r="M1166" i="1"/>
  <c r="Q1166" i="1" s="1"/>
  <c r="M863" i="1"/>
  <c r="Q863" i="1" s="1"/>
  <c r="M1134" i="1"/>
  <c r="Q1134" i="1" s="1"/>
  <c r="M1102" i="1"/>
  <c r="Q1102" i="1" s="1"/>
  <c r="M1070" i="1"/>
  <c r="Q1070" i="1" s="1"/>
  <c r="M1038" i="1"/>
  <c r="Q1038" i="1" s="1"/>
  <c r="M1004" i="1"/>
  <c r="Q1004" i="1" s="1"/>
  <c r="R1180" i="1"/>
  <c r="M1150" i="1"/>
  <c r="Q1150" i="1" s="1"/>
  <c r="M1118" i="1"/>
  <c r="Q1118" i="1" s="1"/>
  <c r="M1086" i="1"/>
  <c r="Q1086" i="1" s="1"/>
  <c r="M1054" i="1"/>
  <c r="Q1054" i="1" s="1"/>
  <c r="M1022" i="1"/>
  <c r="Q1022" i="1" s="1"/>
  <c r="M988" i="1"/>
  <c r="Q988" i="1" s="1"/>
  <c r="M482" i="1"/>
  <c r="Q482" i="1" s="1"/>
  <c r="M459" i="1"/>
  <c r="Q459" i="1" s="1"/>
  <c r="M443" i="1"/>
  <c r="Q443" i="1" s="1"/>
  <c r="M416" i="1"/>
  <c r="Q416" i="1" s="1"/>
  <c r="M397" i="1"/>
  <c r="Q397" i="1" s="1"/>
  <c r="M381" i="1"/>
  <c r="Q381" i="1" s="1"/>
  <c r="M365" i="1"/>
  <c r="Q365" i="1" s="1"/>
  <c r="M349" i="1"/>
  <c r="Q349" i="1" s="1"/>
  <c r="M333" i="1"/>
  <c r="Q333" i="1" s="1"/>
  <c r="M317" i="1"/>
  <c r="Q317" i="1" s="1"/>
  <c r="M301" i="1"/>
  <c r="Q301" i="1" s="1"/>
  <c r="M285" i="1"/>
  <c r="Q285" i="1" s="1"/>
  <c r="M269" i="1"/>
  <c r="Q269" i="1" s="1"/>
  <c r="R841" i="1"/>
  <c r="M185" i="1"/>
  <c r="Q185" i="1" s="1"/>
  <c r="M169" i="1"/>
  <c r="Q169" i="1" s="1"/>
  <c r="M40" i="1"/>
  <c r="Q40" i="1" s="1"/>
  <c r="M1379" i="1"/>
  <c r="Q1379" i="1" s="1"/>
  <c r="M1339" i="1"/>
  <c r="Q1339" i="1" s="1"/>
  <c r="M1363" i="1"/>
  <c r="Q1363" i="1" s="1"/>
  <c r="M1323" i="1"/>
  <c r="Q1323" i="1" s="1"/>
  <c r="R838" i="1"/>
  <c r="M252" i="1"/>
  <c r="Q252" i="1" s="1"/>
  <c r="M236" i="1"/>
  <c r="Q236" i="1" s="1"/>
  <c r="M220" i="1"/>
  <c r="Q220" i="1" s="1"/>
  <c r="M201" i="1"/>
  <c r="Q201" i="1" s="1"/>
  <c r="M158" i="1"/>
  <c r="Q158" i="1" s="1"/>
  <c r="M142" i="1"/>
  <c r="Q142" i="1" s="1"/>
  <c r="M126" i="1"/>
  <c r="Q126" i="1" s="1"/>
  <c r="M110" i="1"/>
  <c r="Q110" i="1" s="1"/>
  <c r="M88" i="1"/>
  <c r="Q88" i="1" s="1"/>
  <c r="M72" i="1"/>
  <c r="Q72" i="1" s="1"/>
  <c r="M61" i="1"/>
  <c r="Q61" i="1" s="1"/>
  <c r="M38" i="1"/>
  <c r="Q38" i="1" s="1"/>
  <c r="M1529" i="1"/>
  <c r="Q1529" i="1" s="1"/>
  <c r="M1481" i="1"/>
  <c r="Q1481" i="1" s="1"/>
  <c r="M1417" i="1"/>
  <c r="Q1417" i="1" s="1"/>
  <c r="M1401" i="1"/>
  <c r="Q1401" i="1" s="1"/>
  <c r="M809" i="1"/>
  <c r="Q809" i="1" s="1"/>
  <c r="M793" i="1"/>
  <c r="Q793" i="1" s="1"/>
  <c r="M777" i="1"/>
  <c r="Q777" i="1" s="1"/>
  <c r="M761" i="1"/>
  <c r="Q761" i="1" s="1"/>
  <c r="M745" i="1"/>
  <c r="Q745" i="1" s="1"/>
  <c r="M729" i="1"/>
  <c r="Q729" i="1" s="1"/>
  <c r="M712" i="1"/>
  <c r="Q712" i="1" s="1"/>
  <c r="M696" i="1"/>
  <c r="Q696" i="1" s="1"/>
  <c r="M1548" i="1"/>
  <c r="Q1548" i="1" s="1"/>
  <c r="M1465" i="1"/>
  <c r="Q1465" i="1" s="1"/>
  <c r="M7" i="1"/>
  <c r="Q7" i="1" s="1"/>
  <c r="M1497" i="1"/>
  <c r="Q1497" i="1" s="1"/>
  <c r="M1433" i="1"/>
  <c r="Q1433" i="1" s="1"/>
  <c r="M680" i="1"/>
  <c r="Q680" i="1" s="1"/>
  <c r="M664" i="1"/>
  <c r="Q664" i="1" s="1"/>
  <c r="M648" i="1"/>
  <c r="Q648" i="1" s="1"/>
  <c r="M630" i="1"/>
  <c r="Q630" i="1" s="1"/>
  <c r="M614" i="1"/>
  <c r="Q614" i="1" s="1"/>
  <c r="M598" i="1"/>
  <c r="Q598" i="1" s="1"/>
  <c r="M1195" i="1"/>
  <c r="Q1195" i="1" s="1"/>
  <c r="M1513" i="1"/>
  <c r="Q1513" i="1" s="1"/>
  <c r="M1449" i="1"/>
  <c r="Q1449" i="1" s="1"/>
  <c r="M976" i="1"/>
  <c r="Q976" i="1" s="1"/>
  <c r="M960" i="1"/>
  <c r="Q960" i="1" s="1"/>
  <c r="M944" i="1"/>
  <c r="Q944" i="1" s="1"/>
  <c r="M917" i="1"/>
  <c r="Q917" i="1" s="1"/>
  <c r="M901" i="1"/>
  <c r="Q901" i="1" s="1"/>
  <c r="M885" i="1"/>
  <c r="Q885" i="1" s="1"/>
  <c r="M582" i="1"/>
  <c r="Q582" i="1" s="1"/>
  <c r="M566" i="1"/>
  <c r="Q566" i="1" s="1"/>
  <c r="M550" i="1"/>
  <c r="Q550" i="1" s="1"/>
  <c r="M525" i="1"/>
  <c r="Q525" i="1" s="1"/>
  <c r="M509" i="1"/>
  <c r="Q509" i="1" s="1"/>
  <c r="M493" i="1"/>
  <c r="Q493" i="1" s="1"/>
  <c r="M869" i="1"/>
  <c r="Q869" i="1" s="1"/>
  <c r="M853" i="1"/>
  <c r="Q853" i="1" s="1"/>
  <c r="M1140" i="1"/>
  <c r="Q1140" i="1" s="1"/>
  <c r="M1124" i="1"/>
  <c r="Q1124" i="1" s="1"/>
  <c r="M1108" i="1"/>
  <c r="Q1108" i="1" s="1"/>
  <c r="M1092" i="1"/>
  <c r="Q1092" i="1" s="1"/>
  <c r="M1076" i="1"/>
  <c r="Q1076" i="1" s="1"/>
  <c r="M1060" i="1"/>
  <c r="Q1060" i="1" s="1"/>
  <c r="M1044" i="1"/>
  <c r="Q1044" i="1" s="1"/>
  <c r="M1028" i="1"/>
  <c r="Q1028" i="1" s="1"/>
  <c r="M1010" i="1"/>
  <c r="Q1010" i="1" s="1"/>
  <c r="M994" i="1"/>
  <c r="Q994" i="1" s="1"/>
  <c r="M1156" i="1"/>
  <c r="Q1156" i="1" s="1"/>
  <c r="M488" i="1"/>
  <c r="Q488" i="1" s="1"/>
  <c r="M472" i="1"/>
  <c r="Q472" i="1" s="1"/>
  <c r="M449" i="1"/>
  <c r="Q449" i="1" s="1"/>
  <c r="M435" i="1"/>
  <c r="Q435" i="1" s="1"/>
  <c r="M403" i="1"/>
  <c r="Q403" i="1" s="1"/>
  <c r="M387" i="1"/>
  <c r="Q387" i="1" s="1"/>
  <c r="M371" i="1"/>
  <c r="Q371" i="1" s="1"/>
  <c r="M355" i="1"/>
  <c r="Q355" i="1" s="1"/>
  <c r="M339" i="1"/>
  <c r="Q339" i="1" s="1"/>
  <c r="M323" i="1"/>
  <c r="Q323" i="1" s="1"/>
  <c r="M307" i="1"/>
  <c r="Q307" i="1" s="1"/>
  <c r="M291" i="1"/>
  <c r="Q291" i="1" s="1"/>
  <c r="M275" i="1"/>
  <c r="Q275" i="1" s="1"/>
  <c r="M258" i="1"/>
  <c r="Q258" i="1" s="1"/>
  <c r="M242" i="1"/>
  <c r="Q242" i="1" s="1"/>
  <c r="M226" i="1"/>
  <c r="Q226" i="1" s="1"/>
  <c r="M210" i="1"/>
  <c r="Q210" i="1" s="1"/>
  <c r="M191" i="1"/>
  <c r="Q191" i="1" s="1"/>
  <c r="M175" i="1"/>
  <c r="Q175" i="1" s="1"/>
  <c r="M159" i="1"/>
  <c r="Q159" i="1" s="1"/>
  <c r="M148" i="1"/>
  <c r="Q148" i="1" s="1"/>
  <c r="M132" i="1"/>
  <c r="Q132" i="1" s="1"/>
  <c r="M116" i="1"/>
  <c r="Q116" i="1" s="1"/>
  <c r="M94" i="1"/>
  <c r="Q94" i="1" s="1"/>
  <c r="M78" i="1"/>
  <c r="Q78" i="1" s="1"/>
  <c r="M62" i="1"/>
  <c r="Q62" i="1" s="1"/>
  <c r="M53" i="1"/>
  <c r="Q53" i="1" s="1"/>
  <c r="M1385" i="1"/>
  <c r="Q1385" i="1" s="1"/>
  <c r="M1369" i="1"/>
  <c r="Q1369" i="1" s="1"/>
  <c r="M1345" i="1"/>
  <c r="Q1345" i="1" s="1"/>
  <c r="M1329" i="1"/>
  <c r="Q1329" i="1" s="1"/>
  <c r="M1313" i="1"/>
  <c r="Q1313" i="1" s="1"/>
  <c r="M1436" i="1"/>
  <c r="Q1436" i="1" s="1"/>
  <c r="M1316" i="1"/>
  <c r="Q1316" i="1" s="1"/>
  <c r="M1159" i="1"/>
  <c r="Q1159" i="1" s="1"/>
  <c r="M1143" i="1"/>
  <c r="Q1143" i="1" s="1"/>
  <c r="M1031" i="1"/>
  <c r="Q1031" i="1" s="1"/>
  <c r="M1013" i="1"/>
  <c r="Q1013" i="1" s="1"/>
  <c r="M888" i="1"/>
  <c r="Q888" i="1" s="1"/>
  <c r="M872" i="1"/>
  <c r="Q872" i="1" s="1"/>
  <c r="M732" i="1"/>
  <c r="Q732" i="1" s="1"/>
  <c r="M715" i="1"/>
  <c r="Q715" i="1" s="1"/>
  <c r="M585" i="1"/>
  <c r="Q585" i="1" s="1"/>
  <c r="M79" i="1"/>
  <c r="Q79" i="1" s="1"/>
  <c r="M63" i="1"/>
  <c r="Q63" i="1" s="1"/>
  <c r="M1485" i="1"/>
  <c r="Q1485" i="1" s="1"/>
  <c r="M1383" i="1"/>
  <c r="Q1383" i="1" s="1"/>
  <c r="M1367" i="1"/>
  <c r="Q1367" i="1" s="1"/>
  <c r="M1343" i="1"/>
  <c r="Q1343" i="1" s="1"/>
  <c r="M1327" i="1"/>
  <c r="Q1327" i="1" s="1"/>
  <c r="M255" i="1"/>
  <c r="Q255" i="1" s="1"/>
  <c r="M239" i="1"/>
  <c r="Q239" i="1" s="1"/>
  <c r="M223" i="1"/>
  <c r="Q223" i="1" s="1"/>
  <c r="M204" i="1"/>
  <c r="Q204" i="1" s="1"/>
  <c r="M188" i="1"/>
  <c r="Q188" i="1" s="1"/>
  <c r="M172" i="1"/>
  <c r="Q172" i="1" s="1"/>
  <c r="M145" i="1"/>
  <c r="Q145" i="1" s="1"/>
  <c r="M129" i="1"/>
  <c r="Q129" i="1" s="1"/>
  <c r="M113" i="1"/>
  <c r="Q113" i="1" s="1"/>
  <c r="M91" i="1"/>
  <c r="Q91" i="1" s="1"/>
  <c r="M253" i="1"/>
  <c r="Q253" i="1" s="1"/>
  <c r="M237" i="1"/>
  <c r="Q237" i="1" s="1"/>
  <c r="M221" i="1"/>
  <c r="Q221" i="1" s="1"/>
  <c r="M202" i="1"/>
  <c r="Q202" i="1" s="1"/>
  <c r="M186" i="1"/>
  <c r="Q186" i="1" s="1"/>
  <c r="M170" i="1"/>
  <c r="Q170" i="1" s="1"/>
  <c r="M143" i="1"/>
  <c r="Q143" i="1" s="1"/>
  <c r="M127" i="1"/>
  <c r="Q127" i="1" s="1"/>
  <c r="M111" i="1"/>
  <c r="Q111" i="1" s="1"/>
  <c r="M89" i="1"/>
  <c r="Q89" i="1" s="1"/>
  <c r="M156" i="1"/>
  <c r="Q156" i="1" s="1"/>
  <c r="M140" i="1"/>
  <c r="Q140" i="1" s="1"/>
  <c r="M124" i="1"/>
  <c r="Q124" i="1" s="1"/>
  <c r="M102" i="1"/>
  <c r="Q102" i="1" s="1"/>
  <c r="M1562" i="1"/>
  <c r="Q1562" i="1" s="1"/>
  <c r="M1546" i="1"/>
  <c r="Q1546" i="1" s="1"/>
  <c r="M1527" i="1"/>
  <c r="Q1527" i="1" s="1"/>
  <c r="M1511" i="1"/>
  <c r="Q1511" i="1" s="1"/>
  <c r="M1495" i="1"/>
  <c r="Q1495" i="1" s="1"/>
  <c r="M1479" i="1"/>
  <c r="Q1479" i="1" s="1"/>
  <c r="M1463" i="1"/>
  <c r="Q1463" i="1" s="1"/>
  <c r="M1447" i="1"/>
  <c r="Q1447" i="1" s="1"/>
  <c r="M1431" i="1"/>
  <c r="Q1431" i="1" s="1"/>
  <c r="M1415" i="1"/>
  <c r="Q1415" i="1" s="1"/>
  <c r="M1399" i="1"/>
  <c r="Q1399" i="1" s="1"/>
  <c r="M475" i="1"/>
  <c r="Q475" i="1" s="1"/>
  <c r="M452" i="1"/>
  <c r="Q452" i="1" s="1"/>
  <c r="M438" i="1"/>
  <c r="Q438" i="1" s="1"/>
  <c r="M406" i="1"/>
  <c r="Q406" i="1" s="1"/>
  <c r="M390" i="1"/>
  <c r="Q390" i="1" s="1"/>
  <c r="M374" i="1"/>
  <c r="Q374" i="1" s="1"/>
  <c r="M358" i="1"/>
  <c r="Q358" i="1" s="1"/>
  <c r="M342" i="1"/>
  <c r="Q342" i="1" s="1"/>
  <c r="M326" i="1"/>
  <c r="Q326" i="1" s="1"/>
  <c r="M310" i="1"/>
  <c r="Q310" i="1" s="1"/>
  <c r="M294" i="1"/>
  <c r="Q294" i="1" s="1"/>
  <c r="M278" i="1"/>
  <c r="Q278" i="1" s="1"/>
  <c r="M261" i="1"/>
  <c r="Q261" i="1" s="1"/>
  <c r="M245" i="1"/>
  <c r="Q245" i="1" s="1"/>
  <c r="M229" i="1"/>
  <c r="Q229" i="1" s="1"/>
  <c r="M213" i="1"/>
  <c r="Q213" i="1" s="1"/>
  <c r="M194" i="1"/>
  <c r="Q194" i="1" s="1"/>
  <c r="M178" i="1"/>
  <c r="Q178" i="1" s="1"/>
  <c r="M162" i="1"/>
  <c r="Q162" i="1" s="1"/>
  <c r="M489" i="1"/>
  <c r="Q489" i="1" s="1"/>
  <c r="M473" i="1"/>
  <c r="Q473" i="1" s="1"/>
  <c r="M450" i="1"/>
  <c r="Q450" i="1" s="1"/>
  <c r="M436" i="1"/>
  <c r="Q436" i="1" s="1"/>
  <c r="M404" i="1"/>
  <c r="Q404" i="1" s="1"/>
  <c r="M388" i="1"/>
  <c r="Q388" i="1" s="1"/>
  <c r="M372" i="1"/>
  <c r="Q372" i="1" s="1"/>
  <c r="M356" i="1"/>
  <c r="Q356" i="1" s="1"/>
  <c r="M340" i="1"/>
  <c r="Q340" i="1" s="1"/>
  <c r="M324" i="1"/>
  <c r="Q324" i="1" s="1"/>
  <c r="M308" i="1"/>
  <c r="Q308" i="1" s="1"/>
  <c r="M292" i="1"/>
  <c r="Q292" i="1" s="1"/>
  <c r="M276" i="1"/>
  <c r="Q276" i="1" s="1"/>
  <c r="M259" i="1"/>
  <c r="Q259" i="1" s="1"/>
  <c r="M243" i="1"/>
  <c r="Q243" i="1" s="1"/>
  <c r="M227" i="1"/>
  <c r="Q227" i="1" s="1"/>
  <c r="M211" i="1"/>
  <c r="Q211" i="1" s="1"/>
  <c r="M192" i="1"/>
  <c r="Q192" i="1" s="1"/>
  <c r="M176" i="1"/>
  <c r="Q176" i="1" s="1"/>
  <c r="M160" i="1"/>
  <c r="Q160" i="1" s="1"/>
  <c r="M149" i="1"/>
  <c r="Q149" i="1" s="1"/>
  <c r="M133" i="1"/>
  <c r="Q133" i="1" s="1"/>
  <c r="M117" i="1"/>
  <c r="Q117" i="1" s="1"/>
  <c r="M95" i="1"/>
  <c r="Q95" i="1" s="1"/>
  <c r="M830" i="1"/>
  <c r="R830" i="1" s="1"/>
  <c r="L937" i="1"/>
  <c r="Q937" i="1" s="1"/>
  <c r="L1206" i="1"/>
  <c r="Q1206" i="1" s="1"/>
  <c r="L1262" i="1"/>
  <c r="Q1262" i="1" s="1"/>
  <c r="M831" i="1"/>
  <c r="R831" i="1" s="1"/>
  <c r="M829" i="1"/>
  <c r="R829" i="1" s="1"/>
  <c r="M828" i="1"/>
  <c r="R828" i="1" s="1"/>
  <c r="L936" i="1"/>
  <c r="Q936" i="1" s="1"/>
  <c r="L938" i="1"/>
  <c r="Q938" i="1" s="1"/>
  <c r="L1263" i="1"/>
  <c r="Q1263" i="1" s="1"/>
  <c r="L13" i="1"/>
  <c r="Q13" i="1" s="1"/>
  <c r="L940" i="1"/>
  <c r="Q940" i="1" s="1"/>
  <c r="L1264" i="1"/>
  <c r="Q1264" i="1" s="1"/>
  <c r="L15" i="1"/>
  <c r="Q15" i="1" s="1"/>
  <c r="L941" i="1"/>
  <c r="Q941" i="1" s="1"/>
  <c r="L1265" i="1"/>
  <c r="Q1265" i="1" s="1"/>
  <c r="L16" i="1"/>
  <c r="Q16" i="1" s="1"/>
  <c r="L942" i="1"/>
  <c r="Q942" i="1" s="1"/>
  <c r="L1356" i="1"/>
  <c r="Q1356" i="1" s="1"/>
  <c r="L17" i="1"/>
  <c r="Q17" i="1" s="1"/>
  <c r="L986" i="1"/>
  <c r="Q986" i="1" s="1"/>
  <c r="L1355" i="1"/>
  <c r="Q1355" i="1" s="1"/>
  <c r="L18" i="1"/>
  <c r="Q18" i="1" s="1"/>
  <c r="L1014" i="1"/>
  <c r="Q1014" i="1" s="1"/>
  <c r="L1359" i="1"/>
  <c r="Q1359" i="1" s="1"/>
  <c r="L20" i="1"/>
  <c r="L1015" i="1"/>
  <c r="Q1015" i="1" s="1"/>
  <c r="L1360" i="1"/>
  <c r="Q1360" i="1" s="1"/>
  <c r="L832" i="1"/>
  <c r="Q832" i="1" s="1"/>
  <c r="L1169" i="1"/>
  <c r="Q1169" i="1" s="1"/>
  <c r="L1361" i="1"/>
  <c r="Q1361" i="1" s="1"/>
  <c r="L833" i="1"/>
  <c r="Q833" i="1" s="1"/>
  <c r="L1170" i="1"/>
  <c r="Q1170" i="1" s="1"/>
  <c r="L1362" i="1"/>
  <c r="Q1362" i="1" s="1"/>
  <c r="L834" i="1"/>
  <c r="Q834" i="1" s="1"/>
  <c r="L1185" i="1"/>
  <c r="Q1185" i="1" s="1"/>
  <c r="L1539" i="1"/>
  <c r="Q1539" i="1" s="1"/>
  <c r="L932" i="1"/>
  <c r="Q932" i="1" s="1"/>
  <c r="L1187" i="1"/>
  <c r="Q1187" i="1" s="1"/>
  <c r="L844" i="1"/>
  <c r="Q844" i="1" s="1"/>
  <c r="L933" i="1"/>
  <c r="Q933" i="1" s="1"/>
  <c r="L1186" i="1"/>
  <c r="Q1186" i="1" s="1"/>
  <c r="L845" i="1"/>
  <c r="Q845" i="1" s="1"/>
  <c r="L934" i="1"/>
  <c r="Q934" i="1" s="1"/>
  <c r="L1191" i="1"/>
  <c r="Q1191" i="1" s="1"/>
  <c r="L846" i="1"/>
  <c r="Q846" i="1" s="1"/>
  <c r="L935" i="1"/>
  <c r="Q935" i="1" s="1"/>
  <c r="L1205" i="1"/>
  <c r="Q1205" i="1" s="1"/>
  <c r="L847" i="1"/>
  <c r="Q847" i="1" s="1"/>
  <c r="G1572" i="1"/>
  <c r="K1572" i="1"/>
  <c r="H12" i="1"/>
  <c r="J1572" i="1"/>
  <c r="I1572" i="1"/>
  <c r="I1579" i="1" s="1"/>
  <c r="M1170" i="1" l="1"/>
  <c r="R1170" i="1" s="1"/>
  <c r="M844" i="1"/>
  <c r="R844" i="1" s="1"/>
  <c r="M1169" i="1"/>
  <c r="R1169" i="1" s="1"/>
  <c r="M942" i="1"/>
  <c r="R942" i="1" s="1"/>
  <c r="M936" i="1"/>
  <c r="R936" i="1" s="1"/>
  <c r="M937" i="1"/>
  <c r="R937" i="1" s="1"/>
  <c r="M847" i="1"/>
  <c r="R847" i="1" s="1"/>
  <c r="M1264" i="1"/>
  <c r="R1264" i="1" s="1"/>
  <c r="M933" i="1"/>
  <c r="R933" i="1" s="1"/>
  <c r="M1265" i="1"/>
  <c r="R1265" i="1" s="1"/>
  <c r="M1014" i="1"/>
  <c r="R1014" i="1" s="1"/>
  <c r="M833" i="1"/>
  <c r="R833" i="1" s="1"/>
  <c r="M941" i="1"/>
  <c r="R941" i="1" s="1"/>
  <c r="M1361" i="1"/>
  <c r="R1361" i="1" s="1"/>
  <c r="M1186" i="1"/>
  <c r="R1186" i="1" s="1"/>
  <c r="M1205" i="1"/>
  <c r="R1205" i="1" s="1"/>
  <c r="M17" i="1"/>
  <c r="R17" i="1" s="1"/>
  <c r="M846" i="1"/>
  <c r="R846" i="1" s="1"/>
  <c r="M934" i="1"/>
  <c r="R934" i="1" s="1"/>
  <c r="M1206" i="1"/>
  <c r="R1206" i="1" s="1"/>
  <c r="M1263" i="1"/>
  <c r="R1263" i="1" s="1"/>
  <c r="M1185" i="1"/>
  <c r="R1185" i="1" s="1"/>
  <c r="M1539" i="1"/>
  <c r="R1539" i="1" s="1"/>
  <c r="M1359" i="1"/>
  <c r="R1359" i="1" s="1"/>
  <c r="M1362" i="1"/>
  <c r="R1362" i="1" s="1"/>
  <c r="M986" i="1"/>
  <c r="R986" i="1" s="1"/>
  <c r="M18" i="1"/>
  <c r="R18" i="1" s="1"/>
  <c r="M938" i="1"/>
  <c r="R938" i="1" s="1"/>
  <c r="M1356" i="1"/>
  <c r="R1356" i="1" s="1"/>
  <c r="M834" i="1"/>
  <c r="R834" i="1" s="1"/>
  <c r="M15" i="1"/>
  <c r="R15" i="1" s="1"/>
  <c r="M935" i="1"/>
  <c r="R935" i="1" s="1"/>
  <c r="M13" i="1"/>
  <c r="R13" i="1" s="1"/>
  <c r="Q20" i="1"/>
  <c r="M20" i="1"/>
  <c r="M1360" i="1"/>
  <c r="R1360" i="1" s="1"/>
  <c r="M1187" i="1"/>
  <c r="R1187" i="1" s="1"/>
  <c r="M845" i="1"/>
  <c r="R845" i="1" s="1"/>
  <c r="M16" i="1"/>
  <c r="R16" i="1" s="1"/>
  <c r="M932" i="1"/>
  <c r="R932" i="1" s="1"/>
  <c r="M940" i="1"/>
  <c r="R940" i="1" s="1"/>
  <c r="M1015" i="1"/>
  <c r="R1015" i="1" s="1"/>
  <c r="M832" i="1"/>
  <c r="R832" i="1" s="1"/>
  <c r="M1355" i="1"/>
  <c r="R1355" i="1" s="1"/>
  <c r="M1191" i="1"/>
  <c r="R1191" i="1" s="1"/>
  <c r="M1262" i="1"/>
  <c r="R1262" i="1" s="1"/>
  <c r="I1580" i="1"/>
  <c r="K1574" i="1"/>
  <c r="I1581" i="1"/>
  <c r="L1572" i="1"/>
  <c r="H1572" i="1"/>
  <c r="M1572" i="1" l="1"/>
  <c r="I1578" i="1" s="1"/>
  <c r="R20" i="1"/>
  <c r="I1582" i="1"/>
  <c r="I1584" i="1" l="1"/>
  <c r="I1586" i="1" s="1"/>
  <c r="G537" i="7" l="1"/>
  <c r="G1437" i="7"/>
  <c r="G41" i="7"/>
  <c r="G1003" i="7"/>
  <c r="G1438" i="7"/>
  <c r="G20" i="7"/>
  <c r="G1004" i="7"/>
  <c r="G12" i="7"/>
  <c r="G418" i="7"/>
  <c r="G1260" i="7"/>
  <c r="G42" i="7"/>
  <c r="G860" i="7"/>
  <c r="G462" i="7"/>
  <c r="G822" i="7"/>
  <c r="G861" i="7"/>
  <c r="G101" i="7"/>
  <c r="G1005" i="7"/>
  <c r="G427" i="7"/>
  <c r="G1006" i="7"/>
  <c r="G538" i="7"/>
  <c r="G13" i="7"/>
  <c r="G1173" i="7"/>
  <c r="G1201" i="7"/>
  <c r="G1439" i="7"/>
  <c r="G539" i="7"/>
  <c r="G1007" i="7"/>
  <c r="G862" i="7"/>
  <c r="G1440" i="7"/>
  <c r="G43" i="7"/>
  <c r="G21" i="7"/>
  <c r="G102" i="7"/>
  <c r="G1351" i="7"/>
  <c r="G540" i="7"/>
  <c r="G1562" i="7"/>
  <c r="G419" i="7"/>
  <c r="G823" i="7"/>
  <c r="G420" i="7"/>
  <c r="G14" i="7"/>
  <c r="G834" i="7"/>
  <c r="G463" i="7"/>
  <c r="G1202" i="7"/>
  <c r="G1008" i="7"/>
  <c r="G205" i="7"/>
  <c r="G541" i="7"/>
  <c r="G835" i="7"/>
  <c r="G724" i="7"/>
  <c r="G22" i="7"/>
  <c r="G23" i="7"/>
  <c r="G836" i="7"/>
  <c r="G863" i="7"/>
  <c r="G103" i="7"/>
  <c r="G1352" i="7"/>
  <c r="G1172" i="7"/>
  <c r="H1172" i="7" s="1"/>
  <c r="M1534" i="3"/>
  <c r="P1320" i="3"/>
  <c r="P30" i="3"/>
  <c r="P537" i="3"/>
  <c r="P1159" i="3"/>
  <c r="P1525" i="3"/>
  <c r="P1526" i="3"/>
  <c r="P421" i="3"/>
  <c r="P817" i="3"/>
  <c r="P422" i="3"/>
  <c r="P31" i="3"/>
  <c r="P822" i="3"/>
  <c r="P1154" i="3"/>
  <c r="P460" i="3"/>
  <c r="P818" i="3"/>
  <c r="P1174" i="3"/>
  <c r="P208" i="3"/>
  <c r="P988" i="3"/>
  <c r="P34" i="3"/>
  <c r="P209" i="3"/>
  <c r="P538" i="3"/>
  <c r="P539" i="3"/>
  <c r="P989" i="3"/>
  <c r="P1155" i="3"/>
  <c r="P823" i="3"/>
  <c r="P714" i="3"/>
  <c r="P1532" i="3"/>
  <c r="P1156" i="3"/>
  <c r="P35" i="3"/>
  <c r="P819" i="3"/>
  <c r="P1157" i="3"/>
  <c r="P820" i="3"/>
  <c r="P1527" i="3"/>
  <c r="P36" i="3"/>
  <c r="P912" i="3"/>
  <c r="P423" i="3"/>
  <c r="P824" i="3"/>
  <c r="P847" i="3"/>
  <c r="P109" i="3"/>
  <c r="P1321" i="3"/>
  <c r="P424" i="3"/>
  <c r="P210" i="3"/>
  <c r="P108" i="3"/>
  <c r="P1153" i="3"/>
  <c r="P987" i="3"/>
  <c r="P33" i="3"/>
  <c r="P1531" i="3"/>
  <c r="P536" i="3"/>
  <c r="P1152" i="3"/>
  <c r="P1529" i="3"/>
  <c r="P1173" i="3"/>
  <c r="P1406" i="3"/>
  <c r="P535" i="3"/>
  <c r="P986" i="3"/>
  <c r="P846" i="3"/>
  <c r="P1407" i="3"/>
  <c r="P1530" i="3"/>
  <c r="P52" i="3"/>
  <c r="P816" i="3"/>
  <c r="P29" i="3"/>
  <c r="P1151" i="3"/>
  <c r="P821" i="3"/>
  <c r="P1145" i="3" l="1"/>
  <c r="P810" i="3"/>
  <c r="P811" i="3"/>
  <c r="P106" i="3"/>
  <c r="P531" i="3"/>
  <c r="P1146" i="3"/>
  <c r="P812" i="3"/>
  <c r="P532" i="3"/>
  <c r="P1404" i="3"/>
  <c r="P624" i="3"/>
  <c r="P49" i="3"/>
  <c r="P1524" i="3"/>
  <c r="P982" i="3"/>
  <c r="P1405" i="3"/>
  <c r="P1147" i="3"/>
  <c r="P1528" i="3"/>
  <c r="P1148" i="3"/>
  <c r="P32" i="3"/>
  <c r="P1149" i="3"/>
  <c r="P1143" i="3"/>
  <c r="P419" i="3"/>
  <c r="P983" i="3"/>
  <c r="P27" i="3"/>
  <c r="P420" i="3"/>
  <c r="P1230" i="3"/>
  <c r="P813" i="3"/>
  <c r="P50" i="3"/>
  <c r="P844" i="3"/>
  <c r="P459" i="3"/>
  <c r="P814" i="3"/>
  <c r="P533" i="3"/>
  <c r="P845" i="3"/>
  <c r="P815" i="3"/>
  <c r="P107" i="3"/>
  <c r="P207" i="3"/>
  <c r="P1158" i="3"/>
  <c r="P984" i="3"/>
  <c r="P1150" i="3"/>
  <c r="P51" i="3"/>
  <c r="P425" i="3"/>
  <c r="P985" i="3"/>
  <c r="P28" i="3"/>
  <c r="P534" i="3"/>
  <c r="P1144" i="3"/>
  <c r="L1534" i="3"/>
  <c r="K1528" i="3"/>
  <c r="N1528" i="3" s="1"/>
  <c r="K1532" i="3"/>
  <c r="N1532" i="3" s="1"/>
  <c r="K1531" i="3"/>
  <c r="K1530" i="3"/>
  <c r="N1530" i="3" s="1"/>
  <c r="K1527" i="3"/>
  <c r="N1527" i="3" s="1"/>
  <c r="K1524" i="3"/>
  <c r="N1524" i="3" s="1"/>
  <c r="K1159" i="3"/>
  <c r="N1159" i="3" s="1"/>
  <c r="K1158" i="3"/>
  <c r="N1158" i="3" s="1"/>
  <c r="K1156" i="3"/>
  <c r="N1156" i="3" s="1"/>
  <c r="K1153" i="3"/>
  <c r="N1153" i="3" s="1"/>
  <c r="K1149" i="3"/>
  <c r="N1149" i="3" s="1"/>
  <c r="K1157" i="3"/>
  <c r="N1157" i="3" s="1"/>
  <c r="K1155" i="3"/>
  <c r="N1155" i="3" s="1"/>
  <c r="K1152" i="3"/>
  <c r="N1152" i="3" s="1"/>
  <c r="K1150" i="3"/>
  <c r="N1150" i="3" s="1"/>
  <c r="K1146" i="3"/>
  <c r="N1146" i="3" s="1"/>
  <c r="K1154" i="3"/>
  <c r="N1154" i="3" s="1"/>
  <c r="K1147" i="3"/>
  <c r="N1147" i="3" s="1"/>
  <c r="K1148" i="3"/>
  <c r="N1148" i="3" s="1"/>
  <c r="K1145" i="3"/>
  <c r="N1145" i="3" s="1"/>
  <c r="K1143" i="3"/>
  <c r="N1143" i="3" s="1"/>
  <c r="K987" i="3"/>
  <c r="N987" i="3" s="1"/>
  <c r="K989" i="3"/>
  <c r="N989" i="3" s="1"/>
  <c r="K912" i="3"/>
  <c r="N912" i="3" s="1"/>
  <c r="K821" i="3"/>
  <c r="K816" i="3"/>
  <c r="N816" i="3" s="1"/>
  <c r="K810" i="3"/>
  <c r="N810" i="3" s="1"/>
  <c r="K815" i="3"/>
  <c r="N815" i="3" s="1"/>
  <c r="K811" i="3"/>
  <c r="N811" i="3" s="1"/>
  <c r="K812" i="3"/>
  <c r="N812" i="3" s="1"/>
  <c r="K819" i="3"/>
  <c r="N819" i="3" s="1"/>
  <c r="K818" i="3"/>
  <c r="N818" i="3" s="1"/>
  <c r="K820" i="3"/>
  <c r="N820" i="3" s="1"/>
  <c r="K624" i="3"/>
  <c r="N624" i="3" s="1"/>
  <c r="K538" i="3"/>
  <c r="N538" i="3" s="1"/>
  <c r="K536" i="3"/>
  <c r="N536" i="3" s="1"/>
  <c r="K533" i="3"/>
  <c r="N533" i="3" s="1"/>
  <c r="K531" i="3"/>
  <c r="N531" i="3" s="1"/>
  <c r="K424" i="3"/>
  <c r="N424" i="3" s="1"/>
  <c r="K419" i="3"/>
  <c r="N419" i="3" s="1"/>
  <c r="K423" i="3"/>
  <c r="N423" i="3" s="1"/>
  <c r="K207" i="3"/>
  <c r="N207" i="3" s="1"/>
  <c r="K208" i="3"/>
  <c r="N208" i="3" s="1"/>
  <c r="K210" i="3"/>
  <c r="N210" i="3" s="1"/>
  <c r="K106" i="3"/>
  <c r="N106" i="3" s="1"/>
  <c r="K51" i="3"/>
  <c r="N51" i="3" s="1"/>
  <c r="K34" i="3"/>
  <c r="N34" i="3" s="1"/>
  <c r="K28" i="3"/>
  <c r="N28" i="3" s="1"/>
  <c r="K30" i="3"/>
  <c r="N30" i="3" s="1"/>
  <c r="K1529" i="3"/>
  <c r="N1529" i="3" s="1"/>
  <c r="K1518" i="3"/>
  <c r="K1519" i="3"/>
  <c r="K1520" i="3"/>
  <c r="K1521" i="3"/>
  <c r="K1502" i="3"/>
  <c r="K1503" i="3"/>
  <c r="K1504" i="3"/>
  <c r="K1505" i="3"/>
  <c r="K1506" i="3"/>
  <c r="K1507" i="3"/>
  <c r="K1508" i="3"/>
  <c r="K1509" i="3"/>
  <c r="K1510" i="3"/>
  <c r="K1511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08" i="3"/>
  <c r="K1409" i="3"/>
  <c r="K1410" i="3"/>
  <c r="K1411" i="3"/>
  <c r="K1412" i="3"/>
  <c r="K1413" i="3"/>
  <c r="K1414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22" i="3"/>
  <c r="K1323" i="3"/>
  <c r="K1324" i="3"/>
  <c r="K1325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31" i="3"/>
  <c r="K1293" i="3"/>
  <c r="K1232" i="3"/>
  <c r="K1233" i="3"/>
  <c r="K1234" i="3"/>
  <c r="K1235" i="3"/>
  <c r="K1236" i="3"/>
  <c r="K1237" i="3"/>
  <c r="K1238" i="3"/>
  <c r="K1239" i="3"/>
  <c r="K1240" i="3"/>
  <c r="K1241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175" i="3"/>
  <c r="K1160" i="3"/>
  <c r="K1161" i="3"/>
  <c r="K1162" i="3"/>
  <c r="K1163" i="3"/>
  <c r="K1522" i="3"/>
  <c r="K1523" i="3"/>
  <c r="K1512" i="3"/>
  <c r="K1513" i="3"/>
  <c r="K1514" i="3"/>
  <c r="K1515" i="3"/>
  <c r="K1516" i="3"/>
  <c r="K1517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415" i="3"/>
  <c r="K1416" i="3"/>
  <c r="K1417" i="3"/>
  <c r="K1418" i="3"/>
  <c r="K1419" i="3"/>
  <c r="K1420" i="3"/>
  <c r="K1421" i="3"/>
  <c r="K142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326" i="3"/>
  <c r="K1327" i="3"/>
  <c r="K1328" i="3"/>
  <c r="K1329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081" i="3"/>
  <c r="K1082" i="3"/>
  <c r="K1083" i="3"/>
  <c r="K1084" i="3"/>
  <c r="K1085" i="3"/>
  <c r="K1086" i="3"/>
  <c r="K1087" i="3"/>
  <c r="K1088" i="3"/>
  <c r="K1089" i="3"/>
  <c r="K1090" i="3"/>
  <c r="K1311" i="3"/>
  <c r="K1312" i="3"/>
  <c r="K1313" i="3"/>
  <c r="K1314" i="3"/>
  <c r="K1315" i="3"/>
  <c r="K1316" i="3"/>
  <c r="K1317" i="3"/>
  <c r="K1318" i="3"/>
  <c r="K1319" i="3"/>
  <c r="K1242" i="3"/>
  <c r="K1243" i="3"/>
  <c r="K1244" i="3"/>
  <c r="K1245" i="3"/>
  <c r="K1246" i="3"/>
  <c r="K1247" i="3"/>
  <c r="K1248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091" i="3"/>
  <c r="K1092" i="3"/>
  <c r="K1093" i="3"/>
  <c r="K1094" i="3"/>
  <c r="K1095" i="3"/>
  <c r="K1096" i="3"/>
  <c r="K1097" i="3"/>
  <c r="K1098" i="3"/>
  <c r="K1099" i="3"/>
  <c r="K1100" i="3"/>
  <c r="K1227" i="3"/>
  <c r="K1101" i="3"/>
  <c r="K1102" i="3"/>
  <c r="K1103" i="3"/>
  <c r="K1228" i="3"/>
  <c r="K1104" i="3"/>
  <c r="K1105" i="3"/>
  <c r="K1106" i="3"/>
  <c r="K1107" i="3"/>
  <c r="K1108" i="3"/>
  <c r="K1109" i="3"/>
  <c r="K1110" i="3"/>
  <c r="K1111" i="3"/>
  <c r="K1112" i="3"/>
  <c r="K1068" i="3"/>
  <c r="K1069" i="3"/>
  <c r="K1070" i="3"/>
  <c r="K1071" i="3"/>
  <c r="K1072" i="3"/>
  <c r="K1229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176" i="3"/>
  <c r="K1164" i="3"/>
  <c r="K1165" i="3"/>
  <c r="K1166" i="3"/>
  <c r="K1167" i="3"/>
  <c r="K1021" i="3"/>
  <c r="K1022" i="3"/>
  <c r="K1168" i="3"/>
  <c r="K1023" i="3"/>
  <c r="K1169" i="3"/>
  <c r="K1024" i="3"/>
  <c r="K1025" i="3"/>
  <c r="K990" i="3"/>
  <c r="K991" i="3"/>
  <c r="K1170" i="3"/>
  <c r="K992" i="3"/>
  <c r="K993" i="3"/>
  <c r="K994" i="3"/>
  <c r="K995" i="3"/>
  <c r="K931" i="3"/>
  <c r="K932" i="3"/>
  <c r="K1171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13" i="3"/>
  <c r="K914" i="3"/>
  <c r="K915" i="3"/>
  <c r="K916" i="3"/>
  <c r="K917" i="3"/>
  <c r="K918" i="3"/>
  <c r="K919" i="3"/>
  <c r="K920" i="3"/>
  <c r="K851" i="3"/>
  <c r="K92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48" i="3"/>
  <c r="K849" i="3"/>
  <c r="K825" i="3"/>
  <c r="K826" i="3"/>
  <c r="K827" i="3"/>
  <c r="K828" i="3"/>
  <c r="K829" i="3"/>
  <c r="K830" i="3"/>
  <c r="K831" i="3"/>
  <c r="K832" i="3"/>
  <c r="K833" i="3"/>
  <c r="K834" i="3"/>
  <c r="K835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073" i="3"/>
  <c r="K1074" i="3"/>
  <c r="K1075" i="3"/>
  <c r="K1076" i="3"/>
  <c r="K1077" i="3"/>
  <c r="K1078" i="3"/>
  <c r="K1079" i="3"/>
  <c r="K1080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996" i="3"/>
  <c r="K997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799" i="3"/>
  <c r="K800" i="3"/>
  <c r="K801" i="3"/>
  <c r="K802" i="3"/>
  <c r="K803" i="3"/>
  <c r="K804" i="3"/>
  <c r="K805" i="3"/>
  <c r="K806" i="3"/>
  <c r="K807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22" i="3"/>
  <c r="K923" i="3"/>
  <c r="K924" i="3"/>
  <c r="K925" i="3"/>
  <c r="K926" i="3"/>
  <c r="K927" i="3"/>
  <c r="K928" i="3"/>
  <c r="K929" i="3"/>
  <c r="K930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15" i="3"/>
  <c r="K716" i="3"/>
  <c r="K717" i="3"/>
  <c r="K718" i="3"/>
  <c r="K719" i="3"/>
  <c r="K720" i="3"/>
  <c r="K721" i="3"/>
  <c r="K722" i="3"/>
  <c r="K723" i="3"/>
  <c r="K724" i="3"/>
  <c r="K725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910" i="3"/>
  <c r="K911" i="3"/>
  <c r="K850" i="3"/>
  <c r="K836" i="3"/>
  <c r="K837" i="3"/>
  <c r="K838" i="3"/>
  <c r="K839" i="3"/>
  <c r="K840" i="3"/>
  <c r="K841" i="3"/>
  <c r="K842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25" i="3"/>
  <c r="K626" i="3"/>
  <c r="K627" i="3"/>
  <c r="K628" i="3"/>
  <c r="K629" i="3"/>
  <c r="K630" i="3"/>
  <c r="K631" i="3"/>
  <c r="K632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40" i="3"/>
  <c r="K541" i="3"/>
  <c r="K542" i="3"/>
  <c r="K543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461" i="3"/>
  <c r="K462" i="3"/>
  <c r="K463" i="3"/>
  <c r="K464" i="3"/>
  <c r="K465" i="3"/>
  <c r="K466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809" i="3"/>
  <c r="K808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26" i="3"/>
  <c r="K727" i="3"/>
  <c r="K728" i="3"/>
  <c r="K729" i="3"/>
  <c r="K730" i="3"/>
  <c r="K731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633" i="3"/>
  <c r="K634" i="3"/>
  <c r="K635" i="3"/>
  <c r="K636" i="3"/>
  <c r="K637" i="3"/>
  <c r="K638" i="3"/>
  <c r="K639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544" i="3"/>
  <c r="K545" i="3"/>
  <c r="K546" i="3"/>
  <c r="K547" i="3"/>
  <c r="K548" i="3"/>
  <c r="K549" i="3"/>
  <c r="K550" i="3"/>
  <c r="K415" i="3"/>
  <c r="K416" i="3"/>
  <c r="K503" i="3"/>
  <c r="K504" i="3"/>
  <c r="K505" i="3"/>
  <c r="K506" i="3"/>
  <c r="K417" i="3"/>
  <c r="K507" i="3"/>
  <c r="K508" i="3"/>
  <c r="K509" i="3"/>
  <c r="K510" i="3"/>
  <c r="K354" i="3"/>
  <c r="K355" i="3"/>
  <c r="K356" i="3"/>
  <c r="K511" i="3"/>
  <c r="K512" i="3"/>
  <c r="K357" i="3"/>
  <c r="K358" i="3"/>
  <c r="K513" i="3"/>
  <c r="K359" i="3"/>
  <c r="K514" i="3"/>
  <c r="K515" i="3"/>
  <c r="K516" i="3"/>
  <c r="K360" i="3"/>
  <c r="K517" i="3"/>
  <c r="K361" i="3"/>
  <c r="K518" i="3"/>
  <c r="K519" i="3"/>
  <c r="K520" i="3"/>
  <c r="K521" i="3"/>
  <c r="K362" i="3"/>
  <c r="K363" i="3"/>
  <c r="K522" i="3"/>
  <c r="K523" i="3"/>
  <c r="K524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30" i="3"/>
  <c r="K331" i="3"/>
  <c r="K332" i="3"/>
  <c r="K333" i="3"/>
  <c r="K334" i="3"/>
  <c r="K335" i="3"/>
  <c r="K336" i="3"/>
  <c r="K337" i="3"/>
  <c r="K338" i="3"/>
  <c r="K339" i="3"/>
  <c r="K340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525" i="3"/>
  <c r="K526" i="3"/>
  <c r="K527" i="3"/>
  <c r="K528" i="3"/>
  <c r="K529" i="3"/>
  <c r="K265" i="3"/>
  <c r="K530" i="3"/>
  <c r="K467" i="3"/>
  <c r="K468" i="3"/>
  <c r="K469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10" i="3"/>
  <c r="K111" i="3"/>
  <c r="K112" i="3"/>
  <c r="K113" i="3"/>
  <c r="K114" i="3"/>
  <c r="K115" i="3"/>
  <c r="K116" i="3"/>
  <c r="K117" i="3"/>
  <c r="K118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53" i="3"/>
  <c r="K54" i="3"/>
  <c r="K55" i="3"/>
  <c r="K56" i="3"/>
  <c r="K57" i="3"/>
  <c r="K58" i="3"/>
  <c r="K37" i="3"/>
  <c r="K38" i="3"/>
  <c r="K39" i="3"/>
  <c r="K40" i="3"/>
  <c r="K418" i="3"/>
  <c r="K411" i="3"/>
  <c r="K412" i="3"/>
  <c r="K413" i="3"/>
  <c r="K414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227" i="3"/>
  <c r="K228" i="3"/>
  <c r="K229" i="3"/>
  <c r="K230" i="3"/>
  <c r="K231" i="3"/>
  <c r="K232" i="3"/>
  <c r="K233" i="3"/>
  <c r="K234" i="3"/>
  <c r="K235" i="3"/>
  <c r="K236" i="3"/>
  <c r="K237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59" i="3"/>
  <c r="K60" i="3"/>
  <c r="K61" i="3"/>
  <c r="K41" i="3"/>
  <c r="K42" i="3"/>
  <c r="K43" i="3"/>
  <c r="K44" i="3"/>
  <c r="K45" i="3"/>
  <c r="K46" i="3"/>
  <c r="K47" i="3"/>
  <c r="K48" i="3"/>
  <c r="K25" i="3"/>
  <c r="K26" i="3"/>
  <c r="H1290" i="5"/>
  <c r="J1573" i="1" s="1"/>
  <c r="J1574" i="1" s="1"/>
  <c r="G1290" i="5"/>
  <c r="H1537" i="3" s="1"/>
  <c r="G157" i="4"/>
  <c r="H1536" i="3" s="1"/>
  <c r="H157" i="4"/>
  <c r="I1573" i="1" s="1"/>
  <c r="I1574" i="1" s="1"/>
  <c r="D157" i="4"/>
  <c r="L1573" i="1"/>
  <c r="L1574" i="1" s="1"/>
  <c r="I1534" i="3"/>
  <c r="J1534" i="3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355" i="7"/>
  <c r="H1355" i="7" s="1"/>
  <c r="K1388" i="3" s="1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262" i="7"/>
  <c r="H1262" i="7" s="1"/>
  <c r="K1273" i="3" s="1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20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5" i="7"/>
  <c r="G1206" i="7"/>
  <c r="G1207" i="7"/>
  <c r="G1188" i="7"/>
  <c r="H1188" i="7" s="1"/>
  <c r="K1172" i="3" s="1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54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933" i="7"/>
  <c r="H933" i="7" s="1"/>
  <c r="K966" i="3" s="1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875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8" i="7"/>
  <c r="G869" i="7"/>
  <c r="G870" i="7"/>
  <c r="G871" i="7"/>
  <c r="G872" i="7"/>
  <c r="G873" i="7"/>
  <c r="G874" i="7"/>
  <c r="G841" i="7"/>
  <c r="H841" i="7" s="1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686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589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486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40" i="7"/>
  <c r="G430" i="7"/>
  <c r="G431" i="7"/>
  <c r="G432" i="7"/>
  <c r="G433" i="7"/>
  <c r="G434" i="7"/>
  <c r="G435" i="7"/>
  <c r="G436" i="7"/>
  <c r="G437" i="7"/>
  <c r="G438" i="7"/>
  <c r="G439" i="7"/>
  <c r="G429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157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59" i="7"/>
  <c r="G30" i="7"/>
  <c r="G31" i="7"/>
  <c r="G32" i="7"/>
  <c r="G33" i="7"/>
  <c r="G34" i="7"/>
  <c r="G35" i="7"/>
  <c r="G36" i="7"/>
  <c r="G37" i="7"/>
  <c r="G38" i="7"/>
  <c r="G39" i="7"/>
  <c r="G40" i="7"/>
  <c r="G48" i="7"/>
  <c r="G49" i="7"/>
  <c r="G50" i="7"/>
  <c r="G51" i="7"/>
  <c r="G52" i="7"/>
  <c r="G53" i="7"/>
  <c r="G54" i="7"/>
  <c r="G55" i="7"/>
  <c r="G56" i="7"/>
  <c r="G57" i="7"/>
  <c r="G58" i="7"/>
  <c r="G29" i="7"/>
  <c r="G6" i="7"/>
  <c r="G7" i="7"/>
  <c r="G8" i="7"/>
  <c r="G9" i="7"/>
  <c r="G10" i="7"/>
  <c r="G11" i="7"/>
  <c r="G5" i="7"/>
  <c r="G1573" i="7"/>
  <c r="D1573" i="7"/>
  <c r="D1572" i="7"/>
  <c r="D1574" i="7" s="1"/>
  <c r="G840" i="7"/>
  <c r="H840" i="7" s="1"/>
  <c r="K824" i="3" s="1"/>
  <c r="N824" i="3" s="1"/>
  <c r="G833" i="7"/>
  <c r="H833" i="7" s="1"/>
  <c r="G1261" i="7"/>
  <c r="H1261" i="7" s="1"/>
  <c r="K1230" i="3" s="1"/>
  <c r="N1230" i="3" s="1"/>
  <c r="G867" i="7"/>
  <c r="H867" i="7" s="1"/>
  <c r="G549" i="7"/>
  <c r="H549" i="7" s="1"/>
  <c r="K539" i="3" s="1"/>
  <c r="N539" i="3" s="1"/>
  <c r="G548" i="7"/>
  <c r="H548" i="7" s="1"/>
  <c r="K532" i="3" s="1"/>
  <c r="N532" i="3" s="1"/>
  <c r="G47" i="7"/>
  <c r="H47" i="7" s="1"/>
  <c r="K50" i="3" s="1"/>
  <c r="N50" i="3" s="1"/>
  <c r="G28" i="7"/>
  <c r="H28" i="7" s="1"/>
  <c r="K33" i="3" s="1"/>
  <c r="G27" i="7"/>
  <c r="H27" i="7" s="1"/>
  <c r="G1570" i="7"/>
  <c r="H1570" i="7" s="1"/>
  <c r="G1185" i="7"/>
  <c r="H1185" i="7" s="1"/>
  <c r="G839" i="7"/>
  <c r="H839" i="7" s="1"/>
  <c r="G426" i="7"/>
  <c r="H426" i="7" s="1"/>
  <c r="G19" i="7"/>
  <c r="H19" i="7" s="1"/>
  <c r="G1015" i="7"/>
  <c r="H1015" i="7" s="1"/>
  <c r="G1184" i="7"/>
  <c r="H1184" i="7" s="1"/>
  <c r="G1569" i="7"/>
  <c r="H1569" i="7" s="1"/>
  <c r="G1568" i="7"/>
  <c r="H1568" i="7" s="1"/>
  <c r="G1183" i="7"/>
  <c r="H1183" i="7" s="1"/>
  <c r="G1182" i="7"/>
  <c r="H1182" i="7" s="1"/>
  <c r="G832" i="7"/>
  <c r="H832" i="7" s="1"/>
  <c r="G831" i="7"/>
  <c r="H831" i="7" s="1"/>
  <c r="G547" i="7"/>
  <c r="H547" i="7" s="1"/>
  <c r="G546" i="7"/>
  <c r="H546" i="7" s="1"/>
  <c r="G46" i="7"/>
  <c r="H46" i="7" s="1"/>
  <c r="G1354" i="7"/>
  <c r="H1354" i="7" s="1"/>
  <c r="K1321" i="3" s="1"/>
  <c r="N1321" i="3" s="1"/>
  <c r="G838" i="7"/>
  <c r="H838" i="7" s="1"/>
  <c r="G107" i="7"/>
  <c r="H107" i="7" s="1"/>
  <c r="G1180" i="7"/>
  <c r="H1180" i="7" s="1"/>
  <c r="G1181" i="7"/>
  <c r="H1181" i="7" s="1"/>
  <c r="G1179" i="7"/>
  <c r="H1179" i="7" s="1"/>
  <c r="G725" i="7"/>
  <c r="H725" i="7" s="1"/>
  <c r="G26" i="7"/>
  <c r="H26" i="7" s="1"/>
  <c r="G1441" i="7"/>
  <c r="H1441" i="7" s="1"/>
  <c r="G1444" i="7"/>
  <c r="H1444" i="7" s="1"/>
  <c r="K1407" i="3" s="1"/>
  <c r="N1407" i="3" s="1"/>
  <c r="G1442" i="7"/>
  <c r="H1442" i="7" s="1"/>
  <c r="G1443" i="7"/>
  <c r="H1443" i="7" s="1"/>
  <c r="K1406" i="3" s="1"/>
  <c r="N1406" i="3" s="1"/>
  <c r="G1014" i="7"/>
  <c r="H1014" i="7" s="1"/>
  <c r="K986" i="3" s="1"/>
  <c r="N986" i="3" s="1"/>
  <c r="G1012" i="7"/>
  <c r="H1012" i="7" s="1"/>
  <c r="G1013" i="7"/>
  <c r="H1013" i="7" s="1"/>
  <c r="K985" i="3" s="1"/>
  <c r="N985" i="3" s="1"/>
  <c r="G544" i="7"/>
  <c r="H544" i="7" s="1"/>
  <c r="G545" i="7"/>
  <c r="H545" i="7" s="1"/>
  <c r="G105" i="7"/>
  <c r="H105" i="7" s="1"/>
  <c r="K107" i="3" s="1"/>
  <c r="N107" i="3" s="1"/>
  <c r="G106" i="7"/>
  <c r="H106" i="7" s="1"/>
  <c r="G837" i="7"/>
  <c r="H837" i="7" s="1"/>
  <c r="G1565" i="7"/>
  <c r="H1565" i="7" s="1"/>
  <c r="G1187" i="7"/>
  <c r="H1187" i="7" s="1"/>
  <c r="G1178" i="7"/>
  <c r="H1178" i="7" s="1"/>
  <c r="G830" i="7"/>
  <c r="H830" i="7" s="1"/>
  <c r="G1011" i="7"/>
  <c r="H1011" i="7" s="1"/>
  <c r="K983" i="3" s="1"/>
  <c r="N983" i="3" s="1"/>
  <c r="G829" i="7"/>
  <c r="H829" i="7" s="1"/>
  <c r="G828" i="7"/>
  <c r="H828" i="7" s="1"/>
  <c r="G827" i="7"/>
  <c r="H827" i="7" s="1"/>
  <c r="G18" i="7"/>
  <c r="H18" i="7" s="1"/>
  <c r="G425" i="7"/>
  <c r="H425" i="7" s="1"/>
  <c r="G1567" i="7"/>
  <c r="H1567" i="7" s="1"/>
  <c r="G1177" i="7"/>
  <c r="H1177" i="7" s="1"/>
  <c r="G1010" i="7"/>
  <c r="H1010" i="7" s="1"/>
  <c r="G543" i="7"/>
  <c r="H543" i="7" s="1"/>
  <c r="G208" i="7"/>
  <c r="H208" i="7" s="1"/>
  <c r="G209" i="7"/>
  <c r="H209" i="7" s="1"/>
  <c r="G25" i="7"/>
  <c r="H25" i="7" s="1"/>
  <c r="G1353" i="7"/>
  <c r="H1353" i="7" s="1"/>
  <c r="K1320" i="3" s="1"/>
  <c r="N1320" i="3" s="1"/>
  <c r="G932" i="7"/>
  <c r="H932" i="7" s="1"/>
  <c r="G826" i="7"/>
  <c r="H826" i="7" s="1"/>
  <c r="G424" i="7"/>
  <c r="H424" i="7" s="1"/>
  <c r="G423" i="7"/>
  <c r="H423" i="7" s="1"/>
  <c r="G1009" i="7"/>
  <c r="H1009" i="7" s="1"/>
  <c r="K984" i="3" s="1"/>
  <c r="N984" i="3" s="1"/>
  <c r="G422" i="7"/>
  <c r="H422" i="7" s="1"/>
  <c r="K420" i="3" s="1"/>
  <c r="N420" i="3" s="1"/>
  <c r="G17" i="7"/>
  <c r="H17" i="7" s="1"/>
  <c r="K27" i="3" s="1"/>
  <c r="N27" i="3" s="1"/>
  <c r="G542" i="7"/>
  <c r="H542" i="7" s="1"/>
  <c r="G428" i="7"/>
  <c r="H428" i="7" s="1"/>
  <c r="K425" i="3" s="1"/>
  <c r="N425" i="3" s="1"/>
  <c r="G207" i="7"/>
  <c r="H207" i="7" s="1"/>
  <c r="G866" i="7"/>
  <c r="H866" i="7" s="1"/>
  <c r="K847" i="3" s="1"/>
  <c r="N847" i="3" s="1"/>
  <c r="G24" i="7"/>
  <c r="H24" i="7" s="1"/>
  <c r="K36" i="3" s="1"/>
  <c r="N36" i="3" s="1"/>
  <c r="G16" i="7"/>
  <c r="H16" i="7" s="1"/>
  <c r="K29" i="3" s="1"/>
  <c r="N29" i="3" s="1"/>
  <c r="G1564" i="7"/>
  <c r="H1564" i="7" s="1"/>
  <c r="G825" i="7"/>
  <c r="H825" i="7" s="1"/>
  <c r="G104" i="7"/>
  <c r="H104" i="7" s="1"/>
  <c r="G1566" i="7"/>
  <c r="H1566" i="7" s="1"/>
  <c r="G1176" i="7"/>
  <c r="H1176" i="7" s="1"/>
  <c r="G1175" i="7"/>
  <c r="H1175" i="7" s="1"/>
  <c r="G206" i="7"/>
  <c r="H206" i="7" s="1"/>
  <c r="G1563" i="7"/>
  <c r="H1563" i="7" s="1"/>
  <c r="K1526" i="3" s="1"/>
  <c r="N1526" i="3" s="1"/>
  <c r="G1174" i="7"/>
  <c r="H1174" i="7" s="1"/>
  <c r="K1151" i="3" s="1"/>
  <c r="N1151" i="3" s="1"/>
  <c r="G824" i="7"/>
  <c r="H824" i="7" s="1"/>
  <c r="K817" i="3" s="1"/>
  <c r="N817" i="3" s="1"/>
  <c r="G421" i="7"/>
  <c r="H421" i="7" s="1"/>
  <c r="G15" i="7"/>
  <c r="H15" i="7" s="1"/>
  <c r="K31" i="3" s="1"/>
  <c r="N31" i="3" s="1"/>
  <c r="G1204" i="7"/>
  <c r="H1204" i="7" s="1"/>
  <c r="G1203" i="7"/>
  <c r="H1203" i="7" s="1"/>
  <c r="G864" i="7"/>
  <c r="H864" i="7" s="1"/>
  <c r="K844" i="3" s="1"/>
  <c r="N844" i="3" s="1"/>
  <c r="G865" i="7"/>
  <c r="H865" i="7" s="1"/>
  <c r="K846" i="3" s="1"/>
  <c r="N846" i="3" s="1"/>
  <c r="G464" i="7"/>
  <c r="H464" i="7" s="1"/>
  <c r="K459" i="3" s="1"/>
  <c r="N459" i="3" s="1"/>
  <c r="G465" i="7"/>
  <c r="H465" i="7" s="1"/>
  <c r="K460" i="3" s="1"/>
  <c r="N460" i="3" s="1"/>
  <c r="G44" i="7"/>
  <c r="H44" i="7" s="1"/>
  <c r="G45" i="7"/>
  <c r="H45" i="7" s="1"/>
  <c r="G536" i="7"/>
  <c r="H536" i="7" s="1"/>
  <c r="G1170" i="7"/>
  <c r="H1170" i="7" s="1"/>
  <c r="G821" i="7"/>
  <c r="H821" i="7" s="1"/>
  <c r="K813" i="3" s="1"/>
  <c r="N813" i="3" s="1"/>
  <c r="G1002" i="7"/>
  <c r="H1002" i="7" s="1"/>
  <c r="G1171" i="7"/>
  <c r="H1171" i="7" s="1"/>
  <c r="G1186" i="7"/>
  <c r="H1186" i="7" s="1"/>
  <c r="G634" i="7"/>
  <c r="H634" i="7" s="1"/>
  <c r="G1561" i="7"/>
  <c r="H1561" i="7" s="1"/>
  <c r="K1525" i="3" s="1"/>
  <c r="N1525" i="3" s="1"/>
  <c r="G1169" i="7"/>
  <c r="H1169" i="7" s="1"/>
  <c r="L24" i="3" l="1"/>
  <c r="M24" i="3" s="1"/>
  <c r="L23" i="3"/>
  <c r="M23" i="3" s="1"/>
  <c r="L22" i="3"/>
  <c r="M22" i="3" s="1"/>
  <c r="L21" i="3"/>
  <c r="M21" i="3" s="1"/>
  <c r="L20" i="3"/>
  <c r="M20" i="3" s="1"/>
  <c r="K843" i="3"/>
  <c r="H1572" i="7"/>
  <c r="K1405" i="3"/>
  <c r="N1405" i="3" s="1"/>
  <c r="K35" i="3"/>
  <c r="N35" i="3" s="1"/>
  <c r="K814" i="3"/>
  <c r="N814" i="3" s="1"/>
  <c r="K108" i="3"/>
  <c r="N108" i="3" s="1"/>
  <c r="K822" i="3"/>
  <c r="N822" i="3" s="1"/>
  <c r="K537" i="3"/>
  <c r="N537" i="3" s="1"/>
  <c r="K1173" i="3"/>
  <c r="N1173" i="3" s="1"/>
  <c r="K1174" i="3"/>
  <c r="N1174" i="3" s="1"/>
  <c r="K422" i="3"/>
  <c r="N422" i="3" s="1"/>
  <c r="K534" i="3"/>
  <c r="N534" i="3" s="1"/>
  <c r="K421" i="3"/>
  <c r="N421" i="3" s="1"/>
  <c r="N33" i="3"/>
  <c r="N1531" i="3"/>
  <c r="H1538" i="3"/>
  <c r="N821" i="3"/>
  <c r="K982" i="3"/>
  <c r="N982" i="3" s="1"/>
  <c r="K52" i="3"/>
  <c r="N52" i="3" s="1"/>
  <c r="K714" i="3"/>
  <c r="N714" i="3" s="1"/>
  <c r="K988" i="3"/>
  <c r="N988" i="3" s="1"/>
  <c r="K1404" i="3"/>
  <c r="N1404" i="3" s="1"/>
  <c r="K49" i="3"/>
  <c r="N49" i="3" s="1"/>
  <c r="K1144" i="3"/>
  <c r="K823" i="3"/>
  <c r="N823" i="3" s="1"/>
  <c r="K109" i="3"/>
  <c r="N109" i="3" s="1"/>
  <c r="K209" i="3"/>
  <c r="N209" i="3" s="1"/>
  <c r="K535" i="3"/>
  <c r="N535" i="3" s="1"/>
  <c r="K32" i="3"/>
  <c r="N32" i="3" s="1"/>
  <c r="K845" i="3"/>
  <c r="N845" i="3" s="1"/>
  <c r="G1572" i="7"/>
  <c r="G1574" i="7" s="1"/>
  <c r="G1575" i="7" s="1"/>
  <c r="H1539" i="3" l="1"/>
  <c r="H1540" i="3" s="1"/>
  <c r="G1576" i="7" s="1"/>
  <c r="G1577" i="7" s="1"/>
  <c r="G1578" i="7" s="1"/>
  <c r="N1535" i="3"/>
  <c r="K1534" i="3"/>
  <c r="N1144" i="3"/>
  <c r="N1534" i="3" s="1"/>
  <c r="N1536" i="3" l="1"/>
  <c r="K1540" i="3"/>
  <c r="N1537" i="3"/>
  <c r="N1538" i="3" l="1"/>
  <c r="G5" i="2" l="1"/>
  <c r="G4" i="2" l="1"/>
  <c r="G10" i="2"/>
  <c r="G7" i="2"/>
  <c r="D1572" i="1" l="1"/>
</calcChain>
</file>

<file path=xl/sharedStrings.xml><?xml version="1.0" encoding="utf-8"?>
<sst xmlns="http://schemas.openxmlformats.org/spreadsheetml/2006/main" count="47596" uniqueCount="2804">
  <si>
    <t>INITIAL_BALANCE</t>
  </si>
  <si>
    <t>CREDITS</t>
  </si>
  <si>
    <t>DEBITS</t>
  </si>
  <si>
    <t>FINAL_BALANCE</t>
  </si>
  <si>
    <t>12.889.777,09</t>
  </si>
  <si>
    <t>32.094.654,58</t>
  </si>
  <si>
    <t>-34.101.823,16</t>
  </si>
  <si>
    <t>10.882.608,51</t>
  </si>
  <si>
    <t/>
  </si>
  <si>
    <t>RELEASE_DATE</t>
  </si>
  <si>
    <t>TRANSACTION_TYPE</t>
  </si>
  <si>
    <t>REFERENCE_ID</t>
  </si>
  <si>
    <t>TRANSACTION_NET_AMOUNT</t>
  </si>
  <si>
    <t>PARTIAL_BALANCE</t>
  </si>
  <si>
    <t>01-09-2025</t>
  </si>
  <si>
    <t>Liquidación de dinero</t>
  </si>
  <si>
    <t>123864040285</t>
  </si>
  <si>
    <t>123864645949</t>
  </si>
  <si>
    <t>124407346652</t>
  </si>
  <si>
    <t>Transferencia recibida Juan Felipe Folmer Dondena</t>
  </si>
  <si>
    <t>123865265509</t>
  </si>
  <si>
    <t>124407749182</t>
  </si>
  <si>
    <t>123868184561</t>
  </si>
  <si>
    <t>123868170745</t>
  </si>
  <si>
    <t>Transferencia enviada DOÑA DORA</t>
  </si>
  <si>
    <t>123897475515</t>
  </si>
  <si>
    <t>Transferencia enviada CDG SRL</t>
  </si>
  <si>
    <t>124446003662</t>
  </si>
  <si>
    <t>Impuesto por extracción</t>
  </si>
  <si>
    <t>Pago con QR FEPASA</t>
  </si>
  <si>
    <t>124454118654</t>
  </si>
  <si>
    <t>Transferencia enviada Rodolfo Oscar Bidal</t>
  </si>
  <si>
    <t>124459001098</t>
  </si>
  <si>
    <t>Transferencia enviada ACERO JEKLO SAS</t>
  </si>
  <si>
    <t>124489977054</t>
  </si>
  <si>
    <t>02-09-2025</t>
  </si>
  <si>
    <t>Transferencia enviada BACO DE LOS ANDES SA</t>
  </si>
  <si>
    <t>124014458903</t>
  </si>
  <si>
    <t>Transferencia enviada Distribuidora Doña Dora</t>
  </si>
  <si>
    <t>124018294619</t>
  </si>
  <si>
    <t>Transferencia enviada Granja La Blanquita S.r.l.</t>
  </si>
  <si>
    <t>124031772669</t>
  </si>
  <si>
    <t>Transferencia enviada SUCESION DE SATTO</t>
  </si>
  <si>
    <t>124618927966</t>
  </si>
  <si>
    <t>124624594370</t>
  </si>
  <si>
    <t>03-09-2025</t>
  </si>
  <si>
    <t>124167213727</t>
  </si>
  <si>
    <t>Transferencia enviada Mariano Pedro Rebord Palazzo</t>
  </si>
  <si>
    <t>124169559701</t>
  </si>
  <si>
    <t>Pago con QR Coca-Cola ANDINA</t>
  </si>
  <si>
    <t>124761516066</t>
  </si>
  <si>
    <t>124774089426</t>
  </si>
  <si>
    <t>124234497707</t>
  </si>
  <si>
    <t>124781182650</t>
  </si>
  <si>
    <t>124236889607</t>
  </si>
  <si>
    <t>Transferencia recibida Joaquin Pedro Schenone</t>
  </si>
  <si>
    <t>124236877691</t>
  </si>
  <si>
    <t>124784681512</t>
  </si>
  <si>
    <t>124788106000</t>
  </si>
  <si>
    <t>124245392201</t>
  </si>
  <si>
    <t>124245389515</t>
  </si>
  <si>
    <t>124247706111</t>
  </si>
  <si>
    <t>124795296394</t>
  </si>
  <si>
    <t>124251168101</t>
  </si>
  <si>
    <t>124251556927</t>
  </si>
  <si>
    <t>04-09-2025</t>
  </si>
  <si>
    <t>124797073790</t>
  </si>
  <si>
    <t>124797394520</t>
  </si>
  <si>
    <t>Transferencia recibida Ivan Goldin</t>
  </si>
  <si>
    <t>124253070499</t>
  </si>
  <si>
    <t>124797743380</t>
  </si>
  <si>
    <t>124797908608</t>
  </si>
  <si>
    <t>124253989611</t>
  </si>
  <si>
    <t>124798439032</t>
  </si>
  <si>
    <t>Transferencia recibida Tahiel Heredia</t>
  </si>
  <si>
    <t>124254045511</t>
  </si>
  <si>
    <t>124798706468</t>
  </si>
  <si>
    <t>124800062204</t>
  </si>
  <si>
    <t>124256095479</t>
  </si>
  <si>
    <t>Transferencia enviada LAGUNA CAPRI SAS</t>
  </si>
  <si>
    <t>124293086141</t>
  </si>
  <si>
    <t>Transferencia enviada</t>
  </si>
  <si>
    <t>124295531407</t>
  </si>
  <si>
    <t>Transferencia enviada FRUVECO S R L</t>
  </si>
  <si>
    <t>124845509146</t>
  </si>
  <si>
    <t>124856861194</t>
  </si>
  <si>
    <t>124907529624</t>
  </si>
  <si>
    <t>124362593953</t>
  </si>
  <si>
    <t>Transferencia recibida Brian Ramon Coronel</t>
  </si>
  <si>
    <t>124362828291</t>
  </si>
  <si>
    <t>124908939322</t>
  </si>
  <si>
    <t>124909134908</t>
  </si>
  <si>
    <t>Transferencia recibida Rocío Magal Moscatelli</t>
  </si>
  <si>
    <t>124909138878</t>
  </si>
  <si>
    <t>124912912486</t>
  </si>
  <si>
    <t>124368294535</t>
  </si>
  <si>
    <t>124370030581</t>
  </si>
  <si>
    <t>124919880508</t>
  </si>
  <si>
    <t>124375560999</t>
  </si>
  <si>
    <t>124921656040</t>
  </si>
  <si>
    <t>124379045323</t>
  </si>
  <si>
    <t>124924939738</t>
  </si>
  <si>
    <t>124379914851</t>
  </si>
  <si>
    <t>124926524640</t>
  </si>
  <si>
    <t>124926603568</t>
  </si>
  <si>
    <t>124926894128</t>
  </si>
  <si>
    <t>Transferencia recibida Malena Cerrudo</t>
  </si>
  <si>
    <t>124926882200</t>
  </si>
  <si>
    <t>124382131027</t>
  </si>
  <si>
    <t>Transferencia recibida Alex Taiel Chinellato</t>
  </si>
  <si>
    <t>124382023949</t>
  </si>
  <si>
    <t>124382333979</t>
  </si>
  <si>
    <t>124383268861</t>
  </si>
  <si>
    <t>124383275693</t>
  </si>
  <si>
    <t>124928647796</t>
  </si>
  <si>
    <t>124929160694</t>
  </si>
  <si>
    <t>124929201672</t>
  </si>
  <si>
    <t>124929525256</t>
  </si>
  <si>
    <t>124929549560</t>
  </si>
  <si>
    <t>124384575133</t>
  </si>
  <si>
    <t>124929877616</t>
  </si>
  <si>
    <t>124929957960</t>
  </si>
  <si>
    <t>124385248819</t>
  </si>
  <si>
    <t>124930281670</t>
  </si>
  <si>
    <t>124385652341</t>
  </si>
  <si>
    <t>124930920538</t>
  </si>
  <si>
    <t>124385743585</t>
  </si>
  <si>
    <t>124386234575</t>
  </si>
  <si>
    <t>124386117715</t>
  </si>
  <si>
    <t>124931688378</t>
  </si>
  <si>
    <t>124931738646</t>
  </si>
  <si>
    <t>124931811338</t>
  </si>
  <si>
    <t>05-09-2025</t>
  </si>
  <si>
    <t>124386853415</t>
  </si>
  <si>
    <t>Transferencia recibida Nicanor Ormaechea</t>
  </si>
  <si>
    <t>124386769841</t>
  </si>
  <si>
    <t>124932013860</t>
  </si>
  <si>
    <t>124387202427</t>
  </si>
  <si>
    <t>124387169897</t>
  </si>
  <si>
    <t>124387263837</t>
  </si>
  <si>
    <t>124932672660</t>
  </si>
  <si>
    <t>124932574010</t>
  </si>
  <si>
    <t>124387491809</t>
  </si>
  <si>
    <t>124932738810</t>
  </si>
  <si>
    <t>124933058374</t>
  </si>
  <si>
    <t>124933214738</t>
  </si>
  <si>
    <t>124388057649</t>
  </si>
  <si>
    <t>124933398996</t>
  </si>
  <si>
    <t>124388358883</t>
  </si>
  <si>
    <t>124388466105</t>
  </si>
  <si>
    <t>124388706943</t>
  </si>
  <si>
    <t>124933915330</t>
  </si>
  <si>
    <t>124934432228</t>
  </si>
  <si>
    <t>Transferencia recibida Mildelicias</t>
  </si>
  <si>
    <t>124389262853</t>
  </si>
  <si>
    <t>124389182075</t>
  </si>
  <si>
    <t>124389369351</t>
  </si>
  <si>
    <t>Transferencia recibida Eliana Daniela Versalovich</t>
  </si>
  <si>
    <t>124389351389</t>
  </si>
  <si>
    <t>124389389493</t>
  </si>
  <si>
    <t>Transferencia recibida Maximo Leandro Gorostegui</t>
  </si>
  <si>
    <t>124389417047</t>
  </si>
  <si>
    <t>124389390021</t>
  </si>
  <si>
    <t>124935015006</t>
  </si>
  <si>
    <t>124390277545</t>
  </si>
  <si>
    <t>Transferencia recibida Benjamín Rolls Villaud</t>
  </si>
  <si>
    <t>124935440028</t>
  </si>
  <si>
    <t>124390468955</t>
  </si>
  <si>
    <t>124390658789</t>
  </si>
  <si>
    <t>124936306000</t>
  </si>
  <si>
    <t>124936593136</t>
  </si>
  <si>
    <t>124391343749</t>
  </si>
  <si>
    <t>124391696277</t>
  </si>
  <si>
    <t>124391850585</t>
  </si>
  <si>
    <t>124391938119</t>
  </si>
  <si>
    <t>124391779837</t>
  </si>
  <si>
    <t>124937292950</t>
  </si>
  <si>
    <t>124392231153</t>
  </si>
  <si>
    <t>124392245583</t>
  </si>
  <si>
    <t>124392595503</t>
  </si>
  <si>
    <t>124937954288</t>
  </si>
  <si>
    <t>124938008312</t>
  </si>
  <si>
    <t>124392818757</t>
  </si>
  <si>
    <t>124392888675</t>
  </si>
  <si>
    <t>124392988273</t>
  </si>
  <si>
    <t>124938162788</t>
  </si>
  <si>
    <t>124938249624</t>
  </si>
  <si>
    <t>Transferencia enviada BASSO REPRESENT SRL</t>
  </si>
  <si>
    <t>124420739261</t>
  </si>
  <si>
    <t>Pago de servicios ARCA</t>
  </si>
  <si>
    <t>124474681067</t>
  </si>
  <si>
    <t>124490574149</t>
  </si>
  <si>
    <t>125037170650</t>
  </si>
  <si>
    <t>125049940460</t>
  </si>
  <si>
    <t>124506917889</t>
  </si>
  <si>
    <t>124512339921</t>
  </si>
  <si>
    <t>124513068303</t>
  </si>
  <si>
    <t>125063411054</t>
  </si>
  <si>
    <t>125066792780</t>
  </si>
  <si>
    <t>124521851915</t>
  </si>
  <si>
    <t>125070585706</t>
  </si>
  <si>
    <t>124525967241</t>
  </si>
  <si>
    <t>124526350425</t>
  </si>
  <si>
    <t>125072280684</t>
  </si>
  <si>
    <t>125072870242</t>
  </si>
  <si>
    <t>125074007976</t>
  </si>
  <si>
    <t>124528936881</t>
  </si>
  <si>
    <t>125074730376</t>
  </si>
  <si>
    <t>Transferencia recibida Juan Dario Silva</t>
  </si>
  <si>
    <t>125074601908</t>
  </si>
  <si>
    <t>125074877368</t>
  </si>
  <si>
    <t>125075109170</t>
  </si>
  <si>
    <t>125075403750</t>
  </si>
  <si>
    <t>124529807091</t>
  </si>
  <si>
    <t>125076566722</t>
  </si>
  <si>
    <t>124531770681</t>
  </si>
  <si>
    <t>Transferencia recibida Matias Rodriguez</t>
  </si>
  <si>
    <t>125077543030</t>
  </si>
  <si>
    <t>125077701916</t>
  </si>
  <si>
    <t>124533578613</t>
  </si>
  <si>
    <t>125080148776</t>
  </si>
  <si>
    <t>124534512559</t>
  </si>
  <si>
    <t>125080564580</t>
  </si>
  <si>
    <t>125081323764</t>
  </si>
  <si>
    <t>125082018504</t>
  </si>
  <si>
    <t>125083042824</t>
  </si>
  <si>
    <t>124538079727</t>
  </si>
  <si>
    <t>124538330471</t>
  </si>
  <si>
    <t>125084267116</t>
  </si>
  <si>
    <t>124538747357</t>
  </si>
  <si>
    <t>125084844014</t>
  </si>
  <si>
    <t>125085549984</t>
  </si>
  <si>
    <t>125085738014</t>
  </si>
  <si>
    <t>Transferencia recibida Thiago Cafferata</t>
  </si>
  <si>
    <t>124539894925</t>
  </si>
  <si>
    <t>124540015625</t>
  </si>
  <si>
    <t>124540352665</t>
  </si>
  <si>
    <t>124540445571</t>
  </si>
  <si>
    <t>124541219739</t>
  </si>
  <si>
    <t>124541482575</t>
  </si>
  <si>
    <t>124541581193</t>
  </si>
  <si>
    <t>125087841682</t>
  </si>
  <si>
    <t>Transferencia recibida Marcelo Alejandro Iwanczuk</t>
  </si>
  <si>
    <t>124541947467</t>
  </si>
  <si>
    <t>124542531059</t>
  </si>
  <si>
    <t>06-09-2025</t>
  </si>
  <si>
    <t>125088844362</t>
  </si>
  <si>
    <t>125088894738</t>
  </si>
  <si>
    <t>125088899534</t>
  </si>
  <si>
    <t>125088923310</t>
  </si>
  <si>
    <t>Transferencia recibida Laureana Paula Calvo</t>
  </si>
  <si>
    <t>125088937092</t>
  </si>
  <si>
    <t>125089015400</t>
  </si>
  <si>
    <t>124543378311</t>
  </si>
  <si>
    <t>125089355560</t>
  </si>
  <si>
    <t>124543543841</t>
  </si>
  <si>
    <t>125089683168</t>
  </si>
  <si>
    <t>125089938206</t>
  </si>
  <si>
    <t>124544646101</t>
  </si>
  <si>
    <t>124544677873</t>
  </si>
  <si>
    <t>124545246125</t>
  </si>
  <si>
    <t>125091085756</t>
  </si>
  <si>
    <t>124545331721</t>
  </si>
  <si>
    <t>124545411795</t>
  </si>
  <si>
    <t>125091553012</t>
  </si>
  <si>
    <t>125091637502</t>
  </si>
  <si>
    <t>125091762262</t>
  </si>
  <si>
    <t>124545895951</t>
  </si>
  <si>
    <t>125091877596</t>
  </si>
  <si>
    <t>124546230277</t>
  </si>
  <si>
    <t>Transferencia recibida Carlos Daniel Galarza</t>
  </si>
  <si>
    <t>124546179201</t>
  </si>
  <si>
    <t>125092001900</t>
  </si>
  <si>
    <t>125092236130</t>
  </si>
  <si>
    <t>124546385021</t>
  </si>
  <si>
    <t>125092458496</t>
  </si>
  <si>
    <t>125092611780</t>
  </si>
  <si>
    <t>125092695218</t>
  </si>
  <si>
    <t>125092821398</t>
  </si>
  <si>
    <t>124546985255</t>
  </si>
  <si>
    <t>124547012843</t>
  </si>
  <si>
    <t>125093009032</t>
  </si>
  <si>
    <t>125093118136</t>
  </si>
  <si>
    <t>125093285044</t>
  </si>
  <si>
    <t>124547549785</t>
  </si>
  <si>
    <t>124547797645</t>
  </si>
  <si>
    <t>Transferencia recibida Martina Johana Herman</t>
  </si>
  <si>
    <t>125093603866</t>
  </si>
  <si>
    <t>125093625960</t>
  </si>
  <si>
    <t>125093790872</t>
  </si>
  <si>
    <t>124548093551</t>
  </si>
  <si>
    <t>125093963730</t>
  </si>
  <si>
    <t>125094162494</t>
  </si>
  <si>
    <t>Transferencia recibida Lautaro Martin</t>
  </si>
  <si>
    <t>124548241441</t>
  </si>
  <si>
    <t>124548293337</t>
  </si>
  <si>
    <t>125094219266</t>
  </si>
  <si>
    <t>124548516339</t>
  </si>
  <si>
    <t>124548420083</t>
  </si>
  <si>
    <t>125094837668</t>
  </si>
  <si>
    <t>125094899458</t>
  </si>
  <si>
    <t>125095026648</t>
  </si>
  <si>
    <t>Transferencia recibida Sebastian Ignacio Taffarel</t>
  </si>
  <si>
    <t>124549164915</t>
  </si>
  <si>
    <t>124549303705</t>
  </si>
  <si>
    <t>124549540369</t>
  </si>
  <si>
    <t>125095467130</t>
  </si>
  <si>
    <t>Liquidación de dinero cancelada Venta cancelada</t>
  </si>
  <si>
    <t>125095831262</t>
  </si>
  <si>
    <t>124550095401</t>
  </si>
  <si>
    <t>125096002932</t>
  </si>
  <si>
    <t>124550195285</t>
  </si>
  <si>
    <t>125096109694</t>
  </si>
  <si>
    <t>Transferencia recibida Valentin Beltzer</t>
  </si>
  <si>
    <t>124550265849</t>
  </si>
  <si>
    <t>124550395343</t>
  </si>
  <si>
    <t>Transferencia recibida Lucio Agustín Witiuk</t>
  </si>
  <si>
    <t>125096223326</t>
  </si>
  <si>
    <t>125185741106</t>
  </si>
  <si>
    <t>125192805316</t>
  </si>
  <si>
    <t>125195880866</t>
  </si>
  <si>
    <t>125196765748</t>
  </si>
  <si>
    <t>125198391082</t>
  </si>
  <si>
    <t>125199712170</t>
  </si>
  <si>
    <t>124653835763</t>
  </si>
  <si>
    <t>Transferencia recibida Valentina Victoria Pintos</t>
  </si>
  <si>
    <t>125200365970</t>
  </si>
  <si>
    <t>124654285441</t>
  </si>
  <si>
    <t>124657393069</t>
  </si>
  <si>
    <t>Transferencia recibida Nahuel Zalazar Miño</t>
  </si>
  <si>
    <t>124657355831</t>
  </si>
  <si>
    <t>124657418835</t>
  </si>
  <si>
    <t>125205657088</t>
  </si>
  <si>
    <t>125205858756</t>
  </si>
  <si>
    <t>125206345154</t>
  </si>
  <si>
    <t>124660239475</t>
  </si>
  <si>
    <t>124660482969</t>
  </si>
  <si>
    <t>124660671863</t>
  </si>
  <si>
    <t>125208294382</t>
  </si>
  <si>
    <t>124662242795</t>
  </si>
  <si>
    <t>124662948695</t>
  </si>
  <si>
    <t>124663516767</t>
  </si>
  <si>
    <t>125210313878</t>
  </si>
  <si>
    <t>125210580296</t>
  </si>
  <si>
    <t>125210591466</t>
  </si>
  <si>
    <t>Transferencia recibida Johann Lighuan Abel Laureiro</t>
  </si>
  <si>
    <t>125210624856</t>
  </si>
  <si>
    <t>124664329219</t>
  </si>
  <si>
    <t>124664940299</t>
  </si>
  <si>
    <t>124664971085</t>
  </si>
  <si>
    <t>124665395075</t>
  </si>
  <si>
    <t>124665509203</t>
  </si>
  <si>
    <t>125212296296</t>
  </si>
  <si>
    <t>125212279366</t>
  </si>
  <si>
    <t>124665912009</t>
  </si>
  <si>
    <t>124666058581</t>
  </si>
  <si>
    <t>125212465982</t>
  </si>
  <si>
    <t>Transferencia recibida Celina Blanc</t>
  </si>
  <si>
    <t>125212513170</t>
  </si>
  <si>
    <t>125212652108</t>
  </si>
  <si>
    <t>125213185822</t>
  </si>
  <si>
    <t>124666970071</t>
  </si>
  <si>
    <t>125213846894</t>
  </si>
  <si>
    <t>125213889984</t>
  </si>
  <si>
    <t>125214339204</t>
  </si>
  <si>
    <t>124667883929</t>
  </si>
  <si>
    <t>125214441310</t>
  </si>
  <si>
    <t>Transferencia recibida Jorge Esteban Etienot</t>
  </si>
  <si>
    <t>124667969775</t>
  </si>
  <si>
    <t>124668378655</t>
  </si>
  <si>
    <t>125215046740</t>
  </si>
  <si>
    <t>125215388296</t>
  </si>
  <si>
    <t>Transferencia recibida Aixa Nicole Martínez</t>
  </si>
  <si>
    <t>125215309354</t>
  </si>
  <si>
    <t>124668982491</t>
  </si>
  <si>
    <t>124669082353</t>
  </si>
  <si>
    <t>124669045807</t>
  </si>
  <si>
    <t>124669236361</t>
  </si>
  <si>
    <t>07-09-2025</t>
  </si>
  <si>
    <t>125215868728</t>
  </si>
  <si>
    <t>124669482349</t>
  </si>
  <si>
    <t>125216045810</t>
  </si>
  <si>
    <t>125216200412</t>
  </si>
  <si>
    <t>124669988837</t>
  </si>
  <si>
    <t>124670059343</t>
  </si>
  <si>
    <t>Transferencia recibida Ana Emilia Fuentes Bernay</t>
  </si>
  <si>
    <t>125216496504</t>
  </si>
  <si>
    <t>124670247087</t>
  </si>
  <si>
    <t>125216661736</t>
  </si>
  <si>
    <t>124670291781</t>
  </si>
  <si>
    <t>125216777826</t>
  </si>
  <si>
    <t>125217154744</t>
  </si>
  <si>
    <t>124670696413</t>
  </si>
  <si>
    <t>124670726623</t>
  </si>
  <si>
    <t>125217693384</t>
  </si>
  <si>
    <t>124671275577</t>
  </si>
  <si>
    <t>124671527545</t>
  </si>
  <si>
    <t>Transferencia recibida Guadalupe Maria Del Huerto Fernandez</t>
  </si>
  <si>
    <t>124671562997</t>
  </si>
  <si>
    <t>124671860837</t>
  </si>
  <si>
    <t>Transferencia recibida Martin Esteban Ortiz</t>
  </si>
  <si>
    <t>125218223556</t>
  </si>
  <si>
    <t>125218410126</t>
  </si>
  <si>
    <t>125218795632</t>
  </si>
  <si>
    <t>124672504175</t>
  </si>
  <si>
    <t>124672534433</t>
  </si>
  <si>
    <t>125219129574</t>
  </si>
  <si>
    <t>125219203876</t>
  </si>
  <si>
    <t>125219233532</t>
  </si>
  <si>
    <t>Transferencia recibida Alfonso Rolando Nicolas Kraiesky</t>
  </si>
  <si>
    <t>124672793343</t>
  </si>
  <si>
    <t>125219980312</t>
  </si>
  <si>
    <t>125219899446</t>
  </si>
  <si>
    <t>125220021668</t>
  </si>
  <si>
    <t>124673710401</t>
  </si>
  <si>
    <t>125220339680</t>
  </si>
  <si>
    <t>124673905673</t>
  </si>
  <si>
    <t>Transferencia recibida Sophia Ahumada</t>
  </si>
  <si>
    <t>125220439184</t>
  </si>
  <si>
    <t>124673995833</t>
  </si>
  <si>
    <t>124674256535</t>
  </si>
  <si>
    <t>124675042795</t>
  </si>
  <si>
    <t>124675009187</t>
  </si>
  <si>
    <t>124675558175</t>
  </si>
  <si>
    <t>124675646391</t>
  </si>
  <si>
    <t>124675934201</t>
  </si>
  <si>
    <t>125222462618</t>
  </si>
  <si>
    <t>125222388040</t>
  </si>
  <si>
    <t>125222877250</t>
  </si>
  <si>
    <t>124676648481</t>
  </si>
  <si>
    <t>125223208832</t>
  </si>
  <si>
    <t>125223266490</t>
  </si>
  <si>
    <t>125223478166</t>
  </si>
  <si>
    <t>124677058353</t>
  </si>
  <si>
    <t>125223493470</t>
  </si>
  <si>
    <t>125223606328</t>
  </si>
  <si>
    <t>124677107387</t>
  </si>
  <si>
    <t>124677077767</t>
  </si>
  <si>
    <t>124677103773</t>
  </si>
  <si>
    <t>124749410821</t>
  </si>
  <si>
    <t>124751640007</t>
  </si>
  <si>
    <t>125298883468</t>
  </si>
  <si>
    <t>124752111709</t>
  </si>
  <si>
    <t>125300953476</t>
  </si>
  <si>
    <t>124754527205</t>
  </si>
  <si>
    <t>124754626261</t>
  </si>
  <si>
    <t>124755105423</t>
  </si>
  <si>
    <t>124756307845</t>
  </si>
  <si>
    <t>124756676035</t>
  </si>
  <si>
    <t>125304841170</t>
  </si>
  <si>
    <t>125305682512</t>
  </si>
  <si>
    <t>124759575161</t>
  </si>
  <si>
    <t>124760077545</t>
  </si>
  <si>
    <t>124760717875</t>
  </si>
  <si>
    <t>125307583524</t>
  </si>
  <si>
    <t>125307924448</t>
  </si>
  <si>
    <t>124761305099</t>
  </si>
  <si>
    <t>124761974987</t>
  </si>
  <si>
    <t>124762161923</t>
  </si>
  <si>
    <t>124762404115</t>
  </si>
  <si>
    <t>125309426696</t>
  </si>
  <si>
    <t>124762545723</t>
  </si>
  <si>
    <t>125311350634</t>
  </si>
  <si>
    <t>125311407008</t>
  </si>
  <si>
    <t>Transferencia recibida Sabrina Fiorella Pintos</t>
  </si>
  <si>
    <t>125311377394</t>
  </si>
  <si>
    <t>08-09-2025</t>
  </si>
  <si>
    <t>124767314759</t>
  </si>
  <si>
    <t>Transferencia recibida Juan Manuel Fernandez</t>
  </si>
  <si>
    <t>124767259737</t>
  </si>
  <si>
    <t>124767413713</t>
  </si>
  <si>
    <t>124767429929</t>
  </si>
  <si>
    <t>125314451784</t>
  </si>
  <si>
    <t>124768684947</t>
  </si>
  <si>
    <t>125315557302</t>
  </si>
  <si>
    <t>Transferencia recibida Manuel Galvan</t>
  </si>
  <si>
    <t>125315565192</t>
  </si>
  <si>
    <t>125360500974</t>
  </si>
  <si>
    <t>Transferencia enviada Cerveza Tractor</t>
  </si>
  <si>
    <t>124814220147</t>
  </si>
  <si>
    <t>125365649906</t>
  </si>
  <si>
    <t>Transferencia enviada DOLCET NORBERTO DAVID</t>
  </si>
  <si>
    <t>125385837094</t>
  </si>
  <si>
    <t>125391966586</t>
  </si>
  <si>
    <t>125402462672</t>
  </si>
  <si>
    <t>09-09-2025</t>
  </si>
  <si>
    <t>Transferencia enviada BOURLOT SA</t>
  </si>
  <si>
    <t>125490840846</t>
  </si>
  <si>
    <t>10-09-2025</t>
  </si>
  <si>
    <t>125128178537</t>
  </si>
  <si>
    <t>125152888873</t>
  </si>
  <si>
    <t>125156581215</t>
  </si>
  <si>
    <t>125707492856</t>
  </si>
  <si>
    <t>125709845758</t>
  </si>
  <si>
    <t>125161425019</t>
  </si>
  <si>
    <t>125712931478</t>
  </si>
  <si>
    <t>Transferencia recibida Matias Emanuel Gomez</t>
  </si>
  <si>
    <t>125164003625</t>
  </si>
  <si>
    <t>125167691185</t>
  </si>
  <si>
    <t>125168194775</t>
  </si>
  <si>
    <t>125719555728</t>
  </si>
  <si>
    <t>125721391454</t>
  </si>
  <si>
    <t>125720603672</t>
  </si>
  <si>
    <t>125173149657</t>
  </si>
  <si>
    <t>125174559711</t>
  </si>
  <si>
    <t>Transferencia recibida Gabriel Maximiliano Welschen</t>
  </si>
  <si>
    <t>125174633141</t>
  </si>
  <si>
    <t>125723665590</t>
  </si>
  <si>
    <t>125174877007</t>
  </si>
  <si>
    <t>125726480542</t>
  </si>
  <si>
    <t>125726680184</t>
  </si>
  <si>
    <t>Transferencia recibida Evelyn Rama</t>
  </si>
  <si>
    <t>125177663781</t>
  </si>
  <si>
    <t>125177806895</t>
  </si>
  <si>
    <t>125178836433</t>
  </si>
  <si>
    <t>125727987474</t>
  </si>
  <si>
    <t>125728029628</t>
  </si>
  <si>
    <t>125728164766</t>
  </si>
  <si>
    <t>125728223328</t>
  </si>
  <si>
    <t>Transferencia recibida Micaela Maillen Borro</t>
  </si>
  <si>
    <t>125728255084</t>
  </si>
  <si>
    <t>125179482645</t>
  </si>
  <si>
    <t>125728703810</t>
  </si>
  <si>
    <t>125729220164</t>
  </si>
  <si>
    <t>Transferencia recibida Valentin Lopez</t>
  </si>
  <si>
    <t>125729182866</t>
  </si>
  <si>
    <t>125729208924</t>
  </si>
  <si>
    <t>125729858142</t>
  </si>
  <si>
    <t>125730284306</t>
  </si>
  <si>
    <t>11-09-2025</t>
  </si>
  <si>
    <t>125730630344</t>
  </si>
  <si>
    <t>125730938612</t>
  </si>
  <si>
    <t>125182282317</t>
  </si>
  <si>
    <t>Transferencia recibida Joaquín Vergniaud Costa</t>
  </si>
  <si>
    <t>125731139762</t>
  </si>
  <si>
    <t>125182469271</t>
  </si>
  <si>
    <t>125182626663</t>
  </si>
  <si>
    <t>125731690258</t>
  </si>
  <si>
    <t>125732575486</t>
  </si>
  <si>
    <t>125732657942</t>
  </si>
  <si>
    <t>125734498538</t>
  </si>
  <si>
    <t>Transferencia recibida Lautaro Emanuel Allois Satto</t>
  </si>
  <si>
    <t>125185385327</t>
  </si>
  <si>
    <t>125734695008</t>
  </si>
  <si>
    <t>125186162773</t>
  </si>
  <si>
    <t>125186206585</t>
  </si>
  <si>
    <t>125186249815</t>
  </si>
  <si>
    <t>125186455061</t>
  </si>
  <si>
    <t>125735533144</t>
  </si>
  <si>
    <t>125735529498</t>
  </si>
  <si>
    <t>125735896318</t>
  </si>
  <si>
    <t>Transferencia recibida Melanie Troncoso</t>
  </si>
  <si>
    <t>125186681353</t>
  </si>
  <si>
    <t>Débito por deuda Facturas vencidas de Mercado Libre</t>
  </si>
  <si>
    <t>2350344890</t>
  </si>
  <si>
    <t>125773059124</t>
  </si>
  <si>
    <t>125773107440</t>
  </si>
  <si>
    <t>125774258702</t>
  </si>
  <si>
    <t>125778500554</t>
  </si>
  <si>
    <t>125778419104</t>
  </si>
  <si>
    <t>125232960111</t>
  </si>
  <si>
    <t>125232161173</t>
  </si>
  <si>
    <t>Transferencia enviada CAMILA SCARDINO</t>
  </si>
  <si>
    <t>125259476811</t>
  </si>
  <si>
    <t>125296798273</t>
  </si>
  <si>
    <t>125846766732</t>
  </si>
  <si>
    <t>Transferencia recibida Manuela Sofia Dalmao Dematteis</t>
  </si>
  <si>
    <t>125297082869</t>
  </si>
  <si>
    <t>125847517582</t>
  </si>
  <si>
    <t>125298516019</t>
  </si>
  <si>
    <t>125851439308</t>
  </si>
  <si>
    <t>125851618468</t>
  </si>
  <si>
    <t>125302111081</t>
  </si>
  <si>
    <t>125852041418</t>
  </si>
  <si>
    <t>125852449818</t>
  </si>
  <si>
    <t>Transferencia recibida Rita Milagros Juvenal</t>
  </si>
  <si>
    <t>125852501254</t>
  </si>
  <si>
    <t>125852727536</t>
  </si>
  <si>
    <t>125853449760</t>
  </si>
  <si>
    <t>125304094253</t>
  </si>
  <si>
    <t>125304141263</t>
  </si>
  <si>
    <t>125304398269</t>
  </si>
  <si>
    <t>125854396652</t>
  </si>
  <si>
    <t>125305225765</t>
  </si>
  <si>
    <t>125855330618</t>
  </si>
  <si>
    <t>125855413332</t>
  </si>
  <si>
    <t>125306671969</t>
  </si>
  <si>
    <t>125307224295</t>
  </si>
  <si>
    <t>125307313189</t>
  </si>
  <si>
    <t>125307881689</t>
  </si>
  <si>
    <t>125858046938</t>
  </si>
  <si>
    <t>125858321940</t>
  </si>
  <si>
    <t>125858862480</t>
  </si>
  <si>
    <t>Transferencia recibida Martina Elola</t>
  </si>
  <si>
    <t>125858898284</t>
  </si>
  <si>
    <t>125860218818</t>
  </si>
  <si>
    <t>Transferencia recibida Marialaura</t>
  </si>
  <si>
    <t>125860256390</t>
  </si>
  <si>
    <t>125860330268</t>
  </si>
  <si>
    <t>125860494178</t>
  </si>
  <si>
    <t>125310911019</t>
  </si>
  <si>
    <t>125311241119</t>
  </si>
  <si>
    <t>125311773883</t>
  </si>
  <si>
    <t>125862584570</t>
  </si>
  <si>
    <t>125312890421</t>
  </si>
  <si>
    <t>125862675902</t>
  </si>
  <si>
    <t>125863448486</t>
  </si>
  <si>
    <t>Transferencia recibida Sebastián Andrés Saavedra</t>
  </si>
  <si>
    <t>125313726111</t>
  </si>
  <si>
    <t>125314398803</t>
  </si>
  <si>
    <t>125864492262</t>
  </si>
  <si>
    <t>125864705876</t>
  </si>
  <si>
    <t>125864911030</t>
  </si>
  <si>
    <t>125315241639</t>
  </si>
  <si>
    <t>125315401565</t>
  </si>
  <si>
    <t>125315415565</t>
  </si>
  <si>
    <t>125315541627</t>
  </si>
  <si>
    <t>125865477358</t>
  </si>
  <si>
    <t>125865630514</t>
  </si>
  <si>
    <t>12-09-2025</t>
  </si>
  <si>
    <t>125865890526</t>
  </si>
  <si>
    <t>125866469482</t>
  </si>
  <si>
    <t>125316809887</t>
  </si>
  <si>
    <t>125317118715</t>
  </si>
  <si>
    <t>125317119521</t>
  </si>
  <si>
    <t>125317739121</t>
  </si>
  <si>
    <t>125867689614</t>
  </si>
  <si>
    <t>125318140511</t>
  </si>
  <si>
    <t>125318227505</t>
  </si>
  <si>
    <t>125868254842</t>
  </si>
  <si>
    <t>125318560667</t>
  </si>
  <si>
    <t>125868559084</t>
  </si>
  <si>
    <t>125318831565</t>
  </si>
  <si>
    <t>125319036607</t>
  </si>
  <si>
    <t>125319017341</t>
  </si>
  <si>
    <t>125869092878</t>
  </si>
  <si>
    <t>125869422198</t>
  </si>
  <si>
    <t>125869530502</t>
  </si>
  <si>
    <t>125869507316</t>
  </si>
  <si>
    <t>125869681610</t>
  </si>
  <si>
    <t>125320055657</t>
  </si>
  <si>
    <t>125320457011</t>
  </si>
  <si>
    <t>125320564485</t>
  </si>
  <si>
    <t>125870474672</t>
  </si>
  <si>
    <t>125321324087</t>
  </si>
  <si>
    <t>125871368350</t>
  </si>
  <si>
    <t>125871494326</t>
  </si>
  <si>
    <t>125871359326</t>
  </si>
  <si>
    <t>125322062757</t>
  </si>
  <si>
    <t>125871870980</t>
  </si>
  <si>
    <t>125322405401</t>
  </si>
  <si>
    <t>125322493065</t>
  </si>
  <si>
    <t>125322736611</t>
  </si>
  <si>
    <t>Transferencia recibida Angelina Leopardo</t>
  </si>
  <si>
    <t>125322493613</t>
  </si>
  <si>
    <t>125322503897</t>
  </si>
  <si>
    <t>125322888369</t>
  </si>
  <si>
    <t>125872587248</t>
  </si>
  <si>
    <t>125872758668</t>
  </si>
  <si>
    <t>125323011517</t>
  </si>
  <si>
    <t>Compra de Manometro 63mm Post 1/4 Npt, Inox Con Glicerina 0-4 Bar/psi Mercado Libr...</t>
  </si>
  <si>
    <t>125395601971</t>
  </si>
  <si>
    <t>125427741477</t>
  </si>
  <si>
    <t>Transferencia recibida Juan Ignacio Daniele</t>
  </si>
  <si>
    <t>125979013674</t>
  </si>
  <si>
    <t>125433504737</t>
  </si>
  <si>
    <t>125433898761</t>
  </si>
  <si>
    <t>125437359297</t>
  </si>
  <si>
    <t>125437433757</t>
  </si>
  <si>
    <t>125437828867</t>
  </si>
  <si>
    <t>125437996133</t>
  </si>
  <si>
    <t>125993614332</t>
  </si>
  <si>
    <t>125996443306</t>
  </si>
  <si>
    <t>125446961843</t>
  </si>
  <si>
    <t>125446989707</t>
  </si>
  <si>
    <t>125447857505</t>
  </si>
  <si>
    <t>125999347750</t>
  </si>
  <si>
    <t>125449062915</t>
  </si>
  <si>
    <t>Transferencia recibida Yamil Jose Ale</t>
  </si>
  <si>
    <t>126000250952</t>
  </si>
  <si>
    <t>125449242459</t>
  </si>
  <si>
    <t>Transferencia recibida Concepcar</t>
  </si>
  <si>
    <t>125449173473</t>
  </si>
  <si>
    <t>125449622091</t>
  </si>
  <si>
    <t>Transferencia recibida Francisco Exequiel Zegaib</t>
  </si>
  <si>
    <t>126000953678</t>
  </si>
  <si>
    <t>126001259020</t>
  </si>
  <si>
    <t>126001791192</t>
  </si>
  <si>
    <t>126002231286</t>
  </si>
  <si>
    <t>125451470875</t>
  </si>
  <si>
    <t>125451713543</t>
  </si>
  <si>
    <t>125452973303</t>
  </si>
  <si>
    <t>126004526618</t>
  </si>
  <si>
    <t>125453295123</t>
  </si>
  <si>
    <t>126004723518</t>
  </si>
  <si>
    <t>126004850416</t>
  </si>
  <si>
    <t>125453742521</t>
  </si>
  <si>
    <t>126005317084</t>
  </si>
  <si>
    <t>125454342423</t>
  </si>
  <si>
    <t>125454937941</t>
  </si>
  <si>
    <t>125455143547</t>
  </si>
  <si>
    <t>125455209189</t>
  </si>
  <si>
    <t>126006479850</t>
  </si>
  <si>
    <t>126006688382</t>
  </si>
  <si>
    <t>125455496263</t>
  </si>
  <si>
    <t>Transferencia recibida Agustin Alejandro Vizcarra</t>
  </si>
  <si>
    <t>126006713134</t>
  </si>
  <si>
    <t>126007138224</t>
  </si>
  <si>
    <t>125455999533</t>
  </si>
  <si>
    <t>125456097501</t>
  </si>
  <si>
    <t>126007254642</t>
  </si>
  <si>
    <t>126007328626</t>
  </si>
  <si>
    <t>13-09-2025</t>
  </si>
  <si>
    <t>125456304867</t>
  </si>
  <si>
    <t>126007613112</t>
  </si>
  <si>
    <t>126008199580</t>
  </si>
  <si>
    <t>125457086371</t>
  </si>
  <si>
    <t>126008404306</t>
  </si>
  <si>
    <t>125457113205</t>
  </si>
  <si>
    <t>126008508224</t>
  </si>
  <si>
    <t>126008501598</t>
  </si>
  <si>
    <t>126008998174</t>
  </si>
  <si>
    <t>126009033428</t>
  </si>
  <si>
    <t>125458240273</t>
  </si>
  <si>
    <t>125458625329</t>
  </si>
  <si>
    <t>125458908029</t>
  </si>
  <si>
    <t>Transferencia recibida Germán Yair Gaggietta</t>
  </si>
  <si>
    <t>125459061033</t>
  </si>
  <si>
    <t>126010551652</t>
  </si>
  <si>
    <t>125459627485</t>
  </si>
  <si>
    <t>125459770589</t>
  </si>
  <si>
    <t>126011115826</t>
  </si>
  <si>
    <t>Transferencia recibida Jazmín Uranga</t>
  </si>
  <si>
    <t>125459873031</t>
  </si>
  <si>
    <t>125459913579</t>
  </si>
  <si>
    <t>125459983441</t>
  </si>
  <si>
    <t>126011371400</t>
  </si>
  <si>
    <t>125460195335</t>
  </si>
  <si>
    <t>125460460203</t>
  </si>
  <si>
    <t>125460516437</t>
  </si>
  <si>
    <t>125460972465</t>
  </si>
  <si>
    <t>126012314684</t>
  </si>
  <si>
    <t>126012503986</t>
  </si>
  <si>
    <t>126012630432</t>
  </si>
  <si>
    <t>125461418987</t>
  </si>
  <si>
    <t>126012854938</t>
  </si>
  <si>
    <t>126012871060</t>
  </si>
  <si>
    <t>Transferencia recibida Angel Ernesto Cholson</t>
  </si>
  <si>
    <t>125461762901</t>
  </si>
  <si>
    <t>126012851936</t>
  </si>
  <si>
    <t>126012972604</t>
  </si>
  <si>
    <t>125461870989</t>
  </si>
  <si>
    <t>125461936825</t>
  </si>
  <si>
    <t>126013114190</t>
  </si>
  <si>
    <t>126013525296</t>
  </si>
  <si>
    <t>126013746036</t>
  </si>
  <si>
    <t>125462776275</t>
  </si>
  <si>
    <t>125462980105</t>
  </si>
  <si>
    <t>126014168820</t>
  </si>
  <si>
    <t>125463043451</t>
  </si>
  <si>
    <t>126014227310</t>
  </si>
  <si>
    <t>125463091997</t>
  </si>
  <si>
    <t>125463291439</t>
  </si>
  <si>
    <t>126014567370</t>
  </si>
  <si>
    <t>126014664178</t>
  </si>
  <si>
    <t>125463562387</t>
  </si>
  <si>
    <t>125463455779</t>
  </si>
  <si>
    <t>125494013461</t>
  </si>
  <si>
    <t>126096640836</t>
  </si>
  <si>
    <t>126099304852</t>
  </si>
  <si>
    <t>126103502012</t>
  </si>
  <si>
    <t>126105503786</t>
  </si>
  <si>
    <t>126105964490</t>
  </si>
  <si>
    <t>125554253101</t>
  </si>
  <si>
    <t>125554633827</t>
  </si>
  <si>
    <t>125557181285</t>
  </si>
  <si>
    <t>Transferencia recibida Mauricio Oscar Lopez</t>
  </si>
  <si>
    <t>125557234739</t>
  </si>
  <si>
    <t>126109192968</t>
  </si>
  <si>
    <t>125558021461</t>
  </si>
  <si>
    <t>126110485752</t>
  </si>
  <si>
    <t>126110608540</t>
  </si>
  <si>
    <t>125559982515</t>
  </si>
  <si>
    <t>126111930026</t>
  </si>
  <si>
    <t>125561730289</t>
  </si>
  <si>
    <t>125562837095</t>
  </si>
  <si>
    <t>125563294919</t>
  </si>
  <si>
    <t>125565056217</t>
  </si>
  <si>
    <t>125565748807</t>
  </si>
  <si>
    <t>Transferencia recibida Cristian Efraín Etchebarne</t>
  </si>
  <si>
    <t>126117918928</t>
  </si>
  <si>
    <t>126118455600</t>
  </si>
  <si>
    <t>125566797827</t>
  </si>
  <si>
    <t>126120126774</t>
  </si>
  <si>
    <t>126120191518</t>
  </si>
  <si>
    <t>125569052645</t>
  </si>
  <si>
    <t>126121422420</t>
  </si>
  <si>
    <t>126121449144</t>
  </si>
  <si>
    <t>Transferencia recibida Mariano Mensa</t>
  </si>
  <si>
    <t>126121433118</t>
  </si>
  <si>
    <t>126121361624</t>
  </si>
  <si>
    <t>126121826612</t>
  </si>
  <si>
    <t>Transferencia recibida Juan Manuel Schroeder</t>
  </si>
  <si>
    <t>125569350053</t>
  </si>
  <si>
    <t>126122277928</t>
  </si>
  <si>
    <t>126123126956</t>
  </si>
  <si>
    <t>125571870311</t>
  </si>
  <si>
    <t>125571861443</t>
  </si>
  <si>
    <t>125571811845</t>
  </si>
  <si>
    <t>126124056584</t>
  </si>
  <si>
    <t>14-09-2025</t>
  </si>
  <si>
    <t>125572517133</t>
  </si>
  <si>
    <t>125572639149</t>
  </si>
  <si>
    <t>126124937948</t>
  </si>
  <si>
    <t>126125328454</t>
  </si>
  <si>
    <t>125573390505</t>
  </si>
  <si>
    <t>Transferencia recibida Sol Fagundez</t>
  </si>
  <si>
    <t>126125321516</t>
  </si>
  <si>
    <t>126125616248</t>
  </si>
  <si>
    <t>126125649050</t>
  </si>
  <si>
    <t>125573766089</t>
  </si>
  <si>
    <t>126125844426</t>
  </si>
  <si>
    <t>126125865338</t>
  </si>
  <si>
    <t>126126003700</t>
  </si>
  <si>
    <t>125574552839</t>
  </si>
  <si>
    <t>Transferencia recibida Fernando Emanuel Lozano</t>
  </si>
  <si>
    <t>126126266778</t>
  </si>
  <si>
    <t>126126279136</t>
  </si>
  <si>
    <t>125575047745</t>
  </si>
  <si>
    <t>126127444242</t>
  </si>
  <si>
    <t>125575646461</t>
  </si>
  <si>
    <t>126127972920</t>
  </si>
  <si>
    <t>125575777739</t>
  </si>
  <si>
    <t>126128300134</t>
  </si>
  <si>
    <t>126128476864</t>
  </si>
  <si>
    <t>126128502728</t>
  </si>
  <si>
    <t>125576351683</t>
  </si>
  <si>
    <t>Transferencia recibida Ramiro Pascal</t>
  </si>
  <si>
    <t>125576459167</t>
  </si>
  <si>
    <t>125576738331</t>
  </si>
  <si>
    <t>125576972801</t>
  </si>
  <si>
    <t>126128875098</t>
  </si>
  <si>
    <t>126128849374</t>
  </si>
  <si>
    <t>Transferencia recibida Erik</t>
  </si>
  <si>
    <t>125576891613</t>
  </si>
  <si>
    <t>126128996208</t>
  </si>
  <si>
    <t>126128807772</t>
  </si>
  <si>
    <t>125576905955</t>
  </si>
  <si>
    <t>125577184425</t>
  </si>
  <si>
    <t>125577313229</t>
  </si>
  <si>
    <t>125577491253</t>
  </si>
  <si>
    <t>126129426494</t>
  </si>
  <si>
    <t>126129504564</t>
  </si>
  <si>
    <t>125578259241</t>
  </si>
  <si>
    <t>125578192035</t>
  </si>
  <si>
    <t>126130624264</t>
  </si>
  <si>
    <t>126131114974</t>
  </si>
  <si>
    <t>126131164784</t>
  </si>
  <si>
    <t>126131278306</t>
  </si>
  <si>
    <t>Transferencia recibida Hugo Ezequiel Perez</t>
  </si>
  <si>
    <t>125578968239</t>
  </si>
  <si>
    <t>125578892085</t>
  </si>
  <si>
    <t>126131480124</t>
  </si>
  <si>
    <t>Transferencia recibida Facundo Ariel Marquez De Los Santos</t>
  </si>
  <si>
    <t>126131385030</t>
  </si>
  <si>
    <t>125579030099</t>
  </si>
  <si>
    <t>125579346241</t>
  </si>
  <si>
    <t>125579320835</t>
  </si>
  <si>
    <t>126131790334</t>
  </si>
  <si>
    <t>126131685768</t>
  </si>
  <si>
    <t>126131769430</t>
  </si>
  <si>
    <t>125579567091</t>
  </si>
  <si>
    <t>125579583955</t>
  </si>
  <si>
    <t>125641694887</t>
  </si>
  <si>
    <t>Transferencia recibida Iara Micae Blanco Duarte</t>
  </si>
  <si>
    <t>125641720659</t>
  </si>
  <si>
    <t>126195667264</t>
  </si>
  <si>
    <t>125647221653</t>
  </si>
  <si>
    <t>Transferencia recibida Walter Daniel Dieta</t>
  </si>
  <si>
    <t>125647203977</t>
  </si>
  <si>
    <t>126199806570</t>
  </si>
  <si>
    <t>125648509125</t>
  </si>
  <si>
    <t>126202107638</t>
  </si>
  <si>
    <t>125650842711</t>
  </si>
  <si>
    <t>126208398932</t>
  </si>
  <si>
    <t>125656403991</t>
  </si>
  <si>
    <t>126209525276</t>
  </si>
  <si>
    <t>126210057176</t>
  </si>
  <si>
    <t>126211365010</t>
  </si>
  <si>
    <t>125659456895</t>
  </si>
  <si>
    <t>125659954419</t>
  </si>
  <si>
    <t>125659996117</t>
  </si>
  <si>
    <t>126212628608</t>
  </si>
  <si>
    <t>126213107032</t>
  </si>
  <si>
    <t>126213201364</t>
  </si>
  <si>
    <t>126213444444</t>
  </si>
  <si>
    <t>125661802007</t>
  </si>
  <si>
    <t>125662278353</t>
  </si>
  <si>
    <t>126214829960</t>
  </si>
  <si>
    <t>125662860685</t>
  </si>
  <si>
    <t>125663240327</t>
  </si>
  <si>
    <t>125663262315</t>
  </si>
  <si>
    <t>126215681054</t>
  </si>
  <si>
    <t>15-09-2025</t>
  </si>
  <si>
    <t>125664117927</t>
  </si>
  <si>
    <t>126216706478</t>
  </si>
  <si>
    <t>126216657442</t>
  </si>
  <si>
    <t>126216807538</t>
  </si>
  <si>
    <t>126217102720</t>
  </si>
  <si>
    <t>126217490808</t>
  </si>
  <si>
    <t>126217984052</t>
  </si>
  <si>
    <t>Transferencia recibida Julieta Graumann</t>
  </si>
  <si>
    <t>126218156282</t>
  </si>
  <si>
    <t>126218238140</t>
  </si>
  <si>
    <t>126218221652</t>
  </si>
  <si>
    <t>125666113965</t>
  </si>
  <si>
    <t>Transferencia enviada ERPEN JULIO C. Y PONZONI ANTONELLA P. SOCIEDAD SIMPLE</t>
  </si>
  <si>
    <t>125698300455</t>
  </si>
  <si>
    <t>126258081176</t>
  </si>
  <si>
    <t>125715190737</t>
  </si>
  <si>
    <t>Compra de Epitrónica Pack 100 Rollos Papel Térmico 80x50 48grs Ticket, Comandera, ...</t>
  </si>
  <si>
    <t>125728344293</t>
  </si>
  <si>
    <t>126284737774</t>
  </si>
  <si>
    <t>126285096672</t>
  </si>
  <si>
    <t>125735003593</t>
  </si>
  <si>
    <t>126288428012</t>
  </si>
  <si>
    <t>126288909182</t>
  </si>
  <si>
    <t>Transferencia enviada TRES ORILLAS SRL</t>
  </si>
  <si>
    <t>125738338007</t>
  </si>
  <si>
    <t>126316363178</t>
  </si>
  <si>
    <t>16-09-2025</t>
  </si>
  <si>
    <t>126387313180</t>
  </si>
  <si>
    <t>126401610954</t>
  </si>
  <si>
    <t>Transferencia enviada Eula Marcelo German</t>
  </si>
  <si>
    <t>126403126956</t>
  </si>
  <si>
    <t>125859839609</t>
  </si>
  <si>
    <t>17-09-2025</t>
  </si>
  <si>
    <t>125988349795</t>
  </si>
  <si>
    <t>126550128384</t>
  </si>
  <si>
    <t>126556131568</t>
  </si>
  <si>
    <t>126006760321</t>
  </si>
  <si>
    <t>126032999989</t>
  </si>
  <si>
    <t>126591409114</t>
  </si>
  <si>
    <t>126036386561</t>
  </si>
  <si>
    <t>126594945894</t>
  </si>
  <si>
    <t>126597067472</t>
  </si>
  <si>
    <t>126597591802</t>
  </si>
  <si>
    <t>126043752843</t>
  </si>
  <si>
    <t>126600508822</t>
  </si>
  <si>
    <t>126045198407</t>
  </si>
  <si>
    <t>126046694901</t>
  </si>
  <si>
    <t>126046661655</t>
  </si>
  <si>
    <t>126047122521</t>
  </si>
  <si>
    <t>126047460401</t>
  </si>
  <si>
    <t>126602656096</t>
  </si>
  <si>
    <t>126603090892</t>
  </si>
  <si>
    <t>126603719712</t>
  </si>
  <si>
    <t>126604501712</t>
  </si>
  <si>
    <t>126604962718</t>
  </si>
  <si>
    <t>126605063444</t>
  </si>
  <si>
    <t>18-09-2025</t>
  </si>
  <si>
    <t>126050976059</t>
  </si>
  <si>
    <t>126606760284</t>
  </si>
  <si>
    <t>126607039216</t>
  </si>
  <si>
    <t>126608518506</t>
  </si>
  <si>
    <t>126053089055</t>
  </si>
  <si>
    <t>126608907260</t>
  </si>
  <si>
    <t>126054219383</t>
  </si>
  <si>
    <t>126672617220</t>
  </si>
  <si>
    <t>126157000377</t>
  </si>
  <si>
    <t>126159013621</t>
  </si>
  <si>
    <t>126715334666</t>
  </si>
  <si>
    <t>126717656802</t>
  </si>
  <si>
    <t>126163201675</t>
  </si>
  <si>
    <t>126163696217</t>
  </si>
  <si>
    <t>126720176148</t>
  </si>
  <si>
    <t>126720731270</t>
  </si>
  <si>
    <t>126165274867</t>
  </si>
  <si>
    <t>126723007268</t>
  </si>
  <si>
    <t>126723539042</t>
  </si>
  <si>
    <t>126723765408</t>
  </si>
  <si>
    <t>126724104590</t>
  </si>
  <si>
    <t>126724308446</t>
  </si>
  <si>
    <t>126724304832</t>
  </si>
  <si>
    <t>126169270677</t>
  </si>
  <si>
    <t>126725418364</t>
  </si>
  <si>
    <t>126725608370</t>
  </si>
  <si>
    <t>126170159241</t>
  </si>
  <si>
    <t>126171003423</t>
  </si>
  <si>
    <t>126171264709</t>
  </si>
  <si>
    <t>126171958661</t>
  </si>
  <si>
    <t>126728336370</t>
  </si>
  <si>
    <t>126172507849</t>
  </si>
  <si>
    <t>126172609131</t>
  </si>
  <si>
    <t>126728677538</t>
  </si>
  <si>
    <t>126729380342</t>
  </si>
  <si>
    <t>126729257882</t>
  </si>
  <si>
    <t>126729595734</t>
  </si>
  <si>
    <t>126729997528</t>
  </si>
  <si>
    <t>126173864405</t>
  </si>
  <si>
    <t>126730400096</t>
  </si>
  <si>
    <t>Transferencia recibida Sergio Bruno Cabral</t>
  </si>
  <si>
    <t>126173878017</t>
  </si>
  <si>
    <t>126730576680</t>
  </si>
  <si>
    <t>126730666812</t>
  </si>
  <si>
    <t>126730724768</t>
  </si>
  <si>
    <t>126174840651</t>
  </si>
  <si>
    <t>126730960018</t>
  </si>
  <si>
    <t>126175205521</t>
  </si>
  <si>
    <t>126176306385</t>
  </si>
  <si>
    <t>126176356419</t>
  </si>
  <si>
    <t>126176295955</t>
  </si>
  <si>
    <t>126733342172</t>
  </si>
  <si>
    <t>126177394425</t>
  </si>
  <si>
    <t>126733789902</t>
  </si>
  <si>
    <t>126177858555</t>
  </si>
  <si>
    <t>Transferencia recibida Melina Belén Maschio</t>
  </si>
  <si>
    <t>126734105004</t>
  </si>
  <si>
    <t>126734101344</t>
  </si>
  <si>
    <t>126177996273</t>
  </si>
  <si>
    <t>126734131932</t>
  </si>
  <si>
    <t>126734488490</t>
  </si>
  <si>
    <t>126178996297</t>
  </si>
  <si>
    <t>126179218399</t>
  </si>
  <si>
    <t>Transferencia recibida Betina Salomé Farias</t>
  </si>
  <si>
    <t>126179069627</t>
  </si>
  <si>
    <t>126735130040</t>
  </si>
  <si>
    <t>Transferencia recibida Lautaro Exequiel Roja</t>
  </si>
  <si>
    <t>126179214869</t>
  </si>
  <si>
    <t>126735538284</t>
  </si>
  <si>
    <t>19-09-2025</t>
  </si>
  <si>
    <t>126735449040</t>
  </si>
  <si>
    <t>126179338967</t>
  </si>
  <si>
    <t>126179317665</t>
  </si>
  <si>
    <t>126179543345</t>
  </si>
  <si>
    <t>126736088642</t>
  </si>
  <si>
    <t>126736031606</t>
  </si>
  <si>
    <t>126179853579</t>
  </si>
  <si>
    <t>126736781276</t>
  </si>
  <si>
    <t>126736925278</t>
  </si>
  <si>
    <t>126180519317</t>
  </si>
  <si>
    <t>126180758335</t>
  </si>
  <si>
    <t>126736920096</t>
  </si>
  <si>
    <t>126737086952</t>
  </si>
  <si>
    <t>126737129400</t>
  </si>
  <si>
    <t>126181139963</t>
  </si>
  <si>
    <t>126181421567</t>
  </si>
  <si>
    <t>126182042267</t>
  </si>
  <si>
    <t>126738333100</t>
  </si>
  <si>
    <t>126738441012</t>
  </si>
  <si>
    <t>126738655450</t>
  </si>
  <si>
    <t>126182237529</t>
  </si>
  <si>
    <t>126738940502</t>
  </si>
  <si>
    <t>126182746591</t>
  </si>
  <si>
    <t>126182861281</t>
  </si>
  <si>
    <t>126183222931</t>
  </si>
  <si>
    <t>126183344315</t>
  </si>
  <si>
    <t>126183314795</t>
  </si>
  <si>
    <t>126183517159</t>
  </si>
  <si>
    <t>126740106866</t>
  </si>
  <si>
    <t>126183601699</t>
  </si>
  <si>
    <t>126183676019</t>
  </si>
  <si>
    <t>126740392456</t>
  </si>
  <si>
    <t>126740494230</t>
  </si>
  <si>
    <t>126740171940</t>
  </si>
  <si>
    <t>126184382547</t>
  </si>
  <si>
    <t>126740843732</t>
  </si>
  <si>
    <t>126741631900</t>
  </si>
  <si>
    <t>126185585139</t>
  </si>
  <si>
    <t>126185692955</t>
  </si>
  <si>
    <t>126185509995</t>
  </si>
  <si>
    <t>126185693425</t>
  </si>
  <si>
    <t>126741893182</t>
  </si>
  <si>
    <t>126185826419</t>
  </si>
  <si>
    <t>Transferencia enviada ENCODE SA</t>
  </si>
  <si>
    <t>126770445030</t>
  </si>
  <si>
    <t>126793578000</t>
  </si>
  <si>
    <t>126237032063</t>
  </si>
  <si>
    <t>126238042751</t>
  </si>
  <si>
    <t>126797263370</t>
  </si>
  <si>
    <t>126240876525</t>
  </si>
  <si>
    <t>Transferencia enviada PELPAK EMBALAJES S.A</t>
  </si>
  <si>
    <t>126250049639</t>
  </si>
  <si>
    <t>Compra de Impresora De Tickets Comandera Hasar 181 Usb Serie Ethernet P-has-181 Ne...</t>
  </si>
  <si>
    <t>126810642450</t>
  </si>
  <si>
    <t>126284532553</t>
  </si>
  <si>
    <t>126292935665</t>
  </si>
  <si>
    <t>126295087115</t>
  </si>
  <si>
    <t>126853170834</t>
  </si>
  <si>
    <t>126296416437</t>
  </si>
  <si>
    <t>126298474467</t>
  </si>
  <si>
    <t>126298554027</t>
  </si>
  <si>
    <t>126299319221</t>
  </si>
  <si>
    <t>126859782450</t>
  </si>
  <si>
    <t>126304421967</t>
  </si>
  <si>
    <t>126861716336</t>
  </si>
  <si>
    <t>126861692506</t>
  </si>
  <si>
    <t>126862230908</t>
  </si>
  <si>
    <t>126306563085</t>
  </si>
  <si>
    <t>126308248317</t>
  </si>
  <si>
    <t>126865877842</t>
  </si>
  <si>
    <t>126309333557</t>
  </si>
  <si>
    <t>126868129818</t>
  </si>
  <si>
    <t>126311741457</t>
  </si>
  <si>
    <t>126312348037</t>
  </si>
  <si>
    <t>126869531676</t>
  </si>
  <si>
    <t>126869842594</t>
  </si>
  <si>
    <t>126870052406</t>
  </si>
  <si>
    <t>126871817554</t>
  </si>
  <si>
    <t>126314909589</t>
  </si>
  <si>
    <t>126873074156</t>
  </si>
  <si>
    <t>20-09-2025</t>
  </si>
  <si>
    <t>126316225841</t>
  </si>
  <si>
    <t>Transferencia recibida Erika Maria Cristina Gamarra Dammann</t>
  </si>
  <si>
    <t>126873295184</t>
  </si>
  <si>
    <t>126874886990</t>
  </si>
  <si>
    <t>126875041098</t>
  </si>
  <si>
    <t>126318205615</t>
  </si>
  <si>
    <t>126875172028</t>
  </si>
  <si>
    <t>126876254088</t>
  </si>
  <si>
    <t>126876381400</t>
  </si>
  <si>
    <t>126319844955</t>
  </si>
  <si>
    <t>126320141423</t>
  </si>
  <si>
    <t>126320288243</t>
  </si>
  <si>
    <t>126320241659</t>
  </si>
  <si>
    <t>Transferencia recibida Lucrecia Lujan Ruiz Diaz</t>
  </si>
  <si>
    <t>126320241673</t>
  </si>
  <si>
    <t>126877870800</t>
  </si>
  <si>
    <t>126878375750</t>
  </si>
  <si>
    <t>126321636735</t>
  </si>
  <si>
    <t>126322107825</t>
  </si>
  <si>
    <t>126879442386</t>
  </si>
  <si>
    <t>126322416275</t>
  </si>
  <si>
    <t>126322363921</t>
  </si>
  <si>
    <t>126322417111</t>
  </si>
  <si>
    <t>126879711336</t>
  </si>
  <si>
    <t>126879997894</t>
  </si>
  <si>
    <t>126322987383</t>
  </si>
  <si>
    <t>126323027433</t>
  </si>
  <si>
    <t>126960677984</t>
  </si>
  <si>
    <t>126410121599</t>
  </si>
  <si>
    <t>126410422343</t>
  </si>
  <si>
    <t>126412724811</t>
  </si>
  <si>
    <t>126970599066</t>
  </si>
  <si>
    <t>126971190364</t>
  </si>
  <si>
    <t>126415952795</t>
  </si>
  <si>
    <t>126416100771</t>
  </si>
  <si>
    <t>126416744717</t>
  </si>
  <si>
    <t>126417189235</t>
  </si>
  <si>
    <t>126417744443</t>
  </si>
  <si>
    <t>126418008273</t>
  </si>
  <si>
    <t>Transferencia recibida Osvaldo Ariel Carro</t>
  </si>
  <si>
    <t>126417976831</t>
  </si>
  <si>
    <t>126418419939</t>
  </si>
  <si>
    <t>Transferencia recibida Andrea Del Valle Llanes</t>
  </si>
  <si>
    <t>126418469315</t>
  </si>
  <si>
    <t>126978302556</t>
  </si>
  <si>
    <t>126979157826</t>
  </si>
  <si>
    <t>126421871761</t>
  </si>
  <si>
    <t>126980936250</t>
  </si>
  <si>
    <t>126423501303</t>
  </si>
  <si>
    <t>126423667935</t>
  </si>
  <si>
    <t>126981776406</t>
  </si>
  <si>
    <t>126981700000</t>
  </si>
  <si>
    <t>126424486673</t>
  </si>
  <si>
    <t>126424804149</t>
  </si>
  <si>
    <t>126425131863</t>
  </si>
  <si>
    <t>126982959770</t>
  </si>
  <si>
    <t>126983145714</t>
  </si>
  <si>
    <t>126426033467</t>
  </si>
  <si>
    <t>Transferencia recibida Josefina Otero</t>
  </si>
  <si>
    <t>126983513620</t>
  </si>
  <si>
    <t>126983720944</t>
  </si>
  <si>
    <t>126983964624</t>
  </si>
  <si>
    <t>126426592653</t>
  </si>
  <si>
    <t>126426524043</t>
  </si>
  <si>
    <t>126984441946</t>
  </si>
  <si>
    <t>126984992484</t>
  </si>
  <si>
    <t>126984981826</t>
  </si>
  <si>
    <t>126427734197</t>
  </si>
  <si>
    <t>Transferencia recibida Sebastian Raul Nuñez</t>
  </si>
  <si>
    <t>126427704535</t>
  </si>
  <si>
    <t>126985153914</t>
  </si>
  <si>
    <t>126427840519</t>
  </si>
  <si>
    <t>Transferencia recibida Andres Salvador Proemmel Galeano</t>
  </si>
  <si>
    <t>126427745647</t>
  </si>
  <si>
    <t>126428154421</t>
  </si>
  <si>
    <t>126428160507</t>
  </si>
  <si>
    <t>126985881488</t>
  </si>
  <si>
    <t>126428591035</t>
  </si>
  <si>
    <t>126986201156</t>
  </si>
  <si>
    <t>126428827067</t>
  </si>
  <si>
    <t>Transferencia recibida Sergio Luis Bonnin</t>
  </si>
  <si>
    <t>126986375372</t>
  </si>
  <si>
    <t>126986728354</t>
  </si>
  <si>
    <t>126429190877</t>
  </si>
  <si>
    <t>126986973700</t>
  </si>
  <si>
    <t>126987554710</t>
  </si>
  <si>
    <t>21-09-2025</t>
  </si>
  <si>
    <t>126430310225</t>
  </si>
  <si>
    <t>126430431329</t>
  </si>
  <si>
    <t>126988152896</t>
  </si>
  <si>
    <t>126430926107</t>
  </si>
  <si>
    <t>126430980121</t>
  </si>
  <si>
    <t>126988634112</t>
  </si>
  <si>
    <t>126431285979</t>
  </si>
  <si>
    <t>126431466333</t>
  </si>
  <si>
    <t>126432046519</t>
  </si>
  <si>
    <t>126432682049</t>
  </si>
  <si>
    <t>126990295636</t>
  </si>
  <si>
    <t>126990455038</t>
  </si>
  <si>
    <t>126990463684</t>
  </si>
  <si>
    <t>126433454335</t>
  </si>
  <si>
    <t>126991162222</t>
  </si>
  <si>
    <t>Transferencia recibida Odontólogo Dri Iván</t>
  </si>
  <si>
    <t>126433503641</t>
  </si>
  <si>
    <t>126991147208</t>
  </si>
  <si>
    <t>126433647229</t>
  </si>
  <si>
    <t>126991562026</t>
  </si>
  <si>
    <t>Transferencia recibida Marcos Javier Acosta</t>
  </si>
  <si>
    <t>126991676568</t>
  </si>
  <si>
    <t>126434616539</t>
  </si>
  <si>
    <t>126434588095</t>
  </si>
  <si>
    <t>126992251400</t>
  </si>
  <si>
    <t>Transferencia recibida Paula Dabadia</t>
  </si>
  <si>
    <t>126992294948</t>
  </si>
  <si>
    <t>126992434810</t>
  </si>
  <si>
    <t>126992555472</t>
  </si>
  <si>
    <t>126992591204</t>
  </si>
  <si>
    <t>126435168221</t>
  </si>
  <si>
    <t>126992667842</t>
  </si>
  <si>
    <t>126992767926</t>
  </si>
  <si>
    <t>126992956554</t>
  </si>
  <si>
    <t>126435878863</t>
  </si>
  <si>
    <t>126435881501</t>
  </si>
  <si>
    <t>126435988375</t>
  </si>
  <si>
    <t>126436273079</t>
  </si>
  <si>
    <t>Transferencia recibida Sebastian Nicolas Pino</t>
  </si>
  <si>
    <t>126993731584</t>
  </si>
  <si>
    <t>126993816968</t>
  </si>
  <si>
    <t>126993923076</t>
  </si>
  <si>
    <t>126436481429</t>
  </si>
  <si>
    <t>126436687071</t>
  </si>
  <si>
    <t>126436885759</t>
  </si>
  <si>
    <t>126437258399</t>
  </si>
  <si>
    <t>126994713226</t>
  </si>
  <si>
    <t>126994733000</t>
  </si>
  <si>
    <t>126994702036</t>
  </si>
  <si>
    <t>126994834838</t>
  </si>
  <si>
    <t>126994860808</t>
  </si>
  <si>
    <t>126994870920</t>
  </si>
  <si>
    <t>126995028620</t>
  </si>
  <si>
    <t>126498711815</t>
  </si>
  <si>
    <t>126499013865</t>
  </si>
  <si>
    <t>127057252498</t>
  </si>
  <si>
    <t>126501121485</t>
  </si>
  <si>
    <t>126502326417</t>
  </si>
  <si>
    <t>127060015374</t>
  </si>
  <si>
    <t>127064546278</t>
  </si>
  <si>
    <t>126508269011</t>
  </si>
  <si>
    <t>127066369438</t>
  </si>
  <si>
    <t>126509739927</t>
  </si>
  <si>
    <t>126510073927</t>
  </si>
  <si>
    <t>Compra de Butter Roller Enmantecadora Pan Manteca Smash Hamburguesas Gris Acero Me...</t>
  </si>
  <si>
    <t>127068860180</t>
  </si>
  <si>
    <t>126511461547</t>
  </si>
  <si>
    <t>126511948803</t>
  </si>
  <si>
    <t>126512641065</t>
  </si>
  <si>
    <t>127070575668</t>
  </si>
  <si>
    <t>126514090825</t>
  </si>
  <si>
    <t>126515332807</t>
  </si>
  <si>
    <t>127072983012</t>
  </si>
  <si>
    <t>126515369669</t>
  </si>
  <si>
    <t>127073051828</t>
  </si>
  <si>
    <t>127073157830</t>
  </si>
  <si>
    <t>126517327301</t>
  </si>
  <si>
    <t>Transferencia recibida Gabriela Gisela Carelli</t>
  </si>
  <si>
    <t>126517378719</t>
  </si>
  <si>
    <t>127075428606</t>
  </si>
  <si>
    <t>Transferencia recibida Lautaro Morales</t>
  </si>
  <si>
    <t>126517605135</t>
  </si>
  <si>
    <t>127076367736</t>
  </si>
  <si>
    <t>22-09-2025</t>
  </si>
  <si>
    <t>Transferencia enviada Gustavo Eugenio Gatter</t>
  </si>
  <si>
    <t>126554909927</t>
  </si>
  <si>
    <t>127113049188</t>
  </si>
  <si>
    <t>126555295449</t>
  </si>
  <si>
    <t>126557190161</t>
  </si>
  <si>
    <t>127115178752</t>
  </si>
  <si>
    <t>126558339359</t>
  </si>
  <si>
    <t>126561112907</t>
  </si>
  <si>
    <t>126562288511</t>
  </si>
  <si>
    <t>127124821744</t>
  </si>
  <si>
    <t>127126561178</t>
  </si>
  <si>
    <t>127126683578</t>
  </si>
  <si>
    <t>Transferencia enviada NATALIA ELIZABETH BALBUENA</t>
  </si>
  <si>
    <t>126569211701</t>
  </si>
  <si>
    <t>127135771494</t>
  </si>
  <si>
    <t>127137463700</t>
  </si>
  <si>
    <t>23-09-2025</t>
  </si>
  <si>
    <t>126674991801</t>
  </si>
  <si>
    <t>Compra de Kit Medidor Eléctrico Trifásico Wifi Hasta 80a Powermeter Mercado Libre...</t>
  </si>
  <si>
    <t>126684826955</t>
  </si>
  <si>
    <t>24-09-2025</t>
  </si>
  <si>
    <t>127363517828</t>
  </si>
  <si>
    <t>127365725240</t>
  </si>
  <si>
    <t>126870127477</t>
  </si>
  <si>
    <t>126870455355</t>
  </si>
  <si>
    <t>126876188659</t>
  </si>
  <si>
    <t>126879032923</t>
  </si>
  <si>
    <t>126879534625</t>
  </si>
  <si>
    <t>126885640855</t>
  </si>
  <si>
    <t>127446508562</t>
  </si>
  <si>
    <t>126886865607</t>
  </si>
  <si>
    <t>126887451621</t>
  </si>
  <si>
    <t>126887615459</t>
  </si>
  <si>
    <t>127448024726</t>
  </si>
  <si>
    <t>127448262384</t>
  </si>
  <si>
    <t>Transferencia recibida Pedro Sebastian Gonzalez Uruzula</t>
  </si>
  <si>
    <t>127448143966</t>
  </si>
  <si>
    <t>25-09-2025</t>
  </si>
  <si>
    <t>126890006531</t>
  </si>
  <si>
    <t>127450599184</t>
  </si>
  <si>
    <t>127451720802</t>
  </si>
  <si>
    <t>126932959003</t>
  </si>
  <si>
    <t>126987851295</t>
  </si>
  <si>
    <t>127551863294</t>
  </si>
  <si>
    <t>126992616729</t>
  </si>
  <si>
    <t>126993096283</t>
  </si>
  <si>
    <t>126995125095</t>
  </si>
  <si>
    <t>127558376292</t>
  </si>
  <si>
    <t>126997229679</t>
  </si>
  <si>
    <t>127559378722</t>
  </si>
  <si>
    <t>Transferencia recibida Marisol Agustina Horn</t>
  </si>
  <si>
    <t>126998023247</t>
  </si>
  <si>
    <t>126998588149</t>
  </si>
  <si>
    <t>127560080358</t>
  </si>
  <si>
    <t>126999420385</t>
  </si>
  <si>
    <t>127000155083</t>
  </si>
  <si>
    <t>127562689912</t>
  </si>
  <si>
    <t>Transferencia recibida Santiago Daniel Viollaz</t>
  </si>
  <si>
    <t>127562966336</t>
  </si>
  <si>
    <t>127562889506</t>
  </si>
  <si>
    <t>127562995342</t>
  </si>
  <si>
    <t>127563396870</t>
  </si>
  <si>
    <t>127563642228</t>
  </si>
  <si>
    <t>127002660243</t>
  </si>
  <si>
    <t>127002777527</t>
  </si>
  <si>
    <t>127003432415</t>
  </si>
  <si>
    <t>Transferencia recibida Kiosco Gabii</t>
  </si>
  <si>
    <t>127003299949</t>
  </si>
  <si>
    <t>127564523660</t>
  </si>
  <si>
    <t>127564884982</t>
  </si>
  <si>
    <t>127003793721</t>
  </si>
  <si>
    <t>127004006243</t>
  </si>
  <si>
    <t>127004301425</t>
  </si>
  <si>
    <t>127565988078</t>
  </si>
  <si>
    <t>127005216387</t>
  </si>
  <si>
    <t>127005490421</t>
  </si>
  <si>
    <t>127005540781</t>
  </si>
  <si>
    <t>127006095161</t>
  </si>
  <si>
    <t>Transferencia recibida Camila Josefina Cozzi</t>
  </si>
  <si>
    <t>127567163882</t>
  </si>
  <si>
    <t>127567646980</t>
  </si>
  <si>
    <t>127007093447</t>
  </si>
  <si>
    <t>127007204939</t>
  </si>
  <si>
    <t>127568624334</t>
  </si>
  <si>
    <t>127568666708</t>
  </si>
  <si>
    <t>127007460091</t>
  </si>
  <si>
    <t>127568769746</t>
  </si>
  <si>
    <t>127568899816</t>
  </si>
  <si>
    <t>127007619411</t>
  </si>
  <si>
    <t>127007916917</t>
  </si>
  <si>
    <t>127569343110</t>
  </si>
  <si>
    <t>127569643602</t>
  </si>
  <si>
    <t>Transferencia recibida Silvana Paola Domanico</t>
  </si>
  <si>
    <t>127569760408</t>
  </si>
  <si>
    <t>127569711396</t>
  </si>
  <si>
    <t>127569878656</t>
  </si>
  <si>
    <t>127008737071</t>
  </si>
  <si>
    <t>127570168514</t>
  </si>
  <si>
    <t>127570530222</t>
  </si>
  <si>
    <t>26-09-2025</t>
  </si>
  <si>
    <t>127009741659</t>
  </si>
  <si>
    <t>127571110712</t>
  </si>
  <si>
    <t>127009987447</t>
  </si>
  <si>
    <t>127010232283</t>
  </si>
  <si>
    <t>127010025919</t>
  </si>
  <si>
    <t>127010211831</t>
  </si>
  <si>
    <t>127571538018</t>
  </si>
  <si>
    <t>127572103516</t>
  </si>
  <si>
    <t>Transferencia recibida Santino Loker</t>
  </si>
  <si>
    <t>127572204974</t>
  </si>
  <si>
    <t>127572308076</t>
  </si>
  <si>
    <t>127010996009</t>
  </si>
  <si>
    <t>127011203685</t>
  </si>
  <si>
    <t>127572489702</t>
  </si>
  <si>
    <t>127572547690</t>
  </si>
  <si>
    <t>127572677794</t>
  </si>
  <si>
    <t>127572984226</t>
  </si>
  <si>
    <t>127573121230</t>
  </si>
  <si>
    <t>127573266632</t>
  </si>
  <si>
    <t>127573233874</t>
  </si>
  <si>
    <t>127573340062</t>
  </si>
  <si>
    <t>127012562167</t>
  </si>
  <si>
    <t>127573927294</t>
  </si>
  <si>
    <t>127574467208</t>
  </si>
  <si>
    <t>Transferencia recibida Milagros Macarena Bosch</t>
  </si>
  <si>
    <t>127574413546</t>
  </si>
  <si>
    <t>127574484086</t>
  </si>
  <si>
    <t>Transferencia recibida Benjamín Villaud</t>
  </si>
  <si>
    <t>127574595412</t>
  </si>
  <si>
    <t>127574760394</t>
  </si>
  <si>
    <t>127013820395</t>
  </si>
  <si>
    <t>127575063154</t>
  </si>
  <si>
    <t>127575157346</t>
  </si>
  <si>
    <t>127575113918</t>
  </si>
  <si>
    <t>127013893873</t>
  </si>
  <si>
    <t>127014134823</t>
  </si>
  <si>
    <t>127575489108</t>
  </si>
  <si>
    <t>127575732242</t>
  </si>
  <si>
    <t>127575709104</t>
  </si>
  <si>
    <t>127576498344</t>
  </si>
  <si>
    <t>127576327400</t>
  </si>
  <si>
    <t>127576590324</t>
  </si>
  <si>
    <t>127576545044</t>
  </si>
  <si>
    <t>127576557502</t>
  </si>
  <si>
    <t>127015620133</t>
  </si>
  <si>
    <t>127015403685</t>
  </si>
  <si>
    <t>127015646835</t>
  </si>
  <si>
    <t>127576831188</t>
  </si>
  <si>
    <t>127015860511</t>
  </si>
  <si>
    <t>127015606063</t>
  </si>
  <si>
    <t>127610741100</t>
  </si>
  <si>
    <t>Transferencia enviada COMERCIAL RIGGIO SA</t>
  </si>
  <si>
    <t>127087676739</t>
  </si>
  <si>
    <t>127679194174</t>
  </si>
  <si>
    <t>127679388200</t>
  </si>
  <si>
    <t>127680169218</t>
  </si>
  <si>
    <t>127680295528</t>
  </si>
  <si>
    <t>127682236964</t>
  </si>
  <si>
    <t>127685431266</t>
  </si>
  <si>
    <t>127685463730</t>
  </si>
  <si>
    <t>127686983606</t>
  </si>
  <si>
    <t>127687107476</t>
  </si>
  <si>
    <t>127126712461</t>
  </si>
  <si>
    <t>127688724722</t>
  </si>
  <si>
    <t>127127545649</t>
  </si>
  <si>
    <t>127130305985</t>
  </si>
  <si>
    <t>127691820066</t>
  </si>
  <si>
    <t>127130788563</t>
  </si>
  <si>
    <t>127692414538</t>
  </si>
  <si>
    <t>127692795340</t>
  </si>
  <si>
    <t>127132014539</t>
  </si>
  <si>
    <t>127132281045</t>
  </si>
  <si>
    <t>127132211439</t>
  </si>
  <si>
    <t>127693996562</t>
  </si>
  <si>
    <t>127694077596</t>
  </si>
  <si>
    <t>127694163582</t>
  </si>
  <si>
    <t>Transferencia recibida Lucas Schanton</t>
  </si>
  <si>
    <t>127694197476</t>
  </si>
  <si>
    <t>127694198004</t>
  </si>
  <si>
    <t>Transferencia recibida Agustin Fernando Loupias</t>
  </si>
  <si>
    <t>127132666919</t>
  </si>
  <si>
    <t>127696845350</t>
  </si>
  <si>
    <t>127696927036</t>
  </si>
  <si>
    <t>127697127812</t>
  </si>
  <si>
    <t>127135874547</t>
  </si>
  <si>
    <t>127135739949</t>
  </si>
  <si>
    <t>Transferencia recibida Manuel Sebastian Castel</t>
  </si>
  <si>
    <t>127135807619</t>
  </si>
  <si>
    <t>127697846676</t>
  </si>
  <si>
    <t>127698564448</t>
  </si>
  <si>
    <t>127137102327</t>
  </si>
  <si>
    <t>127137188773</t>
  </si>
  <si>
    <t>127699173378</t>
  </si>
  <si>
    <t>127699484268</t>
  </si>
  <si>
    <t>127138460989</t>
  </si>
  <si>
    <t>127138622917</t>
  </si>
  <si>
    <t>127138754811</t>
  </si>
  <si>
    <t>127138858083</t>
  </si>
  <si>
    <t>27-09-2025</t>
  </si>
  <si>
    <t>127702181460</t>
  </si>
  <si>
    <t>127702622786</t>
  </si>
  <si>
    <t>127702629144</t>
  </si>
  <si>
    <t>127141531181</t>
  </si>
  <si>
    <t>127141616145</t>
  </si>
  <si>
    <t>127141798509</t>
  </si>
  <si>
    <t>127703776340</t>
  </si>
  <si>
    <t>127141989725</t>
  </si>
  <si>
    <t>127142199177</t>
  </si>
  <si>
    <t>127142183777</t>
  </si>
  <si>
    <t>127142483797</t>
  </si>
  <si>
    <t>127704640858</t>
  </si>
  <si>
    <t>Transferencia recibida Nicole Protto</t>
  </si>
  <si>
    <t>127142975449</t>
  </si>
  <si>
    <t>127704837868</t>
  </si>
  <si>
    <t>Transferencia recibida Hugo Alfredo Vinzon</t>
  </si>
  <si>
    <t>127143653663</t>
  </si>
  <si>
    <t>127705296188</t>
  </si>
  <si>
    <t>127705207416</t>
  </si>
  <si>
    <t>127143767515</t>
  </si>
  <si>
    <t>127705564586</t>
  </si>
  <si>
    <t>127143969217</t>
  </si>
  <si>
    <t>127144387259</t>
  </si>
  <si>
    <t>127144478587</t>
  </si>
  <si>
    <t>Transferencia recibida Paola Galarraga</t>
  </si>
  <si>
    <t>127144500403</t>
  </si>
  <si>
    <t>127144733153</t>
  </si>
  <si>
    <t>127145169313</t>
  </si>
  <si>
    <t>Transferencia recibida Micaela Bonelli</t>
  </si>
  <si>
    <t>127145157389</t>
  </si>
  <si>
    <t>127145306205</t>
  </si>
  <si>
    <t>127145410663</t>
  </si>
  <si>
    <t>127707143532</t>
  </si>
  <si>
    <t>127707316320</t>
  </si>
  <si>
    <t>127707273290</t>
  </si>
  <si>
    <t>127724094526</t>
  </si>
  <si>
    <t>127161961407</t>
  </si>
  <si>
    <t>127162354947</t>
  </si>
  <si>
    <t>127163022479</t>
  </si>
  <si>
    <t>127220230833</t>
  </si>
  <si>
    <t>127785471812</t>
  </si>
  <si>
    <t>Transferencia recibida Joaquin Manuel Colliard</t>
  </si>
  <si>
    <t>127785493518</t>
  </si>
  <si>
    <t>127787969538</t>
  </si>
  <si>
    <t>127788429684</t>
  </si>
  <si>
    <t>Transferencia recibida Iván Bianchi Fallet</t>
  </si>
  <si>
    <t>127226319261</t>
  </si>
  <si>
    <t>127789821032</t>
  </si>
  <si>
    <t>127228416533</t>
  </si>
  <si>
    <t>127228393663</t>
  </si>
  <si>
    <t>127229216263</t>
  </si>
  <si>
    <t>127791466702</t>
  </si>
  <si>
    <t>127792154848</t>
  </si>
  <si>
    <t>127231821275</t>
  </si>
  <si>
    <t>127794328414</t>
  </si>
  <si>
    <t>127794377100</t>
  </si>
  <si>
    <t>127233151759</t>
  </si>
  <si>
    <t>127233936785</t>
  </si>
  <si>
    <t>127234256045</t>
  </si>
  <si>
    <t>127796618374</t>
  </si>
  <si>
    <t>127234704203</t>
  </si>
  <si>
    <t>Transferencia recibida Maria Laura Pilepich</t>
  </si>
  <si>
    <t>127234688415</t>
  </si>
  <si>
    <t>127799026568</t>
  </si>
  <si>
    <t>127238351915</t>
  </si>
  <si>
    <t>127238466519</t>
  </si>
  <si>
    <t>127800943318</t>
  </si>
  <si>
    <t>127239227751</t>
  </si>
  <si>
    <t>127239351455</t>
  </si>
  <si>
    <t>127239518551</t>
  </si>
  <si>
    <t>127239890865</t>
  </si>
  <si>
    <t>127802564664</t>
  </si>
  <si>
    <t>127803309066</t>
  </si>
  <si>
    <t>127241451265</t>
  </si>
  <si>
    <t>Transferencia recibida Juan Carlos Serra</t>
  </si>
  <si>
    <t>127803560186</t>
  </si>
  <si>
    <t>127803525440</t>
  </si>
  <si>
    <t>Transferencia recibida Sergio Daniel Gareca</t>
  </si>
  <si>
    <t>127803499794</t>
  </si>
  <si>
    <t>127242722135</t>
  </si>
  <si>
    <t>127242782269</t>
  </si>
  <si>
    <t>127804919688</t>
  </si>
  <si>
    <t>Transferencia recibida Gabriel Alejandro Gauna</t>
  </si>
  <si>
    <t>127242751977</t>
  </si>
  <si>
    <t>127242950363</t>
  </si>
  <si>
    <t>127243294621</t>
  </si>
  <si>
    <t>127243983795</t>
  </si>
  <si>
    <t>127806240328</t>
  </si>
  <si>
    <t>127806286920</t>
  </si>
  <si>
    <t>127806313302</t>
  </si>
  <si>
    <t>127244912805</t>
  </si>
  <si>
    <t>127807055040</t>
  </si>
  <si>
    <t>127807178114</t>
  </si>
  <si>
    <t>127245029875</t>
  </si>
  <si>
    <t>127807303014</t>
  </si>
  <si>
    <t>127807371108</t>
  </si>
  <si>
    <t>28-09-2025</t>
  </si>
  <si>
    <t>127245659321</t>
  </si>
  <si>
    <t>127807611922</t>
  </si>
  <si>
    <t>127246033175</t>
  </si>
  <si>
    <t>127808394028</t>
  </si>
  <si>
    <t>127246970897</t>
  </si>
  <si>
    <t>127246949555</t>
  </si>
  <si>
    <t>127247017257</t>
  </si>
  <si>
    <t>127247172953</t>
  </si>
  <si>
    <t>127809109126</t>
  </si>
  <si>
    <t>127809918652</t>
  </si>
  <si>
    <t>127810129960</t>
  </si>
  <si>
    <t>127248087839</t>
  </si>
  <si>
    <t>127810283682</t>
  </si>
  <si>
    <t>127810531122</t>
  </si>
  <si>
    <t>127248587365</t>
  </si>
  <si>
    <t>127810660446</t>
  </si>
  <si>
    <t>127810601972</t>
  </si>
  <si>
    <t>Transferencia recibida Matias Peralta</t>
  </si>
  <si>
    <t>127810671348</t>
  </si>
  <si>
    <t>127248792915</t>
  </si>
  <si>
    <t>127810724012</t>
  </si>
  <si>
    <t>127248897113</t>
  </si>
  <si>
    <t>127248937077</t>
  </si>
  <si>
    <t>127811071464</t>
  </si>
  <si>
    <t>127811111728</t>
  </si>
  <si>
    <t>127811226742</t>
  </si>
  <si>
    <t>127811499056</t>
  </si>
  <si>
    <t>127250134163</t>
  </si>
  <si>
    <t>127812138404</t>
  </si>
  <si>
    <t>Transferencia recibida Rodrigo Lorenzo Cruz</t>
  </si>
  <si>
    <t>127250089189</t>
  </si>
  <si>
    <t>127250308065</t>
  </si>
  <si>
    <t>127812503352</t>
  </si>
  <si>
    <t>127812707210</t>
  </si>
  <si>
    <t>127812796320</t>
  </si>
  <si>
    <t>127251212637</t>
  </si>
  <si>
    <t>127813504204</t>
  </si>
  <si>
    <t>127813395904</t>
  </si>
  <si>
    <t>Transferencia recibida Andres Quintar Riboli</t>
  </si>
  <si>
    <t>127813504838</t>
  </si>
  <si>
    <t>127251614945</t>
  </si>
  <si>
    <t>127251757799</t>
  </si>
  <si>
    <t>127813895138</t>
  </si>
  <si>
    <t>127813946890</t>
  </si>
  <si>
    <t>Transferencia recibida Luciano Rafael Petroni</t>
  </si>
  <si>
    <t>127251920723</t>
  </si>
  <si>
    <t>127813968884</t>
  </si>
  <si>
    <t>127814011646</t>
  </si>
  <si>
    <t>127814092122</t>
  </si>
  <si>
    <t>127252116403</t>
  </si>
  <si>
    <t>127252236479</t>
  </si>
  <si>
    <t>127814176098</t>
  </si>
  <si>
    <t>Transferencia recibida Leonela Lujan Peralta</t>
  </si>
  <si>
    <t>127252239517</t>
  </si>
  <si>
    <t>127814289146</t>
  </si>
  <si>
    <t>127252261571</t>
  </si>
  <si>
    <t>127870626052</t>
  </si>
  <si>
    <t>127873552906</t>
  </si>
  <si>
    <t>127876039514</t>
  </si>
  <si>
    <t>Transferencia recibida Guillermo Fabian Ducret Leturia</t>
  </si>
  <si>
    <t>127876057264</t>
  </si>
  <si>
    <t>127315514443</t>
  </si>
  <si>
    <t>127878828956</t>
  </si>
  <si>
    <t>127317375181</t>
  </si>
  <si>
    <t>127880430416</t>
  </si>
  <si>
    <t>127317995411</t>
  </si>
  <si>
    <t>127880854096</t>
  </si>
  <si>
    <t>127881631044</t>
  </si>
  <si>
    <t>127319553663</t>
  </si>
  <si>
    <t>127319914109</t>
  </si>
  <si>
    <t>127321523307</t>
  </si>
  <si>
    <t>127321838171</t>
  </si>
  <si>
    <t>127886300768</t>
  </si>
  <si>
    <t>Transferencia recibida Carla Stefania Ramos</t>
  </si>
  <si>
    <t>127323985443</t>
  </si>
  <si>
    <t>127886596694</t>
  </si>
  <si>
    <t>127886777148</t>
  </si>
  <si>
    <t>127324806483</t>
  </si>
  <si>
    <t>Transferencia recibida Rodolfo Agustin Diaz Piriz</t>
  </si>
  <si>
    <t>127887318326</t>
  </si>
  <si>
    <t>127887369754</t>
  </si>
  <si>
    <t>127887531604</t>
  </si>
  <si>
    <t>127327134359</t>
  </si>
  <si>
    <t>127890550192</t>
  </si>
  <si>
    <t>127328690661</t>
  </si>
  <si>
    <t>127891287160</t>
  </si>
  <si>
    <t>127328855521</t>
  </si>
  <si>
    <t>127329293865</t>
  </si>
  <si>
    <t>127891727240</t>
  </si>
  <si>
    <t>127329483271</t>
  </si>
  <si>
    <t>127891938390</t>
  </si>
  <si>
    <t>127329669179</t>
  </si>
  <si>
    <t>127330733001</t>
  </si>
  <si>
    <t>127893248554</t>
  </si>
  <si>
    <t>127330998645</t>
  </si>
  <si>
    <t>127331234613</t>
  </si>
  <si>
    <t>Transferencia recibida Joaquin Klug</t>
  </si>
  <si>
    <t>127331112049</t>
  </si>
  <si>
    <t>127331380259</t>
  </si>
  <si>
    <t>127331363373</t>
  </si>
  <si>
    <t>Transferencia recibida Malena Guadalupe Rodriguez Traverso</t>
  </si>
  <si>
    <t>127331388995</t>
  </si>
  <si>
    <t>127331361971</t>
  </si>
  <si>
    <t>127894050264</t>
  </si>
  <si>
    <t>29-09-2025</t>
  </si>
  <si>
    <t>127894055512</t>
  </si>
  <si>
    <t>127894447792</t>
  </si>
  <si>
    <t>127894737706</t>
  </si>
  <si>
    <t>127332392351</t>
  </si>
  <si>
    <t>127894833394</t>
  </si>
  <si>
    <t>127332484489</t>
  </si>
  <si>
    <t>127894879810</t>
  </si>
  <si>
    <t>127332445685</t>
  </si>
  <si>
    <t>127895243454</t>
  </si>
  <si>
    <t>127895360758</t>
  </si>
  <si>
    <t>127895269884</t>
  </si>
  <si>
    <t>127333073127</t>
  </si>
  <si>
    <t>127895917768</t>
  </si>
  <si>
    <t>127334214297</t>
  </si>
  <si>
    <t>127334292265</t>
  </si>
  <si>
    <t>Transferencia recibida Sofia Ayelen Debrabandere</t>
  </si>
  <si>
    <t>127896570932</t>
  </si>
  <si>
    <t>127334832777</t>
  </si>
  <si>
    <t>127897506320</t>
  </si>
  <si>
    <t>127898260894</t>
  </si>
  <si>
    <t>Transferencia recibida Candela Schauman</t>
  </si>
  <si>
    <t>127335749687</t>
  </si>
  <si>
    <t>127898519072</t>
  </si>
  <si>
    <t>127898594082</t>
  </si>
  <si>
    <t>127934358644</t>
  </si>
  <si>
    <t>127934684742</t>
  </si>
  <si>
    <t>Compra Mercado Libre</t>
  </si>
  <si>
    <t>127373245459</t>
  </si>
  <si>
    <t>127373558177</t>
  </si>
  <si>
    <t>30-09-2025</t>
  </si>
  <si>
    <t>128057195334</t>
  </si>
  <si>
    <t>127493738443</t>
  </si>
  <si>
    <t>128058002836</t>
  </si>
  <si>
    <t>128059423494</t>
  </si>
  <si>
    <t>128067663200</t>
  </si>
  <si>
    <t>Etiquetas de fila</t>
  </si>
  <si>
    <t>Total general</t>
  </si>
  <si>
    <t>Suma de TRANSACTION_NET_AMOUNT</t>
  </si>
  <si>
    <t>COBRO DS X VENTA</t>
  </si>
  <si>
    <t>PAGO PROVEEDORES</t>
  </si>
  <si>
    <t xml:space="preserve">VER SI HAY COMPRA </t>
  </si>
  <si>
    <t>VER SI CONCILIA CON IMPUESTOS</t>
  </si>
  <si>
    <t xml:space="preserve">VER QUE ES </t>
  </si>
  <si>
    <t>CERVEZA TRACTOR</t>
  </si>
  <si>
    <t xml:space="preserve">CAJA </t>
  </si>
  <si>
    <t xml:space="preserve">Contab. </t>
  </si>
  <si>
    <t xml:space="preserve">Corresponde IDyC ya contabilizados globalmente </t>
  </si>
  <si>
    <t>ASIENTO 71</t>
  </si>
  <si>
    <t>ASIENTO 72</t>
  </si>
  <si>
    <t>ASIENTO 73</t>
  </si>
  <si>
    <t>Va a proveedores / Hay facturas</t>
  </si>
  <si>
    <t>Percepción factura MP + IDyC (contab. Globalmente)</t>
  </si>
  <si>
    <t xml:space="preserve">BRODE </t>
  </si>
  <si>
    <t>PROVEEDORES / Brode Hermanos x $89279,95 + IDyC (contabilizado globalmente)</t>
  </si>
  <si>
    <t>MENDEZ DAMIAN RAFAEL</t>
  </si>
  <si>
    <t>ELITRONIC ELITE ARGENTINA SA</t>
  </si>
  <si>
    <t xml:space="preserve">SEGOVIA JUAN RAFAEL </t>
  </si>
  <si>
    <t>POWERMETER SAS</t>
  </si>
  <si>
    <t>EVENFLOW</t>
  </si>
  <si>
    <t>NOY TOMAS AGUSTIN</t>
  </si>
  <si>
    <t>SEGOVIA JUAN RAFAEL X $177998</t>
  </si>
  <si>
    <t>NOY TOMAS AGUSTIN x $103014</t>
  </si>
  <si>
    <t>ELITRONIC ELITE ARGENTINA SA x $438222</t>
  </si>
  <si>
    <t>POWERMETER SAS x $249860,60</t>
  </si>
  <si>
    <t>MENDEZ DAMIAN RAFAEL x $37003</t>
  </si>
  <si>
    <t>EVENFLOW x $258381</t>
  </si>
  <si>
    <t>Reporte-Retención-Impuesto-sobre-los-Créditos-y-Débitos-Septiembre-CC20250609171159-MercadoPago</t>
  </si>
  <si>
    <t>Usuario:</t>
  </si>
  <si>
    <t>CC20250609171159</t>
  </si>
  <si>
    <t>Impuesto:</t>
  </si>
  <si>
    <t>Impuesto sobre los Créditos y Débitos</t>
  </si>
  <si>
    <t>Fecha de descarga:</t>
  </si>
  <si>
    <t>18/03/2026</t>
  </si>
  <si>
    <t>Intervalo de fechas consultadas:</t>
  </si>
  <si>
    <t>01/09/2025 a 01/10/2025</t>
  </si>
  <si>
    <t>Total</t>
  </si>
  <si>
    <t>Monto</t>
  </si>
  <si>
    <t>Base imponible</t>
  </si>
  <si>
    <t>$67.169.289,38</t>
  </si>
  <si>
    <t>Importe retenido</t>
  </si>
  <si>
    <t>$403.015,73</t>
  </si>
  <si>
    <t>Importe devuelto</t>
  </si>
  <si>
    <t>$480,00</t>
  </si>
  <si>
    <t>Encuentra los movimientos de dinero en tu cuenta de Mercado Pago, en informes de balance.</t>
  </si>
  <si>
    <t>Este impuesto se aplica cada vez que hagas operaciones con terceros.</t>
  </si>
  <si>
    <t>Operación</t>
  </si>
  <si>
    <t>Impuesto</t>
  </si>
  <si>
    <t>Número de venta - Referencia externa</t>
  </si>
  <si>
    <t>Fecha de operación</t>
  </si>
  <si>
    <t>Tipo</t>
  </si>
  <si>
    <t>Número de operación</t>
  </si>
  <si>
    <t>Fecha de retención</t>
  </si>
  <si>
    <t>Alícuota</t>
  </si>
  <si>
    <t>Podrás conciliar la información con otros reportes 
de Mercado Libre.</t>
  </si>
  <si>
    <t>Podrás buscar el detalle de lo retenido 
en tu operación en la sección Actividad.</t>
  </si>
  <si>
    <t>31/08/2025</t>
  </si>
  <si>
    <t>Transacción</t>
  </si>
  <si>
    <t>01/09/2025</t>
  </si>
  <si>
    <t>0,60 %</t>
  </si>
  <si>
    <t>tips-124407346652</t>
  </si>
  <si>
    <t>0005biaiaj</t>
  </si>
  <si>
    <t>0005b9gkza</t>
  </si>
  <si>
    <t>02/09/2025</t>
  </si>
  <si>
    <t>0005c7ks8r</t>
  </si>
  <si>
    <t>03/09/2025</t>
  </si>
  <si>
    <t>0005cngcpo</t>
  </si>
  <si>
    <t>Venta presencial</t>
  </si>
  <si>
    <t>tips-124236889607</t>
  </si>
  <si>
    <t>04/09/2025</t>
  </si>
  <si>
    <t>tips-124797394520</t>
  </si>
  <si>
    <t>tips-124798439032</t>
  </si>
  <si>
    <t>0005dpfztp</t>
  </si>
  <si>
    <t>tips-124362593953</t>
  </si>
  <si>
    <t>tips-124909134908</t>
  </si>
  <si>
    <t>tips-124926894128</t>
  </si>
  <si>
    <t>tips-124386853415</t>
  </si>
  <si>
    <t>05/09/2025</t>
  </si>
  <si>
    <t>tips-124382131027</t>
  </si>
  <si>
    <t>tips-124388706943</t>
  </si>
  <si>
    <t>tips-124389369351</t>
  </si>
  <si>
    <t>tips-124389389493</t>
  </si>
  <si>
    <t>tips-124390277545</t>
  </si>
  <si>
    <t>tips-124934432228</t>
  </si>
  <si>
    <t>tips-124391938119</t>
  </si>
  <si>
    <t>0005ee99yy</t>
  </si>
  <si>
    <t>0005ehvi5k</t>
  </si>
  <si>
    <t>0005euzkqv</t>
  </si>
  <si>
    <t>tips-125074730376</t>
  </si>
  <si>
    <t>tips-124531770681</t>
  </si>
  <si>
    <t>tips-125085738014</t>
  </si>
  <si>
    <t>tips-125087841682</t>
  </si>
  <si>
    <t>06/09/2025</t>
  </si>
  <si>
    <t>tips-125088923310</t>
  </si>
  <si>
    <t>tips-125094162494</t>
  </si>
  <si>
    <t>Devolución</t>
  </si>
  <si>
    <t>tips-124546230277</t>
  </si>
  <si>
    <t>tips-124547797645</t>
  </si>
  <si>
    <t>tips-125095026648</t>
  </si>
  <si>
    <t>tips-125096109694</t>
  </si>
  <si>
    <t>tips-124550395343</t>
  </si>
  <si>
    <t>tips-124653835763</t>
  </si>
  <si>
    <t>tips-124657393069</t>
  </si>
  <si>
    <t>tips-125212465982</t>
  </si>
  <si>
    <t>tips-125214441310</t>
  </si>
  <si>
    <t>tips-125215388296</t>
  </si>
  <si>
    <t>07/09/2025</t>
  </si>
  <si>
    <t>tips-124670059343</t>
  </si>
  <si>
    <t>tips-125210591466</t>
  </si>
  <si>
    <t>tips-124671527545</t>
  </si>
  <si>
    <t>tips-124671860837</t>
  </si>
  <si>
    <t>tips-125219233532</t>
  </si>
  <si>
    <t>tips-124673905673</t>
  </si>
  <si>
    <t>tips-124754527205</t>
  </si>
  <si>
    <t>08/09/2025</t>
  </si>
  <si>
    <t>tips-124767314759</t>
  </si>
  <si>
    <t>tips-125311407008</t>
  </si>
  <si>
    <t>tips-125315557302</t>
  </si>
  <si>
    <t>0005gg34uy</t>
  </si>
  <si>
    <t>0005gf59ck</t>
  </si>
  <si>
    <t>0005goe46s</t>
  </si>
  <si>
    <t>09/09/2025</t>
  </si>
  <si>
    <t>10/09/2025</t>
  </si>
  <si>
    <t>tips-125712931478</t>
  </si>
  <si>
    <t>tips-125726680184</t>
  </si>
  <si>
    <t>tips-125174559711</t>
  </si>
  <si>
    <t>11/09/2025</t>
  </si>
  <si>
    <t>tips-125728223328</t>
  </si>
  <si>
    <t>tips-125729220164</t>
  </si>
  <si>
    <t>tips-125735896318</t>
  </si>
  <si>
    <t>tips-125182282317</t>
  </si>
  <si>
    <t>MELIPAYMENTS-COLLECTIONATTEMPT-24886498202025-09-05T12:39:59.662246973</t>
  </si>
  <si>
    <t>0005im3wp0</t>
  </si>
  <si>
    <t>tips-125734498538</t>
  </si>
  <si>
    <t>0005iqo0aw</t>
  </si>
  <si>
    <t>0005iqorrc</t>
  </si>
  <si>
    <t>0005iqwz32</t>
  </si>
  <si>
    <t>tips-125846766732</t>
  </si>
  <si>
    <t>tips-125852449818</t>
  </si>
  <si>
    <t>tips-125860218818</t>
  </si>
  <si>
    <t>tips-125858862480</t>
  </si>
  <si>
    <t>12/09/2025</t>
  </si>
  <si>
    <t>tips-125863448486</t>
  </si>
  <si>
    <t>tips-125322736611</t>
  </si>
  <si>
    <t>2000013021188432</t>
  </si>
  <si>
    <t>0005jpyf6g</t>
  </si>
  <si>
    <t>tips-125427741477</t>
  </si>
  <si>
    <t>tips-125449242459</t>
  </si>
  <si>
    <t>tips-125449622091</t>
  </si>
  <si>
    <t>tips-125449062915</t>
  </si>
  <si>
    <t>tips-125455496263</t>
  </si>
  <si>
    <t>13/09/2025</t>
  </si>
  <si>
    <t>tips-125458908029</t>
  </si>
  <si>
    <t>tips-126011115826</t>
  </si>
  <si>
    <t>tips-126012871060</t>
  </si>
  <si>
    <t>tips-125557181285</t>
  </si>
  <si>
    <t>14/09/2025</t>
  </si>
  <si>
    <t>tips-125565748807</t>
  </si>
  <si>
    <t>tips-125576351683</t>
  </si>
  <si>
    <t>tips-126121449144</t>
  </si>
  <si>
    <t>tips-126121826612</t>
  </si>
  <si>
    <t>tips-126131278306</t>
  </si>
  <si>
    <t>tips-126131480124</t>
  </si>
  <si>
    <t>tips-125573390505</t>
  </si>
  <si>
    <t>tips-125574552839</t>
  </si>
  <si>
    <t>tips-126128849374</t>
  </si>
  <si>
    <t>tips-125641694887</t>
  </si>
  <si>
    <t>tips-125647221653</t>
  </si>
  <si>
    <t>15/09/2025</t>
  </si>
  <si>
    <t>tips-126217984052</t>
  </si>
  <si>
    <t>0005lvmtr5</t>
  </si>
  <si>
    <t>0005lkj98i</t>
  </si>
  <si>
    <t>0005luq502</t>
  </si>
  <si>
    <t>0005m8tke5</t>
  </si>
  <si>
    <t>2000013050182002</t>
  </si>
  <si>
    <t>0005m9a2y5</t>
  </si>
  <si>
    <t>0005m7pxk9</t>
  </si>
  <si>
    <t>0005lw0dpk</t>
  </si>
  <si>
    <t>0005m67n96</t>
  </si>
  <si>
    <t>16/09/2025</t>
  </si>
  <si>
    <t>0005mogxo8</t>
  </si>
  <si>
    <t>17/09/2025</t>
  </si>
  <si>
    <t>18/09/2025</t>
  </si>
  <si>
    <t>0005omsjnt</t>
  </si>
  <si>
    <t>tips-126730400096</t>
  </si>
  <si>
    <t>tips-126177858555</t>
  </si>
  <si>
    <t>tips-126179218399</t>
  </si>
  <si>
    <t>19/09/2025</t>
  </si>
  <si>
    <t>tips-126735130040</t>
  </si>
  <si>
    <t>tips-126738655450</t>
  </si>
  <si>
    <t>0005oy7hni</t>
  </si>
  <si>
    <t>2000013102294852</t>
  </si>
  <si>
    <t>0005pela0x</t>
  </si>
  <si>
    <t>tips-126861716336</t>
  </si>
  <si>
    <t>20/09/2025</t>
  </si>
  <si>
    <t>tips-126320241659</t>
  </si>
  <si>
    <t>tips-126316225841</t>
  </si>
  <si>
    <t>tips-126418008273</t>
  </si>
  <si>
    <t>tips-126426033467</t>
  </si>
  <si>
    <t>tips-126418419939</t>
  </si>
  <si>
    <t>tips-126427840519</t>
  </si>
  <si>
    <t>tips-126428827067</t>
  </si>
  <si>
    <t>21/09/2025</t>
  </si>
  <si>
    <t>tips-126991562026</t>
  </si>
  <si>
    <t>tips-126427734197</t>
  </si>
  <si>
    <t>tips-126991162222</t>
  </si>
  <si>
    <t>tips-126992251400</t>
  </si>
  <si>
    <t>tips-126436273079</t>
  </si>
  <si>
    <t>2000013124665636</t>
  </si>
  <si>
    <t>0005qnt3cq</t>
  </si>
  <si>
    <t>tips-127075428606</t>
  </si>
  <si>
    <t>tips-126517327301</t>
  </si>
  <si>
    <t>22/09/2025</t>
  </si>
  <si>
    <t>0005qu0vg2</t>
  </si>
  <si>
    <t>0005r7u17t</t>
  </si>
  <si>
    <t>0005r82xzp</t>
  </si>
  <si>
    <t>0005qvo0z6</t>
  </si>
  <si>
    <t>0005qu1s4w</t>
  </si>
  <si>
    <t>0005r7e9s3</t>
  </si>
  <si>
    <t>0005r7slk1</t>
  </si>
  <si>
    <t>0005r8p3hp</t>
  </si>
  <si>
    <t>2000013129717722</t>
  </si>
  <si>
    <t>0005radh3f</t>
  </si>
  <si>
    <t>2000013129764356</t>
  </si>
  <si>
    <t>0005raepvt</t>
  </si>
  <si>
    <t>0005rcg7dv</t>
  </si>
  <si>
    <t>0005qzjuyw</t>
  </si>
  <si>
    <t>23/09/2025</t>
  </si>
  <si>
    <t>0005rigvjm</t>
  </si>
  <si>
    <t>2000013142041666</t>
  </si>
  <si>
    <t>0005rxw4ep</t>
  </si>
  <si>
    <t>24/09/2025</t>
  </si>
  <si>
    <t>tips-126887615459</t>
  </si>
  <si>
    <t>25/09/2025</t>
  </si>
  <si>
    <t>tips-127448262384</t>
  </si>
  <si>
    <t>tips-127559378722</t>
  </si>
  <si>
    <t>tips-127562689912</t>
  </si>
  <si>
    <t>tips-127006095161</t>
  </si>
  <si>
    <t>tips-127568899816</t>
  </si>
  <si>
    <t>tips-127569643602</t>
  </si>
  <si>
    <t>26/09/2025</t>
  </si>
  <si>
    <t>tips-127003432415</t>
  </si>
  <si>
    <t>tips-127572103516</t>
  </si>
  <si>
    <t>tips-127574484086</t>
  </si>
  <si>
    <t>tips-127574467208</t>
  </si>
  <si>
    <t>tips-127132281045</t>
  </si>
  <si>
    <t>tips-127135739949</t>
  </si>
  <si>
    <t>tips-127694163582</t>
  </si>
  <si>
    <t>tips-127694198004</t>
  </si>
  <si>
    <t>27/09/2025</t>
  </si>
  <si>
    <t>tips-127696845350</t>
  </si>
  <si>
    <t>tips-127144478587</t>
  </si>
  <si>
    <t>tips-127704640858</t>
  </si>
  <si>
    <t>tips-127705296188</t>
  </si>
  <si>
    <t>tips-127145169313</t>
  </si>
  <si>
    <t>tips-127785471812</t>
  </si>
  <si>
    <t>tips-127234704203</t>
  </si>
  <si>
    <t>tips-127788429684</t>
  </si>
  <si>
    <t>tips-127241451265</t>
  </si>
  <si>
    <t>28/09/2025</t>
  </si>
  <si>
    <t>tips-127810601972</t>
  </si>
  <si>
    <t>tips-127803525440</t>
  </si>
  <si>
    <t>tips-127813395904</t>
  </si>
  <si>
    <t>tips-127804919688</t>
  </si>
  <si>
    <t>tips-127814289146</t>
  </si>
  <si>
    <t>tips-127812138404</t>
  </si>
  <si>
    <t>tips-127813946890</t>
  </si>
  <si>
    <t>tips-127814176098</t>
  </si>
  <si>
    <t>tips-127876039514</t>
  </si>
  <si>
    <t>tips-127331363373</t>
  </si>
  <si>
    <t>29/09/2025</t>
  </si>
  <si>
    <t>tips-127886300768</t>
  </si>
  <si>
    <t>tips-127324806483</t>
  </si>
  <si>
    <t>tips-127898260894</t>
  </si>
  <si>
    <t>tips-127331234613</t>
  </si>
  <si>
    <t>tips-127334292265</t>
  </si>
  <si>
    <t>0005w2ela7</t>
  </si>
  <si>
    <t>0005w2gve9</t>
  </si>
  <si>
    <t>2000009383803911</t>
  </si>
  <si>
    <t>30/09/2025</t>
  </si>
  <si>
    <t>0005weow7a</t>
  </si>
  <si>
    <t>0005wesgte</t>
  </si>
  <si>
    <t>0005wf36va</t>
  </si>
  <si>
    <t>0005ws1mnt</t>
  </si>
  <si>
    <t>0005wh220u</t>
  </si>
  <si>
    <t>Reporte-Retención-SIRCUPA-Septiembre-CC20250609171159-MercadoPago</t>
  </si>
  <si>
    <t>Retención SIRCUPA</t>
  </si>
  <si>
    <t>$251.540,00</t>
  </si>
  <si>
    <t>Tramo 1 - retenido del 01/09 al 10/09</t>
  </si>
  <si>
    <t>$1.131,44</t>
  </si>
  <si>
    <t>Tramo 2 - retenido del 11/09 al 20/09</t>
  </si>
  <si>
    <t>$1.168,49</t>
  </si>
  <si>
    <t>Tramo 3 - retenido del 21/09 al 30/09</t>
  </si>
  <si>
    <t>$1.473,43</t>
  </si>
  <si>
    <t>$3.773,36</t>
  </si>
  <si>
    <t>$0,00</t>
  </si>
  <si>
    <t>Podrás utilizar este reporte para conciliar lo que retuvimos.</t>
  </si>
  <si>
    <t>Monto de transferencia</t>
  </si>
  <si>
    <t>Transferencia</t>
  </si>
  <si>
    <t>1,50 %</t>
  </si>
  <si>
    <t>Reporte-Retención-SIRTAC-inscripto-1ra-quincena-Septiembre-CC20250609171159-MercadoPago</t>
  </si>
  <si>
    <t>Retención SIRTAC</t>
  </si>
  <si>
    <t>01/09/2025 a 16/09/2025</t>
  </si>
  <si>
    <t>$17.466.793,99</t>
  </si>
  <si>
    <t>$174.667,94</t>
  </si>
  <si>
    <t>$800,00</t>
  </si>
  <si>
    <t>Venta</t>
  </si>
  <si>
    <t>1,00 %</t>
  </si>
  <si>
    <t>Fecha de actualización</t>
  </si>
  <si>
    <t>Sumamos nuevas columnas a tu reporte:
Trabajamos para brindarte más detalle sobre los cargos por utilizar Mercado Pago. Por eso, a partir de ahora, en "Información sobre cargos" incluiremos las siguientes columnas:
- Número del cargo: para que puedas cruzar la información con otros reportes.
 - Cobrado en la operación: para saber si un cargo fue cobrado en la operación o no. 
- Estado del cargo y Cargo que anula: para entender más sobre los cargos anulados.</t>
  </si>
  <si>
    <t>Información sobre cargos</t>
  </si>
  <si>
    <t>Información de la operación sobre la que se aplica</t>
  </si>
  <si>
    <t>Información sobre percepciones</t>
  </si>
  <si>
    <t>Accesos</t>
  </si>
  <si>
    <t>N° de factura fiscal</t>
  </si>
  <si>
    <t>Fecha del cargo</t>
  </si>
  <si>
    <t>Número del cargo</t>
  </si>
  <si>
    <t>Número del movimiento</t>
  </si>
  <si>
    <t>Detalle</t>
  </si>
  <si>
    <t>Cobrado en la operacion</t>
  </si>
  <si>
    <t>Estado del cargo</t>
  </si>
  <si>
    <t>Cargo que anula</t>
  </si>
  <si>
    <t>Valor del cargo</t>
  </si>
  <si>
    <t>Tipo de operación</t>
  </si>
  <si>
    <t>Operación relacionada</t>
  </si>
  <si>
    <t>Tipo de pago</t>
  </si>
  <si>
    <t>Número de sucursal</t>
  </si>
  <si>
    <t>Nombre de sucursal</t>
  </si>
  <si>
    <t>Referencia externa</t>
  </si>
  <si>
    <t>Cliente</t>
  </si>
  <si>
    <t>Valor de la operación</t>
  </si>
  <si>
    <t>Sección de Mercado libre y de Mercado Pago</t>
  </si>
  <si>
    <t>0025A03281832</t>
  </si>
  <si>
    <t>Cargo por cobrar con código QR</t>
  </si>
  <si>
    <t>Si</t>
  </si>
  <si>
    <t>Pago</t>
  </si>
  <si>
    <t>QR</t>
  </si>
  <si>
    <t>71465208</t>
  </si>
  <si>
    <t>Cerveza Träctor</t>
  </si>
  <si>
    <t>RONI2707995</t>
  </si>
  <si>
    <t>Ir al Detalle de la operación en Mercado Pago</t>
  </si>
  <si>
    <t>ORMAECHEANICANOR20220831201709</t>
  </si>
  <si>
    <t>VALLEDEL20220829194050</t>
  </si>
  <si>
    <t>Cargo por cobrar con Point</t>
  </si>
  <si>
    <t>Point</t>
  </si>
  <si>
    <t>VENTASPRESENCIAL</t>
  </si>
  <si>
    <t>Cargo por uso de QR - Pagos Interoperables</t>
  </si>
  <si>
    <t>@2489718921</t>
  </si>
  <si>
    <t>MANUCHI2108</t>
  </si>
  <si>
    <t>RUDAZNICO20221024092610</t>
  </si>
  <si>
    <t>LAUTIGABIOUD</t>
  </si>
  <si>
    <t>MOSO3793694</t>
  </si>
  <si>
    <t>AD20250105170400</t>
  </si>
  <si>
    <t>KLOVEN</t>
  </si>
  <si>
    <t>MAXIMOGOROSTEGUI4</t>
  </si>
  <si>
    <t>LEZCANOSARTORIVALENTIN</t>
  </si>
  <si>
    <t>ELIANAVERSA</t>
  </si>
  <si>
    <t>BENJAMIKROLLS</t>
  </si>
  <si>
    <t>MAGDALENABALLESTERCARRIZO</t>
  </si>
  <si>
    <t>NOMA5886241</t>
  </si>
  <si>
    <t>COTOCARLA20220604112601</t>
  </si>
  <si>
    <t>MARUDRI58</t>
  </si>
  <si>
    <t>GONZALEZJUAN20210529211711</t>
  </si>
  <si>
    <t>SANCHEZLISANDRO75</t>
  </si>
  <si>
    <t>JULIANAVENENCIO</t>
  </si>
  <si>
    <t>PILEPICHNAILA20230328224520</t>
  </si>
  <si>
    <t>ARDAIZLUCIANO20220318111519</t>
  </si>
  <si>
    <t>ESLU6384315</t>
  </si>
  <si>
    <t>YAIRMAYORAZ1</t>
  </si>
  <si>
    <t>RAIMONDICARLOS20230908135853</t>
  </si>
  <si>
    <t>RORROAF</t>
  </si>
  <si>
    <t>BERO461725</t>
  </si>
  <si>
    <t>SILVAJUAN20230722200113</t>
  </si>
  <si>
    <t>MARTINDERR</t>
  </si>
  <si>
    <t>GAGA3180317</t>
  </si>
  <si>
    <t>NICOLASMUSETTI</t>
  </si>
  <si>
    <t>MATIAS RODRIGUEZ</t>
  </si>
  <si>
    <t>OLGUÍNLUCAS20220905215413</t>
  </si>
  <si>
    <t>MALENABOTTEROH</t>
  </si>
  <si>
    <t>LAZARTEDANTE20211203171636</t>
  </si>
  <si>
    <t>ROAN3114421</t>
  </si>
  <si>
    <t>CAMILA BARRETO97</t>
  </si>
  <si>
    <t>EZEQUIELBONNIN</t>
  </si>
  <si>
    <t>CATH9092351</t>
  </si>
  <si>
    <t>Cargo por cobrar con Mercado Pago</t>
  </si>
  <si>
    <t>@1785701758</t>
  </si>
  <si>
    <t>BURTONANGELA20220204184249</t>
  </si>
  <si>
    <t>VIALPLAN</t>
  </si>
  <si>
    <t>LUCIANAORTIZ20211102171912</t>
  </si>
  <si>
    <t>ALEEXISGODOY3</t>
  </si>
  <si>
    <t>LAUREANACALVO</t>
  </si>
  <si>
    <t>PALI987</t>
  </si>
  <si>
    <t>@2113574232</t>
  </si>
  <si>
    <t>VELU9803378</t>
  </si>
  <si>
    <t>RENPIGOZZI</t>
  </si>
  <si>
    <t>JUANIGNACIOFERRAU</t>
  </si>
  <si>
    <t>TATIANALATORRE1308</t>
  </si>
  <si>
    <t>SITOSN</t>
  </si>
  <si>
    <t>IVANNA878</t>
  </si>
  <si>
    <t>GC20240904092634</t>
  </si>
  <si>
    <t>MANSUTTIJUANJOSE</t>
  </si>
  <si>
    <t>MARTINAMEIER1</t>
  </si>
  <si>
    <t>AYELENMARTIN.AM</t>
  </si>
  <si>
    <t>PRADOMARAEUGENIA</t>
  </si>
  <si>
    <t>HERMANMARTINA20230217123713</t>
  </si>
  <si>
    <t>CBFDEHGAHFEAGDCB20230801105215</t>
  </si>
  <si>
    <t>ADAMSONTOMAS20211123145717</t>
  </si>
  <si>
    <t>SANCHEZSOFIA20211207213959</t>
  </si>
  <si>
    <t>43321303LAU</t>
  </si>
  <si>
    <t>PERTUSGUILLERMINA2022082422423</t>
  </si>
  <si>
    <t>MARIELADIAZ833</t>
  </si>
  <si>
    <t>MENDIETAMARTINA20210305042949</t>
  </si>
  <si>
    <t>RODRIGUEZCATALINA2022110222345</t>
  </si>
  <si>
    <t>No aplica</t>
  </si>
  <si>
    <t>Anulado en factura</t>
  </si>
  <si>
    <t>CELINAVILLAVERDE</t>
  </si>
  <si>
    <t>Anulación del cargo por cobrar con código QR</t>
  </si>
  <si>
    <t>ACMA20240405132025</t>
  </si>
  <si>
    <t>LOPEZPABLO20211112172500</t>
  </si>
  <si>
    <t>BELTZERVALENTIN20220206202552</t>
  </si>
  <si>
    <t>LUCIOAGUSTINW05</t>
  </si>
  <si>
    <t>EZEQUIELDERUDDER</t>
  </si>
  <si>
    <t>CESARRICARDOBONNET</t>
  </si>
  <si>
    <t>PV20250211135139</t>
  </si>
  <si>
    <t>ZANA617907</t>
  </si>
  <si>
    <t>SAGI9428907</t>
  </si>
  <si>
    <t>HOLZMANNFRANCO20230421200332</t>
  </si>
  <si>
    <t>DANIELEMARIA20220215211222</t>
  </si>
  <si>
    <t>CRISTIAND117</t>
  </si>
  <si>
    <t>ECOFIXINOX</t>
  </si>
  <si>
    <t>P20250708150321</t>
  </si>
  <si>
    <t>SANCHEZMAURO20221028104601</t>
  </si>
  <si>
    <t>NICOLSGUILERA</t>
  </si>
  <si>
    <t>RAM80275</t>
  </si>
  <si>
    <t>JOHANNLAUREIRO</t>
  </si>
  <si>
    <t>LUTYSOLANGE</t>
  </si>
  <si>
    <t>SOLEPASINATTO</t>
  </si>
  <si>
    <t>MAXIESORIA3</t>
  </si>
  <si>
    <t>TINCHO-ELECTRO</t>
  </si>
  <si>
    <t>FERRERIJEREMIAS20231128094327</t>
  </si>
  <si>
    <t>OTGA3735836</t>
  </si>
  <si>
    <t>FABRICIOMANGIONI</t>
  </si>
  <si>
    <t>BLANCCELINA20230706095544</t>
  </si>
  <si>
    <t>BOJO8478289</t>
  </si>
  <si>
    <t>JULI LALOSA</t>
  </si>
  <si>
    <t>AVRIL.TARAVINI</t>
  </si>
  <si>
    <t>BASSERODRIGO20231025211229</t>
  </si>
  <si>
    <t>JORGEETIENOT</t>
  </si>
  <si>
    <t>MARTINEZAIXA20230713112152</t>
  </si>
  <si>
    <t>BRLU20240328183457</t>
  </si>
  <si>
    <t>PLESCIALARA</t>
  </si>
  <si>
    <t>LUNASERRUDO</t>
  </si>
  <si>
    <t>BOLU709184</t>
  </si>
  <si>
    <t>ANAFUENTESBERNAY</t>
  </si>
  <si>
    <t>FABRICIO LANDINI</t>
  </si>
  <si>
    <t>MAXIMILIANO VALLORI</t>
  </si>
  <si>
    <t>LEMA20240303210503</t>
  </si>
  <si>
    <t>CGADFEHBFDHCBAEG</t>
  </si>
  <si>
    <t>MARTINORTIZ824</t>
  </si>
  <si>
    <t>ROJASMILI25</t>
  </si>
  <si>
    <t>MOFE8073706</t>
  </si>
  <si>
    <t>AGUSTINALFONSO724</t>
  </si>
  <si>
    <t>VANESAHEIDEL</t>
  </si>
  <si>
    <t>ALFONSOKRAIESKY</t>
  </si>
  <si>
    <t>CRICELJUAN20220910161841</t>
  </si>
  <si>
    <t>ZAIKOTM</t>
  </si>
  <si>
    <t>SOPHIIAHUMADA</t>
  </si>
  <si>
    <t>FRANZ324</t>
  </si>
  <si>
    <t>ESTIMULACIÓN.TEMPRANA</t>
  </si>
  <si>
    <t>THIAGOCUSANELLI25</t>
  </si>
  <si>
    <t>KLLI3244741</t>
  </si>
  <si>
    <t>VICTORIALOPEZROMANO</t>
  </si>
  <si>
    <t>MARTINALUJANGERMANIER</t>
  </si>
  <si>
    <t>CHICONILUDMILA20220317235357</t>
  </si>
  <si>
    <t>@2027641910</t>
  </si>
  <si>
    <t>LULACMARA</t>
  </si>
  <si>
    <t>MATEOGIMENEZ12</t>
  </si>
  <si>
    <t>PALAZZOSABRINACELESTE</t>
  </si>
  <si>
    <t>RAFFOMARCELOJOSE</t>
  </si>
  <si>
    <t>DAMIANECKERDT</t>
  </si>
  <si>
    <t>MAXICRIADO</t>
  </si>
  <si>
    <t>GISELAJACQUET</t>
  </si>
  <si>
    <t>CACERESRODRIGO20231118181309</t>
  </si>
  <si>
    <t>OLIVAFACUNDO25</t>
  </si>
  <si>
    <t>MORENDAIANA20210706000336</t>
  </si>
  <si>
    <t>LAUTAROGOBBI</t>
  </si>
  <si>
    <t>MARIOLARROZA</t>
  </si>
  <si>
    <t>SABRINAPINTOS6</t>
  </si>
  <si>
    <t>JUANMAF028</t>
  </si>
  <si>
    <t>JBERRI</t>
  </si>
  <si>
    <t>ALVI5045550</t>
  </si>
  <si>
    <t>RITAJUVENAL</t>
  </si>
  <si>
    <t>BERNINSONETOMAS20221208180423</t>
  </si>
  <si>
    <t>VAYADILEMA</t>
  </si>
  <si>
    <t>CARINAROSANABONNIN</t>
  </si>
  <si>
    <t>GM20240711184743</t>
  </si>
  <si>
    <t>ANDRILINICOLAS</t>
  </si>
  <si>
    <t>SILVESTREBRIAN20210428024814</t>
  </si>
  <si>
    <t>FLORSAADE11</t>
  </si>
  <si>
    <t>GABRIELWL</t>
  </si>
  <si>
    <t>EVELYNRAMA</t>
  </si>
  <si>
    <t>YACO250</t>
  </si>
  <si>
    <t>JAVIERPABLO20220409155545</t>
  </si>
  <si>
    <t>CAMILACAFFACOSTA</t>
  </si>
  <si>
    <t>CAVA20240112235842</t>
  </si>
  <si>
    <t>BOMI6200747</t>
  </si>
  <si>
    <t>COGR651721</t>
  </si>
  <si>
    <t>LOPEZVALENTIN20211112155425</t>
  </si>
  <si>
    <t>ATENCIOGERMAN3</t>
  </si>
  <si>
    <t>LUCIANOFIOROTTO</t>
  </si>
  <si>
    <t>FELLAYIVAN20230501053700</t>
  </si>
  <si>
    <t>DIANAMULA</t>
  </si>
  <si>
    <t>JOAQUINVERGNIAUD</t>
  </si>
  <si>
    <t>LAS GOLTZITAS</t>
  </si>
  <si>
    <t>LAUTAROEMANUELALLOISSATTO</t>
  </si>
  <si>
    <t>CANDELALISMAN00</t>
  </si>
  <si>
    <t>SANTIICARUSO</t>
  </si>
  <si>
    <t>HINA4976990</t>
  </si>
  <si>
    <t>ROTELAGABRIEL20210714150032</t>
  </si>
  <si>
    <t>TRME2213937</t>
  </si>
  <si>
    <t>MANUELADALMAO</t>
  </si>
  <si>
    <t>FRANCISCO_HERLEIN</t>
  </si>
  <si>
    <t>JUANMANUELALBIZZATTI</t>
  </si>
  <si>
    <t>DULU2552861</t>
  </si>
  <si>
    <t>SASE8472941</t>
  </si>
  <si>
    <t>IZJO3961013</t>
  </si>
  <si>
    <t>LUCAPERROUD</t>
  </si>
  <si>
    <t>MARTINEZMILAGROS20210810132417</t>
  </si>
  <si>
    <t>HILTCARLA20230131183142</t>
  </si>
  <si>
    <t>ELMA7548284</t>
  </si>
  <si>
    <t>QUINTEROMARIA20221212110548</t>
  </si>
  <si>
    <t>ROCA902432</t>
  </si>
  <si>
    <t>NEUWITMARTINA20211015005230</t>
  </si>
  <si>
    <t>VALENRABOSTO</t>
  </si>
  <si>
    <t>LADOMARTIN</t>
  </si>
  <si>
    <t>BOGLIACINOTOMAS</t>
  </si>
  <si>
    <t>JUANGRANE20220830202423</t>
  </si>
  <si>
    <t>NEKA5354952</t>
  </si>
  <si>
    <t>PERALTASOFIA20220314161646</t>
  </si>
  <si>
    <t>FRANCOPIRONDO</t>
  </si>
  <si>
    <t>GABRIELAPAOLAMININIGABRIELA</t>
  </si>
  <si>
    <t>SAYASRAMIRO20230202201557</t>
  </si>
  <si>
    <t>MAGALSOLHORMAIZTEGUI</t>
  </si>
  <si>
    <t>SIVIEROFIORELLA20211004014910</t>
  </si>
  <si>
    <t>CANDELAABIGAIL13</t>
  </si>
  <si>
    <t>NOIRMARIO20220728222212</t>
  </si>
  <si>
    <t>GIRARDFEDERICO20230802091209</t>
  </si>
  <si>
    <t>TATY 12367</t>
  </si>
  <si>
    <t>OCTAVIO ORCELLET</t>
  </si>
  <si>
    <t>FLORENCIALOPEZ_</t>
  </si>
  <si>
    <t>CAMIGRIEVE</t>
  </si>
  <si>
    <t>COLOMBOJULIANA20220606165019</t>
  </si>
  <si>
    <t>MORENDCAMILA20220503192425</t>
  </si>
  <si>
    <t>NACHOBOUJON07</t>
  </si>
  <si>
    <t>G20250813211951</t>
  </si>
  <si>
    <t>LEOPARDOANGELINA20230702203206</t>
  </si>
  <si>
    <t>BOLA1972739</t>
  </si>
  <si>
    <t>SAENZJUAN20220907183419</t>
  </si>
  <si>
    <t>DANA4317646</t>
  </si>
  <si>
    <t>PAQUIROL</t>
  </si>
  <si>
    <t>FORDRANCHERO</t>
  </si>
  <si>
    <t>JAVIERMANSILLA</t>
  </si>
  <si>
    <t>NOLOSE111</t>
  </si>
  <si>
    <t>DAIANAGASTAN21</t>
  </si>
  <si>
    <t>ROMMAIPARSI</t>
  </si>
  <si>
    <t>SANTIAGOPEREIRAMAGUNA</t>
  </si>
  <si>
    <t>LUCHO!08</t>
  </si>
  <si>
    <t>FIAG3350704</t>
  </si>
  <si>
    <t>FOPA5824397</t>
  </si>
  <si>
    <t>LAUTAROBALDO123</t>
  </si>
  <si>
    <t>AGUSTIN_149</t>
  </si>
  <si>
    <t>ANGELERNESTONICHOLSON</t>
  </si>
  <si>
    <t>AUGUSTOHPEREZP</t>
  </si>
  <si>
    <t>GIULIANAGUIFFREY</t>
  </si>
  <si>
    <t>GUILLEPONTII</t>
  </si>
  <si>
    <t>VICTORIA CARRANZA</t>
  </si>
  <si>
    <t>JESUSCAIRE</t>
  </si>
  <si>
    <t>WEISHEIMGIMENA</t>
  </si>
  <si>
    <t>GERMNGAGGIETTA</t>
  </si>
  <si>
    <t>DEHARBEABIGAIL20230627124453</t>
  </si>
  <si>
    <t>JAZURANGA</t>
  </si>
  <si>
    <t>FRA132</t>
  </si>
  <si>
    <t>JUANGE01JUANGE01</t>
  </si>
  <si>
    <t>VAZQUEZJOAQUIN20220323142937</t>
  </si>
  <si>
    <t>FERRERO_LUC2011</t>
  </si>
  <si>
    <t>AGOSAYALA21</t>
  </si>
  <si>
    <t>ALEJOCHALLIO</t>
  </si>
  <si>
    <t>DELFI.SB</t>
  </si>
  <si>
    <t>NICA2646406</t>
  </si>
  <si>
    <t>BOCACHA09</t>
  </si>
  <si>
    <t>DIDA7436488</t>
  </si>
  <si>
    <t>MARCESCHMIDT</t>
  </si>
  <si>
    <t>JOAQUINA HANDERSON</t>
  </si>
  <si>
    <t>GUCC</t>
  </si>
  <si>
    <t>TRIG3534287</t>
  </si>
  <si>
    <t>HUROCAR</t>
  </si>
  <si>
    <t>MACRIANGELINA20220428144711</t>
  </si>
  <si>
    <t>MAURILOP_009</t>
  </si>
  <si>
    <t>IMAGALISALINAS</t>
  </si>
  <si>
    <t>MARIAJOSE_27TANTERA</t>
  </si>
  <si>
    <t>FEROZ_TIGRE</t>
  </si>
  <si>
    <t>EC20240728165936</t>
  </si>
  <si>
    <t>ENTREHOGARSJ</t>
  </si>
  <si>
    <t>JUAN WOEFFRAY</t>
  </si>
  <si>
    <t>MENSALIVE</t>
  </si>
  <si>
    <t>SCHROEDERJUAN</t>
  </si>
  <si>
    <t>BELEN.ANAHI</t>
  </si>
  <si>
    <t>FLORJOSEFINA</t>
  </si>
  <si>
    <t>MCAMILATEGLI</t>
  </si>
  <si>
    <t>NOAG3797670</t>
  </si>
  <si>
    <t>GINOCASSE</t>
  </si>
  <si>
    <t>SOLFAG2000</t>
  </si>
  <si>
    <t>TRCE20231221144451</t>
  </si>
  <si>
    <t>ROLU8828416</t>
  </si>
  <si>
    <t>LOFE5760759</t>
  </si>
  <si>
    <t>JOSEFINAMOIX</t>
  </si>
  <si>
    <t>ZAEZ8317924</t>
  </si>
  <si>
    <t>RAMIRO PASCAL123</t>
  </si>
  <si>
    <t>TOMSVILAS</t>
  </si>
  <si>
    <t>KRUCHOWSKI94</t>
  </si>
  <si>
    <t>LUCALUGRIN</t>
  </si>
  <si>
    <t>PEAMARTINIANO</t>
  </si>
  <si>
    <t>ERIKMAURICIOKIPPES</t>
  </si>
  <si>
    <t>AGOSTINAAVANZINI</t>
  </si>
  <si>
    <t>PEHU418406</t>
  </si>
  <si>
    <t>HECTORIVANPRIM</t>
  </si>
  <si>
    <t>FACUMARQUEZ91</t>
  </si>
  <si>
    <t>MELISSA DEMARLENGE</t>
  </si>
  <si>
    <t>CIPA6802900</t>
  </si>
  <si>
    <t>ABELANDOJUANMA</t>
  </si>
  <si>
    <t>BIANKIRM</t>
  </si>
  <si>
    <t>IARAMICAELABLANCODUARTE</t>
  </si>
  <si>
    <t>DIETAWALTER20220725115634</t>
  </si>
  <si>
    <t>JRODRIGUEZ7626</t>
  </si>
  <si>
    <t>SOFIAFORNASARI</t>
  </si>
  <si>
    <t>ESPINOSALUISINA20220321214848</t>
  </si>
  <si>
    <t>POGGIOFACUNDO20220405000803</t>
  </si>
  <si>
    <t>DELALOYEDENISE</t>
  </si>
  <si>
    <t>FEAL6989843</t>
  </si>
  <si>
    <t>CUENCAFRANCO20231112190017</t>
  </si>
  <si>
    <t>NOIRJUAN20221219213151</t>
  </si>
  <si>
    <t>SOPA7101978</t>
  </si>
  <si>
    <t>SIAL3769061</t>
  </si>
  <si>
    <t>LIZTREBOUX</t>
  </si>
  <si>
    <t>CRUZCANDELA20220922224357</t>
  </si>
  <si>
    <t>CABRERAFIAMMA20220106145833</t>
  </si>
  <si>
    <t>FERNANDEZPAOLA20210429190918</t>
  </si>
  <si>
    <t>ARGUSER</t>
  </si>
  <si>
    <t>RUAG4604869</t>
  </si>
  <si>
    <t>JULIETAGNN</t>
  </si>
  <si>
    <t>SERGIOROBN</t>
  </si>
  <si>
    <t>FILIPUZZIJUAN202</t>
  </si>
  <si>
    <t>LEANDRO097</t>
  </si>
  <si>
    <t>GUSTAVO9435</t>
  </si>
  <si>
    <t>MALUCIAMA</t>
  </si>
  <si>
    <t>MODERNBAGS</t>
  </si>
  <si>
    <t>JOSEGAITAN126</t>
  </si>
  <si>
    <t>ANEM7047918</t>
  </si>
  <si>
    <t>GOMA4390596</t>
  </si>
  <si>
    <t>LUCKYCLA</t>
  </si>
  <si>
    <t>NASIF08BMX</t>
  </si>
  <si>
    <t>JOAQUINSCHENONE</t>
  </si>
  <si>
    <t>VILLANUEVA NAHUEL</t>
  </si>
  <si>
    <t>MARCOSMASSUH</t>
  </si>
  <si>
    <t>JULIETABY</t>
  </si>
  <si>
    <t>LALY.M</t>
  </si>
  <si>
    <t>ANIZAP94</t>
  </si>
  <si>
    <t>PAVANFIORELLA20220103130509</t>
  </si>
  <si>
    <t>RR20250302121410</t>
  </si>
  <si>
    <t>SANTIAGOJMENDEZ</t>
  </si>
  <si>
    <t>LUZBRISA20220504130346</t>
  </si>
  <si>
    <t>CARLAJORGELINALEONETTI</t>
  </si>
  <si>
    <t>CABRALSERGIO38</t>
  </si>
  <si>
    <t>CRACOGNAESTEBAN20211105030307</t>
  </si>
  <si>
    <t>MARILINPRISCILAPOGGIO</t>
  </si>
  <si>
    <t>LAMBRECHTMATIAS20210816141907</t>
  </si>
  <si>
    <t>AGAG1285817</t>
  </si>
  <si>
    <t>SANCHEZBRISA20230209114208</t>
  </si>
  <si>
    <t>BRIANFOGG</t>
  </si>
  <si>
    <t>IMPORTADORATSA</t>
  </si>
  <si>
    <t>RICCIARDICATALINA2023041511184</t>
  </si>
  <si>
    <t>MASCHIOMELINA2023010918101</t>
  </si>
  <si>
    <t>SERRAJESUS20220225194705</t>
  </si>
  <si>
    <t>LAUTAMARTINEZ4</t>
  </si>
  <si>
    <t>FABE3110364</t>
  </si>
  <si>
    <t>LAUTAROBRUCHEZ</t>
  </si>
  <si>
    <t>MATEIBARRA</t>
  </si>
  <si>
    <t>JOSEFINAECHAIDE</t>
  </si>
  <si>
    <t>BRISARACIGH</t>
  </si>
  <si>
    <t>GATH1551551</t>
  </si>
  <si>
    <t>MARISTAINJUSTO20230125100910</t>
  </si>
  <si>
    <t>MALENACOMETTA</t>
  </si>
  <si>
    <t>ZURMUHLEIGNACIO20210611014735</t>
  </si>
  <si>
    <t>CAMINOTTITO</t>
  </si>
  <si>
    <t>ZALAZARAGUSTINA20230123152332</t>
  </si>
  <si>
    <t>POLLITOALEJANDRO</t>
  </si>
  <si>
    <t>AGUSCAPO78</t>
  </si>
  <si>
    <t>NWILLAT</t>
  </si>
  <si>
    <t>WYGACHIEWICZWENCESLAO202202072</t>
  </si>
  <si>
    <t>CAMILABONVIN</t>
  </si>
  <si>
    <t>MARO5878636</t>
  </si>
  <si>
    <t>PAULAAFRYZIUK</t>
  </si>
  <si>
    <t>PIME20240109100957</t>
  </si>
  <si>
    <t>GIIV9469454</t>
  </si>
  <si>
    <t>GAMA9620528</t>
  </si>
  <si>
    <t>FRANQUINILIZ</t>
  </si>
  <si>
    <t>MENDIETALOANA20220102021848</t>
  </si>
  <si>
    <t>TUROWIEZ</t>
  </si>
  <si>
    <t>GARCIAMANUEL20220606074615</t>
  </si>
  <si>
    <t>SANDESGABRIELA20210812204605</t>
  </si>
  <si>
    <t>CARBALLOMARIACELESTE</t>
  </si>
  <si>
    <t>GAER7603552</t>
  </si>
  <si>
    <t>VALI4649926</t>
  </si>
  <si>
    <t>JORGEPEDROFRUNIZ</t>
  </si>
  <si>
    <t>OSAL1920054</t>
  </si>
  <si>
    <t>LUCRECIARUIZDAZ</t>
  </si>
  <si>
    <t>CHUNOMP</t>
  </si>
  <si>
    <t>LMA9912409</t>
  </si>
  <si>
    <t>GP20240729142131</t>
  </si>
  <si>
    <t>CACE7572156</t>
  </si>
  <si>
    <t>ARCAR</t>
  </si>
  <si>
    <t>LLANESANDREA20220306171810</t>
  </si>
  <si>
    <t>VAGA5886562</t>
  </si>
  <si>
    <t>DUARTESILVINA44</t>
  </si>
  <si>
    <t>BUSSONMILAGROS20220505164307</t>
  </si>
  <si>
    <t>JOSEOTERO2302</t>
  </si>
  <si>
    <t>ACFE4487745</t>
  </si>
  <si>
    <t>AGIG8855859</t>
  </si>
  <si>
    <t>ALEJANDRAPAOLA_DEL</t>
  </si>
  <si>
    <t>MAXIMASA0310</t>
  </si>
  <si>
    <t>NUNEZSEBASTIAN20231024190327</t>
  </si>
  <si>
    <t>BLMA7234501</t>
  </si>
  <si>
    <t>ALLA.THERE</t>
  </si>
  <si>
    <t>SERGIOLUISBONNIN</t>
  </si>
  <si>
    <t>PABLOANTONIOFERNANDEZPABLOA</t>
  </si>
  <si>
    <t>JUAN.GARIN</t>
  </si>
  <si>
    <t>ESTEBANHERLAX</t>
  </si>
  <si>
    <t>GRASFACUNDO1999</t>
  </si>
  <si>
    <t>CATALINA SABISKY</t>
  </si>
  <si>
    <t>GALAPROJECT</t>
  </si>
  <si>
    <t>BRIANGUZZARDO</t>
  </si>
  <si>
    <t>IVANDRI92</t>
  </si>
  <si>
    <t>CANI3467730</t>
  </si>
  <si>
    <t>JUMBUS62</t>
  </si>
  <si>
    <t>DABADIAPAULA</t>
  </si>
  <si>
    <t>VALENPPE</t>
  </si>
  <si>
    <t>CAMISANTUCCI</t>
  </si>
  <si>
    <t>ALZAJUAN20210125220600</t>
  </si>
  <si>
    <t>BALU3731681</t>
  </si>
  <si>
    <t>PISE4132978</t>
  </si>
  <si>
    <t>SOOFRIMIENTO</t>
  </si>
  <si>
    <t>CAMA20240305083209</t>
  </si>
  <si>
    <t>JUANGATTER20220118171612</t>
  </si>
  <si>
    <t>ALBR6009458</t>
  </si>
  <si>
    <t>GARRIDOFRANCISCA20220605213915</t>
  </si>
  <si>
    <t>CINTHIAJANETBRUCHEZ</t>
  </si>
  <si>
    <t>MADA202535</t>
  </si>
  <si>
    <t>ANTONI MARIA</t>
  </si>
  <si>
    <t>SANTIAGOBECHIR</t>
  </si>
  <si>
    <t>HORACIOYESSI</t>
  </si>
  <si>
    <t>MAAL3420484</t>
  </si>
  <si>
    <t>@2027635388</t>
  </si>
  <si>
    <t>GUILLERASURE</t>
  </si>
  <si>
    <t>ORGA821418</t>
  </si>
  <si>
    <t>VA20240806170209</t>
  </si>
  <si>
    <t>FACUNDOBUTHAY</t>
  </si>
  <si>
    <t>YUSTYDESIGN</t>
  </si>
  <si>
    <t>SALUMALE</t>
  </si>
  <si>
    <t>CARELLIGABRIELA20221022111749</t>
  </si>
  <si>
    <t>MOLA1336713</t>
  </si>
  <si>
    <t>IVANSCAN</t>
  </si>
  <si>
    <t>IPARADISECONCORDIA</t>
  </si>
  <si>
    <t>LUCIOBUBALMA</t>
  </si>
  <si>
    <t>MARIALUZALMADA</t>
  </si>
  <si>
    <t>ARSA9230729</t>
  </si>
  <si>
    <t>PEEDROS7</t>
  </si>
  <si>
    <t>ITATIGALARRAGA92ITATIGALARRAGA</t>
  </si>
  <si>
    <t>SILVIA LILIANA2006</t>
  </si>
  <si>
    <t>PARRAVICINIML2006</t>
  </si>
  <si>
    <t>HOMA2960114</t>
  </si>
  <si>
    <t>SALDARELLIRODOLFO</t>
  </si>
  <si>
    <t>GADEAA08</t>
  </si>
  <si>
    <t>DANIELSANTIAGO20220212200630</t>
  </si>
  <si>
    <t>LUCAS ETCHET0</t>
  </si>
  <si>
    <t>AZCA2536909</t>
  </si>
  <si>
    <t>GABIMAGALLANES</t>
  </si>
  <si>
    <t>COZZICAMILA20230201025315</t>
  </si>
  <si>
    <t>GUADALUPECONTRERAS3232</t>
  </si>
  <si>
    <t>ALDY4064966</t>
  </si>
  <si>
    <t>SANGRAGRAZIANI404</t>
  </si>
  <si>
    <t>CORALSILVESTRI</t>
  </si>
  <si>
    <t>AILINFILLION</t>
  </si>
  <si>
    <t>AGUIRREFLORENCIA20230702190715</t>
  </si>
  <si>
    <t>ARAUJOALEJO20230511204719</t>
  </si>
  <si>
    <t>SILVANAPAOLADOMANICO</t>
  </si>
  <si>
    <t>GIMENARATTO</t>
  </si>
  <si>
    <t>BRIANROUDE</t>
  </si>
  <si>
    <t>COMETTIALDANA20230326101811</t>
  </si>
  <si>
    <t>SANTINOLOKER</t>
  </si>
  <si>
    <t>JURICEVICTOMAS20220531155059</t>
  </si>
  <si>
    <t>FILU7719703</t>
  </si>
  <si>
    <t>ARECOSANTIAGO20230212204836</t>
  </si>
  <si>
    <t>RAMIROMENDOZA200</t>
  </si>
  <si>
    <t>PASSARELLAAGUSTINA</t>
  </si>
  <si>
    <t>MACABOSCH18</t>
  </si>
  <si>
    <t>MANUFRNDZARAN</t>
  </si>
  <si>
    <t>PROSIKGIULIANA20211130155103</t>
  </si>
  <si>
    <t>CABAÑAVIRGINIA20220220223642</t>
  </si>
  <si>
    <t>MELANIEOJEDA727</t>
  </si>
  <si>
    <t>GUADALUPESITTNER</t>
  </si>
  <si>
    <t>RAYANC2012</t>
  </si>
  <si>
    <t>PICARTMAXIMILIANO</t>
  </si>
  <si>
    <t>TORNADO_2015</t>
  </si>
  <si>
    <t>LUCAS_AYALA2010</t>
  </si>
  <si>
    <t>FDEX96</t>
  </si>
  <si>
    <t>LUIARCE2010</t>
  </si>
  <si>
    <t>RENDTORFF</t>
  </si>
  <si>
    <t>PABLOSAFFORES</t>
  </si>
  <si>
    <t>LAMAREAPEZSA</t>
  </si>
  <si>
    <t>LUCASSCHANTON</t>
  </si>
  <si>
    <t>AGUSTINLOUPIAS</t>
  </si>
  <si>
    <t>CAMA9008076</t>
  </si>
  <si>
    <t>LAQUINTASABORESENTRERRIANOS</t>
  </si>
  <si>
    <t>JUANFOLMERD1</t>
  </si>
  <si>
    <t>RUBARMELLA</t>
  </si>
  <si>
    <t>CEFE72</t>
  </si>
  <si>
    <t>TORASSASANTINO1223</t>
  </si>
  <si>
    <t>@2075347095</t>
  </si>
  <si>
    <t>BIAN TB</t>
  </si>
  <si>
    <t>AGUSTINARIQUEL</t>
  </si>
  <si>
    <t>ALONSOMIA20220511235621</t>
  </si>
  <si>
    <t>PROTTONICOLE20220828112619</t>
  </si>
  <si>
    <t>VINZONHUGO20220804230853</t>
  </si>
  <si>
    <t>MD20250430212640</t>
  </si>
  <si>
    <t>GALARRAGAPAOLA</t>
  </si>
  <si>
    <t>TINCHODIAZCOLODRERO</t>
  </si>
  <si>
    <t>LADRONA.DEL.RAYO</t>
  </si>
  <si>
    <t>JUANII_U</t>
  </si>
  <si>
    <t>JSJS6055996</t>
  </si>
  <si>
    <t>LAEM159629</t>
  </si>
  <si>
    <t>JOAQUINCOLLIARD</t>
  </si>
  <si>
    <t>IVANBIANCHIFALLET</t>
  </si>
  <si>
    <t>BASI776861</t>
  </si>
  <si>
    <t>MARCHE31</t>
  </si>
  <si>
    <t>SUBURBAN0</t>
  </si>
  <si>
    <t>PETA982</t>
  </si>
  <si>
    <t>LUJANPAREDES</t>
  </si>
  <si>
    <t>VALERIACOLICHELLI</t>
  </si>
  <si>
    <t>JUAMPABLO.1</t>
  </si>
  <si>
    <t>LAURITAPILE</t>
  </si>
  <si>
    <t>POGA7290219</t>
  </si>
  <si>
    <t>KIENIGIELMILTON</t>
  </si>
  <si>
    <t>JUANCARLOS SE</t>
  </si>
  <si>
    <t>SERGIODANIEL838</t>
  </si>
  <si>
    <t>GAGA7661320</t>
  </si>
  <si>
    <t>GOGA1135129</t>
  </si>
  <si>
    <t>SCARIONEMILAGROS20210802014757</t>
  </si>
  <si>
    <t>FLEITASSOFIA20230824121614</t>
  </si>
  <si>
    <t>DUBLINVALERIA20230116142625</t>
  </si>
  <si>
    <t>MARCOBOURLOT</t>
  </si>
  <si>
    <t>REGUEYRANAZARENO20230711191043</t>
  </si>
  <si>
    <t>CONSTANZALETURIA20220128135833</t>
  </si>
  <si>
    <t>PEBR9298998</t>
  </si>
  <si>
    <t>FRANPERDO21</t>
  </si>
  <si>
    <t>JUANQUINTERO27</t>
  </si>
  <si>
    <t>LEIVAOCTAVIO20230705223007</t>
  </si>
  <si>
    <t>PIDA4466636</t>
  </si>
  <si>
    <t>MATIAS PERALTA10</t>
  </si>
  <si>
    <t>DUPINCARLA</t>
  </si>
  <si>
    <t>CARBALLOABRIL20220526224307</t>
  </si>
  <si>
    <t>RODRIGOLORENZOCRUZ</t>
  </si>
  <si>
    <t>BOIG8438201</t>
  </si>
  <si>
    <t>ANDRSQUINTAR</t>
  </si>
  <si>
    <t>BENITEZMARIANO20210503134326</t>
  </si>
  <si>
    <t>JMAETTA</t>
  </si>
  <si>
    <t>AMD_K7_ML</t>
  </si>
  <si>
    <t>ALEJOFRANCOU</t>
  </si>
  <si>
    <t>LEONELAPERALTA14</t>
  </si>
  <si>
    <t>DIEGOOLIVER75</t>
  </si>
  <si>
    <t>CHICHISANTIAGO</t>
  </si>
  <si>
    <t>GUILLEDUCRET9</t>
  </si>
  <si>
    <t>MANI6259488</t>
  </si>
  <si>
    <t>DIBAUTISTA20230906121909</t>
  </si>
  <si>
    <t>RAMOSCARLA20211103183657</t>
  </si>
  <si>
    <t>R DIAZ PIRIZ</t>
  </si>
  <si>
    <t>LAUTAZANARDI15</t>
  </si>
  <si>
    <t>ANSELMINOVICTORIA2023100912491</t>
  </si>
  <si>
    <t>MARDOMINUTTI</t>
  </si>
  <si>
    <t>KLJO2445061</t>
  </si>
  <si>
    <t>RODRI_1106</t>
  </si>
  <si>
    <t>RODRIGUEZMALENA20220518134630</t>
  </si>
  <si>
    <t>CLERICOFRANCISCO</t>
  </si>
  <si>
    <t>ALEJOGONZALEZ15</t>
  </si>
  <si>
    <t>MARIAEVELINENGEL</t>
  </si>
  <si>
    <t>MICAELACARRIXO</t>
  </si>
  <si>
    <t>SOFIDEBRA123</t>
  </si>
  <si>
    <t>CANDESCHAUMAN</t>
  </si>
  <si>
    <t>CARABALLOMATIAS20221101124943</t>
  </si>
  <si>
    <t>SOLANGEHAGEDORN</t>
  </si>
  <si>
    <t>GONZALOGON2000</t>
  </si>
  <si>
    <t>AGUSTINAFORNASARI</t>
  </si>
  <si>
    <t>JONIIANTUNEZ</t>
  </si>
  <si>
    <t>ESTEFANIARENIERO20220811162002</t>
  </si>
  <si>
    <t>SANCHEZCARMIN2</t>
  </si>
  <si>
    <t>ERZEKIEL</t>
  </si>
  <si>
    <t>MARIOELBARBA</t>
  </si>
  <si>
    <t>FELIXMARCELONAVARRO</t>
  </si>
  <si>
    <t>LONFACU</t>
  </si>
  <si>
    <t>IRINAMEICHTRY</t>
  </si>
  <si>
    <t>ARDAIZPABLO</t>
  </si>
  <si>
    <t>CARLSSONLAUTARO20221224163039</t>
  </si>
  <si>
    <t>MERIANOIRIS20220126150046</t>
  </si>
  <si>
    <t>JOACKOFELLAY</t>
  </si>
  <si>
    <t>VICKYMARTEN</t>
  </si>
  <si>
    <t>LUCIORAPALLO</t>
  </si>
  <si>
    <t>QUIIMEY</t>
  </si>
  <si>
    <t>PRIPARLATTO</t>
  </si>
  <si>
    <t>DELFINAIZAURRALDE</t>
  </si>
  <si>
    <t>CAMILATERENZIO</t>
  </si>
  <si>
    <t>RODRI_ESP</t>
  </si>
  <si>
    <t>WOOFIE.MANEE</t>
  </si>
  <si>
    <t>DEGANOSOFIA1</t>
  </si>
  <si>
    <t>MARA.V</t>
  </si>
  <si>
    <t>MARIANOEBARRETO</t>
  </si>
  <si>
    <t>DOMINGUEZVALENTINA202205031321</t>
  </si>
  <si>
    <t>RESPAUDMARIA20230106123150</t>
  </si>
  <si>
    <t>LIKAYBENJAMIN20220310013105</t>
  </si>
  <si>
    <t>ALLAUDGONZALO20220827192154</t>
  </si>
  <si>
    <t>BOAL2059999</t>
  </si>
  <si>
    <t>EMI_KPO_ROJO</t>
  </si>
  <si>
    <t>JUVENALJUAN20230708121409</t>
  </si>
  <si>
    <t>Anulación del cargo por cobrar con Point</t>
  </si>
  <si>
    <t>JOAQUINBORTAGARAY</t>
  </si>
  <si>
    <t>CAROOR16</t>
  </si>
  <si>
    <t>JARACANDELA20230112195954</t>
  </si>
  <si>
    <t>ANGELESLAPALMA</t>
  </si>
  <si>
    <t>LUANACHABEUF</t>
  </si>
  <si>
    <t>PAULINAKINDERNECH</t>
  </si>
  <si>
    <t>LAZZARONIEMI20220630185513</t>
  </si>
  <si>
    <t>SANCHEZANAPAULA9</t>
  </si>
  <si>
    <t>CAMI.SANCHEZ2</t>
  </si>
  <si>
    <t>SCCA20240401212219</t>
  </si>
  <si>
    <t>LARABALASTEGUI</t>
  </si>
  <si>
    <t>LEONBAUTISTAHIDALGOFUENTES</t>
  </si>
  <si>
    <t>VILLALVAARACELI20220703104257</t>
  </si>
  <si>
    <t>SEBISTOCKER1</t>
  </si>
  <si>
    <t>ARAR6827461</t>
  </si>
  <si>
    <t>SIOMARAPAULINADIAZ</t>
  </si>
  <si>
    <t>DARIOZANETTI7</t>
  </si>
  <si>
    <t>DDAIANNA</t>
  </si>
  <si>
    <t>MELINABELNNAPPE</t>
  </si>
  <si>
    <t>PAFA3353123</t>
  </si>
  <si>
    <t>PATH_STORE</t>
  </si>
  <si>
    <t>FLORDODERAA</t>
  </si>
  <si>
    <t>PAULA CAMINOS</t>
  </si>
  <si>
    <t>BUETEDUARDO</t>
  </si>
  <si>
    <t>MAARTINGV</t>
  </si>
  <si>
    <t>NESROEL</t>
  </si>
  <si>
    <t>FEDERICOF661</t>
  </si>
  <si>
    <t>AGUSOLIVER</t>
  </si>
  <si>
    <t>CAMINOSMAITÉ20230106102804</t>
  </si>
  <si>
    <t>MARALUJNGABIOUD</t>
  </si>
  <si>
    <t>VIKYPOPOV</t>
  </si>
  <si>
    <t>ESTEFANAROH</t>
  </si>
  <si>
    <t>ARIADNACOTTET</t>
  </si>
  <si>
    <t>GONZALEZMELANIE20220912134244</t>
  </si>
  <si>
    <t>LU5JCL</t>
  </si>
  <si>
    <t>AGUSTNMORARD</t>
  </si>
  <si>
    <t>NITROX405</t>
  </si>
  <si>
    <t>TOTON1010</t>
  </si>
  <si>
    <t>LEMOSMILAGROS20230207081837</t>
  </si>
  <si>
    <t>BELENMOSER</t>
  </si>
  <si>
    <t>VIDALJESICA95</t>
  </si>
  <si>
    <t>GALLAYCAMILA</t>
  </si>
  <si>
    <t>ARLU6333667</t>
  </si>
  <si>
    <t>MILAGROSFERREROLIMA2003</t>
  </si>
  <si>
    <t>MV20250609213446</t>
  </si>
  <si>
    <t>KINDERNECHFLAVIO20210825152321</t>
  </si>
  <si>
    <t>ACERODRINK</t>
  </si>
  <si>
    <t>LEANLUJAN05</t>
  </si>
  <si>
    <t>GUELACHEGERVASIO</t>
  </si>
  <si>
    <t>CGSEGUEL95</t>
  </si>
  <si>
    <t>PIPOTOMI2006</t>
  </si>
  <si>
    <t>SILVIALORENAFERNANDEZ</t>
  </si>
  <si>
    <t>MILAGROSLANER</t>
  </si>
  <si>
    <t>GERMAN16_DRA</t>
  </si>
  <si>
    <t>MONICAG_M</t>
  </si>
  <si>
    <t>JULIANBALTORE</t>
  </si>
  <si>
    <t>HEYDEVICTORIA</t>
  </si>
  <si>
    <t>LAUTA11_86</t>
  </si>
  <si>
    <t>GUSTAVOVIGNALE</t>
  </si>
  <si>
    <t>MI2022</t>
  </si>
  <si>
    <t>VALENTINAHEYDE</t>
  </si>
  <si>
    <t>ROSARIOVELLO2</t>
  </si>
  <si>
    <t>ANALIABARRIOSDIAZ</t>
  </si>
  <si>
    <t>CUENOSYAMILA</t>
  </si>
  <si>
    <t>MALAVALMICAELA20211222031039</t>
  </si>
  <si>
    <t>PIDA1023502</t>
  </si>
  <si>
    <t>LUCIARICHARD</t>
  </si>
  <si>
    <t>DEGRAFDAIANA20230805175922</t>
  </si>
  <si>
    <t>ORTIZFEDERICO20230204004048</t>
  </si>
  <si>
    <t>Cargo por percepción de IIBB del régimen general para Entre Ríos</t>
  </si>
  <si>
    <t>No</t>
  </si>
  <si>
    <t>Pago de Factura</t>
  </si>
  <si>
    <t>MELIPAYMENTS-COLLECTIONATTEMPT-24886498202025-10-05T03:04:01.153044778</t>
  </si>
  <si>
    <t>Cargo por percepción de IVA del régimen general</t>
  </si>
  <si>
    <t>VARIOS</t>
  </si>
  <si>
    <t>TRANSACTION_TOTAL_AMOUNT</t>
  </si>
  <si>
    <t>IDC COMPRAS</t>
  </si>
  <si>
    <t>VENTA</t>
  </si>
  <si>
    <t>Neto Mov. 07-2025</t>
  </si>
  <si>
    <t>Sdo al 30/06/2025</t>
  </si>
  <si>
    <t>Sdo al 31/07/2025</t>
  </si>
  <si>
    <t>Diferencia</t>
  </si>
  <si>
    <t>IDC Compras</t>
  </si>
  <si>
    <t>Dif IDC</t>
  </si>
  <si>
    <t>Dif IDC / 0,006</t>
  </si>
  <si>
    <t>Vtas Sircupa</t>
  </si>
  <si>
    <t>Vtas Sirtac</t>
  </si>
  <si>
    <t>Total Vtas</t>
  </si>
  <si>
    <t>IDC Vtas</t>
  </si>
  <si>
    <t>SIRCUPA</t>
  </si>
  <si>
    <t>SIRTAC</t>
  </si>
  <si>
    <t>Gastos</t>
  </si>
  <si>
    <t>IDC</t>
  </si>
  <si>
    <t>MOV TOTAL</t>
  </si>
  <si>
    <t>OBSERV</t>
  </si>
  <si>
    <t>COBRO</t>
  </si>
  <si>
    <t>PAGO PROVEEDOR</t>
  </si>
  <si>
    <t>ARCA</t>
  </si>
  <si>
    <t>RETIRO / PROV</t>
  </si>
  <si>
    <t>0067A00377504</t>
  </si>
  <si>
    <t>BENJAMINRODRIGUEZ2022042507052</t>
  </si>
  <si>
    <t>POBR7453334</t>
  </si>
  <si>
    <t>GASTONIZAGUIRRE2006</t>
  </si>
  <si>
    <t>MICA LARROZA</t>
  </si>
  <si>
    <t>REBORDMARIA20220527090737</t>
  </si>
  <si>
    <t>BARRETOCAROLINA20230707135959</t>
  </si>
  <si>
    <t>NUNEZNAHUE</t>
  </si>
  <si>
    <t>ZAJO8737530</t>
  </si>
  <si>
    <t>DUENDE-</t>
  </si>
  <si>
    <t>MAIDANAMILE007</t>
  </si>
  <si>
    <t>HT20240903004220</t>
  </si>
  <si>
    <t>FPAG9341</t>
  </si>
  <si>
    <t>KUAKERBOY</t>
  </si>
  <si>
    <t>MATEOLP92</t>
  </si>
  <si>
    <t>COBR6408532</t>
  </si>
  <si>
    <t>MOSCATELLIROCIO20230403183802</t>
  </si>
  <si>
    <t>FLORESMARIA20211112173853</t>
  </si>
  <si>
    <t>AGUSTINADELSART</t>
  </si>
  <si>
    <t>BRUNOBONN11</t>
  </si>
  <si>
    <t>PREISZLUISINA20221102165907</t>
  </si>
  <si>
    <t>DANGELOKEVIN164</t>
  </si>
  <si>
    <t>MALENACERRUDO</t>
  </si>
  <si>
    <t>CHINELLATOALEX</t>
  </si>
  <si>
    <t>JVICINO</t>
  </si>
  <si>
    <t>LAPALMAMELANIE</t>
  </si>
  <si>
    <t>GOMA5659770</t>
  </si>
  <si>
    <t>CLARAPEYCHAUX</t>
  </si>
  <si>
    <t>BALLESTERDELFINA20230225195118</t>
  </si>
  <si>
    <t>saldo inicio</t>
  </si>
  <si>
    <t>mov brutos</t>
  </si>
  <si>
    <t>sircupa</t>
  </si>
  <si>
    <t>sirtac</t>
  </si>
  <si>
    <t>gastos</t>
  </si>
  <si>
    <t>idc</t>
  </si>
  <si>
    <t>idc discriminado</t>
  </si>
  <si>
    <t>resultado</t>
  </si>
  <si>
    <t>saldo cierre</t>
  </si>
  <si>
    <t>control</t>
  </si>
  <si>
    <t>Suma de MOV TOTAL</t>
  </si>
  <si>
    <t>Etiquetas de columna</t>
  </si>
  <si>
    <t>IMPUESTOS</t>
  </si>
  <si>
    <t>C</t>
  </si>
  <si>
    <t>modificado</t>
  </si>
  <si>
    <t>ASIENTO 84</t>
  </si>
  <si>
    <t>ASIENTO 85</t>
  </si>
  <si>
    <t>ASIENTO 86</t>
  </si>
  <si>
    <t>ASIENTO 87</t>
  </si>
  <si>
    <t>ASIENTO 88</t>
  </si>
  <si>
    <t>ASIENTO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</si>
</sst>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##"/>
  </numFmts>
  <fonts count="17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EE"/>
      <name val="Arial"/>
      <family val="2"/>
    </font>
    <font>
      <sz val="9"/>
      <color rgb="FF000000"/>
      <name val="Arial"/>
      <family val="2"/>
    </font>
    <font>
      <sz val="8"/>
      <color rgb="FF000000"/>
      <name val="Proxima Nova"/>
    </font>
    <font>
      <sz val="10"/>
      <color rgb="FFFF0000"/>
      <name val="Arial"/>
      <family val="2"/>
    </font>
    <font>
      <b/>
      <sz val="10"/>
      <color rgb="FF000000"/>
      <name val="Proxima Nova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5E5E5"/>
      </patternFill>
    </fill>
    <fill>
      <patternFill patternType="solid">
        <fgColor rgb="FFD9D9D9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1976D2"/>
      </left>
      <right/>
      <top/>
      <bottom/>
      <diagonal/>
    </border>
    <border>
      <left style="thick">
        <color rgb="FF9E9E9E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/>
    <xf numFmtId="0" fontId="0" fillId="0" borderId="0" xfId="0" applyNumberFormat="1"/>
    <xf numFmtId="4" fontId="0" fillId="0" borderId="0" xfId="0" applyNumberFormat="1"/>
    <xf numFmtId="43" fontId="0" fillId="0" borderId="0" xfId="1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0" fillId="2" borderId="1" xfId="0" applyFill="1" applyBorder="1" applyAlignment="1">
      <alignment horizontal="left"/>
    </xf>
    <xf numFmtId="43" fontId="0" fillId="2" borderId="1" xfId="1" applyFont="1" applyFill="1" applyBorder="1"/>
    <xf numFmtId="0" fontId="0" fillId="3" borderId="1" xfId="0" applyFill="1" applyBorder="1" applyAlignment="1">
      <alignment horizontal="left"/>
    </xf>
    <xf numFmtId="43" fontId="0" fillId="3" borderId="1" xfId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1" xfId="0" applyFill="1" applyBorder="1" applyAlignment="1">
      <alignment horizontal="left"/>
    </xf>
    <xf numFmtId="43" fontId="0" fillId="4" borderId="1" xfId="1" applyFont="1" applyFill="1" applyBorder="1"/>
    <xf numFmtId="0" fontId="0" fillId="5" borderId="1" xfId="0" applyFill="1" applyBorder="1" applyAlignment="1">
      <alignment horizontal="left"/>
    </xf>
    <xf numFmtId="43" fontId="0" fillId="5" borderId="1" xfId="1" applyFont="1" applyFill="1" applyBorder="1"/>
    <xf numFmtId="0" fontId="0" fillId="6" borderId="1" xfId="0" applyFill="1" applyBorder="1" applyAlignment="1">
      <alignment horizontal="left"/>
    </xf>
    <xf numFmtId="43" fontId="0" fillId="6" borderId="1" xfId="1" applyFont="1" applyFill="1" applyBorder="1"/>
    <xf numFmtId="0" fontId="0" fillId="7" borderId="0" xfId="0" applyFill="1"/>
    <xf numFmtId="0" fontId="0" fillId="8" borderId="0" xfId="0" applyFill="1"/>
    <xf numFmtId="0" fontId="0" fillId="7" borderId="1" xfId="0" applyFill="1" applyBorder="1" applyAlignment="1">
      <alignment horizontal="left"/>
    </xf>
    <xf numFmtId="43" fontId="0" fillId="7" borderId="1" xfId="1" applyFont="1" applyFill="1" applyBorder="1"/>
    <xf numFmtId="43" fontId="0" fillId="2" borderId="0" xfId="1" applyFont="1" applyFill="1"/>
    <xf numFmtId="43" fontId="0" fillId="3" borderId="0" xfId="1" applyFont="1" applyFill="1"/>
    <xf numFmtId="43" fontId="0" fillId="5" borderId="0" xfId="1" applyFont="1" applyFill="1"/>
    <xf numFmtId="43" fontId="0" fillId="8" borderId="0" xfId="1" applyFont="1" applyFill="1"/>
    <xf numFmtId="0" fontId="0" fillId="8" borderId="1" xfId="0" applyFill="1" applyBorder="1" applyAlignment="1">
      <alignment horizontal="left"/>
    </xf>
    <xf numFmtId="43" fontId="0" fillId="8" borderId="1" xfId="1" applyFont="1" applyFill="1" applyBorder="1"/>
    <xf numFmtId="4" fontId="0" fillId="7" borderId="0" xfId="0" applyNumberFormat="1" applyFill="1"/>
    <xf numFmtId="2" fontId="0" fillId="0" borderId="0" xfId="1" applyNumberFormat="1" applyFont="1"/>
    <xf numFmtId="0" fontId="0" fillId="0" borderId="0" xfId="0"/>
    <xf numFmtId="0" fontId="4" fillId="0" borderId="0" xfId="0" applyFont="1"/>
    <xf numFmtId="0" fontId="0" fillId="0" borderId="0" xfId="0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4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4" fontId="8" fillId="0" borderId="0" xfId="0" applyNumberFormat="1" applyFont="1" applyAlignment="1">
      <alignment horizontal="right"/>
    </xf>
    <xf numFmtId="0" fontId="4" fillId="9" borderId="3" xfId="0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9" fillId="9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10" fillId="0" borderId="0" xfId="0" applyFont="1" applyAlignment="1">
      <alignment horizontal="left" vertical="center"/>
    </xf>
    <xf numFmtId="0" fontId="4" fillId="12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>
      <alignment horizontal="right"/>
    </xf>
    <xf numFmtId="10" fontId="1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NumberFormat="1" applyFont="1"/>
    <xf numFmtId="4" fontId="2" fillId="0" borderId="0" xfId="0" applyNumberFormat="1" applyFont="1"/>
    <xf numFmtId="43" fontId="2" fillId="0" borderId="0" xfId="1" applyFont="1"/>
    <xf numFmtId="43" fontId="0" fillId="0" borderId="0" xfId="0" applyNumberFormat="1"/>
    <xf numFmtId="43" fontId="0" fillId="0" borderId="1" xfId="1" applyFont="1" applyBorder="1" applyAlignment="1">
      <alignment horizontal="right"/>
    </xf>
    <xf numFmtId="43" fontId="0" fillId="4" borderId="0" xfId="1" applyFont="1" applyFill="1"/>
    <xf numFmtId="4" fontId="12" fillId="13" borderId="1" xfId="0" applyNumberFormat="1" applyFont="1" applyFill="1" applyBorder="1"/>
    <xf numFmtId="0" fontId="0" fillId="0" borderId="1" xfId="0" applyBorder="1"/>
    <xf numFmtId="43" fontId="0" fillId="0" borderId="1" xfId="1" applyFont="1" applyFill="1" applyBorder="1"/>
    <xf numFmtId="0" fontId="0" fillId="0" borderId="1" xfId="0" applyFill="1" applyBorder="1"/>
    <xf numFmtId="4" fontId="12" fillId="4" borderId="1" xfId="0" applyNumberFormat="1" applyFont="1" applyFill="1" applyBorder="1"/>
    <xf numFmtId="4" fontId="2" fillId="2" borderId="0" xfId="0" applyNumberFormat="1" applyFont="1" applyFill="1" applyAlignment="1">
      <alignment horizontal="right"/>
    </xf>
    <xf numFmtId="4" fontId="8" fillId="2" borderId="0" xfId="0" applyNumberFormat="1" applyFont="1" applyFill="1" applyAlignment="1">
      <alignment horizontal="right"/>
    </xf>
    <xf numFmtId="43" fontId="0" fillId="2" borderId="0" xfId="0" applyNumberFormat="1" applyFill="1"/>
    <xf numFmtId="4" fontId="0" fillId="2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43" fontId="0" fillId="3" borderId="0" xfId="0" applyNumberFormat="1" applyFill="1"/>
    <xf numFmtId="4" fontId="0" fillId="3" borderId="0" xfId="0" applyNumberFormat="1" applyFill="1"/>
    <xf numFmtId="0" fontId="0" fillId="0" borderId="0" xfId="0" applyFill="1"/>
    <xf numFmtId="4" fontId="0" fillId="0" borderId="0" xfId="0" applyNumberFormat="1" applyFill="1"/>
    <xf numFmtId="43" fontId="0" fillId="0" borderId="0" xfId="1" applyFont="1" applyFill="1"/>
    <xf numFmtId="0" fontId="0" fillId="0" borderId="0" xfId="0"/>
    <xf numFmtId="43" fontId="13" fillId="0" borderId="0" xfId="1" applyFont="1"/>
    <xf numFmtId="43" fontId="13" fillId="2" borderId="0" xfId="1" applyFont="1" applyFill="1"/>
    <xf numFmtId="1" fontId="4" fillId="9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7" borderId="0" xfId="0" applyNumberFormat="1" applyFill="1"/>
    <xf numFmtId="1" fontId="9" fillId="9" borderId="0" xfId="0" applyNumberFormat="1" applyFont="1" applyFill="1" applyAlignment="1">
      <alignment horizontal="center"/>
    </xf>
    <xf numFmtId="164" fontId="1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10" fontId="14" fillId="0" borderId="0" xfId="0" applyNumberFormat="1" applyFont="1" applyAlignment="1">
      <alignment horizontal="right"/>
    </xf>
    <xf numFmtId="4" fontId="15" fillId="13" borderId="1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center"/>
    </xf>
    <xf numFmtId="1" fontId="0" fillId="3" borderId="0" xfId="0" applyNumberFormat="1" applyFill="1" applyAlignment="1">
      <alignment horizontal="center"/>
    </xf>
    <xf numFmtId="43" fontId="0" fillId="6" borderId="0" xfId="1" applyFont="1" applyFill="1"/>
    <xf numFmtId="43" fontId="13" fillId="6" borderId="0" xfId="1" applyFont="1" applyFill="1"/>
    <xf numFmtId="0" fontId="2" fillId="2" borderId="0" xfId="0" applyFont="1" applyFill="1"/>
    <xf numFmtId="1" fontId="2" fillId="2" borderId="0" xfId="0" applyNumberFormat="1" applyFont="1" applyFill="1"/>
    <xf numFmtId="4" fontId="2" fillId="2" borderId="0" xfId="0" applyNumberFormat="1" applyFont="1" applyFill="1"/>
    <xf numFmtId="43" fontId="2" fillId="2" borderId="0" xfId="1" applyFont="1" applyFill="1"/>
    <xf numFmtId="43" fontId="16" fillId="0" borderId="1" xfId="1" applyFont="1" applyBorder="1"/>
    <xf numFmtId="0" fontId="16" fillId="0" borderId="1" xfId="0" applyFont="1" applyBorder="1"/>
    <xf numFmtId="4" fontId="0" fillId="0" borderId="0" xfId="1" applyNumberFormat="1" applyFont="1"/>
    <xf numFmtId="1" fontId="2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1" fontId="2" fillId="3" borderId="0" xfId="0" applyNumberFormat="1" applyFont="1" applyFill="1"/>
    <xf numFmtId="43" fontId="2" fillId="3" borderId="0" xfId="1" applyFont="1" applyFill="1"/>
    <xf numFmtId="4" fontId="2" fillId="3" borderId="0" xfId="0" applyNumberFormat="1" applyFont="1" applyFill="1"/>
    <xf numFmtId="43" fontId="0" fillId="13" borderId="0" xfId="1" applyFont="1" applyFill="1"/>
    <xf numFmtId="43" fontId="0" fillId="13" borderId="0" xfId="0" applyNumberFormat="1" applyFill="1"/>
    <xf numFmtId="43" fontId="2" fillId="13" borderId="0" xfId="1" applyFont="1" applyFill="1"/>
    <xf numFmtId="43" fontId="2" fillId="1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43" fontId="0" fillId="7" borderId="0" xfId="1" applyFont="1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8" borderId="0" xfId="0" applyFill="1" applyAlignment="1">
      <alignment horizontal="left"/>
    </xf>
    <xf numFmtId="0" fontId="0" fillId="8" borderId="0" xfId="0" applyNumberFormat="1" applyFill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3" fillId="0" borderId="0" xfId="0" applyFont="1"/>
    <xf numFmtId="0" fontId="0" fillId="0" borderId="0" xfId="0"/>
    <xf numFmtId="0" fontId="6" fillId="10" borderId="2" xfId="0" applyFont="1" applyFill="1" applyBorder="1"/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1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22" fontId="11" fillId="0" borderId="0" xfId="0" applyNumberFormat="1" applyFont="1" applyAlignment="1">
      <alignment horizontal="left" vertical="center"/>
    </xf>
    <xf numFmtId="0" fontId="11" fillId="9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center" vertical="center" wrapText="1"/>
    </xf>
    <xf numFmtId="0" fontId="5" fillId="10" borderId="2" xfId="0" applyFont="1" applyFill="1" applyBorder="1"/>
  </cellXfs>
  <cellStyles count="2">
    <cellStyle name="Millares" xfId="1" builtinId="3"/>
    <cellStyle name="Normal" xfId="0" builtinId="0"/>
  </cellStyles>
  <dxfs count="62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P%202025-08%20(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0"/>
      <sheetName val="Detallado"/>
      <sheetName val="Tabla Resumen (M)"/>
      <sheetName val="TR"/>
      <sheetName val="Tabla Resumen"/>
      <sheetName val="SIRCUPA"/>
      <sheetName val="SIRTAC"/>
      <sheetName val="Gastos"/>
      <sheetName val="IDC"/>
      <sheetName val="Hoja3"/>
    </sheetNames>
    <sheetDataSet>
      <sheetData sheetId="0"/>
      <sheetData sheetId="1">
        <row r="149">
          <cell r="C149">
            <v>122948502349</v>
          </cell>
          <cell r="D149">
            <v>-44301.919999999998</v>
          </cell>
          <cell r="E149">
            <v>8706917.6199999992</v>
          </cell>
          <cell r="F149"/>
          <cell r="G149">
            <v>-44301.919999999998</v>
          </cell>
        </row>
        <row r="150">
          <cell r="C150">
            <v>120192543709</v>
          </cell>
          <cell r="D150">
            <v>-26073.72</v>
          </cell>
          <cell r="E150">
            <v>5883020.0199999996</v>
          </cell>
          <cell r="F150"/>
          <cell r="G150">
            <v>-26073.72</v>
          </cell>
        </row>
        <row r="151">
          <cell r="C151">
            <v>121455371900</v>
          </cell>
          <cell r="D151">
            <v>-13328.12</v>
          </cell>
          <cell r="E151">
            <v>7394486.5700000003</v>
          </cell>
          <cell r="F151"/>
          <cell r="G151">
            <v>-13328.12</v>
          </cell>
        </row>
        <row r="152">
          <cell r="C152">
            <v>120695012008</v>
          </cell>
          <cell r="D152">
            <v>-7626.36</v>
          </cell>
          <cell r="E152">
            <v>5652148.4500000002</v>
          </cell>
          <cell r="F152"/>
          <cell r="G152">
            <v>-7626.36</v>
          </cell>
        </row>
        <row r="153">
          <cell r="C153">
            <v>121460199230</v>
          </cell>
          <cell r="D153">
            <v>2143.46</v>
          </cell>
          <cell r="E153">
            <v>7975716.0599999996</v>
          </cell>
          <cell r="F153"/>
          <cell r="G153">
            <v>2143.46</v>
          </cell>
        </row>
        <row r="154">
          <cell r="C154">
            <v>122943005205</v>
          </cell>
          <cell r="D154">
            <v>2533.1799999999998</v>
          </cell>
          <cell r="E154">
            <v>8420624.8399999999</v>
          </cell>
          <cell r="F154"/>
          <cell r="G154">
            <v>2533.1799999999998</v>
          </cell>
        </row>
        <row r="155">
          <cell r="C155">
            <v>121728708178</v>
          </cell>
          <cell r="D155">
            <v>3117.76</v>
          </cell>
          <cell r="E155">
            <v>9489639.2400000002</v>
          </cell>
          <cell r="F155"/>
          <cell r="G155">
            <v>3117.76</v>
          </cell>
        </row>
        <row r="156">
          <cell r="C156">
            <v>122697408595</v>
          </cell>
          <cell r="D156">
            <v>3177.65</v>
          </cell>
          <cell r="E156">
            <v>4911057.63</v>
          </cell>
          <cell r="F156"/>
          <cell r="G156">
            <v>3177.65</v>
          </cell>
        </row>
        <row r="157">
          <cell r="C157">
            <v>120839203760</v>
          </cell>
          <cell r="D157">
            <v>3306.45</v>
          </cell>
          <cell r="E157">
            <v>10052356.51</v>
          </cell>
          <cell r="F157"/>
          <cell r="G157">
            <v>3306.45</v>
          </cell>
        </row>
        <row r="158">
          <cell r="C158">
            <v>121202816585</v>
          </cell>
          <cell r="D158">
            <v>3306.45</v>
          </cell>
          <cell r="E158">
            <v>8646124.0299999993</v>
          </cell>
          <cell r="F158"/>
          <cell r="G158">
            <v>3306.45</v>
          </cell>
        </row>
        <row r="159">
          <cell r="C159">
            <v>123521643821</v>
          </cell>
          <cell r="D159">
            <v>3306.45</v>
          </cell>
          <cell r="E159">
            <v>8429436.6500000004</v>
          </cell>
          <cell r="F159"/>
          <cell r="G159">
            <v>3306.45</v>
          </cell>
        </row>
        <row r="160">
          <cell r="C160">
            <v>120941943595</v>
          </cell>
          <cell r="D160">
            <v>3386.95</v>
          </cell>
          <cell r="E160">
            <v>8306575.75</v>
          </cell>
          <cell r="F160"/>
          <cell r="G160">
            <v>3386.95</v>
          </cell>
        </row>
        <row r="161">
          <cell r="C161">
            <v>123241516358</v>
          </cell>
          <cell r="D161">
            <v>3386.95</v>
          </cell>
          <cell r="E161">
            <v>5402351.0599999996</v>
          </cell>
          <cell r="F161"/>
          <cell r="G161">
            <v>3386.95</v>
          </cell>
        </row>
        <row r="162">
          <cell r="C162">
            <v>120067681859</v>
          </cell>
          <cell r="D162">
            <v>3410.05</v>
          </cell>
          <cell r="E162">
            <v>5420521.6399999997</v>
          </cell>
          <cell r="F162"/>
          <cell r="G162">
            <v>3410.05</v>
          </cell>
        </row>
        <row r="163">
          <cell r="C163">
            <v>120715627536</v>
          </cell>
          <cell r="D163">
            <v>3410.05</v>
          </cell>
          <cell r="E163">
            <v>6410874.5899999999</v>
          </cell>
          <cell r="F163"/>
          <cell r="G163">
            <v>3410.05</v>
          </cell>
        </row>
        <row r="164">
          <cell r="C164">
            <v>120907859490</v>
          </cell>
          <cell r="D164">
            <v>3410.05</v>
          </cell>
          <cell r="E164">
            <v>10268046.67</v>
          </cell>
          <cell r="F164"/>
          <cell r="G164">
            <v>3410.05</v>
          </cell>
        </row>
        <row r="165">
          <cell r="C165">
            <v>121444152266</v>
          </cell>
          <cell r="D165">
            <v>3410.05</v>
          </cell>
          <cell r="E165">
            <v>7103891.29</v>
          </cell>
          <cell r="F165"/>
          <cell r="G165">
            <v>3410.05</v>
          </cell>
        </row>
        <row r="166">
          <cell r="C166">
            <v>120924119233</v>
          </cell>
          <cell r="D166">
            <v>3410.05</v>
          </cell>
          <cell r="E166">
            <v>7144324.7400000002</v>
          </cell>
          <cell r="F166"/>
          <cell r="G166">
            <v>3410.05</v>
          </cell>
        </row>
        <row r="167">
          <cell r="C167">
            <v>121460979978</v>
          </cell>
          <cell r="D167">
            <v>3410.05</v>
          </cell>
          <cell r="E167">
            <v>8058628.9900000002</v>
          </cell>
          <cell r="F167"/>
          <cell r="G167">
            <v>3410.05</v>
          </cell>
        </row>
        <row r="168">
          <cell r="C168">
            <v>121879829991</v>
          </cell>
          <cell r="D168">
            <v>3410.05</v>
          </cell>
          <cell r="E168">
            <v>5370146.5499999998</v>
          </cell>
          <cell r="F168"/>
          <cell r="G168">
            <v>3410.05</v>
          </cell>
        </row>
        <row r="169">
          <cell r="C169">
            <v>122410601160</v>
          </cell>
          <cell r="D169">
            <v>3410.05</v>
          </cell>
          <cell r="E169">
            <v>5585812.8700000001</v>
          </cell>
          <cell r="F169"/>
          <cell r="G169">
            <v>3410.05</v>
          </cell>
        </row>
        <row r="170">
          <cell r="C170">
            <v>122413096518</v>
          </cell>
          <cell r="D170">
            <v>3410.05</v>
          </cell>
          <cell r="E170">
            <v>5944327.7599999998</v>
          </cell>
          <cell r="F170"/>
          <cell r="G170">
            <v>3410.05</v>
          </cell>
        </row>
        <row r="171">
          <cell r="C171">
            <v>123116612790</v>
          </cell>
          <cell r="D171">
            <v>3410.05</v>
          </cell>
          <cell r="E171">
            <v>5739164.3099999996</v>
          </cell>
          <cell r="F171"/>
          <cell r="G171">
            <v>3410.05</v>
          </cell>
        </row>
        <row r="172">
          <cell r="C172">
            <v>122703024887</v>
          </cell>
          <cell r="D172">
            <v>3410.05</v>
          </cell>
          <cell r="E172">
            <v>5120841.8</v>
          </cell>
          <cell r="F172"/>
          <cell r="G172">
            <v>3410.05</v>
          </cell>
        </row>
        <row r="173">
          <cell r="C173">
            <v>122710301721</v>
          </cell>
          <cell r="D173">
            <v>3410.05</v>
          </cell>
          <cell r="E173">
            <v>5970576.04</v>
          </cell>
          <cell r="F173"/>
          <cell r="G173">
            <v>3410.05</v>
          </cell>
        </row>
        <row r="174">
          <cell r="C174">
            <v>122710584293</v>
          </cell>
          <cell r="D174">
            <v>3410.05</v>
          </cell>
          <cell r="E174">
            <v>5974157.4100000001</v>
          </cell>
          <cell r="F174"/>
          <cell r="G174">
            <v>3410.05</v>
          </cell>
        </row>
        <row r="175">
          <cell r="C175">
            <v>122839647581</v>
          </cell>
          <cell r="D175">
            <v>3410.05</v>
          </cell>
          <cell r="E175">
            <v>6549688.3700000001</v>
          </cell>
          <cell r="F175"/>
          <cell r="G175">
            <v>3410.05</v>
          </cell>
        </row>
        <row r="176">
          <cell r="C176">
            <v>123485623956</v>
          </cell>
          <cell r="D176">
            <v>3410.05</v>
          </cell>
          <cell r="E176">
            <v>8808557.8900000006</v>
          </cell>
          <cell r="F176"/>
          <cell r="G176">
            <v>3410.05</v>
          </cell>
        </row>
        <row r="177">
          <cell r="C177">
            <v>123518341721</v>
          </cell>
          <cell r="D177">
            <v>3410.05</v>
          </cell>
          <cell r="E177">
            <v>8336585.5</v>
          </cell>
          <cell r="F177"/>
          <cell r="G177">
            <v>3410.05</v>
          </cell>
        </row>
        <row r="178">
          <cell r="C178">
            <v>123525335101</v>
          </cell>
          <cell r="D178">
            <v>3410.05</v>
          </cell>
          <cell r="E178">
            <v>8833584.0500000007</v>
          </cell>
          <cell r="F178"/>
          <cell r="G178">
            <v>3410.05</v>
          </cell>
        </row>
        <row r="179">
          <cell r="C179">
            <v>123526122287</v>
          </cell>
          <cell r="D179">
            <v>3410.05</v>
          </cell>
          <cell r="E179">
            <v>9053964.1099999994</v>
          </cell>
          <cell r="F179"/>
          <cell r="G179">
            <v>3410.05</v>
          </cell>
        </row>
        <row r="180">
          <cell r="C180">
            <v>124067869234</v>
          </cell>
          <cell r="D180">
            <v>3410.05</v>
          </cell>
          <cell r="E180">
            <v>9300360.7899999991</v>
          </cell>
          <cell r="F180"/>
          <cell r="G180">
            <v>3410.05</v>
          </cell>
        </row>
        <row r="181">
          <cell r="C181">
            <v>124068143022</v>
          </cell>
          <cell r="D181">
            <v>3410.05</v>
          </cell>
          <cell r="E181">
            <v>9307960.3300000001</v>
          </cell>
          <cell r="F181"/>
          <cell r="G181">
            <v>3410.05</v>
          </cell>
        </row>
        <row r="182">
          <cell r="C182">
            <v>124205640694</v>
          </cell>
          <cell r="D182">
            <v>3410.05</v>
          </cell>
          <cell r="E182">
            <v>9584559.0399999991</v>
          </cell>
          <cell r="F182"/>
          <cell r="G182">
            <v>3410.05</v>
          </cell>
        </row>
        <row r="183">
          <cell r="C183">
            <v>124207957624</v>
          </cell>
          <cell r="D183">
            <v>3410.05</v>
          </cell>
          <cell r="E183">
            <v>10036339.119999999</v>
          </cell>
          <cell r="F183"/>
          <cell r="G183">
            <v>3410.05</v>
          </cell>
        </row>
        <row r="184">
          <cell r="C184">
            <v>124208268388</v>
          </cell>
          <cell r="D184">
            <v>3410.05</v>
          </cell>
          <cell r="E184">
            <v>10245326.470000001</v>
          </cell>
          <cell r="F184"/>
          <cell r="G184">
            <v>3410.05</v>
          </cell>
        </row>
        <row r="185">
          <cell r="C185">
            <v>124321606390</v>
          </cell>
          <cell r="D185">
            <v>3410.05</v>
          </cell>
          <cell r="E185">
            <v>12050359.93</v>
          </cell>
          <cell r="F185"/>
          <cell r="G185">
            <v>3410.05</v>
          </cell>
        </row>
        <row r="186">
          <cell r="C186">
            <v>124390529108</v>
          </cell>
          <cell r="D186">
            <v>3410.05</v>
          </cell>
          <cell r="E186">
            <v>12724547.720000001</v>
          </cell>
          <cell r="F186"/>
          <cell r="G186">
            <v>3410.05</v>
          </cell>
        </row>
        <row r="187">
          <cell r="C187">
            <v>120705061106</v>
          </cell>
          <cell r="D187">
            <v>3507.48</v>
          </cell>
          <cell r="E187">
            <v>5803473.8300000001</v>
          </cell>
          <cell r="F187"/>
          <cell r="G187">
            <v>3507.48</v>
          </cell>
        </row>
        <row r="188">
          <cell r="C188">
            <v>121452788516</v>
          </cell>
          <cell r="D188">
            <v>3540.81</v>
          </cell>
          <cell r="E188">
            <v>7300009.0199999996</v>
          </cell>
          <cell r="F188"/>
          <cell r="G188">
            <v>3540.81</v>
          </cell>
        </row>
        <row r="189">
          <cell r="C189">
            <v>120720918446</v>
          </cell>
          <cell r="D189">
            <v>3573.56</v>
          </cell>
          <cell r="E189">
            <v>7156048.6500000004</v>
          </cell>
          <cell r="F189"/>
          <cell r="G189">
            <v>3573.56</v>
          </cell>
        </row>
        <row r="190">
          <cell r="C190">
            <v>122397569926</v>
          </cell>
          <cell r="D190">
            <v>3660.54</v>
          </cell>
          <cell r="E190">
            <v>4274397.2699999996</v>
          </cell>
          <cell r="F190"/>
          <cell r="G190">
            <v>3660.54</v>
          </cell>
        </row>
        <row r="191">
          <cell r="C191">
            <v>124052627706</v>
          </cell>
          <cell r="D191">
            <v>3660.54</v>
          </cell>
          <cell r="E191">
            <v>8194632.46</v>
          </cell>
          <cell r="F191"/>
          <cell r="G191">
            <v>3660.54</v>
          </cell>
        </row>
        <row r="192">
          <cell r="C192">
            <v>124059087060</v>
          </cell>
          <cell r="D192">
            <v>3684.33</v>
          </cell>
          <cell r="E192">
            <v>8340269.8300000001</v>
          </cell>
          <cell r="F192"/>
          <cell r="G192">
            <v>3684.33</v>
          </cell>
        </row>
        <row r="193">
          <cell r="C193">
            <v>124061612232</v>
          </cell>
          <cell r="D193">
            <v>3684.33</v>
          </cell>
          <cell r="E193">
            <v>8385722.9900000002</v>
          </cell>
          <cell r="F193"/>
          <cell r="G193">
            <v>3684.33</v>
          </cell>
        </row>
        <row r="194">
          <cell r="C194">
            <v>122650073202</v>
          </cell>
          <cell r="D194">
            <v>3722.39</v>
          </cell>
          <cell r="E194">
            <v>8267746.6699999999</v>
          </cell>
          <cell r="F194"/>
          <cell r="G194">
            <v>3722.39</v>
          </cell>
        </row>
        <row r="195">
          <cell r="C195">
            <v>122118607489</v>
          </cell>
          <cell r="D195">
            <v>3774.03</v>
          </cell>
          <cell r="E195">
            <v>8264024.2800000003</v>
          </cell>
          <cell r="F195"/>
          <cell r="G195">
            <v>3774.03</v>
          </cell>
        </row>
        <row r="196">
          <cell r="C196">
            <v>123235351720</v>
          </cell>
          <cell r="D196">
            <v>3774.03</v>
          </cell>
          <cell r="E196">
            <v>4942907.12</v>
          </cell>
          <cell r="F196"/>
          <cell r="G196">
            <v>3774.03</v>
          </cell>
        </row>
        <row r="197">
          <cell r="C197">
            <v>121318653304</v>
          </cell>
          <cell r="D197">
            <v>3778.8</v>
          </cell>
          <cell r="E197">
            <v>7197387.9800000004</v>
          </cell>
          <cell r="F197"/>
          <cell r="G197">
            <v>3778.8</v>
          </cell>
        </row>
        <row r="198">
          <cell r="C198">
            <v>120063630817</v>
          </cell>
          <cell r="D198">
            <v>3799.77</v>
          </cell>
          <cell r="E198">
            <v>4721662.2</v>
          </cell>
          <cell r="F198"/>
          <cell r="G198">
            <v>3799.77</v>
          </cell>
        </row>
        <row r="199">
          <cell r="C199">
            <v>120065657185</v>
          </cell>
          <cell r="D199">
            <v>3799.77</v>
          </cell>
          <cell r="E199">
            <v>5100391.58</v>
          </cell>
          <cell r="F199"/>
          <cell r="G199">
            <v>3799.77</v>
          </cell>
        </row>
        <row r="200">
          <cell r="C200">
            <v>120582610662</v>
          </cell>
          <cell r="D200">
            <v>3799.77</v>
          </cell>
          <cell r="E200">
            <v>5250798.58</v>
          </cell>
          <cell r="F200"/>
          <cell r="G200">
            <v>3799.77</v>
          </cell>
        </row>
        <row r="201">
          <cell r="C201">
            <v>120718163232</v>
          </cell>
          <cell r="D201">
            <v>3799.77</v>
          </cell>
          <cell r="E201">
            <v>6798128.1399999997</v>
          </cell>
          <cell r="F201"/>
          <cell r="G201">
            <v>3799.77</v>
          </cell>
        </row>
        <row r="202">
          <cell r="C202">
            <v>120321909935</v>
          </cell>
          <cell r="D202">
            <v>3799.77</v>
          </cell>
          <cell r="E202">
            <v>9894389.3800000008</v>
          </cell>
          <cell r="F202"/>
          <cell r="G202">
            <v>3799.77</v>
          </cell>
        </row>
        <row r="203">
          <cell r="C203">
            <v>120932720805</v>
          </cell>
          <cell r="D203">
            <v>3799.77</v>
          </cell>
          <cell r="E203">
            <v>7366018.29</v>
          </cell>
          <cell r="F203"/>
          <cell r="G203">
            <v>3799.77</v>
          </cell>
        </row>
        <row r="204">
          <cell r="C204">
            <v>120935088285</v>
          </cell>
          <cell r="D204">
            <v>3799.77</v>
          </cell>
          <cell r="E204">
            <v>7484552.8499999996</v>
          </cell>
          <cell r="F204"/>
          <cell r="G204">
            <v>3799.77</v>
          </cell>
        </row>
        <row r="205">
          <cell r="C205">
            <v>121875794865</v>
          </cell>
          <cell r="D205">
            <v>3799.77</v>
          </cell>
          <cell r="E205">
            <v>4841871.12</v>
          </cell>
          <cell r="F205"/>
          <cell r="G205">
            <v>3799.77</v>
          </cell>
        </row>
        <row r="206">
          <cell r="C206">
            <v>122811074877</v>
          </cell>
          <cell r="D206">
            <v>3799.77</v>
          </cell>
          <cell r="E206">
            <v>6086251.4199999999</v>
          </cell>
          <cell r="F206"/>
          <cell r="G206">
            <v>3799.77</v>
          </cell>
        </row>
        <row r="207">
          <cell r="C207">
            <v>122834457349</v>
          </cell>
          <cell r="D207">
            <v>3799.77</v>
          </cell>
          <cell r="E207">
            <v>6339876.2199999997</v>
          </cell>
          <cell r="F207"/>
          <cell r="G207">
            <v>3799.77</v>
          </cell>
        </row>
        <row r="208">
          <cell r="C208">
            <v>122948952515</v>
          </cell>
          <cell r="D208">
            <v>3799.77</v>
          </cell>
          <cell r="E208">
            <v>8718316.9299999997</v>
          </cell>
          <cell r="F208"/>
          <cell r="G208">
            <v>3799.77</v>
          </cell>
        </row>
        <row r="209">
          <cell r="C209">
            <v>123017494627</v>
          </cell>
          <cell r="D209">
            <v>3799.77</v>
          </cell>
          <cell r="E209">
            <v>10267160.76</v>
          </cell>
          <cell r="F209"/>
          <cell r="G209">
            <v>3799.77</v>
          </cell>
        </row>
        <row r="210">
          <cell r="C210">
            <v>124057403916</v>
          </cell>
          <cell r="D210">
            <v>3799.77</v>
          </cell>
          <cell r="E210">
            <v>8292714.1299999999</v>
          </cell>
          <cell r="F210"/>
          <cell r="G210">
            <v>3799.77</v>
          </cell>
        </row>
        <row r="211">
          <cell r="C211">
            <v>123517577903</v>
          </cell>
          <cell r="D211">
            <v>3799.77</v>
          </cell>
          <cell r="E211">
            <v>8316544.7699999996</v>
          </cell>
          <cell r="F211"/>
          <cell r="G211">
            <v>3799.77</v>
          </cell>
        </row>
        <row r="212">
          <cell r="C212">
            <v>123778486357</v>
          </cell>
          <cell r="D212">
            <v>3799.77</v>
          </cell>
          <cell r="E212">
            <v>11815382.68</v>
          </cell>
          <cell r="F212"/>
          <cell r="G212">
            <v>3799.77</v>
          </cell>
        </row>
        <row r="213">
          <cell r="C213">
            <v>120709633684</v>
          </cell>
          <cell r="D213">
            <v>3873.27</v>
          </cell>
          <cell r="E213">
            <v>5969604.1500000004</v>
          </cell>
          <cell r="F213"/>
          <cell r="G213">
            <v>3873.27</v>
          </cell>
        </row>
        <row r="214">
          <cell r="C214">
            <v>120931657967</v>
          </cell>
          <cell r="D214">
            <v>3903.97</v>
          </cell>
          <cell r="E214">
            <v>7310483.1900000004</v>
          </cell>
          <cell r="F214"/>
          <cell r="G214">
            <v>3903.97</v>
          </cell>
        </row>
        <row r="215">
          <cell r="C215">
            <v>121660175435</v>
          </cell>
          <cell r="D215">
            <v>3903.97</v>
          </cell>
          <cell r="E215">
            <v>5328070.8</v>
          </cell>
          <cell r="F215"/>
          <cell r="G215">
            <v>3903.97</v>
          </cell>
        </row>
        <row r="216">
          <cell r="C216">
            <v>121880179821</v>
          </cell>
          <cell r="D216">
            <v>3903.97</v>
          </cell>
          <cell r="E216">
            <v>5574080.5999999996</v>
          </cell>
          <cell r="F216"/>
          <cell r="G216">
            <v>3903.97</v>
          </cell>
        </row>
        <row r="217">
          <cell r="C217">
            <v>122117015823</v>
          </cell>
          <cell r="D217">
            <v>3903.97</v>
          </cell>
          <cell r="E217">
            <v>8199843.6500000004</v>
          </cell>
          <cell r="F217"/>
          <cell r="G217">
            <v>3903.97</v>
          </cell>
        </row>
        <row r="218">
          <cell r="C218">
            <v>122191654615</v>
          </cell>
          <cell r="D218">
            <v>3903.97</v>
          </cell>
          <cell r="E218">
            <v>9555081.0199999996</v>
          </cell>
          <cell r="F218"/>
          <cell r="G218">
            <v>3903.97</v>
          </cell>
        </row>
        <row r="219">
          <cell r="C219">
            <v>123216335668</v>
          </cell>
          <cell r="D219">
            <v>3903.97</v>
          </cell>
          <cell r="E219">
            <v>4755487.74</v>
          </cell>
          <cell r="F219"/>
          <cell r="G219">
            <v>3903.97</v>
          </cell>
        </row>
        <row r="220">
          <cell r="C220">
            <v>123231080004</v>
          </cell>
          <cell r="D220">
            <v>3903.97</v>
          </cell>
          <cell r="E220">
            <v>4903817.7699999996</v>
          </cell>
          <cell r="F220"/>
          <cell r="G220">
            <v>3903.97</v>
          </cell>
        </row>
        <row r="221">
          <cell r="C221">
            <v>123368775458</v>
          </cell>
          <cell r="D221">
            <v>3903.97</v>
          </cell>
          <cell r="E221">
            <v>6315713.0599999996</v>
          </cell>
          <cell r="F221"/>
          <cell r="G221">
            <v>3903.97</v>
          </cell>
        </row>
        <row r="222">
          <cell r="C222">
            <v>123661343671</v>
          </cell>
          <cell r="D222">
            <v>3903.97</v>
          </cell>
          <cell r="E222">
            <v>9165449.7300000004</v>
          </cell>
          <cell r="F222"/>
          <cell r="G222">
            <v>3903.97</v>
          </cell>
        </row>
        <row r="223">
          <cell r="C223">
            <v>120186774259</v>
          </cell>
          <cell r="D223">
            <v>3967.57</v>
          </cell>
          <cell r="E223">
            <v>5759888.1299999999</v>
          </cell>
          <cell r="F223"/>
          <cell r="G223">
            <v>3967.57</v>
          </cell>
        </row>
        <row r="224">
          <cell r="C224">
            <v>120063879853</v>
          </cell>
          <cell r="D224">
            <v>3994.63</v>
          </cell>
          <cell r="E224">
            <v>4794150.12</v>
          </cell>
          <cell r="F224"/>
          <cell r="G224">
            <v>3994.63</v>
          </cell>
        </row>
        <row r="225">
          <cell r="C225">
            <v>120585975496</v>
          </cell>
          <cell r="D225">
            <v>3994.63</v>
          </cell>
          <cell r="E225">
            <v>5648407.3200000003</v>
          </cell>
          <cell r="F225"/>
          <cell r="G225">
            <v>3994.63</v>
          </cell>
        </row>
        <row r="226">
          <cell r="C226">
            <v>120712382446</v>
          </cell>
          <cell r="D226">
            <v>3994.63</v>
          </cell>
          <cell r="E226">
            <v>6027535.2000000002</v>
          </cell>
          <cell r="F226"/>
          <cell r="G226">
            <v>3994.63</v>
          </cell>
        </row>
        <row r="227">
          <cell r="C227">
            <v>120721828940</v>
          </cell>
          <cell r="D227">
            <v>3994.63</v>
          </cell>
          <cell r="E227">
            <v>7297282.3099999996</v>
          </cell>
          <cell r="F227"/>
          <cell r="G227">
            <v>3994.63</v>
          </cell>
        </row>
        <row r="228">
          <cell r="C228">
            <v>120298997419</v>
          </cell>
          <cell r="D228">
            <v>3994.63</v>
          </cell>
          <cell r="E228">
            <v>8159301.4699999997</v>
          </cell>
          <cell r="F228"/>
          <cell r="G228">
            <v>3994.63</v>
          </cell>
        </row>
        <row r="229">
          <cell r="C229">
            <v>121451356724</v>
          </cell>
          <cell r="D229">
            <v>3994.63</v>
          </cell>
          <cell r="E229">
            <v>7236383.75</v>
          </cell>
          <cell r="F229"/>
          <cell r="G229">
            <v>3994.63</v>
          </cell>
        </row>
        <row r="230">
          <cell r="C230">
            <v>121454345340</v>
          </cell>
          <cell r="D230">
            <v>3994.63</v>
          </cell>
          <cell r="E230">
            <v>7362218.5199999996</v>
          </cell>
          <cell r="F230"/>
          <cell r="G230">
            <v>3994.63</v>
          </cell>
        </row>
        <row r="231">
          <cell r="C231">
            <v>120934213957</v>
          </cell>
          <cell r="D231">
            <v>3994.63</v>
          </cell>
          <cell r="E231">
            <v>7411340.0199999996</v>
          </cell>
          <cell r="F231"/>
          <cell r="G231">
            <v>3994.63</v>
          </cell>
        </row>
        <row r="232">
          <cell r="C232">
            <v>121458242230</v>
          </cell>
          <cell r="D232">
            <v>3994.63</v>
          </cell>
          <cell r="E232">
            <v>7651185.1900000004</v>
          </cell>
          <cell r="F232"/>
          <cell r="G232">
            <v>3994.63</v>
          </cell>
        </row>
        <row r="233">
          <cell r="C233">
            <v>121462310610</v>
          </cell>
          <cell r="D233">
            <v>3994.63</v>
          </cell>
          <cell r="E233">
            <v>8152006.1900000004</v>
          </cell>
          <cell r="F233"/>
          <cell r="G233">
            <v>3994.63</v>
          </cell>
        </row>
        <row r="234">
          <cell r="C234">
            <v>121880084199</v>
          </cell>
          <cell r="D234">
            <v>3994.63</v>
          </cell>
          <cell r="E234">
            <v>5411800.0800000001</v>
          </cell>
          <cell r="F234"/>
          <cell r="G234">
            <v>3994.63</v>
          </cell>
        </row>
        <row r="235">
          <cell r="C235">
            <v>122406412086</v>
          </cell>
          <cell r="D235">
            <v>4035.98</v>
          </cell>
          <cell r="E235">
            <v>5059950.3899999997</v>
          </cell>
          <cell r="F235"/>
          <cell r="G235">
            <v>4035.98</v>
          </cell>
        </row>
        <row r="236">
          <cell r="C236">
            <v>124046176996</v>
          </cell>
          <cell r="D236">
            <v>4035.98</v>
          </cell>
          <cell r="E236">
            <v>8115461.7800000003</v>
          </cell>
          <cell r="F236"/>
          <cell r="G236">
            <v>4035.98</v>
          </cell>
        </row>
        <row r="237">
          <cell r="C237">
            <v>124068661950</v>
          </cell>
          <cell r="D237">
            <v>4035.98</v>
          </cell>
          <cell r="E237">
            <v>9347224.9900000002</v>
          </cell>
          <cell r="F237"/>
          <cell r="G237">
            <v>4035.98</v>
          </cell>
        </row>
        <row r="238">
          <cell r="C238">
            <v>123528654793</v>
          </cell>
          <cell r="D238">
            <v>4035.98</v>
          </cell>
          <cell r="E238">
            <v>9359639.9499999993</v>
          </cell>
          <cell r="F238"/>
          <cell r="G238">
            <v>4035.98</v>
          </cell>
        </row>
        <row r="239">
          <cell r="C239">
            <v>123853968405</v>
          </cell>
          <cell r="D239">
            <v>4035.98</v>
          </cell>
          <cell r="E239">
            <v>12772719.49</v>
          </cell>
          <cell r="F239"/>
          <cell r="G239">
            <v>4035.98</v>
          </cell>
        </row>
        <row r="240">
          <cell r="C240">
            <v>120929816019</v>
          </cell>
          <cell r="D240">
            <v>4062.21</v>
          </cell>
          <cell r="E240">
            <v>7296468.21</v>
          </cell>
          <cell r="F240"/>
          <cell r="G240">
            <v>4062.21</v>
          </cell>
        </row>
        <row r="241">
          <cell r="C241">
            <v>121718639310</v>
          </cell>
          <cell r="D241">
            <v>4062.21</v>
          </cell>
          <cell r="E241">
            <v>7900615.54</v>
          </cell>
          <cell r="F241"/>
          <cell r="G241">
            <v>4062.21</v>
          </cell>
        </row>
        <row r="242">
          <cell r="C242">
            <v>121795784218</v>
          </cell>
          <cell r="D242">
            <v>4062.21</v>
          </cell>
          <cell r="E242">
            <v>9857384.8499999996</v>
          </cell>
          <cell r="F242"/>
          <cell r="G242">
            <v>4062.21</v>
          </cell>
        </row>
        <row r="243">
          <cell r="C243">
            <v>121862829387</v>
          </cell>
          <cell r="D243">
            <v>4062.21</v>
          </cell>
          <cell r="E243">
            <v>4227869.5599999996</v>
          </cell>
          <cell r="F243"/>
          <cell r="G243">
            <v>4062.21</v>
          </cell>
        </row>
        <row r="244">
          <cell r="C244">
            <v>121986095127</v>
          </cell>
          <cell r="D244">
            <v>4062.21</v>
          </cell>
          <cell r="E244">
            <v>6016445.4900000002</v>
          </cell>
          <cell r="F244"/>
          <cell r="G244">
            <v>4062.21</v>
          </cell>
        </row>
        <row r="245">
          <cell r="C245">
            <v>123232256188</v>
          </cell>
          <cell r="D245">
            <v>4062.21</v>
          </cell>
          <cell r="E245">
            <v>4907879.9800000004</v>
          </cell>
          <cell r="F245"/>
          <cell r="G245">
            <v>4062.21</v>
          </cell>
        </row>
        <row r="246">
          <cell r="C246">
            <v>122943471353</v>
          </cell>
          <cell r="D246">
            <v>4062.21</v>
          </cell>
          <cell r="E246">
            <v>8436865.8000000007</v>
          </cell>
          <cell r="F246"/>
          <cell r="G246">
            <v>4062.21</v>
          </cell>
        </row>
        <row r="247">
          <cell r="C247">
            <v>124053691602</v>
          </cell>
          <cell r="D247">
            <v>4062.21</v>
          </cell>
          <cell r="E247">
            <v>8207588.8200000003</v>
          </cell>
          <cell r="F247"/>
          <cell r="G247">
            <v>4062.21</v>
          </cell>
        </row>
        <row r="248">
          <cell r="C248">
            <v>123518166681</v>
          </cell>
          <cell r="D248">
            <v>4062.21</v>
          </cell>
          <cell r="E248">
            <v>8324796.4699999997</v>
          </cell>
          <cell r="F248"/>
          <cell r="G248">
            <v>4062.21</v>
          </cell>
        </row>
        <row r="249">
          <cell r="C249">
            <v>122394701654</v>
          </cell>
          <cell r="D249">
            <v>4161.1099999999997</v>
          </cell>
          <cell r="E249">
            <v>4237146.92</v>
          </cell>
          <cell r="F249"/>
          <cell r="G249">
            <v>4161.1099999999997</v>
          </cell>
        </row>
        <row r="250">
          <cell r="C250">
            <v>121880003707</v>
          </cell>
          <cell r="D250">
            <v>4161.1099999999997</v>
          </cell>
          <cell r="E250">
            <v>5415961.1900000004</v>
          </cell>
          <cell r="F250"/>
          <cell r="G250">
            <v>4161.1099999999997</v>
          </cell>
        </row>
        <row r="251">
          <cell r="C251">
            <v>122706015161</v>
          </cell>
          <cell r="D251">
            <v>4161.1099999999997</v>
          </cell>
          <cell r="E251">
            <v>5398964.1100000003</v>
          </cell>
          <cell r="F251"/>
          <cell r="G251">
            <v>4161.1099999999997</v>
          </cell>
        </row>
        <row r="252">
          <cell r="C252">
            <v>123365553274</v>
          </cell>
          <cell r="D252">
            <v>4161.1099999999997</v>
          </cell>
          <cell r="E252">
            <v>6231258.4500000002</v>
          </cell>
          <cell r="F252"/>
          <cell r="G252">
            <v>4161.1099999999997</v>
          </cell>
        </row>
        <row r="253">
          <cell r="C253">
            <v>120319481565</v>
          </cell>
          <cell r="D253">
            <v>4189.49</v>
          </cell>
          <cell r="E253">
            <v>9240258.9900000002</v>
          </cell>
          <cell r="F253"/>
          <cell r="G253">
            <v>4189.49</v>
          </cell>
        </row>
        <row r="254">
          <cell r="C254">
            <v>120925552153</v>
          </cell>
          <cell r="D254">
            <v>4189.49</v>
          </cell>
          <cell r="E254">
            <v>7156893.21</v>
          </cell>
          <cell r="F254"/>
          <cell r="G254">
            <v>4189.49</v>
          </cell>
        </row>
        <row r="255">
          <cell r="C255">
            <v>121447791450</v>
          </cell>
          <cell r="D255">
            <v>4189.49</v>
          </cell>
          <cell r="E255">
            <v>7161082.7000000002</v>
          </cell>
          <cell r="F255"/>
          <cell r="G255">
            <v>4189.49</v>
          </cell>
        </row>
        <row r="256">
          <cell r="C256">
            <v>120928678865</v>
          </cell>
          <cell r="D256">
            <v>4189.49</v>
          </cell>
          <cell r="E256">
            <v>7191188.5700000003</v>
          </cell>
          <cell r="F256"/>
          <cell r="G256">
            <v>4189.49</v>
          </cell>
        </row>
        <row r="257">
          <cell r="C257">
            <v>121453923060</v>
          </cell>
          <cell r="D257">
            <v>4189.49</v>
          </cell>
          <cell r="E257">
            <v>7314672.6799999997</v>
          </cell>
          <cell r="F257"/>
          <cell r="G257">
            <v>4189.49</v>
          </cell>
        </row>
        <row r="258">
          <cell r="C258">
            <v>121454336892</v>
          </cell>
          <cell r="D258">
            <v>4189.49</v>
          </cell>
          <cell r="E258">
            <v>7358223.8899999997</v>
          </cell>
          <cell r="F258"/>
          <cell r="G258">
            <v>4189.49</v>
          </cell>
        </row>
        <row r="259">
          <cell r="C259">
            <v>120933553043</v>
          </cell>
          <cell r="D259">
            <v>4189.49</v>
          </cell>
          <cell r="E259">
            <v>7370207.7800000003</v>
          </cell>
          <cell r="F259"/>
          <cell r="G259">
            <v>4189.49</v>
          </cell>
        </row>
        <row r="260">
          <cell r="C260">
            <v>121457052814</v>
          </cell>
          <cell r="D260">
            <v>4189.49</v>
          </cell>
          <cell r="E260">
            <v>7488742.3399999999</v>
          </cell>
          <cell r="F260"/>
          <cell r="G260">
            <v>4189.49</v>
          </cell>
        </row>
        <row r="261">
          <cell r="C261">
            <v>120935892509</v>
          </cell>
          <cell r="D261">
            <v>4189.49</v>
          </cell>
          <cell r="E261">
            <v>7558821.5499999998</v>
          </cell>
          <cell r="F261"/>
          <cell r="G261">
            <v>4189.49</v>
          </cell>
        </row>
        <row r="262">
          <cell r="C262">
            <v>120937098739</v>
          </cell>
          <cell r="D262">
            <v>4189.49</v>
          </cell>
          <cell r="E262">
            <v>7842641.4100000001</v>
          </cell>
          <cell r="F262"/>
          <cell r="G262">
            <v>4189.49</v>
          </cell>
        </row>
        <row r="263">
          <cell r="C263">
            <v>121459015416</v>
          </cell>
          <cell r="D263">
            <v>4189.49</v>
          </cell>
          <cell r="E263">
            <v>7854902.8600000003</v>
          </cell>
          <cell r="F263"/>
          <cell r="G263">
            <v>4189.49</v>
          </cell>
        </row>
        <row r="264">
          <cell r="C264">
            <v>120937755131</v>
          </cell>
          <cell r="D264">
            <v>4189.49</v>
          </cell>
          <cell r="E264">
            <v>7866691.8899999997</v>
          </cell>
          <cell r="F264"/>
          <cell r="G264">
            <v>4189.49</v>
          </cell>
        </row>
        <row r="265">
          <cell r="C265">
            <v>121459554756</v>
          </cell>
          <cell r="D265">
            <v>4189.49</v>
          </cell>
          <cell r="E265">
            <v>7930508.54</v>
          </cell>
          <cell r="F265"/>
          <cell r="G265">
            <v>4189.49</v>
          </cell>
        </row>
        <row r="266">
          <cell r="C266">
            <v>120938636715</v>
          </cell>
          <cell r="D266">
            <v>4189.49</v>
          </cell>
          <cell r="E266">
            <v>7979905.5499999998</v>
          </cell>
          <cell r="F266"/>
          <cell r="G266">
            <v>4189.49</v>
          </cell>
        </row>
        <row r="267">
          <cell r="C267">
            <v>120940224993</v>
          </cell>
          <cell r="D267">
            <v>4189.49</v>
          </cell>
          <cell r="E267">
            <v>8148011.5599999996</v>
          </cell>
          <cell r="F267"/>
          <cell r="G267">
            <v>4189.49</v>
          </cell>
        </row>
        <row r="268">
          <cell r="C268">
            <v>121462867438</v>
          </cell>
          <cell r="D268">
            <v>4189.49</v>
          </cell>
          <cell r="E268">
            <v>8294809.8200000003</v>
          </cell>
          <cell r="F268"/>
          <cell r="G268">
            <v>4189.49</v>
          </cell>
        </row>
        <row r="269">
          <cell r="C269">
            <v>121052387567</v>
          </cell>
          <cell r="D269">
            <v>4189.49</v>
          </cell>
          <cell r="E269">
            <v>5731936.25</v>
          </cell>
          <cell r="F269"/>
          <cell r="G269">
            <v>4189.49</v>
          </cell>
        </row>
        <row r="270">
          <cell r="C270">
            <v>121580764488</v>
          </cell>
          <cell r="D270">
            <v>4189.49</v>
          </cell>
          <cell r="E270">
            <v>5774234.6699999999</v>
          </cell>
          <cell r="F270"/>
          <cell r="G270">
            <v>4189.49</v>
          </cell>
        </row>
        <row r="271">
          <cell r="C271">
            <v>121598315936</v>
          </cell>
          <cell r="D271">
            <v>4189.49</v>
          </cell>
          <cell r="E271">
            <v>6080128.5</v>
          </cell>
          <cell r="F271"/>
          <cell r="G271">
            <v>4189.49</v>
          </cell>
        </row>
        <row r="272">
          <cell r="C272">
            <v>121077130667</v>
          </cell>
          <cell r="D272">
            <v>4189.49</v>
          </cell>
          <cell r="E272">
            <v>6125628.3099999996</v>
          </cell>
          <cell r="F272"/>
          <cell r="G272">
            <v>4189.49</v>
          </cell>
        </row>
        <row r="273">
          <cell r="C273">
            <v>121082706539</v>
          </cell>
          <cell r="D273">
            <v>4189.49</v>
          </cell>
          <cell r="E273">
            <v>6517603.3399999999</v>
          </cell>
          <cell r="F273"/>
          <cell r="G273">
            <v>4189.49</v>
          </cell>
        </row>
        <row r="274">
          <cell r="C274">
            <v>121084966099</v>
          </cell>
          <cell r="D274">
            <v>4189.49</v>
          </cell>
          <cell r="E274">
            <v>6997635.0499999998</v>
          </cell>
          <cell r="F274"/>
          <cell r="G274">
            <v>4189.49</v>
          </cell>
        </row>
        <row r="275">
          <cell r="C275">
            <v>121723462004</v>
          </cell>
          <cell r="D275">
            <v>4189.49</v>
          </cell>
          <cell r="E275">
            <v>8486338.3699999992</v>
          </cell>
          <cell r="F275"/>
          <cell r="G275">
            <v>4189.49</v>
          </cell>
        </row>
        <row r="276">
          <cell r="C276">
            <v>121201372721</v>
          </cell>
          <cell r="D276">
            <v>4189.49</v>
          </cell>
          <cell r="E276">
            <v>8490527.8599999994</v>
          </cell>
          <cell r="F276"/>
          <cell r="G276">
            <v>4189.49</v>
          </cell>
        </row>
        <row r="277">
          <cell r="C277">
            <v>121796705452</v>
          </cell>
          <cell r="D277">
            <v>4189.49</v>
          </cell>
          <cell r="E277">
            <v>9861574.3399999999</v>
          </cell>
          <cell r="F277"/>
          <cell r="G277">
            <v>4189.49</v>
          </cell>
        </row>
        <row r="278">
          <cell r="C278">
            <v>121804253060</v>
          </cell>
          <cell r="D278">
            <v>4189.49</v>
          </cell>
          <cell r="E278">
            <v>10104211.220000001</v>
          </cell>
          <cell r="F278"/>
          <cell r="G278">
            <v>4189.49</v>
          </cell>
        </row>
        <row r="279">
          <cell r="C279">
            <v>122395390810</v>
          </cell>
          <cell r="D279">
            <v>4189.49</v>
          </cell>
          <cell r="E279">
            <v>4250120.7300000004</v>
          </cell>
          <cell r="F279"/>
          <cell r="G279">
            <v>4189.49</v>
          </cell>
        </row>
        <row r="280">
          <cell r="C280">
            <v>121872469061</v>
          </cell>
          <cell r="D280">
            <v>4189.49</v>
          </cell>
          <cell r="E280">
            <v>4452076.09</v>
          </cell>
          <cell r="F280"/>
          <cell r="G280">
            <v>4189.49</v>
          </cell>
        </row>
        <row r="281">
          <cell r="C281">
            <v>122406876304</v>
          </cell>
          <cell r="D281">
            <v>4189.49</v>
          </cell>
          <cell r="E281">
            <v>5116904.24</v>
          </cell>
          <cell r="F281"/>
          <cell r="G281">
            <v>4189.49</v>
          </cell>
        </row>
        <row r="282">
          <cell r="C282">
            <v>122407884562</v>
          </cell>
          <cell r="D282">
            <v>4189.49</v>
          </cell>
          <cell r="E282">
            <v>5259655.63</v>
          </cell>
          <cell r="F282"/>
          <cell r="G282">
            <v>4189.49</v>
          </cell>
        </row>
        <row r="283">
          <cell r="C283">
            <v>122411546568</v>
          </cell>
          <cell r="D283">
            <v>4189.49</v>
          </cell>
          <cell r="E283">
            <v>5688175.4000000004</v>
          </cell>
          <cell r="F283"/>
          <cell r="G283">
            <v>4189.49</v>
          </cell>
        </row>
        <row r="284">
          <cell r="C284">
            <v>122412817172</v>
          </cell>
          <cell r="D284">
            <v>4189.49</v>
          </cell>
          <cell r="E284">
            <v>5932215.1900000004</v>
          </cell>
          <cell r="F284"/>
          <cell r="G284">
            <v>4189.49</v>
          </cell>
        </row>
        <row r="285">
          <cell r="C285">
            <v>122518934310</v>
          </cell>
          <cell r="D285">
            <v>4189.49</v>
          </cell>
          <cell r="E285">
            <v>6060854.9500000002</v>
          </cell>
          <cell r="F285"/>
          <cell r="G285">
            <v>4189.49</v>
          </cell>
        </row>
        <row r="286">
          <cell r="C286">
            <v>122537684562</v>
          </cell>
          <cell r="D286">
            <v>4189.49</v>
          </cell>
          <cell r="E286">
            <v>6912259.4199999999</v>
          </cell>
          <cell r="F286"/>
          <cell r="G286">
            <v>4189.49</v>
          </cell>
        </row>
        <row r="287">
          <cell r="C287">
            <v>122538733114</v>
          </cell>
          <cell r="D287">
            <v>4189.49</v>
          </cell>
          <cell r="E287">
            <v>7064904.96</v>
          </cell>
          <cell r="F287"/>
          <cell r="G287">
            <v>4189.49</v>
          </cell>
        </row>
        <row r="288">
          <cell r="C288">
            <v>122629209984</v>
          </cell>
          <cell r="D288">
            <v>4189.49</v>
          </cell>
          <cell r="E288">
            <v>7448636.2800000003</v>
          </cell>
          <cell r="F288"/>
          <cell r="G288">
            <v>4189.49</v>
          </cell>
        </row>
        <row r="289">
          <cell r="C289">
            <v>122629452988</v>
          </cell>
          <cell r="D289">
            <v>4189.49</v>
          </cell>
          <cell r="E289">
            <v>7452825.7699999996</v>
          </cell>
          <cell r="F289"/>
          <cell r="G289">
            <v>4189.49</v>
          </cell>
        </row>
        <row r="290">
          <cell r="C290">
            <v>122117663609</v>
          </cell>
          <cell r="D290">
            <v>4189.49</v>
          </cell>
          <cell r="E290">
            <v>8218160.4900000002</v>
          </cell>
          <cell r="F290"/>
          <cell r="G290">
            <v>4189.49</v>
          </cell>
        </row>
        <row r="291">
          <cell r="C291">
            <v>122730434236</v>
          </cell>
          <cell r="D291">
            <v>4189.49</v>
          </cell>
          <cell r="E291">
            <v>9638220.8699999992</v>
          </cell>
          <cell r="F291"/>
          <cell r="G291">
            <v>4189.49</v>
          </cell>
        </row>
        <row r="292">
          <cell r="C292">
            <v>123229725190</v>
          </cell>
          <cell r="D292">
            <v>4189.49</v>
          </cell>
          <cell r="E292">
            <v>4899492.83</v>
          </cell>
          <cell r="F292"/>
          <cell r="G292">
            <v>4189.49</v>
          </cell>
        </row>
        <row r="293">
          <cell r="C293">
            <v>123234586468</v>
          </cell>
          <cell r="D293">
            <v>4189.49</v>
          </cell>
          <cell r="E293">
            <v>4938922.6100000003</v>
          </cell>
          <cell r="F293"/>
          <cell r="G293">
            <v>4189.49</v>
          </cell>
        </row>
        <row r="294">
          <cell r="C294">
            <v>122700496597</v>
          </cell>
          <cell r="D294">
            <v>4189.49</v>
          </cell>
          <cell r="E294">
            <v>4965608.3099999996</v>
          </cell>
          <cell r="F294"/>
          <cell r="G294">
            <v>4189.49</v>
          </cell>
        </row>
        <row r="295">
          <cell r="C295">
            <v>123236540300</v>
          </cell>
          <cell r="D295">
            <v>4189.49</v>
          </cell>
          <cell r="E295">
            <v>4969797.8</v>
          </cell>
          <cell r="F295"/>
          <cell r="G295">
            <v>4189.49</v>
          </cell>
        </row>
        <row r="296">
          <cell r="C296">
            <v>122702023119</v>
          </cell>
          <cell r="D296">
            <v>4189.49</v>
          </cell>
          <cell r="E296">
            <v>5117431.75</v>
          </cell>
          <cell r="F296"/>
          <cell r="G296">
            <v>4189.49</v>
          </cell>
        </row>
        <row r="297">
          <cell r="C297">
            <v>123241043260</v>
          </cell>
          <cell r="D297">
            <v>4189.49</v>
          </cell>
          <cell r="E297">
            <v>5285081.9800000004</v>
          </cell>
          <cell r="F297"/>
          <cell r="G297">
            <v>4189.49</v>
          </cell>
        </row>
        <row r="298">
          <cell r="C298">
            <v>122705832593</v>
          </cell>
          <cell r="D298">
            <v>4189.49</v>
          </cell>
          <cell r="E298">
            <v>5339837.6399999997</v>
          </cell>
          <cell r="F298"/>
          <cell r="G298">
            <v>4189.49</v>
          </cell>
        </row>
        <row r="299">
          <cell r="C299">
            <v>122706705771</v>
          </cell>
          <cell r="D299">
            <v>4189.49</v>
          </cell>
          <cell r="E299">
            <v>5462442.8399999999</v>
          </cell>
          <cell r="F299"/>
          <cell r="G299">
            <v>4189.49</v>
          </cell>
        </row>
        <row r="300">
          <cell r="C300">
            <v>123242456712</v>
          </cell>
          <cell r="D300">
            <v>4189.49</v>
          </cell>
          <cell r="E300">
            <v>5466632.3300000001</v>
          </cell>
          <cell r="F300"/>
          <cell r="G300">
            <v>4189.49</v>
          </cell>
        </row>
        <row r="301">
          <cell r="C301">
            <v>123242361094</v>
          </cell>
          <cell r="D301">
            <v>4189.49</v>
          </cell>
          <cell r="E301">
            <v>5470821.8200000003</v>
          </cell>
          <cell r="F301"/>
          <cell r="G301">
            <v>4189.49</v>
          </cell>
        </row>
        <row r="302">
          <cell r="C302">
            <v>123242968486</v>
          </cell>
          <cell r="D302">
            <v>4189.49</v>
          </cell>
          <cell r="E302">
            <v>5535133.7999999998</v>
          </cell>
          <cell r="F302"/>
          <cell r="G302">
            <v>4189.49</v>
          </cell>
        </row>
        <row r="303">
          <cell r="C303">
            <v>122708716345</v>
          </cell>
          <cell r="D303">
            <v>4189.49</v>
          </cell>
          <cell r="E303">
            <v>5703411.0300000003</v>
          </cell>
          <cell r="F303"/>
          <cell r="G303">
            <v>4189.49</v>
          </cell>
        </row>
        <row r="304">
          <cell r="C304">
            <v>123244590818</v>
          </cell>
          <cell r="D304">
            <v>4189.49</v>
          </cell>
          <cell r="E304">
            <v>5758340.3700000001</v>
          </cell>
          <cell r="F304"/>
          <cell r="G304">
            <v>4189.49</v>
          </cell>
        </row>
        <row r="305">
          <cell r="C305">
            <v>123245183256</v>
          </cell>
          <cell r="D305">
            <v>4189.49</v>
          </cell>
          <cell r="E305">
            <v>5821254.9400000004</v>
          </cell>
          <cell r="F305"/>
          <cell r="G305">
            <v>4189.49</v>
          </cell>
        </row>
        <row r="306">
          <cell r="C306">
            <v>123245475596</v>
          </cell>
          <cell r="D306">
            <v>4189.49</v>
          </cell>
          <cell r="E306">
            <v>5956709.7300000004</v>
          </cell>
          <cell r="F306"/>
          <cell r="G306">
            <v>4189.49</v>
          </cell>
        </row>
        <row r="307">
          <cell r="C307">
            <v>123246042892</v>
          </cell>
          <cell r="D307">
            <v>4189.49</v>
          </cell>
          <cell r="E307">
            <v>6063793.0099999998</v>
          </cell>
          <cell r="F307"/>
          <cell r="G307">
            <v>4189.49</v>
          </cell>
        </row>
        <row r="308">
          <cell r="C308">
            <v>122710925489</v>
          </cell>
          <cell r="D308">
            <v>4189.49</v>
          </cell>
          <cell r="E308">
            <v>6185934.6299999999</v>
          </cell>
          <cell r="F308"/>
          <cell r="G308">
            <v>4189.49</v>
          </cell>
        </row>
        <row r="309">
          <cell r="C309">
            <v>122711189405</v>
          </cell>
          <cell r="D309">
            <v>4189.49</v>
          </cell>
          <cell r="E309">
            <v>6205810.3499999996</v>
          </cell>
          <cell r="F309"/>
          <cell r="G309">
            <v>4189.49</v>
          </cell>
        </row>
        <row r="310">
          <cell r="C310">
            <v>123247386402</v>
          </cell>
          <cell r="D310">
            <v>4189.49</v>
          </cell>
          <cell r="E310">
            <v>6275667.6600000001</v>
          </cell>
          <cell r="F310"/>
          <cell r="G310">
            <v>4189.49</v>
          </cell>
        </row>
        <row r="311">
          <cell r="C311">
            <v>123247245924</v>
          </cell>
          <cell r="D311">
            <v>4189.49</v>
          </cell>
          <cell r="E311">
            <v>6288236.1299999999</v>
          </cell>
          <cell r="F311"/>
          <cell r="G311">
            <v>4189.49</v>
          </cell>
        </row>
        <row r="312">
          <cell r="C312">
            <v>123371409012</v>
          </cell>
          <cell r="D312">
            <v>4189.49</v>
          </cell>
          <cell r="E312">
            <v>6389662.9500000002</v>
          </cell>
          <cell r="F312"/>
          <cell r="G312">
            <v>4189.49</v>
          </cell>
        </row>
        <row r="313">
          <cell r="C313">
            <v>123484443730</v>
          </cell>
          <cell r="D313">
            <v>4189.49</v>
          </cell>
          <cell r="E313">
            <v>8680978.4800000004</v>
          </cell>
          <cell r="F313"/>
          <cell r="G313">
            <v>4189.49</v>
          </cell>
        </row>
        <row r="314">
          <cell r="C314">
            <v>123397981695</v>
          </cell>
          <cell r="D314">
            <v>4189.49</v>
          </cell>
          <cell r="E314">
            <v>9018298.5700000003</v>
          </cell>
          <cell r="F314"/>
          <cell r="G314">
            <v>4189.49</v>
          </cell>
        </row>
        <row r="315">
          <cell r="C315">
            <v>123511910273</v>
          </cell>
          <cell r="D315">
            <v>4189.49</v>
          </cell>
          <cell r="E315">
            <v>8190971.9199999999</v>
          </cell>
          <cell r="F315"/>
          <cell r="G315">
            <v>4189.49</v>
          </cell>
        </row>
        <row r="316">
          <cell r="C316">
            <v>124054503352</v>
          </cell>
          <cell r="D316">
            <v>4189.49</v>
          </cell>
          <cell r="E316">
            <v>8220449.5800000001</v>
          </cell>
          <cell r="F316"/>
          <cell r="G316">
            <v>4189.49</v>
          </cell>
        </row>
        <row r="317">
          <cell r="C317">
            <v>123514155721</v>
          </cell>
          <cell r="D317">
            <v>4189.49</v>
          </cell>
          <cell r="E317">
            <v>8224639.0700000003</v>
          </cell>
          <cell r="F317"/>
          <cell r="G317">
            <v>4189.49</v>
          </cell>
        </row>
        <row r="318">
          <cell r="C318">
            <v>124055198440</v>
          </cell>
          <cell r="D318">
            <v>4189.49</v>
          </cell>
          <cell r="E318">
            <v>8258180.9900000002</v>
          </cell>
          <cell r="F318"/>
          <cell r="G318">
            <v>4189.49</v>
          </cell>
        </row>
        <row r="319">
          <cell r="C319">
            <v>123517878403</v>
          </cell>
          <cell r="D319">
            <v>4189.49</v>
          </cell>
          <cell r="E319">
            <v>8320734.2599999998</v>
          </cell>
          <cell r="F319"/>
          <cell r="G319">
            <v>4189.49</v>
          </cell>
        </row>
        <row r="320">
          <cell r="C320">
            <v>123520444105</v>
          </cell>
          <cell r="D320">
            <v>4189.49</v>
          </cell>
          <cell r="E320">
            <v>8370249.6299999999</v>
          </cell>
          <cell r="F320"/>
          <cell r="G320">
            <v>4189.49</v>
          </cell>
        </row>
        <row r="321">
          <cell r="C321">
            <v>124061014442</v>
          </cell>
          <cell r="D321">
            <v>4189.49</v>
          </cell>
          <cell r="E321">
            <v>8374439.1200000001</v>
          </cell>
          <cell r="F321"/>
          <cell r="G321">
            <v>4189.49</v>
          </cell>
        </row>
        <row r="322">
          <cell r="C322">
            <v>124062429862</v>
          </cell>
          <cell r="D322">
            <v>4189.49</v>
          </cell>
          <cell r="E322">
            <v>8433626.1400000006</v>
          </cell>
          <cell r="F322"/>
          <cell r="G322">
            <v>4189.49</v>
          </cell>
        </row>
        <row r="323">
          <cell r="C323">
            <v>123522605109</v>
          </cell>
          <cell r="D323">
            <v>4189.49</v>
          </cell>
          <cell r="E323">
            <v>8437815.6300000008</v>
          </cell>
          <cell r="F323"/>
          <cell r="G323">
            <v>4189.49</v>
          </cell>
        </row>
        <row r="324">
          <cell r="C324">
            <v>123522788159</v>
          </cell>
          <cell r="D324">
            <v>4189.49</v>
          </cell>
          <cell r="E324">
            <v>8442215.5999999996</v>
          </cell>
          <cell r="F324"/>
          <cell r="G324">
            <v>4189.49</v>
          </cell>
        </row>
        <row r="325">
          <cell r="C325">
            <v>124063914016</v>
          </cell>
          <cell r="D325">
            <v>4189.49</v>
          </cell>
          <cell r="E325">
            <v>8583288.2400000002</v>
          </cell>
          <cell r="F325"/>
          <cell r="G325">
            <v>4189.49</v>
          </cell>
        </row>
        <row r="326">
          <cell r="C326">
            <v>123524043969</v>
          </cell>
          <cell r="D326">
            <v>4189.49</v>
          </cell>
          <cell r="E326">
            <v>8698184.7699999996</v>
          </cell>
          <cell r="F326"/>
          <cell r="G326">
            <v>4189.49</v>
          </cell>
        </row>
        <row r="327">
          <cell r="C327">
            <v>124064621204</v>
          </cell>
          <cell r="D327">
            <v>4189.49</v>
          </cell>
          <cell r="E327">
            <v>8702374.2599999998</v>
          </cell>
          <cell r="F327"/>
          <cell r="G327">
            <v>4189.49</v>
          </cell>
        </row>
        <row r="328">
          <cell r="C328">
            <v>123524178039</v>
          </cell>
          <cell r="D328">
            <v>4189.49</v>
          </cell>
          <cell r="E328">
            <v>8706563.75</v>
          </cell>
          <cell r="F328"/>
          <cell r="G328">
            <v>4189.49</v>
          </cell>
        </row>
        <row r="329">
          <cell r="C329">
            <v>124066279162</v>
          </cell>
          <cell r="D329">
            <v>4189.49</v>
          </cell>
          <cell r="E329">
            <v>8995529.4299999997</v>
          </cell>
          <cell r="F329"/>
          <cell r="G329">
            <v>4189.49</v>
          </cell>
        </row>
        <row r="330">
          <cell r="C330">
            <v>124067062100</v>
          </cell>
          <cell r="D330">
            <v>4189.49</v>
          </cell>
          <cell r="E330">
            <v>9162422.6600000001</v>
          </cell>
          <cell r="F330"/>
          <cell r="G330">
            <v>4189.49</v>
          </cell>
        </row>
        <row r="331">
          <cell r="C331">
            <v>123526885157</v>
          </cell>
          <cell r="D331">
            <v>4189.49</v>
          </cell>
          <cell r="E331">
            <v>9175185.9900000002</v>
          </cell>
          <cell r="F331"/>
          <cell r="G331">
            <v>4189.49</v>
          </cell>
        </row>
        <row r="332">
          <cell r="C332">
            <v>124067367982</v>
          </cell>
          <cell r="D332">
            <v>4189.49</v>
          </cell>
          <cell r="E332">
            <v>9179375.4800000004</v>
          </cell>
          <cell r="F332"/>
          <cell r="G332">
            <v>4189.49</v>
          </cell>
        </row>
        <row r="333">
          <cell r="C333">
            <v>124068076474</v>
          </cell>
          <cell r="D333">
            <v>4189.49</v>
          </cell>
          <cell r="E333">
            <v>9304550.2799999993</v>
          </cell>
          <cell r="F333"/>
          <cell r="G333">
            <v>4189.49</v>
          </cell>
        </row>
        <row r="334">
          <cell r="C334">
            <v>123528889651</v>
          </cell>
          <cell r="D334">
            <v>4189.49</v>
          </cell>
          <cell r="E334">
            <v>9408401.6300000008</v>
          </cell>
          <cell r="F334"/>
          <cell r="G334">
            <v>4189.49</v>
          </cell>
        </row>
        <row r="335">
          <cell r="C335">
            <v>124071224608</v>
          </cell>
          <cell r="D335">
            <v>4189.49</v>
          </cell>
          <cell r="E335">
            <v>9593127.0600000005</v>
          </cell>
          <cell r="F335"/>
          <cell r="G335">
            <v>4189.49</v>
          </cell>
        </row>
        <row r="336">
          <cell r="C336">
            <v>124179125806</v>
          </cell>
          <cell r="D336">
            <v>4189.49</v>
          </cell>
          <cell r="E336">
            <v>8449610.3300000001</v>
          </cell>
          <cell r="F336"/>
          <cell r="G336">
            <v>4189.49</v>
          </cell>
        </row>
        <row r="337">
          <cell r="C337">
            <v>123655261643</v>
          </cell>
          <cell r="D337">
            <v>4189.49</v>
          </cell>
          <cell r="E337">
            <v>8664233.9800000004</v>
          </cell>
          <cell r="F337"/>
          <cell r="G337">
            <v>4189.49</v>
          </cell>
        </row>
        <row r="338">
          <cell r="C338">
            <v>124201918350</v>
          </cell>
          <cell r="D338">
            <v>4189.49</v>
          </cell>
          <cell r="E338">
            <v>9017892.9399999995</v>
          </cell>
          <cell r="F338"/>
          <cell r="G338">
            <v>4189.49</v>
          </cell>
        </row>
        <row r="339">
          <cell r="C339">
            <v>124209902526</v>
          </cell>
          <cell r="D339">
            <v>4189.49</v>
          </cell>
          <cell r="E339">
            <v>10667489.050000001</v>
          </cell>
          <cell r="F339"/>
          <cell r="G339">
            <v>4189.49</v>
          </cell>
        </row>
        <row r="340">
          <cell r="C340">
            <v>123668857275</v>
          </cell>
          <cell r="D340">
            <v>4189.49</v>
          </cell>
          <cell r="E340">
            <v>10680739.529999999</v>
          </cell>
          <cell r="F340"/>
          <cell r="G340">
            <v>4189.49</v>
          </cell>
        </row>
        <row r="341">
          <cell r="C341">
            <v>123778842913</v>
          </cell>
          <cell r="D341">
            <v>4189.49</v>
          </cell>
          <cell r="E341">
            <v>11949862.74</v>
          </cell>
          <cell r="F341"/>
          <cell r="G341">
            <v>4189.49</v>
          </cell>
        </row>
        <row r="342">
          <cell r="C342">
            <v>120813718322</v>
          </cell>
          <cell r="D342">
            <v>4251.1499999999996</v>
          </cell>
          <cell r="E342">
            <v>8108223.4000000004</v>
          </cell>
          <cell r="F342"/>
          <cell r="G342">
            <v>4251.1499999999996</v>
          </cell>
        </row>
        <row r="343">
          <cell r="C343">
            <v>121579479962</v>
          </cell>
          <cell r="D343">
            <v>4251.1499999999996</v>
          </cell>
          <cell r="E343">
            <v>5756112.6900000004</v>
          </cell>
          <cell r="F343"/>
          <cell r="G343">
            <v>4251.1499999999996</v>
          </cell>
        </row>
        <row r="344">
          <cell r="C344">
            <v>122844032807</v>
          </cell>
          <cell r="D344">
            <v>4286.92</v>
          </cell>
          <cell r="E344">
            <v>7849313.2300000004</v>
          </cell>
          <cell r="F344"/>
          <cell r="G344">
            <v>4286.92</v>
          </cell>
        </row>
        <row r="345">
          <cell r="C345">
            <v>123015329513</v>
          </cell>
          <cell r="D345">
            <v>4354.6499999999996</v>
          </cell>
          <cell r="E345">
            <v>10263360.99</v>
          </cell>
          <cell r="F345"/>
          <cell r="G345">
            <v>4354.6499999999996</v>
          </cell>
        </row>
        <row r="346">
          <cell r="C346">
            <v>123512814955</v>
          </cell>
          <cell r="D346">
            <v>4354.6499999999996</v>
          </cell>
          <cell r="E346">
            <v>8198987.1100000003</v>
          </cell>
          <cell r="F346"/>
          <cell r="G346">
            <v>4354.6499999999996</v>
          </cell>
        </row>
        <row r="347">
          <cell r="C347">
            <v>120069424465</v>
          </cell>
          <cell r="D347">
            <v>4384.3500000000004</v>
          </cell>
          <cell r="E347">
            <v>5520777.1100000003</v>
          </cell>
          <cell r="F347"/>
          <cell r="G347">
            <v>4384.3500000000004</v>
          </cell>
        </row>
        <row r="348">
          <cell r="C348">
            <v>120189818003</v>
          </cell>
          <cell r="D348">
            <v>4384.3500000000004</v>
          </cell>
          <cell r="E348">
            <v>5845899.1900000004</v>
          </cell>
          <cell r="F348"/>
          <cell r="G348">
            <v>4384.3500000000004</v>
          </cell>
        </row>
        <row r="349">
          <cell r="C349">
            <v>120720907644</v>
          </cell>
          <cell r="D349">
            <v>4384.3500000000004</v>
          </cell>
          <cell r="E349">
            <v>7160433</v>
          </cell>
          <cell r="F349"/>
          <cell r="G349">
            <v>4384.3500000000004</v>
          </cell>
        </row>
        <row r="350">
          <cell r="C350">
            <v>120837318292</v>
          </cell>
          <cell r="D350">
            <v>4384.3500000000004</v>
          </cell>
          <cell r="E350">
            <v>9432193.1999999993</v>
          </cell>
          <cell r="F350"/>
          <cell r="G350">
            <v>4384.3500000000004</v>
          </cell>
        </row>
        <row r="351">
          <cell r="C351">
            <v>120915811194</v>
          </cell>
          <cell r="D351">
            <v>4384.3500000000004</v>
          </cell>
          <cell r="E351">
            <v>10522422.539999999</v>
          </cell>
          <cell r="F351"/>
          <cell r="G351">
            <v>4384.3500000000004</v>
          </cell>
        </row>
        <row r="352">
          <cell r="C352">
            <v>121429892910</v>
          </cell>
          <cell r="D352">
            <v>4384.3500000000004</v>
          </cell>
          <cell r="E352">
            <v>7032445.3099999996</v>
          </cell>
          <cell r="F352"/>
          <cell r="G352">
            <v>4384.3500000000004</v>
          </cell>
        </row>
        <row r="353">
          <cell r="C353">
            <v>120918137375</v>
          </cell>
          <cell r="D353">
            <v>4384.3500000000004</v>
          </cell>
          <cell r="E353">
            <v>7089225.96</v>
          </cell>
          <cell r="F353"/>
          <cell r="G353">
            <v>4384.3500000000004</v>
          </cell>
        </row>
        <row r="354">
          <cell r="C354">
            <v>120927193163</v>
          </cell>
          <cell r="D354">
            <v>4384.3500000000004</v>
          </cell>
          <cell r="E354">
            <v>7165467.0499999998</v>
          </cell>
          <cell r="F354"/>
          <cell r="G354">
            <v>4384.3500000000004</v>
          </cell>
        </row>
        <row r="355">
          <cell r="C355">
            <v>121726439406</v>
          </cell>
          <cell r="D355">
            <v>4384.3500000000004</v>
          </cell>
          <cell r="E355">
            <v>8947434.5800000001</v>
          </cell>
          <cell r="F355"/>
          <cell r="G355">
            <v>4384.3500000000004</v>
          </cell>
        </row>
        <row r="356">
          <cell r="C356">
            <v>121275664139</v>
          </cell>
          <cell r="D356">
            <v>4384.3500000000004</v>
          </cell>
          <cell r="E356">
            <v>9874240.2400000002</v>
          </cell>
          <cell r="F356"/>
          <cell r="G356">
            <v>4384.3500000000004</v>
          </cell>
        </row>
        <row r="357">
          <cell r="C357">
            <v>122005921183</v>
          </cell>
          <cell r="D357">
            <v>4384.3500000000004</v>
          </cell>
          <cell r="E357">
            <v>6828571.6200000001</v>
          </cell>
          <cell r="F357"/>
          <cell r="G357">
            <v>4384.3500000000004</v>
          </cell>
        </row>
        <row r="358">
          <cell r="C358">
            <v>122648023780</v>
          </cell>
          <cell r="D358">
            <v>4384.3500000000004</v>
          </cell>
          <cell r="E358">
            <v>8195278.8600000003</v>
          </cell>
          <cell r="F358"/>
          <cell r="G358">
            <v>4384.3500000000004</v>
          </cell>
        </row>
        <row r="359">
          <cell r="C359">
            <v>122834168561</v>
          </cell>
          <cell r="D359">
            <v>4384.3500000000004</v>
          </cell>
          <cell r="E359">
            <v>6336076.4500000002</v>
          </cell>
          <cell r="F359"/>
          <cell r="G359">
            <v>4384.3500000000004</v>
          </cell>
        </row>
        <row r="360">
          <cell r="C360">
            <v>123568537240</v>
          </cell>
          <cell r="D360">
            <v>4384.3500000000004</v>
          </cell>
          <cell r="E360">
            <v>10718355.210000001</v>
          </cell>
          <cell r="F360"/>
          <cell r="G360">
            <v>4384.3500000000004</v>
          </cell>
        </row>
        <row r="361">
          <cell r="C361">
            <v>124055008184</v>
          </cell>
          <cell r="D361">
            <v>4384.3500000000004</v>
          </cell>
          <cell r="E361">
            <v>8243540.4900000002</v>
          </cell>
          <cell r="F361"/>
          <cell r="G361">
            <v>4384.3500000000004</v>
          </cell>
        </row>
        <row r="362">
          <cell r="C362">
            <v>123774950381</v>
          </cell>
          <cell r="D362">
            <v>4384.3500000000004</v>
          </cell>
          <cell r="E362">
            <v>11464444.279999999</v>
          </cell>
          <cell r="F362"/>
          <cell r="G362">
            <v>4384.3500000000004</v>
          </cell>
        </row>
        <row r="363">
          <cell r="C363">
            <v>120318619101</v>
          </cell>
          <cell r="D363">
            <v>4448.71</v>
          </cell>
          <cell r="E363">
            <v>9140002.9600000009</v>
          </cell>
          <cell r="F363"/>
          <cell r="G363">
            <v>4448.71</v>
          </cell>
        </row>
        <row r="364">
          <cell r="C364">
            <v>120839023594</v>
          </cell>
          <cell r="D364">
            <v>4448.71</v>
          </cell>
          <cell r="E364">
            <v>10009049.67</v>
          </cell>
          <cell r="F364"/>
          <cell r="G364">
            <v>4448.71</v>
          </cell>
        </row>
        <row r="365">
          <cell r="C365">
            <v>123513218731</v>
          </cell>
          <cell r="D365">
            <v>4539.5</v>
          </cell>
          <cell r="E365">
            <v>8203526.6100000003</v>
          </cell>
          <cell r="F365"/>
          <cell r="G365">
            <v>4539.5</v>
          </cell>
        </row>
        <row r="366">
          <cell r="C366">
            <v>124057463718</v>
          </cell>
          <cell r="D366">
            <v>4539.5</v>
          </cell>
          <cell r="E366">
            <v>8297253.6299999999</v>
          </cell>
          <cell r="F366"/>
          <cell r="G366">
            <v>4539.5</v>
          </cell>
        </row>
        <row r="367">
          <cell r="C367">
            <v>120716920736</v>
          </cell>
          <cell r="D367">
            <v>4579.21</v>
          </cell>
          <cell r="E367">
            <v>6451937.3200000003</v>
          </cell>
          <cell r="F367"/>
          <cell r="G367">
            <v>4579.21</v>
          </cell>
        </row>
        <row r="368">
          <cell r="C368">
            <v>121189022241</v>
          </cell>
          <cell r="D368">
            <v>4579.21</v>
          </cell>
          <cell r="E368">
            <v>7530165.2599999998</v>
          </cell>
          <cell r="F368"/>
          <cell r="G368">
            <v>4579.21</v>
          </cell>
        </row>
        <row r="369">
          <cell r="C369">
            <v>121715271430</v>
          </cell>
          <cell r="D369">
            <v>4723.5</v>
          </cell>
          <cell r="E369">
            <v>7634081.0899999999</v>
          </cell>
          <cell r="F369"/>
          <cell r="G369">
            <v>4723.5</v>
          </cell>
        </row>
        <row r="370">
          <cell r="C370">
            <v>121672175475</v>
          </cell>
          <cell r="D370">
            <v>4723.5</v>
          </cell>
          <cell r="E370">
            <v>5369036.3099999996</v>
          </cell>
          <cell r="F370"/>
          <cell r="G370">
            <v>4723.5</v>
          </cell>
        </row>
        <row r="371">
          <cell r="C371">
            <v>123779023179</v>
          </cell>
          <cell r="D371">
            <v>4723.5</v>
          </cell>
          <cell r="E371">
            <v>11954586.24</v>
          </cell>
          <cell r="F371"/>
          <cell r="G371">
            <v>4723.5</v>
          </cell>
        </row>
        <row r="372">
          <cell r="C372">
            <v>120724351564</v>
          </cell>
          <cell r="D372">
            <v>4741.7299999999996</v>
          </cell>
          <cell r="E372">
            <v>7694009.4699999997</v>
          </cell>
          <cell r="F372"/>
          <cell r="G372">
            <v>4741.7299999999996</v>
          </cell>
        </row>
        <row r="373">
          <cell r="C373">
            <v>120203157985</v>
          </cell>
          <cell r="D373">
            <v>4774.07</v>
          </cell>
          <cell r="E373">
            <v>7033796.4100000001</v>
          </cell>
          <cell r="F373"/>
          <cell r="G373">
            <v>4774.07</v>
          </cell>
        </row>
        <row r="374">
          <cell r="C374">
            <v>120832006890</v>
          </cell>
          <cell r="D374">
            <v>4774.07</v>
          </cell>
          <cell r="E374">
            <v>8765630.8499999996</v>
          </cell>
          <cell r="F374"/>
          <cell r="G374">
            <v>4774.07</v>
          </cell>
        </row>
        <row r="375">
          <cell r="C375">
            <v>120835719892</v>
          </cell>
          <cell r="D375">
            <v>4774.07</v>
          </cell>
          <cell r="E375">
            <v>9144777.0299999993</v>
          </cell>
          <cell r="F375"/>
          <cell r="G375">
            <v>4774.07</v>
          </cell>
        </row>
        <row r="376">
          <cell r="C376">
            <v>123775210127</v>
          </cell>
          <cell r="D376">
            <v>4774.07</v>
          </cell>
          <cell r="E376">
            <v>11469218.35</v>
          </cell>
          <cell r="F376"/>
          <cell r="G376">
            <v>4774.07</v>
          </cell>
        </row>
        <row r="377">
          <cell r="C377">
            <v>121881412157</v>
          </cell>
          <cell r="D377">
            <v>4811.87</v>
          </cell>
          <cell r="E377">
            <v>5636408.2599999998</v>
          </cell>
          <cell r="F377"/>
          <cell r="G377">
            <v>4811.87</v>
          </cell>
        </row>
        <row r="378">
          <cell r="C378">
            <v>121085062655</v>
          </cell>
          <cell r="D378">
            <v>4871.5</v>
          </cell>
          <cell r="E378">
            <v>6923520.6100000003</v>
          </cell>
          <cell r="F378"/>
          <cell r="G378">
            <v>4871.5</v>
          </cell>
        </row>
        <row r="379">
          <cell r="C379">
            <v>121724632158</v>
          </cell>
          <cell r="D379">
            <v>4871.5</v>
          </cell>
          <cell r="E379">
            <v>8597018.8499999996</v>
          </cell>
          <cell r="F379"/>
          <cell r="G379">
            <v>4871.5</v>
          </cell>
        </row>
        <row r="380">
          <cell r="C380">
            <v>121864379819</v>
          </cell>
          <cell r="D380">
            <v>4871.5</v>
          </cell>
          <cell r="E380">
            <v>4232741.0599999996</v>
          </cell>
          <cell r="F380"/>
          <cell r="G380">
            <v>4871.5</v>
          </cell>
        </row>
        <row r="381">
          <cell r="C381">
            <v>121878926093</v>
          </cell>
          <cell r="D381">
            <v>4871.5</v>
          </cell>
          <cell r="E381">
            <v>5345886.4800000004</v>
          </cell>
          <cell r="F381"/>
          <cell r="G381">
            <v>4871.5</v>
          </cell>
        </row>
        <row r="382">
          <cell r="C382">
            <v>121883223147</v>
          </cell>
          <cell r="D382">
            <v>4871.5</v>
          </cell>
          <cell r="E382">
            <v>5957578.2400000002</v>
          </cell>
          <cell r="F382"/>
          <cell r="G382">
            <v>4871.5</v>
          </cell>
        </row>
        <row r="383">
          <cell r="C383">
            <v>122007991507</v>
          </cell>
          <cell r="D383">
            <v>4871.5</v>
          </cell>
          <cell r="E383">
            <v>7069986.9400000004</v>
          </cell>
          <cell r="F383"/>
          <cell r="G383">
            <v>4871.5</v>
          </cell>
        </row>
        <row r="384">
          <cell r="C384">
            <v>122116385435</v>
          </cell>
          <cell r="D384">
            <v>4871.5</v>
          </cell>
          <cell r="E384">
            <v>8182515.5300000003</v>
          </cell>
          <cell r="F384"/>
          <cell r="G384">
            <v>4871.5</v>
          </cell>
        </row>
        <row r="385">
          <cell r="C385">
            <v>122648687200</v>
          </cell>
          <cell r="D385">
            <v>4871.5</v>
          </cell>
          <cell r="E385">
            <v>8213971</v>
          </cell>
          <cell r="F385"/>
          <cell r="G385">
            <v>4871.5</v>
          </cell>
        </row>
        <row r="386">
          <cell r="C386">
            <v>124070689844</v>
          </cell>
          <cell r="D386">
            <v>4871.5</v>
          </cell>
          <cell r="E386">
            <v>9518928.8399999999</v>
          </cell>
          <cell r="F386"/>
          <cell r="G386">
            <v>4871.5</v>
          </cell>
        </row>
        <row r="387">
          <cell r="C387">
            <v>124308757574</v>
          </cell>
          <cell r="D387">
            <v>4871.5</v>
          </cell>
          <cell r="E387">
            <v>11116855.699999999</v>
          </cell>
          <cell r="F387"/>
          <cell r="G387">
            <v>4871.5</v>
          </cell>
        </row>
        <row r="388">
          <cell r="C388">
            <v>121183217249</v>
          </cell>
          <cell r="D388">
            <v>4974.58</v>
          </cell>
          <cell r="E388">
            <v>7338727.29</v>
          </cell>
          <cell r="F388"/>
          <cell r="G388">
            <v>4974.58</v>
          </cell>
        </row>
        <row r="389">
          <cell r="C389">
            <v>122010400419</v>
          </cell>
          <cell r="D389">
            <v>4993.45</v>
          </cell>
          <cell r="E389">
            <v>7490481.0800000001</v>
          </cell>
          <cell r="F389"/>
          <cell r="G389">
            <v>4993.45</v>
          </cell>
        </row>
        <row r="390">
          <cell r="C390">
            <v>120294148065</v>
          </cell>
          <cell r="D390">
            <v>5163.79</v>
          </cell>
          <cell r="E390">
            <v>7912313.9199999999</v>
          </cell>
          <cell r="F390"/>
          <cell r="G390">
            <v>5163.79</v>
          </cell>
        </row>
        <row r="391">
          <cell r="C391">
            <v>121580209264</v>
          </cell>
          <cell r="D391">
            <v>5163.79</v>
          </cell>
          <cell r="E391">
            <v>5761276.4800000004</v>
          </cell>
          <cell r="F391"/>
          <cell r="G391">
            <v>5163.79</v>
          </cell>
        </row>
        <row r="392">
          <cell r="C392">
            <v>121076757797</v>
          </cell>
          <cell r="D392">
            <v>5163.79</v>
          </cell>
          <cell r="E392">
            <v>6085292.29</v>
          </cell>
          <cell r="F392"/>
          <cell r="G392">
            <v>5163.79</v>
          </cell>
        </row>
        <row r="393">
          <cell r="C393">
            <v>121085008999</v>
          </cell>
          <cell r="D393">
            <v>5163.79</v>
          </cell>
          <cell r="E393">
            <v>6918649.1100000003</v>
          </cell>
          <cell r="F393"/>
          <cell r="G393">
            <v>5163.79</v>
          </cell>
        </row>
        <row r="394">
          <cell r="C394">
            <v>122411122378</v>
          </cell>
          <cell r="D394">
            <v>5163.79</v>
          </cell>
          <cell r="E394">
            <v>5631596.3899999997</v>
          </cell>
          <cell r="F394"/>
          <cell r="G394">
            <v>5163.79</v>
          </cell>
        </row>
        <row r="395">
          <cell r="C395">
            <v>122645971764</v>
          </cell>
          <cell r="D395">
            <v>5163.79</v>
          </cell>
          <cell r="E395">
            <v>8065479.0999999996</v>
          </cell>
          <cell r="F395"/>
          <cell r="G395">
            <v>5163.79</v>
          </cell>
        </row>
        <row r="396">
          <cell r="C396">
            <v>122646070892</v>
          </cell>
          <cell r="D396">
            <v>5163.79</v>
          </cell>
          <cell r="E396">
            <v>8071161.7599999998</v>
          </cell>
          <cell r="F396"/>
          <cell r="G396">
            <v>5163.79</v>
          </cell>
        </row>
        <row r="397">
          <cell r="C397">
            <v>122840186239</v>
          </cell>
          <cell r="D397">
            <v>5163.79</v>
          </cell>
          <cell r="E397">
            <v>6807454.9100000001</v>
          </cell>
          <cell r="F397"/>
          <cell r="G397">
            <v>5163.79</v>
          </cell>
        </row>
        <row r="398">
          <cell r="C398">
            <v>123404581967</v>
          </cell>
          <cell r="D398">
            <v>5163.79</v>
          </cell>
          <cell r="E398">
            <v>9558121.0299999993</v>
          </cell>
          <cell r="F398"/>
          <cell r="G398">
            <v>5163.79</v>
          </cell>
        </row>
        <row r="399">
          <cell r="C399">
            <v>124202351082</v>
          </cell>
          <cell r="D399">
            <v>5163.79</v>
          </cell>
          <cell r="E399">
            <v>9161545.7599999998</v>
          </cell>
          <cell r="F399"/>
          <cell r="G399">
            <v>5163.79</v>
          </cell>
        </row>
        <row r="400">
          <cell r="C400">
            <v>124205124036</v>
          </cell>
          <cell r="D400">
            <v>5163.79</v>
          </cell>
          <cell r="E400">
            <v>9513727.4299999997</v>
          </cell>
          <cell r="F400"/>
          <cell r="G400">
            <v>5163.79</v>
          </cell>
        </row>
        <row r="401">
          <cell r="C401">
            <v>120067080303</v>
          </cell>
          <cell r="D401">
            <v>5261.22</v>
          </cell>
          <cell r="E401">
            <v>5369565.75</v>
          </cell>
          <cell r="F401"/>
          <cell r="G401">
            <v>5261.22</v>
          </cell>
        </row>
        <row r="402">
          <cell r="C402">
            <v>122005115987</v>
          </cell>
          <cell r="D402">
            <v>5358.65</v>
          </cell>
          <cell r="E402">
            <v>6641510.7699999996</v>
          </cell>
          <cell r="F402"/>
          <cell r="G402">
            <v>5358.65</v>
          </cell>
        </row>
        <row r="403">
          <cell r="C403">
            <v>123507268513</v>
          </cell>
          <cell r="D403">
            <v>5358.65</v>
          </cell>
          <cell r="E403">
            <v>8120820.4299999997</v>
          </cell>
          <cell r="F403"/>
          <cell r="G403">
            <v>5358.65</v>
          </cell>
        </row>
        <row r="404">
          <cell r="C404">
            <v>121815370916</v>
          </cell>
          <cell r="D404">
            <v>6040.66</v>
          </cell>
          <cell r="E404">
            <v>10565217.699999999</v>
          </cell>
          <cell r="F404"/>
          <cell r="G404">
            <v>6040.66</v>
          </cell>
        </row>
        <row r="405">
          <cell r="C405">
            <v>122712081619</v>
          </cell>
          <cell r="D405">
            <v>6040.66</v>
          </cell>
          <cell r="E405">
            <v>6319413.7300000004</v>
          </cell>
          <cell r="F405"/>
          <cell r="G405">
            <v>6040.66</v>
          </cell>
        </row>
        <row r="406">
          <cell r="C406">
            <v>124323262682</v>
          </cell>
          <cell r="D406">
            <v>6040.66</v>
          </cell>
          <cell r="E406">
            <v>12220799.91</v>
          </cell>
          <cell r="F406"/>
          <cell r="G406">
            <v>6040.66</v>
          </cell>
        </row>
        <row r="407">
          <cell r="C407">
            <v>121464182662</v>
          </cell>
          <cell r="D407">
            <v>6082.93</v>
          </cell>
          <cell r="E407">
            <v>8312658.6799999997</v>
          </cell>
          <cell r="F407"/>
          <cell r="G407">
            <v>6082.93</v>
          </cell>
        </row>
        <row r="408">
          <cell r="C408">
            <v>121082826309</v>
          </cell>
          <cell r="D408">
            <v>6332.95</v>
          </cell>
          <cell r="E408">
            <v>6523936.29</v>
          </cell>
          <cell r="F408"/>
          <cell r="G408">
            <v>6332.95</v>
          </cell>
        </row>
        <row r="409">
          <cell r="C409">
            <v>121184149691</v>
          </cell>
          <cell r="D409">
            <v>6332.95</v>
          </cell>
          <cell r="E409">
            <v>7385189.4199999999</v>
          </cell>
          <cell r="F409"/>
          <cell r="G409">
            <v>6332.95</v>
          </cell>
        </row>
        <row r="410">
          <cell r="C410">
            <v>121308070326</v>
          </cell>
          <cell r="D410">
            <v>6355.3</v>
          </cell>
          <cell r="E410">
            <v>6661883.0499999998</v>
          </cell>
          <cell r="F410"/>
          <cell r="G410">
            <v>6355.3</v>
          </cell>
        </row>
        <row r="411">
          <cell r="C411">
            <v>121434583732</v>
          </cell>
          <cell r="D411">
            <v>6355.3</v>
          </cell>
          <cell r="E411">
            <v>7039241.1600000001</v>
          </cell>
          <cell r="F411"/>
          <cell r="G411">
            <v>6355.3</v>
          </cell>
        </row>
        <row r="412">
          <cell r="C412">
            <v>121171354627</v>
          </cell>
          <cell r="D412">
            <v>6355.3</v>
          </cell>
          <cell r="E412">
            <v>7252786.6100000003</v>
          </cell>
          <cell r="F412"/>
          <cell r="G412">
            <v>6355.3</v>
          </cell>
        </row>
        <row r="413">
          <cell r="C413">
            <v>122106028963</v>
          </cell>
          <cell r="D413">
            <v>6355.3</v>
          </cell>
          <cell r="E413">
            <v>7558957.0099999998</v>
          </cell>
          <cell r="F413"/>
          <cell r="G413">
            <v>6355.3</v>
          </cell>
        </row>
        <row r="414">
          <cell r="C414">
            <v>123666389669</v>
          </cell>
          <cell r="D414">
            <v>6355.3</v>
          </cell>
          <cell r="E414">
            <v>10007110.119999999</v>
          </cell>
          <cell r="F414"/>
          <cell r="G414">
            <v>6355.3</v>
          </cell>
        </row>
        <row r="415">
          <cell r="C415">
            <v>124400653920</v>
          </cell>
          <cell r="D415">
            <v>6355.3</v>
          </cell>
          <cell r="E415">
            <v>12847288.52</v>
          </cell>
          <cell r="F415"/>
          <cell r="G415">
            <v>6355.3</v>
          </cell>
        </row>
        <row r="416">
          <cell r="C416">
            <v>120399338823</v>
          </cell>
          <cell r="D416">
            <v>6430.38</v>
          </cell>
          <cell r="E416">
            <v>10561567.43</v>
          </cell>
          <cell r="F416"/>
          <cell r="G416">
            <v>6430.38</v>
          </cell>
        </row>
        <row r="417">
          <cell r="C417">
            <v>121452787338</v>
          </cell>
          <cell r="D417">
            <v>6570.2</v>
          </cell>
          <cell r="E417">
            <v>7306579.2199999997</v>
          </cell>
          <cell r="F417"/>
          <cell r="G417">
            <v>6570.2</v>
          </cell>
        </row>
        <row r="418">
          <cell r="C418">
            <v>124065417802</v>
          </cell>
          <cell r="D418">
            <v>6570.2</v>
          </cell>
          <cell r="E418">
            <v>8754249.4100000001</v>
          </cell>
          <cell r="F418"/>
          <cell r="G418">
            <v>6570.2</v>
          </cell>
        </row>
        <row r="419">
          <cell r="C419">
            <v>120928711245</v>
          </cell>
          <cell r="D419">
            <v>6612.9</v>
          </cell>
          <cell r="E419">
            <v>7197801.4699999997</v>
          </cell>
          <cell r="F419"/>
          <cell r="G419">
            <v>6612.9</v>
          </cell>
        </row>
        <row r="420">
          <cell r="C420">
            <v>121604618324</v>
          </cell>
          <cell r="D420">
            <v>6612.9</v>
          </cell>
          <cell r="E420">
            <v>6513413.8499999996</v>
          </cell>
          <cell r="F420"/>
          <cell r="G420">
            <v>6612.9</v>
          </cell>
        </row>
        <row r="421">
          <cell r="C421">
            <v>123484533832</v>
          </cell>
          <cell r="D421">
            <v>6612.9</v>
          </cell>
          <cell r="E421">
            <v>8687801.8599999994</v>
          </cell>
          <cell r="F421"/>
          <cell r="G421">
            <v>6612.9</v>
          </cell>
        </row>
        <row r="422">
          <cell r="C422">
            <v>123667469593</v>
          </cell>
          <cell r="D422">
            <v>6809.25</v>
          </cell>
          <cell r="E422">
            <v>10300671.09</v>
          </cell>
          <cell r="F422"/>
          <cell r="G422">
            <v>6809.25</v>
          </cell>
        </row>
        <row r="423">
          <cell r="C423">
            <v>120584029288</v>
          </cell>
          <cell r="D423">
            <v>6820.1</v>
          </cell>
          <cell r="E423">
            <v>5427341.7400000002</v>
          </cell>
          <cell r="F423"/>
          <cell r="G423">
            <v>6820.1</v>
          </cell>
        </row>
        <row r="424">
          <cell r="C424">
            <v>120723863976</v>
          </cell>
          <cell r="D424">
            <v>6820.1</v>
          </cell>
          <cell r="E424">
            <v>7603112.7300000004</v>
          </cell>
          <cell r="F424"/>
          <cell r="G424">
            <v>6820.1</v>
          </cell>
        </row>
        <row r="425">
          <cell r="C425">
            <v>120322377763</v>
          </cell>
          <cell r="D425">
            <v>6820.1</v>
          </cell>
          <cell r="E425">
            <v>10205786.689999999</v>
          </cell>
          <cell r="F425"/>
          <cell r="G425">
            <v>6820.1</v>
          </cell>
        </row>
        <row r="426">
          <cell r="C426">
            <v>120935961311</v>
          </cell>
          <cell r="D426">
            <v>6820.1</v>
          </cell>
          <cell r="E426">
            <v>7565641.6500000004</v>
          </cell>
          <cell r="F426"/>
          <cell r="G426">
            <v>6820.1</v>
          </cell>
        </row>
        <row r="427">
          <cell r="C427">
            <v>121196433865</v>
          </cell>
          <cell r="D427">
            <v>6820.1</v>
          </cell>
          <cell r="E427">
            <v>7907435.6399999997</v>
          </cell>
          <cell r="F427"/>
          <cell r="G427">
            <v>6820.1</v>
          </cell>
        </row>
        <row r="428">
          <cell r="C428">
            <v>122412014840</v>
          </cell>
          <cell r="D428">
            <v>6820.1</v>
          </cell>
          <cell r="E428">
            <v>5841031.6500000004</v>
          </cell>
          <cell r="F428"/>
          <cell r="G428">
            <v>6820.1</v>
          </cell>
        </row>
        <row r="429">
          <cell r="C429">
            <v>123380428682</v>
          </cell>
          <cell r="D429">
            <v>6820.1</v>
          </cell>
          <cell r="E429">
            <v>7889481.2400000002</v>
          </cell>
          <cell r="F429"/>
          <cell r="G429">
            <v>6820.1</v>
          </cell>
        </row>
        <row r="430">
          <cell r="C430">
            <v>123485033152</v>
          </cell>
          <cell r="D430">
            <v>6820.1</v>
          </cell>
          <cell r="E430">
            <v>8751219.5399999991</v>
          </cell>
          <cell r="F430"/>
          <cell r="G430">
            <v>6820.1</v>
          </cell>
        </row>
        <row r="431">
          <cell r="C431">
            <v>123025164123</v>
          </cell>
          <cell r="D431">
            <v>6820.1</v>
          </cell>
          <cell r="E431">
            <v>10415219.130000001</v>
          </cell>
          <cell r="F431"/>
          <cell r="G431">
            <v>6820.1</v>
          </cell>
        </row>
        <row r="432">
          <cell r="C432">
            <v>123529144843</v>
          </cell>
          <cell r="D432">
            <v>6820.1</v>
          </cell>
          <cell r="E432">
            <v>9415221.7300000004</v>
          </cell>
          <cell r="F432"/>
          <cell r="G432">
            <v>6820.1</v>
          </cell>
        </row>
        <row r="433">
          <cell r="C433">
            <v>124196260644</v>
          </cell>
          <cell r="D433">
            <v>6820.1</v>
          </cell>
          <cell r="E433">
            <v>8660044.4900000002</v>
          </cell>
          <cell r="F433"/>
          <cell r="G433">
            <v>6820.1</v>
          </cell>
        </row>
        <row r="434">
          <cell r="C434">
            <v>123761632961</v>
          </cell>
          <cell r="D434">
            <v>6820.1</v>
          </cell>
          <cell r="E434">
            <v>10924741.529999999</v>
          </cell>
          <cell r="F434"/>
          <cell r="G434">
            <v>6820.1</v>
          </cell>
        </row>
        <row r="435">
          <cell r="C435">
            <v>124322474188</v>
          </cell>
          <cell r="D435">
            <v>6820.1</v>
          </cell>
          <cell r="E435">
            <v>12160883.609999999</v>
          </cell>
          <cell r="F435"/>
          <cell r="G435">
            <v>6820.1</v>
          </cell>
        </row>
        <row r="436">
          <cell r="C436">
            <v>120837361810</v>
          </cell>
          <cell r="D436">
            <v>6990.78</v>
          </cell>
          <cell r="E436">
            <v>9495697.6600000001</v>
          </cell>
          <cell r="F436"/>
          <cell r="G436">
            <v>6990.78</v>
          </cell>
        </row>
        <row r="437">
          <cell r="C437">
            <v>122654701604</v>
          </cell>
          <cell r="D437">
            <v>7014.96</v>
          </cell>
          <cell r="E437">
            <v>8891293.4299999997</v>
          </cell>
          <cell r="F437"/>
          <cell r="G437">
            <v>7014.96</v>
          </cell>
        </row>
        <row r="438">
          <cell r="C438">
            <v>122626986234</v>
          </cell>
          <cell r="D438">
            <v>7081.62</v>
          </cell>
          <cell r="E438">
            <v>7421396.1100000003</v>
          </cell>
          <cell r="F438"/>
          <cell r="G438">
            <v>7081.62</v>
          </cell>
        </row>
        <row r="439">
          <cell r="C439">
            <v>121195433907</v>
          </cell>
          <cell r="D439">
            <v>7179.72</v>
          </cell>
          <cell r="E439">
            <v>7879362.7300000004</v>
          </cell>
          <cell r="F439"/>
          <cell r="G439">
            <v>7179.72</v>
          </cell>
        </row>
        <row r="440">
          <cell r="C440">
            <v>123777869417</v>
          </cell>
          <cell r="D440">
            <v>7209.82</v>
          </cell>
          <cell r="E440">
            <v>11804319.710000001</v>
          </cell>
          <cell r="F440"/>
          <cell r="G440">
            <v>7209.82</v>
          </cell>
        </row>
        <row r="441">
          <cell r="C441">
            <v>124320883788</v>
          </cell>
          <cell r="D441">
            <v>7209.82</v>
          </cell>
          <cell r="E441">
            <v>11961796.060000001</v>
          </cell>
          <cell r="F441"/>
          <cell r="G441">
            <v>7209.82</v>
          </cell>
        </row>
        <row r="442">
          <cell r="C442">
            <v>123777993271</v>
          </cell>
          <cell r="D442">
            <v>7263.2</v>
          </cell>
          <cell r="E442">
            <v>11811582.91</v>
          </cell>
          <cell r="F442"/>
          <cell r="G442">
            <v>7263.2</v>
          </cell>
        </row>
        <row r="443">
          <cell r="C443">
            <v>120724501490</v>
          </cell>
          <cell r="D443">
            <v>7321.08</v>
          </cell>
          <cell r="E443">
            <v>7701330.5499999998</v>
          </cell>
          <cell r="F443"/>
          <cell r="G443">
            <v>7321.08</v>
          </cell>
        </row>
        <row r="444">
          <cell r="C444">
            <v>121205895165</v>
          </cell>
          <cell r="D444">
            <v>7321.08</v>
          </cell>
          <cell r="E444">
            <v>9477805.6400000006</v>
          </cell>
          <cell r="F444"/>
          <cell r="G444">
            <v>7321.08</v>
          </cell>
        </row>
        <row r="445">
          <cell r="C445">
            <v>122537572670</v>
          </cell>
          <cell r="D445">
            <v>7321.08</v>
          </cell>
          <cell r="E445">
            <v>6908069.9299999997</v>
          </cell>
          <cell r="F445"/>
          <cell r="G445">
            <v>7321.08</v>
          </cell>
        </row>
        <row r="446">
          <cell r="C446">
            <v>120723260120</v>
          </cell>
          <cell r="D446">
            <v>7354.52</v>
          </cell>
          <cell r="E446">
            <v>7537681.25</v>
          </cell>
          <cell r="F446"/>
          <cell r="G446">
            <v>7354.52</v>
          </cell>
        </row>
        <row r="447">
          <cell r="C447">
            <v>122632936006</v>
          </cell>
          <cell r="D447">
            <v>7368.66</v>
          </cell>
          <cell r="E447">
            <v>7492380.0999999996</v>
          </cell>
          <cell r="F447"/>
          <cell r="G447">
            <v>7368.66</v>
          </cell>
        </row>
        <row r="448">
          <cell r="C448">
            <v>123239447638</v>
          </cell>
          <cell r="D448">
            <v>7368.66</v>
          </cell>
          <cell r="E448">
            <v>5198702.49</v>
          </cell>
          <cell r="F448"/>
          <cell r="G448">
            <v>7368.66</v>
          </cell>
        </row>
        <row r="449">
          <cell r="C449">
            <v>122831542349</v>
          </cell>
          <cell r="D449">
            <v>7368.66</v>
          </cell>
          <cell r="E449">
            <v>6260260.7400000002</v>
          </cell>
          <cell r="F449"/>
          <cell r="G449">
            <v>7368.66</v>
          </cell>
        </row>
        <row r="450">
          <cell r="C450">
            <v>123567159662</v>
          </cell>
          <cell r="D450">
            <v>7368.66</v>
          </cell>
          <cell r="E450">
            <v>10643998.9</v>
          </cell>
          <cell r="F450"/>
          <cell r="G450">
            <v>7368.66</v>
          </cell>
        </row>
        <row r="451">
          <cell r="C451">
            <v>123392833611</v>
          </cell>
          <cell r="D451">
            <v>7368.66</v>
          </cell>
          <cell r="E451">
            <v>8905807.7799999993</v>
          </cell>
          <cell r="F451"/>
          <cell r="G451">
            <v>7368.66</v>
          </cell>
        </row>
        <row r="452">
          <cell r="C452">
            <v>123529022035</v>
          </cell>
          <cell r="D452">
            <v>7368.66</v>
          </cell>
          <cell r="E452">
            <v>9422590.3900000006</v>
          </cell>
          <cell r="F452"/>
          <cell r="G452">
            <v>7368.66</v>
          </cell>
        </row>
        <row r="453">
          <cell r="C453">
            <v>120724922394</v>
          </cell>
          <cell r="D453">
            <v>7404.68</v>
          </cell>
          <cell r="E453">
            <v>7747414.9400000004</v>
          </cell>
          <cell r="F453"/>
          <cell r="G453">
            <v>7404.68</v>
          </cell>
        </row>
        <row r="454">
          <cell r="C454">
            <v>123027974229</v>
          </cell>
          <cell r="D454">
            <v>7502.11</v>
          </cell>
          <cell r="E454">
            <v>10451254.68</v>
          </cell>
          <cell r="F454"/>
          <cell r="G454">
            <v>7502.11</v>
          </cell>
        </row>
        <row r="455">
          <cell r="C455">
            <v>121204918775</v>
          </cell>
          <cell r="D455">
            <v>7508.8</v>
          </cell>
          <cell r="E455">
            <v>9091698.1799999997</v>
          </cell>
          <cell r="F455"/>
          <cell r="G455">
            <v>7508.8</v>
          </cell>
        </row>
        <row r="456">
          <cell r="C456">
            <v>120312458403</v>
          </cell>
          <cell r="D456">
            <v>7548.06</v>
          </cell>
          <cell r="E456">
            <v>8347207.9400000004</v>
          </cell>
          <cell r="F456"/>
          <cell r="G456">
            <v>7548.06</v>
          </cell>
        </row>
        <row r="457">
          <cell r="C457">
            <v>120812248714</v>
          </cell>
          <cell r="D457">
            <v>7599.54</v>
          </cell>
          <cell r="E457">
            <v>8007176.7400000002</v>
          </cell>
          <cell r="F457"/>
          <cell r="G457">
            <v>7599.54</v>
          </cell>
        </row>
        <row r="458">
          <cell r="C458">
            <v>120937782823</v>
          </cell>
          <cell r="D458">
            <v>7599.54</v>
          </cell>
          <cell r="E458">
            <v>7862502.4000000004</v>
          </cell>
          <cell r="F458"/>
          <cell r="G458">
            <v>7599.54</v>
          </cell>
        </row>
        <row r="459">
          <cell r="C459">
            <v>120938038743</v>
          </cell>
          <cell r="D459">
            <v>7599.54</v>
          </cell>
          <cell r="E459">
            <v>7926319.0499999998</v>
          </cell>
          <cell r="F459"/>
          <cell r="G459">
            <v>7599.54</v>
          </cell>
        </row>
        <row r="460">
          <cell r="C460">
            <v>122408278764</v>
          </cell>
          <cell r="D460">
            <v>7599.54</v>
          </cell>
          <cell r="E460">
            <v>5267255.17</v>
          </cell>
          <cell r="F460"/>
          <cell r="G460">
            <v>7599.54</v>
          </cell>
        </row>
        <row r="461">
          <cell r="C461">
            <v>121879796171</v>
          </cell>
          <cell r="D461">
            <v>7599.54</v>
          </cell>
          <cell r="E461">
            <v>5366736.5</v>
          </cell>
          <cell r="F461"/>
          <cell r="G461">
            <v>7599.54</v>
          </cell>
        </row>
        <row r="462">
          <cell r="C462">
            <v>122535271080</v>
          </cell>
          <cell r="D462">
            <v>7599.54</v>
          </cell>
          <cell r="E462">
            <v>6533320.5899999999</v>
          </cell>
          <cell r="F462"/>
          <cell r="G462">
            <v>7599.54</v>
          </cell>
        </row>
        <row r="463">
          <cell r="C463">
            <v>122125284253</v>
          </cell>
          <cell r="D463">
            <v>7599.54</v>
          </cell>
          <cell r="E463">
            <v>9534224.2300000004</v>
          </cell>
          <cell r="F463"/>
          <cell r="G463">
            <v>7599.54</v>
          </cell>
        </row>
        <row r="464">
          <cell r="C464">
            <v>122707411267</v>
          </cell>
          <cell r="D464">
            <v>7599.54</v>
          </cell>
          <cell r="E464">
            <v>5530944.3099999996</v>
          </cell>
          <cell r="F464"/>
          <cell r="G464">
            <v>7599.54</v>
          </cell>
        </row>
        <row r="465">
          <cell r="C465">
            <v>123485320424</v>
          </cell>
          <cell r="D465">
            <v>7599.54</v>
          </cell>
          <cell r="E465">
            <v>8714517.1600000001</v>
          </cell>
          <cell r="F465"/>
          <cell r="G465">
            <v>7599.54</v>
          </cell>
        </row>
        <row r="466">
          <cell r="C466">
            <v>123404624967</v>
          </cell>
          <cell r="D466">
            <v>7599.54</v>
          </cell>
          <cell r="E466">
            <v>9552957.2400000002</v>
          </cell>
          <cell r="F466"/>
          <cell r="G466">
            <v>7599.54</v>
          </cell>
        </row>
        <row r="467">
          <cell r="C467">
            <v>123520637117</v>
          </cell>
          <cell r="D467">
            <v>7599.54</v>
          </cell>
          <cell r="E467">
            <v>8382038.6600000001</v>
          </cell>
          <cell r="F467"/>
          <cell r="G467">
            <v>7599.54</v>
          </cell>
        </row>
        <row r="468">
          <cell r="C468">
            <v>123528879437</v>
          </cell>
          <cell r="D468">
            <v>7599.54</v>
          </cell>
          <cell r="E468">
            <v>9403448.5199999996</v>
          </cell>
          <cell r="F468"/>
          <cell r="G468">
            <v>7599.54</v>
          </cell>
        </row>
        <row r="469">
          <cell r="C469">
            <v>123650082019</v>
          </cell>
          <cell r="D469">
            <v>7599.54</v>
          </cell>
          <cell r="E469">
            <v>8560990.2899999991</v>
          </cell>
          <cell r="F469"/>
          <cell r="G469">
            <v>7599.54</v>
          </cell>
        </row>
        <row r="470">
          <cell r="C470">
            <v>120695012008</v>
          </cell>
          <cell r="D470">
            <v>7626.36</v>
          </cell>
          <cell r="E470">
            <v>5651590.6900000004</v>
          </cell>
          <cell r="F470"/>
          <cell r="G470">
            <v>7626.36</v>
          </cell>
        </row>
        <row r="471">
          <cell r="C471">
            <v>122535545770</v>
          </cell>
          <cell r="D471">
            <v>7696.97</v>
          </cell>
          <cell r="E471">
            <v>6612966.7999999998</v>
          </cell>
          <cell r="F471"/>
          <cell r="G471">
            <v>7696.97</v>
          </cell>
        </row>
        <row r="472">
          <cell r="C472">
            <v>121574634384</v>
          </cell>
          <cell r="D472">
            <v>7746.54</v>
          </cell>
          <cell r="E472">
            <v>5739682.79</v>
          </cell>
          <cell r="F472"/>
          <cell r="G472">
            <v>7746.54</v>
          </cell>
        </row>
        <row r="473">
          <cell r="C473">
            <v>121977524029</v>
          </cell>
          <cell r="D473">
            <v>7746.54</v>
          </cell>
          <cell r="E473">
            <v>5939888.75</v>
          </cell>
          <cell r="F473"/>
          <cell r="G473">
            <v>7746.54</v>
          </cell>
        </row>
        <row r="474">
          <cell r="C474">
            <v>122123557187</v>
          </cell>
          <cell r="D474">
            <v>7746.54</v>
          </cell>
          <cell r="E474">
            <v>8918720.8300000001</v>
          </cell>
          <cell r="F474"/>
          <cell r="G474">
            <v>7746.54</v>
          </cell>
        </row>
        <row r="475">
          <cell r="C475">
            <v>122840045281</v>
          </cell>
          <cell r="D475">
            <v>7746.54</v>
          </cell>
          <cell r="E475">
            <v>6802291.1200000001</v>
          </cell>
          <cell r="F475"/>
          <cell r="G475">
            <v>7746.54</v>
          </cell>
        </row>
        <row r="476">
          <cell r="C476">
            <v>124176814912</v>
          </cell>
          <cell r="D476">
            <v>7746.54</v>
          </cell>
          <cell r="E476">
            <v>8433144.6600000001</v>
          </cell>
          <cell r="F476"/>
          <cell r="G476">
            <v>7746.54</v>
          </cell>
        </row>
        <row r="477">
          <cell r="C477">
            <v>120715961488</v>
          </cell>
          <cell r="D477">
            <v>7794.4</v>
          </cell>
          <cell r="E477">
            <v>6418668.9900000002</v>
          </cell>
          <cell r="F477"/>
          <cell r="G477">
            <v>7794.4</v>
          </cell>
        </row>
        <row r="478">
          <cell r="C478">
            <v>120201628721</v>
          </cell>
          <cell r="D478">
            <v>7794.4</v>
          </cell>
          <cell r="E478">
            <v>6794328.3700000001</v>
          </cell>
          <cell r="F478"/>
          <cell r="G478">
            <v>7794.4</v>
          </cell>
        </row>
        <row r="479">
          <cell r="C479">
            <v>123371803688</v>
          </cell>
          <cell r="D479">
            <v>7794.4</v>
          </cell>
          <cell r="E479">
            <v>6397457.3499999996</v>
          </cell>
          <cell r="F479"/>
          <cell r="G479">
            <v>7794.4</v>
          </cell>
        </row>
        <row r="480">
          <cell r="C480">
            <v>122951038519</v>
          </cell>
          <cell r="D480">
            <v>7794.4</v>
          </cell>
          <cell r="E480">
            <v>9134217.5600000005</v>
          </cell>
          <cell r="F480"/>
          <cell r="G480">
            <v>7794.4</v>
          </cell>
        </row>
        <row r="481">
          <cell r="C481">
            <v>120317082529</v>
          </cell>
          <cell r="D481">
            <v>7807.94</v>
          </cell>
          <cell r="E481">
            <v>8917950.6300000008</v>
          </cell>
          <cell r="F481"/>
          <cell r="G481">
            <v>7807.94</v>
          </cell>
        </row>
        <row r="482">
          <cell r="C482">
            <v>121461235990</v>
          </cell>
          <cell r="D482">
            <v>7807.94</v>
          </cell>
          <cell r="E482">
            <v>8120731.1600000001</v>
          </cell>
          <cell r="F482"/>
          <cell r="G482">
            <v>7807.94</v>
          </cell>
        </row>
        <row r="483">
          <cell r="C483">
            <v>121803048122</v>
          </cell>
          <cell r="D483">
            <v>7807.94</v>
          </cell>
          <cell r="E483">
            <v>10078002.550000001</v>
          </cell>
          <cell r="F483"/>
          <cell r="G483">
            <v>7807.94</v>
          </cell>
        </row>
        <row r="484">
          <cell r="C484">
            <v>122406399136</v>
          </cell>
          <cell r="D484">
            <v>7807.94</v>
          </cell>
          <cell r="E484">
            <v>4974365.5</v>
          </cell>
          <cell r="F484"/>
          <cell r="G484">
            <v>7807.94</v>
          </cell>
        </row>
        <row r="485">
          <cell r="C485">
            <v>123245030386</v>
          </cell>
          <cell r="D485">
            <v>7807.94</v>
          </cell>
          <cell r="E485">
            <v>5807986.4500000002</v>
          </cell>
          <cell r="F485"/>
          <cell r="G485">
            <v>7807.94</v>
          </cell>
        </row>
        <row r="486">
          <cell r="C486">
            <v>120585493796</v>
          </cell>
          <cell r="D486">
            <v>7935.14</v>
          </cell>
          <cell r="E486">
            <v>5567832.71</v>
          </cell>
          <cell r="F486"/>
          <cell r="G486">
            <v>7935.14</v>
          </cell>
        </row>
        <row r="487">
          <cell r="C487">
            <v>120721191736</v>
          </cell>
          <cell r="D487">
            <v>7935.14</v>
          </cell>
          <cell r="E487">
            <v>7262558.7400000002</v>
          </cell>
          <cell r="F487"/>
          <cell r="G487">
            <v>7935.14</v>
          </cell>
        </row>
        <row r="488">
          <cell r="C488">
            <v>122120372529</v>
          </cell>
          <cell r="D488">
            <v>7935.14</v>
          </cell>
          <cell r="E488">
            <v>8412653.3900000006</v>
          </cell>
          <cell r="F488"/>
          <cell r="G488">
            <v>7935.14</v>
          </cell>
        </row>
        <row r="489">
          <cell r="C489">
            <v>120580099000</v>
          </cell>
          <cell r="D489">
            <v>7989.26</v>
          </cell>
          <cell r="E489">
            <v>4790155.49</v>
          </cell>
          <cell r="F489"/>
          <cell r="G489">
            <v>7989.26</v>
          </cell>
        </row>
        <row r="490">
          <cell r="C490">
            <v>120064520053</v>
          </cell>
          <cell r="D490">
            <v>7989.26</v>
          </cell>
          <cell r="E490">
            <v>4903875.2699999996</v>
          </cell>
          <cell r="F490"/>
          <cell r="G490">
            <v>7989.26</v>
          </cell>
        </row>
        <row r="491">
          <cell r="C491">
            <v>120066760035</v>
          </cell>
          <cell r="D491">
            <v>7989.26</v>
          </cell>
          <cell r="E491">
            <v>5364304.53</v>
          </cell>
          <cell r="F491"/>
          <cell r="G491">
            <v>7989.26</v>
          </cell>
        </row>
        <row r="492">
          <cell r="C492">
            <v>120584285566</v>
          </cell>
          <cell r="D492">
            <v>7989.26</v>
          </cell>
          <cell r="E492">
            <v>5435331</v>
          </cell>
          <cell r="F492"/>
          <cell r="G492">
            <v>7989.26</v>
          </cell>
        </row>
        <row r="493">
          <cell r="C493">
            <v>120069180813</v>
          </cell>
          <cell r="D493">
            <v>7989.26</v>
          </cell>
          <cell r="E493">
            <v>5507624.0599999996</v>
          </cell>
          <cell r="F493"/>
          <cell r="G493">
            <v>7989.26</v>
          </cell>
        </row>
        <row r="494">
          <cell r="C494">
            <v>120192287281</v>
          </cell>
          <cell r="D494">
            <v>7989.26</v>
          </cell>
          <cell r="E494">
            <v>5883020.0199999996</v>
          </cell>
          <cell r="F494"/>
          <cell r="G494">
            <v>7989.26</v>
          </cell>
        </row>
        <row r="495">
          <cell r="C495">
            <v>120716235738</v>
          </cell>
          <cell r="D495">
            <v>7989.26</v>
          </cell>
          <cell r="E495">
            <v>6439368.8499999996</v>
          </cell>
          <cell r="F495"/>
          <cell r="G495">
            <v>7989.26</v>
          </cell>
        </row>
        <row r="496">
          <cell r="C496">
            <v>120199836305</v>
          </cell>
          <cell r="D496">
            <v>7989.26</v>
          </cell>
          <cell r="E496">
            <v>6447358.1100000003</v>
          </cell>
          <cell r="F496"/>
          <cell r="G496">
            <v>7989.26</v>
          </cell>
        </row>
        <row r="497">
          <cell r="C497">
            <v>120825285388</v>
          </cell>
          <cell r="D497">
            <v>7989.26</v>
          </cell>
          <cell r="E497">
            <v>8266644.3700000001</v>
          </cell>
          <cell r="F497"/>
          <cell r="G497">
            <v>7989.26</v>
          </cell>
        </row>
        <row r="498">
          <cell r="C498">
            <v>120834594630</v>
          </cell>
          <cell r="D498">
            <v>7989.26</v>
          </cell>
          <cell r="E498">
            <v>9054832.9499999993</v>
          </cell>
          <cell r="F498"/>
          <cell r="G498">
            <v>7989.26</v>
          </cell>
        </row>
        <row r="499">
          <cell r="C499">
            <v>120939801859</v>
          </cell>
          <cell r="D499">
            <v>7989.26</v>
          </cell>
          <cell r="E499">
            <v>8112521.8300000001</v>
          </cell>
          <cell r="F499"/>
          <cell r="G499">
            <v>7989.26</v>
          </cell>
        </row>
        <row r="500">
          <cell r="C500">
            <v>121670787391</v>
          </cell>
          <cell r="D500">
            <v>7989.26</v>
          </cell>
          <cell r="E500">
            <v>5364312.8099999996</v>
          </cell>
          <cell r="F500"/>
          <cell r="G500">
            <v>7989.26</v>
          </cell>
        </row>
        <row r="501">
          <cell r="C501">
            <v>122411086598</v>
          </cell>
          <cell r="D501">
            <v>7989.26</v>
          </cell>
          <cell r="E501">
            <v>5625629.8200000003</v>
          </cell>
          <cell r="F501"/>
          <cell r="G501">
            <v>7989.26</v>
          </cell>
        </row>
        <row r="502">
          <cell r="C502">
            <v>122118945395</v>
          </cell>
          <cell r="D502">
            <v>7989.26</v>
          </cell>
          <cell r="E502">
            <v>8275735.9299999997</v>
          </cell>
          <cell r="F502"/>
          <cell r="G502">
            <v>7989.26</v>
          </cell>
        </row>
        <row r="503">
          <cell r="C503">
            <v>122119703179</v>
          </cell>
          <cell r="D503">
            <v>7989.26</v>
          </cell>
          <cell r="E503">
            <v>8353387.6399999997</v>
          </cell>
          <cell r="F503"/>
          <cell r="G503">
            <v>7989.26</v>
          </cell>
        </row>
        <row r="504">
          <cell r="C504">
            <v>122125149343</v>
          </cell>
          <cell r="D504">
            <v>7989.26</v>
          </cell>
          <cell r="E504">
            <v>9419715.4800000004</v>
          </cell>
          <cell r="F504"/>
          <cell r="G504">
            <v>7989.26</v>
          </cell>
        </row>
        <row r="505">
          <cell r="C505">
            <v>122563204079</v>
          </cell>
          <cell r="D505">
            <v>7989.26</v>
          </cell>
          <cell r="E505">
            <v>5207994.32</v>
          </cell>
          <cell r="F505"/>
          <cell r="G505">
            <v>7989.26</v>
          </cell>
        </row>
        <row r="506">
          <cell r="C506">
            <v>124055574994</v>
          </cell>
          <cell r="D506">
            <v>7989.26</v>
          </cell>
          <cell r="E506">
            <v>8279713.0199999996</v>
          </cell>
          <cell r="F506"/>
          <cell r="G506">
            <v>7989.26</v>
          </cell>
        </row>
        <row r="507">
          <cell r="C507">
            <v>123521430699</v>
          </cell>
          <cell r="D507">
            <v>7989.26</v>
          </cell>
          <cell r="E507">
            <v>8393712.25</v>
          </cell>
          <cell r="F507"/>
          <cell r="G507">
            <v>7989.26</v>
          </cell>
        </row>
        <row r="508">
          <cell r="C508">
            <v>123654349819</v>
          </cell>
          <cell r="D508">
            <v>7989.26</v>
          </cell>
          <cell r="E508">
            <v>8598858.4499999993</v>
          </cell>
          <cell r="F508"/>
          <cell r="G508">
            <v>7989.26</v>
          </cell>
        </row>
        <row r="509">
          <cell r="C509">
            <v>123777879233</v>
          </cell>
          <cell r="D509">
            <v>7989.26</v>
          </cell>
          <cell r="E509">
            <v>11797109.890000001</v>
          </cell>
          <cell r="F509"/>
          <cell r="G509">
            <v>7989.26</v>
          </cell>
        </row>
        <row r="510">
          <cell r="C510">
            <v>120173976813</v>
          </cell>
          <cell r="D510">
            <v>7989.52</v>
          </cell>
          <cell r="E510">
            <v>5628765.25</v>
          </cell>
          <cell r="F510"/>
          <cell r="G510">
            <v>7989.52</v>
          </cell>
        </row>
        <row r="511">
          <cell r="C511">
            <v>123485737222</v>
          </cell>
          <cell r="D511">
            <v>7989.52</v>
          </cell>
          <cell r="E511">
            <v>8816547.4100000001</v>
          </cell>
          <cell r="F511"/>
          <cell r="G511">
            <v>7989.52</v>
          </cell>
        </row>
        <row r="512">
          <cell r="C512">
            <v>122950015507</v>
          </cell>
          <cell r="D512">
            <v>8029.95</v>
          </cell>
          <cell r="E512">
            <v>9027531.7100000009</v>
          </cell>
          <cell r="F512"/>
          <cell r="G512">
            <v>8029.95</v>
          </cell>
        </row>
        <row r="513">
          <cell r="C513">
            <v>120937564511</v>
          </cell>
          <cell r="D513">
            <v>8071.96</v>
          </cell>
          <cell r="E513">
            <v>7850713.3700000001</v>
          </cell>
          <cell r="F513"/>
          <cell r="G513">
            <v>8071.96</v>
          </cell>
        </row>
        <row r="514">
          <cell r="C514">
            <v>122411740706</v>
          </cell>
          <cell r="D514">
            <v>8071.96</v>
          </cell>
          <cell r="E514">
            <v>5696457.8399999999</v>
          </cell>
          <cell r="F514"/>
          <cell r="G514">
            <v>8071.96</v>
          </cell>
        </row>
        <row r="515">
          <cell r="C515">
            <v>122000603253</v>
          </cell>
          <cell r="D515">
            <v>8071.96</v>
          </cell>
          <cell r="E515">
            <v>6194144.3099999996</v>
          </cell>
          <cell r="F515"/>
          <cell r="G515">
            <v>8071.96</v>
          </cell>
        </row>
        <row r="516">
          <cell r="C516">
            <v>123489574238</v>
          </cell>
          <cell r="D516">
            <v>8071.96</v>
          </cell>
          <cell r="E516">
            <v>9722448.4499999993</v>
          </cell>
          <cell r="F516"/>
          <cell r="G516">
            <v>8071.96</v>
          </cell>
        </row>
        <row r="517">
          <cell r="C517">
            <v>123661439903</v>
          </cell>
          <cell r="D517">
            <v>8071.96</v>
          </cell>
          <cell r="E517">
            <v>9173521.6899999995</v>
          </cell>
          <cell r="F517"/>
          <cell r="G517">
            <v>8071.96</v>
          </cell>
        </row>
        <row r="518">
          <cell r="C518">
            <v>120302963061</v>
          </cell>
          <cell r="D518">
            <v>8124.42</v>
          </cell>
          <cell r="E518">
            <v>8175928.1900000004</v>
          </cell>
          <cell r="F518"/>
          <cell r="G518">
            <v>8124.42</v>
          </cell>
        </row>
        <row r="519">
          <cell r="C519">
            <v>120306017935</v>
          </cell>
          <cell r="D519">
            <v>8124.42</v>
          </cell>
          <cell r="E519">
            <v>8227282.6500000004</v>
          </cell>
          <cell r="F519"/>
          <cell r="G519">
            <v>8124.42</v>
          </cell>
        </row>
        <row r="520">
          <cell r="C520">
            <v>120782440103</v>
          </cell>
          <cell r="D520">
            <v>8124.42</v>
          </cell>
          <cell r="E520">
            <v>6655527.75</v>
          </cell>
          <cell r="F520"/>
          <cell r="G520">
            <v>8124.42</v>
          </cell>
        </row>
        <row r="521">
          <cell r="C521">
            <v>121983496369</v>
          </cell>
          <cell r="D521">
            <v>8124.42</v>
          </cell>
          <cell r="E521">
            <v>5948013.1699999999</v>
          </cell>
          <cell r="F521"/>
          <cell r="G521">
            <v>8124.42</v>
          </cell>
        </row>
        <row r="522">
          <cell r="C522">
            <v>122005255793</v>
          </cell>
          <cell r="D522">
            <v>8124.42</v>
          </cell>
          <cell r="E522">
            <v>6683518.6500000004</v>
          </cell>
          <cell r="F522"/>
          <cell r="G522">
            <v>8124.42</v>
          </cell>
        </row>
        <row r="523">
          <cell r="C523">
            <v>122541116296</v>
          </cell>
          <cell r="D523">
            <v>8124.42</v>
          </cell>
          <cell r="E523">
            <v>7485487.6299999999</v>
          </cell>
          <cell r="F523"/>
          <cell r="G523">
            <v>8124.42</v>
          </cell>
        </row>
        <row r="524">
          <cell r="C524">
            <v>122100164963</v>
          </cell>
          <cell r="D524">
            <v>8124.42</v>
          </cell>
          <cell r="E524">
            <v>7472446.9299999997</v>
          </cell>
          <cell r="F524"/>
          <cell r="G524">
            <v>8124.42</v>
          </cell>
        </row>
        <row r="525">
          <cell r="C525">
            <v>122638332578</v>
          </cell>
          <cell r="D525">
            <v>8124.42</v>
          </cell>
          <cell r="E525">
            <v>7589150.9699999997</v>
          </cell>
          <cell r="F525"/>
          <cell r="G525">
            <v>8124.42</v>
          </cell>
        </row>
        <row r="526">
          <cell r="C526">
            <v>122108970775</v>
          </cell>
          <cell r="D526">
            <v>8124.42</v>
          </cell>
          <cell r="E526">
            <v>7654174.5099999998</v>
          </cell>
          <cell r="F526"/>
          <cell r="G526">
            <v>8124.42</v>
          </cell>
        </row>
        <row r="527">
          <cell r="C527">
            <v>122704062597</v>
          </cell>
          <cell r="D527">
            <v>8124.42</v>
          </cell>
          <cell r="E527">
            <v>5181006.25</v>
          </cell>
          <cell r="F527"/>
          <cell r="G527">
            <v>8124.42</v>
          </cell>
        </row>
        <row r="528">
          <cell r="C528">
            <v>122839533303</v>
          </cell>
          <cell r="D528">
            <v>8124.42</v>
          </cell>
          <cell r="E528">
            <v>6546278.3200000003</v>
          </cell>
          <cell r="F528"/>
          <cell r="G528">
            <v>8124.42</v>
          </cell>
        </row>
        <row r="529">
          <cell r="C529">
            <v>123471132518</v>
          </cell>
          <cell r="D529">
            <v>8124.42</v>
          </cell>
          <cell r="E529">
            <v>8230571.2400000002</v>
          </cell>
          <cell r="F529"/>
          <cell r="G529">
            <v>8124.42</v>
          </cell>
        </row>
        <row r="530">
          <cell r="C530">
            <v>123485579342</v>
          </cell>
          <cell r="D530">
            <v>8124.42</v>
          </cell>
          <cell r="E530">
            <v>8805147.8399999999</v>
          </cell>
          <cell r="F530"/>
          <cell r="G530">
            <v>8124.42</v>
          </cell>
        </row>
        <row r="531">
          <cell r="C531">
            <v>123549394334</v>
          </cell>
          <cell r="D531">
            <v>8124.42</v>
          </cell>
          <cell r="E531">
            <v>10259006.34</v>
          </cell>
          <cell r="F531"/>
          <cell r="G531">
            <v>8124.42</v>
          </cell>
        </row>
        <row r="532">
          <cell r="C532">
            <v>123762911023</v>
          </cell>
          <cell r="D532">
            <v>8124.42</v>
          </cell>
          <cell r="E532">
            <v>10932865.949999999</v>
          </cell>
          <cell r="F532"/>
          <cell r="G532">
            <v>8124.42</v>
          </cell>
        </row>
        <row r="533">
          <cell r="C533">
            <v>124308993098</v>
          </cell>
          <cell r="D533">
            <v>8124.42</v>
          </cell>
          <cell r="E533">
            <v>11139010.039999999</v>
          </cell>
          <cell r="F533"/>
          <cell r="G533">
            <v>8124.42</v>
          </cell>
        </row>
        <row r="534">
          <cell r="C534">
            <v>124319672286</v>
          </cell>
          <cell r="D534">
            <v>8124.42</v>
          </cell>
          <cell r="E534">
            <v>11789120.630000001</v>
          </cell>
          <cell r="F534"/>
          <cell r="G534">
            <v>8124.42</v>
          </cell>
        </row>
        <row r="535">
          <cell r="C535">
            <v>120166375071</v>
          </cell>
          <cell r="D535">
            <v>8171.1</v>
          </cell>
          <cell r="E535">
            <v>5603393.25</v>
          </cell>
          <cell r="F535"/>
          <cell r="G535">
            <v>8171.1</v>
          </cell>
        </row>
        <row r="536">
          <cell r="C536">
            <v>121567140988</v>
          </cell>
          <cell r="D536">
            <v>8171.1</v>
          </cell>
          <cell r="E536">
            <v>5727746.7599999998</v>
          </cell>
          <cell r="F536"/>
          <cell r="G536">
            <v>8171.1</v>
          </cell>
        </row>
        <row r="537">
          <cell r="C537">
            <v>122380343604</v>
          </cell>
          <cell r="D537">
            <v>8171.1</v>
          </cell>
          <cell r="E537">
            <v>4223807.3499999996</v>
          </cell>
          <cell r="F537"/>
          <cell r="G537">
            <v>8171.1</v>
          </cell>
        </row>
        <row r="538">
          <cell r="C538">
            <v>122520371398</v>
          </cell>
          <cell r="D538">
            <v>8171.1</v>
          </cell>
          <cell r="E538">
            <v>6069026.0499999998</v>
          </cell>
          <cell r="F538"/>
          <cell r="G538">
            <v>8171.1</v>
          </cell>
        </row>
        <row r="539">
          <cell r="C539">
            <v>122679198075</v>
          </cell>
          <cell r="D539">
            <v>8171.1</v>
          </cell>
          <cell r="E539">
            <v>4751583.7699999996</v>
          </cell>
          <cell r="F539"/>
          <cell r="G539">
            <v>8171.1</v>
          </cell>
        </row>
        <row r="540">
          <cell r="C540">
            <v>120178844043</v>
          </cell>
          <cell r="D540">
            <v>8184.12</v>
          </cell>
          <cell r="E540">
            <v>5659774.8099999996</v>
          </cell>
          <cell r="F540"/>
          <cell r="G540">
            <v>8184.12</v>
          </cell>
        </row>
        <row r="541">
          <cell r="C541">
            <v>120318876829</v>
          </cell>
          <cell r="D541">
            <v>8184.12</v>
          </cell>
          <cell r="E541">
            <v>9199723.8000000007</v>
          </cell>
          <cell r="F541"/>
          <cell r="G541">
            <v>8184.12</v>
          </cell>
        </row>
        <row r="542">
          <cell r="C542">
            <v>122119751249</v>
          </cell>
          <cell r="D542">
            <v>8184.12</v>
          </cell>
          <cell r="E542">
            <v>8386811.3799999999</v>
          </cell>
          <cell r="F542"/>
          <cell r="G542">
            <v>8184.12</v>
          </cell>
        </row>
        <row r="543">
          <cell r="C543">
            <v>123657146045</v>
          </cell>
          <cell r="D543">
            <v>8184.12</v>
          </cell>
          <cell r="E543">
            <v>8791735.8499999996</v>
          </cell>
          <cell r="F543"/>
          <cell r="G543">
            <v>8184.12</v>
          </cell>
        </row>
        <row r="544">
          <cell r="C544">
            <v>122725764702</v>
          </cell>
          <cell r="D544">
            <v>8259.68</v>
          </cell>
          <cell r="E544">
            <v>9591210.4600000009</v>
          </cell>
          <cell r="F544"/>
          <cell r="G544">
            <v>8259.68</v>
          </cell>
        </row>
        <row r="545">
          <cell r="C545">
            <v>121274159103</v>
          </cell>
          <cell r="D545">
            <v>8281.5499999999993</v>
          </cell>
          <cell r="E545">
            <v>9869855.8900000006</v>
          </cell>
          <cell r="F545"/>
          <cell r="G545">
            <v>8281.5499999999993</v>
          </cell>
        </row>
        <row r="546">
          <cell r="C546">
            <v>122412799828</v>
          </cell>
          <cell r="D546">
            <v>8281.5499999999993</v>
          </cell>
          <cell r="E546">
            <v>5940917.71</v>
          </cell>
          <cell r="F546"/>
          <cell r="G546">
            <v>8281.5499999999993</v>
          </cell>
        </row>
        <row r="547">
          <cell r="C547">
            <v>122008467003</v>
          </cell>
          <cell r="D547">
            <v>8281.5499999999993</v>
          </cell>
          <cell r="E547">
            <v>7237081.8099999996</v>
          </cell>
          <cell r="F547"/>
          <cell r="G547">
            <v>8281.5499999999993</v>
          </cell>
        </row>
        <row r="548">
          <cell r="C548">
            <v>121881307515</v>
          </cell>
          <cell r="D548">
            <v>8313.36</v>
          </cell>
          <cell r="E548">
            <v>5644721.6200000001</v>
          </cell>
          <cell r="F548"/>
          <cell r="G548">
            <v>8313.36</v>
          </cell>
        </row>
        <row r="549">
          <cell r="C549">
            <v>122533565896</v>
          </cell>
          <cell r="D549">
            <v>8313.36</v>
          </cell>
          <cell r="E549">
            <v>6362244.6799999997</v>
          </cell>
          <cell r="F549"/>
          <cell r="G549">
            <v>8313.36</v>
          </cell>
        </row>
        <row r="550">
          <cell r="C550">
            <v>121194094243</v>
          </cell>
          <cell r="D550">
            <v>8322.2199999999993</v>
          </cell>
          <cell r="E550">
            <v>7768133.96</v>
          </cell>
          <cell r="F550"/>
          <cell r="G550">
            <v>8322.2199999999993</v>
          </cell>
        </row>
        <row r="551">
          <cell r="C551">
            <v>121880311629</v>
          </cell>
          <cell r="D551">
            <v>8322.2199999999993</v>
          </cell>
          <cell r="E551">
            <v>5582402.8200000003</v>
          </cell>
          <cell r="F551"/>
          <cell r="G551">
            <v>8322.2199999999993</v>
          </cell>
        </row>
        <row r="552">
          <cell r="C552">
            <v>122115106679</v>
          </cell>
          <cell r="D552">
            <v>8322.2199999999993</v>
          </cell>
          <cell r="E552">
            <v>8079483.9800000004</v>
          </cell>
          <cell r="F552"/>
          <cell r="G552">
            <v>8322.2199999999993</v>
          </cell>
        </row>
        <row r="553">
          <cell r="C553">
            <v>123244719842</v>
          </cell>
          <cell r="D553">
            <v>8322.2199999999993</v>
          </cell>
          <cell r="E553">
            <v>5800178.5099999998</v>
          </cell>
          <cell r="F553"/>
          <cell r="G553">
            <v>8322.2199999999993</v>
          </cell>
        </row>
        <row r="554">
          <cell r="C554">
            <v>124067747328</v>
          </cell>
          <cell r="D554">
            <v>8322.2199999999993</v>
          </cell>
          <cell r="E554">
            <v>9296950.7400000002</v>
          </cell>
          <cell r="F554"/>
          <cell r="G554">
            <v>8322.2199999999993</v>
          </cell>
        </row>
        <row r="555">
          <cell r="C555">
            <v>120207291805</v>
          </cell>
          <cell r="D555">
            <v>8378.98</v>
          </cell>
          <cell r="E555">
            <v>7611491.71</v>
          </cell>
          <cell r="F555"/>
          <cell r="G555">
            <v>8378.98</v>
          </cell>
        </row>
        <row r="556">
          <cell r="C556">
            <v>120315652527</v>
          </cell>
          <cell r="D556">
            <v>8378.98</v>
          </cell>
          <cell r="E556">
            <v>8879626.5</v>
          </cell>
          <cell r="F556"/>
          <cell r="G556">
            <v>8378.98</v>
          </cell>
        </row>
        <row r="557">
          <cell r="C557">
            <v>120318664159</v>
          </cell>
          <cell r="D557">
            <v>8378.98</v>
          </cell>
          <cell r="E557">
            <v>9135554.25</v>
          </cell>
          <cell r="F557"/>
          <cell r="G557">
            <v>8378.98</v>
          </cell>
        </row>
        <row r="558">
          <cell r="C558">
            <v>120318822017</v>
          </cell>
          <cell r="D558">
            <v>8378.98</v>
          </cell>
          <cell r="E558">
            <v>9208513.9600000009</v>
          </cell>
          <cell r="F558"/>
          <cell r="G558">
            <v>8378.98</v>
          </cell>
        </row>
        <row r="559">
          <cell r="C559">
            <v>120319539427</v>
          </cell>
          <cell r="D559">
            <v>8378.98</v>
          </cell>
          <cell r="E559">
            <v>9248848.4499999993</v>
          </cell>
          <cell r="F559"/>
          <cell r="G559">
            <v>8378.98</v>
          </cell>
        </row>
        <row r="560">
          <cell r="C560">
            <v>120838050336</v>
          </cell>
          <cell r="D560">
            <v>8378.98</v>
          </cell>
          <cell r="E560">
            <v>9535741.3900000006</v>
          </cell>
          <cell r="F560"/>
          <cell r="G560">
            <v>8378.98</v>
          </cell>
        </row>
        <row r="561">
          <cell r="C561">
            <v>121310722088</v>
          </cell>
          <cell r="D561">
            <v>8378.98</v>
          </cell>
          <cell r="E561">
            <v>6762370.2800000003</v>
          </cell>
          <cell r="F561"/>
          <cell r="G561">
            <v>8378.98</v>
          </cell>
        </row>
        <row r="562">
          <cell r="C562">
            <v>120795673691</v>
          </cell>
          <cell r="D562">
            <v>8378.98</v>
          </cell>
          <cell r="E562">
            <v>6929011.0099999998</v>
          </cell>
          <cell r="F562"/>
          <cell r="G562">
            <v>8378.98</v>
          </cell>
        </row>
        <row r="563">
          <cell r="C563">
            <v>121318503996</v>
          </cell>
          <cell r="D563">
            <v>8378.98</v>
          </cell>
          <cell r="E563">
            <v>7193609.1799999997</v>
          </cell>
          <cell r="F563"/>
          <cell r="G563">
            <v>8378.98</v>
          </cell>
        </row>
        <row r="564">
          <cell r="C564">
            <v>121446617972</v>
          </cell>
          <cell r="D564">
            <v>8378.98</v>
          </cell>
          <cell r="E564">
            <v>7152703.7199999997</v>
          </cell>
          <cell r="F564"/>
          <cell r="G564">
            <v>8378.98</v>
          </cell>
        </row>
        <row r="565">
          <cell r="C565">
            <v>120936464477</v>
          </cell>
          <cell r="D565">
            <v>8378.98</v>
          </cell>
          <cell r="E565">
            <v>7718320.7300000004</v>
          </cell>
          <cell r="F565"/>
          <cell r="G565">
            <v>8378.98</v>
          </cell>
        </row>
        <row r="566">
          <cell r="C566">
            <v>120936327911</v>
          </cell>
          <cell r="D566">
            <v>8378.98</v>
          </cell>
          <cell r="E566">
            <v>7726699.71</v>
          </cell>
          <cell r="F566"/>
          <cell r="G566">
            <v>8378.98</v>
          </cell>
        </row>
        <row r="567">
          <cell r="C567">
            <v>121460156440</v>
          </cell>
          <cell r="D567">
            <v>8378.98</v>
          </cell>
          <cell r="E567">
            <v>7938887.5199999996</v>
          </cell>
          <cell r="F567"/>
          <cell r="G567">
            <v>8378.98</v>
          </cell>
        </row>
        <row r="568">
          <cell r="C568">
            <v>121461029968</v>
          </cell>
          <cell r="D568">
            <v>8378.98</v>
          </cell>
          <cell r="E568">
            <v>8087273.4100000001</v>
          </cell>
          <cell r="F568"/>
          <cell r="G568">
            <v>8378.98</v>
          </cell>
        </row>
        <row r="569">
          <cell r="C569">
            <v>120939881221</v>
          </cell>
          <cell r="D569">
            <v>8378.98</v>
          </cell>
          <cell r="E569">
            <v>8104532.5700000003</v>
          </cell>
          <cell r="F569"/>
          <cell r="G569">
            <v>8378.98</v>
          </cell>
        </row>
        <row r="570">
          <cell r="C570">
            <v>121463797064</v>
          </cell>
          <cell r="D570">
            <v>8378.98</v>
          </cell>
          <cell r="E570">
            <v>8303188.7999999998</v>
          </cell>
          <cell r="F570"/>
          <cell r="G570">
            <v>8378.98</v>
          </cell>
        </row>
        <row r="571">
          <cell r="C571">
            <v>121595615422</v>
          </cell>
          <cell r="D571">
            <v>8378.98</v>
          </cell>
          <cell r="E571">
            <v>5957377.6500000004</v>
          </cell>
          <cell r="F571"/>
          <cell r="G571">
            <v>8378.98</v>
          </cell>
        </row>
        <row r="572">
          <cell r="C572">
            <v>121696665644</v>
          </cell>
          <cell r="D572">
            <v>8378.98</v>
          </cell>
          <cell r="E572">
            <v>7272313.0499999998</v>
          </cell>
          <cell r="F572"/>
          <cell r="G572">
            <v>8378.98</v>
          </cell>
        </row>
        <row r="573">
          <cell r="C573">
            <v>121199479569</v>
          </cell>
          <cell r="D573">
            <v>8378.98</v>
          </cell>
          <cell r="E573">
            <v>8229761.0700000003</v>
          </cell>
          <cell r="F573"/>
          <cell r="G573">
            <v>8378.98</v>
          </cell>
        </row>
        <row r="574">
          <cell r="C574">
            <v>121869347127</v>
          </cell>
          <cell r="D574">
            <v>8378.98</v>
          </cell>
          <cell r="E574">
            <v>4365620.74</v>
          </cell>
          <cell r="F574"/>
          <cell r="G574">
            <v>8378.98</v>
          </cell>
        </row>
        <row r="575">
          <cell r="C575">
            <v>122405362704</v>
          </cell>
          <cell r="D575">
            <v>8378.98</v>
          </cell>
          <cell r="E575">
            <v>4620796.16</v>
          </cell>
          <cell r="F575"/>
          <cell r="G575">
            <v>8378.98</v>
          </cell>
        </row>
        <row r="576">
          <cell r="C576">
            <v>122407267582</v>
          </cell>
          <cell r="D576">
            <v>8378.98</v>
          </cell>
          <cell r="E576">
            <v>5220001.62</v>
          </cell>
          <cell r="F576"/>
          <cell r="G576">
            <v>8378.98</v>
          </cell>
        </row>
        <row r="577">
          <cell r="C577">
            <v>121880159695</v>
          </cell>
          <cell r="D577">
            <v>8378.98</v>
          </cell>
          <cell r="E577">
            <v>5569334.6900000004</v>
          </cell>
          <cell r="F577"/>
          <cell r="G577">
            <v>8378.98</v>
          </cell>
        </row>
        <row r="578">
          <cell r="C578">
            <v>122410723224</v>
          </cell>
          <cell r="D578">
            <v>8378.98</v>
          </cell>
          <cell r="E578">
            <v>5594191.8499999996</v>
          </cell>
          <cell r="F578"/>
          <cell r="G578">
            <v>8378.98</v>
          </cell>
        </row>
        <row r="579">
          <cell r="C579">
            <v>122413277498</v>
          </cell>
          <cell r="D579">
            <v>8378.98</v>
          </cell>
          <cell r="E579">
            <v>5952706.7400000002</v>
          </cell>
          <cell r="F579"/>
          <cell r="G579">
            <v>8378.98</v>
          </cell>
        </row>
        <row r="580">
          <cell r="C580">
            <v>122505783300</v>
          </cell>
          <cell r="D580">
            <v>8378.98</v>
          </cell>
          <cell r="E580">
            <v>5931721.2400000002</v>
          </cell>
          <cell r="F580"/>
          <cell r="G580">
            <v>8378.98</v>
          </cell>
        </row>
        <row r="581">
          <cell r="C581">
            <v>122647729120</v>
          </cell>
          <cell r="D581">
            <v>8378.98</v>
          </cell>
          <cell r="E581">
            <v>8190894.5099999998</v>
          </cell>
          <cell r="F581"/>
          <cell r="G581">
            <v>8378.98</v>
          </cell>
        </row>
        <row r="582">
          <cell r="C582">
            <v>122653105258</v>
          </cell>
          <cell r="D582">
            <v>8378.98</v>
          </cell>
          <cell r="E582">
            <v>8666805.9100000001</v>
          </cell>
          <cell r="F582"/>
          <cell r="G582">
            <v>8378.98</v>
          </cell>
        </row>
        <row r="583">
          <cell r="C583">
            <v>122123482281</v>
          </cell>
          <cell r="D583">
            <v>8378.98</v>
          </cell>
          <cell r="E583">
            <v>8883857.5</v>
          </cell>
          <cell r="F583"/>
          <cell r="G583">
            <v>8378.98</v>
          </cell>
        </row>
        <row r="584">
          <cell r="C584">
            <v>122721471834</v>
          </cell>
          <cell r="D584">
            <v>8378.98</v>
          </cell>
          <cell r="E584">
            <v>9551177.0500000007</v>
          </cell>
          <cell r="F584"/>
          <cell r="G584">
            <v>8378.98</v>
          </cell>
        </row>
        <row r="585">
          <cell r="C585">
            <v>122704412457</v>
          </cell>
          <cell r="D585">
            <v>8378.98</v>
          </cell>
          <cell r="E585">
            <v>5207081.47</v>
          </cell>
          <cell r="F585"/>
          <cell r="G585">
            <v>8378.98</v>
          </cell>
        </row>
        <row r="586">
          <cell r="C586">
            <v>123242898974</v>
          </cell>
          <cell r="D586">
            <v>8378.98</v>
          </cell>
          <cell r="E586">
            <v>5543723.2599999998</v>
          </cell>
          <cell r="F586"/>
          <cell r="G586">
            <v>8378.98</v>
          </cell>
        </row>
        <row r="587">
          <cell r="C587">
            <v>122708456535</v>
          </cell>
          <cell r="D587">
            <v>8378.98</v>
          </cell>
          <cell r="E587">
            <v>5681684.1399999997</v>
          </cell>
          <cell r="F587"/>
          <cell r="G587">
            <v>8378.98</v>
          </cell>
        </row>
        <row r="588">
          <cell r="C588">
            <v>123244564514</v>
          </cell>
          <cell r="D588">
            <v>8378.98</v>
          </cell>
          <cell r="E588">
            <v>5754150.8799999999</v>
          </cell>
          <cell r="F588"/>
          <cell r="G588">
            <v>8378.98</v>
          </cell>
        </row>
        <row r="589">
          <cell r="C589">
            <v>122711551529</v>
          </cell>
          <cell r="D589">
            <v>8378.98</v>
          </cell>
          <cell r="E589">
            <v>6214189.3300000001</v>
          </cell>
          <cell r="F589"/>
          <cell r="G589">
            <v>8378.98</v>
          </cell>
        </row>
        <row r="590">
          <cell r="C590">
            <v>123247132332</v>
          </cell>
          <cell r="D590">
            <v>8378.98</v>
          </cell>
          <cell r="E590">
            <v>6222568.3099999996</v>
          </cell>
          <cell r="F590"/>
          <cell r="G590">
            <v>8378.98</v>
          </cell>
        </row>
        <row r="591">
          <cell r="C591">
            <v>123247309236</v>
          </cell>
          <cell r="D591">
            <v>8378.98</v>
          </cell>
          <cell r="E591">
            <v>6284046.6399999997</v>
          </cell>
          <cell r="F591"/>
          <cell r="G591">
            <v>8378.98</v>
          </cell>
        </row>
        <row r="592">
          <cell r="C592">
            <v>122712202607</v>
          </cell>
          <cell r="D592">
            <v>8378.98</v>
          </cell>
          <cell r="E592">
            <v>6313373.0700000003</v>
          </cell>
          <cell r="F592"/>
          <cell r="G592">
            <v>8378.98</v>
          </cell>
        </row>
        <row r="593">
          <cell r="C593">
            <v>123247792370</v>
          </cell>
          <cell r="D593">
            <v>8378.98</v>
          </cell>
          <cell r="E593">
            <v>6327792.71</v>
          </cell>
          <cell r="F593"/>
          <cell r="G593">
            <v>8378.98</v>
          </cell>
        </row>
        <row r="594">
          <cell r="C594">
            <v>123247865046</v>
          </cell>
          <cell r="D594">
            <v>8378.98</v>
          </cell>
          <cell r="E594">
            <v>6369590.1799999997</v>
          </cell>
          <cell r="F594"/>
          <cell r="G594">
            <v>8378.98</v>
          </cell>
        </row>
        <row r="595">
          <cell r="C595">
            <v>122928644205</v>
          </cell>
          <cell r="D595">
            <v>8378.98</v>
          </cell>
          <cell r="E595">
            <v>8213678.1200000001</v>
          </cell>
          <cell r="F595"/>
          <cell r="G595">
            <v>8378.98</v>
          </cell>
        </row>
        <row r="596">
          <cell r="C596">
            <v>123515260143</v>
          </cell>
          <cell r="D596">
            <v>8378.98</v>
          </cell>
          <cell r="E596">
            <v>8288493.3899999997</v>
          </cell>
          <cell r="F596"/>
          <cell r="G596">
            <v>8378.98</v>
          </cell>
        </row>
        <row r="597">
          <cell r="C597">
            <v>124058809788</v>
          </cell>
          <cell r="D597">
            <v>8378.98</v>
          </cell>
          <cell r="E597">
            <v>8333175.4500000002</v>
          </cell>
          <cell r="F597"/>
          <cell r="G597">
            <v>8378.98</v>
          </cell>
        </row>
        <row r="598">
          <cell r="C598">
            <v>123523065699</v>
          </cell>
          <cell r="D598">
            <v>8378.98</v>
          </cell>
          <cell r="E598">
            <v>8566912.1199999992</v>
          </cell>
          <cell r="F598"/>
          <cell r="G598">
            <v>8378.98</v>
          </cell>
        </row>
        <row r="599">
          <cell r="C599">
            <v>123527912669</v>
          </cell>
          <cell r="D599">
            <v>8378.98</v>
          </cell>
          <cell r="E599">
            <v>9329485.4499999993</v>
          </cell>
          <cell r="F599"/>
          <cell r="G599">
            <v>8378.98</v>
          </cell>
        </row>
        <row r="600">
          <cell r="C600">
            <v>123528331777</v>
          </cell>
          <cell r="D600">
            <v>8378.98</v>
          </cell>
          <cell r="E600">
            <v>9355603.9700000007</v>
          </cell>
          <cell r="F600"/>
          <cell r="G600">
            <v>8378.98</v>
          </cell>
        </row>
        <row r="601">
          <cell r="C601">
            <v>123661634721</v>
          </cell>
          <cell r="D601">
            <v>8378.98</v>
          </cell>
          <cell r="E601">
            <v>9181900.6699999999</v>
          </cell>
          <cell r="F601"/>
          <cell r="G601">
            <v>8378.98</v>
          </cell>
        </row>
        <row r="602">
          <cell r="C602">
            <v>124296099162</v>
          </cell>
          <cell r="D602">
            <v>8378.98</v>
          </cell>
          <cell r="E602">
            <v>10849789.4</v>
          </cell>
          <cell r="F602"/>
          <cell r="G602">
            <v>8378.98</v>
          </cell>
        </row>
        <row r="603">
          <cell r="C603">
            <v>123757282057</v>
          </cell>
          <cell r="D603">
            <v>8378.98</v>
          </cell>
          <cell r="E603">
            <v>10871368.300000001</v>
          </cell>
          <cell r="F603"/>
          <cell r="G603">
            <v>8378.98</v>
          </cell>
        </row>
        <row r="604">
          <cell r="C604">
            <v>124308655050</v>
          </cell>
          <cell r="D604">
            <v>8378.98</v>
          </cell>
          <cell r="E604">
            <v>11111984.199999999</v>
          </cell>
          <cell r="F604"/>
          <cell r="G604">
            <v>8378.98</v>
          </cell>
        </row>
        <row r="605">
          <cell r="C605">
            <v>120834347752</v>
          </cell>
          <cell r="D605">
            <v>8447.4</v>
          </cell>
          <cell r="E605">
            <v>9018978.7100000009</v>
          </cell>
          <cell r="F605"/>
          <cell r="G605">
            <v>8447.4</v>
          </cell>
        </row>
        <row r="606">
          <cell r="C606">
            <v>120816163788</v>
          </cell>
          <cell r="D606">
            <v>8502.2999999999993</v>
          </cell>
          <cell r="E606">
            <v>8167803.7699999996</v>
          </cell>
          <cell r="F606"/>
          <cell r="G606">
            <v>8502.2999999999993</v>
          </cell>
        </row>
        <row r="607">
          <cell r="C607">
            <v>121589919352</v>
          </cell>
          <cell r="D607">
            <v>8502.2999999999993</v>
          </cell>
          <cell r="E607">
            <v>5829156.3499999996</v>
          </cell>
          <cell r="F607"/>
          <cell r="G607">
            <v>8502.2999999999993</v>
          </cell>
        </row>
        <row r="608">
          <cell r="C608">
            <v>121197678755</v>
          </cell>
          <cell r="D608">
            <v>8502.2999999999993</v>
          </cell>
          <cell r="E608">
            <v>8081770.8399999999</v>
          </cell>
          <cell r="F608"/>
          <cell r="G608">
            <v>8502.2999999999993</v>
          </cell>
        </row>
        <row r="609">
          <cell r="C609">
            <v>122113603031</v>
          </cell>
          <cell r="D609">
            <v>8502.2999999999993</v>
          </cell>
          <cell r="E609">
            <v>7966842</v>
          </cell>
          <cell r="F609"/>
          <cell r="G609">
            <v>8502.2999999999993</v>
          </cell>
        </row>
        <row r="610">
          <cell r="C610">
            <v>123464481562</v>
          </cell>
          <cell r="D610">
            <v>8502.2999999999993</v>
          </cell>
          <cell r="E610">
            <v>8205299.1399999997</v>
          </cell>
          <cell r="F610"/>
          <cell r="G610">
            <v>8502.2999999999993</v>
          </cell>
        </row>
        <row r="611">
          <cell r="C611">
            <v>121202849543</v>
          </cell>
          <cell r="D611">
            <v>8515.76</v>
          </cell>
          <cell r="E611">
            <v>8654639.7899999991</v>
          </cell>
          <cell r="F611"/>
          <cell r="G611">
            <v>8515.76</v>
          </cell>
        </row>
        <row r="612">
          <cell r="C612">
            <v>120064729539</v>
          </cell>
          <cell r="D612">
            <v>8573.84</v>
          </cell>
          <cell r="E612">
            <v>4925602.16</v>
          </cell>
          <cell r="F612"/>
          <cell r="G612">
            <v>8573.84</v>
          </cell>
        </row>
        <row r="613">
          <cell r="C613">
            <v>120206261235</v>
          </cell>
          <cell r="D613">
            <v>8573.84</v>
          </cell>
          <cell r="E613">
            <v>7530326.7300000004</v>
          </cell>
          <cell r="F613"/>
          <cell r="G613">
            <v>8573.84</v>
          </cell>
        </row>
        <row r="614">
          <cell r="C614">
            <v>120806438124</v>
          </cell>
          <cell r="D614">
            <v>8573.84</v>
          </cell>
          <cell r="E614">
            <v>7868872.5899999999</v>
          </cell>
          <cell r="F614"/>
          <cell r="G614">
            <v>8573.84</v>
          </cell>
        </row>
        <row r="615">
          <cell r="C615">
            <v>120314839313</v>
          </cell>
          <cell r="D615">
            <v>8573.84</v>
          </cell>
          <cell r="E615">
            <v>8774204.6899999995</v>
          </cell>
          <cell r="F615"/>
          <cell r="G615">
            <v>8573.84</v>
          </cell>
        </row>
        <row r="616">
          <cell r="C616">
            <v>121086515629</v>
          </cell>
          <cell r="D616">
            <v>8573.84</v>
          </cell>
          <cell r="E616">
            <v>7109858.6399999997</v>
          </cell>
          <cell r="F616"/>
          <cell r="G616">
            <v>8573.84</v>
          </cell>
        </row>
        <row r="617">
          <cell r="C617">
            <v>121864839279</v>
          </cell>
          <cell r="D617">
            <v>8573.84</v>
          </cell>
          <cell r="E617">
            <v>4245931.24</v>
          </cell>
          <cell r="F617"/>
          <cell r="G617">
            <v>8573.84</v>
          </cell>
        </row>
        <row r="618">
          <cell r="C618">
            <v>122407211170</v>
          </cell>
          <cell r="D618">
            <v>8573.84</v>
          </cell>
          <cell r="E618">
            <v>5144395.12</v>
          </cell>
          <cell r="F618"/>
          <cell r="G618">
            <v>8573.84</v>
          </cell>
        </row>
        <row r="619">
          <cell r="C619">
            <v>121997977487</v>
          </cell>
          <cell r="D619">
            <v>8573.84</v>
          </cell>
          <cell r="E619">
            <v>6077599.8899999997</v>
          </cell>
          <cell r="F619"/>
          <cell r="G619">
            <v>8573.84</v>
          </cell>
        </row>
        <row r="620">
          <cell r="C620">
            <v>122113203525</v>
          </cell>
          <cell r="D620">
            <v>8573.84</v>
          </cell>
          <cell r="E620">
            <v>7948715.96</v>
          </cell>
          <cell r="F620"/>
          <cell r="G620">
            <v>8573.84</v>
          </cell>
        </row>
        <row r="621">
          <cell r="C621">
            <v>122720357054</v>
          </cell>
          <cell r="D621">
            <v>8573.84</v>
          </cell>
          <cell r="E621">
            <v>9542798.0700000003</v>
          </cell>
          <cell r="F621"/>
          <cell r="G621">
            <v>8573.84</v>
          </cell>
        </row>
        <row r="622">
          <cell r="C622">
            <v>122704574529</v>
          </cell>
          <cell r="D622">
            <v>8573.84</v>
          </cell>
          <cell r="E622">
            <v>5215655.3099999996</v>
          </cell>
          <cell r="F622"/>
          <cell r="G622">
            <v>8573.84</v>
          </cell>
        </row>
        <row r="623">
          <cell r="C623">
            <v>123526714037</v>
          </cell>
          <cell r="D623">
            <v>8573.84</v>
          </cell>
          <cell r="E623">
            <v>9170996.5</v>
          </cell>
          <cell r="F623"/>
          <cell r="G623">
            <v>8573.84</v>
          </cell>
        </row>
        <row r="624">
          <cell r="C624">
            <v>123766320853</v>
          </cell>
          <cell r="D624">
            <v>8573.84</v>
          </cell>
          <cell r="E624">
            <v>11092790.49</v>
          </cell>
          <cell r="F624"/>
          <cell r="G624">
            <v>8573.84</v>
          </cell>
        </row>
        <row r="625">
          <cell r="C625">
            <v>124403562764</v>
          </cell>
          <cell r="D625">
            <v>8573.84</v>
          </cell>
          <cell r="E625">
            <v>12855862.359999999</v>
          </cell>
          <cell r="F625"/>
          <cell r="G625">
            <v>8573.84</v>
          </cell>
        </row>
        <row r="626">
          <cell r="C626">
            <v>124053953784</v>
          </cell>
          <cell r="D626">
            <v>8671.27</v>
          </cell>
          <cell r="E626">
            <v>8216260.0899999999</v>
          </cell>
          <cell r="F626"/>
          <cell r="G626">
            <v>8671.27</v>
          </cell>
        </row>
        <row r="627">
          <cell r="C627">
            <v>122825953501</v>
          </cell>
          <cell r="D627">
            <v>8709.2999999999993</v>
          </cell>
          <cell r="E627">
            <v>6153910</v>
          </cell>
          <cell r="F627"/>
          <cell r="G627">
            <v>8709.2999999999993</v>
          </cell>
        </row>
        <row r="628">
          <cell r="C628">
            <v>123459410734</v>
          </cell>
          <cell r="D628">
            <v>8709.2999999999993</v>
          </cell>
          <cell r="E628">
            <v>8121628.4800000004</v>
          </cell>
          <cell r="F628"/>
          <cell r="G628">
            <v>8709.2999999999993</v>
          </cell>
        </row>
        <row r="629">
          <cell r="C629">
            <v>121206220635</v>
          </cell>
          <cell r="D629">
            <v>8715.84</v>
          </cell>
          <cell r="E629">
            <v>9486521.4800000004</v>
          </cell>
          <cell r="F629"/>
          <cell r="G629">
            <v>8715.84</v>
          </cell>
        </row>
        <row r="630">
          <cell r="C630">
            <v>121596059016</v>
          </cell>
          <cell r="D630">
            <v>8728.98</v>
          </cell>
          <cell r="E630">
            <v>5966106.6299999999</v>
          </cell>
          <cell r="F630"/>
          <cell r="G630">
            <v>8728.98</v>
          </cell>
        </row>
        <row r="631">
          <cell r="C631">
            <v>121870169943</v>
          </cell>
          <cell r="D631">
            <v>8728.98</v>
          </cell>
          <cell r="E631">
            <v>4385943.8899999997</v>
          </cell>
          <cell r="F631"/>
          <cell r="G631">
            <v>8728.98</v>
          </cell>
        </row>
        <row r="632">
          <cell r="C632">
            <v>120583960346</v>
          </cell>
          <cell r="D632">
            <v>8768.7000000000007</v>
          </cell>
          <cell r="E632">
            <v>5417111.5899999999</v>
          </cell>
          <cell r="F632"/>
          <cell r="G632">
            <v>8768.7000000000007</v>
          </cell>
        </row>
        <row r="633">
          <cell r="C633">
            <v>120585249290</v>
          </cell>
          <cell r="D633">
            <v>8768.7000000000007</v>
          </cell>
          <cell r="E633">
            <v>5516392.7599999998</v>
          </cell>
          <cell r="F633"/>
          <cell r="G633">
            <v>8768.7000000000007</v>
          </cell>
        </row>
        <row r="634">
          <cell r="C634">
            <v>120825147638</v>
          </cell>
          <cell r="D634">
            <v>8768.7000000000007</v>
          </cell>
          <cell r="E634">
            <v>8258655.1100000003</v>
          </cell>
          <cell r="F634"/>
          <cell r="G634">
            <v>8768.7000000000007</v>
          </cell>
        </row>
        <row r="635">
          <cell r="C635">
            <v>120834927754</v>
          </cell>
          <cell r="D635">
            <v>8768.7000000000007</v>
          </cell>
          <cell r="E635">
            <v>9072565.2100000009</v>
          </cell>
          <cell r="F635"/>
          <cell r="G635">
            <v>8768.7000000000007</v>
          </cell>
        </row>
        <row r="636">
          <cell r="C636">
            <v>120319545745</v>
          </cell>
          <cell r="D636">
            <v>8768.7000000000007</v>
          </cell>
          <cell r="E636">
            <v>9257617.1500000004</v>
          </cell>
          <cell r="F636"/>
          <cell r="G636">
            <v>8768.7000000000007</v>
          </cell>
        </row>
        <row r="637">
          <cell r="C637">
            <v>120321143685</v>
          </cell>
          <cell r="D637">
            <v>8768.7000000000007</v>
          </cell>
          <cell r="E637">
            <v>9635838.5700000003</v>
          </cell>
          <cell r="F637"/>
          <cell r="G637">
            <v>8768.7000000000007</v>
          </cell>
        </row>
        <row r="638">
          <cell r="C638">
            <v>121058582781</v>
          </cell>
          <cell r="D638">
            <v>8768.7000000000007</v>
          </cell>
          <cell r="E638">
            <v>5770045.1799999997</v>
          </cell>
          <cell r="F638"/>
          <cell r="G638">
            <v>8768.7000000000007</v>
          </cell>
        </row>
        <row r="639">
          <cell r="C639">
            <v>121585761236</v>
          </cell>
          <cell r="D639">
            <v>8768.7000000000007</v>
          </cell>
          <cell r="E639">
            <v>5783003.3700000001</v>
          </cell>
          <cell r="F639"/>
          <cell r="G639">
            <v>8768.7000000000007</v>
          </cell>
        </row>
        <row r="640">
          <cell r="C640">
            <v>121710744312</v>
          </cell>
          <cell r="D640">
            <v>8768.7000000000007</v>
          </cell>
          <cell r="E640">
            <v>7525586.0499999998</v>
          </cell>
          <cell r="F640"/>
          <cell r="G640">
            <v>8768.7000000000007</v>
          </cell>
        </row>
        <row r="641">
          <cell r="C641">
            <v>122192387552</v>
          </cell>
          <cell r="D641">
            <v>8768.7000000000007</v>
          </cell>
          <cell r="E641">
            <v>5336839.5</v>
          </cell>
          <cell r="F641"/>
          <cell r="G641">
            <v>8768.7000000000007</v>
          </cell>
        </row>
        <row r="642">
          <cell r="C642">
            <v>121879978277</v>
          </cell>
          <cell r="D642">
            <v>8768.7000000000007</v>
          </cell>
          <cell r="E642">
            <v>5407805.4500000002</v>
          </cell>
          <cell r="F642"/>
          <cell r="G642">
            <v>8768.7000000000007</v>
          </cell>
        </row>
        <row r="643">
          <cell r="C643">
            <v>121998298093</v>
          </cell>
          <cell r="D643">
            <v>8768.7000000000007</v>
          </cell>
          <cell r="E643">
            <v>6098978.0999999996</v>
          </cell>
          <cell r="F643"/>
          <cell r="G643">
            <v>8768.7000000000007</v>
          </cell>
        </row>
        <row r="644">
          <cell r="C644">
            <v>122537358196</v>
          </cell>
          <cell r="D644">
            <v>8768.7000000000007</v>
          </cell>
          <cell r="E644">
            <v>6900748.8499999996</v>
          </cell>
          <cell r="F644"/>
          <cell r="G644">
            <v>8768.7000000000007</v>
          </cell>
        </row>
        <row r="645">
          <cell r="C645">
            <v>122931360643</v>
          </cell>
          <cell r="D645">
            <v>8768.7000000000007</v>
          </cell>
          <cell r="E645">
            <v>8222446.8200000003</v>
          </cell>
          <cell r="F645"/>
          <cell r="G645">
            <v>8768.7000000000007</v>
          </cell>
        </row>
        <row r="646">
          <cell r="C646">
            <v>123779607223</v>
          </cell>
          <cell r="D646">
            <v>8768.7000000000007</v>
          </cell>
          <cell r="E646">
            <v>11970564.76</v>
          </cell>
          <cell r="F646"/>
          <cell r="G646">
            <v>8768.7000000000007</v>
          </cell>
        </row>
        <row r="647">
          <cell r="C647">
            <v>120714226490</v>
          </cell>
          <cell r="D647">
            <v>8880.18</v>
          </cell>
          <cell r="E647">
            <v>6098482.1699999999</v>
          </cell>
          <cell r="F647"/>
          <cell r="G647">
            <v>8880.18</v>
          </cell>
        </row>
        <row r="648">
          <cell r="C648">
            <v>120939942807</v>
          </cell>
          <cell r="D648">
            <v>8880.18</v>
          </cell>
          <cell r="E648">
            <v>8096153.5899999999</v>
          </cell>
          <cell r="F648"/>
          <cell r="G648">
            <v>8880.18</v>
          </cell>
        </row>
        <row r="649">
          <cell r="C649">
            <v>120719176290</v>
          </cell>
          <cell r="D649">
            <v>8963.56</v>
          </cell>
          <cell r="E649">
            <v>6956404.2400000002</v>
          </cell>
          <cell r="F649"/>
          <cell r="G649">
            <v>8963.56</v>
          </cell>
        </row>
        <row r="650">
          <cell r="C650">
            <v>120834689556</v>
          </cell>
          <cell r="D650">
            <v>8963.56</v>
          </cell>
          <cell r="E650">
            <v>9063796.5099999998</v>
          </cell>
          <cell r="F650"/>
          <cell r="G650">
            <v>8963.56</v>
          </cell>
        </row>
        <row r="651">
          <cell r="C651">
            <v>123372061344</v>
          </cell>
          <cell r="D651">
            <v>8974.65</v>
          </cell>
          <cell r="E651">
            <v>6406823.5999999996</v>
          </cell>
          <cell r="F651"/>
          <cell r="G651">
            <v>8974.65</v>
          </cell>
        </row>
        <row r="652">
          <cell r="C652">
            <v>122842571273</v>
          </cell>
          <cell r="D652">
            <v>8974.65</v>
          </cell>
          <cell r="E652">
            <v>7587469.75</v>
          </cell>
          <cell r="F652"/>
          <cell r="G652">
            <v>8974.65</v>
          </cell>
        </row>
        <row r="653">
          <cell r="C653">
            <v>121877660515</v>
          </cell>
          <cell r="D653">
            <v>9060.99</v>
          </cell>
          <cell r="E653">
            <v>5246405.1500000004</v>
          </cell>
          <cell r="F653"/>
          <cell r="G653">
            <v>9060.99</v>
          </cell>
        </row>
        <row r="654">
          <cell r="C654">
            <v>121877637211</v>
          </cell>
          <cell r="D654">
            <v>9060.99</v>
          </cell>
          <cell r="E654">
            <v>5255466.1399999997</v>
          </cell>
          <cell r="F654"/>
          <cell r="G654">
            <v>9060.99</v>
          </cell>
        </row>
        <row r="655">
          <cell r="C655">
            <v>121880824107</v>
          </cell>
          <cell r="D655">
            <v>9060.99</v>
          </cell>
          <cell r="E655">
            <v>5617185.3300000001</v>
          </cell>
          <cell r="F655"/>
          <cell r="G655">
            <v>9060.99</v>
          </cell>
        </row>
        <row r="656">
          <cell r="C656">
            <v>122114436301</v>
          </cell>
          <cell r="D656">
            <v>9060.99</v>
          </cell>
          <cell r="E656">
            <v>8017992.75</v>
          </cell>
          <cell r="F656"/>
          <cell r="G656">
            <v>9060.99</v>
          </cell>
        </row>
        <row r="657">
          <cell r="C657">
            <v>123237160984</v>
          </cell>
          <cell r="D657">
            <v>9060.99</v>
          </cell>
          <cell r="E657">
            <v>5053265.72</v>
          </cell>
          <cell r="F657"/>
          <cell r="G657">
            <v>9060.99</v>
          </cell>
        </row>
        <row r="658">
          <cell r="C658">
            <v>122703185901</v>
          </cell>
          <cell r="D658">
            <v>9060.99</v>
          </cell>
          <cell r="E658">
            <v>5172881.83</v>
          </cell>
          <cell r="F658"/>
          <cell r="G658">
            <v>9060.99</v>
          </cell>
        </row>
        <row r="659">
          <cell r="C659">
            <v>122947442879</v>
          </cell>
          <cell r="D659">
            <v>9060.99</v>
          </cell>
          <cell r="E659">
            <v>8640049.7799999993</v>
          </cell>
          <cell r="F659"/>
          <cell r="G659">
            <v>9060.99</v>
          </cell>
        </row>
        <row r="660">
          <cell r="C660">
            <v>124209893778</v>
          </cell>
          <cell r="D660">
            <v>9060.99</v>
          </cell>
          <cell r="E660">
            <v>10676550.039999999</v>
          </cell>
          <cell r="F660"/>
          <cell r="G660">
            <v>9060.99</v>
          </cell>
        </row>
        <row r="661">
          <cell r="C661">
            <v>121592438768</v>
          </cell>
          <cell r="D661">
            <v>9069.1200000000008</v>
          </cell>
          <cell r="E661">
            <v>5892006.8300000001</v>
          </cell>
          <cell r="F661"/>
          <cell r="G661">
            <v>9069.1200000000008</v>
          </cell>
        </row>
        <row r="662">
          <cell r="C662">
            <v>122709644897</v>
          </cell>
          <cell r="D662">
            <v>9079</v>
          </cell>
          <cell r="E662">
            <v>5817065.4500000002</v>
          </cell>
          <cell r="F662"/>
          <cell r="G662">
            <v>9079</v>
          </cell>
        </row>
        <row r="663">
          <cell r="C663">
            <v>120835121802</v>
          </cell>
          <cell r="D663">
            <v>9158.42</v>
          </cell>
          <cell r="E663">
            <v>9081723.6300000008</v>
          </cell>
          <cell r="F663"/>
          <cell r="G663">
            <v>9158.42</v>
          </cell>
        </row>
        <row r="664">
          <cell r="C664">
            <v>121086117163</v>
          </cell>
          <cell r="D664">
            <v>9158.42</v>
          </cell>
          <cell r="E664">
            <v>7082507.8300000001</v>
          </cell>
          <cell r="F664"/>
          <cell r="G664">
            <v>9158.42</v>
          </cell>
        </row>
        <row r="665">
          <cell r="C665">
            <v>120835478256</v>
          </cell>
          <cell r="D665">
            <v>9198.2800000000007</v>
          </cell>
          <cell r="E665">
            <v>9127175.2699999996</v>
          </cell>
          <cell r="F665"/>
          <cell r="G665">
            <v>9198.2800000000007</v>
          </cell>
        </row>
        <row r="666">
          <cell r="C666">
            <v>121195272345</v>
          </cell>
          <cell r="D666">
            <v>9198.2800000000007</v>
          </cell>
          <cell r="E666">
            <v>7790290.4299999997</v>
          </cell>
          <cell r="F666"/>
          <cell r="G666">
            <v>9198.2800000000007</v>
          </cell>
        </row>
        <row r="667">
          <cell r="C667">
            <v>121609145884</v>
          </cell>
          <cell r="D667">
            <v>9255.85</v>
          </cell>
          <cell r="E667">
            <v>7223046.0800000001</v>
          </cell>
          <cell r="F667"/>
          <cell r="G667">
            <v>9255.85</v>
          </cell>
        </row>
        <row r="668">
          <cell r="C668">
            <v>122648544582</v>
          </cell>
          <cell r="D668">
            <v>9255.85</v>
          </cell>
          <cell r="E668">
            <v>8209099.5</v>
          </cell>
          <cell r="F668"/>
          <cell r="G668">
            <v>9255.85</v>
          </cell>
        </row>
        <row r="669">
          <cell r="C669">
            <v>120839616924</v>
          </cell>
          <cell r="D669">
            <v>9258.06</v>
          </cell>
          <cell r="E669">
            <v>10264636.619999999</v>
          </cell>
          <cell r="F669"/>
          <cell r="G669">
            <v>9258.06</v>
          </cell>
        </row>
        <row r="670">
          <cell r="C670">
            <v>124052216298</v>
          </cell>
          <cell r="D670">
            <v>9289.92</v>
          </cell>
          <cell r="E670">
            <v>8186782.4299999997</v>
          </cell>
          <cell r="F670"/>
          <cell r="G670">
            <v>9289.92</v>
          </cell>
        </row>
        <row r="671">
          <cell r="C671">
            <v>120719346366</v>
          </cell>
          <cell r="D671">
            <v>9353.2800000000007</v>
          </cell>
          <cell r="E671">
            <v>6965757.5199999996</v>
          </cell>
          <cell r="F671"/>
          <cell r="G671">
            <v>9353.2800000000007</v>
          </cell>
        </row>
        <row r="672">
          <cell r="C672">
            <v>120322274193</v>
          </cell>
          <cell r="D672">
            <v>9353.2800000000007</v>
          </cell>
          <cell r="E672">
            <v>10094556.109999999</v>
          </cell>
          <cell r="F672"/>
          <cell r="G672">
            <v>9353.2800000000007</v>
          </cell>
        </row>
        <row r="673">
          <cell r="C673">
            <v>121878951143</v>
          </cell>
          <cell r="D673">
            <v>9353.2800000000007</v>
          </cell>
          <cell r="E673">
            <v>5313240.8</v>
          </cell>
          <cell r="F673"/>
          <cell r="G673">
            <v>9353.2800000000007</v>
          </cell>
        </row>
        <row r="674">
          <cell r="C674">
            <v>123375008114</v>
          </cell>
          <cell r="D674">
            <v>9386</v>
          </cell>
          <cell r="E674">
            <v>6491620.4199999999</v>
          </cell>
          <cell r="F674"/>
          <cell r="G674">
            <v>9386</v>
          </cell>
        </row>
        <row r="675">
          <cell r="C675">
            <v>122840222869</v>
          </cell>
          <cell r="D675">
            <v>9386</v>
          </cell>
          <cell r="E675">
            <v>6816840.9100000001</v>
          </cell>
          <cell r="F675"/>
          <cell r="G675">
            <v>9386</v>
          </cell>
        </row>
        <row r="676">
          <cell r="C676">
            <v>123380262350</v>
          </cell>
          <cell r="D676">
            <v>9447</v>
          </cell>
          <cell r="E676">
            <v>7882661.1399999997</v>
          </cell>
          <cell r="F676"/>
          <cell r="G676">
            <v>9447</v>
          </cell>
        </row>
        <row r="677">
          <cell r="C677">
            <v>120719635424</v>
          </cell>
          <cell r="D677">
            <v>9483.4599999999991</v>
          </cell>
          <cell r="E677">
            <v>7007587.7400000002</v>
          </cell>
          <cell r="F677"/>
          <cell r="G677">
            <v>9483.4599999999991</v>
          </cell>
        </row>
        <row r="678">
          <cell r="C678">
            <v>120827129910</v>
          </cell>
          <cell r="D678">
            <v>9548.14</v>
          </cell>
          <cell r="E678">
            <v>8276192.5099999998</v>
          </cell>
          <cell r="F678"/>
          <cell r="G678">
            <v>9548.14</v>
          </cell>
        </row>
        <row r="679">
          <cell r="C679">
            <v>120392162941</v>
          </cell>
          <cell r="D679">
            <v>9548.14</v>
          </cell>
          <cell r="E679">
            <v>10301952.310000001</v>
          </cell>
          <cell r="F679"/>
          <cell r="G679">
            <v>9548.14</v>
          </cell>
        </row>
        <row r="680">
          <cell r="C680">
            <v>121462548864</v>
          </cell>
          <cell r="D680">
            <v>9548.14</v>
          </cell>
          <cell r="E680">
            <v>8199027.0099999998</v>
          </cell>
          <cell r="F680"/>
          <cell r="G680">
            <v>9548.14</v>
          </cell>
        </row>
        <row r="681">
          <cell r="C681">
            <v>123775530625</v>
          </cell>
          <cell r="D681">
            <v>9548.14</v>
          </cell>
          <cell r="E681">
            <v>11498252.49</v>
          </cell>
          <cell r="F681"/>
          <cell r="G681">
            <v>9548.14</v>
          </cell>
        </row>
        <row r="682">
          <cell r="C682">
            <v>122644652048</v>
          </cell>
          <cell r="D682">
            <v>9623.74</v>
          </cell>
          <cell r="E682">
            <v>7958339.7000000002</v>
          </cell>
          <cell r="F682"/>
          <cell r="G682">
            <v>9623.74</v>
          </cell>
        </row>
        <row r="683">
          <cell r="C683">
            <v>120821546212</v>
          </cell>
          <cell r="D683">
            <v>9645.57</v>
          </cell>
          <cell r="E683">
            <v>8219158.2300000004</v>
          </cell>
          <cell r="F683"/>
          <cell r="G683">
            <v>9645.57</v>
          </cell>
        </row>
        <row r="684">
          <cell r="C684">
            <v>121299701650</v>
          </cell>
          <cell r="D684">
            <v>9645.57</v>
          </cell>
          <cell r="E684">
            <v>6589515.1100000003</v>
          </cell>
          <cell r="F684"/>
          <cell r="G684">
            <v>9645.57</v>
          </cell>
        </row>
        <row r="685">
          <cell r="C685">
            <v>122533501654</v>
          </cell>
          <cell r="D685">
            <v>9677</v>
          </cell>
          <cell r="E685">
            <v>6326242.6200000001</v>
          </cell>
          <cell r="F685"/>
          <cell r="G685">
            <v>9677</v>
          </cell>
        </row>
        <row r="686">
          <cell r="C686">
            <v>123661808819</v>
          </cell>
          <cell r="D686">
            <v>9677</v>
          </cell>
          <cell r="E686">
            <v>9192419.6099999994</v>
          </cell>
          <cell r="F686"/>
          <cell r="G686">
            <v>9677</v>
          </cell>
        </row>
        <row r="687">
          <cell r="C687">
            <v>123107965818</v>
          </cell>
          <cell r="D687">
            <v>9742.0300000000007</v>
          </cell>
          <cell r="E687">
            <v>5291328.25</v>
          </cell>
          <cell r="F687"/>
          <cell r="G687">
            <v>9742.0300000000007</v>
          </cell>
        </row>
        <row r="688">
          <cell r="C688">
            <v>120070050585</v>
          </cell>
          <cell r="D688">
            <v>9743</v>
          </cell>
          <cell r="E688">
            <v>5658150.3200000003</v>
          </cell>
          <cell r="F688"/>
          <cell r="G688">
            <v>9743</v>
          </cell>
        </row>
        <row r="689">
          <cell r="C689">
            <v>120831681742</v>
          </cell>
          <cell r="D689">
            <v>9743</v>
          </cell>
          <cell r="E689">
            <v>8760856.7799999993</v>
          </cell>
          <cell r="F689"/>
          <cell r="G689">
            <v>9743</v>
          </cell>
        </row>
        <row r="690">
          <cell r="C690">
            <v>121070032721</v>
          </cell>
          <cell r="D690">
            <v>9743</v>
          </cell>
          <cell r="E690">
            <v>5882937.71</v>
          </cell>
          <cell r="F690"/>
          <cell r="G690">
            <v>9743</v>
          </cell>
        </row>
        <row r="691">
          <cell r="C691">
            <v>123241808324</v>
          </cell>
          <cell r="D691">
            <v>9743</v>
          </cell>
          <cell r="E691">
            <v>5412094.0599999996</v>
          </cell>
          <cell r="F691"/>
          <cell r="G691">
            <v>9743</v>
          </cell>
        </row>
        <row r="692">
          <cell r="C692">
            <v>123247089616</v>
          </cell>
          <cell r="D692">
            <v>9743</v>
          </cell>
          <cell r="E692">
            <v>6271478.1699999999</v>
          </cell>
          <cell r="F692"/>
          <cell r="G692">
            <v>9743</v>
          </cell>
        </row>
        <row r="693">
          <cell r="C693">
            <v>123374288208</v>
          </cell>
          <cell r="D693">
            <v>9743</v>
          </cell>
          <cell r="E693">
            <v>6471906.8399999999</v>
          </cell>
          <cell r="F693"/>
          <cell r="G693">
            <v>9743</v>
          </cell>
        </row>
        <row r="694">
          <cell r="C694">
            <v>122844876307</v>
          </cell>
          <cell r="D694">
            <v>9743</v>
          </cell>
          <cell r="E694">
            <v>8030915.4199999999</v>
          </cell>
          <cell r="F694"/>
          <cell r="G694">
            <v>9743</v>
          </cell>
        </row>
        <row r="695">
          <cell r="C695">
            <v>122950341393</v>
          </cell>
          <cell r="D695">
            <v>9743</v>
          </cell>
          <cell r="E695">
            <v>9037274.7100000009</v>
          </cell>
          <cell r="F695"/>
          <cell r="G695">
            <v>9743</v>
          </cell>
        </row>
        <row r="696">
          <cell r="C696">
            <v>122955018259</v>
          </cell>
          <cell r="D696">
            <v>9743</v>
          </cell>
          <cell r="E696">
            <v>9982073.1400000006</v>
          </cell>
          <cell r="F696"/>
          <cell r="G696">
            <v>9743</v>
          </cell>
        </row>
        <row r="697">
          <cell r="C697">
            <v>123032893347</v>
          </cell>
          <cell r="D697">
            <v>9743</v>
          </cell>
          <cell r="E697">
            <v>10789296.73</v>
          </cell>
          <cell r="F697"/>
          <cell r="G697">
            <v>9743</v>
          </cell>
        </row>
        <row r="698">
          <cell r="C698">
            <v>123654557165</v>
          </cell>
          <cell r="D698">
            <v>9743</v>
          </cell>
          <cell r="E698">
            <v>8608601.4499999993</v>
          </cell>
          <cell r="F698"/>
          <cell r="G698">
            <v>9743</v>
          </cell>
        </row>
        <row r="699">
          <cell r="C699">
            <v>120836585654</v>
          </cell>
          <cell r="D699">
            <v>9919.35</v>
          </cell>
          <cell r="E699">
            <v>9267536.5</v>
          </cell>
          <cell r="F699"/>
          <cell r="G699">
            <v>9919.35</v>
          </cell>
        </row>
        <row r="700">
          <cell r="C700">
            <v>123489944036</v>
          </cell>
          <cell r="D700">
            <v>9919.35</v>
          </cell>
          <cell r="E700">
            <v>9732367.8000000007</v>
          </cell>
          <cell r="F700"/>
          <cell r="G700">
            <v>9919.35</v>
          </cell>
        </row>
        <row r="701">
          <cell r="C701">
            <v>120802245816</v>
          </cell>
          <cell r="D701">
            <v>9986.9</v>
          </cell>
          <cell r="E701">
            <v>7860298.75</v>
          </cell>
          <cell r="F701"/>
          <cell r="G701">
            <v>9986.9</v>
          </cell>
        </row>
        <row r="702">
          <cell r="C702">
            <v>122536007906</v>
          </cell>
          <cell r="D702">
            <v>10013.82</v>
          </cell>
          <cell r="E702">
            <v>6693532.4699999997</v>
          </cell>
          <cell r="F702"/>
          <cell r="G702">
            <v>10013.82</v>
          </cell>
        </row>
        <row r="703">
          <cell r="C703">
            <v>122699194587</v>
          </cell>
          <cell r="D703">
            <v>10035.290000000001</v>
          </cell>
          <cell r="E703">
            <v>4934733.12</v>
          </cell>
          <cell r="F703"/>
          <cell r="G703">
            <v>10035.290000000001</v>
          </cell>
        </row>
        <row r="704">
          <cell r="C704">
            <v>123245766460</v>
          </cell>
          <cell r="D704">
            <v>10035.290000000001</v>
          </cell>
          <cell r="E704">
            <v>5967165.9900000002</v>
          </cell>
          <cell r="F704"/>
          <cell r="G704">
            <v>10035.290000000001</v>
          </cell>
        </row>
        <row r="705">
          <cell r="C705">
            <v>122401012750</v>
          </cell>
          <cell r="D705">
            <v>10136.879999999999</v>
          </cell>
          <cell r="E705">
            <v>4396080.7699999996</v>
          </cell>
          <cell r="F705"/>
          <cell r="G705">
            <v>10136.879999999999</v>
          </cell>
        </row>
        <row r="706">
          <cell r="C706">
            <v>121808139082</v>
          </cell>
          <cell r="D706">
            <v>10230.15</v>
          </cell>
          <cell r="E706">
            <v>10215524.27</v>
          </cell>
          <cell r="F706"/>
          <cell r="G706">
            <v>10230.15</v>
          </cell>
        </row>
        <row r="707">
          <cell r="C707">
            <v>122955385001</v>
          </cell>
          <cell r="D707">
            <v>10230.15</v>
          </cell>
          <cell r="E707">
            <v>10249853.970000001</v>
          </cell>
          <cell r="F707"/>
          <cell r="G707">
            <v>10230.15</v>
          </cell>
        </row>
        <row r="708">
          <cell r="C708">
            <v>123665203723</v>
          </cell>
          <cell r="D708">
            <v>10230.15</v>
          </cell>
          <cell r="E708">
            <v>9867495.7599999998</v>
          </cell>
          <cell r="F708"/>
          <cell r="G708">
            <v>10230.15</v>
          </cell>
        </row>
        <row r="709">
          <cell r="C709">
            <v>123514512759</v>
          </cell>
          <cell r="D709">
            <v>10230.74</v>
          </cell>
          <cell r="E709">
            <v>8253991.5</v>
          </cell>
          <cell r="F709"/>
          <cell r="G709">
            <v>10230.74</v>
          </cell>
        </row>
        <row r="710">
          <cell r="C710">
            <v>121720383872</v>
          </cell>
          <cell r="D710">
            <v>10257.620000000001</v>
          </cell>
          <cell r="E710">
            <v>8103459.3300000001</v>
          </cell>
          <cell r="F710"/>
          <cell r="G710">
            <v>10257.620000000001</v>
          </cell>
        </row>
        <row r="711">
          <cell r="C711">
            <v>121815860688</v>
          </cell>
          <cell r="D711">
            <v>10297.23</v>
          </cell>
          <cell r="E711">
            <v>10575514.93</v>
          </cell>
          <cell r="F711"/>
          <cell r="G711">
            <v>10297.23</v>
          </cell>
        </row>
        <row r="712">
          <cell r="C712">
            <v>121600926962</v>
          </cell>
          <cell r="D712">
            <v>10327.58</v>
          </cell>
          <cell r="E712">
            <v>6161935.1399999997</v>
          </cell>
          <cell r="F712"/>
          <cell r="G712">
            <v>10327.58</v>
          </cell>
        </row>
        <row r="713">
          <cell r="C713">
            <v>121607636786</v>
          </cell>
          <cell r="D713">
            <v>10327.58</v>
          </cell>
          <cell r="E713">
            <v>7022869.4199999999</v>
          </cell>
          <cell r="F713"/>
          <cell r="G713">
            <v>10327.58</v>
          </cell>
        </row>
        <row r="714">
          <cell r="C714">
            <v>122535655186</v>
          </cell>
          <cell r="D714">
            <v>10327.58</v>
          </cell>
          <cell r="E714">
            <v>6623681.0800000001</v>
          </cell>
          <cell r="F714"/>
          <cell r="G714">
            <v>10327.58</v>
          </cell>
        </row>
        <row r="715">
          <cell r="C715">
            <v>122005535409</v>
          </cell>
          <cell r="D715">
            <v>10327.58</v>
          </cell>
          <cell r="E715">
            <v>6762903.7999999998</v>
          </cell>
          <cell r="F715"/>
          <cell r="G715">
            <v>10327.58</v>
          </cell>
        </row>
        <row r="716">
          <cell r="C716">
            <v>122539899858</v>
          </cell>
          <cell r="D716">
            <v>10327.58</v>
          </cell>
          <cell r="E716">
            <v>7392083.4500000002</v>
          </cell>
          <cell r="F716"/>
          <cell r="G716">
            <v>10327.58</v>
          </cell>
        </row>
        <row r="717">
          <cell r="C717">
            <v>122655340742</v>
          </cell>
          <cell r="D717">
            <v>10327.58</v>
          </cell>
          <cell r="E717">
            <v>9198486.0899999999</v>
          </cell>
          <cell r="F717"/>
          <cell r="G717">
            <v>10327.58</v>
          </cell>
        </row>
        <row r="718">
          <cell r="C718">
            <v>122704069323</v>
          </cell>
          <cell r="D718">
            <v>10327.58</v>
          </cell>
          <cell r="E718">
            <v>5191333.83</v>
          </cell>
          <cell r="F718"/>
          <cell r="G718">
            <v>10327.58</v>
          </cell>
        </row>
        <row r="719">
          <cell r="C719">
            <v>122838428143</v>
          </cell>
          <cell r="D719">
            <v>10327.58</v>
          </cell>
          <cell r="E719">
            <v>6482234.4199999999</v>
          </cell>
          <cell r="F719"/>
          <cell r="G719">
            <v>10327.58</v>
          </cell>
        </row>
        <row r="720">
          <cell r="C720">
            <v>123377736808</v>
          </cell>
          <cell r="D720">
            <v>10327.58</v>
          </cell>
          <cell r="E720">
            <v>7053864.1500000004</v>
          </cell>
          <cell r="F720"/>
          <cell r="G720">
            <v>10327.58</v>
          </cell>
        </row>
        <row r="721">
          <cell r="C721">
            <v>122844012885</v>
          </cell>
          <cell r="D721">
            <v>10327.58</v>
          </cell>
          <cell r="E721">
            <v>7845026.3099999996</v>
          </cell>
          <cell r="F721"/>
          <cell r="G721">
            <v>10327.58</v>
          </cell>
        </row>
        <row r="722">
          <cell r="C722">
            <v>123663373517</v>
          </cell>
          <cell r="D722">
            <v>10327.58</v>
          </cell>
          <cell r="E722">
            <v>9392564.6500000004</v>
          </cell>
          <cell r="F722"/>
          <cell r="G722">
            <v>10327.58</v>
          </cell>
        </row>
        <row r="723">
          <cell r="C723">
            <v>124208627176</v>
          </cell>
          <cell r="D723">
            <v>10327.58</v>
          </cell>
          <cell r="E723">
            <v>10310998.67</v>
          </cell>
          <cell r="F723"/>
          <cell r="G723">
            <v>10327.58</v>
          </cell>
        </row>
        <row r="724">
          <cell r="C724">
            <v>124324596208</v>
          </cell>
          <cell r="D724">
            <v>10327.58</v>
          </cell>
          <cell r="E724">
            <v>12560426.07</v>
          </cell>
          <cell r="F724"/>
          <cell r="G724">
            <v>10327.58</v>
          </cell>
        </row>
        <row r="725">
          <cell r="C725">
            <v>121871144343</v>
          </cell>
          <cell r="D725">
            <v>10522.44</v>
          </cell>
          <cell r="E725">
            <v>4406603.21</v>
          </cell>
          <cell r="F725"/>
          <cell r="G725">
            <v>10522.44</v>
          </cell>
        </row>
        <row r="726">
          <cell r="C726">
            <v>122120595281</v>
          </cell>
          <cell r="D726">
            <v>10522.44</v>
          </cell>
          <cell r="E726">
            <v>8477541.7699999996</v>
          </cell>
          <cell r="F726"/>
          <cell r="G726">
            <v>10522.44</v>
          </cell>
        </row>
        <row r="727">
          <cell r="C727">
            <v>120921040167</v>
          </cell>
          <cell r="D727">
            <v>10814.73</v>
          </cell>
          <cell r="E727">
            <v>7100481.2400000002</v>
          </cell>
          <cell r="F727"/>
          <cell r="G727">
            <v>10814.73</v>
          </cell>
        </row>
        <row r="728">
          <cell r="C728">
            <v>123766747193</v>
          </cell>
          <cell r="D728">
            <v>10814.73</v>
          </cell>
          <cell r="E728">
            <v>11103605.220000001</v>
          </cell>
          <cell r="F728"/>
          <cell r="G728">
            <v>10814.73</v>
          </cell>
        </row>
        <row r="729">
          <cell r="C729">
            <v>123569615350</v>
          </cell>
          <cell r="D729">
            <v>10912.16</v>
          </cell>
          <cell r="E729">
            <v>10800208.890000001</v>
          </cell>
          <cell r="F729"/>
          <cell r="G729">
            <v>10912.16</v>
          </cell>
        </row>
        <row r="730">
          <cell r="C730">
            <v>123855460717</v>
          </cell>
          <cell r="D730">
            <v>10985.59</v>
          </cell>
          <cell r="E730">
            <v>12840933.220000001</v>
          </cell>
          <cell r="F730"/>
          <cell r="G730">
            <v>10985.59</v>
          </cell>
        </row>
        <row r="731">
          <cell r="C731">
            <v>120827452474</v>
          </cell>
          <cell r="D731">
            <v>11147.46</v>
          </cell>
          <cell r="E731">
            <v>8287339.9699999997</v>
          </cell>
          <cell r="F731"/>
          <cell r="G731">
            <v>11147.46</v>
          </cell>
        </row>
        <row r="732">
          <cell r="C732">
            <v>121695147906</v>
          </cell>
          <cell r="D732">
            <v>11147.46</v>
          </cell>
          <cell r="E732">
            <v>7263934.0700000003</v>
          </cell>
          <cell r="F732"/>
          <cell r="G732">
            <v>11147.46</v>
          </cell>
        </row>
        <row r="733">
          <cell r="C733">
            <v>121179639033</v>
          </cell>
          <cell r="D733">
            <v>11257.96</v>
          </cell>
          <cell r="E733">
            <v>7283571.0099999998</v>
          </cell>
          <cell r="F733"/>
          <cell r="G733">
            <v>11257.96</v>
          </cell>
        </row>
        <row r="734">
          <cell r="C734">
            <v>121312737288</v>
          </cell>
          <cell r="D734">
            <v>11357.06</v>
          </cell>
          <cell r="E734">
            <v>6816499.1100000003</v>
          </cell>
          <cell r="F734"/>
          <cell r="G734">
            <v>11357.06</v>
          </cell>
        </row>
        <row r="735">
          <cell r="C735">
            <v>121197892979</v>
          </cell>
          <cell r="D735">
            <v>11430.87</v>
          </cell>
          <cell r="E735">
            <v>8093201.71</v>
          </cell>
          <cell r="F735"/>
          <cell r="G735">
            <v>11430.87</v>
          </cell>
        </row>
        <row r="736">
          <cell r="C736">
            <v>122099042845</v>
          </cell>
          <cell r="D736">
            <v>11496.74</v>
          </cell>
          <cell r="E736">
            <v>7464322.5099999998</v>
          </cell>
          <cell r="F736"/>
          <cell r="G736">
            <v>11496.74</v>
          </cell>
        </row>
        <row r="737">
          <cell r="C737">
            <v>120204729981</v>
          </cell>
          <cell r="D737">
            <v>11594.17</v>
          </cell>
          <cell r="E737">
            <v>7274152.9100000001</v>
          </cell>
          <cell r="F737"/>
          <cell r="G737">
            <v>11594.17</v>
          </cell>
        </row>
        <row r="738">
          <cell r="C738">
            <v>122400424544</v>
          </cell>
          <cell r="D738">
            <v>11594.17</v>
          </cell>
          <cell r="E738">
            <v>4377214.91</v>
          </cell>
          <cell r="F738"/>
          <cell r="G738">
            <v>11594.17</v>
          </cell>
        </row>
        <row r="739">
          <cell r="C739">
            <v>122122358139</v>
          </cell>
          <cell r="D739">
            <v>11621.12</v>
          </cell>
          <cell r="E739">
            <v>8711260.9399999995</v>
          </cell>
          <cell r="F739"/>
          <cell r="G739">
            <v>11621.12</v>
          </cell>
        </row>
        <row r="740">
          <cell r="C740">
            <v>122541697922</v>
          </cell>
          <cell r="D740">
            <v>11709.17</v>
          </cell>
          <cell r="E740">
            <v>7674987.0999999996</v>
          </cell>
          <cell r="F740"/>
          <cell r="G740">
            <v>11709.17</v>
          </cell>
        </row>
        <row r="741">
          <cell r="C741">
            <v>122707101133</v>
          </cell>
          <cell r="D741">
            <v>11711.91</v>
          </cell>
          <cell r="E741">
            <v>5482533.7300000004</v>
          </cell>
          <cell r="F741"/>
          <cell r="G741">
            <v>11711.91</v>
          </cell>
        </row>
        <row r="742">
          <cell r="C742">
            <v>123527699669</v>
          </cell>
          <cell r="D742">
            <v>11711.91</v>
          </cell>
          <cell r="E742">
            <v>9319843.5600000005</v>
          </cell>
          <cell r="F742"/>
          <cell r="G742">
            <v>11711.91</v>
          </cell>
        </row>
        <row r="743">
          <cell r="C743">
            <v>120831536144</v>
          </cell>
          <cell r="D743">
            <v>11789.03</v>
          </cell>
          <cell r="E743">
            <v>8679662.0500000007</v>
          </cell>
          <cell r="F743"/>
          <cell r="G743">
            <v>11789.03</v>
          </cell>
        </row>
        <row r="744">
          <cell r="C744">
            <v>122530126654</v>
          </cell>
          <cell r="D744">
            <v>11789.03</v>
          </cell>
          <cell r="E744">
            <v>6186072.3499999996</v>
          </cell>
          <cell r="F744"/>
          <cell r="G744">
            <v>11789.03</v>
          </cell>
        </row>
        <row r="745">
          <cell r="C745">
            <v>120703347168</v>
          </cell>
          <cell r="D745">
            <v>11808.75</v>
          </cell>
          <cell r="E745">
            <v>5755920.5599999996</v>
          </cell>
          <cell r="F745"/>
          <cell r="G745">
            <v>11808.75</v>
          </cell>
        </row>
        <row r="746">
          <cell r="C746">
            <v>123355687338</v>
          </cell>
          <cell r="D746">
            <v>11808.75</v>
          </cell>
          <cell r="E746">
            <v>6098060.1699999999</v>
          </cell>
          <cell r="F746"/>
          <cell r="G746">
            <v>11808.75</v>
          </cell>
        </row>
        <row r="747">
          <cell r="C747">
            <v>121875348825</v>
          </cell>
          <cell r="D747">
            <v>11826.36</v>
          </cell>
          <cell r="E747">
            <v>4679834.0999999996</v>
          </cell>
          <cell r="F747"/>
          <cell r="G747">
            <v>11826.36</v>
          </cell>
        </row>
        <row r="748">
          <cell r="C748">
            <v>123248028612</v>
          </cell>
          <cell r="D748">
            <v>11886.46</v>
          </cell>
          <cell r="E748">
            <v>6381897.6100000003</v>
          </cell>
          <cell r="F748"/>
          <cell r="G748">
            <v>11886.46</v>
          </cell>
        </row>
        <row r="749">
          <cell r="C749">
            <v>120069642525</v>
          </cell>
          <cell r="D749">
            <v>11983.89</v>
          </cell>
          <cell r="E749">
            <v>5598912.8799999999</v>
          </cell>
          <cell r="F749"/>
          <cell r="G749">
            <v>11983.89</v>
          </cell>
        </row>
        <row r="750">
          <cell r="C750">
            <v>120715457380</v>
          </cell>
          <cell r="D750">
            <v>11983.89</v>
          </cell>
          <cell r="E750">
            <v>6407464.54</v>
          </cell>
          <cell r="F750"/>
          <cell r="G750">
            <v>11983.89</v>
          </cell>
        </row>
        <row r="751">
          <cell r="C751">
            <v>120914727958</v>
          </cell>
          <cell r="D751">
            <v>12075.07</v>
          </cell>
          <cell r="E751">
            <v>10435676.119999999</v>
          </cell>
          <cell r="F751"/>
          <cell r="G751">
            <v>12075.07</v>
          </cell>
        </row>
        <row r="752">
          <cell r="C752">
            <v>123525109411</v>
          </cell>
          <cell r="D752">
            <v>12107.94</v>
          </cell>
          <cell r="E752">
            <v>8830174</v>
          </cell>
          <cell r="F752"/>
          <cell r="G752">
            <v>12107.94</v>
          </cell>
        </row>
        <row r="753">
          <cell r="C753">
            <v>120830459810</v>
          </cell>
          <cell r="D753">
            <v>12178.75</v>
          </cell>
          <cell r="E753">
            <v>8543677.7200000007</v>
          </cell>
          <cell r="F753"/>
          <cell r="G753">
            <v>12178.75</v>
          </cell>
        </row>
        <row r="754">
          <cell r="C754">
            <v>121576434288</v>
          </cell>
          <cell r="D754">
            <v>12178.75</v>
          </cell>
          <cell r="E754">
            <v>5751861.54</v>
          </cell>
          <cell r="F754"/>
          <cell r="G754">
            <v>12178.75</v>
          </cell>
        </row>
        <row r="755">
          <cell r="C755">
            <v>121085952945</v>
          </cell>
          <cell r="D755">
            <v>12178.75</v>
          </cell>
          <cell r="E755">
            <v>7059704.8399999999</v>
          </cell>
          <cell r="F755"/>
          <cell r="G755">
            <v>12178.75</v>
          </cell>
        </row>
        <row r="756">
          <cell r="C756">
            <v>121998079329</v>
          </cell>
          <cell r="D756">
            <v>12178.75</v>
          </cell>
          <cell r="E756">
            <v>6090209.4000000004</v>
          </cell>
          <cell r="F756"/>
          <cell r="G756">
            <v>12178.75</v>
          </cell>
        </row>
        <row r="757">
          <cell r="C757">
            <v>123479570858</v>
          </cell>
          <cell r="D757">
            <v>12178.75</v>
          </cell>
          <cell r="E757">
            <v>8432803.5899999999</v>
          </cell>
          <cell r="F757"/>
          <cell r="G757">
            <v>12178.75</v>
          </cell>
        </row>
        <row r="758">
          <cell r="C758">
            <v>122832115663</v>
          </cell>
          <cell r="D758">
            <v>12186.63</v>
          </cell>
          <cell r="E758">
            <v>6311809.0899999999</v>
          </cell>
          <cell r="F758"/>
          <cell r="G758">
            <v>12186.63</v>
          </cell>
        </row>
        <row r="759">
          <cell r="C759">
            <v>124063926170</v>
          </cell>
          <cell r="D759">
            <v>12186.63</v>
          </cell>
          <cell r="E759">
            <v>8579098.75</v>
          </cell>
          <cell r="F759"/>
          <cell r="G759">
            <v>12186.63</v>
          </cell>
        </row>
        <row r="760">
          <cell r="C760">
            <v>121069435989</v>
          </cell>
          <cell r="D760">
            <v>12276.18</v>
          </cell>
          <cell r="E760">
            <v>5873194.71</v>
          </cell>
          <cell r="F760"/>
          <cell r="G760">
            <v>12276.18</v>
          </cell>
        </row>
        <row r="761">
          <cell r="C761">
            <v>123636166617</v>
          </cell>
          <cell r="D761">
            <v>12276.18</v>
          </cell>
          <cell r="E761">
            <v>8445420.8399999999</v>
          </cell>
          <cell r="F761"/>
          <cell r="G761">
            <v>12276.18</v>
          </cell>
        </row>
        <row r="762">
          <cell r="C762">
            <v>120322052571</v>
          </cell>
          <cell r="D762">
            <v>12281.1</v>
          </cell>
          <cell r="E762">
            <v>10021330.77</v>
          </cell>
          <cell r="F762"/>
          <cell r="G762">
            <v>12281.1</v>
          </cell>
        </row>
        <row r="763">
          <cell r="C763">
            <v>121193429161</v>
          </cell>
          <cell r="D763">
            <v>12281.1</v>
          </cell>
          <cell r="E763">
            <v>7697284.2699999996</v>
          </cell>
          <cell r="F763"/>
          <cell r="G763">
            <v>12281.1</v>
          </cell>
        </row>
        <row r="764">
          <cell r="C764">
            <v>120935516549</v>
          </cell>
          <cell r="D764">
            <v>12295.66</v>
          </cell>
          <cell r="E764">
            <v>7501038</v>
          </cell>
          <cell r="F764"/>
          <cell r="G764">
            <v>12295.66</v>
          </cell>
        </row>
        <row r="765">
          <cell r="C765">
            <v>122701369495</v>
          </cell>
          <cell r="D765">
            <v>12295.66</v>
          </cell>
          <cell r="E765">
            <v>4982093.46</v>
          </cell>
          <cell r="F765"/>
          <cell r="G765">
            <v>12295.66</v>
          </cell>
        </row>
        <row r="766">
          <cell r="C766">
            <v>122948610581</v>
          </cell>
          <cell r="D766">
            <v>12295.66</v>
          </cell>
          <cell r="E766">
            <v>8744399.4399999995</v>
          </cell>
          <cell r="F766"/>
          <cell r="G766">
            <v>12295.66</v>
          </cell>
        </row>
        <row r="767">
          <cell r="C767">
            <v>122008217107</v>
          </cell>
          <cell r="D767">
            <v>12375.57</v>
          </cell>
          <cell r="E767">
            <v>7199473.8300000001</v>
          </cell>
          <cell r="F767"/>
          <cell r="G767">
            <v>12375.57</v>
          </cell>
        </row>
        <row r="768">
          <cell r="C768">
            <v>122535739514</v>
          </cell>
          <cell r="D768">
            <v>12471.04</v>
          </cell>
          <cell r="E768">
            <v>6636152.1200000001</v>
          </cell>
          <cell r="F768"/>
          <cell r="G768">
            <v>12471.04</v>
          </cell>
        </row>
        <row r="769">
          <cell r="C769">
            <v>123665592191</v>
          </cell>
          <cell r="D769">
            <v>12471.04</v>
          </cell>
          <cell r="E769">
            <v>9879966.8000000007</v>
          </cell>
          <cell r="F769"/>
          <cell r="G769">
            <v>12471.04</v>
          </cell>
        </row>
        <row r="770">
          <cell r="C770">
            <v>122632053016</v>
          </cell>
          <cell r="D770">
            <v>12564.51</v>
          </cell>
          <cell r="E770">
            <v>7485011.4400000004</v>
          </cell>
          <cell r="F770"/>
          <cell r="G770">
            <v>12564.51</v>
          </cell>
        </row>
        <row r="771">
          <cell r="C771">
            <v>120207596885</v>
          </cell>
          <cell r="D771">
            <v>12568.47</v>
          </cell>
          <cell r="E771">
            <v>7624060.1799999997</v>
          </cell>
          <cell r="F771"/>
          <cell r="G771">
            <v>12568.47</v>
          </cell>
        </row>
        <row r="772">
          <cell r="C772">
            <v>120321717995</v>
          </cell>
          <cell r="D772">
            <v>12568.47</v>
          </cell>
          <cell r="E772">
            <v>9833698.5999999996</v>
          </cell>
          <cell r="F772"/>
          <cell r="G772">
            <v>12568.47</v>
          </cell>
        </row>
        <row r="773">
          <cell r="C773">
            <v>120321787483</v>
          </cell>
          <cell r="D773">
            <v>12568.47</v>
          </cell>
          <cell r="E773">
            <v>9846267.0700000003</v>
          </cell>
          <cell r="F773"/>
          <cell r="G773">
            <v>12568.47</v>
          </cell>
        </row>
        <row r="774">
          <cell r="C774">
            <v>121709636604</v>
          </cell>
          <cell r="D774">
            <v>12568.47</v>
          </cell>
          <cell r="E774">
            <v>7516817.3499999996</v>
          </cell>
          <cell r="F774"/>
          <cell r="G774">
            <v>12568.47</v>
          </cell>
        </row>
        <row r="775">
          <cell r="C775">
            <v>122008282775</v>
          </cell>
          <cell r="D775">
            <v>12568.47</v>
          </cell>
          <cell r="E775">
            <v>7212042.2999999998</v>
          </cell>
          <cell r="F775"/>
          <cell r="G775">
            <v>12568.47</v>
          </cell>
        </row>
        <row r="776">
          <cell r="C776">
            <v>122119591861</v>
          </cell>
          <cell r="D776">
            <v>12568.47</v>
          </cell>
          <cell r="E776">
            <v>8345398.3799999999</v>
          </cell>
          <cell r="F776"/>
          <cell r="G776">
            <v>12568.47</v>
          </cell>
        </row>
        <row r="777">
          <cell r="C777">
            <v>122703069153</v>
          </cell>
          <cell r="D777">
            <v>12568.47</v>
          </cell>
          <cell r="E777">
            <v>5163189.3899999997</v>
          </cell>
          <cell r="F777"/>
          <cell r="G777">
            <v>12568.47</v>
          </cell>
        </row>
        <row r="778">
          <cell r="C778">
            <v>122834695153</v>
          </cell>
          <cell r="D778">
            <v>12568.47</v>
          </cell>
          <cell r="E778">
            <v>6352444.6900000004</v>
          </cell>
          <cell r="F778"/>
          <cell r="G778">
            <v>12568.47</v>
          </cell>
        </row>
        <row r="779">
          <cell r="C779">
            <v>123380955017</v>
          </cell>
          <cell r="D779">
            <v>12568.47</v>
          </cell>
          <cell r="E779">
            <v>8878420.0700000003</v>
          </cell>
          <cell r="F779"/>
          <cell r="G779">
            <v>12568.47</v>
          </cell>
        </row>
        <row r="780">
          <cell r="C780">
            <v>124296367148</v>
          </cell>
          <cell r="D780">
            <v>12568.47</v>
          </cell>
          <cell r="E780">
            <v>10862357.869999999</v>
          </cell>
          <cell r="F780"/>
          <cell r="G780">
            <v>12568.47</v>
          </cell>
        </row>
        <row r="781">
          <cell r="C781">
            <v>122003037215</v>
          </cell>
          <cell r="D781">
            <v>12665.9</v>
          </cell>
          <cell r="E781">
            <v>6374910.5800000001</v>
          </cell>
          <cell r="F781"/>
          <cell r="G781">
            <v>12665.9</v>
          </cell>
        </row>
        <row r="782">
          <cell r="C782">
            <v>122656234916</v>
          </cell>
          <cell r="D782">
            <v>12665.9</v>
          </cell>
          <cell r="E782">
            <v>9349905.2400000002</v>
          </cell>
          <cell r="F782"/>
          <cell r="G782">
            <v>12665.9</v>
          </cell>
        </row>
        <row r="783">
          <cell r="C783">
            <v>120199490905</v>
          </cell>
          <cell r="D783">
            <v>12710.6</v>
          </cell>
          <cell r="E783">
            <v>6431379.5899999999</v>
          </cell>
          <cell r="F783"/>
          <cell r="G783">
            <v>12710.6</v>
          </cell>
        </row>
        <row r="784">
          <cell r="C784">
            <v>121066250783</v>
          </cell>
          <cell r="D784">
            <v>12710.6</v>
          </cell>
          <cell r="E784">
            <v>5795713.9699999997</v>
          </cell>
          <cell r="F784"/>
          <cell r="G784">
            <v>12710.6</v>
          </cell>
        </row>
        <row r="785">
          <cell r="C785">
            <v>123491493162</v>
          </cell>
          <cell r="D785">
            <v>12710.6</v>
          </cell>
          <cell r="E785">
            <v>10141525.289999999</v>
          </cell>
          <cell r="F785"/>
          <cell r="G785">
            <v>12710.6</v>
          </cell>
        </row>
        <row r="786">
          <cell r="C786">
            <v>124208814936</v>
          </cell>
          <cell r="D786">
            <v>12710.6</v>
          </cell>
          <cell r="E786">
            <v>10432697.84</v>
          </cell>
          <cell r="F786"/>
          <cell r="G786">
            <v>12710.6</v>
          </cell>
        </row>
        <row r="787">
          <cell r="C787">
            <v>120069199989</v>
          </cell>
          <cell r="D787">
            <v>12763.33</v>
          </cell>
          <cell r="E787">
            <v>5533540.4400000004</v>
          </cell>
          <cell r="F787"/>
          <cell r="G787">
            <v>12763.33</v>
          </cell>
        </row>
        <row r="788">
          <cell r="C788">
            <v>123244472388</v>
          </cell>
          <cell r="D788">
            <v>12763.33</v>
          </cell>
          <cell r="E788">
            <v>5745771.9000000004</v>
          </cell>
          <cell r="F788"/>
          <cell r="G788">
            <v>12763.33</v>
          </cell>
        </row>
        <row r="789">
          <cell r="C789">
            <v>122845316457</v>
          </cell>
          <cell r="D789">
            <v>12763.33</v>
          </cell>
          <cell r="E789">
            <v>8112919.1799999997</v>
          </cell>
          <cell r="F789"/>
          <cell r="G789">
            <v>12763.33</v>
          </cell>
        </row>
        <row r="790">
          <cell r="C790">
            <v>123480335090</v>
          </cell>
          <cell r="D790">
            <v>12763.33</v>
          </cell>
          <cell r="E790">
            <v>8449629.1300000008</v>
          </cell>
          <cell r="F790"/>
          <cell r="G790">
            <v>12763.33</v>
          </cell>
        </row>
        <row r="791">
          <cell r="C791">
            <v>121198614667</v>
          </cell>
          <cell r="D791">
            <v>12764.96</v>
          </cell>
          <cell r="E791">
            <v>8149479.9100000001</v>
          </cell>
          <cell r="F791"/>
          <cell r="G791">
            <v>12764.96</v>
          </cell>
        </row>
        <row r="792">
          <cell r="C792">
            <v>121455595240</v>
          </cell>
          <cell r="D792">
            <v>12858.82</v>
          </cell>
          <cell r="E792">
            <v>7407345.3899999997</v>
          </cell>
          <cell r="F792"/>
          <cell r="G792">
            <v>12858.82</v>
          </cell>
        </row>
        <row r="793">
          <cell r="C793">
            <v>123023144805</v>
          </cell>
          <cell r="D793">
            <v>12892.18</v>
          </cell>
          <cell r="E793">
            <v>10353562.02</v>
          </cell>
          <cell r="F793"/>
          <cell r="G793">
            <v>12892.18</v>
          </cell>
        </row>
        <row r="794">
          <cell r="C794">
            <v>121194793729</v>
          </cell>
          <cell r="D794">
            <v>12958.19</v>
          </cell>
          <cell r="E794">
            <v>7781092.1500000004</v>
          </cell>
          <cell r="F794"/>
          <cell r="G794">
            <v>12958.19</v>
          </cell>
        </row>
        <row r="795">
          <cell r="C795">
            <v>120186005491</v>
          </cell>
          <cell r="D795">
            <v>12982.97</v>
          </cell>
          <cell r="E795">
            <v>5744111.8099999996</v>
          </cell>
          <cell r="F795"/>
          <cell r="G795">
            <v>12982.97</v>
          </cell>
        </row>
        <row r="796">
          <cell r="C796">
            <v>122923728399</v>
          </cell>
          <cell r="D796">
            <v>13046.54</v>
          </cell>
          <cell r="E796">
            <v>8134675.0199999996</v>
          </cell>
          <cell r="F796"/>
          <cell r="G796">
            <v>13046.54</v>
          </cell>
        </row>
        <row r="797">
          <cell r="C797">
            <v>120298859773</v>
          </cell>
          <cell r="D797">
            <v>13055.62</v>
          </cell>
          <cell r="E797">
            <v>8154650.9100000001</v>
          </cell>
          <cell r="F797"/>
          <cell r="G797">
            <v>13055.62</v>
          </cell>
        </row>
        <row r="798">
          <cell r="C798">
            <v>121087191939</v>
          </cell>
          <cell r="D798">
            <v>13055.62</v>
          </cell>
          <cell r="E798">
            <v>7213790.2300000004</v>
          </cell>
          <cell r="F798"/>
          <cell r="G798">
            <v>13055.62</v>
          </cell>
        </row>
        <row r="799">
          <cell r="C799">
            <v>120581092506</v>
          </cell>
          <cell r="D799">
            <v>13153.05</v>
          </cell>
          <cell r="E799">
            <v>4917028.32</v>
          </cell>
          <cell r="F799"/>
          <cell r="G799">
            <v>13153.05</v>
          </cell>
        </row>
        <row r="800">
          <cell r="C800">
            <v>122123388167</v>
          </cell>
          <cell r="D800">
            <v>13153.05</v>
          </cell>
          <cell r="E800">
            <v>8875478.5199999996</v>
          </cell>
          <cell r="F800"/>
          <cell r="G800">
            <v>13153.05</v>
          </cell>
        </row>
        <row r="801">
          <cell r="C801">
            <v>123477995434</v>
          </cell>
          <cell r="D801">
            <v>13153.05</v>
          </cell>
          <cell r="E801">
            <v>8418091.6600000001</v>
          </cell>
          <cell r="F801"/>
          <cell r="G801">
            <v>13153.05</v>
          </cell>
        </row>
        <row r="802">
          <cell r="C802">
            <v>123526655521</v>
          </cell>
          <cell r="D802">
            <v>13153.05</v>
          </cell>
          <cell r="E802">
            <v>9158233.1699999999</v>
          </cell>
          <cell r="F802"/>
          <cell r="G802">
            <v>13153.05</v>
          </cell>
        </row>
        <row r="803">
          <cell r="C803">
            <v>121721885236</v>
          </cell>
          <cell r="D803">
            <v>13160.72</v>
          </cell>
          <cell r="E803">
            <v>8221382.0899999999</v>
          </cell>
          <cell r="F803"/>
          <cell r="G803">
            <v>13160.72</v>
          </cell>
        </row>
        <row r="804">
          <cell r="C804">
            <v>122952553977</v>
          </cell>
          <cell r="D804">
            <v>13225.8</v>
          </cell>
          <cell r="E804">
            <v>9535105.2899999991</v>
          </cell>
          <cell r="F804"/>
          <cell r="G804">
            <v>13225.8</v>
          </cell>
        </row>
        <row r="805">
          <cell r="C805">
            <v>122409658066</v>
          </cell>
          <cell r="D805">
            <v>13250.48</v>
          </cell>
          <cell r="E805">
            <v>5359136.96</v>
          </cell>
          <cell r="F805"/>
          <cell r="G805">
            <v>13250.48</v>
          </cell>
        </row>
        <row r="806">
          <cell r="C806">
            <v>122647578326</v>
          </cell>
          <cell r="D806">
            <v>13250.48</v>
          </cell>
          <cell r="E806">
            <v>8176978.3099999996</v>
          </cell>
          <cell r="F806"/>
          <cell r="G806">
            <v>13250.48</v>
          </cell>
        </row>
        <row r="807">
          <cell r="C807">
            <v>121455371900</v>
          </cell>
          <cell r="D807">
            <v>13328.12</v>
          </cell>
          <cell r="E807">
            <v>7407814.6900000004</v>
          </cell>
          <cell r="F807"/>
          <cell r="G807">
            <v>13328.12</v>
          </cell>
        </row>
        <row r="808">
          <cell r="C808">
            <v>122841279043</v>
          </cell>
          <cell r="D808">
            <v>13445.34</v>
          </cell>
          <cell r="E808">
            <v>7008851.4900000002</v>
          </cell>
          <cell r="F808"/>
          <cell r="G808">
            <v>13445.34</v>
          </cell>
        </row>
        <row r="809">
          <cell r="C809">
            <v>120724269286</v>
          </cell>
          <cell r="D809">
            <v>13451.03</v>
          </cell>
          <cell r="E809">
            <v>7654043.46</v>
          </cell>
          <cell r="F809"/>
          <cell r="G809">
            <v>13451.03</v>
          </cell>
        </row>
        <row r="810">
          <cell r="C810">
            <v>121279784157</v>
          </cell>
          <cell r="D810">
            <v>13527.71</v>
          </cell>
          <cell r="E810">
            <v>10049217.99</v>
          </cell>
          <cell r="F810"/>
          <cell r="G810">
            <v>13527.71</v>
          </cell>
        </row>
        <row r="811">
          <cell r="C811">
            <v>123933101648</v>
          </cell>
          <cell r="D811">
            <v>13541.8</v>
          </cell>
          <cell r="E811">
            <v>8919349.5800000001</v>
          </cell>
          <cell r="F811"/>
          <cell r="G811">
            <v>13541.8</v>
          </cell>
        </row>
        <row r="812">
          <cell r="C812">
            <v>121455956032</v>
          </cell>
          <cell r="D812">
            <v>13542.77</v>
          </cell>
          <cell r="E812">
            <v>7442170.7999999998</v>
          </cell>
          <cell r="F812"/>
          <cell r="G812">
            <v>13542.77</v>
          </cell>
        </row>
        <row r="813">
          <cell r="C813">
            <v>122655200620</v>
          </cell>
          <cell r="D813">
            <v>13542.77</v>
          </cell>
          <cell r="E813">
            <v>9160326.1099999994</v>
          </cell>
          <cell r="F813"/>
          <cell r="G813">
            <v>13542.77</v>
          </cell>
        </row>
        <row r="814">
          <cell r="C814">
            <v>124055243568</v>
          </cell>
          <cell r="D814">
            <v>13542.77</v>
          </cell>
          <cell r="E814">
            <v>8271723.7599999998</v>
          </cell>
          <cell r="F814"/>
          <cell r="G814">
            <v>13542.77</v>
          </cell>
        </row>
        <row r="815">
          <cell r="C815">
            <v>122840196003</v>
          </cell>
          <cell r="D815">
            <v>13609.7</v>
          </cell>
          <cell r="E815">
            <v>6830450.6100000003</v>
          </cell>
          <cell r="F815"/>
          <cell r="G815">
            <v>13609.7</v>
          </cell>
        </row>
        <row r="816">
          <cell r="C816">
            <v>123668949473</v>
          </cell>
          <cell r="D816">
            <v>13618.5</v>
          </cell>
          <cell r="E816">
            <v>10694358.029999999</v>
          </cell>
          <cell r="F816"/>
          <cell r="G816">
            <v>13618.5</v>
          </cell>
        </row>
        <row r="817">
          <cell r="C817">
            <v>122124778403</v>
          </cell>
          <cell r="D817">
            <v>13640.2</v>
          </cell>
          <cell r="E817">
            <v>9315065.7899999991</v>
          </cell>
          <cell r="F817"/>
          <cell r="G817">
            <v>13640.2</v>
          </cell>
        </row>
        <row r="818">
          <cell r="C818">
            <v>123233390904</v>
          </cell>
          <cell r="D818">
            <v>13640.2</v>
          </cell>
          <cell r="E818">
            <v>4924697.83</v>
          </cell>
          <cell r="F818"/>
          <cell r="G818">
            <v>13640.2</v>
          </cell>
        </row>
        <row r="819">
          <cell r="C819">
            <v>122842294191</v>
          </cell>
          <cell r="D819">
            <v>13640.2</v>
          </cell>
          <cell r="E819">
            <v>7117875.6600000001</v>
          </cell>
          <cell r="F819"/>
          <cell r="G819">
            <v>13640.2</v>
          </cell>
        </row>
        <row r="820">
          <cell r="C820">
            <v>122952696965</v>
          </cell>
          <cell r="D820">
            <v>13640.2</v>
          </cell>
          <cell r="E820">
            <v>9548745.4900000002</v>
          </cell>
          <cell r="F820"/>
          <cell r="G820">
            <v>13640.2</v>
          </cell>
        </row>
        <row r="821">
          <cell r="C821">
            <v>123666306271</v>
          </cell>
          <cell r="D821">
            <v>13640.2</v>
          </cell>
          <cell r="E821">
            <v>9944047.2699999996</v>
          </cell>
          <cell r="F821"/>
          <cell r="G821">
            <v>13640.2</v>
          </cell>
        </row>
        <row r="822">
          <cell r="C822">
            <v>121086037125</v>
          </cell>
          <cell r="D822">
            <v>13644.57</v>
          </cell>
          <cell r="E822">
            <v>7073349.4100000001</v>
          </cell>
          <cell r="F822"/>
          <cell r="G822">
            <v>13644.57</v>
          </cell>
        </row>
        <row r="823">
          <cell r="C823">
            <v>122937158471</v>
          </cell>
          <cell r="D823">
            <v>13698.15</v>
          </cell>
          <cell r="E823">
            <v>8298928.5800000001</v>
          </cell>
          <cell r="F823"/>
          <cell r="G823">
            <v>13698.15</v>
          </cell>
        </row>
        <row r="824">
          <cell r="C824">
            <v>124068634508</v>
          </cell>
          <cell r="D824">
            <v>13703.56</v>
          </cell>
          <cell r="E824">
            <v>9343189.0099999998</v>
          </cell>
          <cell r="F824"/>
          <cell r="G824">
            <v>13703.56</v>
          </cell>
        </row>
        <row r="825">
          <cell r="C825">
            <v>120321659593</v>
          </cell>
          <cell r="D825">
            <v>13737.63</v>
          </cell>
          <cell r="E825">
            <v>9668185.3300000001</v>
          </cell>
          <cell r="F825"/>
          <cell r="G825">
            <v>13737.63</v>
          </cell>
        </row>
        <row r="826">
          <cell r="C826">
            <v>120321946647</v>
          </cell>
          <cell r="D826">
            <v>13737.63</v>
          </cell>
          <cell r="E826">
            <v>9875445.5099999998</v>
          </cell>
          <cell r="F826"/>
          <cell r="G826">
            <v>13737.63</v>
          </cell>
        </row>
        <row r="827">
          <cell r="C827">
            <v>120322093539</v>
          </cell>
          <cell r="D827">
            <v>13737.63</v>
          </cell>
          <cell r="E827">
            <v>10049050.060000001</v>
          </cell>
          <cell r="F827"/>
          <cell r="G827">
            <v>13737.63</v>
          </cell>
        </row>
        <row r="828">
          <cell r="C828">
            <v>120792252525</v>
          </cell>
          <cell r="D828">
            <v>13737.63</v>
          </cell>
          <cell r="E828">
            <v>6776107.9100000001</v>
          </cell>
          <cell r="F828"/>
          <cell r="G828">
            <v>13737.63</v>
          </cell>
        </row>
        <row r="829">
          <cell r="C829">
            <v>121727256580</v>
          </cell>
          <cell r="D829">
            <v>13737.63</v>
          </cell>
          <cell r="E829">
            <v>9032136.4100000001</v>
          </cell>
          <cell r="F829"/>
          <cell r="G829">
            <v>13737.63</v>
          </cell>
        </row>
        <row r="830">
          <cell r="C830">
            <v>123487659456</v>
          </cell>
          <cell r="D830">
            <v>13737.63</v>
          </cell>
          <cell r="E830">
            <v>9236945.9299999997</v>
          </cell>
          <cell r="F830"/>
          <cell r="G830">
            <v>13737.63</v>
          </cell>
        </row>
        <row r="831">
          <cell r="C831">
            <v>122539320108</v>
          </cell>
          <cell r="D831">
            <v>13771.28</v>
          </cell>
          <cell r="E831">
            <v>7250853.0899999999</v>
          </cell>
          <cell r="F831"/>
          <cell r="G831">
            <v>13771.28</v>
          </cell>
        </row>
        <row r="832">
          <cell r="C832">
            <v>121794812592</v>
          </cell>
          <cell r="D832">
            <v>13835.06</v>
          </cell>
          <cell r="E832">
            <v>9853322.6400000006</v>
          </cell>
          <cell r="F832"/>
          <cell r="G832">
            <v>13835.06</v>
          </cell>
        </row>
        <row r="833">
          <cell r="C833">
            <v>123503054371</v>
          </cell>
          <cell r="D833">
            <v>13835.06</v>
          </cell>
          <cell r="E833">
            <v>8111425.7999999998</v>
          </cell>
          <cell r="F833"/>
          <cell r="G833">
            <v>13835.06</v>
          </cell>
        </row>
        <row r="834">
          <cell r="C834">
            <v>124323994378</v>
          </cell>
          <cell r="D834">
            <v>13835.06</v>
          </cell>
          <cell r="E834">
            <v>12408788.449999999</v>
          </cell>
          <cell r="F834"/>
          <cell r="G834">
            <v>13835.06</v>
          </cell>
        </row>
        <row r="835">
          <cell r="C835">
            <v>122532837736</v>
          </cell>
          <cell r="D835">
            <v>13891.28</v>
          </cell>
          <cell r="E835">
            <v>6316565.6200000001</v>
          </cell>
          <cell r="F835"/>
          <cell r="G835">
            <v>13891.28</v>
          </cell>
        </row>
        <row r="836">
          <cell r="C836">
            <v>121714766940</v>
          </cell>
          <cell r="D836">
            <v>13932.49</v>
          </cell>
          <cell r="E836">
            <v>7589207.8399999999</v>
          </cell>
          <cell r="F836"/>
          <cell r="G836">
            <v>13932.49</v>
          </cell>
        </row>
        <row r="837">
          <cell r="C837">
            <v>121880700739</v>
          </cell>
          <cell r="D837">
            <v>13932.49</v>
          </cell>
          <cell r="E837">
            <v>5608124.3399999999</v>
          </cell>
          <cell r="F837"/>
          <cell r="G837">
            <v>13932.49</v>
          </cell>
        </row>
        <row r="838">
          <cell r="C838">
            <v>122842654853</v>
          </cell>
          <cell r="D838">
            <v>13981.56</v>
          </cell>
          <cell r="E838">
            <v>7601451.3099999996</v>
          </cell>
          <cell r="F838"/>
          <cell r="G838">
            <v>13981.56</v>
          </cell>
        </row>
        <row r="839">
          <cell r="C839">
            <v>120839184960</v>
          </cell>
          <cell r="D839">
            <v>13981.66</v>
          </cell>
          <cell r="E839">
            <v>10035312.43</v>
          </cell>
          <cell r="F839"/>
          <cell r="G839">
            <v>13981.66</v>
          </cell>
        </row>
        <row r="840">
          <cell r="C840">
            <v>122827128421</v>
          </cell>
          <cell r="D840">
            <v>14029.92</v>
          </cell>
          <cell r="E840">
            <v>6167939.9199999999</v>
          </cell>
          <cell r="F840"/>
          <cell r="G840">
            <v>14029.92</v>
          </cell>
        </row>
        <row r="841">
          <cell r="C841">
            <v>123767241087</v>
          </cell>
          <cell r="D841">
            <v>14029.92</v>
          </cell>
          <cell r="E841">
            <v>11130885.619999999</v>
          </cell>
          <cell r="F841"/>
          <cell r="G841">
            <v>14029.92</v>
          </cell>
        </row>
        <row r="842">
          <cell r="C842">
            <v>120718656212</v>
          </cell>
          <cell r="D842">
            <v>14031.65</v>
          </cell>
          <cell r="E842">
            <v>6912950.46</v>
          </cell>
          <cell r="F842"/>
          <cell r="G842">
            <v>14031.65</v>
          </cell>
        </row>
        <row r="843">
          <cell r="C843">
            <v>120837497356</v>
          </cell>
          <cell r="D843">
            <v>14322.21</v>
          </cell>
          <cell r="E843">
            <v>9510019.8699999992</v>
          </cell>
          <cell r="F843"/>
          <cell r="G843">
            <v>14322.21</v>
          </cell>
        </row>
        <row r="844">
          <cell r="C844">
            <v>120321110405</v>
          </cell>
          <cell r="D844">
            <v>14322.21</v>
          </cell>
          <cell r="E844">
            <v>9596440.2799999993</v>
          </cell>
          <cell r="F844"/>
          <cell r="G844">
            <v>14322.21</v>
          </cell>
        </row>
        <row r="845">
          <cell r="C845">
            <v>123667371995</v>
          </cell>
          <cell r="D845">
            <v>14322.21</v>
          </cell>
          <cell r="E845">
            <v>10291703.15</v>
          </cell>
          <cell r="F845"/>
          <cell r="G845">
            <v>14322.21</v>
          </cell>
        </row>
        <row r="846">
          <cell r="C846">
            <v>120203915855</v>
          </cell>
          <cell r="D846">
            <v>14359.44</v>
          </cell>
          <cell r="E846">
            <v>7152475.0899999999</v>
          </cell>
          <cell r="F846"/>
          <cell r="G846">
            <v>14359.44</v>
          </cell>
        </row>
        <row r="847">
          <cell r="C847">
            <v>120321927593</v>
          </cell>
          <cell r="D847">
            <v>14419.64</v>
          </cell>
          <cell r="E847">
            <v>9889865.1500000004</v>
          </cell>
          <cell r="F847"/>
          <cell r="G847">
            <v>14419.64</v>
          </cell>
        </row>
        <row r="848">
          <cell r="C848">
            <v>121206285767</v>
          </cell>
          <cell r="D848">
            <v>14419.64</v>
          </cell>
          <cell r="E848">
            <v>9504058.8800000008</v>
          </cell>
          <cell r="F848"/>
          <cell r="G848">
            <v>14419.64</v>
          </cell>
        </row>
        <row r="849">
          <cell r="C849">
            <v>124054833524</v>
          </cell>
          <cell r="D849">
            <v>14517.07</v>
          </cell>
          <cell r="E849">
            <v>8239156.1399999997</v>
          </cell>
          <cell r="F849"/>
          <cell r="G849">
            <v>14517.07</v>
          </cell>
        </row>
        <row r="850">
          <cell r="C850">
            <v>123666194753</v>
          </cell>
          <cell r="D850">
            <v>14517.07</v>
          </cell>
          <cell r="E850">
            <v>9930407.0700000003</v>
          </cell>
          <cell r="F850"/>
          <cell r="G850">
            <v>14517.07</v>
          </cell>
        </row>
        <row r="851">
          <cell r="C851">
            <v>120715436638</v>
          </cell>
          <cell r="D851">
            <v>14614.5</v>
          </cell>
          <cell r="E851">
            <v>6395480.6500000004</v>
          </cell>
          <cell r="F851"/>
          <cell r="G851">
            <v>14614.5</v>
          </cell>
        </row>
        <row r="852">
          <cell r="C852">
            <v>121728714096</v>
          </cell>
          <cell r="D852">
            <v>14614.5</v>
          </cell>
          <cell r="E852">
            <v>9518673.3800000008</v>
          </cell>
          <cell r="F852"/>
          <cell r="G852">
            <v>14614.5</v>
          </cell>
        </row>
        <row r="853">
          <cell r="C853">
            <v>123665651783</v>
          </cell>
          <cell r="D853">
            <v>14614.5</v>
          </cell>
          <cell r="E853">
            <v>9896460.9800000004</v>
          </cell>
          <cell r="F853"/>
          <cell r="G853">
            <v>14614.5</v>
          </cell>
        </row>
        <row r="854">
          <cell r="C854">
            <v>122955267117</v>
          </cell>
          <cell r="D854">
            <v>14642.16</v>
          </cell>
          <cell r="E854">
            <v>10206595.050000001</v>
          </cell>
          <cell r="F854"/>
          <cell r="G854">
            <v>14642.16</v>
          </cell>
        </row>
        <row r="855">
          <cell r="C855">
            <v>120838984192</v>
          </cell>
          <cell r="D855">
            <v>14809.36</v>
          </cell>
          <cell r="E855">
            <v>9861707.8800000008</v>
          </cell>
          <cell r="F855"/>
          <cell r="G855">
            <v>14809.36</v>
          </cell>
        </row>
        <row r="856">
          <cell r="C856">
            <v>123558657050</v>
          </cell>
          <cell r="D856">
            <v>14889.56</v>
          </cell>
          <cell r="E856">
            <v>10324418.43</v>
          </cell>
          <cell r="F856"/>
          <cell r="G856">
            <v>14889.56</v>
          </cell>
        </row>
        <row r="857">
          <cell r="C857">
            <v>121085550185</v>
          </cell>
          <cell r="D857">
            <v>14906.79</v>
          </cell>
          <cell r="E857">
            <v>7012541.8399999999</v>
          </cell>
          <cell r="F857"/>
          <cell r="G857">
            <v>14906.79</v>
          </cell>
        </row>
        <row r="858">
          <cell r="C858">
            <v>122412283422</v>
          </cell>
          <cell r="D858">
            <v>14906.79</v>
          </cell>
          <cell r="E858">
            <v>5855938.4400000004</v>
          </cell>
          <cell r="F858"/>
          <cell r="G858">
            <v>14906.79</v>
          </cell>
        </row>
        <row r="859">
          <cell r="C859">
            <v>122111961791</v>
          </cell>
          <cell r="D859">
            <v>14906.79</v>
          </cell>
          <cell r="E859">
            <v>7848088.2199999997</v>
          </cell>
          <cell r="F859"/>
          <cell r="G859">
            <v>14906.79</v>
          </cell>
        </row>
        <row r="860">
          <cell r="C860">
            <v>121438945072</v>
          </cell>
          <cell r="D860">
            <v>15004.22</v>
          </cell>
          <cell r="E860">
            <v>7084841.6100000003</v>
          </cell>
          <cell r="F860"/>
          <cell r="G860">
            <v>15004.22</v>
          </cell>
        </row>
        <row r="861">
          <cell r="C861">
            <v>122737597084</v>
          </cell>
          <cell r="D861">
            <v>15115.2</v>
          </cell>
          <cell r="E861">
            <v>9887773.7100000009</v>
          </cell>
          <cell r="F861"/>
          <cell r="G861">
            <v>15115.2</v>
          </cell>
        </row>
        <row r="862">
          <cell r="C862">
            <v>122011169557</v>
          </cell>
          <cell r="D862">
            <v>15165.84</v>
          </cell>
          <cell r="E862">
            <v>7773990.3099999996</v>
          </cell>
          <cell r="F862"/>
          <cell r="G862">
            <v>15165.84</v>
          </cell>
        </row>
        <row r="863">
          <cell r="C863">
            <v>120692262070</v>
          </cell>
          <cell r="D863">
            <v>15199.08</v>
          </cell>
          <cell r="E863">
            <v>5643964.3300000001</v>
          </cell>
          <cell r="F863"/>
          <cell r="G863">
            <v>15199.08</v>
          </cell>
        </row>
        <row r="864">
          <cell r="C864">
            <v>122006598947</v>
          </cell>
          <cell r="D864">
            <v>15199.08</v>
          </cell>
          <cell r="E864">
            <v>6891980.1500000004</v>
          </cell>
          <cell r="F864"/>
          <cell r="G864">
            <v>15199.08</v>
          </cell>
        </row>
        <row r="865">
          <cell r="C865">
            <v>123633758515</v>
          </cell>
          <cell r="D865">
            <v>15199.08</v>
          </cell>
          <cell r="E865">
            <v>8425398.1199999992</v>
          </cell>
          <cell r="F865"/>
          <cell r="G865">
            <v>15199.08</v>
          </cell>
        </row>
        <row r="866">
          <cell r="C866">
            <v>124320260526</v>
          </cell>
          <cell r="D866">
            <v>15393.04</v>
          </cell>
          <cell r="E866">
            <v>11830775.720000001</v>
          </cell>
          <cell r="F866"/>
          <cell r="G866">
            <v>15393.04</v>
          </cell>
        </row>
        <row r="867">
          <cell r="C867">
            <v>122534403030</v>
          </cell>
          <cell r="D867">
            <v>15393.94</v>
          </cell>
          <cell r="E867">
            <v>6455961.1699999999</v>
          </cell>
          <cell r="F867"/>
          <cell r="G867">
            <v>15393.94</v>
          </cell>
        </row>
        <row r="868">
          <cell r="C868">
            <v>122948993035</v>
          </cell>
          <cell r="D868">
            <v>15393.94</v>
          </cell>
          <cell r="E868">
            <v>8768475.8300000001</v>
          </cell>
          <cell r="F868"/>
          <cell r="G868">
            <v>15393.94</v>
          </cell>
        </row>
        <row r="869">
          <cell r="C869">
            <v>122535519030</v>
          </cell>
          <cell r="D869">
            <v>15491.37</v>
          </cell>
          <cell r="E869">
            <v>6605269.8300000001</v>
          </cell>
          <cell r="F869"/>
          <cell r="G869">
            <v>15491.37</v>
          </cell>
        </row>
        <row r="870">
          <cell r="C870">
            <v>122538632898</v>
          </cell>
          <cell r="D870">
            <v>15491.37</v>
          </cell>
          <cell r="E870">
            <v>7060715.4699999997</v>
          </cell>
          <cell r="F870"/>
          <cell r="G870">
            <v>15491.37</v>
          </cell>
        </row>
        <row r="871">
          <cell r="C871">
            <v>123517532751</v>
          </cell>
          <cell r="D871">
            <v>15491.37</v>
          </cell>
          <cell r="E871">
            <v>8312745</v>
          </cell>
          <cell r="F871"/>
          <cell r="G871">
            <v>15491.37</v>
          </cell>
        </row>
        <row r="872">
          <cell r="C872">
            <v>120724898900</v>
          </cell>
          <cell r="D872">
            <v>15493.08</v>
          </cell>
          <cell r="E872">
            <v>7814156.2000000002</v>
          </cell>
          <cell r="F872"/>
          <cell r="G872">
            <v>15493.08</v>
          </cell>
        </row>
        <row r="873">
          <cell r="C873">
            <v>122502696642</v>
          </cell>
          <cell r="D873">
            <v>15493.08</v>
          </cell>
          <cell r="E873">
            <v>5923342.2599999998</v>
          </cell>
          <cell r="F873"/>
          <cell r="G873">
            <v>15493.08</v>
          </cell>
        </row>
        <row r="874">
          <cell r="C874">
            <v>120915065450</v>
          </cell>
          <cell r="D874">
            <v>15525.09</v>
          </cell>
          <cell r="E874">
            <v>10451201.210000001</v>
          </cell>
          <cell r="F874"/>
          <cell r="G874">
            <v>15525.09</v>
          </cell>
        </row>
        <row r="875">
          <cell r="C875">
            <v>120813090270</v>
          </cell>
          <cell r="D875">
            <v>15579.97</v>
          </cell>
          <cell r="E875">
            <v>8022756.71</v>
          </cell>
          <cell r="F875"/>
          <cell r="G875">
            <v>15579.97</v>
          </cell>
        </row>
        <row r="876">
          <cell r="C876">
            <v>120821098956</v>
          </cell>
          <cell r="D876">
            <v>15682.02</v>
          </cell>
          <cell r="E876">
            <v>8191610.21</v>
          </cell>
          <cell r="F876"/>
          <cell r="G876">
            <v>15682.02</v>
          </cell>
        </row>
        <row r="877">
          <cell r="C877">
            <v>123246409004</v>
          </cell>
          <cell r="D877">
            <v>15686.23</v>
          </cell>
          <cell r="E877">
            <v>6201620.8600000003</v>
          </cell>
          <cell r="F877"/>
          <cell r="G877">
            <v>15686.23</v>
          </cell>
        </row>
        <row r="878">
          <cell r="C878">
            <v>123783302813</v>
          </cell>
          <cell r="D878">
            <v>15783.66</v>
          </cell>
          <cell r="E878">
            <v>12627068.189999999</v>
          </cell>
          <cell r="F878"/>
          <cell r="G878">
            <v>15783.66</v>
          </cell>
        </row>
        <row r="879">
          <cell r="C879">
            <v>121713907380</v>
          </cell>
          <cell r="D879">
            <v>15881.09</v>
          </cell>
          <cell r="E879">
            <v>7546046.3499999996</v>
          </cell>
          <cell r="F879"/>
          <cell r="G879">
            <v>15881.09</v>
          </cell>
        </row>
        <row r="880">
          <cell r="C880">
            <v>121705399086</v>
          </cell>
          <cell r="D880">
            <v>15978.52</v>
          </cell>
          <cell r="E880">
            <v>7333752.71</v>
          </cell>
          <cell r="F880"/>
          <cell r="G880">
            <v>15978.52</v>
          </cell>
        </row>
        <row r="881">
          <cell r="C881">
            <v>121205062163</v>
          </cell>
          <cell r="D881">
            <v>15978.52</v>
          </cell>
          <cell r="E881">
            <v>9107676.6999999993</v>
          </cell>
          <cell r="F881"/>
          <cell r="G881">
            <v>15978.52</v>
          </cell>
        </row>
        <row r="882">
          <cell r="C882">
            <v>122655481500</v>
          </cell>
          <cell r="D882">
            <v>15978.52</v>
          </cell>
          <cell r="E882">
            <v>9214464.6099999994</v>
          </cell>
          <cell r="F882"/>
          <cell r="G882">
            <v>15978.52</v>
          </cell>
        </row>
        <row r="883">
          <cell r="C883">
            <v>122833519307</v>
          </cell>
          <cell r="D883">
            <v>15979.04</v>
          </cell>
          <cell r="E883">
            <v>6331692.0999999996</v>
          </cell>
          <cell r="F883"/>
          <cell r="G883">
            <v>15979.04</v>
          </cell>
        </row>
        <row r="884">
          <cell r="C884">
            <v>120814504022</v>
          </cell>
          <cell r="D884">
            <v>16050.06</v>
          </cell>
          <cell r="E884">
            <v>8141595.29</v>
          </cell>
          <cell r="F884"/>
          <cell r="G884">
            <v>16050.06</v>
          </cell>
        </row>
        <row r="885">
          <cell r="C885">
            <v>122010563303</v>
          </cell>
          <cell r="D885">
            <v>16143.92</v>
          </cell>
          <cell r="E885">
            <v>7532346.5199999996</v>
          </cell>
          <cell r="F885"/>
          <cell r="G885">
            <v>16143.92</v>
          </cell>
        </row>
        <row r="886">
          <cell r="C886">
            <v>121800005322</v>
          </cell>
          <cell r="D886">
            <v>16154.37</v>
          </cell>
          <cell r="E886">
            <v>9953724.1099999994</v>
          </cell>
          <cell r="F886"/>
          <cell r="G886">
            <v>16154.37</v>
          </cell>
        </row>
        <row r="887">
          <cell r="C887">
            <v>120399136069</v>
          </cell>
          <cell r="D887">
            <v>16248.84</v>
          </cell>
          <cell r="E887">
            <v>10555137.050000001</v>
          </cell>
          <cell r="F887"/>
          <cell r="G887">
            <v>16248.84</v>
          </cell>
        </row>
        <row r="888">
          <cell r="C888">
            <v>123022236739</v>
          </cell>
          <cell r="D888">
            <v>16251.41</v>
          </cell>
          <cell r="E888">
            <v>10340669.84</v>
          </cell>
          <cell r="F888"/>
          <cell r="G888">
            <v>16251.41</v>
          </cell>
        </row>
        <row r="889">
          <cell r="C889">
            <v>121815291028</v>
          </cell>
          <cell r="D889">
            <v>16270.81</v>
          </cell>
          <cell r="E889">
            <v>10559177.039999999</v>
          </cell>
          <cell r="F889"/>
          <cell r="G889">
            <v>16270.81</v>
          </cell>
        </row>
        <row r="890">
          <cell r="C890">
            <v>121716172084</v>
          </cell>
          <cell r="D890">
            <v>16331.64</v>
          </cell>
          <cell r="E890">
            <v>7743373.96</v>
          </cell>
          <cell r="F890"/>
          <cell r="G890">
            <v>16331.64</v>
          </cell>
        </row>
        <row r="891">
          <cell r="C891">
            <v>122955202703</v>
          </cell>
          <cell r="D891">
            <v>16331.64</v>
          </cell>
          <cell r="E891">
            <v>10157856.93</v>
          </cell>
          <cell r="F891"/>
          <cell r="G891">
            <v>16331.64</v>
          </cell>
        </row>
        <row r="892">
          <cell r="C892">
            <v>123491453320</v>
          </cell>
          <cell r="D892">
            <v>16342.2</v>
          </cell>
          <cell r="E892">
            <v>10128814.689999999</v>
          </cell>
          <cell r="F892"/>
          <cell r="G892">
            <v>16342.2</v>
          </cell>
        </row>
        <row r="893">
          <cell r="C893">
            <v>121718235298</v>
          </cell>
          <cell r="D893">
            <v>16368.24</v>
          </cell>
          <cell r="E893">
            <v>7895730.9699999997</v>
          </cell>
          <cell r="F893"/>
          <cell r="G893">
            <v>16368.24</v>
          </cell>
        </row>
        <row r="894">
          <cell r="C894">
            <v>121716430976</v>
          </cell>
          <cell r="D894">
            <v>16437.78</v>
          </cell>
          <cell r="E894">
            <v>7759811.7400000002</v>
          </cell>
          <cell r="F894"/>
          <cell r="G894">
            <v>16437.78</v>
          </cell>
        </row>
        <row r="895">
          <cell r="C895">
            <v>120204634831</v>
          </cell>
          <cell r="D895">
            <v>16465.669999999998</v>
          </cell>
          <cell r="E895">
            <v>7177118.9400000004</v>
          </cell>
          <cell r="F895"/>
          <cell r="G895">
            <v>16465.669999999998</v>
          </cell>
        </row>
        <row r="896">
          <cell r="C896">
            <v>120397540481</v>
          </cell>
          <cell r="D896">
            <v>16465.669999999998</v>
          </cell>
          <cell r="E896">
            <v>10467666.880000001</v>
          </cell>
          <cell r="F896"/>
          <cell r="G896">
            <v>16465.669999999998</v>
          </cell>
        </row>
        <row r="897">
          <cell r="C897">
            <v>120916461698</v>
          </cell>
          <cell r="D897">
            <v>16465.669999999998</v>
          </cell>
          <cell r="E897">
            <v>10538888.210000001</v>
          </cell>
          <cell r="F897"/>
          <cell r="G897">
            <v>16465.669999999998</v>
          </cell>
        </row>
        <row r="898">
          <cell r="C898">
            <v>120207675247</v>
          </cell>
          <cell r="D898">
            <v>16532.25</v>
          </cell>
          <cell r="E898">
            <v>7640592.4299999997</v>
          </cell>
          <cell r="F898"/>
          <cell r="G898">
            <v>16532.25</v>
          </cell>
        </row>
        <row r="899">
          <cell r="C899">
            <v>122737969234</v>
          </cell>
          <cell r="D899">
            <v>16563.099999999999</v>
          </cell>
          <cell r="E899">
            <v>9904336.8100000005</v>
          </cell>
          <cell r="F899"/>
          <cell r="G899">
            <v>16563.099999999999</v>
          </cell>
        </row>
        <row r="900">
          <cell r="C900">
            <v>120201695889</v>
          </cell>
          <cell r="D900">
            <v>16626.72</v>
          </cell>
          <cell r="E900">
            <v>6866326.6600000001</v>
          </cell>
          <cell r="F900"/>
          <cell r="G900">
            <v>16626.72</v>
          </cell>
        </row>
        <row r="901">
          <cell r="C901">
            <v>120720517214</v>
          </cell>
          <cell r="D901">
            <v>16626.72</v>
          </cell>
          <cell r="E901">
            <v>7138115.6500000004</v>
          </cell>
          <cell r="F901"/>
          <cell r="G901">
            <v>16626.72</v>
          </cell>
        </row>
        <row r="902">
          <cell r="C902">
            <v>121715762316</v>
          </cell>
          <cell r="D902">
            <v>16626.72</v>
          </cell>
          <cell r="E902">
            <v>7650707.8099999996</v>
          </cell>
          <cell r="F902"/>
          <cell r="G902">
            <v>16626.72</v>
          </cell>
        </row>
        <row r="903">
          <cell r="C903">
            <v>122405411838</v>
          </cell>
          <cell r="D903">
            <v>16721.189999999999</v>
          </cell>
          <cell r="E903">
            <v>4696555.29</v>
          </cell>
          <cell r="F903"/>
          <cell r="G903">
            <v>16721.189999999999</v>
          </cell>
        </row>
        <row r="904">
          <cell r="C904">
            <v>123647957429</v>
          </cell>
          <cell r="D904">
            <v>16721.189999999999</v>
          </cell>
          <cell r="E904">
            <v>8466331.5199999996</v>
          </cell>
          <cell r="F904"/>
          <cell r="G904">
            <v>16721.189999999999</v>
          </cell>
        </row>
        <row r="905">
          <cell r="C905">
            <v>122008281271</v>
          </cell>
          <cell r="D905">
            <v>16757.96</v>
          </cell>
          <cell r="E905">
            <v>7228800.2599999998</v>
          </cell>
          <cell r="F905"/>
          <cell r="G905">
            <v>16757.96</v>
          </cell>
        </row>
        <row r="906">
          <cell r="C906">
            <v>122118395129</v>
          </cell>
          <cell r="D906">
            <v>16757.96</v>
          </cell>
          <cell r="E906">
            <v>8260250.25</v>
          </cell>
          <cell r="F906"/>
          <cell r="G906">
            <v>16757.96</v>
          </cell>
        </row>
        <row r="907">
          <cell r="C907">
            <v>122709245867</v>
          </cell>
          <cell r="D907">
            <v>16757.96</v>
          </cell>
          <cell r="E907">
            <v>5775098.3300000001</v>
          </cell>
          <cell r="F907"/>
          <cell r="G907">
            <v>16757.96</v>
          </cell>
        </row>
        <row r="908">
          <cell r="C908">
            <v>123244920288</v>
          </cell>
          <cell r="D908">
            <v>16757.96</v>
          </cell>
          <cell r="E908">
            <v>5791856.29</v>
          </cell>
          <cell r="F908"/>
          <cell r="G908">
            <v>16757.96</v>
          </cell>
        </row>
        <row r="909">
          <cell r="C909">
            <v>122712019227</v>
          </cell>
          <cell r="D909">
            <v>16757.96</v>
          </cell>
          <cell r="E909">
            <v>6304994.0899999999</v>
          </cell>
          <cell r="F909"/>
          <cell r="G909">
            <v>16757.96</v>
          </cell>
        </row>
        <row r="910">
          <cell r="C910">
            <v>124069119532</v>
          </cell>
          <cell r="D910">
            <v>16757.96</v>
          </cell>
          <cell r="E910">
            <v>9376397.9100000001</v>
          </cell>
          <cell r="F910"/>
          <cell r="G910">
            <v>16757.96</v>
          </cell>
        </row>
        <row r="911">
          <cell r="C911">
            <v>120322286285</v>
          </cell>
          <cell r="D911">
            <v>16815.66</v>
          </cell>
          <cell r="E911">
            <v>10111841.689999999</v>
          </cell>
          <cell r="F911"/>
          <cell r="G911">
            <v>16815.66</v>
          </cell>
        </row>
        <row r="912">
          <cell r="C912">
            <v>120797427543</v>
          </cell>
          <cell r="D912">
            <v>16951.849999999999</v>
          </cell>
          <cell r="E912">
            <v>7102638.0099999998</v>
          </cell>
          <cell r="F912"/>
          <cell r="G912">
            <v>16951.849999999999</v>
          </cell>
        </row>
        <row r="913">
          <cell r="C913">
            <v>120322326047</v>
          </cell>
          <cell r="D913">
            <v>16952.82</v>
          </cell>
          <cell r="E913">
            <v>10198114.859999999</v>
          </cell>
          <cell r="F913"/>
          <cell r="G913">
            <v>16952.82</v>
          </cell>
        </row>
        <row r="914">
          <cell r="C914">
            <v>122011082607</v>
          </cell>
          <cell r="D914">
            <v>17050.25</v>
          </cell>
          <cell r="E914">
            <v>7663277.9299999997</v>
          </cell>
          <cell r="F914"/>
          <cell r="G914">
            <v>17050.25</v>
          </cell>
        </row>
        <row r="915">
          <cell r="C915">
            <v>122120292189</v>
          </cell>
          <cell r="D915">
            <v>17050.25</v>
          </cell>
          <cell r="E915">
            <v>8403861.6300000008</v>
          </cell>
          <cell r="F915"/>
          <cell r="G915">
            <v>17050.25</v>
          </cell>
        </row>
        <row r="916">
          <cell r="C916">
            <v>122652958772</v>
          </cell>
          <cell r="D916">
            <v>17147.68</v>
          </cell>
          <cell r="E916">
            <v>8603963.5600000005</v>
          </cell>
          <cell r="F916"/>
          <cell r="G916">
            <v>17147.68</v>
          </cell>
        </row>
        <row r="917">
          <cell r="C917">
            <v>124206045446</v>
          </cell>
          <cell r="D917">
            <v>17245.11</v>
          </cell>
          <cell r="E917">
            <v>9651883.1699999999</v>
          </cell>
          <cell r="F917"/>
          <cell r="G917">
            <v>17245.11</v>
          </cell>
        </row>
        <row r="918">
          <cell r="C918">
            <v>123775670855</v>
          </cell>
          <cell r="D918">
            <v>17245.11</v>
          </cell>
          <cell r="E918">
            <v>11645890.630000001</v>
          </cell>
          <cell r="F918"/>
          <cell r="G918">
            <v>17245.11</v>
          </cell>
        </row>
        <row r="919">
          <cell r="C919">
            <v>121455695728</v>
          </cell>
          <cell r="D919">
            <v>17288.009999999998</v>
          </cell>
          <cell r="E919">
            <v>7428628.0300000003</v>
          </cell>
          <cell r="F919"/>
          <cell r="G919">
            <v>17288.009999999998</v>
          </cell>
        </row>
        <row r="920">
          <cell r="C920">
            <v>120296492731</v>
          </cell>
          <cell r="D920">
            <v>17321.830000000002</v>
          </cell>
          <cell r="E920">
            <v>8125545.2300000004</v>
          </cell>
          <cell r="F920"/>
          <cell r="G920">
            <v>17321.830000000002</v>
          </cell>
        </row>
        <row r="921">
          <cell r="C921">
            <v>123403275287</v>
          </cell>
          <cell r="D921">
            <v>17341.57</v>
          </cell>
          <cell r="E921">
            <v>9543616.0600000005</v>
          </cell>
          <cell r="F921"/>
          <cell r="G921">
            <v>17341.57</v>
          </cell>
        </row>
        <row r="922">
          <cell r="C922">
            <v>120320500045</v>
          </cell>
          <cell r="D922">
            <v>17342.54</v>
          </cell>
          <cell r="E922">
            <v>9527362.4100000001</v>
          </cell>
          <cell r="F922"/>
          <cell r="G922">
            <v>17342.54</v>
          </cell>
        </row>
        <row r="923">
          <cell r="C923">
            <v>121877650189</v>
          </cell>
          <cell r="D923">
            <v>17342.54</v>
          </cell>
          <cell r="E923">
            <v>5237344.16</v>
          </cell>
          <cell r="F923"/>
          <cell r="G923">
            <v>17342.54</v>
          </cell>
        </row>
        <row r="924">
          <cell r="C924">
            <v>120170627009</v>
          </cell>
          <cell r="D924">
            <v>17382.48</v>
          </cell>
          <cell r="E924">
            <v>5620775.7300000004</v>
          </cell>
          <cell r="F924"/>
          <cell r="G924">
            <v>17382.48</v>
          </cell>
        </row>
        <row r="925">
          <cell r="C925">
            <v>121883324799</v>
          </cell>
          <cell r="D925">
            <v>17439.97</v>
          </cell>
          <cell r="E925">
            <v>5996550.2400000002</v>
          </cell>
          <cell r="F925"/>
          <cell r="G925">
            <v>17439.97</v>
          </cell>
        </row>
        <row r="926">
          <cell r="C926">
            <v>122536537124</v>
          </cell>
          <cell r="D926">
            <v>17439.97</v>
          </cell>
          <cell r="E926">
            <v>6780343.7699999996</v>
          </cell>
          <cell r="F926"/>
          <cell r="G926">
            <v>17439.97</v>
          </cell>
        </row>
        <row r="927">
          <cell r="C927">
            <v>122954852115</v>
          </cell>
          <cell r="D927">
            <v>17439.97</v>
          </cell>
          <cell r="E927">
            <v>9927220.0500000007</v>
          </cell>
          <cell r="F927"/>
          <cell r="G927">
            <v>17439.97</v>
          </cell>
        </row>
        <row r="928">
          <cell r="C928">
            <v>121726772722</v>
          </cell>
          <cell r="D928">
            <v>17537.400000000001</v>
          </cell>
          <cell r="E928">
            <v>8987507.0899999999</v>
          </cell>
          <cell r="F928"/>
          <cell r="G928">
            <v>17537.400000000001</v>
          </cell>
        </row>
        <row r="929">
          <cell r="C929">
            <v>122124539945</v>
          </cell>
          <cell r="D929">
            <v>17537.400000000001</v>
          </cell>
          <cell r="E929">
            <v>9301425.5899999999</v>
          </cell>
          <cell r="F929"/>
          <cell r="G929">
            <v>17537.400000000001</v>
          </cell>
        </row>
        <row r="930">
          <cell r="C930">
            <v>123243968876</v>
          </cell>
          <cell r="D930">
            <v>17537.400000000001</v>
          </cell>
          <cell r="E930">
            <v>5699221.54</v>
          </cell>
          <cell r="F930"/>
          <cell r="G930">
            <v>17537.400000000001</v>
          </cell>
        </row>
        <row r="931">
          <cell r="C931">
            <v>120067272017</v>
          </cell>
          <cell r="D931">
            <v>17634.830000000002</v>
          </cell>
          <cell r="E931">
            <v>5387200.5800000001</v>
          </cell>
          <cell r="F931"/>
          <cell r="G931">
            <v>17634.830000000002</v>
          </cell>
        </row>
        <row r="932">
          <cell r="C932">
            <v>120185169503</v>
          </cell>
          <cell r="D932">
            <v>17634.830000000002</v>
          </cell>
          <cell r="E932">
            <v>5731128.8399999999</v>
          </cell>
          <cell r="F932"/>
          <cell r="G932">
            <v>17634.830000000002</v>
          </cell>
        </row>
        <row r="933">
          <cell r="C933">
            <v>120208241885</v>
          </cell>
          <cell r="D933">
            <v>17634.830000000002</v>
          </cell>
          <cell r="E933">
            <v>7831791.0300000003</v>
          </cell>
          <cell r="F933"/>
          <cell r="G933">
            <v>17634.830000000002</v>
          </cell>
        </row>
        <row r="934">
          <cell r="C934">
            <v>120724953020</v>
          </cell>
          <cell r="D934">
            <v>17634.830000000002</v>
          </cell>
          <cell r="E934">
            <v>7850311.8499999996</v>
          </cell>
          <cell r="F934"/>
          <cell r="G934">
            <v>17634.830000000002</v>
          </cell>
        </row>
        <row r="935">
          <cell r="C935">
            <v>121462001934</v>
          </cell>
          <cell r="D935">
            <v>17634.830000000002</v>
          </cell>
          <cell r="E935">
            <v>8189478.8700000001</v>
          </cell>
          <cell r="F935"/>
          <cell r="G935">
            <v>17634.830000000002</v>
          </cell>
        </row>
        <row r="936">
          <cell r="C936">
            <v>121462664622</v>
          </cell>
          <cell r="D936">
            <v>17634.830000000002</v>
          </cell>
          <cell r="E936">
            <v>8216661.8399999999</v>
          </cell>
          <cell r="F936"/>
          <cell r="G936">
            <v>17634.830000000002</v>
          </cell>
        </row>
        <row r="937">
          <cell r="C937">
            <v>122199086283</v>
          </cell>
          <cell r="D937">
            <v>17704.05</v>
          </cell>
          <cell r="E937">
            <v>9656135.4000000004</v>
          </cell>
          <cell r="F937"/>
          <cell r="G937">
            <v>17704.05</v>
          </cell>
        </row>
        <row r="938">
          <cell r="C938">
            <v>120915331228</v>
          </cell>
          <cell r="D938">
            <v>17732.259999999998</v>
          </cell>
          <cell r="E938">
            <v>10518038.189999999</v>
          </cell>
          <cell r="F938"/>
          <cell r="G938">
            <v>17732.259999999998</v>
          </cell>
        </row>
        <row r="939">
          <cell r="C939">
            <v>124302150796</v>
          </cell>
          <cell r="D939">
            <v>17885.63</v>
          </cell>
          <cell r="E939">
            <v>10917921.43</v>
          </cell>
          <cell r="F939"/>
          <cell r="G939">
            <v>17885.63</v>
          </cell>
        </row>
        <row r="940">
          <cell r="C940">
            <v>120821245214</v>
          </cell>
          <cell r="D940">
            <v>17902.45</v>
          </cell>
          <cell r="E940">
            <v>8209512.6600000001</v>
          </cell>
          <cell r="F940"/>
          <cell r="G940">
            <v>17902.45</v>
          </cell>
        </row>
        <row r="941">
          <cell r="C941">
            <v>120322286085</v>
          </cell>
          <cell r="D941">
            <v>17927.12</v>
          </cell>
          <cell r="E941">
            <v>10179360.68</v>
          </cell>
          <cell r="F941"/>
          <cell r="G941">
            <v>17927.12</v>
          </cell>
        </row>
        <row r="942">
          <cell r="C942">
            <v>124325207622</v>
          </cell>
          <cell r="D942">
            <v>17927.12</v>
          </cell>
          <cell r="E942">
            <v>12644995.310000001</v>
          </cell>
          <cell r="F942"/>
          <cell r="G942">
            <v>17927.12</v>
          </cell>
        </row>
        <row r="943">
          <cell r="C943">
            <v>121202782409</v>
          </cell>
          <cell r="D943">
            <v>18024.55</v>
          </cell>
          <cell r="E943">
            <v>8642817.5800000001</v>
          </cell>
          <cell r="F943"/>
          <cell r="G943">
            <v>18024.55</v>
          </cell>
        </row>
        <row r="944">
          <cell r="C944">
            <v>120831160014</v>
          </cell>
          <cell r="D944">
            <v>18043.77</v>
          </cell>
          <cell r="E944">
            <v>8633332.5399999991</v>
          </cell>
          <cell r="F944"/>
          <cell r="G944">
            <v>18043.77</v>
          </cell>
        </row>
        <row r="945">
          <cell r="C945">
            <v>122736497970</v>
          </cell>
          <cell r="D945">
            <v>18043.77</v>
          </cell>
          <cell r="E945">
            <v>9830147.0099999998</v>
          </cell>
          <cell r="F945"/>
          <cell r="G945">
            <v>18043.77</v>
          </cell>
        </row>
        <row r="946">
          <cell r="C946">
            <v>123523677011</v>
          </cell>
          <cell r="D946">
            <v>18067.21</v>
          </cell>
          <cell r="E946">
            <v>8601776.4199999999</v>
          </cell>
          <cell r="F946"/>
          <cell r="G946">
            <v>18067.21</v>
          </cell>
        </row>
        <row r="947">
          <cell r="C947">
            <v>121801467810</v>
          </cell>
          <cell r="D947">
            <v>18095.990000000002</v>
          </cell>
          <cell r="E947">
            <v>10035690.279999999</v>
          </cell>
          <cell r="F947"/>
          <cell r="G947">
            <v>18095.990000000002</v>
          </cell>
        </row>
        <row r="948">
          <cell r="C948">
            <v>122656314564</v>
          </cell>
          <cell r="D948">
            <v>18121.98</v>
          </cell>
          <cell r="E948">
            <v>9368663.5700000003</v>
          </cell>
          <cell r="F948"/>
          <cell r="G948">
            <v>18121.98</v>
          </cell>
        </row>
        <row r="949">
          <cell r="C949">
            <v>122571384437</v>
          </cell>
          <cell r="D949">
            <v>18156.18</v>
          </cell>
          <cell r="E949">
            <v>5249533.7</v>
          </cell>
          <cell r="F949"/>
          <cell r="G949">
            <v>18156.18</v>
          </cell>
        </row>
        <row r="950">
          <cell r="C950">
            <v>121875877193</v>
          </cell>
          <cell r="D950">
            <v>18208.84</v>
          </cell>
          <cell r="E950">
            <v>4886437.09</v>
          </cell>
          <cell r="F950"/>
          <cell r="G950">
            <v>18208.84</v>
          </cell>
        </row>
        <row r="951">
          <cell r="C951">
            <v>120205063333</v>
          </cell>
          <cell r="D951">
            <v>18219.41</v>
          </cell>
          <cell r="E951">
            <v>7292372.3200000003</v>
          </cell>
          <cell r="F951"/>
          <cell r="G951">
            <v>18219.41</v>
          </cell>
        </row>
        <row r="952">
          <cell r="C952">
            <v>123557202914</v>
          </cell>
          <cell r="D952">
            <v>18219.41</v>
          </cell>
          <cell r="E952">
            <v>10285380.17</v>
          </cell>
          <cell r="F952"/>
          <cell r="G952">
            <v>18219.41</v>
          </cell>
        </row>
        <row r="953">
          <cell r="C953">
            <v>124205538276</v>
          </cell>
          <cell r="D953">
            <v>18219.41</v>
          </cell>
          <cell r="E953">
            <v>9531946.8399999999</v>
          </cell>
          <cell r="F953"/>
          <cell r="G953">
            <v>18219.41</v>
          </cell>
        </row>
        <row r="954">
          <cell r="C954">
            <v>122947710155</v>
          </cell>
          <cell r="D954">
            <v>18248.79</v>
          </cell>
          <cell r="E954">
            <v>8676788.9900000002</v>
          </cell>
          <cell r="F954"/>
          <cell r="G954">
            <v>18248.79</v>
          </cell>
        </row>
        <row r="955">
          <cell r="C955">
            <v>124314784612</v>
          </cell>
          <cell r="D955">
            <v>18302.7</v>
          </cell>
          <cell r="E955">
            <v>11275031.279999999</v>
          </cell>
          <cell r="F955"/>
          <cell r="G955">
            <v>18302.7</v>
          </cell>
        </row>
        <row r="956">
          <cell r="C956">
            <v>123780510643</v>
          </cell>
          <cell r="D956">
            <v>18302.7</v>
          </cell>
          <cell r="E956">
            <v>12154063.51</v>
          </cell>
          <cell r="F956"/>
          <cell r="G956">
            <v>18302.7</v>
          </cell>
        </row>
        <row r="957">
          <cell r="C957">
            <v>123402549505</v>
          </cell>
          <cell r="D957">
            <v>18315.87</v>
          </cell>
          <cell r="E957">
            <v>9502014.4199999999</v>
          </cell>
          <cell r="F957"/>
          <cell r="G957">
            <v>18315.87</v>
          </cell>
        </row>
        <row r="958">
          <cell r="C958">
            <v>120313509729</v>
          </cell>
          <cell r="D958">
            <v>18316.84</v>
          </cell>
          <cell r="E958">
            <v>8615288.7699999996</v>
          </cell>
          <cell r="F958"/>
          <cell r="G958">
            <v>18316.84</v>
          </cell>
        </row>
        <row r="959">
          <cell r="C959">
            <v>121608041168</v>
          </cell>
          <cell r="D959">
            <v>18316.84</v>
          </cell>
          <cell r="E959">
            <v>7101284.7999999998</v>
          </cell>
          <cell r="F959"/>
          <cell r="G959">
            <v>18316.84</v>
          </cell>
        </row>
        <row r="960">
          <cell r="C960">
            <v>123243588416</v>
          </cell>
          <cell r="D960">
            <v>18316.84</v>
          </cell>
          <cell r="E960">
            <v>5637256.0599999996</v>
          </cell>
          <cell r="F960"/>
          <cell r="G960">
            <v>18316.84</v>
          </cell>
        </row>
        <row r="961">
          <cell r="C961">
            <v>123782054875</v>
          </cell>
          <cell r="D961">
            <v>18414.27</v>
          </cell>
          <cell r="E961">
            <v>12324024.35</v>
          </cell>
          <cell r="F961"/>
          <cell r="G961">
            <v>18414.27</v>
          </cell>
        </row>
        <row r="962">
          <cell r="C962">
            <v>123483941258</v>
          </cell>
          <cell r="D962">
            <v>18490.419999999998</v>
          </cell>
          <cell r="E962">
            <v>8658540.1999999993</v>
          </cell>
          <cell r="F962"/>
          <cell r="G962">
            <v>18490.419999999998</v>
          </cell>
        </row>
        <row r="963">
          <cell r="C963">
            <v>123235626960</v>
          </cell>
          <cell r="D963">
            <v>18511.7</v>
          </cell>
          <cell r="E963">
            <v>4961418.82</v>
          </cell>
          <cell r="F963"/>
          <cell r="G963">
            <v>18511.7</v>
          </cell>
        </row>
        <row r="964">
          <cell r="C964">
            <v>121278424545</v>
          </cell>
          <cell r="D964">
            <v>18516.12</v>
          </cell>
          <cell r="E964">
            <v>9972240.2300000004</v>
          </cell>
          <cell r="F964"/>
          <cell r="G964">
            <v>18516.12</v>
          </cell>
        </row>
        <row r="965">
          <cell r="C965">
            <v>120838672326</v>
          </cell>
          <cell r="D965">
            <v>18609.13</v>
          </cell>
          <cell r="E965">
            <v>9654447.6999999993</v>
          </cell>
          <cell r="F965"/>
          <cell r="G965">
            <v>18609.13</v>
          </cell>
        </row>
        <row r="966">
          <cell r="C966">
            <v>121872624815</v>
          </cell>
          <cell r="D966">
            <v>18609.13</v>
          </cell>
          <cell r="E966">
            <v>4470685.22</v>
          </cell>
          <cell r="F966"/>
          <cell r="G966">
            <v>18609.13</v>
          </cell>
        </row>
        <row r="967">
          <cell r="C967">
            <v>124069422398</v>
          </cell>
          <cell r="D967">
            <v>18609.13</v>
          </cell>
          <cell r="E967">
            <v>9395848.9800000004</v>
          </cell>
          <cell r="F967"/>
          <cell r="G967">
            <v>18609.13</v>
          </cell>
        </row>
        <row r="968">
          <cell r="C968">
            <v>122656419058</v>
          </cell>
          <cell r="D968">
            <v>18705.060000000001</v>
          </cell>
          <cell r="E968">
            <v>9526624.6899999995</v>
          </cell>
          <cell r="F968"/>
          <cell r="G968">
            <v>18705.060000000001</v>
          </cell>
        </row>
        <row r="969">
          <cell r="C969">
            <v>121876867579</v>
          </cell>
          <cell r="D969">
            <v>18706.560000000001</v>
          </cell>
          <cell r="E969">
            <v>5135821.28</v>
          </cell>
          <cell r="F969"/>
          <cell r="G969">
            <v>18706.560000000001</v>
          </cell>
        </row>
        <row r="970">
          <cell r="C970">
            <v>124318643410</v>
          </cell>
          <cell r="D970">
            <v>18799.53</v>
          </cell>
          <cell r="E970">
            <v>11780996.210000001</v>
          </cell>
          <cell r="F970"/>
          <cell r="G970">
            <v>18799.53</v>
          </cell>
        </row>
        <row r="971">
          <cell r="C971">
            <v>120797690323</v>
          </cell>
          <cell r="D971">
            <v>18892.11</v>
          </cell>
          <cell r="E971">
            <v>7123232.5999999996</v>
          </cell>
          <cell r="F971"/>
          <cell r="G971">
            <v>18892.11</v>
          </cell>
        </row>
        <row r="972">
          <cell r="C972">
            <v>121675386297</v>
          </cell>
          <cell r="D972">
            <v>18892.11</v>
          </cell>
          <cell r="E972">
            <v>5579907.3899999997</v>
          </cell>
          <cell r="F972"/>
          <cell r="G972">
            <v>18892.11</v>
          </cell>
        </row>
        <row r="973">
          <cell r="C973">
            <v>122575496735</v>
          </cell>
          <cell r="D973">
            <v>18892.11</v>
          </cell>
          <cell r="E973">
            <v>5348291.7699999996</v>
          </cell>
          <cell r="F973"/>
          <cell r="G973">
            <v>18892.11</v>
          </cell>
        </row>
        <row r="974">
          <cell r="C974">
            <v>123111218266</v>
          </cell>
          <cell r="D974">
            <v>18892.11</v>
          </cell>
          <cell r="E974">
            <v>5411678.3099999996</v>
          </cell>
          <cell r="F974"/>
          <cell r="G974">
            <v>18892.11</v>
          </cell>
        </row>
        <row r="975">
          <cell r="C975">
            <v>123395452855</v>
          </cell>
          <cell r="D975">
            <v>18892.11</v>
          </cell>
          <cell r="E975">
            <v>8970623.3900000006</v>
          </cell>
          <cell r="F975"/>
          <cell r="G975">
            <v>18892.11</v>
          </cell>
        </row>
        <row r="976">
          <cell r="C976">
            <v>123940346254</v>
          </cell>
          <cell r="D976">
            <v>18892.11</v>
          </cell>
          <cell r="E976">
            <v>9356714.7400000002</v>
          </cell>
          <cell r="F976"/>
          <cell r="G976">
            <v>18892.11</v>
          </cell>
        </row>
        <row r="977">
          <cell r="C977">
            <v>122195589299</v>
          </cell>
          <cell r="D977">
            <v>18901.419999999998</v>
          </cell>
          <cell r="E977">
            <v>9610111.8800000008</v>
          </cell>
          <cell r="F977"/>
          <cell r="G977">
            <v>18901.419999999998</v>
          </cell>
        </row>
        <row r="978">
          <cell r="C978">
            <v>124065879016</v>
          </cell>
          <cell r="D978">
            <v>18901.419999999998</v>
          </cell>
          <cell r="E978">
            <v>8852485.4700000007</v>
          </cell>
          <cell r="F978"/>
          <cell r="G978">
            <v>18901.419999999998</v>
          </cell>
        </row>
        <row r="979">
          <cell r="C979">
            <v>123565070304</v>
          </cell>
          <cell r="D979">
            <v>18998.849999999999</v>
          </cell>
          <cell r="E979">
            <v>10515557.74</v>
          </cell>
          <cell r="F979"/>
          <cell r="G979">
            <v>18998.849999999999</v>
          </cell>
        </row>
        <row r="980">
          <cell r="C980">
            <v>121876606357</v>
          </cell>
          <cell r="D980">
            <v>19053.580000000002</v>
          </cell>
          <cell r="E980">
            <v>5079003.97</v>
          </cell>
          <cell r="F980"/>
          <cell r="G980">
            <v>19053.580000000002</v>
          </cell>
        </row>
        <row r="981">
          <cell r="C981">
            <v>124066291558</v>
          </cell>
          <cell r="D981">
            <v>19082.939999999999</v>
          </cell>
          <cell r="E981">
            <v>9015033.3399999999</v>
          </cell>
          <cell r="F981"/>
          <cell r="G981">
            <v>19082.939999999999</v>
          </cell>
        </row>
        <row r="982">
          <cell r="C982">
            <v>120065156081</v>
          </cell>
          <cell r="D982">
            <v>19096.28</v>
          </cell>
          <cell r="E982">
            <v>5096591.8099999996</v>
          </cell>
          <cell r="F982"/>
          <cell r="G982">
            <v>19096.28</v>
          </cell>
        </row>
        <row r="983">
          <cell r="C983">
            <v>120069469273</v>
          </cell>
          <cell r="D983">
            <v>19096.28</v>
          </cell>
          <cell r="E983">
            <v>5586928.9900000002</v>
          </cell>
          <cell r="F983"/>
          <cell r="G983">
            <v>19096.28</v>
          </cell>
        </row>
        <row r="984">
          <cell r="C984">
            <v>122540230376</v>
          </cell>
          <cell r="D984">
            <v>19096.28</v>
          </cell>
          <cell r="E984">
            <v>7411179.7300000004</v>
          </cell>
          <cell r="F984"/>
          <cell r="G984">
            <v>19096.28</v>
          </cell>
        </row>
        <row r="985">
          <cell r="C985">
            <v>120919168666</v>
          </cell>
          <cell r="D985">
            <v>19271.88</v>
          </cell>
          <cell r="E985">
            <v>10940603.9</v>
          </cell>
          <cell r="F985"/>
          <cell r="G985">
            <v>19271.88</v>
          </cell>
        </row>
        <row r="986">
          <cell r="C986">
            <v>124208048788</v>
          </cell>
          <cell r="D986">
            <v>19291.14</v>
          </cell>
          <cell r="E986">
            <v>10055630.26</v>
          </cell>
          <cell r="F986"/>
          <cell r="G986">
            <v>19291.14</v>
          </cell>
        </row>
        <row r="987">
          <cell r="C987">
            <v>123389489065</v>
          </cell>
          <cell r="D987">
            <v>19387.599999999999</v>
          </cell>
          <cell r="E987">
            <v>8898439.1199999992</v>
          </cell>
          <cell r="F987"/>
          <cell r="G987">
            <v>19387.599999999999</v>
          </cell>
        </row>
        <row r="988">
          <cell r="C988">
            <v>123665755111</v>
          </cell>
          <cell r="D988">
            <v>19429.02</v>
          </cell>
          <cell r="E988">
            <v>9915890</v>
          </cell>
          <cell r="F988"/>
          <cell r="G988">
            <v>19429.02</v>
          </cell>
        </row>
        <row r="989">
          <cell r="C989">
            <v>120781897133</v>
          </cell>
          <cell r="D989">
            <v>19484.05</v>
          </cell>
          <cell r="E989">
            <v>6608999.1600000001</v>
          </cell>
          <cell r="F989"/>
          <cell r="G989">
            <v>19484.05</v>
          </cell>
        </row>
        <row r="990">
          <cell r="C990">
            <v>121670323027</v>
          </cell>
          <cell r="D990">
            <v>19484.05</v>
          </cell>
          <cell r="E990">
            <v>5356323.55</v>
          </cell>
          <cell r="F990"/>
          <cell r="G990">
            <v>19484.05</v>
          </cell>
        </row>
        <row r="991">
          <cell r="C991">
            <v>122199583934</v>
          </cell>
          <cell r="D991">
            <v>19485.03</v>
          </cell>
          <cell r="E991">
            <v>5445197.6799999997</v>
          </cell>
          <cell r="F991"/>
          <cell r="G991">
            <v>19485.03</v>
          </cell>
        </row>
        <row r="992">
          <cell r="C992">
            <v>123939218972</v>
          </cell>
          <cell r="D992">
            <v>19485.03</v>
          </cell>
          <cell r="E992">
            <v>9108029.6600000001</v>
          </cell>
          <cell r="F992"/>
          <cell r="G992">
            <v>19485.03</v>
          </cell>
        </row>
        <row r="993">
          <cell r="C993">
            <v>124317326380</v>
          </cell>
          <cell r="D993">
            <v>19486</v>
          </cell>
          <cell r="E993">
            <v>11488704.35</v>
          </cell>
          <cell r="F993"/>
          <cell r="G993">
            <v>19486</v>
          </cell>
        </row>
        <row r="994">
          <cell r="C994">
            <v>121726657438</v>
          </cell>
          <cell r="D994">
            <v>19583.43</v>
          </cell>
          <cell r="E994">
            <v>8967018.0099999998</v>
          </cell>
          <cell r="F994"/>
          <cell r="G994">
            <v>19583.43</v>
          </cell>
        </row>
        <row r="995">
          <cell r="C995">
            <v>122825135563</v>
          </cell>
          <cell r="D995">
            <v>19649.759999999998</v>
          </cell>
          <cell r="E995">
            <v>6145200.7000000002</v>
          </cell>
          <cell r="F995"/>
          <cell r="G995">
            <v>19649.759999999998</v>
          </cell>
        </row>
        <row r="996">
          <cell r="C996">
            <v>122123592659</v>
          </cell>
          <cell r="D996">
            <v>19680.86</v>
          </cell>
          <cell r="E996">
            <v>8910974.2899999991</v>
          </cell>
          <cell r="F996"/>
          <cell r="G996">
            <v>19680.86</v>
          </cell>
        </row>
        <row r="997">
          <cell r="C997">
            <v>120940592445</v>
          </cell>
          <cell r="D997">
            <v>19837.849999999999</v>
          </cell>
          <cell r="E997">
            <v>8171844.04</v>
          </cell>
          <cell r="F997"/>
          <cell r="G997">
            <v>19837.849999999999</v>
          </cell>
        </row>
        <row r="998">
          <cell r="C998">
            <v>121674224649</v>
          </cell>
          <cell r="D998">
            <v>19838.7</v>
          </cell>
          <cell r="E998">
            <v>5465036.3799999999</v>
          </cell>
          <cell r="F998"/>
          <cell r="G998">
            <v>19838.7</v>
          </cell>
        </row>
        <row r="999">
          <cell r="C999">
            <v>121458315792</v>
          </cell>
          <cell r="D999">
            <v>19875.72</v>
          </cell>
          <cell r="E999">
            <v>7838451.9199999999</v>
          </cell>
          <cell r="F999"/>
          <cell r="G999">
            <v>19875.72</v>
          </cell>
        </row>
        <row r="1000">
          <cell r="C1000">
            <v>121197161523</v>
          </cell>
          <cell r="D1000">
            <v>19875.72</v>
          </cell>
          <cell r="E1000">
            <v>8003265.2400000002</v>
          </cell>
          <cell r="F1000"/>
          <cell r="G1000">
            <v>19875.72</v>
          </cell>
        </row>
        <row r="1001">
          <cell r="C1001">
            <v>120206447329</v>
          </cell>
          <cell r="D1001">
            <v>19973.150000000001</v>
          </cell>
          <cell r="E1001">
            <v>7557654.4000000004</v>
          </cell>
          <cell r="F1001"/>
          <cell r="G1001">
            <v>19973.150000000001</v>
          </cell>
        </row>
        <row r="1002">
          <cell r="C1002">
            <v>121280050581</v>
          </cell>
          <cell r="D1002">
            <v>19973.150000000001</v>
          </cell>
          <cell r="E1002">
            <v>10069191.140000001</v>
          </cell>
          <cell r="F1002"/>
          <cell r="G1002">
            <v>19973.150000000001</v>
          </cell>
        </row>
        <row r="1003">
          <cell r="C1003">
            <v>120064396085</v>
          </cell>
          <cell r="D1003">
            <v>20070.580000000002</v>
          </cell>
          <cell r="E1003">
            <v>4895886.01</v>
          </cell>
          <cell r="F1003"/>
          <cell r="G1003">
            <v>20070.580000000002</v>
          </cell>
        </row>
        <row r="1004">
          <cell r="C1004">
            <v>121197375803</v>
          </cell>
          <cell r="D1004">
            <v>20070.580000000002</v>
          </cell>
          <cell r="E1004">
            <v>8025332.9800000004</v>
          </cell>
          <cell r="F1004"/>
          <cell r="G1004">
            <v>20070.580000000002</v>
          </cell>
        </row>
        <row r="1005">
          <cell r="C1005">
            <v>121205565107</v>
          </cell>
          <cell r="D1005">
            <v>20070.580000000002</v>
          </cell>
          <cell r="E1005">
            <v>9252199.8699999992</v>
          </cell>
          <cell r="F1005"/>
          <cell r="G1005">
            <v>20070.580000000002</v>
          </cell>
        </row>
        <row r="1006">
          <cell r="C1006">
            <v>122687179403</v>
          </cell>
          <cell r="D1006">
            <v>20122.11</v>
          </cell>
          <cell r="E1006">
            <v>4775609.8499999996</v>
          </cell>
          <cell r="F1006"/>
          <cell r="G1006">
            <v>20122.11</v>
          </cell>
        </row>
        <row r="1007">
          <cell r="C1007">
            <v>123529281061</v>
          </cell>
          <cell r="D1007">
            <v>20168.009999999998</v>
          </cell>
          <cell r="E1007">
            <v>9513044.0800000001</v>
          </cell>
          <cell r="F1007"/>
          <cell r="G1007">
            <v>20168.009999999998</v>
          </cell>
        </row>
        <row r="1008">
          <cell r="C1008">
            <v>120939906513</v>
          </cell>
          <cell r="D1008">
            <v>20265.439999999999</v>
          </cell>
          <cell r="E1008">
            <v>8078894.4299999997</v>
          </cell>
          <cell r="F1008"/>
          <cell r="G1008">
            <v>20265.439999999999</v>
          </cell>
        </row>
        <row r="1009">
          <cell r="C1009">
            <v>122397414088</v>
          </cell>
          <cell r="D1009">
            <v>20405.52</v>
          </cell>
          <cell r="E1009">
            <v>4270736.7300000004</v>
          </cell>
          <cell r="F1009"/>
          <cell r="G1009">
            <v>20405.52</v>
          </cell>
        </row>
        <row r="1010">
          <cell r="C1010">
            <v>120838114742</v>
          </cell>
          <cell r="D1010">
            <v>20460.3</v>
          </cell>
          <cell r="E1010">
            <v>9582118.0700000003</v>
          </cell>
          <cell r="F1010"/>
          <cell r="G1010">
            <v>20460.3</v>
          </cell>
        </row>
        <row r="1011">
          <cell r="C1011">
            <v>122102687133</v>
          </cell>
          <cell r="D1011">
            <v>20460.3</v>
          </cell>
          <cell r="E1011">
            <v>7512840.4000000004</v>
          </cell>
          <cell r="F1011"/>
          <cell r="G1011">
            <v>20460.3</v>
          </cell>
        </row>
        <row r="1012">
          <cell r="C1012">
            <v>122125028681</v>
          </cell>
          <cell r="D1012">
            <v>20460.3</v>
          </cell>
          <cell r="E1012">
            <v>9336211.3900000006</v>
          </cell>
          <cell r="F1012"/>
          <cell r="G1012">
            <v>20460.3</v>
          </cell>
        </row>
        <row r="1013">
          <cell r="C1013">
            <v>123669063057</v>
          </cell>
          <cell r="D1013">
            <v>20460.3</v>
          </cell>
          <cell r="E1013">
            <v>10801853.84</v>
          </cell>
          <cell r="F1013"/>
          <cell r="G1013">
            <v>20460.3</v>
          </cell>
        </row>
        <row r="1014">
          <cell r="C1014">
            <v>123855299727</v>
          </cell>
          <cell r="D1014">
            <v>20594.46</v>
          </cell>
          <cell r="E1014">
            <v>12793313.949999999</v>
          </cell>
          <cell r="F1014"/>
          <cell r="G1014">
            <v>20594.46</v>
          </cell>
        </row>
        <row r="1015">
          <cell r="C1015">
            <v>121087510687</v>
          </cell>
          <cell r="D1015">
            <v>20655.16</v>
          </cell>
          <cell r="E1015">
            <v>7245096.3099999996</v>
          </cell>
          <cell r="F1015"/>
          <cell r="G1015">
            <v>20655.16</v>
          </cell>
        </row>
        <row r="1016">
          <cell r="C1016">
            <v>121203854299</v>
          </cell>
          <cell r="D1016">
            <v>20655.16</v>
          </cell>
          <cell r="E1016">
            <v>8859747.5800000001</v>
          </cell>
          <cell r="F1016"/>
          <cell r="G1016">
            <v>20655.16</v>
          </cell>
        </row>
        <row r="1017">
          <cell r="C1017">
            <v>122641891148</v>
          </cell>
          <cell r="D1017">
            <v>20655.16</v>
          </cell>
          <cell r="E1017">
            <v>7833181.4299999997</v>
          </cell>
          <cell r="F1017"/>
          <cell r="G1017">
            <v>20655.16</v>
          </cell>
        </row>
        <row r="1018">
          <cell r="C1018">
            <v>120068898175</v>
          </cell>
          <cell r="D1018">
            <v>20752.59</v>
          </cell>
          <cell r="E1018">
            <v>5499634.7999999998</v>
          </cell>
          <cell r="F1018"/>
          <cell r="G1018">
            <v>20752.59</v>
          </cell>
        </row>
        <row r="1019">
          <cell r="C1019">
            <v>122947346715</v>
          </cell>
          <cell r="D1019">
            <v>20836.919999999998</v>
          </cell>
          <cell r="E1019">
            <v>8630988.7899999991</v>
          </cell>
          <cell r="F1019"/>
          <cell r="G1019">
            <v>20836.919999999998</v>
          </cell>
        </row>
        <row r="1020">
          <cell r="C1020">
            <v>120322334957</v>
          </cell>
          <cell r="D1020">
            <v>20947.45</v>
          </cell>
          <cell r="E1020">
            <v>10161433.560000001</v>
          </cell>
          <cell r="F1020"/>
          <cell r="G1020">
            <v>20947.45</v>
          </cell>
        </row>
        <row r="1021">
          <cell r="C1021">
            <v>124071067646</v>
          </cell>
          <cell r="D1021">
            <v>20947.45</v>
          </cell>
          <cell r="E1021">
            <v>9588937.5700000003</v>
          </cell>
          <cell r="F1021"/>
          <cell r="G1021">
            <v>20947.45</v>
          </cell>
        </row>
        <row r="1022">
          <cell r="C1022">
            <v>123561354314</v>
          </cell>
          <cell r="D1022">
            <v>20972.34</v>
          </cell>
          <cell r="E1022">
            <v>10408399.029999999</v>
          </cell>
          <cell r="F1022"/>
          <cell r="G1022">
            <v>20972.34</v>
          </cell>
        </row>
        <row r="1023">
          <cell r="C1023">
            <v>122214376292</v>
          </cell>
          <cell r="D1023">
            <v>21066.81</v>
          </cell>
          <cell r="E1023">
            <v>6028524.8300000001</v>
          </cell>
          <cell r="F1023"/>
          <cell r="G1023">
            <v>21066.81</v>
          </cell>
        </row>
        <row r="1024">
          <cell r="C1024">
            <v>120583826852</v>
          </cell>
          <cell r="D1024">
            <v>21142.31</v>
          </cell>
          <cell r="E1024">
            <v>5408342.8899999997</v>
          </cell>
          <cell r="F1024"/>
          <cell r="G1024">
            <v>21142.31</v>
          </cell>
        </row>
        <row r="1025">
          <cell r="C1025">
            <v>120064226357</v>
          </cell>
          <cell r="D1025">
            <v>21161.279999999999</v>
          </cell>
          <cell r="E1025">
            <v>4815311.4000000004</v>
          </cell>
          <cell r="F1025"/>
          <cell r="G1025">
            <v>21161.279999999999</v>
          </cell>
        </row>
        <row r="1026">
          <cell r="C1026">
            <v>122123599045</v>
          </cell>
          <cell r="D1026">
            <v>21239.74</v>
          </cell>
          <cell r="E1026">
            <v>8939960.5700000003</v>
          </cell>
          <cell r="F1026"/>
          <cell r="G1026">
            <v>21239.74</v>
          </cell>
        </row>
        <row r="1027">
          <cell r="C1027">
            <v>121609522154</v>
          </cell>
          <cell r="D1027">
            <v>21244.86</v>
          </cell>
          <cell r="E1027">
            <v>7303169.71</v>
          </cell>
          <cell r="F1027"/>
          <cell r="G1027">
            <v>21244.86</v>
          </cell>
        </row>
        <row r="1028">
          <cell r="C1028">
            <v>120789269445</v>
          </cell>
          <cell r="D1028">
            <v>21255.75</v>
          </cell>
          <cell r="E1028">
            <v>6683138.7999999998</v>
          </cell>
          <cell r="F1028"/>
          <cell r="G1028">
            <v>21255.75</v>
          </cell>
        </row>
        <row r="1029">
          <cell r="C1029">
            <v>123364877930</v>
          </cell>
          <cell r="D1029">
            <v>21400.080000000002</v>
          </cell>
          <cell r="E1029">
            <v>6227097.3399999999</v>
          </cell>
          <cell r="F1029"/>
          <cell r="G1029">
            <v>21400.080000000002</v>
          </cell>
        </row>
        <row r="1030">
          <cell r="C1030">
            <v>120719842940</v>
          </cell>
          <cell r="D1030">
            <v>21434.6</v>
          </cell>
          <cell r="E1030">
            <v>7029022.3399999999</v>
          </cell>
          <cell r="F1030"/>
          <cell r="G1030">
            <v>21434.6</v>
          </cell>
        </row>
        <row r="1031">
          <cell r="C1031">
            <v>121198605521</v>
          </cell>
          <cell r="D1031">
            <v>21434.6</v>
          </cell>
          <cell r="E1031">
            <v>8170914.5099999998</v>
          </cell>
          <cell r="F1031"/>
          <cell r="G1031">
            <v>21434.6</v>
          </cell>
        </row>
        <row r="1032">
          <cell r="C1032">
            <v>121448641958</v>
          </cell>
          <cell r="D1032">
            <v>21532.03</v>
          </cell>
          <cell r="E1032">
            <v>7186999.0800000001</v>
          </cell>
          <cell r="F1032"/>
          <cell r="G1032">
            <v>21532.03</v>
          </cell>
        </row>
        <row r="1033">
          <cell r="C1033">
            <v>121206468295</v>
          </cell>
          <cell r="D1033">
            <v>21532.03</v>
          </cell>
          <cell r="E1033">
            <v>9540205.4100000001</v>
          </cell>
          <cell r="F1033"/>
          <cell r="G1033">
            <v>21532.03</v>
          </cell>
        </row>
        <row r="1034">
          <cell r="C1034">
            <v>122413329824</v>
          </cell>
          <cell r="D1034">
            <v>21532.03</v>
          </cell>
          <cell r="E1034">
            <v>5979110.2699999996</v>
          </cell>
          <cell r="F1034"/>
          <cell r="G1034">
            <v>21532.03</v>
          </cell>
        </row>
        <row r="1035">
          <cell r="C1035">
            <v>123481985602</v>
          </cell>
          <cell r="D1035">
            <v>21539.16</v>
          </cell>
          <cell r="E1035">
            <v>8545335.6199999992</v>
          </cell>
          <cell r="F1035"/>
          <cell r="G1035">
            <v>21539.16</v>
          </cell>
        </row>
        <row r="1036">
          <cell r="C1036">
            <v>124316359592</v>
          </cell>
          <cell r="D1036">
            <v>21579.71</v>
          </cell>
          <cell r="E1036">
            <v>11423027.689999999</v>
          </cell>
          <cell r="F1036"/>
          <cell r="G1036">
            <v>21579.71</v>
          </cell>
        </row>
        <row r="1037">
          <cell r="C1037">
            <v>121609035740</v>
          </cell>
          <cell r="D1037">
            <v>21629.46</v>
          </cell>
          <cell r="E1037">
            <v>7200734.6100000003</v>
          </cell>
          <cell r="F1037"/>
          <cell r="G1037">
            <v>21629.46</v>
          </cell>
        </row>
        <row r="1038">
          <cell r="C1038">
            <v>123366777134</v>
          </cell>
          <cell r="D1038">
            <v>21633.63</v>
          </cell>
          <cell r="E1038">
            <v>6252892.0800000001</v>
          </cell>
          <cell r="F1038"/>
          <cell r="G1038">
            <v>21633.63</v>
          </cell>
        </row>
        <row r="1039">
          <cell r="C1039">
            <v>124314653658</v>
          </cell>
          <cell r="D1039">
            <v>21633.63</v>
          </cell>
          <cell r="E1039">
            <v>11256728.58</v>
          </cell>
          <cell r="F1039"/>
          <cell r="G1039">
            <v>21633.63</v>
          </cell>
        </row>
        <row r="1040">
          <cell r="C1040">
            <v>122637402332</v>
          </cell>
          <cell r="D1040">
            <v>21726.89</v>
          </cell>
          <cell r="E1040">
            <v>7581026.5499999998</v>
          </cell>
          <cell r="F1040"/>
          <cell r="G1040">
            <v>21726.89</v>
          </cell>
        </row>
        <row r="1041">
          <cell r="C1041">
            <v>120723004282</v>
          </cell>
          <cell r="D1041">
            <v>21917.040000000001</v>
          </cell>
          <cell r="E1041">
            <v>7521752.8899999997</v>
          </cell>
          <cell r="F1041"/>
          <cell r="G1041">
            <v>21917.040000000001</v>
          </cell>
        </row>
        <row r="1042">
          <cell r="C1042">
            <v>121593019976</v>
          </cell>
          <cell r="D1042">
            <v>21917.040000000001</v>
          </cell>
          <cell r="E1042">
            <v>5913923.8700000001</v>
          </cell>
          <cell r="F1042"/>
          <cell r="G1042">
            <v>21917.040000000001</v>
          </cell>
        </row>
        <row r="1043">
          <cell r="C1043">
            <v>124312626826</v>
          </cell>
          <cell r="D1043">
            <v>21917.040000000001</v>
          </cell>
          <cell r="E1043">
            <v>11197486.970000001</v>
          </cell>
          <cell r="F1043"/>
          <cell r="G1043">
            <v>21917.040000000001</v>
          </cell>
        </row>
        <row r="1044">
          <cell r="C1044">
            <v>121280633541</v>
          </cell>
          <cell r="D1044">
            <v>22019.18</v>
          </cell>
          <cell r="E1044">
            <v>10100021.73</v>
          </cell>
          <cell r="F1044"/>
          <cell r="G1044">
            <v>22019.18</v>
          </cell>
        </row>
        <row r="1045">
          <cell r="C1045">
            <v>121868432563</v>
          </cell>
          <cell r="D1045">
            <v>22105.98</v>
          </cell>
          <cell r="E1045">
            <v>4357241.76</v>
          </cell>
          <cell r="F1045"/>
          <cell r="G1045">
            <v>22105.98</v>
          </cell>
        </row>
        <row r="1046">
          <cell r="C1046">
            <v>124389151042</v>
          </cell>
          <cell r="D1046">
            <v>22105.98</v>
          </cell>
          <cell r="E1046">
            <v>12721137.67</v>
          </cell>
          <cell r="F1046"/>
          <cell r="G1046">
            <v>22105.98</v>
          </cell>
        </row>
        <row r="1047">
          <cell r="C1047">
            <v>121083273209</v>
          </cell>
          <cell r="D1047">
            <v>22152.76</v>
          </cell>
          <cell r="E1047">
            <v>6634750.3499999996</v>
          </cell>
          <cell r="F1047"/>
          <cell r="G1047">
            <v>22152.76</v>
          </cell>
        </row>
        <row r="1048">
          <cell r="C1048">
            <v>123487108880</v>
          </cell>
          <cell r="D1048">
            <v>22214.04</v>
          </cell>
          <cell r="E1048">
            <v>9126423.1600000001</v>
          </cell>
          <cell r="F1048"/>
          <cell r="G1048">
            <v>22214.04</v>
          </cell>
        </row>
        <row r="1049">
          <cell r="C1049">
            <v>120824881860</v>
          </cell>
          <cell r="D1049">
            <v>22603.759999999998</v>
          </cell>
          <cell r="E1049">
            <v>8249886.4100000001</v>
          </cell>
          <cell r="F1049"/>
          <cell r="G1049">
            <v>22603.759999999998</v>
          </cell>
        </row>
        <row r="1050">
          <cell r="C1050">
            <v>121727916288</v>
          </cell>
          <cell r="D1050">
            <v>22603.759999999998</v>
          </cell>
          <cell r="E1050">
            <v>9232129.2899999991</v>
          </cell>
          <cell r="F1050"/>
          <cell r="G1050">
            <v>22603.759999999998</v>
          </cell>
        </row>
        <row r="1051">
          <cell r="C1051">
            <v>120797011229</v>
          </cell>
          <cell r="D1051">
            <v>22739.01</v>
          </cell>
          <cell r="E1051">
            <v>7058102.8099999996</v>
          </cell>
          <cell r="F1051"/>
          <cell r="G1051">
            <v>22739.01</v>
          </cell>
        </row>
        <row r="1052">
          <cell r="C1052">
            <v>122541803110</v>
          </cell>
          <cell r="D1052">
            <v>22748.76</v>
          </cell>
          <cell r="E1052">
            <v>7727841.7300000004</v>
          </cell>
          <cell r="F1052"/>
          <cell r="G1052">
            <v>22748.76</v>
          </cell>
        </row>
        <row r="1053">
          <cell r="C1053">
            <v>123530366053</v>
          </cell>
          <cell r="D1053">
            <v>22798.62</v>
          </cell>
          <cell r="E1053">
            <v>9567990.1199999992</v>
          </cell>
          <cell r="F1053"/>
          <cell r="G1053">
            <v>22798.62</v>
          </cell>
        </row>
        <row r="1054">
          <cell r="C1054">
            <v>121319175264</v>
          </cell>
          <cell r="D1054">
            <v>22806.1</v>
          </cell>
          <cell r="E1054">
            <v>7220194.0800000001</v>
          </cell>
          <cell r="F1054"/>
          <cell r="G1054">
            <v>22806.1</v>
          </cell>
        </row>
        <row r="1055">
          <cell r="C1055">
            <v>123783600417</v>
          </cell>
          <cell r="D1055">
            <v>22956.21</v>
          </cell>
          <cell r="E1055">
            <v>12667951.52</v>
          </cell>
          <cell r="F1055"/>
          <cell r="G1055">
            <v>22956.21</v>
          </cell>
        </row>
        <row r="1056">
          <cell r="C1056">
            <v>122727993778</v>
          </cell>
          <cell r="D1056">
            <v>22969.87</v>
          </cell>
          <cell r="E1056">
            <v>9634031.3800000008</v>
          </cell>
          <cell r="F1056"/>
          <cell r="G1056">
            <v>22969.87</v>
          </cell>
        </row>
        <row r="1057">
          <cell r="C1057">
            <v>123557578854</v>
          </cell>
          <cell r="D1057">
            <v>22993.48</v>
          </cell>
          <cell r="E1057">
            <v>10308373.65</v>
          </cell>
          <cell r="F1057"/>
          <cell r="G1057">
            <v>22993.48</v>
          </cell>
        </row>
        <row r="1058">
          <cell r="C1058">
            <v>122627101716</v>
          </cell>
          <cell r="D1058">
            <v>23050.68</v>
          </cell>
          <cell r="E1058">
            <v>7444446.79</v>
          </cell>
          <cell r="F1058"/>
          <cell r="G1058">
            <v>23050.68</v>
          </cell>
        </row>
        <row r="1059">
          <cell r="C1059">
            <v>121461367354</v>
          </cell>
          <cell r="D1059">
            <v>23090.91</v>
          </cell>
          <cell r="E1059">
            <v>8143822.0700000003</v>
          </cell>
          <cell r="F1059"/>
          <cell r="G1059">
            <v>23090.91</v>
          </cell>
        </row>
        <row r="1060">
          <cell r="C1060">
            <v>123473544976</v>
          </cell>
          <cell r="D1060">
            <v>23090.91</v>
          </cell>
          <cell r="E1060">
            <v>8322019.4900000002</v>
          </cell>
          <cell r="F1060"/>
          <cell r="G1060">
            <v>23090.91</v>
          </cell>
        </row>
        <row r="1061">
          <cell r="C1061">
            <v>123648569155</v>
          </cell>
          <cell r="D1061">
            <v>23145.15</v>
          </cell>
          <cell r="E1061">
            <v>8524356.6099999994</v>
          </cell>
          <cell r="F1061"/>
          <cell r="G1061">
            <v>23145.15</v>
          </cell>
        </row>
        <row r="1062">
          <cell r="C1062">
            <v>121873593569</v>
          </cell>
          <cell r="D1062">
            <v>23188.34</v>
          </cell>
          <cell r="E1062">
            <v>4612417.18</v>
          </cell>
          <cell r="F1062"/>
          <cell r="G1062">
            <v>23188.34</v>
          </cell>
        </row>
        <row r="1063">
          <cell r="C1063">
            <v>124199888976</v>
          </cell>
          <cell r="D1063">
            <v>23285.77</v>
          </cell>
          <cell r="E1063">
            <v>8925143.6500000004</v>
          </cell>
          <cell r="F1063"/>
          <cell r="G1063">
            <v>23285.77</v>
          </cell>
        </row>
        <row r="1064">
          <cell r="C1064">
            <v>123099583560</v>
          </cell>
          <cell r="D1064">
            <v>23383.200000000001</v>
          </cell>
          <cell r="E1064">
            <v>5231377.5199999996</v>
          </cell>
          <cell r="F1064"/>
          <cell r="G1064">
            <v>23383.200000000001</v>
          </cell>
        </row>
        <row r="1065">
          <cell r="C1065">
            <v>122927067847</v>
          </cell>
          <cell r="D1065">
            <v>23578.06</v>
          </cell>
          <cell r="E1065">
            <v>8196796.8399999999</v>
          </cell>
          <cell r="F1065"/>
          <cell r="G1065">
            <v>23578.06</v>
          </cell>
        </row>
        <row r="1066">
          <cell r="C1066">
            <v>122952816707</v>
          </cell>
          <cell r="D1066">
            <v>23675.49</v>
          </cell>
          <cell r="E1066">
            <v>9656795.3599999994</v>
          </cell>
          <cell r="F1066"/>
          <cell r="G1066">
            <v>23675.49</v>
          </cell>
        </row>
        <row r="1067">
          <cell r="C1067">
            <v>120713422494</v>
          </cell>
          <cell r="D1067">
            <v>23711.97</v>
          </cell>
          <cell r="E1067">
            <v>6051247.1699999999</v>
          </cell>
          <cell r="F1067"/>
          <cell r="G1067">
            <v>23711.97</v>
          </cell>
        </row>
        <row r="1068">
          <cell r="C1068">
            <v>123114155178</v>
          </cell>
          <cell r="D1068">
            <v>23772.92</v>
          </cell>
          <cell r="E1068">
            <v>5735754.2599999998</v>
          </cell>
          <cell r="F1068"/>
          <cell r="G1068">
            <v>23772.92</v>
          </cell>
        </row>
        <row r="1069">
          <cell r="C1069">
            <v>124316178232</v>
          </cell>
          <cell r="D1069">
            <v>23870.35</v>
          </cell>
          <cell r="E1069">
            <v>11339145.85</v>
          </cell>
          <cell r="F1069"/>
          <cell r="G1069">
            <v>23870.35</v>
          </cell>
        </row>
        <row r="1070">
          <cell r="C1070">
            <v>122844070901</v>
          </cell>
          <cell r="D1070">
            <v>23900.91</v>
          </cell>
          <cell r="E1070">
            <v>7873214.1399999997</v>
          </cell>
          <cell r="F1070"/>
          <cell r="G1070">
            <v>23900.91</v>
          </cell>
        </row>
        <row r="1071">
          <cell r="C1071">
            <v>122001616059</v>
          </cell>
          <cell r="D1071">
            <v>24260.07</v>
          </cell>
          <cell r="E1071">
            <v>6302674.3399999999</v>
          </cell>
          <cell r="F1071"/>
          <cell r="G1071">
            <v>24260.07</v>
          </cell>
        </row>
        <row r="1072">
          <cell r="C1072">
            <v>123942574772</v>
          </cell>
          <cell r="D1072">
            <v>24260.07</v>
          </cell>
          <cell r="E1072">
            <v>9526274.4900000002</v>
          </cell>
          <cell r="F1072"/>
          <cell r="G1072">
            <v>24260.07</v>
          </cell>
        </row>
        <row r="1073">
          <cell r="C1073">
            <v>121455353496</v>
          </cell>
          <cell r="D1073">
            <v>24278.79</v>
          </cell>
          <cell r="E1073">
            <v>7394486.5700000003</v>
          </cell>
          <cell r="F1073"/>
          <cell r="G1073">
            <v>24278.79</v>
          </cell>
        </row>
        <row r="1074">
          <cell r="C1074">
            <v>120908505576</v>
          </cell>
          <cell r="D1074">
            <v>24357.5</v>
          </cell>
          <cell r="E1074">
            <v>10292404.17</v>
          </cell>
          <cell r="F1074"/>
          <cell r="G1074">
            <v>24357.5</v>
          </cell>
        </row>
        <row r="1075">
          <cell r="C1075">
            <v>121460607538</v>
          </cell>
          <cell r="D1075">
            <v>24357.5</v>
          </cell>
          <cell r="E1075">
            <v>8004263.0499999998</v>
          </cell>
          <cell r="F1075"/>
          <cell r="G1075">
            <v>24357.5</v>
          </cell>
        </row>
        <row r="1076">
          <cell r="C1076">
            <v>121085934805</v>
          </cell>
          <cell r="D1076">
            <v>24656.67</v>
          </cell>
          <cell r="E1076">
            <v>7047526.0899999999</v>
          </cell>
          <cell r="F1076"/>
          <cell r="G1076">
            <v>24656.67</v>
          </cell>
        </row>
        <row r="1077">
          <cell r="C1077">
            <v>122112423837</v>
          </cell>
          <cell r="D1077">
            <v>24844.65</v>
          </cell>
          <cell r="E1077">
            <v>7873681.7999999998</v>
          </cell>
          <cell r="F1077"/>
          <cell r="G1077">
            <v>24844.65</v>
          </cell>
        </row>
        <row r="1078">
          <cell r="C1078">
            <v>122845264611</v>
          </cell>
          <cell r="D1078">
            <v>24844.65</v>
          </cell>
          <cell r="E1078">
            <v>8055760.0700000003</v>
          </cell>
          <cell r="F1078"/>
          <cell r="G1078">
            <v>24844.65</v>
          </cell>
        </row>
        <row r="1079">
          <cell r="C1079">
            <v>123473062704</v>
          </cell>
          <cell r="D1079">
            <v>24845.61</v>
          </cell>
          <cell r="E1079">
            <v>8285230.4299999997</v>
          </cell>
          <cell r="F1079"/>
          <cell r="G1079">
            <v>24845.61</v>
          </cell>
        </row>
        <row r="1080">
          <cell r="C1080">
            <v>121066318055</v>
          </cell>
          <cell r="D1080">
            <v>24940.080000000002</v>
          </cell>
          <cell r="E1080">
            <v>5820654.0499999998</v>
          </cell>
          <cell r="F1080"/>
          <cell r="G1080">
            <v>24940.080000000002</v>
          </cell>
        </row>
        <row r="1081">
          <cell r="C1081">
            <v>121318283270</v>
          </cell>
          <cell r="D1081">
            <v>24967.25</v>
          </cell>
          <cell r="E1081">
            <v>7148199.8499999996</v>
          </cell>
          <cell r="F1081"/>
          <cell r="G1081">
            <v>24967.25</v>
          </cell>
        </row>
        <row r="1082">
          <cell r="C1082">
            <v>120319092367</v>
          </cell>
          <cell r="D1082">
            <v>25039.51</v>
          </cell>
          <cell r="E1082">
            <v>9233553.4700000007</v>
          </cell>
          <cell r="F1082"/>
          <cell r="G1082">
            <v>25039.51</v>
          </cell>
        </row>
        <row r="1083">
          <cell r="C1083">
            <v>123939268720</v>
          </cell>
          <cell r="D1083">
            <v>25063.43</v>
          </cell>
          <cell r="E1083">
            <v>9133093.0899999999</v>
          </cell>
          <cell r="F1083"/>
          <cell r="G1083">
            <v>25063.43</v>
          </cell>
        </row>
        <row r="1084">
          <cell r="C1084">
            <v>120204631251</v>
          </cell>
          <cell r="D1084">
            <v>25136.94</v>
          </cell>
          <cell r="E1084">
            <v>7203083.1299999999</v>
          </cell>
          <cell r="F1084"/>
          <cell r="G1084">
            <v>25136.94</v>
          </cell>
        </row>
        <row r="1085">
          <cell r="C1085">
            <v>120811643988</v>
          </cell>
          <cell r="D1085">
            <v>25136.94</v>
          </cell>
          <cell r="E1085">
            <v>7937450.8600000003</v>
          </cell>
          <cell r="F1085"/>
          <cell r="G1085">
            <v>25136.94</v>
          </cell>
        </row>
        <row r="1086">
          <cell r="C1086">
            <v>120800466145</v>
          </cell>
          <cell r="D1086">
            <v>25136.94</v>
          </cell>
          <cell r="E1086">
            <v>7503335.9500000002</v>
          </cell>
          <cell r="F1086"/>
          <cell r="G1086">
            <v>25136.94</v>
          </cell>
        </row>
        <row r="1087">
          <cell r="C1087">
            <v>120800447373</v>
          </cell>
          <cell r="D1087">
            <v>25136.94</v>
          </cell>
          <cell r="E1087">
            <v>7528472.8899999997</v>
          </cell>
          <cell r="F1087"/>
          <cell r="G1087">
            <v>25136.94</v>
          </cell>
        </row>
        <row r="1088">
          <cell r="C1088">
            <v>123782897349</v>
          </cell>
          <cell r="D1088">
            <v>25136.94</v>
          </cell>
          <cell r="E1088">
            <v>12585563.01</v>
          </cell>
          <cell r="F1088"/>
          <cell r="G1088">
            <v>25136.94</v>
          </cell>
        </row>
        <row r="1089">
          <cell r="C1089">
            <v>122651056212</v>
          </cell>
          <cell r="D1089">
            <v>25239.62</v>
          </cell>
          <cell r="E1089">
            <v>8378627.2599999998</v>
          </cell>
          <cell r="F1089"/>
          <cell r="G1089">
            <v>25239.62</v>
          </cell>
        </row>
        <row r="1090">
          <cell r="C1090">
            <v>122118060923</v>
          </cell>
          <cell r="D1090">
            <v>25331.8</v>
          </cell>
          <cell r="E1090">
            <v>8243492.29</v>
          </cell>
          <cell r="F1090"/>
          <cell r="G1090">
            <v>25331.8</v>
          </cell>
        </row>
        <row r="1091">
          <cell r="C1091">
            <v>120724801252</v>
          </cell>
          <cell r="D1091">
            <v>25526.66</v>
          </cell>
          <cell r="E1091">
            <v>7772941.5999999996</v>
          </cell>
          <cell r="F1091"/>
          <cell r="G1091">
            <v>25526.66</v>
          </cell>
        </row>
        <row r="1092">
          <cell r="C1092">
            <v>120917616978</v>
          </cell>
          <cell r="D1092">
            <v>25624.09</v>
          </cell>
          <cell r="E1092">
            <v>10788041.23</v>
          </cell>
          <cell r="F1092"/>
          <cell r="G1092">
            <v>25624.09</v>
          </cell>
        </row>
        <row r="1093">
          <cell r="C1093">
            <v>120724841118</v>
          </cell>
          <cell r="D1093">
            <v>25721.52</v>
          </cell>
          <cell r="E1093">
            <v>7798663.1200000001</v>
          </cell>
          <cell r="F1093"/>
          <cell r="G1093">
            <v>25721.52</v>
          </cell>
        </row>
        <row r="1094">
          <cell r="C1094">
            <v>122010429703</v>
          </cell>
          <cell r="D1094">
            <v>25721.52</v>
          </cell>
          <cell r="E1094">
            <v>7516202.5999999996</v>
          </cell>
          <cell r="F1094"/>
          <cell r="G1094">
            <v>25721.52</v>
          </cell>
        </row>
        <row r="1095">
          <cell r="C1095">
            <v>123783183557</v>
          </cell>
          <cell r="D1095">
            <v>25721.52</v>
          </cell>
          <cell r="E1095">
            <v>12611284.529999999</v>
          </cell>
          <cell r="F1095"/>
          <cell r="G1095">
            <v>25721.52</v>
          </cell>
        </row>
        <row r="1096">
          <cell r="C1096">
            <v>120710262196</v>
          </cell>
          <cell r="D1096">
            <v>25784.36</v>
          </cell>
          <cell r="E1096">
            <v>5995388.5099999998</v>
          </cell>
          <cell r="F1096"/>
          <cell r="G1096">
            <v>25784.36</v>
          </cell>
        </row>
        <row r="1097">
          <cell r="C1097">
            <v>120916981628</v>
          </cell>
          <cell r="D1097">
            <v>25790.31</v>
          </cell>
          <cell r="E1097">
            <v>10587357.74</v>
          </cell>
          <cell r="F1097"/>
          <cell r="G1097">
            <v>25790.31</v>
          </cell>
        </row>
        <row r="1098">
          <cell r="C1098">
            <v>124060496416</v>
          </cell>
          <cell r="D1098">
            <v>25790.31</v>
          </cell>
          <cell r="E1098">
            <v>8366060.1399999997</v>
          </cell>
          <cell r="F1098"/>
          <cell r="G1098">
            <v>25790.31</v>
          </cell>
        </row>
        <row r="1099">
          <cell r="C1099">
            <v>123666816125</v>
          </cell>
          <cell r="D1099">
            <v>25818.95</v>
          </cell>
          <cell r="E1099">
            <v>10032929.07</v>
          </cell>
          <cell r="F1099"/>
          <cell r="G1099">
            <v>25818.95</v>
          </cell>
        </row>
        <row r="1100">
          <cell r="C1100">
            <v>123668995375</v>
          </cell>
          <cell r="D1100">
            <v>25818.95</v>
          </cell>
          <cell r="E1100">
            <v>10720176.98</v>
          </cell>
          <cell r="F1100"/>
          <cell r="G1100">
            <v>25818.95</v>
          </cell>
        </row>
        <row r="1101">
          <cell r="C1101">
            <v>124324366592</v>
          </cell>
          <cell r="D1101">
            <v>25818.95</v>
          </cell>
          <cell r="E1101">
            <v>12481760.960000001</v>
          </cell>
          <cell r="F1101"/>
          <cell r="G1101">
            <v>25818.95</v>
          </cell>
        </row>
        <row r="1102">
          <cell r="C1102">
            <v>124324317822</v>
          </cell>
          <cell r="D1102">
            <v>25818.95</v>
          </cell>
          <cell r="E1102">
            <v>12507579.91</v>
          </cell>
          <cell r="F1102"/>
          <cell r="G1102">
            <v>25818.95</v>
          </cell>
        </row>
        <row r="1103">
          <cell r="C1103">
            <v>120321007123</v>
          </cell>
          <cell r="D1103">
            <v>25916.38</v>
          </cell>
          <cell r="E1103">
            <v>9561657.7699999996</v>
          </cell>
          <cell r="F1103"/>
          <cell r="G1103">
            <v>25916.38</v>
          </cell>
        </row>
        <row r="1104">
          <cell r="C1104">
            <v>121598931996</v>
          </cell>
          <cell r="D1104">
            <v>25979.25</v>
          </cell>
          <cell r="E1104">
            <v>6151607.5599999996</v>
          </cell>
          <cell r="F1104"/>
          <cell r="G1104">
            <v>25979.25</v>
          </cell>
        </row>
        <row r="1105">
          <cell r="C1105">
            <v>120192543709</v>
          </cell>
          <cell r="D1105">
            <v>26073.72</v>
          </cell>
          <cell r="E1105">
            <v>5909093.7400000002</v>
          </cell>
          <cell r="F1105"/>
          <cell r="G1105">
            <v>26073.72</v>
          </cell>
        </row>
        <row r="1106">
          <cell r="C1106">
            <v>120709063502</v>
          </cell>
          <cell r="D1106">
            <v>26073.72</v>
          </cell>
          <cell r="E1106">
            <v>5909093.7400000002</v>
          </cell>
          <cell r="F1106"/>
          <cell r="G1106">
            <v>26073.72</v>
          </cell>
        </row>
        <row r="1107">
          <cell r="C1107">
            <v>124049969784</v>
          </cell>
          <cell r="D1107">
            <v>26073.72</v>
          </cell>
          <cell r="E1107">
            <v>8177492.5099999998</v>
          </cell>
          <cell r="F1107"/>
          <cell r="G1107">
            <v>26073.72</v>
          </cell>
        </row>
        <row r="1108">
          <cell r="C1108">
            <v>120799963023</v>
          </cell>
          <cell r="D1108">
            <v>26208.67</v>
          </cell>
          <cell r="E1108">
            <v>7478199.0099999998</v>
          </cell>
          <cell r="F1108"/>
          <cell r="G1108">
            <v>26208.67</v>
          </cell>
        </row>
        <row r="1109">
          <cell r="C1109">
            <v>124070905426</v>
          </cell>
          <cell r="D1109">
            <v>26262.66</v>
          </cell>
          <cell r="E1109">
            <v>9545191.5</v>
          </cell>
          <cell r="F1109"/>
          <cell r="G1109">
            <v>26262.66</v>
          </cell>
        </row>
        <row r="1110">
          <cell r="C1110">
            <v>120069460681</v>
          </cell>
          <cell r="D1110">
            <v>26357.13</v>
          </cell>
          <cell r="E1110">
            <v>5559897.5700000003</v>
          </cell>
          <cell r="F1110"/>
          <cell r="G1110">
            <v>26357.13</v>
          </cell>
        </row>
        <row r="1111">
          <cell r="C1111">
            <v>121875690013</v>
          </cell>
          <cell r="D1111">
            <v>26357.13</v>
          </cell>
          <cell r="E1111">
            <v>4868228.25</v>
          </cell>
          <cell r="F1111"/>
          <cell r="G1111">
            <v>26357.13</v>
          </cell>
        </row>
        <row r="1112">
          <cell r="C1112">
            <v>122541899706</v>
          </cell>
          <cell r="D1112">
            <v>26451.599999999999</v>
          </cell>
          <cell r="E1112">
            <v>7800441.9100000001</v>
          </cell>
          <cell r="F1112"/>
          <cell r="G1112">
            <v>26451.599999999999</v>
          </cell>
        </row>
        <row r="1113">
          <cell r="C1113">
            <v>122124005681</v>
          </cell>
          <cell r="D1113">
            <v>26500.959999999999</v>
          </cell>
          <cell r="E1113">
            <v>9186827.0700000003</v>
          </cell>
          <cell r="F1113"/>
          <cell r="G1113">
            <v>26500.959999999999</v>
          </cell>
        </row>
        <row r="1114">
          <cell r="C1114">
            <v>121596442704</v>
          </cell>
          <cell r="D1114">
            <v>26601.47</v>
          </cell>
          <cell r="E1114">
            <v>5992708.0999999996</v>
          </cell>
          <cell r="F1114"/>
          <cell r="G1114">
            <v>26601.47</v>
          </cell>
        </row>
        <row r="1115">
          <cell r="C1115">
            <v>122734036316</v>
          </cell>
          <cell r="D1115">
            <v>26640.54</v>
          </cell>
          <cell r="E1115">
            <v>9766663.1699999999</v>
          </cell>
          <cell r="F1115"/>
          <cell r="G1115">
            <v>26640.54</v>
          </cell>
        </row>
        <row r="1116">
          <cell r="C1116">
            <v>120396547553</v>
          </cell>
          <cell r="D1116">
            <v>26793.25</v>
          </cell>
          <cell r="E1116">
            <v>10423601.050000001</v>
          </cell>
          <cell r="F1116"/>
          <cell r="G1116">
            <v>26793.25</v>
          </cell>
        </row>
        <row r="1117">
          <cell r="C1117">
            <v>122540586992</v>
          </cell>
          <cell r="D1117">
            <v>26890.68</v>
          </cell>
          <cell r="E1117">
            <v>7477363.21</v>
          </cell>
          <cell r="F1117"/>
          <cell r="G1117">
            <v>26890.68</v>
          </cell>
        </row>
        <row r="1118">
          <cell r="C1118">
            <v>122650756896</v>
          </cell>
          <cell r="D1118">
            <v>26988.11</v>
          </cell>
          <cell r="E1118">
            <v>8302724.04</v>
          </cell>
          <cell r="F1118"/>
          <cell r="G1118">
            <v>26988.11</v>
          </cell>
        </row>
        <row r="1119">
          <cell r="C1119">
            <v>123031649061</v>
          </cell>
          <cell r="D1119">
            <v>26988.11</v>
          </cell>
          <cell r="E1119">
            <v>10713970.859999999</v>
          </cell>
          <cell r="F1119"/>
          <cell r="G1119">
            <v>26988.11</v>
          </cell>
        </row>
        <row r="1120">
          <cell r="C1120">
            <v>120193004197</v>
          </cell>
          <cell r="D1120">
            <v>27018.42</v>
          </cell>
          <cell r="E1120">
            <v>5936112.1600000001</v>
          </cell>
          <cell r="F1120"/>
          <cell r="G1120">
            <v>27018.42</v>
          </cell>
        </row>
        <row r="1121">
          <cell r="C1121">
            <v>123375675768</v>
          </cell>
          <cell r="D1121">
            <v>27018.42</v>
          </cell>
          <cell r="E1121">
            <v>6576706.79</v>
          </cell>
          <cell r="F1121"/>
          <cell r="G1121">
            <v>27018.42</v>
          </cell>
        </row>
        <row r="1122">
          <cell r="C1122">
            <v>123112455110</v>
          </cell>
          <cell r="D1122">
            <v>27055.42</v>
          </cell>
          <cell r="E1122">
            <v>5595341.0999999996</v>
          </cell>
          <cell r="F1122"/>
          <cell r="G1122">
            <v>27055.42</v>
          </cell>
        </row>
        <row r="1123">
          <cell r="C1123">
            <v>122539475822</v>
          </cell>
          <cell r="D1123">
            <v>27182.97</v>
          </cell>
          <cell r="E1123">
            <v>7381755.8700000001</v>
          </cell>
          <cell r="F1123"/>
          <cell r="G1123">
            <v>27182.97</v>
          </cell>
        </row>
        <row r="1124">
          <cell r="C1124">
            <v>121676029443</v>
          </cell>
          <cell r="D1124">
            <v>27280.400000000001</v>
          </cell>
          <cell r="E1124">
            <v>5642066.7599999998</v>
          </cell>
          <cell r="F1124"/>
          <cell r="G1124">
            <v>27280.400000000001</v>
          </cell>
        </row>
        <row r="1125">
          <cell r="C1125">
            <v>122708005369</v>
          </cell>
          <cell r="D1125">
            <v>27280.400000000001</v>
          </cell>
          <cell r="E1125">
            <v>5618939.2199999997</v>
          </cell>
          <cell r="F1125"/>
          <cell r="G1125">
            <v>27280.400000000001</v>
          </cell>
        </row>
        <row r="1126">
          <cell r="C1126">
            <v>123399776507</v>
          </cell>
          <cell r="D1126">
            <v>27287.200000000001</v>
          </cell>
          <cell r="E1126">
            <v>9234323.8200000003</v>
          </cell>
          <cell r="F1126"/>
          <cell r="G1126">
            <v>27287.200000000001</v>
          </cell>
        </row>
        <row r="1127">
          <cell r="C1127">
            <v>123245229864</v>
          </cell>
          <cell r="D1127">
            <v>27377.83</v>
          </cell>
          <cell r="E1127">
            <v>5848843.25</v>
          </cell>
          <cell r="F1127"/>
          <cell r="G1127">
            <v>27377.83</v>
          </cell>
        </row>
        <row r="1128">
          <cell r="C1128">
            <v>123663247233</v>
          </cell>
          <cell r="D1128">
            <v>27377.83</v>
          </cell>
          <cell r="E1128">
            <v>9382237.0700000003</v>
          </cell>
          <cell r="F1128"/>
          <cell r="G1128">
            <v>27377.83</v>
          </cell>
        </row>
        <row r="1129">
          <cell r="C1129">
            <v>122653744222</v>
          </cell>
          <cell r="D1129">
            <v>27396.3</v>
          </cell>
          <cell r="E1129">
            <v>8775028.1899999995</v>
          </cell>
          <cell r="F1129"/>
          <cell r="G1129">
            <v>27396.3</v>
          </cell>
        </row>
        <row r="1130">
          <cell r="C1130">
            <v>123570236436</v>
          </cell>
          <cell r="D1130">
            <v>27475.26</v>
          </cell>
          <cell r="E1130">
            <v>10827684.15</v>
          </cell>
          <cell r="F1130"/>
          <cell r="G1130">
            <v>27475.26</v>
          </cell>
        </row>
        <row r="1131">
          <cell r="C1131">
            <v>122824281631</v>
          </cell>
          <cell r="D1131">
            <v>27490.77</v>
          </cell>
          <cell r="E1131">
            <v>6125550.9400000004</v>
          </cell>
          <cell r="F1131"/>
          <cell r="G1131">
            <v>27490.77</v>
          </cell>
        </row>
        <row r="1132">
          <cell r="C1132">
            <v>120797442529</v>
          </cell>
          <cell r="D1132">
            <v>27583.35</v>
          </cell>
          <cell r="E1132">
            <v>7085686.1600000001</v>
          </cell>
          <cell r="F1132"/>
          <cell r="G1132">
            <v>27583.35</v>
          </cell>
        </row>
        <row r="1133">
          <cell r="C1133">
            <v>124307491114</v>
          </cell>
          <cell r="D1133">
            <v>27600.16</v>
          </cell>
          <cell r="E1133">
            <v>11037450.25</v>
          </cell>
          <cell r="F1133"/>
          <cell r="G1133">
            <v>27600.16</v>
          </cell>
        </row>
        <row r="1134">
          <cell r="C1134">
            <v>122002777797</v>
          </cell>
          <cell r="D1134">
            <v>27688.7</v>
          </cell>
          <cell r="E1134">
            <v>6353931.3200000003</v>
          </cell>
          <cell r="F1134"/>
          <cell r="G1134">
            <v>27688.7</v>
          </cell>
        </row>
        <row r="1135">
          <cell r="C1135">
            <v>121202135989</v>
          </cell>
          <cell r="D1135">
            <v>27774.18</v>
          </cell>
          <cell r="E1135">
            <v>8624793.0299999993</v>
          </cell>
          <cell r="F1135"/>
          <cell r="G1135">
            <v>27774.18</v>
          </cell>
        </row>
        <row r="1136">
          <cell r="C1136">
            <v>121879112379</v>
          </cell>
          <cell r="D1136">
            <v>27774.18</v>
          </cell>
          <cell r="E1136">
            <v>5341014.9800000004</v>
          </cell>
          <cell r="F1136"/>
          <cell r="G1136">
            <v>27774.18</v>
          </cell>
        </row>
        <row r="1137">
          <cell r="C1137">
            <v>123485556740</v>
          </cell>
          <cell r="D1137">
            <v>27774.18</v>
          </cell>
          <cell r="E1137">
            <v>8797023.4199999999</v>
          </cell>
          <cell r="F1137"/>
          <cell r="G1137">
            <v>27774.18</v>
          </cell>
        </row>
        <row r="1138">
          <cell r="C1138">
            <v>122944326851</v>
          </cell>
          <cell r="D1138">
            <v>27782.560000000001</v>
          </cell>
          <cell r="E1138">
            <v>8477411.6899999995</v>
          </cell>
          <cell r="F1138"/>
          <cell r="G1138">
            <v>27782.560000000001</v>
          </cell>
        </row>
        <row r="1139">
          <cell r="C1139">
            <v>120834435416</v>
          </cell>
          <cell r="D1139">
            <v>27864.98</v>
          </cell>
          <cell r="E1139">
            <v>9046843.6899999995</v>
          </cell>
          <cell r="F1139"/>
          <cell r="G1139">
            <v>27864.98</v>
          </cell>
        </row>
        <row r="1140">
          <cell r="C1140">
            <v>122192763065</v>
          </cell>
          <cell r="D1140">
            <v>27869.759999999998</v>
          </cell>
          <cell r="E1140">
            <v>9582950.7799999993</v>
          </cell>
          <cell r="F1140"/>
          <cell r="G1140">
            <v>27869.759999999998</v>
          </cell>
        </row>
        <row r="1141">
          <cell r="C1141">
            <v>123527151251</v>
          </cell>
          <cell r="D1141">
            <v>27970.28</v>
          </cell>
          <cell r="E1141">
            <v>9288628.5199999996</v>
          </cell>
          <cell r="F1141"/>
          <cell r="G1141">
            <v>27970.28</v>
          </cell>
        </row>
        <row r="1142">
          <cell r="C1142">
            <v>120579323964</v>
          </cell>
          <cell r="D1142">
            <v>28059.84</v>
          </cell>
          <cell r="E1142">
            <v>4717862.43</v>
          </cell>
          <cell r="F1142"/>
          <cell r="G1142">
            <v>28059.84</v>
          </cell>
        </row>
        <row r="1143">
          <cell r="C1143">
            <v>120206014855</v>
          </cell>
          <cell r="D1143">
            <v>28059.84</v>
          </cell>
          <cell r="E1143">
            <v>7499835.8499999996</v>
          </cell>
          <cell r="F1143"/>
          <cell r="G1143">
            <v>28059.84</v>
          </cell>
        </row>
        <row r="1144">
          <cell r="C1144">
            <v>124203454192</v>
          </cell>
          <cell r="D1144">
            <v>28144.9</v>
          </cell>
          <cell r="E1144">
            <v>9220564.5099999998</v>
          </cell>
          <cell r="F1144"/>
          <cell r="G1144">
            <v>28144.9</v>
          </cell>
        </row>
        <row r="1145">
          <cell r="C1145">
            <v>120711337664</v>
          </cell>
          <cell r="D1145">
            <v>28152.06</v>
          </cell>
          <cell r="E1145">
            <v>6023540.5700000003</v>
          </cell>
          <cell r="F1145"/>
          <cell r="G1145">
            <v>28152.06</v>
          </cell>
        </row>
        <row r="1146">
          <cell r="C1146">
            <v>123663631603</v>
          </cell>
          <cell r="D1146">
            <v>28157.27</v>
          </cell>
          <cell r="E1146">
            <v>9457607.75</v>
          </cell>
          <cell r="F1146"/>
          <cell r="G1146">
            <v>28157.27</v>
          </cell>
        </row>
        <row r="1147">
          <cell r="C1147">
            <v>122529372430</v>
          </cell>
          <cell r="D1147">
            <v>28246.53</v>
          </cell>
          <cell r="E1147">
            <v>6127224.6299999999</v>
          </cell>
          <cell r="F1147"/>
          <cell r="G1147">
            <v>28246.53</v>
          </cell>
        </row>
        <row r="1148">
          <cell r="C1148">
            <v>124299727012</v>
          </cell>
          <cell r="D1148">
            <v>28246.53</v>
          </cell>
          <cell r="E1148">
            <v>10900035.800000001</v>
          </cell>
          <cell r="F1148"/>
          <cell r="G1148">
            <v>28246.53</v>
          </cell>
        </row>
        <row r="1149">
          <cell r="C1149">
            <v>120315938767</v>
          </cell>
          <cell r="D1149">
            <v>28254.7</v>
          </cell>
          <cell r="E1149">
            <v>8908723.1400000006</v>
          </cell>
          <cell r="F1149"/>
          <cell r="G1149">
            <v>28254.7</v>
          </cell>
        </row>
        <row r="1150">
          <cell r="C1150">
            <v>122654582592</v>
          </cell>
          <cell r="D1150">
            <v>28254.7</v>
          </cell>
          <cell r="E1150">
            <v>8862325.4700000007</v>
          </cell>
          <cell r="F1150"/>
          <cell r="G1150">
            <v>28254.7</v>
          </cell>
        </row>
        <row r="1151">
          <cell r="C1151">
            <v>124192916308</v>
          </cell>
          <cell r="D1151">
            <v>28449.56</v>
          </cell>
          <cell r="E1151">
            <v>8589439.8499999996</v>
          </cell>
          <cell r="F1151"/>
          <cell r="G1151">
            <v>28449.56</v>
          </cell>
        </row>
        <row r="1152">
          <cell r="C1152">
            <v>120396406989</v>
          </cell>
          <cell r="D1152">
            <v>28529.94</v>
          </cell>
          <cell r="E1152">
            <v>10365254.82</v>
          </cell>
          <cell r="F1152"/>
          <cell r="G1152">
            <v>28529.94</v>
          </cell>
        </row>
        <row r="1153">
          <cell r="C1153">
            <v>123026048411</v>
          </cell>
          <cell r="D1153">
            <v>28533.439999999999</v>
          </cell>
          <cell r="E1153">
            <v>10443752.57</v>
          </cell>
          <cell r="F1153"/>
          <cell r="G1153">
            <v>28533.439999999999</v>
          </cell>
        </row>
        <row r="1154">
          <cell r="C1154">
            <v>120322276865</v>
          </cell>
          <cell r="D1154">
            <v>28644.42</v>
          </cell>
          <cell r="E1154">
            <v>10140486.109999999</v>
          </cell>
          <cell r="F1154"/>
          <cell r="G1154">
            <v>28644.42</v>
          </cell>
        </row>
        <row r="1155">
          <cell r="C1155">
            <v>122410026680</v>
          </cell>
          <cell r="D1155">
            <v>28718.880000000001</v>
          </cell>
          <cell r="E1155">
            <v>5399036.75</v>
          </cell>
          <cell r="F1155"/>
          <cell r="G1155">
            <v>28718.880000000001</v>
          </cell>
        </row>
        <row r="1156">
          <cell r="C1156">
            <v>122113127067</v>
          </cell>
          <cell r="D1156">
            <v>28718.880000000001</v>
          </cell>
          <cell r="E1156">
            <v>7940142.1200000001</v>
          </cell>
          <cell r="F1156"/>
          <cell r="G1156">
            <v>28718.880000000001</v>
          </cell>
        </row>
        <row r="1157">
          <cell r="C1157">
            <v>123657871207</v>
          </cell>
          <cell r="D1157">
            <v>28721.16</v>
          </cell>
          <cell r="E1157">
            <v>8859818.7300000004</v>
          </cell>
          <cell r="F1157"/>
          <cell r="G1157">
            <v>28721.16</v>
          </cell>
        </row>
        <row r="1158">
          <cell r="C1158">
            <v>120795579697</v>
          </cell>
          <cell r="D1158">
            <v>28935.74</v>
          </cell>
          <cell r="E1158">
            <v>6920632.0300000003</v>
          </cell>
          <cell r="F1158"/>
          <cell r="G1158">
            <v>28935.74</v>
          </cell>
        </row>
        <row r="1159">
          <cell r="C1159">
            <v>120792281837</v>
          </cell>
          <cell r="D1159">
            <v>29034.14</v>
          </cell>
          <cell r="E1159">
            <v>6805142.0499999998</v>
          </cell>
          <cell r="F1159"/>
          <cell r="G1159">
            <v>29034.14</v>
          </cell>
        </row>
        <row r="1160">
          <cell r="C1160">
            <v>123648779599</v>
          </cell>
          <cell r="D1160">
            <v>29034.14</v>
          </cell>
          <cell r="E1160">
            <v>8553390.75</v>
          </cell>
          <cell r="F1160"/>
          <cell r="G1160">
            <v>29034.14</v>
          </cell>
        </row>
        <row r="1161">
          <cell r="C1161">
            <v>120191035643</v>
          </cell>
          <cell r="D1161">
            <v>29131.57</v>
          </cell>
          <cell r="E1161">
            <v>5875030.7599999998</v>
          </cell>
          <cell r="F1161"/>
          <cell r="G1161">
            <v>29131.57</v>
          </cell>
        </row>
        <row r="1162">
          <cell r="C1162">
            <v>120321122741</v>
          </cell>
          <cell r="D1162">
            <v>29190.46</v>
          </cell>
          <cell r="E1162">
            <v>9627069.8699999992</v>
          </cell>
          <cell r="F1162"/>
          <cell r="G1162">
            <v>29190.46</v>
          </cell>
        </row>
        <row r="1163">
          <cell r="C1163">
            <v>121191811383</v>
          </cell>
          <cell r="D1163">
            <v>29229</v>
          </cell>
          <cell r="E1163">
            <v>7575275.3499999996</v>
          </cell>
          <cell r="F1163"/>
          <cell r="G1163">
            <v>29229</v>
          </cell>
        </row>
        <row r="1164">
          <cell r="C1164">
            <v>123378713298</v>
          </cell>
          <cell r="D1164">
            <v>29423.86</v>
          </cell>
          <cell r="E1164">
            <v>7694302.0999999996</v>
          </cell>
          <cell r="F1164"/>
          <cell r="G1164">
            <v>29423.86</v>
          </cell>
        </row>
        <row r="1165">
          <cell r="C1165">
            <v>122708776631</v>
          </cell>
          <cell r="D1165">
            <v>29597.54</v>
          </cell>
          <cell r="E1165">
            <v>5733008.5700000003</v>
          </cell>
          <cell r="F1165"/>
          <cell r="G1165">
            <v>29597.54</v>
          </cell>
        </row>
        <row r="1166">
          <cell r="C1166">
            <v>120709648926</v>
          </cell>
          <cell r="D1166">
            <v>29618.720000000001</v>
          </cell>
          <cell r="E1166">
            <v>5965730.8799999999</v>
          </cell>
          <cell r="F1166"/>
          <cell r="G1166">
            <v>29618.720000000001</v>
          </cell>
        </row>
        <row r="1167">
          <cell r="C1167">
            <v>122010739589</v>
          </cell>
          <cell r="D1167">
            <v>29708.39</v>
          </cell>
          <cell r="E1167">
            <v>7562054.9100000001</v>
          </cell>
          <cell r="F1167"/>
          <cell r="G1167">
            <v>29708.39</v>
          </cell>
        </row>
        <row r="1168">
          <cell r="C1168">
            <v>121716209052</v>
          </cell>
          <cell r="D1168">
            <v>29758.05</v>
          </cell>
          <cell r="E1168">
            <v>7727042.3200000003</v>
          </cell>
          <cell r="F1168"/>
          <cell r="G1168">
            <v>29758.05</v>
          </cell>
        </row>
        <row r="1169">
          <cell r="C1169">
            <v>122703041089</v>
          </cell>
          <cell r="D1169">
            <v>29779.119999999999</v>
          </cell>
          <cell r="E1169">
            <v>5150620.92</v>
          </cell>
          <cell r="F1169"/>
          <cell r="G1169">
            <v>29779.119999999999</v>
          </cell>
        </row>
        <row r="1170">
          <cell r="C1170">
            <v>123471665274</v>
          </cell>
          <cell r="D1170">
            <v>29813.58</v>
          </cell>
          <cell r="E1170">
            <v>8260384.8200000003</v>
          </cell>
          <cell r="F1170"/>
          <cell r="G1170">
            <v>29813.58</v>
          </cell>
        </row>
        <row r="1171">
          <cell r="C1171">
            <v>122109466017</v>
          </cell>
          <cell r="D1171">
            <v>30041.46</v>
          </cell>
          <cell r="E1171">
            <v>7684215.9699999997</v>
          </cell>
          <cell r="F1171"/>
          <cell r="G1171">
            <v>30041.46</v>
          </cell>
        </row>
        <row r="1172">
          <cell r="C1172">
            <v>122003974017</v>
          </cell>
          <cell r="D1172">
            <v>30105.87</v>
          </cell>
          <cell r="E1172">
            <v>6486067.04</v>
          </cell>
          <cell r="F1172"/>
          <cell r="G1172">
            <v>30105.87</v>
          </cell>
        </row>
        <row r="1173">
          <cell r="C1173">
            <v>122011091049</v>
          </cell>
          <cell r="D1173">
            <v>30105.87</v>
          </cell>
          <cell r="E1173">
            <v>7705092.9699999997</v>
          </cell>
          <cell r="F1173"/>
          <cell r="G1173">
            <v>30105.87</v>
          </cell>
        </row>
        <row r="1174">
          <cell r="C1174">
            <v>122119467999</v>
          </cell>
          <cell r="D1174">
            <v>30105.87</v>
          </cell>
          <cell r="E1174">
            <v>8332829.9100000001</v>
          </cell>
          <cell r="F1174"/>
          <cell r="G1174">
            <v>30105.87</v>
          </cell>
        </row>
        <row r="1175">
          <cell r="C1175">
            <v>123400263215</v>
          </cell>
          <cell r="D1175">
            <v>30134.99</v>
          </cell>
          <cell r="E1175">
            <v>9337822.6300000008</v>
          </cell>
          <cell r="F1175"/>
          <cell r="G1175">
            <v>30134.99</v>
          </cell>
        </row>
        <row r="1176">
          <cell r="C1176">
            <v>121807605482</v>
          </cell>
          <cell r="D1176">
            <v>30135.93</v>
          </cell>
          <cell r="E1176">
            <v>10205294.119999999</v>
          </cell>
          <cell r="F1176"/>
          <cell r="G1176">
            <v>30135.93</v>
          </cell>
        </row>
        <row r="1177">
          <cell r="C1177">
            <v>120695667872</v>
          </cell>
          <cell r="D1177">
            <v>30142.28</v>
          </cell>
          <cell r="E1177">
            <v>5682290.7300000004</v>
          </cell>
          <cell r="F1177"/>
          <cell r="G1177">
            <v>30142.28</v>
          </cell>
        </row>
        <row r="1178">
          <cell r="C1178">
            <v>122946966191</v>
          </cell>
          <cell r="D1178">
            <v>30230.400000000001</v>
          </cell>
          <cell r="E1178">
            <v>8610151.8699999992</v>
          </cell>
          <cell r="F1178"/>
          <cell r="G1178">
            <v>30230.400000000001</v>
          </cell>
        </row>
        <row r="1179">
          <cell r="C1179">
            <v>123568684942</v>
          </cell>
          <cell r="D1179">
            <v>30410.639999999999</v>
          </cell>
          <cell r="E1179">
            <v>10779553.73</v>
          </cell>
          <cell r="F1179"/>
          <cell r="G1179">
            <v>30410.639999999999</v>
          </cell>
        </row>
        <row r="1180">
          <cell r="C1180">
            <v>122200583262</v>
          </cell>
          <cell r="D1180">
            <v>30495.59</v>
          </cell>
          <cell r="E1180">
            <v>5561015.2800000003</v>
          </cell>
          <cell r="F1180"/>
          <cell r="G1180">
            <v>30495.59</v>
          </cell>
        </row>
        <row r="1181">
          <cell r="C1181">
            <v>120914957989</v>
          </cell>
          <cell r="D1181">
            <v>30596.23</v>
          </cell>
          <cell r="E1181">
            <v>7069837.3899999997</v>
          </cell>
          <cell r="F1181"/>
          <cell r="G1181">
            <v>30596.23</v>
          </cell>
        </row>
        <row r="1182">
          <cell r="C1182">
            <v>124049233104</v>
          </cell>
          <cell r="D1182">
            <v>30598.36</v>
          </cell>
          <cell r="E1182">
            <v>8151418.79</v>
          </cell>
          <cell r="F1182"/>
          <cell r="G1182">
            <v>30598.36</v>
          </cell>
        </row>
        <row r="1183">
          <cell r="C1183">
            <v>120721867186</v>
          </cell>
          <cell r="D1183">
            <v>30687.02</v>
          </cell>
          <cell r="E1183">
            <v>7360121.2300000004</v>
          </cell>
          <cell r="F1183"/>
          <cell r="G1183">
            <v>30687.02</v>
          </cell>
        </row>
        <row r="1184">
          <cell r="C1184">
            <v>122200574470</v>
          </cell>
          <cell r="D1184">
            <v>30702.75</v>
          </cell>
          <cell r="E1184">
            <v>5530519.6900000004</v>
          </cell>
          <cell r="F1184"/>
          <cell r="G1184">
            <v>30702.75</v>
          </cell>
        </row>
        <row r="1185">
          <cell r="C1185">
            <v>121799275542</v>
          </cell>
          <cell r="D1185">
            <v>30787.88</v>
          </cell>
          <cell r="E1185">
            <v>9937569.7400000002</v>
          </cell>
          <cell r="F1185"/>
          <cell r="G1185">
            <v>30787.88</v>
          </cell>
        </row>
        <row r="1186">
          <cell r="C1186">
            <v>123568580622</v>
          </cell>
          <cell r="D1186">
            <v>30787.88</v>
          </cell>
          <cell r="E1186">
            <v>10749143.09</v>
          </cell>
          <cell r="F1186"/>
          <cell r="G1186">
            <v>30787.88</v>
          </cell>
        </row>
        <row r="1187">
          <cell r="C1187">
            <v>120918530624</v>
          </cell>
          <cell r="D1187">
            <v>30885.31</v>
          </cell>
          <cell r="E1187">
            <v>10818926.539999999</v>
          </cell>
          <cell r="F1187"/>
          <cell r="G1187">
            <v>30885.31</v>
          </cell>
        </row>
        <row r="1188">
          <cell r="C1188">
            <v>121726878554</v>
          </cell>
          <cell r="D1188">
            <v>30891.69</v>
          </cell>
          <cell r="E1188">
            <v>9018398.7799999993</v>
          </cell>
          <cell r="F1188"/>
          <cell r="G1188">
            <v>30891.69</v>
          </cell>
        </row>
        <row r="1189">
          <cell r="C1189">
            <v>122011125633</v>
          </cell>
          <cell r="D1189">
            <v>30982.74</v>
          </cell>
          <cell r="E1189">
            <v>7758824.4699999997</v>
          </cell>
          <cell r="F1189"/>
          <cell r="G1189">
            <v>30982.74</v>
          </cell>
        </row>
        <row r="1190">
          <cell r="C1190">
            <v>123491564838</v>
          </cell>
          <cell r="D1190">
            <v>30982.74</v>
          </cell>
          <cell r="E1190">
            <v>10188839.67</v>
          </cell>
          <cell r="F1190"/>
          <cell r="G1190">
            <v>30982.74</v>
          </cell>
        </row>
        <row r="1191">
          <cell r="C1191">
            <v>121081767993</v>
          </cell>
          <cell r="D1191">
            <v>30986.16</v>
          </cell>
          <cell r="E1191">
            <v>6506800.9500000002</v>
          </cell>
          <cell r="F1191"/>
          <cell r="G1191">
            <v>30986.16</v>
          </cell>
        </row>
        <row r="1192">
          <cell r="C1192">
            <v>121180942505</v>
          </cell>
          <cell r="D1192">
            <v>31080.17</v>
          </cell>
          <cell r="E1192">
            <v>7314651.1799999997</v>
          </cell>
          <cell r="F1192"/>
          <cell r="G1192">
            <v>31080.17</v>
          </cell>
        </row>
        <row r="1193">
          <cell r="C1193">
            <v>124325468260</v>
          </cell>
          <cell r="D1193">
            <v>31080.17</v>
          </cell>
          <cell r="E1193">
            <v>12699031.689999999</v>
          </cell>
          <cell r="F1193"/>
          <cell r="G1193">
            <v>31080.17</v>
          </cell>
        </row>
        <row r="1194">
          <cell r="C1194">
            <v>122008103047</v>
          </cell>
          <cell r="D1194">
            <v>31080.63</v>
          </cell>
          <cell r="E1194">
            <v>7101067.5700000003</v>
          </cell>
          <cell r="F1194"/>
          <cell r="G1194">
            <v>31080.63</v>
          </cell>
        </row>
        <row r="1195">
          <cell r="C1195">
            <v>120183227383</v>
          </cell>
          <cell r="D1195">
            <v>31203.279999999999</v>
          </cell>
          <cell r="E1195">
            <v>5713494.0099999998</v>
          </cell>
          <cell r="F1195"/>
          <cell r="G1195">
            <v>31203.279999999999</v>
          </cell>
        </row>
        <row r="1196">
          <cell r="C1196">
            <v>120322222679</v>
          </cell>
          <cell r="D1196">
            <v>31275.03</v>
          </cell>
          <cell r="E1196">
            <v>10083631.539999999</v>
          </cell>
          <cell r="F1196"/>
          <cell r="G1196">
            <v>31275.03</v>
          </cell>
        </row>
        <row r="1197">
          <cell r="C1197">
            <v>120396527265</v>
          </cell>
          <cell r="D1197">
            <v>31552.98</v>
          </cell>
          <cell r="E1197">
            <v>10396807.800000001</v>
          </cell>
          <cell r="F1197"/>
          <cell r="G1197">
            <v>31552.98</v>
          </cell>
        </row>
        <row r="1198">
          <cell r="C1198">
            <v>121198546473</v>
          </cell>
          <cell r="D1198">
            <v>31664.75</v>
          </cell>
          <cell r="E1198">
            <v>8135124.0800000001</v>
          </cell>
          <cell r="F1198"/>
          <cell r="G1198">
            <v>31664.75</v>
          </cell>
        </row>
        <row r="1199">
          <cell r="C1199">
            <v>123570865148</v>
          </cell>
          <cell r="D1199">
            <v>31664.75</v>
          </cell>
          <cell r="E1199">
            <v>10907276.24</v>
          </cell>
          <cell r="F1199"/>
          <cell r="G1199">
            <v>31664.75</v>
          </cell>
        </row>
        <row r="1200">
          <cell r="C1200">
            <v>121081113999</v>
          </cell>
          <cell r="D1200">
            <v>31741.919999999998</v>
          </cell>
          <cell r="E1200">
            <v>6229433.8700000001</v>
          </cell>
          <cell r="F1200"/>
          <cell r="G1200">
            <v>31741.919999999998</v>
          </cell>
        </row>
        <row r="1201">
          <cell r="C1201">
            <v>121069079897</v>
          </cell>
          <cell r="D1201">
            <v>31762.18</v>
          </cell>
          <cell r="E1201">
            <v>5860918.5300000003</v>
          </cell>
          <cell r="F1201"/>
          <cell r="G1201">
            <v>31762.18</v>
          </cell>
        </row>
        <row r="1202">
          <cell r="C1202">
            <v>123658928971</v>
          </cell>
          <cell r="D1202">
            <v>31957.040000000001</v>
          </cell>
          <cell r="E1202">
            <v>8957100.6899999995</v>
          </cell>
          <cell r="F1202"/>
          <cell r="G1202">
            <v>31957.040000000001</v>
          </cell>
        </row>
        <row r="1203">
          <cell r="C1203">
            <v>123107900548</v>
          </cell>
          <cell r="D1203">
            <v>32052.52</v>
          </cell>
          <cell r="E1203">
            <v>5281586.22</v>
          </cell>
          <cell r="F1203"/>
          <cell r="G1203">
            <v>32052.52</v>
          </cell>
        </row>
        <row r="1204">
          <cell r="C1204">
            <v>123663450057</v>
          </cell>
          <cell r="D1204">
            <v>32054.47</v>
          </cell>
          <cell r="E1204">
            <v>9424619.1199999992</v>
          </cell>
          <cell r="F1204"/>
          <cell r="G1204">
            <v>32054.47</v>
          </cell>
        </row>
        <row r="1205">
          <cell r="C1205">
            <v>124208321558</v>
          </cell>
          <cell r="D1205">
            <v>32054.47</v>
          </cell>
          <cell r="E1205">
            <v>10277380.939999999</v>
          </cell>
          <cell r="F1205"/>
          <cell r="G1205">
            <v>32054.47</v>
          </cell>
        </row>
        <row r="1206">
          <cell r="C1206">
            <v>120205091899</v>
          </cell>
          <cell r="D1206">
            <v>32151.9</v>
          </cell>
          <cell r="E1206">
            <v>7329434.21</v>
          </cell>
          <cell r="F1206"/>
          <cell r="G1206">
            <v>32151.9</v>
          </cell>
        </row>
        <row r="1207">
          <cell r="C1207">
            <v>120065997027</v>
          </cell>
          <cell r="D1207">
            <v>32224.41</v>
          </cell>
          <cell r="E1207">
            <v>5132615.99</v>
          </cell>
          <cell r="F1207"/>
          <cell r="G1207">
            <v>32224.41</v>
          </cell>
        </row>
        <row r="1208">
          <cell r="C1208">
            <v>120719389568</v>
          </cell>
          <cell r="D1208">
            <v>32346.76</v>
          </cell>
          <cell r="E1208">
            <v>6998104.2800000003</v>
          </cell>
          <cell r="F1208"/>
          <cell r="G1208">
            <v>32346.76</v>
          </cell>
        </row>
        <row r="1209">
          <cell r="C1209">
            <v>122007492177</v>
          </cell>
          <cell r="D1209">
            <v>32346.76</v>
          </cell>
          <cell r="E1209">
            <v>7045224.0999999996</v>
          </cell>
          <cell r="F1209"/>
          <cell r="G1209">
            <v>32346.76</v>
          </cell>
        </row>
        <row r="1210">
          <cell r="C1210">
            <v>123488141262</v>
          </cell>
          <cell r="D1210">
            <v>32346.76</v>
          </cell>
          <cell r="E1210">
            <v>9269292.6899999995</v>
          </cell>
          <cell r="F1210"/>
          <cell r="G1210">
            <v>32346.76</v>
          </cell>
        </row>
        <row r="1211">
          <cell r="C1211">
            <v>123395228041</v>
          </cell>
          <cell r="D1211">
            <v>32381.7</v>
          </cell>
          <cell r="E1211">
            <v>8951731.2799999993</v>
          </cell>
          <cell r="F1211"/>
          <cell r="G1211">
            <v>32381.7</v>
          </cell>
        </row>
        <row r="1212">
          <cell r="C1212">
            <v>121805090668</v>
          </cell>
          <cell r="D1212">
            <v>32403.21</v>
          </cell>
          <cell r="E1212">
            <v>10136614.43</v>
          </cell>
          <cell r="F1212"/>
          <cell r="G1212">
            <v>32403.21</v>
          </cell>
        </row>
        <row r="1213">
          <cell r="C1213">
            <v>122949393413</v>
          </cell>
          <cell r="D1213">
            <v>32403.21</v>
          </cell>
          <cell r="E1213">
            <v>8848950.6199999992</v>
          </cell>
          <cell r="F1213"/>
          <cell r="G1213">
            <v>32403.21</v>
          </cell>
        </row>
        <row r="1214">
          <cell r="C1214">
            <v>123487462756</v>
          </cell>
          <cell r="D1214">
            <v>32403.21</v>
          </cell>
          <cell r="E1214">
            <v>9223208.3000000007</v>
          </cell>
          <cell r="F1214"/>
          <cell r="G1214">
            <v>32403.21</v>
          </cell>
        </row>
        <row r="1215">
          <cell r="C1215">
            <v>123521480133</v>
          </cell>
          <cell r="D1215">
            <v>32417.95</v>
          </cell>
          <cell r="E1215">
            <v>8426130.1999999993</v>
          </cell>
          <cell r="F1215"/>
          <cell r="G1215">
            <v>32417.95</v>
          </cell>
        </row>
        <row r="1216">
          <cell r="C1216">
            <v>121798619494</v>
          </cell>
          <cell r="D1216">
            <v>32541.62</v>
          </cell>
          <cell r="E1216">
            <v>9906781.8599999994</v>
          </cell>
          <cell r="F1216"/>
          <cell r="G1216">
            <v>32541.62</v>
          </cell>
        </row>
        <row r="1217">
          <cell r="C1217">
            <v>120718440998</v>
          </cell>
          <cell r="D1217">
            <v>32592.15</v>
          </cell>
          <cell r="E1217">
            <v>6898918.8099999996</v>
          </cell>
          <cell r="F1217"/>
          <cell r="G1217">
            <v>32592.15</v>
          </cell>
        </row>
        <row r="1218">
          <cell r="C1218">
            <v>120915311116</v>
          </cell>
          <cell r="D1218">
            <v>32639.05</v>
          </cell>
          <cell r="E1218">
            <v>10500305.93</v>
          </cell>
          <cell r="F1218"/>
          <cell r="G1218">
            <v>32639.05</v>
          </cell>
        </row>
        <row r="1219">
          <cell r="C1219">
            <v>121084851047</v>
          </cell>
          <cell r="D1219">
            <v>32833.910000000003</v>
          </cell>
          <cell r="E1219">
            <v>6913485.3200000003</v>
          </cell>
          <cell r="F1219"/>
          <cell r="G1219">
            <v>32833.910000000003</v>
          </cell>
        </row>
        <row r="1220">
          <cell r="C1220">
            <v>122122214113</v>
          </cell>
          <cell r="D1220">
            <v>32833.910000000003</v>
          </cell>
          <cell r="E1220">
            <v>8699639.8200000003</v>
          </cell>
          <cell r="F1220"/>
          <cell r="G1220">
            <v>32833.910000000003</v>
          </cell>
        </row>
        <row r="1221">
          <cell r="C1221">
            <v>120922270262</v>
          </cell>
          <cell r="D1221">
            <v>32931.339999999997</v>
          </cell>
          <cell r="E1221">
            <v>11267620.130000001</v>
          </cell>
          <cell r="F1221"/>
          <cell r="G1221">
            <v>32931.339999999997</v>
          </cell>
        </row>
        <row r="1222">
          <cell r="C1222">
            <v>123482299992</v>
          </cell>
          <cell r="D1222">
            <v>32931.339999999997</v>
          </cell>
          <cell r="E1222">
            <v>8578266.9600000009</v>
          </cell>
          <cell r="F1222"/>
          <cell r="G1222">
            <v>32931.339999999997</v>
          </cell>
        </row>
        <row r="1223">
          <cell r="C1223">
            <v>122828203005</v>
          </cell>
          <cell r="D1223">
            <v>33028.769999999997</v>
          </cell>
          <cell r="E1223">
            <v>6202378.4500000002</v>
          </cell>
          <cell r="F1223"/>
          <cell r="G1223">
            <v>33028.769999999997</v>
          </cell>
        </row>
        <row r="1224">
          <cell r="C1224">
            <v>122834919653</v>
          </cell>
          <cell r="D1224">
            <v>33028.769999999997</v>
          </cell>
          <cell r="E1224">
            <v>6385473.46</v>
          </cell>
          <cell r="F1224"/>
          <cell r="G1224">
            <v>33028.769999999997</v>
          </cell>
        </row>
        <row r="1225">
          <cell r="C1225">
            <v>123475750490</v>
          </cell>
          <cell r="D1225">
            <v>33028.769999999997</v>
          </cell>
          <cell r="E1225">
            <v>8401619.8000000007</v>
          </cell>
          <cell r="F1225"/>
          <cell r="G1225">
            <v>33028.769999999997</v>
          </cell>
        </row>
        <row r="1226">
          <cell r="C1226">
            <v>123491636838</v>
          </cell>
          <cell r="D1226">
            <v>33028.769999999997</v>
          </cell>
          <cell r="E1226">
            <v>10239623.82</v>
          </cell>
          <cell r="F1226"/>
          <cell r="G1226">
            <v>33028.769999999997</v>
          </cell>
        </row>
        <row r="1227">
          <cell r="C1227">
            <v>121203803461</v>
          </cell>
          <cell r="D1227">
            <v>33418.49</v>
          </cell>
          <cell r="E1227">
            <v>8893166.0700000003</v>
          </cell>
          <cell r="F1227"/>
          <cell r="G1227">
            <v>33418.49</v>
          </cell>
        </row>
        <row r="1228">
          <cell r="C1228">
            <v>122712254047</v>
          </cell>
          <cell r="D1228">
            <v>33418.49</v>
          </cell>
          <cell r="E1228">
            <v>6361211.2000000002</v>
          </cell>
          <cell r="F1228"/>
          <cell r="G1228">
            <v>33418.49</v>
          </cell>
        </row>
        <row r="1229">
          <cell r="C1229">
            <v>124323100098</v>
          </cell>
          <cell r="D1229">
            <v>33418.49</v>
          </cell>
          <cell r="E1229">
            <v>12254218.4</v>
          </cell>
          <cell r="F1229"/>
          <cell r="G1229">
            <v>33418.49</v>
          </cell>
        </row>
        <row r="1230">
          <cell r="C1230">
            <v>121876562851</v>
          </cell>
          <cell r="D1230">
            <v>33710.78</v>
          </cell>
          <cell r="E1230">
            <v>5112714.75</v>
          </cell>
          <cell r="F1230"/>
          <cell r="G1230">
            <v>33710.78</v>
          </cell>
        </row>
        <row r="1231">
          <cell r="C1231">
            <v>123024756935</v>
          </cell>
          <cell r="D1231">
            <v>33864.67</v>
          </cell>
          <cell r="E1231">
            <v>10387426.689999999</v>
          </cell>
          <cell r="F1231"/>
          <cell r="G1231">
            <v>33864.67</v>
          </cell>
        </row>
        <row r="1232">
          <cell r="C1232">
            <v>122005207565</v>
          </cell>
          <cell r="D1232">
            <v>33883.46</v>
          </cell>
          <cell r="E1232">
            <v>6675394.2300000004</v>
          </cell>
          <cell r="F1232"/>
          <cell r="G1232">
            <v>33883.46</v>
          </cell>
        </row>
        <row r="1233">
          <cell r="C1233">
            <v>124403705890</v>
          </cell>
          <cell r="D1233">
            <v>33914.730000000003</v>
          </cell>
          <cell r="E1233">
            <v>12889777.09</v>
          </cell>
          <cell r="F1233"/>
          <cell r="G1233">
            <v>33914.730000000003</v>
          </cell>
        </row>
        <row r="1234">
          <cell r="C1234">
            <v>121319364306</v>
          </cell>
          <cell r="D1234">
            <v>34197.93</v>
          </cell>
          <cell r="E1234">
            <v>7254392.0099999998</v>
          </cell>
          <cell r="F1234"/>
          <cell r="G1234">
            <v>34197.93</v>
          </cell>
        </row>
        <row r="1235">
          <cell r="C1235">
            <v>124208751120</v>
          </cell>
          <cell r="D1235">
            <v>34197.93</v>
          </cell>
          <cell r="E1235">
            <v>10345196.6</v>
          </cell>
          <cell r="F1235"/>
          <cell r="G1235">
            <v>34197.93</v>
          </cell>
        </row>
        <row r="1236">
          <cell r="C1236">
            <v>122844404503</v>
          </cell>
          <cell r="D1236">
            <v>34292.61</v>
          </cell>
          <cell r="E1236">
            <v>7923773.8499999996</v>
          </cell>
          <cell r="F1236"/>
          <cell r="G1236">
            <v>34292.61</v>
          </cell>
        </row>
        <row r="1237">
          <cell r="C1237">
            <v>120318338743</v>
          </cell>
          <cell r="D1237">
            <v>34295.360000000001</v>
          </cell>
          <cell r="E1237">
            <v>9116018.9900000002</v>
          </cell>
          <cell r="F1237"/>
          <cell r="G1237">
            <v>34295.360000000001</v>
          </cell>
        </row>
        <row r="1238">
          <cell r="C1238">
            <v>121193422317</v>
          </cell>
          <cell r="D1238">
            <v>34295.360000000001</v>
          </cell>
          <cell r="E1238">
            <v>7685003.1699999999</v>
          </cell>
          <cell r="F1238"/>
          <cell r="G1238">
            <v>34295.360000000001</v>
          </cell>
        </row>
        <row r="1239">
          <cell r="C1239">
            <v>122112745645</v>
          </cell>
          <cell r="D1239">
            <v>34295.360000000001</v>
          </cell>
          <cell r="E1239">
            <v>7907977.1600000001</v>
          </cell>
          <cell r="F1239"/>
          <cell r="G1239">
            <v>34295.360000000001</v>
          </cell>
        </row>
        <row r="1240">
          <cell r="C1240">
            <v>120202098101</v>
          </cell>
          <cell r="D1240">
            <v>34490.22</v>
          </cell>
          <cell r="E1240">
            <v>6947440.6799999997</v>
          </cell>
          <cell r="F1240"/>
          <cell r="G1240">
            <v>34490.22</v>
          </cell>
        </row>
        <row r="1241">
          <cell r="C1241">
            <v>120314252935</v>
          </cell>
          <cell r="D1241">
            <v>34540.480000000003</v>
          </cell>
          <cell r="E1241">
            <v>8667873.0199999996</v>
          </cell>
          <cell r="F1241"/>
          <cell r="G1241">
            <v>34540.480000000003</v>
          </cell>
        </row>
        <row r="1242">
          <cell r="C1242">
            <v>120929266445</v>
          </cell>
          <cell r="D1242">
            <v>34587.65</v>
          </cell>
          <cell r="E1242">
            <v>7232389.1200000001</v>
          </cell>
          <cell r="F1242"/>
          <cell r="G1242">
            <v>34587.65</v>
          </cell>
        </row>
        <row r="1243">
          <cell r="C1243">
            <v>121081749535</v>
          </cell>
          <cell r="D1243">
            <v>34587.65</v>
          </cell>
          <cell r="E1243">
            <v>6323726.5599999996</v>
          </cell>
          <cell r="F1243"/>
          <cell r="G1243">
            <v>34587.65</v>
          </cell>
        </row>
        <row r="1244">
          <cell r="C1244">
            <v>120938188035</v>
          </cell>
          <cell r="D1244">
            <v>34685.08</v>
          </cell>
          <cell r="E1244">
            <v>7973572.5999999996</v>
          </cell>
          <cell r="F1244"/>
          <cell r="G1244">
            <v>34685.08</v>
          </cell>
        </row>
        <row r="1245">
          <cell r="C1245">
            <v>122841498087</v>
          </cell>
          <cell r="D1245">
            <v>34685.08</v>
          </cell>
          <cell r="E1245">
            <v>7043536.5700000003</v>
          </cell>
          <cell r="F1245"/>
          <cell r="G1245">
            <v>34685.08</v>
          </cell>
        </row>
        <row r="1246">
          <cell r="C1246">
            <v>122948947051</v>
          </cell>
          <cell r="D1246">
            <v>34764.959999999999</v>
          </cell>
          <cell r="E1246">
            <v>8753081.8900000006</v>
          </cell>
          <cell r="F1246"/>
          <cell r="G1246">
            <v>34764.959999999999</v>
          </cell>
        </row>
        <row r="1247">
          <cell r="C1247">
            <v>120911893888</v>
          </cell>
          <cell r="D1247">
            <v>34772.57</v>
          </cell>
          <cell r="E1247">
            <v>10336724.880000001</v>
          </cell>
          <cell r="F1247"/>
          <cell r="G1247">
            <v>34772.57</v>
          </cell>
        </row>
        <row r="1248">
          <cell r="C1248">
            <v>122200146972</v>
          </cell>
          <cell r="D1248">
            <v>34780.559999999998</v>
          </cell>
          <cell r="E1248">
            <v>5499816.9400000004</v>
          </cell>
          <cell r="F1248"/>
          <cell r="G1248">
            <v>34780.559999999998</v>
          </cell>
        </row>
        <row r="1249">
          <cell r="C1249">
            <v>120807770196</v>
          </cell>
          <cell r="D1249">
            <v>34782.51</v>
          </cell>
          <cell r="E1249">
            <v>7903655.0999999996</v>
          </cell>
          <cell r="F1249"/>
          <cell r="G1249">
            <v>34782.51</v>
          </cell>
        </row>
        <row r="1250">
          <cell r="C1250">
            <v>121675458347</v>
          </cell>
          <cell r="D1250">
            <v>34878.97</v>
          </cell>
          <cell r="E1250">
            <v>5614786.3600000003</v>
          </cell>
          <cell r="F1250"/>
          <cell r="G1250">
            <v>34878.97</v>
          </cell>
        </row>
        <row r="1251">
          <cell r="C1251">
            <v>121878629931</v>
          </cell>
          <cell r="D1251">
            <v>34879.94</v>
          </cell>
          <cell r="E1251">
            <v>5302135.1100000003</v>
          </cell>
          <cell r="F1251"/>
          <cell r="G1251">
            <v>34879.94</v>
          </cell>
        </row>
        <row r="1252">
          <cell r="C1252">
            <v>124189506966</v>
          </cell>
          <cell r="D1252">
            <v>34879.94</v>
          </cell>
          <cell r="E1252">
            <v>8501211.4600000009</v>
          </cell>
          <cell r="F1252"/>
          <cell r="G1252">
            <v>34879.94</v>
          </cell>
        </row>
        <row r="1253">
          <cell r="C1253">
            <v>124304806520</v>
          </cell>
          <cell r="D1253">
            <v>34953.9</v>
          </cell>
          <cell r="E1253">
            <v>10967819.85</v>
          </cell>
          <cell r="F1253"/>
          <cell r="G1253">
            <v>34953.9</v>
          </cell>
        </row>
        <row r="1254">
          <cell r="C1254">
            <v>120070498997</v>
          </cell>
          <cell r="D1254">
            <v>34977.370000000003</v>
          </cell>
          <cell r="E1254">
            <v>5693127.6900000004</v>
          </cell>
          <cell r="F1254"/>
          <cell r="G1254">
            <v>34977.370000000003</v>
          </cell>
        </row>
        <row r="1255">
          <cell r="C1255">
            <v>121593690426</v>
          </cell>
          <cell r="D1255">
            <v>35074.800000000003</v>
          </cell>
          <cell r="E1255">
            <v>5948998.6699999999</v>
          </cell>
          <cell r="F1255"/>
          <cell r="G1255">
            <v>35074.800000000003</v>
          </cell>
        </row>
        <row r="1256">
          <cell r="C1256">
            <v>121604691556</v>
          </cell>
          <cell r="D1256">
            <v>35172.230000000003</v>
          </cell>
          <cell r="E1256">
            <v>6559108.5199999996</v>
          </cell>
          <cell r="F1256"/>
          <cell r="G1256">
            <v>35172.230000000003</v>
          </cell>
        </row>
        <row r="1257">
          <cell r="C1257">
            <v>120724341138</v>
          </cell>
          <cell r="D1257">
            <v>35224.28</v>
          </cell>
          <cell r="E1257">
            <v>7689267.7400000002</v>
          </cell>
          <cell r="F1257"/>
          <cell r="G1257">
            <v>35224.28</v>
          </cell>
        </row>
        <row r="1258">
          <cell r="C1258">
            <v>122008775229</v>
          </cell>
          <cell r="D1258">
            <v>35226.519999999997</v>
          </cell>
          <cell r="E1258">
            <v>7354572.9000000004</v>
          </cell>
          <cell r="F1258"/>
          <cell r="G1258">
            <v>35226.519999999997</v>
          </cell>
        </row>
        <row r="1259">
          <cell r="C1259">
            <v>120322038151</v>
          </cell>
          <cell r="D1259">
            <v>35269.660000000003</v>
          </cell>
          <cell r="E1259">
            <v>10002828.970000001</v>
          </cell>
          <cell r="F1259"/>
          <cell r="G1259">
            <v>35269.660000000003</v>
          </cell>
        </row>
        <row r="1260">
          <cell r="C1260">
            <v>122214783538</v>
          </cell>
          <cell r="D1260">
            <v>35269.660000000003</v>
          </cell>
          <cell r="E1260">
            <v>6063794.4900000002</v>
          </cell>
          <cell r="F1260"/>
          <cell r="G1260">
            <v>35269.660000000003</v>
          </cell>
        </row>
        <row r="1261">
          <cell r="C1261">
            <v>121678493817</v>
          </cell>
          <cell r="D1261">
            <v>35367.089999999997</v>
          </cell>
          <cell r="E1261">
            <v>5898433.8499999996</v>
          </cell>
          <cell r="F1261"/>
          <cell r="G1261">
            <v>35367.089999999997</v>
          </cell>
        </row>
        <row r="1262">
          <cell r="C1262">
            <v>124066421672</v>
          </cell>
          <cell r="D1262">
            <v>35520.720000000001</v>
          </cell>
          <cell r="E1262">
            <v>9050554.0600000005</v>
          </cell>
          <cell r="F1262"/>
          <cell r="G1262">
            <v>35520.720000000001</v>
          </cell>
        </row>
        <row r="1263">
          <cell r="C1263">
            <v>123400103949</v>
          </cell>
          <cell r="D1263">
            <v>35561.949999999997</v>
          </cell>
          <cell r="E1263">
            <v>9307687.6400000006</v>
          </cell>
          <cell r="F1263"/>
          <cell r="G1263">
            <v>35561.949999999997</v>
          </cell>
        </row>
        <row r="1264">
          <cell r="C1264">
            <v>121312938224</v>
          </cell>
          <cell r="D1264">
            <v>35709.660000000003</v>
          </cell>
          <cell r="E1264">
            <v>6852208.7699999996</v>
          </cell>
          <cell r="F1264"/>
          <cell r="G1264">
            <v>35709.660000000003</v>
          </cell>
        </row>
        <row r="1265">
          <cell r="C1265">
            <v>121080548391</v>
          </cell>
          <cell r="D1265">
            <v>35756.81</v>
          </cell>
          <cell r="E1265">
            <v>6197691.9500000002</v>
          </cell>
          <cell r="F1265"/>
          <cell r="G1265">
            <v>35756.81</v>
          </cell>
        </row>
        <row r="1266">
          <cell r="C1266">
            <v>120829454842</v>
          </cell>
          <cell r="D1266">
            <v>35993.07</v>
          </cell>
          <cell r="E1266">
            <v>8383201.0099999998</v>
          </cell>
          <cell r="F1266"/>
          <cell r="G1266">
            <v>35993.07</v>
          </cell>
        </row>
        <row r="1267">
          <cell r="C1267">
            <v>121812488844</v>
          </cell>
          <cell r="D1267">
            <v>36042.239999999998</v>
          </cell>
          <cell r="E1267">
            <v>10449994.35</v>
          </cell>
          <cell r="F1267"/>
          <cell r="G1267">
            <v>36042.239999999998</v>
          </cell>
        </row>
        <row r="1268">
          <cell r="C1268">
            <v>121462598974</v>
          </cell>
          <cell r="D1268">
            <v>36049.1</v>
          </cell>
          <cell r="E1268">
            <v>8253596.9299999997</v>
          </cell>
          <cell r="F1268"/>
          <cell r="G1268">
            <v>36049.1</v>
          </cell>
        </row>
        <row r="1269">
          <cell r="C1269">
            <v>121200420219</v>
          </cell>
          <cell r="D1269">
            <v>36049.1</v>
          </cell>
          <cell r="E1269">
            <v>8304826.2800000003</v>
          </cell>
          <cell r="F1269"/>
          <cell r="G1269">
            <v>36049.1</v>
          </cell>
        </row>
        <row r="1270">
          <cell r="C1270">
            <v>123243680970</v>
          </cell>
          <cell r="D1270">
            <v>36049.1</v>
          </cell>
          <cell r="E1270">
            <v>5673305.1600000001</v>
          </cell>
          <cell r="F1270"/>
          <cell r="G1270">
            <v>36049.1</v>
          </cell>
        </row>
        <row r="1271">
          <cell r="C1271">
            <v>121598751876</v>
          </cell>
          <cell r="D1271">
            <v>36146.53</v>
          </cell>
          <cell r="E1271">
            <v>6121438.8200000003</v>
          </cell>
          <cell r="F1271"/>
          <cell r="G1271">
            <v>36146.53</v>
          </cell>
        </row>
        <row r="1272">
          <cell r="C1272">
            <v>121721777650</v>
          </cell>
          <cell r="D1272">
            <v>36229.96</v>
          </cell>
          <cell r="E1272">
            <v>8208221.3700000001</v>
          </cell>
          <cell r="F1272"/>
          <cell r="G1272">
            <v>36229.96</v>
          </cell>
        </row>
        <row r="1273">
          <cell r="C1273">
            <v>123401067263</v>
          </cell>
          <cell r="D1273">
            <v>36276.480000000003</v>
          </cell>
          <cell r="E1273">
            <v>9436445</v>
          </cell>
          <cell r="F1273"/>
          <cell r="G1273">
            <v>36276.480000000003</v>
          </cell>
        </row>
        <row r="1274">
          <cell r="C1274">
            <v>122653513456</v>
          </cell>
          <cell r="D1274">
            <v>36370.949999999997</v>
          </cell>
          <cell r="E1274">
            <v>8747631.8900000006</v>
          </cell>
          <cell r="F1274"/>
          <cell r="G1274">
            <v>36370.949999999997</v>
          </cell>
        </row>
        <row r="1275">
          <cell r="C1275">
            <v>124312315744</v>
          </cell>
          <cell r="D1275">
            <v>36559.89</v>
          </cell>
          <cell r="E1275">
            <v>11175569.93</v>
          </cell>
          <cell r="F1275"/>
          <cell r="G1275">
            <v>36559.89</v>
          </cell>
        </row>
        <row r="1276">
          <cell r="C1276">
            <v>123030350207</v>
          </cell>
          <cell r="D1276">
            <v>36605.4</v>
          </cell>
          <cell r="E1276">
            <v>10636630.24</v>
          </cell>
          <cell r="F1276"/>
          <cell r="G1276">
            <v>36605.4</v>
          </cell>
        </row>
        <row r="1277">
          <cell r="C1277">
            <v>124397529126</v>
          </cell>
          <cell r="D1277">
            <v>36633.68</v>
          </cell>
          <cell r="E1277">
            <v>12829947.630000001</v>
          </cell>
          <cell r="F1277"/>
          <cell r="G1277">
            <v>36633.68</v>
          </cell>
        </row>
        <row r="1278">
          <cell r="C1278">
            <v>121728057408</v>
          </cell>
          <cell r="D1278">
            <v>36772.6</v>
          </cell>
          <cell r="E1278">
            <v>9288972.4700000007</v>
          </cell>
          <cell r="F1278"/>
          <cell r="G1278">
            <v>36772.6</v>
          </cell>
        </row>
        <row r="1279">
          <cell r="C1279">
            <v>121087487657</v>
          </cell>
          <cell r="D1279">
            <v>36828.54</v>
          </cell>
          <cell r="E1279">
            <v>7281924.8499999996</v>
          </cell>
          <cell r="F1279"/>
          <cell r="G1279">
            <v>36828.54</v>
          </cell>
        </row>
        <row r="1280">
          <cell r="C1280">
            <v>121445489466</v>
          </cell>
          <cell r="D1280">
            <v>37023.4</v>
          </cell>
          <cell r="E1280">
            <v>7140914.6900000004</v>
          </cell>
          <cell r="F1280"/>
          <cell r="G1280">
            <v>37023.4</v>
          </cell>
        </row>
        <row r="1281">
          <cell r="C1281">
            <v>120941460157</v>
          </cell>
          <cell r="D1281">
            <v>37023.4</v>
          </cell>
          <cell r="E1281">
            <v>8290620.3300000001</v>
          </cell>
          <cell r="F1281"/>
          <cell r="G1281">
            <v>37023.4</v>
          </cell>
        </row>
        <row r="1282">
          <cell r="C1282">
            <v>120798436787</v>
          </cell>
          <cell r="D1282">
            <v>37030.35</v>
          </cell>
          <cell r="E1282">
            <v>7185230.2000000002</v>
          </cell>
          <cell r="F1282"/>
          <cell r="G1282">
            <v>37030.35</v>
          </cell>
        </row>
        <row r="1283">
          <cell r="C1283">
            <v>123774683717</v>
          </cell>
          <cell r="D1283">
            <v>37032.239999999998</v>
          </cell>
          <cell r="E1283">
            <v>11460059.93</v>
          </cell>
          <cell r="F1283"/>
          <cell r="G1283">
            <v>37032.239999999998</v>
          </cell>
        </row>
        <row r="1284">
          <cell r="C1284">
            <v>122692016625</v>
          </cell>
          <cell r="D1284">
            <v>37126.71</v>
          </cell>
          <cell r="E1284">
            <v>4895303.34</v>
          </cell>
          <cell r="F1284"/>
          <cell r="G1284">
            <v>37126.71</v>
          </cell>
        </row>
        <row r="1285">
          <cell r="C1285">
            <v>123779682955</v>
          </cell>
          <cell r="D1285">
            <v>37218.26</v>
          </cell>
          <cell r="E1285">
            <v>12007783.02</v>
          </cell>
          <cell r="F1285"/>
          <cell r="G1285">
            <v>37218.26</v>
          </cell>
        </row>
        <row r="1286">
          <cell r="C1286">
            <v>122532061904</v>
          </cell>
          <cell r="D1286">
            <v>37223.9</v>
          </cell>
          <cell r="E1286">
            <v>6278414.2699999996</v>
          </cell>
          <cell r="F1286"/>
          <cell r="G1286">
            <v>37223.9</v>
          </cell>
        </row>
        <row r="1287">
          <cell r="C1287">
            <v>122624987862</v>
          </cell>
          <cell r="D1287">
            <v>37314.69</v>
          </cell>
          <cell r="E1287">
            <v>7414314.4900000002</v>
          </cell>
          <cell r="F1287"/>
          <cell r="G1287">
            <v>37314.69</v>
          </cell>
        </row>
        <row r="1288">
          <cell r="C1288">
            <v>122540425046</v>
          </cell>
          <cell r="D1288">
            <v>37413.120000000003</v>
          </cell>
          <cell r="E1288">
            <v>7448592.8499999996</v>
          </cell>
          <cell r="F1288"/>
          <cell r="G1288">
            <v>37413.120000000003</v>
          </cell>
        </row>
        <row r="1289">
          <cell r="C1289">
            <v>124314700188</v>
          </cell>
          <cell r="D1289">
            <v>37607.980000000003</v>
          </cell>
          <cell r="E1289">
            <v>11235094.949999999</v>
          </cell>
          <cell r="F1289"/>
          <cell r="G1289">
            <v>37607.980000000003</v>
          </cell>
        </row>
        <row r="1290">
          <cell r="C1290">
            <v>122634849936</v>
          </cell>
          <cell r="D1290">
            <v>37705.410000000003</v>
          </cell>
          <cell r="E1290">
            <v>7552601.71</v>
          </cell>
          <cell r="F1290"/>
          <cell r="G1290">
            <v>37705.410000000003</v>
          </cell>
        </row>
        <row r="1291">
          <cell r="C1291">
            <v>123399860849</v>
          </cell>
          <cell r="D1291">
            <v>37801.870000000003</v>
          </cell>
          <cell r="E1291">
            <v>9272125.6899999995</v>
          </cell>
          <cell r="F1291"/>
          <cell r="G1291">
            <v>37801.870000000003</v>
          </cell>
        </row>
        <row r="1292">
          <cell r="C1292">
            <v>120706167726</v>
          </cell>
          <cell r="D1292">
            <v>38041.01</v>
          </cell>
          <cell r="E1292">
            <v>5841514.8399999999</v>
          </cell>
          <cell r="F1292"/>
          <cell r="G1292">
            <v>38041.01</v>
          </cell>
        </row>
        <row r="1293">
          <cell r="C1293">
            <v>123108528440</v>
          </cell>
          <cell r="D1293">
            <v>38071.410000000003</v>
          </cell>
          <cell r="E1293">
            <v>5329399.66</v>
          </cell>
          <cell r="F1293"/>
          <cell r="G1293">
            <v>38071.410000000003</v>
          </cell>
        </row>
        <row r="1294">
          <cell r="C1294">
            <v>124305388054</v>
          </cell>
          <cell r="D1294">
            <v>38192.559999999998</v>
          </cell>
          <cell r="E1294">
            <v>11006012.41</v>
          </cell>
          <cell r="F1294"/>
          <cell r="G1294">
            <v>38192.559999999998</v>
          </cell>
        </row>
        <row r="1295">
          <cell r="C1295">
            <v>120714062804</v>
          </cell>
          <cell r="D1295">
            <v>38354.82</v>
          </cell>
          <cell r="E1295">
            <v>6089601.9900000002</v>
          </cell>
          <cell r="F1295"/>
          <cell r="G1295">
            <v>38354.82</v>
          </cell>
        </row>
        <row r="1296">
          <cell r="C1296">
            <v>120781949903</v>
          </cell>
          <cell r="D1296">
            <v>38404.17</v>
          </cell>
          <cell r="E1296">
            <v>6647403.3300000001</v>
          </cell>
          <cell r="F1296"/>
          <cell r="G1296">
            <v>38404.17</v>
          </cell>
        </row>
        <row r="1297">
          <cell r="C1297">
            <v>121283293901</v>
          </cell>
          <cell r="D1297">
            <v>38543.760000000002</v>
          </cell>
          <cell r="E1297">
            <v>10175158.189999999</v>
          </cell>
          <cell r="F1297"/>
          <cell r="G1297">
            <v>38543.760000000002</v>
          </cell>
        </row>
        <row r="1298">
          <cell r="C1298">
            <v>122925809369</v>
          </cell>
          <cell r="D1298">
            <v>38543.760000000002</v>
          </cell>
          <cell r="E1298">
            <v>8173218.7800000003</v>
          </cell>
          <cell r="F1298"/>
          <cell r="G1298">
            <v>38543.760000000002</v>
          </cell>
        </row>
        <row r="1299">
          <cell r="C1299">
            <v>121456043612</v>
          </cell>
          <cell r="D1299">
            <v>38582.28</v>
          </cell>
          <cell r="E1299">
            <v>7480753.0800000001</v>
          </cell>
          <cell r="F1299"/>
          <cell r="G1299">
            <v>38582.28</v>
          </cell>
        </row>
        <row r="1300">
          <cell r="C1300">
            <v>120723679460</v>
          </cell>
          <cell r="D1300">
            <v>38638.230000000003</v>
          </cell>
          <cell r="E1300">
            <v>7596292.6299999999</v>
          </cell>
          <cell r="F1300"/>
          <cell r="G1300">
            <v>38638.230000000003</v>
          </cell>
        </row>
        <row r="1301">
          <cell r="C1301">
            <v>120724695366</v>
          </cell>
          <cell r="D1301">
            <v>38679.71</v>
          </cell>
          <cell r="E1301">
            <v>7740010.2599999998</v>
          </cell>
          <cell r="F1301"/>
          <cell r="G1301">
            <v>38679.71</v>
          </cell>
        </row>
        <row r="1302">
          <cell r="C1302">
            <v>121721949890</v>
          </cell>
          <cell r="D1302">
            <v>39016.11</v>
          </cell>
          <cell r="E1302">
            <v>8268777.1799999997</v>
          </cell>
          <cell r="F1302"/>
          <cell r="G1302">
            <v>39016.11</v>
          </cell>
        </row>
        <row r="1303">
          <cell r="C1303">
            <v>120401939955</v>
          </cell>
          <cell r="D1303">
            <v>39110.58</v>
          </cell>
          <cell r="E1303">
            <v>11052884.41</v>
          </cell>
          <cell r="F1303"/>
          <cell r="G1303">
            <v>39110.58</v>
          </cell>
        </row>
        <row r="1304">
          <cell r="C1304">
            <v>122206467430</v>
          </cell>
          <cell r="D1304">
            <v>39166.86</v>
          </cell>
          <cell r="E1304">
            <v>5937600.71</v>
          </cell>
          <cell r="F1304"/>
          <cell r="G1304">
            <v>39166.86</v>
          </cell>
        </row>
        <row r="1305">
          <cell r="C1305">
            <v>123247067248</v>
          </cell>
          <cell r="D1305">
            <v>39166.86</v>
          </cell>
          <cell r="E1305">
            <v>6261735.1699999999</v>
          </cell>
          <cell r="F1305"/>
          <cell r="G1305">
            <v>39166.86</v>
          </cell>
        </row>
        <row r="1306">
          <cell r="C1306">
            <v>123779675277</v>
          </cell>
          <cell r="D1306">
            <v>39166.86</v>
          </cell>
          <cell r="E1306">
            <v>12046949.880000001</v>
          </cell>
          <cell r="F1306"/>
          <cell r="G1306">
            <v>39166.86</v>
          </cell>
        </row>
        <row r="1307">
          <cell r="C1307">
            <v>121881327457</v>
          </cell>
          <cell r="D1307">
            <v>39264.29</v>
          </cell>
          <cell r="E1307">
            <v>5683985.9100000001</v>
          </cell>
          <cell r="F1307"/>
          <cell r="G1307">
            <v>39264.29</v>
          </cell>
        </row>
        <row r="1308">
          <cell r="C1308">
            <v>120932037535</v>
          </cell>
          <cell r="D1308">
            <v>39361.72</v>
          </cell>
          <cell r="E1308">
            <v>7354034.4000000004</v>
          </cell>
          <cell r="F1308"/>
          <cell r="G1308">
            <v>39361.72</v>
          </cell>
        </row>
        <row r="1309">
          <cell r="C1309">
            <v>122831901909</v>
          </cell>
          <cell r="D1309">
            <v>39361.72</v>
          </cell>
          <cell r="E1309">
            <v>6299622.46</v>
          </cell>
          <cell r="F1309"/>
          <cell r="G1309">
            <v>39361.72</v>
          </cell>
        </row>
        <row r="1310">
          <cell r="C1310">
            <v>124198624994</v>
          </cell>
          <cell r="D1310">
            <v>39361.72</v>
          </cell>
          <cell r="E1310">
            <v>8831097.5700000003</v>
          </cell>
          <cell r="F1310"/>
          <cell r="G1310">
            <v>39361.72</v>
          </cell>
        </row>
        <row r="1311">
          <cell r="C1311">
            <v>120794636249</v>
          </cell>
          <cell r="D1311">
            <v>39487.519999999997</v>
          </cell>
          <cell r="E1311">
            <v>6891696.29</v>
          </cell>
          <cell r="F1311"/>
          <cell r="G1311">
            <v>39487.519999999997</v>
          </cell>
        </row>
        <row r="1312">
          <cell r="C1312">
            <v>122120643057</v>
          </cell>
          <cell r="D1312">
            <v>39488.46</v>
          </cell>
          <cell r="E1312">
            <v>8517030.2300000004</v>
          </cell>
          <cell r="F1312"/>
          <cell r="G1312">
            <v>39488.46</v>
          </cell>
        </row>
        <row r="1313">
          <cell r="C1313">
            <v>123669056051</v>
          </cell>
          <cell r="D1313">
            <v>39556.58</v>
          </cell>
          <cell r="E1313">
            <v>10841410.42</v>
          </cell>
          <cell r="F1313"/>
          <cell r="G1313">
            <v>39556.58</v>
          </cell>
        </row>
        <row r="1314">
          <cell r="C1314">
            <v>122004179825</v>
          </cell>
          <cell r="D1314">
            <v>39654.01</v>
          </cell>
          <cell r="E1314">
            <v>6525721.0499999998</v>
          </cell>
          <cell r="F1314"/>
          <cell r="G1314">
            <v>39654.01</v>
          </cell>
        </row>
        <row r="1315">
          <cell r="C1315">
            <v>122647215946</v>
          </cell>
          <cell r="D1315">
            <v>39654.01</v>
          </cell>
          <cell r="E1315">
            <v>8163727.8300000001</v>
          </cell>
          <cell r="F1315"/>
          <cell r="G1315">
            <v>39654.01</v>
          </cell>
        </row>
        <row r="1316">
          <cell r="C1316">
            <v>122691296177</v>
          </cell>
          <cell r="D1316">
            <v>40055.279999999999</v>
          </cell>
          <cell r="E1316">
            <v>4815665.13</v>
          </cell>
          <cell r="F1316"/>
          <cell r="G1316">
            <v>40055.279999999999</v>
          </cell>
        </row>
        <row r="1317">
          <cell r="C1317">
            <v>120704729922</v>
          </cell>
          <cell r="D1317">
            <v>40078.22</v>
          </cell>
          <cell r="E1317">
            <v>5799966.3499999996</v>
          </cell>
          <cell r="F1317"/>
          <cell r="G1317">
            <v>40078.22</v>
          </cell>
        </row>
        <row r="1318">
          <cell r="C1318">
            <v>121183629545</v>
          </cell>
          <cell r="D1318">
            <v>40129.18</v>
          </cell>
          <cell r="E1318">
            <v>7378856.4699999997</v>
          </cell>
          <cell r="F1318"/>
          <cell r="G1318">
            <v>40129.18</v>
          </cell>
        </row>
        <row r="1319">
          <cell r="C1319">
            <v>121192644717</v>
          </cell>
          <cell r="D1319">
            <v>40149.75</v>
          </cell>
          <cell r="E1319">
            <v>7629357.5899999999</v>
          </cell>
          <cell r="F1319"/>
          <cell r="G1319">
            <v>40149.75</v>
          </cell>
        </row>
        <row r="1320">
          <cell r="C1320">
            <v>121987611831</v>
          </cell>
          <cell r="D1320">
            <v>40219.97</v>
          </cell>
          <cell r="E1320">
            <v>6056665.46</v>
          </cell>
          <cell r="F1320"/>
          <cell r="G1320">
            <v>40219.97</v>
          </cell>
        </row>
        <row r="1321">
          <cell r="C1321">
            <v>123773815683</v>
          </cell>
          <cell r="D1321">
            <v>40244.22</v>
          </cell>
          <cell r="E1321">
            <v>11315275.5</v>
          </cell>
          <cell r="F1321"/>
          <cell r="G1321">
            <v>40244.22</v>
          </cell>
        </row>
        <row r="1322">
          <cell r="C1322">
            <v>120830221772</v>
          </cell>
          <cell r="D1322">
            <v>40735.24</v>
          </cell>
          <cell r="E1322">
            <v>8531498.9700000007</v>
          </cell>
          <cell r="F1322"/>
          <cell r="G1322">
            <v>40735.24</v>
          </cell>
        </row>
        <row r="1323">
          <cell r="C1323">
            <v>122707051873</v>
          </cell>
          <cell r="D1323">
            <v>40811.040000000001</v>
          </cell>
          <cell r="E1323">
            <v>5523344.7699999996</v>
          </cell>
          <cell r="F1323"/>
          <cell r="G1323">
            <v>40811.040000000001</v>
          </cell>
        </row>
        <row r="1324">
          <cell r="C1324">
            <v>124317858636</v>
          </cell>
          <cell r="D1324">
            <v>40823.17</v>
          </cell>
          <cell r="E1324">
            <v>11686713.800000001</v>
          </cell>
          <cell r="F1324"/>
          <cell r="G1324">
            <v>40823.17</v>
          </cell>
        </row>
        <row r="1325">
          <cell r="C1325">
            <v>123668483833</v>
          </cell>
          <cell r="D1325">
            <v>40905.51</v>
          </cell>
          <cell r="E1325">
            <v>10663299.560000001</v>
          </cell>
          <cell r="F1325"/>
          <cell r="G1325">
            <v>40905.51</v>
          </cell>
        </row>
        <row r="1326">
          <cell r="C1326">
            <v>123565160706</v>
          </cell>
          <cell r="D1326">
            <v>40920.6</v>
          </cell>
          <cell r="E1326">
            <v>10556478.34</v>
          </cell>
          <cell r="F1326"/>
          <cell r="G1326">
            <v>40920.6</v>
          </cell>
        </row>
        <row r="1327">
          <cell r="C1327">
            <v>121074925141</v>
          </cell>
          <cell r="D1327">
            <v>40946.29</v>
          </cell>
          <cell r="E1327">
            <v>6075939.0099999998</v>
          </cell>
          <cell r="F1327"/>
          <cell r="G1327">
            <v>40946.29</v>
          </cell>
        </row>
        <row r="1328">
          <cell r="C1328">
            <v>123524464471</v>
          </cell>
          <cell r="D1328">
            <v>41115.46</v>
          </cell>
          <cell r="E1328">
            <v>8747679.2100000009</v>
          </cell>
          <cell r="F1328"/>
          <cell r="G1328">
            <v>41115.46</v>
          </cell>
        </row>
        <row r="1329">
          <cell r="C1329">
            <v>121278608853</v>
          </cell>
          <cell r="D1329">
            <v>41212.89</v>
          </cell>
          <cell r="E1329">
            <v>10013453.119999999</v>
          </cell>
          <cell r="F1329"/>
          <cell r="G1329">
            <v>41212.89</v>
          </cell>
        </row>
        <row r="1330">
          <cell r="C1330">
            <v>122952320387</v>
          </cell>
          <cell r="D1330">
            <v>41212.89</v>
          </cell>
          <cell r="E1330">
            <v>9315381</v>
          </cell>
          <cell r="F1330"/>
          <cell r="G1330">
            <v>41212.89</v>
          </cell>
        </row>
        <row r="1331">
          <cell r="C1331">
            <v>121872335663</v>
          </cell>
          <cell r="D1331">
            <v>41283.39</v>
          </cell>
          <cell r="E1331">
            <v>4447886.5999999996</v>
          </cell>
          <cell r="F1331"/>
          <cell r="G1331">
            <v>41283.39</v>
          </cell>
        </row>
        <row r="1332">
          <cell r="C1332">
            <v>121728797352</v>
          </cell>
          <cell r="D1332">
            <v>41472.33</v>
          </cell>
          <cell r="E1332">
            <v>9582759.5299999993</v>
          </cell>
          <cell r="F1332"/>
          <cell r="G1332">
            <v>41472.33</v>
          </cell>
        </row>
        <row r="1333">
          <cell r="C1333">
            <v>123488858818</v>
          </cell>
          <cell r="D1333">
            <v>41700.04</v>
          </cell>
          <cell r="E1333">
            <v>9406770.3399999999</v>
          </cell>
          <cell r="F1333"/>
          <cell r="G1333">
            <v>41700.04</v>
          </cell>
        </row>
        <row r="1334">
          <cell r="C1334">
            <v>122839873407</v>
          </cell>
          <cell r="D1334">
            <v>41797.47</v>
          </cell>
          <cell r="E1334">
            <v>6794544.5800000001</v>
          </cell>
          <cell r="F1334"/>
          <cell r="G1334">
            <v>41797.47</v>
          </cell>
        </row>
        <row r="1335">
          <cell r="C1335">
            <v>123036165665</v>
          </cell>
          <cell r="D1335">
            <v>41861.56</v>
          </cell>
          <cell r="E1335">
            <v>10949137.800000001</v>
          </cell>
          <cell r="F1335"/>
          <cell r="G1335">
            <v>41861.56</v>
          </cell>
        </row>
        <row r="1336">
          <cell r="C1336">
            <v>122006067137</v>
          </cell>
          <cell r="D1336">
            <v>41894.9</v>
          </cell>
          <cell r="E1336">
            <v>6870466.5199999996</v>
          </cell>
          <cell r="F1336"/>
          <cell r="G1336">
            <v>41894.9</v>
          </cell>
        </row>
        <row r="1337">
          <cell r="C1337">
            <v>123489020466</v>
          </cell>
          <cell r="D1337">
            <v>41894.9</v>
          </cell>
          <cell r="E1337">
            <v>9521879.4900000002</v>
          </cell>
          <cell r="F1337"/>
          <cell r="G1337">
            <v>41894.9</v>
          </cell>
        </row>
        <row r="1338">
          <cell r="C1338">
            <v>124064368620</v>
          </cell>
          <cell r="D1338">
            <v>41944.98</v>
          </cell>
          <cell r="E1338">
            <v>8693995.2799999993</v>
          </cell>
          <cell r="F1338"/>
          <cell r="G1338">
            <v>41944.98</v>
          </cell>
        </row>
        <row r="1339">
          <cell r="C1339">
            <v>124199862742</v>
          </cell>
          <cell r="D1339">
            <v>42039.15</v>
          </cell>
          <cell r="E1339">
            <v>8901857.8800000008</v>
          </cell>
          <cell r="F1339"/>
          <cell r="G1339">
            <v>42039.15</v>
          </cell>
        </row>
        <row r="1340">
          <cell r="C1340">
            <v>122645031556</v>
          </cell>
          <cell r="D1340">
            <v>42089.760000000002</v>
          </cell>
          <cell r="E1340">
            <v>8008931.7599999998</v>
          </cell>
          <cell r="F1340"/>
          <cell r="G1340">
            <v>42089.760000000002</v>
          </cell>
        </row>
        <row r="1341">
          <cell r="C1341">
            <v>121812821304</v>
          </cell>
          <cell r="D1341">
            <v>42133.62</v>
          </cell>
          <cell r="E1341">
            <v>10492127.970000001</v>
          </cell>
          <cell r="F1341"/>
          <cell r="G1341">
            <v>42133.62</v>
          </cell>
        </row>
        <row r="1342">
          <cell r="C1342">
            <v>122710972723</v>
          </cell>
          <cell r="D1342">
            <v>42187.19</v>
          </cell>
          <cell r="E1342">
            <v>6181745.1399999997</v>
          </cell>
          <cell r="F1342"/>
          <cell r="G1342">
            <v>42187.19</v>
          </cell>
        </row>
        <row r="1343">
          <cell r="C1343">
            <v>121074851209</v>
          </cell>
          <cell r="D1343">
            <v>42284.62</v>
          </cell>
          <cell r="E1343">
            <v>6034992.7199999997</v>
          </cell>
          <cell r="F1343"/>
          <cell r="G1343">
            <v>42284.62</v>
          </cell>
        </row>
        <row r="1344">
          <cell r="C1344">
            <v>122839248653</v>
          </cell>
          <cell r="D1344">
            <v>42284.62</v>
          </cell>
          <cell r="E1344">
            <v>6533905.04</v>
          </cell>
          <cell r="F1344"/>
          <cell r="G1344">
            <v>42284.62</v>
          </cell>
        </row>
        <row r="1345">
          <cell r="C1345">
            <v>122645701610</v>
          </cell>
          <cell r="D1345">
            <v>42322.559999999998</v>
          </cell>
          <cell r="E1345">
            <v>8060315.3099999996</v>
          </cell>
          <cell r="F1345"/>
          <cell r="G1345">
            <v>42322.559999999998</v>
          </cell>
        </row>
        <row r="1346">
          <cell r="C1346">
            <v>120832317528</v>
          </cell>
          <cell r="D1346">
            <v>42482.03</v>
          </cell>
          <cell r="E1346">
            <v>8871247.5199999996</v>
          </cell>
          <cell r="F1346"/>
          <cell r="G1346">
            <v>42482.03</v>
          </cell>
        </row>
        <row r="1347">
          <cell r="C1347">
            <v>120200876397</v>
          </cell>
          <cell r="D1347">
            <v>42511.5</v>
          </cell>
          <cell r="E1347">
            <v>6494678.8799999999</v>
          </cell>
          <cell r="F1347"/>
          <cell r="G1347">
            <v>42511.5</v>
          </cell>
        </row>
        <row r="1348">
          <cell r="C1348">
            <v>122736605500</v>
          </cell>
          <cell r="D1348">
            <v>42511.5</v>
          </cell>
          <cell r="E1348">
            <v>9872658.5099999998</v>
          </cell>
          <cell r="F1348"/>
          <cell r="G1348">
            <v>42511.5</v>
          </cell>
        </row>
        <row r="1349">
          <cell r="C1349">
            <v>122691634911</v>
          </cell>
          <cell r="D1349">
            <v>42511.5</v>
          </cell>
          <cell r="E1349">
            <v>4858176.63</v>
          </cell>
          <cell r="F1349"/>
          <cell r="G1349">
            <v>42511.5</v>
          </cell>
        </row>
        <row r="1350">
          <cell r="C1350">
            <v>123782703705</v>
          </cell>
          <cell r="D1350">
            <v>42518.58</v>
          </cell>
          <cell r="E1350">
            <v>12550098.49</v>
          </cell>
          <cell r="F1350"/>
          <cell r="G1350">
            <v>42518.58</v>
          </cell>
        </row>
        <row r="1351">
          <cell r="C1351">
            <v>120717401844</v>
          </cell>
          <cell r="D1351">
            <v>42674.34</v>
          </cell>
          <cell r="E1351">
            <v>6537353.2199999997</v>
          </cell>
          <cell r="F1351"/>
          <cell r="G1351">
            <v>42674.34</v>
          </cell>
        </row>
        <row r="1352">
          <cell r="C1352">
            <v>122204348098</v>
          </cell>
          <cell r="D1352">
            <v>42767.87</v>
          </cell>
          <cell r="E1352">
            <v>5684834.6299999999</v>
          </cell>
          <cell r="F1352"/>
          <cell r="G1352">
            <v>42767.87</v>
          </cell>
        </row>
        <row r="1353">
          <cell r="C1353">
            <v>123031058859</v>
          </cell>
          <cell r="D1353">
            <v>42983.85</v>
          </cell>
          <cell r="E1353">
            <v>10686982.75</v>
          </cell>
          <cell r="F1353"/>
          <cell r="G1353">
            <v>42983.85</v>
          </cell>
        </row>
        <row r="1354">
          <cell r="C1354">
            <v>122125224155</v>
          </cell>
          <cell r="D1354">
            <v>43062.65</v>
          </cell>
          <cell r="E1354">
            <v>9411726.2200000007</v>
          </cell>
          <cell r="F1354"/>
          <cell r="G1354">
            <v>43062.65</v>
          </cell>
        </row>
        <row r="1355">
          <cell r="C1355">
            <v>124066935420</v>
          </cell>
          <cell r="D1355">
            <v>43125.25</v>
          </cell>
          <cell r="E1355">
            <v>9145080.1199999992</v>
          </cell>
          <cell r="F1355"/>
          <cell r="G1355">
            <v>43125.25</v>
          </cell>
        </row>
        <row r="1356">
          <cell r="C1356">
            <v>121881777287</v>
          </cell>
          <cell r="D1356">
            <v>43258.92</v>
          </cell>
          <cell r="E1356">
            <v>5832038.1699999999</v>
          </cell>
          <cell r="F1356"/>
          <cell r="G1356">
            <v>43258.92</v>
          </cell>
        </row>
        <row r="1357">
          <cell r="C1357">
            <v>123111411370</v>
          </cell>
          <cell r="D1357">
            <v>43306.83</v>
          </cell>
          <cell r="E1357">
            <v>5454985.1399999997</v>
          </cell>
          <cell r="F1357"/>
          <cell r="G1357">
            <v>43306.83</v>
          </cell>
        </row>
        <row r="1358">
          <cell r="C1358">
            <v>122577046063</v>
          </cell>
          <cell r="D1358">
            <v>43306.83</v>
          </cell>
          <cell r="E1358">
            <v>5498291.9699999997</v>
          </cell>
          <cell r="F1358"/>
          <cell r="G1358">
            <v>43306.83</v>
          </cell>
        </row>
        <row r="1359">
          <cell r="C1359">
            <v>120834434784</v>
          </cell>
          <cell r="D1359">
            <v>43356.35</v>
          </cell>
          <cell r="E1359">
            <v>9008353.0399999991</v>
          </cell>
          <cell r="F1359"/>
          <cell r="G1359">
            <v>43356.35</v>
          </cell>
        </row>
        <row r="1360">
          <cell r="C1360">
            <v>121606179966</v>
          </cell>
          <cell r="D1360">
            <v>43453.78</v>
          </cell>
          <cell r="E1360">
            <v>6730901.5</v>
          </cell>
          <cell r="F1360"/>
          <cell r="G1360">
            <v>43453.78</v>
          </cell>
        </row>
        <row r="1361">
          <cell r="C1361">
            <v>123940582606</v>
          </cell>
          <cell r="D1361">
            <v>43453.78</v>
          </cell>
          <cell r="E1361">
            <v>9400168.5199999996</v>
          </cell>
          <cell r="F1361"/>
          <cell r="G1361">
            <v>43453.78</v>
          </cell>
        </row>
        <row r="1362">
          <cell r="C1362">
            <v>123397352489</v>
          </cell>
          <cell r="D1362">
            <v>43485.69</v>
          </cell>
          <cell r="E1362">
            <v>9014109.0800000001</v>
          </cell>
          <cell r="F1362"/>
          <cell r="G1362">
            <v>43485.69</v>
          </cell>
        </row>
        <row r="1363">
          <cell r="C1363">
            <v>123566469684</v>
          </cell>
          <cell r="D1363">
            <v>43546.5</v>
          </cell>
          <cell r="E1363">
            <v>10600024.84</v>
          </cell>
          <cell r="F1363"/>
          <cell r="G1363">
            <v>43546.5</v>
          </cell>
        </row>
        <row r="1364">
          <cell r="C1364">
            <v>120584727896</v>
          </cell>
          <cell r="D1364">
            <v>43551.21</v>
          </cell>
          <cell r="E1364">
            <v>5478882.21</v>
          </cell>
          <cell r="F1364"/>
          <cell r="G1364">
            <v>43551.21</v>
          </cell>
        </row>
        <row r="1365">
          <cell r="C1365">
            <v>123034070553</v>
          </cell>
          <cell r="D1365">
            <v>43551.21</v>
          </cell>
          <cell r="E1365">
            <v>10871235.359999999</v>
          </cell>
          <cell r="F1365"/>
          <cell r="G1365">
            <v>43551.21</v>
          </cell>
        </row>
        <row r="1366">
          <cell r="C1366">
            <v>120201359247</v>
          </cell>
          <cell r="D1366">
            <v>43843.5</v>
          </cell>
          <cell r="E1366">
            <v>6738448.7400000002</v>
          </cell>
          <cell r="F1366"/>
          <cell r="G1366">
            <v>43843.5</v>
          </cell>
        </row>
        <row r="1367">
          <cell r="C1367">
            <v>122536573460</v>
          </cell>
          <cell r="D1367">
            <v>43843.5</v>
          </cell>
          <cell r="E1367">
            <v>6824187.2699999996</v>
          </cell>
          <cell r="F1367"/>
          <cell r="G1367">
            <v>43843.5</v>
          </cell>
        </row>
        <row r="1368">
          <cell r="C1368">
            <v>121184881985</v>
          </cell>
          <cell r="D1368">
            <v>44038.36</v>
          </cell>
          <cell r="E1368">
            <v>7429227.7800000003</v>
          </cell>
          <cell r="F1368"/>
          <cell r="G1368">
            <v>44038.36</v>
          </cell>
        </row>
        <row r="1369">
          <cell r="C1369">
            <v>123853267557</v>
          </cell>
          <cell r="D1369">
            <v>44135.79</v>
          </cell>
          <cell r="E1369">
            <v>12768683.51</v>
          </cell>
          <cell r="F1369"/>
          <cell r="G1369">
            <v>44135.79</v>
          </cell>
        </row>
        <row r="1370">
          <cell r="C1370">
            <v>122948502349</v>
          </cell>
          <cell r="D1370">
            <v>44301.919999999998</v>
          </cell>
          <cell r="E1370">
            <v>8732103.7799999993</v>
          </cell>
          <cell r="F1370"/>
          <cell r="G1370">
            <v>44301.919999999998</v>
          </cell>
        </row>
        <row r="1371">
          <cell r="C1371">
            <v>121881628995</v>
          </cell>
          <cell r="D1371">
            <v>44330.65</v>
          </cell>
          <cell r="E1371">
            <v>5788779.25</v>
          </cell>
          <cell r="F1371"/>
          <cell r="G1371">
            <v>44330.65</v>
          </cell>
        </row>
        <row r="1372">
          <cell r="C1372">
            <v>122845235457</v>
          </cell>
          <cell r="D1372">
            <v>44395.78</v>
          </cell>
          <cell r="E1372">
            <v>8100155.8499999996</v>
          </cell>
          <cell r="F1372"/>
          <cell r="G1372">
            <v>44395.78</v>
          </cell>
        </row>
        <row r="1373">
          <cell r="C1373">
            <v>122576682719</v>
          </cell>
          <cell r="D1373">
            <v>44494.43</v>
          </cell>
          <cell r="E1373">
            <v>5392786.2000000002</v>
          </cell>
          <cell r="F1373"/>
          <cell r="G1373">
            <v>44494.43</v>
          </cell>
        </row>
        <row r="1374">
          <cell r="C1374">
            <v>122646291550</v>
          </cell>
          <cell r="D1374">
            <v>44589.84</v>
          </cell>
          <cell r="E1374">
            <v>8124073.8200000003</v>
          </cell>
          <cell r="F1374"/>
          <cell r="G1374">
            <v>44589.84</v>
          </cell>
        </row>
        <row r="1375">
          <cell r="C1375">
            <v>124195898592</v>
          </cell>
          <cell r="D1375">
            <v>44622.94</v>
          </cell>
          <cell r="E1375">
            <v>8653224.3900000006</v>
          </cell>
          <cell r="F1375"/>
          <cell r="G1375">
            <v>44622.94</v>
          </cell>
        </row>
        <row r="1376">
          <cell r="C1376">
            <v>123491153846</v>
          </cell>
          <cell r="D1376">
            <v>45110.09</v>
          </cell>
          <cell r="E1376">
            <v>9972330.1400000006</v>
          </cell>
          <cell r="F1376"/>
          <cell r="G1376">
            <v>45110.09</v>
          </cell>
        </row>
        <row r="1377">
          <cell r="C1377">
            <v>124317267910</v>
          </cell>
          <cell r="D1377">
            <v>45156.66</v>
          </cell>
          <cell r="E1377">
            <v>11544368.57</v>
          </cell>
          <cell r="F1377"/>
          <cell r="G1377">
            <v>45156.66</v>
          </cell>
        </row>
        <row r="1378">
          <cell r="C1378">
            <v>123028152491</v>
          </cell>
          <cell r="D1378">
            <v>45304.21</v>
          </cell>
          <cell r="E1378">
            <v>10496558.890000001</v>
          </cell>
          <cell r="F1378"/>
          <cell r="G1378">
            <v>45304.21</v>
          </cell>
        </row>
        <row r="1379">
          <cell r="C1379">
            <v>122203447209</v>
          </cell>
          <cell r="D1379">
            <v>45440.07</v>
          </cell>
          <cell r="E1379">
            <v>9812103.2400000002</v>
          </cell>
          <cell r="F1379"/>
          <cell r="G1379">
            <v>45440.07</v>
          </cell>
        </row>
        <row r="1380">
          <cell r="C1380">
            <v>120585931144</v>
          </cell>
          <cell r="D1380">
            <v>45499.81</v>
          </cell>
          <cell r="E1380">
            <v>5644412.6900000004</v>
          </cell>
          <cell r="F1380"/>
          <cell r="G1380">
            <v>45499.81</v>
          </cell>
        </row>
        <row r="1381">
          <cell r="C1381">
            <v>123378171544</v>
          </cell>
          <cell r="D1381">
            <v>45792.1</v>
          </cell>
          <cell r="E1381">
            <v>7163667.7599999998</v>
          </cell>
          <cell r="F1381"/>
          <cell r="G1381">
            <v>45792.1</v>
          </cell>
        </row>
        <row r="1382">
          <cell r="C1382">
            <v>122706245507</v>
          </cell>
          <cell r="D1382">
            <v>46159.29</v>
          </cell>
          <cell r="E1382">
            <v>5458253.3499999996</v>
          </cell>
          <cell r="F1382"/>
          <cell r="G1382">
            <v>46159.29</v>
          </cell>
        </row>
        <row r="1383">
          <cell r="C1383">
            <v>122945572689</v>
          </cell>
          <cell r="D1383">
            <v>46384.77</v>
          </cell>
          <cell r="E1383">
            <v>8523796.4600000009</v>
          </cell>
          <cell r="F1383"/>
          <cell r="G1383">
            <v>46384.77</v>
          </cell>
        </row>
        <row r="1384">
          <cell r="C1384">
            <v>122938307637</v>
          </cell>
          <cell r="D1384">
            <v>46571.54</v>
          </cell>
          <cell r="E1384">
            <v>8368591.0300000003</v>
          </cell>
          <cell r="F1384"/>
          <cell r="G1384">
            <v>46571.54</v>
          </cell>
        </row>
        <row r="1385">
          <cell r="C1385">
            <v>122205803750</v>
          </cell>
          <cell r="D1385">
            <v>46668.97</v>
          </cell>
          <cell r="E1385">
            <v>5863066.7599999998</v>
          </cell>
          <cell r="F1385"/>
          <cell r="G1385">
            <v>46668.97</v>
          </cell>
        </row>
        <row r="1386">
          <cell r="C1386">
            <v>120836094220</v>
          </cell>
          <cell r="D1386">
            <v>46762.65</v>
          </cell>
          <cell r="E1386">
            <v>9191539.6799999997</v>
          </cell>
          <cell r="F1386"/>
          <cell r="G1386">
            <v>46762.65</v>
          </cell>
        </row>
        <row r="1387">
          <cell r="C1387">
            <v>124307505744</v>
          </cell>
          <cell r="D1387">
            <v>46766.400000000001</v>
          </cell>
          <cell r="E1387">
            <v>11084216.65</v>
          </cell>
          <cell r="F1387"/>
          <cell r="G1387">
            <v>46766.400000000001</v>
          </cell>
        </row>
        <row r="1388">
          <cell r="C1388">
            <v>122839804461</v>
          </cell>
          <cell r="D1388">
            <v>46961.26</v>
          </cell>
          <cell r="E1388">
            <v>6623668.0499999998</v>
          </cell>
          <cell r="F1388"/>
          <cell r="G1388">
            <v>46961.26</v>
          </cell>
        </row>
        <row r="1389">
          <cell r="C1389">
            <v>120316998063</v>
          </cell>
          <cell r="D1389">
            <v>47046.06</v>
          </cell>
          <cell r="E1389">
            <v>8964996.6899999995</v>
          </cell>
          <cell r="F1389"/>
          <cell r="G1389">
            <v>47046.06</v>
          </cell>
        </row>
        <row r="1390">
          <cell r="C1390">
            <v>122000883839</v>
          </cell>
          <cell r="D1390">
            <v>47046.06</v>
          </cell>
          <cell r="E1390">
            <v>6241190.3700000001</v>
          </cell>
          <cell r="F1390"/>
          <cell r="G1390">
            <v>47046.06</v>
          </cell>
        </row>
        <row r="1391">
          <cell r="C1391">
            <v>122530030522</v>
          </cell>
          <cell r="D1391">
            <v>47058.69</v>
          </cell>
          <cell r="E1391">
            <v>6174283.3200000003</v>
          </cell>
          <cell r="F1391"/>
          <cell r="G1391">
            <v>47058.69</v>
          </cell>
        </row>
        <row r="1392">
          <cell r="C1392">
            <v>124324280430</v>
          </cell>
          <cell r="D1392">
            <v>47153.56</v>
          </cell>
          <cell r="E1392">
            <v>12455942.01</v>
          </cell>
          <cell r="F1392"/>
          <cell r="G1392">
            <v>47153.56</v>
          </cell>
        </row>
        <row r="1393">
          <cell r="C1393">
            <v>121875171593</v>
          </cell>
          <cell r="D1393">
            <v>47211.58</v>
          </cell>
          <cell r="E1393">
            <v>4668007.74</v>
          </cell>
          <cell r="F1393"/>
          <cell r="G1393">
            <v>47211.58</v>
          </cell>
        </row>
        <row r="1394">
          <cell r="C1394">
            <v>123401443837</v>
          </cell>
          <cell r="D1394">
            <v>47253.55</v>
          </cell>
          <cell r="E1394">
            <v>9483698.5500000007</v>
          </cell>
          <cell r="F1394"/>
          <cell r="G1394">
            <v>47253.55</v>
          </cell>
        </row>
        <row r="1395">
          <cell r="C1395">
            <v>121873378659</v>
          </cell>
          <cell r="D1395">
            <v>47545.84</v>
          </cell>
          <cell r="E1395">
            <v>4589228.84</v>
          </cell>
          <cell r="F1395"/>
          <cell r="G1395">
            <v>47545.84</v>
          </cell>
        </row>
        <row r="1396">
          <cell r="C1396">
            <v>121720074766</v>
          </cell>
          <cell r="D1396">
            <v>47935.56</v>
          </cell>
          <cell r="E1396">
            <v>8073268.54</v>
          </cell>
          <cell r="F1396"/>
          <cell r="G1396">
            <v>47935.56</v>
          </cell>
        </row>
        <row r="1397">
          <cell r="C1397">
            <v>122707662973</v>
          </cell>
          <cell r="D1397">
            <v>47935.56</v>
          </cell>
          <cell r="E1397">
            <v>5591658.8200000003</v>
          </cell>
          <cell r="F1397"/>
          <cell r="G1397">
            <v>47935.56</v>
          </cell>
        </row>
        <row r="1398">
          <cell r="C1398">
            <v>122411834164</v>
          </cell>
          <cell r="D1398">
            <v>47990.76</v>
          </cell>
          <cell r="E1398">
            <v>5744448.5999999996</v>
          </cell>
          <cell r="F1398"/>
          <cell r="G1398">
            <v>47990.76</v>
          </cell>
        </row>
        <row r="1399">
          <cell r="C1399">
            <v>124066807376</v>
          </cell>
          <cell r="D1399">
            <v>47990.76</v>
          </cell>
          <cell r="E1399">
            <v>9101954.8699999992</v>
          </cell>
          <cell r="F1399"/>
          <cell r="G1399">
            <v>47990.76</v>
          </cell>
        </row>
        <row r="1400">
          <cell r="C1400">
            <v>120718106520</v>
          </cell>
          <cell r="D1400">
            <v>48085.23</v>
          </cell>
          <cell r="E1400">
            <v>6786533.9699999997</v>
          </cell>
          <cell r="F1400"/>
          <cell r="G1400">
            <v>48085.23</v>
          </cell>
        </row>
        <row r="1401">
          <cell r="C1401">
            <v>120197537947</v>
          </cell>
          <cell r="D1401">
            <v>48209.49</v>
          </cell>
          <cell r="E1401">
            <v>6146691.6600000001</v>
          </cell>
          <cell r="F1401"/>
          <cell r="G1401">
            <v>48209.49</v>
          </cell>
        </row>
        <row r="1402">
          <cell r="C1402">
            <v>121205049221</v>
          </cell>
          <cell r="D1402">
            <v>48652.05</v>
          </cell>
          <cell r="E1402">
            <v>9156328.75</v>
          </cell>
          <cell r="F1402"/>
          <cell r="G1402">
            <v>48652.05</v>
          </cell>
        </row>
        <row r="1403">
          <cell r="C1403">
            <v>120201832677</v>
          </cell>
          <cell r="D1403">
            <v>49104.72</v>
          </cell>
          <cell r="E1403">
            <v>6847232.8600000003</v>
          </cell>
          <cell r="F1403"/>
          <cell r="G1403">
            <v>49104.72</v>
          </cell>
        </row>
        <row r="1404">
          <cell r="C1404">
            <v>124205538868</v>
          </cell>
          <cell r="D1404">
            <v>49202.15</v>
          </cell>
          <cell r="E1404">
            <v>9581148.9900000002</v>
          </cell>
          <cell r="F1404"/>
          <cell r="G1404">
            <v>49202.15</v>
          </cell>
        </row>
        <row r="1405">
          <cell r="C1405">
            <v>124066248980</v>
          </cell>
          <cell r="D1405">
            <v>49218.87</v>
          </cell>
          <cell r="E1405">
            <v>8991339.9399999995</v>
          </cell>
          <cell r="F1405"/>
          <cell r="G1405">
            <v>49218.87</v>
          </cell>
        </row>
        <row r="1406">
          <cell r="C1406">
            <v>123668347243</v>
          </cell>
          <cell r="D1406">
            <v>49397.01</v>
          </cell>
          <cell r="E1406">
            <v>10543670.609999999</v>
          </cell>
          <cell r="F1406"/>
          <cell r="G1406">
            <v>49397.01</v>
          </cell>
        </row>
        <row r="1407">
          <cell r="C1407">
            <v>120839549630</v>
          </cell>
          <cell r="D1407">
            <v>49591.87</v>
          </cell>
          <cell r="E1407">
            <v>10255378.560000001</v>
          </cell>
          <cell r="F1407"/>
          <cell r="G1407">
            <v>49591.87</v>
          </cell>
        </row>
        <row r="1408">
          <cell r="C1408">
            <v>122952413859</v>
          </cell>
          <cell r="D1408">
            <v>49689.3</v>
          </cell>
          <cell r="E1408">
            <v>9365070.3000000007</v>
          </cell>
          <cell r="F1408"/>
          <cell r="G1408">
            <v>49689.3</v>
          </cell>
        </row>
        <row r="1409">
          <cell r="C1409">
            <v>121726424236</v>
          </cell>
          <cell r="D1409">
            <v>49884.160000000003</v>
          </cell>
          <cell r="E1409">
            <v>8943050.2300000004</v>
          </cell>
          <cell r="F1409"/>
          <cell r="G1409">
            <v>49884.160000000003</v>
          </cell>
        </row>
        <row r="1410">
          <cell r="C1410">
            <v>122842341261</v>
          </cell>
          <cell r="D1410">
            <v>49884.160000000003</v>
          </cell>
          <cell r="E1410">
            <v>7573482.6200000001</v>
          </cell>
          <cell r="F1410"/>
          <cell r="G1410">
            <v>49884.160000000003</v>
          </cell>
        </row>
        <row r="1411">
          <cell r="C1411">
            <v>123664623939</v>
          </cell>
          <cell r="D1411">
            <v>50079.02</v>
          </cell>
          <cell r="E1411">
            <v>9634638.0600000005</v>
          </cell>
          <cell r="F1411"/>
          <cell r="G1411">
            <v>50079.02</v>
          </cell>
        </row>
        <row r="1412">
          <cell r="C1412">
            <v>121083839859</v>
          </cell>
          <cell r="D1412">
            <v>50176.45</v>
          </cell>
          <cell r="E1412">
            <v>6684926.7999999998</v>
          </cell>
          <cell r="F1412"/>
          <cell r="G1412">
            <v>50176.45</v>
          </cell>
        </row>
        <row r="1413">
          <cell r="C1413">
            <v>124064350240</v>
          </cell>
          <cell r="D1413">
            <v>50273.88</v>
          </cell>
          <cell r="E1413">
            <v>8652050.3000000007</v>
          </cell>
          <cell r="F1413"/>
          <cell r="G1413">
            <v>50273.88</v>
          </cell>
        </row>
        <row r="1414">
          <cell r="C1414">
            <v>123378030044</v>
          </cell>
          <cell r="D1414">
            <v>50371.31</v>
          </cell>
          <cell r="E1414">
            <v>7104235.46</v>
          </cell>
          <cell r="F1414"/>
          <cell r="G1414">
            <v>50371.31</v>
          </cell>
        </row>
        <row r="1415">
          <cell r="C1415">
            <v>122705896349</v>
          </cell>
          <cell r="D1415">
            <v>50566.17</v>
          </cell>
          <cell r="E1415">
            <v>5335648.1500000004</v>
          </cell>
          <cell r="F1415"/>
          <cell r="G1415">
            <v>50566.17</v>
          </cell>
        </row>
        <row r="1416">
          <cell r="C1416">
            <v>121814928554</v>
          </cell>
          <cell r="D1416">
            <v>50778.26</v>
          </cell>
          <cell r="E1416">
            <v>10542906.23</v>
          </cell>
          <cell r="F1416"/>
          <cell r="G1416">
            <v>50778.26</v>
          </cell>
        </row>
        <row r="1417">
          <cell r="C1417">
            <v>120722408492</v>
          </cell>
          <cell r="D1417">
            <v>50858.46</v>
          </cell>
          <cell r="E1417">
            <v>7410979.6900000004</v>
          </cell>
          <cell r="F1417"/>
          <cell r="G1417">
            <v>50858.46</v>
          </cell>
        </row>
        <row r="1418">
          <cell r="C1418">
            <v>121460952072</v>
          </cell>
          <cell r="D1418">
            <v>50955.89</v>
          </cell>
          <cell r="E1418">
            <v>8055218.9400000004</v>
          </cell>
          <cell r="F1418"/>
          <cell r="G1418">
            <v>50955.89</v>
          </cell>
        </row>
        <row r="1419">
          <cell r="C1419">
            <v>122004648695</v>
          </cell>
          <cell r="D1419">
            <v>50955.89</v>
          </cell>
          <cell r="E1419">
            <v>6584658.29</v>
          </cell>
          <cell r="F1419"/>
          <cell r="G1419">
            <v>50955.89</v>
          </cell>
        </row>
        <row r="1420">
          <cell r="C1420">
            <v>124205172262</v>
          </cell>
          <cell r="D1420">
            <v>50955.89</v>
          </cell>
          <cell r="E1420">
            <v>9508563.6400000006</v>
          </cell>
          <cell r="F1420"/>
          <cell r="G1420">
            <v>50955.89</v>
          </cell>
        </row>
        <row r="1421">
          <cell r="C1421">
            <v>124323497786</v>
          </cell>
          <cell r="D1421">
            <v>51391.68</v>
          </cell>
          <cell r="E1421">
            <v>12305610.08</v>
          </cell>
          <cell r="F1421"/>
          <cell r="G1421">
            <v>51391.68</v>
          </cell>
        </row>
        <row r="1422">
          <cell r="C1422">
            <v>120721113962</v>
          </cell>
          <cell r="D1422">
            <v>51540.47</v>
          </cell>
          <cell r="E1422">
            <v>7254623.5999999996</v>
          </cell>
          <cell r="F1422"/>
          <cell r="G1422">
            <v>51540.47</v>
          </cell>
        </row>
        <row r="1423">
          <cell r="C1423">
            <v>121459410550</v>
          </cell>
          <cell r="D1423">
            <v>52027.62</v>
          </cell>
          <cell r="E1423">
            <v>7918719.5099999998</v>
          </cell>
          <cell r="F1423"/>
          <cell r="G1423">
            <v>52027.62</v>
          </cell>
        </row>
        <row r="1424">
          <cell r="C1424">
            <v>121727324430</v>
          </cell>
          <cell r="D1424">
            <v>52052.97</v>
          </cell>
          <cell r="E1424">
            <v>9084189.3800000008</v>
          </cell>
          <cell r="F1424"/>
          <cell r="G1424">
            <v>52052.97</v>
          </cell>
        </row>
        <row r="1425">
          <cell r="C1425">
            <v>120828234318</v>
          </cell>
          <cell r="D1425">
            <v>52319.91</v>
          </cell>
          <cell r="E1425">
            <v>8339659.8799999999</v>
          </cell>
          <cell r="F1425"/>
          <cell r="G1425">
            <v>52319.91</v>
          </cell>
        </row>
        <row r="1426">
          <cell r="C1426">
            <v>121727547602</v>
          </cell>
          <cell r="D1426">
            <v>53196.78</v>
          </cell>
          <cell r="E1426">
            <v>9209525.5299999993</v>
          </cell>
          <cell r="F1426"/>
          <cell r="G1426">
            <v>53196.78</v>
          </cell>
        </row>
        <row r="1427">
          <cell r="C1427">
            <v>120313353605</v>
          </cell>
          <cell r="D1427">
            <v>53294.21</v>
          </cell>
          <cell r="E1427">
            <v>8596971.9299999997</v>
          </cell>
          <cell r="F1427"/>
          <cell r="G1427">
            <v>53294.21</v>
          </cell>
        </row>
        <row r="1428">
          <cell r="C1428">
            <v>120936390571</v>
          </cell>
          <cell r="D1428">
            <v>53391.64</v>
          </cell>
          <cell r="E1428">
            <v>7704576.8300000001</v>
          </cell>
          <cell r="F1428"/>
          <cell r="G1428">
            <v>53391.64</v>
          </cell>
        </row>
        <row r="1429">
          <cell r="C1429">
            <v>124200783456</v>
          </cell>
          <cell r="D1429">
            <v>53391.64</v>
          </cell>
          <cell r="E1429">
            <v>9013703.4499999993</v>
          </cell>
          <cell r="F1429"/>
          <cell r="G1429">
            <v>53391.64</v>
          </cell>
        </row>
        <row r="1430">
          <cell r="C1430">
            <v>121604939232</v>
          </cell>
          <cell r="D1430">
            <v>53489.07</v>
          </cell>
          <cell r="E1430">
            <v>6612597.5899999999</v>
          </cell>
          <cell r="F1430"/>
          <cell r="G1430">
            <v>53489.07</v>
          </cell>
        </row>
        <row r="1431">
          <cell r="C1431">
            <v>123778762967</v>
          </cell>
          <cell r="D1431">
            <v>53586.5</v>
          </cell>
          <cell r="E1431">
            <v>11945673.25</v>
          </cell>
          <cell r="F1431"/>
          <cell r="G1431">
            <v>53586.5</v>
          </cell>
        </row>
        <row r="1432">
          <cell r="C1432">
            <v>121457436354</v>
          </cell>
          <cell r="D1432">
            <v>53594.06</v>
          </cell>
          <cell r="E1432">
            <v>7554632.0599999996</v>
          </cell>
          <cell r="F1432"/>
          <cell r="G1432">
            <v>53594.06</v>
          </cell>
        </row>
        <row r="1433">
          <cell r="C1433">
            <v>123781214653</v>
          </cell>
          <cell r="D1433">
            <v>53875.64</v>
          </cell>
          <cell r="E1433">
            <v>12214759.25</v>
          </cell>
          <cell r="F1433"/>
          <cell r="G1433">
            <v>53875.64</v>
          </cell>
        </row>
        <row r="1434">
          <cell r="C1434">
            <v>122651820368</v>
          </cell>
          <cell r="D1434">
            <v>54365.94</v>
          </cell>
          <cell r="E1434">
            <v>8467019.3300000001</v>
          </cell>
          <cell r="F1434"/>
          <cell r="G1434">
            <v>54365.94</v>
          </cell>
        </row>
        <row r="1435">
          <cell r="C1435">
            <v>122653091014</v>
          </cell>
          <cell r="D1435">
            <v>54463.37</v>
          </cell>
          <cell r="E1435">
            <v>8658426.9299999997</v>
          </cell>
          <cell r="F1435"/>
          <cell r="G1435">
            <v>54463.37</v>
          </cell>
        </row>
        <row r="1436">
          <cell r="C1436">
            <v>123113545278</v>
          </cell>
          <cell r="D1436">
            <v>54463.37</v>
          </cell>
          <cell r="E1436">
            <v>5706508.7300000004</v>
          </cell>
          <cell r="F1436"/>
          <cell r="G1436">
            <v>54463.37</v>
          </cell>
        </row>
        <row r="1437">
          <cell r="C1437">
            <v>120315124571</v>
          </cell>
          <cell r="D1437">
            <v>54560.800000000003</v>
          </cell>
          <cell r="E1437">
            <v>8828765.4900000002</v>
          </cell>
          <cell r="F1437"/>
          <cell r="G1437">
            <v>54560.800000000003</v>
          </cell>
        </row>
        <row r="1438">
          <cell r="C1438">
            <v>122706066683</v>
          </cell>
          <cell r="D1438">
            <v>54965.36</v>
          </cell>
          <cell r="E1438">
            <v>5394803</v>
          </cell>
          <cell r="F1438"/>
          <cell r="G1438">
            <v>54965.36</v>
          </cell>
        </row>
        <row r="1439">
          <cell r="C1439">
            <v>122410204448</v>
          </cell>
          <cell r="D1439">
            <v>55145.38</v>
          </cell>
          <cell r="E1439">
            <v>5471106.5700000003</v>
          </cell>
          <cell r="F1439"/>
          <cell r="G1439">
            <v>55145.38</v>
          </cell>
        </row>
        <row r="1440">
          <cell r="C1440">
            <v>122954981247</v>
          </cell>
          <cell r="D1440">
            <v>55189.68</v>
          </cell>
          <cell r="E1440">
            <v>10037752.32</v>
          </cell>
          <cell r="F1440"/>
          <cell r="G1440">
            <v>55189.68</v>
          </cell>
        </row>
        <row r="1441">
          <cell r="C1441">
            <v>123373109862</v>
          </cell>
          <cell r="D1441">
            <v>55340.24</v>
          </cell>
          <cell r="E1441">
            <v>6462163.8399999999</v>
          </cell>
          <cell r="F1441"/>
          <cell r="G1441">
            <v>55340.24</v>
          </cell>
        </row>
        <row r="1442">
          <cell r="C1442">
            <v>121678038253</v>
          </cell>
          <cell r="D1442">
            <v>55470.33</v>
          </cell>
          <cell r="E1442">
            <v>5740304.96</v>
          </cell>
          <cell r="F1442"/>
          <cell r="G1442">
            <v>55470.33</v>
          </cell>
        </row>
        <row r="1443">
          <cell r="C1443">
            <v>121463776078</v>
          </cell>
          <cell r="D1443">
            <v>55729.96</v>
          </cell>
          <cell r="E1443">
            <v>8368388.6399999997</v>
          </cell>
          <cell r="F1443"/>
          <cell r="G1443">
            <v>55729.96</v>
          </cell>
        </row>
        <row r="1444">
          <cell r="C1444">
            <v>122739514762</v>
          </cell>
          <cell r="D1444">
            <v>55924.82</v>
          </cell>
          <cell r="E1444">
            <v>10147530.08</v>
          </cell>
          <cell r="F1444"/>
          <cell r="G1444">
            <v>55924.82</v>
          </cell>
        </row>
        <row r="1445">
          <cell r="C1445">
            <v>123379001792</v>
          </cell>
          <cell r="D1445">
            <v>55924.82</v>
          </cell>
          <cell r="E1445">
            <v>7834698.7300000004</v>
          </cell>
          <cell r="F1445"/>
          <cell r="G1445">
            <v>55924.82</v>
          </cell>
        </row>
        <row r="1446">
          <cell r="C1446">
            <v>121451337080</v>
          </cell>
          <cell r="D1446">
            <v>56022.25</v>
          </cell>
          <cell r="E1446">
            <v>7292406</v>
          </cell>
          <cell r="F1446"/>
          <cell r="G1446">
            <v>56022.25</v>
          </cell>
        </row>
        <row r="1447">
          <cell r="C1447">
            <v>124207405096</v>
          </cell>
          <cell r="D1447">
            <v>56022.25</v>
          </cell>
          <cell r="E1447">
            <v>10000754.82</v>
          </cell>
          <cell r="F1447"/>
          <cell r="G1447">
            <v>56022.25</v>
          </cell>
        </row>
        <row r="1448">
          <cell r="C1448">
            <v>120837253518</v>
          </cell>
          <cell r="D1448">
            <v>56513.68</v>
          </cell>
          <cell r="E1448">
            <v>9488706.8800000008</v>
          </cell>
          <cell r="F1448"/>
          <cell r="G1448">
            <v>56513.68</v>
          </cell>
        </row>
        <row r="1449">
          <cell r="C1449">
            <v>123487287164</v>
          </cell>
          <cell r="D1449">
            <v>56587.53</v>
          </cell>
          <cell r="E1449">
            <v>9190805.0899999999</v>
          </cell>
          <cell r="F1449"/>
          <cell r="G1449">
            <v>56587.53</v>
          </cell>
        </row>
        <row r="1450">
          <cell r="C1450">
            <v>122198604672</v>
          </cell>
          <cell r="D1450">
            <v>56676.34</v>
          </cell>
          <cell r="E1450">
            <v>5425712.6500000004</v>
          </cell>
          <cell r="F1450"/>
          <cell r="G1450">
            <v>56676.34</v>
          </cell>
        </row>
        <row r="1451">
          <cell r="C1451">
            <v>122578485015</v>
          </cell>
          <cell r="D1451">
            <v>56704.26</v>
          </cell>
          <cell r="E1451">
            <v>5652045.3600000003</v>
          </cell>
          <cell r="F1451"/>
          <cell r="G1451">
            <v>56704.26</v>
          </cell>
        </row>
        <row r="1452">
          <cell r="C1452">
            <v>122639691160</v>
          </cell>
          <cell r="D1452">
            <v>56899.12</v>
          </cell>
          <cell r="E1452">
            <v>7646050.0899999999</v>
          </cell>
          <cell r="F1452"/>
          <cell r="G1452">
            <v>56899.12</v>
          </cell>
        </row>
        <row r="1453">
          <cell r="C1453">
            <v>120837021310</v>
          </cell>
          <cell r="D1453">
            <v>57191.41</v>
          </cell>
          <cell r="E1453">
            <v>9427808.8499999996</v>
          </cell>
          <cell r="F1453"/>
          <cell r="G1453">
            <v>57191.41</v>
          </cell>
        </row>
        <row r="1454">
          <cell r="C1454">
            <v>124196870450</v>
          </cell>
          <cell r="D1454">
            <v>57191.41</v>
          </cell>
          <cell r="E1454">
            <v>8721425.3900000006</v>
          </cell>
          <cell r="F1454"/>
          <cell r="G1454">
            <v>57191.41</v>
          </cell>
        </row>
        <row r="1455">
          <cell r="C1455">
            <v>123489315282</v>
          </cell>
          <cell r="D1455">
            <v>57581.13</v>
          </cell>
          <cell r="E1455">
            <v>9714376.4900000002</v>
          </cell>
          <cell r="F1455"/>
          <cell r="G1455">
            <v>57581.13</v>
          </cell>
        </row>
        <row r="1456">
          <cell r="C1456">
            <v>122123084499</v>
          </cell>
          <cell r="D1456">
            <v>59042.58</v>
          </cell>
          <cell r="E1456">
            <v>8834070.7699999996</v>
          </cell>
          <cell r="F1456"/>
          <cell r="G1456">
            <v>59042.58</v>
          </cell>
        </row>
        <row r="1457">
          <cell r="C1457">
            <v>122005482979</v>
          </cell>
          <cell r="D1457">
            <v>59043.75</v>
          </cell>
          <cell r="E1457">
            <v>6752576.2199999997</v>
          </cell>
          <cell r="F1457"/>
          <cell r="G1457">
            <v>59043.75</v>
          </cell>
        </row>
        <row r="1458">
          <cell r="C1458">
            <v>123236737080</v>
          </cell>
          <cell r="D1458">
            <v>59140.01</v>
          </cell>
          <cell r="E1458">
            <v>5041233.47</v>
          </cell>
          <cell r="F1458"/>
          <cell r="G1458">
            <v>59140.01</v>
          </cell>
        </row>
        <row r="1459">
          <cell r="C1459">
            <v>121081535681</v>
          </cell>
          <cell r="D1459">
            <v>59705.04</v>
          </cell>
          <cell r="E1459">
            <v>6289138.9100000001</v>
          </cell>
          <cell r="F1459"/>
          <cell r="G1459">
            <v>59705.04</v>
          </cell>
        </row>
        <row r="1460">
          <cell r="C1460">
            <v>122701882853</v>
          </cell>
          <cell r="D1460">
            <v>59976.54</v>
          </cell>
          <cell r="E1460">
            <v>5113242.26</v>
          </cell>
          <cell r="F1460"/>
          <cell r="G1460">
            <v>59976.54</v>
          </cell>
        </row>
        <row r="1461">
          <cell r="C1461">
            <v>122641756432</v>
          </cell>
          <cell r="D1461">
            <v>60016.88</v>
          </cell>
          <cell r="E1461">
            <v>7744232.8499999996</v>
          </cell>
          <cell r="F1461"/>
          <cell r="G1461">
            <v>60016.88</v>
          </cell>
        </row>
        <row r="1462">
          <cell r="C1462">
            <v>120579823508</v>
          </cell>
          <cell r="D1462">
            <v>60504.03</v>
          </cell>
          <cell r="E1462">
            <v>4782166.2300000004</v>
          </cell>
          <cell r="F1462"/>
          <cell r="G1462">
            <v>60504.03</v>
          </cell>
        </row>
        <row r="1463">
          <cell r="C1463">
            <v>120580320092</v>
          </cell>
          <cell r="D1463">
            <v>60504.03</v>
          </cell>
          <cell r="E1463">
            <v>4875815.43</v>
          </cell>
          <cell r="F1463"/>
          <cell r="G1463">
            <v>60504.03</v>
          </cell>
        </row>
        <row r="1464">
          <cell r="C1464">
            <v>122397584070</v>
          </cell>
          <cell r="D1464">
            <v>60738.51</v>
          </cell>
          <cell r="E1464">
            <v>4335135.78</v>
          </cell>
          <cell r="F1464"/>
          <cell r="G1464">
            <v>60738.51</v>
          </cell>
        </row>
        <row r="1465">
          <cell r="C1465">
            <v>120205740007</v>
          </cell>
          <cell r="D1465">
            <v>60796.32</v>
          </cell>
          <cell r="E1465">
            <v>7471776.0099999998</v>
          </cell>
          <cell r="F1465"/>
          <cell r="G1465">
            <v>60796.32</v>
          </cell>
        </row>
        <row r="1466">
          <cell r="C1466">
            <v>123774732343</v>
          </cell>
          <cell r="D1466">
            <v>61102.86</v>
          </cell>
          <cell r="E1466">
            <v>11401447.98</v>
          </cell>
          <cell r="F1466"/>
          <cell r="G1466">
            <v>61102.86</v>
          </cell>
        </row>
        <row r="1467">
          <cell r="C1467">
            <v>123669045071</v>
          </cell>
          <cell r="D1467">
            <v>61216.56</v>
          </cell>
          <cell r="E1467">
            <v>10781393.539999999</v>
          </cell>
          <cell r="F1467"/>
          <cell r="G1467">
            <v>61216.56</v>
          </cell>
        </row>
        <row r="1468">
          <cell r="C1468">
            <v>124320357434</v>
          </cell>
          <cell r="D1468">
            <v>61311.03</v>
          </cell>
          <cell r="E1468">
            <v>11892086.75</v>
          </cell>
          <cell r="F1468"/>
          <cell r="G1468">
            <v>61311.03</v>
          </cell>
        </row>
        <row r="1469">
          <cell r="C1469">
            <v>124208940108</v>
          </cell>
          <cell r="D1469">
            <v>61575.76</v>
          </cell>
          <cell r="E1469">
            <v>10494273.6</v>
          </cell>
          <cell r="F1469"/>
          <cell r="G1469">
            <v>61575.76</v>
          </cell>
        </row>
        <row r="1470">
          <cell r="C1470">
            <v>120811844012</v>
          </cell>
          <cell r="D1470">
            <v>62126.34</v>
          </cell>
          <cell r="E1470">
            <v>7999577.2000000002</v>
          </cell>
          <cell r="F1470"/>
          <cell r="G1470">
            <v>62126.34</v>
          </cell>
        </row>
        <row r="1471">
          <cell r="C1471">
            <v>124196977190</v>
          </cell>
          <cell r="D1471">
            <v>62126.34</v>
          </cell>
          <cell r="E1471">
            <v>8783551.7300000004</v>
          </cell>
          <cell r="F1471"/>
          <cell r="G1471">
            <v>62126.34</v>
          </cell>
        </row>
        <row r="1472">
          <cell r="C1472">
            <v>122655579148</v>
          </cell>
          <cell r="D1472">
            <v>62355.199999999997</v>
          </cell>
          <cell r="E1472">
            <v>9277622.5899999999</v>
          </cell>
          <cell r="F1472"/>
          <cell r="G1472">
            <v>62355.199999999997</v>
          </cell>
        </row>
        <row r="1473">
          <cell r="C1473">
            <v>122840726525</v>
          </cell>
          <cell r="D1473">
            <v>62550.06</v>
          </cell>
          <cell r="E1473">
            <v>6995406.1500000004</v>
          </cell>
          <cell r="F1473"/>
          <cell r="G1473">
            <v>62550.06</v>
          </cell>
        </row>
        <row r="1474">
          <cell r="C1474">
            <v>120917341666</v>
          </cell>
          <cell r="D1474">
            <v>62917.47</v>
          </cell>
          <cell r="E1474">
            <v>10762417.140000001</v>
          </cell>
          <cell r="F1474"/>
          <cell r="G1474">
            <v>62917.47</v>
          </cell>
        </row>
        <row r="1475">
          <cell r="C1475">
            <v>123378692174</v>
          </cell>
          <cell r="D1475">
            <v>63426.93</v>
          </cell>
          <cell r="E1475">
            <v>7664878.2400000002</v>
          </cell>
          <cell r="F1475"/>
          <cell r="G1475">
            <v>63426.93</v>
          </cell>
        </row>
        <row r="1476">
          <cell r="C1476">
            <v>121287395115</v>
          </cell>
          <cell r="D1476">
            <v>63637.08</v>
          </cell>
          <cell r="E1476">
            <v>10350090.390000001</v>
          </cell>
          <cell r="F1476"/>
          <cell r="G1476">
            <v>63637.08</v>
          </cell>
        </row>
        <row r="1477">
          <cell r="C1477">
            <v>124065532200</v>
          </cell>
          <cell r="D1477">
            <v>63816.65</v>
          </cell>
          <cell r="E1477">
            <v>8818066.0600000005</v>
          </cell>
          <cell r="F1477"/>
          <cell r="G1477">
            <v>63816.65</v>
          </cell>
        </row>
        <row r="1478">
          <cell r="C1478">
            <v>121810472858</v>
          </cell>
          <cell r="D1478">
            <v>63861.72</v>
          </cell>
          <cell r="E1478">
            <v>10413952.109999999</v>
          </cell>
          <cell r="F1478"/>
          <cell r="G1478">
            <v>63861.72</v>
          </cell>
        </row>
        <row r="1479">
          <cell r="C1479">
            <v>121876994081</v>
          </cell>
          <cell r="D1479">
            <v>64011.51</v>
          </cell>
          <cell r="E1479">
            <v>5208406.63</v>
          </cell>
          <cell r="F1479"/>
          <cell r="G1479">
            <v>64011.51</v>
          </cell>
        </row>
        <row r="1480">
          <cell r="C1480">
            <v>124204186282</v>
          </cell>
          <cell r="D1480">
            <v>64145.13</v>
          </cell>
          <cell r="E1480">
            <v>9284709.6400000006</v>
          </cell>
          <cell r="F1480"/>
          <cell r="G1480">
            <v>64145.13</v>
          </cell>
        </row>
        <row r="1481">
          <cell r="C1481">
            <v>122515965636</v>
          </cell>
          <cell r="D1481">
            <v>64370.11</v>
          </cell>
          <cell r="E1481">
            <v>6012383.2800000003</v>
          </cell>
          <cell r="F1481"/>
          <cell r="G1481">
            <v>64370.11</v>
          </cell>
        </row>
        <row r="1482">
          <cell r="C1482">
            <v>122705422479</v>
          </cell>
          <cell r="D1482">
            <v>64806.42</v>
          </cell>
          <cell r="E1482">
            <v>5280892.49</v>
          </cell>
          <cell r="F1482"/>
          <cell r="G1482">
            <v>64806.42</v>
          </cell>
        </row>
        <row r="1483">
          <cell r="C1483">
            <v>122110710929</v>
          </cell>
          <cell r="D1483">
            <v>65278.1</v>
          </cell>
          <cell r="E1483">
            <v>7812526.2699999996</v>
          </cell>
          <cell r="F1483"/>
          <cell r="G1483">
            <v>65278.1</v>
          </cell>
        </row>
        <row r="1484">
          <cell r="C1484">
            <v>122003461795</v>
          </cell>
          <cell r="D1484">
            <v>65656.649999999994</v>
          </cell>
          <cell r="E1484">
            <v>6440567.2300000004</v>
          </cell>
          <cell r="F1484"/>
          <cell r="G1484">
            <v>65656.649999999994</v>
          </cell>
        </row>
        <row r="1485">
          <cell r="C1485">
            <v>123665182383</v>
          </cell>
          <cell r="D1485">
            <v>65862.679999999993</v>
          </cell>
          <cell r="E1485">
            <v>9857265.6099999994</v>
          </cell>
          <cell r="F1485"/>
          <cell r="G1485">
            <v>65862.679999999993</v>
          </cell>
        </row>
        <row r="1486">
          <cell r="C1486">
            <v>122652707370</v>
          </cell>
          <cell r="D1486">
            <v>66447.259999999995</v>
          </cell>
          <cell r="E1486">
            <v>8583477.4900000002</v>
          </cell>
          <cell r="F1486"/>
          <cell r="G1486">
            <v>66447.259999999995</v>
          </cell>
        </row>
        <row r="1487">
          <cell r="C1487">
            <v>123486886354</v>
          </cell>
          <cell r="D1487">
            <v>66934.41</v>
          </cell>
          <cell r="E1487">
            <v>9104209.1199999992</v>
          </cell>
          <cell r="F1487"/>
          <cell r="G1487">
            <v>66934.41</v>
          </cell>
        </row>
        <row r="1488">
          <cell r="C1488">
            <v>122539326552</v>
          </cell>
          <cell r="D1488">
            <v>68493.289999999994</v>
          </cell>
          <cell r="E1488">
            <v>7319346.3799999999</v>
          </cell>
          <cell r="F1488"/>
          <cell r="G1488">
            <v>68493.289999999994</v>
          </cell>
        </row>
        <row r="1489">
          <cell r="C1489">
            <v>123776215863</v>
          </cell>
          <cell r="D1489">
            <v>68590.720000000001</v>
          </cell>
          <cell r="E1489">
            <v>11755304.52</v>
          </cell>
          <cell r="F1489"/>
          <cell r="G1489">
            <v>68590.720000000001</v>
          </cell>
        </row>
        <row r="1490">
          <cell r="C1490">
            <v>120321784519</v>
          </cell>
          <cell r="D1490">
            <v>69057.570000000007</v>
          </cell>
          <cell r="E1490">
            <v>9737242.9000000004</v>
          </cell>
          <cell r="F1490"/>
          <cell r="G1490">
            <v>69057.570000000007</v>
          </cell>
        </row>
        <row r="1491">
          <cell r="C1491">
            <v>121086806241</v>
          </cell>
          <cell r="D1491">
            <v>69246.509999999995</v>
          </cell>
          <cell r="E1491">
            <v>7179105.1500000004</v>
          </cell>
          <cell r="F1491"/>
          <cell r="G1491">
            <v>69246.509999999995</v>
          </cell>
        </row>
        <row r="1492">
          <cell r="C1492">
            <v>121085150325</v>
          </cell>
          <cell r="D1492">
            <v>69435.45</v>
          </cell>
          <cell r="E1492">
            <v>6993445.5599999996</v>
          </cell>
          <cell r="F1492"/>
          <cell r="G1492">
            <v>69435.45</v>
          </cell>
        </row>
        <row r="1493">
          <cell r="C1493">
            <v>121680471133</v>
          </cell>
          <cell r="D1493">
            <v>69857.31</v>
          </cell>
          <cell r="E1493">
            <v>6007458.0199999996</v>
          </cell>
          <cell r="F1493"/>
          <cell r="G1493">
            <v>69857.31</v>
          </cell>
        </row>
        <row r="1494">
          <cell r="C1494">
            <v>122577873183</v>
          </cell>
          <cell r="D1494">
            <v>69993.710000000006</v>
          </cell>
          <cell r="E1494">
            <v>5568285.6799999997</v>
          </cell>
          <cell r="F1494"/>
          <cell r="G1494">
            <v>69993.710000000006</v>
          </cell>
        </row>
        <row r="1495">
          <cell r="C1495">
            <v>124204321598</v>
          </cell>
          <cell r="D1495">
            <v>70149.600000000006</v>
          </cell>
          <cell r="E1495">
            <v>9354859.2400000002</v>
          </cell>
          <cell r="F1495"/>
          <cell r="G1495">
            <v>70149.600000000006</v>
          </cell>
        </row>
        <row r="1496">
          <cell r="C1496">
            <v>123398527897</v>
          </cell>
          <cell r="D1496">
            <v>70246.06</v>
          </cell>
          <cell r="E1496">
            <v>9088544.6300000008</v>
          </cell>
          <cell r="F1496"/>
          <cell r="G1496">
            <v>70246.06</v>
          </cell>
        </row>
        <row r="1497">
          <cell r="C1497">
            <v>124069778878</v>
          </cell>
          <cell r="D1497">
            <v>70285.679999999993</v>
          </cell>
          <cell r="E1497">
            <v>9492876.0700000003</v>
          </cell>
          <cell r="F1497"/>
          <cell r="G1497">
            <v>70285.679999999993</v>
          </cell>
        </row>
        <row r="1498">
          <cell r="C1498">
            <v>121309984278</v>
          </cell>
          <cell r="D1498">
            <v>70852.5</v>
          </cell>
          <cell r="E1498">
            <v>6753991.2999999998</v>
          </cell>
          <cell r="F1498"/>
          <cell r="G1498">
            <v>70852.5</v>
          </cell>
        </row>
        <row r="1499">
          <cell r="C1499">
            <v>121285697491</v>
          </cell>
          <cell r="D1499">
            <v>70929.039999999994</v>
          </cell>
          <cell r="E1499">
            <v>10286453.310000001</v>
          </cell>
          <cell r="F1499"/>
          <cell r="G1499">
            <v>70929.039999999994</v>
          </cell>
        </row>
        <row r="1500">
          <cell r="C1500">
            <v>123781985799</v>
          </cell>
          <cell r="D1500">
            <v>70929.039999999994</v>
          </cell>
          <cell r="E1500">
            <v>12394953.390000001</v>
          </cell>
          <cell r="F1500"/>
          <cell r="G1500">
            <v>70929.039999999994</v>
          </cell>
        </row>
        <row r="1501">
          <cell r="C1501">
            <v>121873160307</v>
          </cell>
          <cell r="D1501">
            <v>70997.78</v>
          </cell>
          <cell r="E1501">
            <v>4541683</v>
          </cell>
          <cell r="F1501"/>
          <cell r="G1501">
            <v>70997.78</v>
          </cell>
        </row>
        <row r="1502">
          <cell r="C1502">
            <v>120831564590</v>
          </cell>
          <cell r="D1502">
            <v>71451.73</v>
          </cell>
          <cell r="E1502">
            <v>8751113.7799999993</v>
          </cell>
          <cell r="F1502"/>
          <cell r="G1502">
            <v>71451.73</v>
          </cell>
        </row>
        <row r="1503">
          <cell r="C1503">
            <v>121816794858</v>
          </cell>
          <cell r="D1503">
            <v>71513.62</v>
          </cell>
          <cell r="E1503">
            <v>10647028.550000001</v>
          </cell>
          <cell r="F1503"/>
          <cell r="G1503">
            <v>71513.62</v>
          </cell>
        </row>
        <row r="1504">
          <cell r="C1504">
            <v>121882359833</v>
          </cell>
          <cell r="D1504">
            <v>72087.259999999995</v>
          </cell>
          <cell r="E1504">
            <v>5928025.7000000002</v>
          </cell>
          <cell r="F1504"/>
          <cell r="G1504">
            <v>72087.259999999995</v>
          </cell>
        </row>
        <row r="1505">
          <cell r="C1505">
            <v>121725667368</v>
          </cell>
          <cell r="D1505">
            <v>73072.5</v>
          </cell>
          <cell r="E1505">
            <v>8839092.4199999999</v>
          </cell>
          <cell r="F1505"/>
          <cell r="G1505">
            <v>73072.5</v>
          </cell>
        </row>
        <row r="1506">
          <cell r="C1506">
            <v>123667599261</v>
          </cell>
          <cell r="D1506">
            <v>73072.5</v>
          </cell>
          <cell r="E1506">
            <v>10419987.24</v>
          </cell>
          <cell r="F1506"/>
          <cell r="G1506">
            <v>73072.5</v>
          </cell>
        </row>
        <row r="1507">
          <cell r="C1507">
            <v>120839001148</v>
          </cell>
          <cell r="D1507">
            <v>73169.929999999993</v>
          </cell>
          <cell r="E1507">
            <v>9967559.3100000005</v>
          </cell>
          <cell r="F1507"/>
          <cell r="G1507">
            <v>73169.929999999993</v>
          </cell>
        </row>
        <row r="1508">
          <cell r="C1508">
            <v>120401851447</v>
          </cell>
          <cell r="D1508">
            <v>73169.929999999993</v>
          </cell>
          <cell r="E1508">
            <v>11013773.83</v>
          </cell>
          <cell r="F1508"/>
          <cell r="G1508">
            <v>73169.929999999993</v>
          </cell>
        </row>
        <row r="1509">
          <cell r="C1509">
            <v>123488827712</v>
          </cell>
          <cell r="D1509">
            <v>73214.25</v>
          </cell>
          <cell r="E1509">
            <v>9479984.5899999999</v>
          </cell>
          <cell r="F1509"/>
          <cell r="G1509">
            <v>73214.25</v>
          </cell>
        </row>
        <row r="1510">
          <cell r="C1510">
            <v>123666973543</v>
          </cell>
          <cell r="D1510">
            <v>73754.509999999995</v>
          </cell>
          <cell r="E1510">
            <v>10129384.77</v>
          </cell>
          <cell r="F1510"/>
          <cell r="G1510">
            <v>73754.509999999995</v>
          </cell>
        </row>
        <row r="1511">
          <cell r="C1511">
            <v>123399654613</v>
          </cell>
          <cell r="D1511">
            <v>73943.53</v>
          </cell>
          <cell r="E1511">
            <v>9207036.6199999992</v>
          </cell>
          <cell r="F1511"/>
          <cell r="G1511">
            <v>73943.53</v>
          </cell>
        </row>
        <row r="1512">
          <cell r="C1512">
            <v>123491478748</v>
          </cell>
          <cell r="D1512">
            <v>74720.17</v>
          </cell>
          <cell r="E1512">
            <v>10112472.49</v>
          </cell>
          <cell r="F1512"/>
          <cell r="G1512">
            <v>74720.17</v>
          </cell>
        </row>
        <row r="1513">
          <cell r="C1513">
            <v>120198605919</v>
          </cell>
          <cell r="D1513">
            <v>74992.539999999994</v>
          </cell>
          <cell r="E1513">
            <v>6380866.1500000004</v>
          </cell>
          <cell r="F1513"/>
          <cell r="G1513">
            <v>74992.539999999994</v>
          </cell>
        </row>
        <row r="1514">
          <cell r="C1514">
            <v>121708899754</v>
          </cell>
          <cell r="D1514">
            <v>75021.100000000006</v>
          </cell>
          <cell r="E1514">
            <v>7504248.8799999999</v>
          </cell>
          <cell r="F1514"/>
          <cell r="G1514">
            <v>75021.100000000006</v>
          </cell>
        </row>
        <row r="1515">
          <cell r="C1515">
            <v>120198541711</v>
          </cell>
          <cell r="D1515">
            <v>75576</v>
          </cell>
          <cell r="E1515">
            <v>6305873.6100000003</v>
          </cell>
          <cell r="F1515"/>
          <cell r="G1515">
            <v>75576</v>
          </cell>
        </row>
        <row r="1516">
          <cell r="C1516">
            <v>122710770175</v>
          </cell>
          <cell r="D1516">
            <v>75764.94</v>
          </cell>
          <cell r="E1516">
            <v>6139557.9500000002</v>
          </cell>
          <cell r="F1516"/>
          <cell r="G1516">
            <v>75764.94</v>
          </cell>
        </row>
        <row r="1517">
          <cell r="C1517">
            <v>121718907828</v>
          </cell>
          <cell r="D1517">
            <v>75953.88</v>
          </cell>
          <cell r="E1517">
            <v>7983389.5199999996</v>
          </cell>
          <cell r="F1517"/>
          <cell r="G1517">
            <v>75953.88</v>
          </cell>
        </row>
        <row r="1518">
          <cell r="C1518">
            <v>121678229447</v>
          </cell>
          <cell r="D1518">
            <v>76092.83</v>
          </cell>
          <cell r="E1518">
            <v>5816397.79</v>
          </cell>
          <cell r="F1518"/>
          <cell r="G1518">
            <v>76092.83</v>
          </cell>
        </row>
        <row r="1519">
          <cell r="C1519">
            <v>122406336280</v>
          </cell>
          <cell r="D1519">
            <v>76287.69</v>
          </cell>
          <cell r="E1519">
            <v>4962724.78</v>
          </cell>
          <cell r="F1519"/>
          <cell r="G1519">
            <v>76287.69</v>
          </cell>
        </row>
        <row r="1520">
          <cell r="C1520">
            <v>120296142059</v>
          </cell>
          <cell r="D1520">
            <v>76579.98</v>
          </cell>
          <cell r="E1520">
            <v>8100124.7800000003</v>
          </cell>
          <cell r="F1520"/>
          <cell r="G1520">
            <v>76579.98</v>
          </cell>
        </row>
        <row r="1521">
          <cell r="C1521">
            <v>120717703406</v>
          </cell>
          <cell r="D1521">
            <v>77164.56</v>
          </cell>
          <cell r="E1521">
            <v>6614517.7800000003</v>
          </cell>
          <cell r="F1521"/>
          <cell r="G1521">
            <v>77164.56</v>
          </cell>
        </row>
        <row r="1522">
          <cell r="C1522">
            <v>121201019919</v>
          </cell>
          <cell r="D1522">
            <v>78626.009999999995</v>
          </cell>
          <cell r="E1522">
            <v>8482148.8800000008</v>
          </cell>
          <cell r="F1522"/>
          <cell r="G1522">
            <v>78626.009999999995</v>
          </cell>
        </row>
        <row r="1523">
          <cell r="C1523">
            <v>124209590460</v>
          </cell>
          <cell r="D1523">
            <v>78723.44</v>
          </cell>
          <cell r="E1523">
            <v>10622394.050000001</v>
          </cell>
          <cell r="F1523"/>
          <cell r="G1523">
            <v>78723.44</v>
          </cell>
        </row>
        <row r="1524">
          <cell r="C1524">
            <v>120201112061</v>
          </cell>
          <cell r="D1524">
            <v>80087.460000000006</v>
          </cell>
          <cell r="E1524">
            <v>6694605.2400000002</v>
          </cell>
          <cell r="F1524"/>
          <cell r="G1524">
            <v>80087.460000000006</v>
          </cell>
        </row>
        <row r="1525">
          <cell r="C1525">
            <v>122949865811</v>
          </cell>
          <cell r="D1525">
            <v>80477.179999999993</v>
          </cell>
          <cell r="E1525">
            <v>9015458.4900000002</v>
          </cell>
          <cell r="F1525"/>
          <cell r="G1525">
            <v>80477.179999999993</v>
          </cell>
        </row>
        <row r="1526">
          <cell r="C1526">
            <v>122953942917</v>
          </cell>
          <cell r="D1526">
            <v>80769.47</v>
          </cell>
          <cell r="E1526">
            <v>9813137.2699999996</v>
          </cell>
          <cell r="F1526"/>
          <cell r="G1526">
            <v>80769.47</v>
          </cell>
        </row>
        <row r="1527">
          <cell r="C1527">
            <v>124067636850</v>
          </cell>
          <cell r="D1527">
            <v>81282.759999999995</v>
          </cell>
          <cell r="E1527">
            <v>9260658.2400000002</v>
          </cell>
          <cell r="F1527"/>
          <cell r="G1527">
            <v>81282.759999999995</v>
          </cell>
        </row>
        <row r="1528">
          <cell r="C1528">
            <v>121457910034</v>
          </cell>
          <cell r="D1528">
            <v>81548.91</v>
          </cell>
          <cell r="E1528">
            <v>7647190.5599999996</v>
          </cell>
          <cell r="F1528"/>
          <cell r="G1528">
            <v>81548.91</v>
          </cell>
        </row>
        <row r="1529">
          <cell r="C1529">
            <v>122406313780</v>
          </cell>
          <cell r="D1529">
            <v>81548.91</v>
          </cell>
          <cell r="E1529">
            <v>5055914.41</v>
          </cell>
          <cell r="F1529"/>
          <cell r="G1529">
            <v>81548.91</v>
          </cell>
        </row>
        <row r="1530">
          <cell r="C1530">
            <v>121717717664</v>
          </cell>
          <cell r="D1530">
            <v>81892.58</v>
          </cell>
          <cell r="E1530">
            <v>7872183.0099999998</v>
          </cell>
          <cell r="F1530"/>
          <cell r="G1530">
            <v>81892.58</v>
          </cell>
        </row>
        <row r="1531">
          <cell r="C1531">
            <v>121880087911</v>
          </cell>
          <cell r="D1531">
            <v>82912.929999999993</v>
          </cell>
          <cell r="E1531">
            <v>5556790.0700000003</v>
          </cell>
          <cell r="F1531"/>
          <cell r="G1531">
            <v>82912.929999999993</v>
          </cell>
        </row>
        <row r="1532">
          <cell r="C1532">
            <v>120720288538</v>
          </cell>
          <cell r="D1532">
            <v>83497.509999999995</v>
          </cell>
          <cell r="E1532">
            <v>7117293.9199999999</v>
          </cell>
          <cell r="F1532"/>
          <cell r="G1532">
            <v>83497.509999999995</v>
          </cell>
        </row>
        <row r="1533">
          <cell r="C1533">
            <v>120197923237</v>
          </cell>
          <cell r="D1533">
            <v>83605.95</v>
          </cell>
          <cell r="E1533">
            <v>6230297.6100000003</v>
          </cell>
          <cell r="F1533"/>
          <cell r="G1533">
            <v>83605.95</v>
          </cell>
        </row>
        <row r="1534">
          <cell r="C1534">
            <v>120838753904</v>
          </cell>
          <cell r="D1534">
            <v>83887.23</v>
          </cell>
          <cell r="E1534">
            <v>9821130.1300000008</v>
          </cell>
          <cell r="F1534"/>
          <cell r="G1534">
            <v>83887.23</v>
          </cell>
        </row>
        <row r="1535">
          <cell r="C1535">
            <v>122732517138</v>
          </cell>
          <cell r="D1535">
            <v>83887.23</v>
          </cell>
          <cell r="E1535">
            <v>9740022.6300000008</v>
          </cell>
          <cell r="F1535"/>
          <cell r="G1535">
            <v>83887.23</v>
          </cell>
        </row>
        <row r="1536">
          <cell r="C1536">
            <v>122125141689</v>
          </cell>
          <cell r="D1536">
            <v>83984.66</v>
          </cell>
          <cell r="E1536">
            <v>9503700.1400000006</v>
          </cell>
          <cell r="F1536"/>
          <cell r="G1536">
            <v>83984.66</v>
          </cell>
        </row>
        <row r="1537">
          <cell r="C1537">
            <v>122738652982</v>
          </cell>
          <cell r="D1537">
            <v>83984.66</v>
          </cell>
          <cell r="E1537">
            <v>9989985.7699999996</v>
          </cell>
          <cell r="F1537"/>
          <cell r="G1537">
            <v>83984.66</v>
          </cell>
        </row>
        <row r="1538">
          <cell r="C1538">
            <v>122541617520</v>
          </cell>
          <cell r="D1538">
            <v>84172.77</v>
          </cell>
          <cell r="E1538">
            <v>7646227.6799999997</v>
          </cell>
          <cell r="F1538"/>
          <cell r="G1538">
            <v>84172.77</v>
          </cell>
        </row>
        <row r="1539">
          <cell r="C1539">
            <v>123775449997</v>
          </cell>
          <cell r="D1539">
            <v>84276.95</v>
          </cell>
          <cell r="E1539">
            <v>11628645.52</v>
          </cell>
          <cell r="F1539"/>
          <cell r="G1539">
            <v>84276.95</v>
          </cell>
        </row>
        <row r="1540">
          <cell r="C1540">
            <v>123489128008</v>
          </cell>
          <cell r="D1540">
            <v>84374.38</v>
          </cell>
          <cell r="E1540">
            <v>9633119.8699999992</v>
          </cell>
          <cell r="F1540"/>
          <cell r="G1540">
            <v>84374.38</v>
          </cell>
        </row>
        <row r="1541">
          <cell r="C1541">
            <v>122842792315</v>
          </cell>
          <cell r="D1541">
            <v>84471.81</v>
          </cell>
          <cell r="E1541">
            <v>7778773.9100000001</v>
          </cell>
          <cell r="F1541"/>
          <cell r="G1541">
            <v>84471.81</v>
          </cell>
        </row>
        <row r="1542">
          <cell r="C1542">
            <v>124322066748</v>
          </cell>
          <cell r="D1542">
            <v>85400.88</v>
          </cell>
          <cell r="E1542">
            <v>12135760.810000001</v>
          </cell>
          <cell r="F1542"/>
          <cell r="G1542">
            <v>85400.88</v>
          </cell>
        </row>
        <row r="1543">
          <cell r="C1543">
            <v>123245910778</v>
          </cell>
          <cell r="D1543">
            <v>85446.11</v>
          </cell>
          <cell r="E1543">
            <v>6059603.5199999996</v>
          </cell>
          <cell r="F1543"/>
          <cell r="G1543">
            <v>85446.11</v>
          </cell>
        </row>
        <row r="1544">
          <cell r="C1544">
            <v>122008178495</v>
          </cell>
          <cell r="D1544">
            <v>86030.69</v>
          </cell>
          <cell r="E1544">
            <v>7187098.2599999998</v>
          </cell>
          <cell r="F1544"/>
          <cell r="G1544">
            <v>86030.69</v>
          </cell>
        </row>
        <row r="1545">
          <cell r="C1545">
            <v>123485837264</v>
          </cell>
          <cell r="D1545">
            <v>86030.69</v>
          </cell>
          <cell r="E1545">
            <v>8934981.3100000005</v>
          </cell>
          <cell r="F1545"/>
          <cell r="G1545">
            <v>86030.69</v>
          </cell>
        </row>
        <row r="1546">
          <cell r="C1546">
            <v>123525540355</v>
          </cell>
          <cell r="D1546">
            <v>89635.6</v>
          </cell>
          <cell r="E1546">
            <v>8942121.0700000003</v>
          </cell>
          <cell r="F1546"/>
          <cell r="G1546">
            <v>89635.6</v>
          </cell>
        </row>
        <row r="1547">
          <cell r="C1547">
            <v>120936539067</v>
          </cell>
          <cell r="D1547">
            <v>91876.49</v>
          </cell>
          <cell r="E1547">
            <v>7818576.2000000002</v>
          </cell>
          <cell r="F1547"/>
          <cell r="G1547">
            <v>91876.49</v>
          </cell>
        </row>
        <row r="1548">
          <cell r="C1548">
            <v>122655053084</v>
          </cell>
          <cell r="D1548">
            <v>92864.01</v>
          </cell>
          <cell r="E1548">
            <v>9146783.3399999999</v>
          </cell>
          <cell r="F1548"/>
          <cell r="G1548">
            <v>92864.01</v>
          </cell>
        </row>
        <row r="1549">
          <cell r="C1549">
            <v>123490958034</v>
          </cell>
          <cell r="D1549">
            <v>96642.81</v>
          </cell>
          <cell r="E1549">
            <v>9909780.0800000001</v>
          </cell>
          <cell r="F1549"/>
          <cell r="G1549">
            <v>96642.81</v>
          </cell>
        </row>
        <row r="1550">
          <cell r="C1550">
            <v>123380609798</v>
          </cell>
          <cell r="D1550">
            <v>97398.57</v>
          </cell>
          <cell r="E1550">
            <v>8021172.4199999999</v>
          </cell>
          <cell r="F1550"/>
          <cell r="G1550">
            <v>97398.57</v>
          </cell>
        </row>
        <row r="1551">
          <cell r="C1551">
            <v>121200406683</v>
          </cell>
          <cell r="D1551">
            <v>98696.59</v>
          </cell>
          <cell r="E1551">
            <v>8403522.8699999992</v>
          </cell>
          <cell r="F1551"/>
          <cell r="G1551">
            <v>98696.59</v>
          </cell>
        </row>
        <row r="1552">
          <cell r="C1552">
            <v>122537842692</v>
          </cell>
          <cell r="D1552">
            <v>100617.92</v>
          </cell>
          <cell r="E1552">
            <v>7012877.3399999999</v>
          </cell>
          <cell r="F1552"/>
          <cell r="G1552">
            <v>100617.92</v>
          </cell>
        </row>
        <row r="1553">
          <cell r="C1553">
            <v>121202094833</v>
          </cell>
          <cell r="D1553">
            <v>101619.49</v>
          </cell>
          <cell r="E1553">
            <v>8592147.3499999996</v>
          </cell>
          <cell r="F1553"/>
          <cell r="G1553">
            <v>101619.49</v>
          </cell>
        </row>
        <row r="1554">
          <cell r="C1554">
            <v>122739020004</v>
          </cell>
          <cell r="D1554">
            <v>101619.49</v>
          </cell>
          <cell r="E1554">
            <v>10091605.26</v>
          </cell>
          <cell r="F1554"/>
          <cell r="G1554">
            <v>101619.49</v>
          </cell>
        </row>
        <row r="1555">
          <cell r="C1555">
            <v>123245343428</v>
          </cell>
          <cell r="D1555">
            <v>102301.5</v>
          </cell>
          <cell r="E1555">
            <v>5952520.2400000002</v>
          </cell>
          <cell r="F1555"/>
          <cell r="G1555">
            <v>102301.5</v>
          </cell>
        </row>
        <row r="1556">
          <cell r="C1556">
            <v>120918703208</v>
          </cell>
          <cell r="D1556">
            <v>102405.48</v>
          </cell>
          <cell r="E1556">
            <v>10921332.02</v>
          </cell>
          <cell r="F1556"/>
          <cell r="G1556">
            <v>102405.48</v>
          </cell>
        </row>
        <row r="1557">
          <cell r="C1557">
            <v>123376581002</v>
          </cell>
          <cell r="D1557">
            <v>102405.48</v>
          </cell>
          <cell r="E1557">
            <v>6932856.0899999999</v>
          </cell>
          <cell r="F1557"/>
          <cell r="G1557">
            <v>102405.48</v>
          </cell>
        </row>
        <row r="1558">
          <cell r="C1558">
            <v>120319627215</v>
          </cell>
          <cell r="D1558">
            <v>103080.94</v>
          </cell>
          <cell r="E1558">
            <v>9370617.4399999995</v>
          </cell>
          <cell r="F1558"/>
          <cell r="G1558">
            <v>103080.94</v>
          </cell>
        </row>
        <row r="1559">
          <cell r="C1559">
            <v>121316766550</v>
          </cell>
          <cell r="D1559">
            <v>105510.85</v>
          </cell>
          <cell r="E1559">
            <v>7035363.7999999998</v>
          </cell>
          <cell r="F1559"/>
          <cell r="G1559">
            <v>105510.85</v>
          </cell>
        </row>
        <row r="1560">
          <cell r="C1560">
            <v>120582821504</v>
          </cell>
          <cell r="D1560">
            <v>105516.69</v>
          </cell>
          <cell r="E1560">
            <v>5356315.2699999996</v>
          </cell>
          <cell r="F1560"/>
          <cell r="G1560">
            <v>105516.69</v>
          </cell>
        </row>
        <row r="1561">
          <cell r="C1561">
            <v>120830017106</v>
          </cell>
          <cell r="D1561">
            <v>107562.72</v>
          </cell>
          <cell r="E1561">
            <v>8490763.7300000004</v>
          </cell>
          <cell r="F1561"/>
          <cell r="G1561">
            <v>107562.72</v>
          </cell>
        </row>
        <row r="1562">
          <cell r="C1562">
            <v>121725390870</v>
          </cell>
          <cell r="D1562">
            <v>111380.13</v>
          </cell>
          <cell r="E1562">
            <v>8766019.9199999999</v>
          </cell>
          <cell r="F1562"/>
          <cell r="G1562">
            <v>111380.13</v>
          </cell>
        </row>
        <row r="1563">
          <cell r="C1563">
            <v>120399642907</v>
          </cell>
          <cell r="D1563">
            <v>112141.93</v>
          </cell>
          <cell r="E1563">
            <v>10699499.67</v>
          </cell>
          <cell r="F1563"/>
          <cell r="G1563">
            <v>112141.93</v>
          </cell>
        </row>
        <row r="1564">
          <cell r="C1564">
            <v>123667152261</v>
          </cell>
          <cell r="D1564">
            <v>112531.65</v>
          </cell>
          <cell r="E1564">
            <v>10241916.42</v>
          </cell>
          <cell r="F1564"/>
          <cell r="G1564">
            <v>112531.65</v>
          </cell>
        </row>
        <row r="1565">
          <cell r="C1565">
            <v>122123710657</v>
          </cell>
          <cell r="D1565">
            <v>112891.65</v>
          </cell>
          <cell r="E1565">
            <v>9053919.3300000001</v>
          </cell>
          <cell r="F1565"/>
          <cell r="G1565">
            <v>112891.65</v>
          </cell>
        </row>
        <row r="1566">
          <cell r="C1566">
            <v>120066203273</v>
          </cell>
          <cell r="D1566">
            <v>114382.82</v>
          </cell>
          <cell r="E1566">
            <v>5246998.8099999996</v>
          </cell>
          <cell r="F1566"/>
          <cell r="G1566">
            <v>114382.82</v>
          </cell>
        </row>
        <row r="1567">
          <cell r="C1567">
            <v>124063258226</v>
          </cell>
          <cell r="D1567">
            <v>116317.54</v>
          </cell>
          <cell r="E1567">
            <v>8558533.1400000006</v>
          </cell>
          <cell r="F1567"/>
          <cell r="G1567">
            <v>116317.54</v>
          </cell>
        </row>
        <row r="1568">
          <cell r="C1568">
            <v>123375777596</v>
          </cell>
          <cell r="D1568">
            <v>122475.71</v>
          </cell>
          <cell r="E1568">
            <v>6746143.7599999998</v>
          </cell>
          <cell r="F1568"/>
          <cell r="G1568">
            <v>122475.71</v>
          </cell>
        </row>
        <row r="1569">
          <cell r="C1569">
            <v>123660805411</v>
          </cell>
          <cell r="D1569">
            <v>138068.06</v>
          </cell>
          <cell r="E1569">
            <v>9156381.9700000007</v>
          </cell>
          <cell r="F1569"/>
          <cell r="G1569">
            <v>138068.06</v>
          </cell>
        </row>
        <row r="1570">
          <cell r="C1570">
            <v>123665098101</v>
          </cell>
          <cell r="D1570">
            <v>139519.76</v>
          </cell>
          <cell r="E1570">
            <v>9791402.9299999997</v>
          </cell>
          <cell r="F1570"/>
          <cell r="G1570">
            <v>139519.76</v>
          </cell>
        </row>
        <row r="1571">
          <cell r="C1571">
            <v>122406050326</v>
          </cell>
          <cell r="D1571">
            <v>141516.06</v>
          </cell>
          <cell r="E1571">
            <v>4838071.3499999996</v>
          </cell>
          <cell r="F1571"/>
          <cell r="G1571">
            <v>141516.06</v>
          </cell>
        </row>
        <row r="1572">
          <cell r="C1572">
            <v>121084507715</v>
          </cell>
          <cell r="D1572">
            <v>149749.91</v>
          </cell>
          <cell r="E1572">
            <v>6880651.4100000001</v>
          </cell>
          <cell r="F1572"/>
          <cell r="G1572">
            <v>149749.91</v>
          </cell>
        </row>
        <row r="1573">
          <cell r="C1573">
            <v>120064967345</v>
          </cell>
          <cell r="D1573">
            <v>151893.37</v>
          </cell>
          <cell r="E1573">
            <v>5077495.53</v>
          </cell>
          <cell r="F1573"/>
          <cell r="G1573">
            <v>151893.37</v>
          </cell>
        </row>
        <row r="1574">
          <cell r="C1574">
            <v>121603719932</v>
          </cell>
          <cell r="D1574">
            <v>152088.23000000001</v>
          </cell>
          <cell r="E1574">
            <v>6475814.79</v>
          </cell>
          <cell r="F1574"/>
          <cell r="G1574">
            <v>152088.23000000001</v>
          </cell>
        </row>
        <row r="1575">
          <cell r="C1575">
            <v>121205760531</v>
          </cell>
          <cell r="D1575">
            <v>181512.09</v>
          </cell>
          <cell r="E1575">
            <v>9470484.5600000005</v>
          </cell>
          <cell r="F1575"/>
          <cell r="G1575">
            <v>181512.09</v>
          </cell>
        </row>
        <row r="1576">
          <cell r="C1576">
            <v>120921835786</v>
          </cell>
          <cell r="D1576">
            <v>181804.38</v>
          </cell>
          <cell r="E1576">
            <v>11234688.789999999</v>
          </cell>
          <cell r="F1576"/>
          <cell r="G1576">
            <v>181804.38</v>
          </cell>
        </row>
        <row r="1577">
          <cell r="C1577">
            <v>121319992614</v>
          </cell>
          <cell r="D1577">
            <v>195880.19</v>
          </cell>
          <cell r="E1577">
            <v>7451990.3399999999</v>
          </cell>
          <cell r="F1577"/>
          <cell r="G1577">
            <v>195880.19</v>
          </cell>
        </row>
        <row r="1578">
          <cell r="C1578">
            <v>121206399949</v>
          </cell>
          <cell r="D1578">
            <v>256728.05</v>
          </cell>
          <cell r="E1578">
            <v>9839487.5800000001</v>
          </cell>
          <cell r="F1578"/>
          <cell r="G1578">
            <v>256728.05</v>
          </cell>
        </row>
        <row r="1579">
          <cell r="C1579">
            <v>122842279691</v>
          </cell>
          <cell r="D1579">
            <v>359930.7</v>
          </cell>
          <cell r="E1579">
            <v>7523598.46</v>
          </cell>
          <cell r="F1579"/>
          <cell r="G1579">
            <v>359930.7</v>
          </cell>
        </row>
        <row r="1580">
          <cell r="C1580">
            <v>124208541490</v>
          </cell>
          <cell r="D1580">
            <v>2158.69</v>
          </cell>
          <cell r="E1580">
            <v>10293861.84</v>
          </cell>
          <cell r="F1580"/>
          <cell r="G1580">
            <v>2158.69</v>
          </cell>
        </row>
        <row r="1581">
          <cell r="C1581">
            <v>120322401311</v>
          </cell>
          <cell r="D1581">
            <v>851.73</v>
          </cell>
          <cell r="E1581">
            <v>10198966.59</v>
          </cell>
          <cell r="F1581"/>
          <cell r="G1581">
            <v>851.73</v>
          </cell>
        </row>
        <row r="1582">
          <cell r="C1582">
            <v>122538752782</v>
          </cell>
          <cell r="D1582">
            <v>210.48</v>
          </cell>
          <cell r="E1582">
            <v>7065115.4400000004</v>
          </cell>
          <cell r="F1582"/>
          <cell r="G1582">
            <v>210.48</v>
          </cell>
        </row>
        <row r="1583">
          <cell r="C1583">
            <v>124054998314</v>
          </cell>
          <cell r="D1583">
            <v>220.27</v>
          </cell>
          <cell r="E1583">
            <v>8243760.7599999998</v>
          </cell>
          <cell r="F1583"/>
          <cell r="G1583">
            <v>220.27</v>
          </cell>
        </row>
        <row r="1584">
          <cell r="C1584">
            <v>122730309836</v>
          </cell>
          <cell r="D1584">
            <v>210.48</v>
          </cell>
          <cell r="E1584">
            <v>9638431.3499999996</v>
          </cell>
          <cell r="F1584"/>
          <cell r="G1584">
            <v>210.48</v>
          </cell>
        </row>
        <row r="1585">
          <cell r="C1585">
            <v>121315855156</v>
          </cell>
          <cell r="D1585">
            <v>841.94</v>
          </cell>
          <cell r="E1585">
            <v>6929852.9500000002</v>
          </cell>
          <cell r="F1585"/>
          <cell r="G1585">
            <v>841.94</v>
          </cell>
        </row>
        <row r="1586">
          <cell r="C1586">
            <v>122699368783</v>
          </cell>
          <cell r="D1586">
            <v>210.48</v>
          </cell>
          <cell r="E1586">
            <v>4939133.09</v>
          </cell>
          <cell r="F1586"/>
          <cell r="G1586">
            <v>210.48</v>
          </cell>
        </row>
        <row r="1587">
          <cell r="C1587">
            <v>123245307308</v>
          </cell>
          <cell r="D1587">
            <v>1375.49</v>
          </cell>
          <cell r="E1587">
            <v>5850218.7400000002</v>
          </cell>
          <cell r="F1587"/>
          <cell r="G1587">
            <v>1375.49</v>
          </cell>
        </row>
        <row r="1588">
          <cell r="C1588">
            <v>120203389947</v>
          </cell>
          <cell r="D1588">
            <v>4195.01</v>
          </cell>
          <cell r="E1588">
            <v>7121488.9299999997</v>
          </cell>
          <cell r="F1588"/>
          <cell r="G1588">
            <v>4195.01</v>
          </cell>
        </row>
        <row r="1589">
          <cell r="C1589">
            <v>124055539338</v>
          </cell>
          <cell r="D1589">
            <v>401.39</v>
          </cell>
          <cell r="E1589">
            <v>8280114.4100000001</v>
          </cell>
          <cell r="F1589"/>
          <cell r="G1589">
            <v>401.39</v>
          </cell>
        </row>
        <row r="1590">
          <cell r="C1590">
            <v>122652794528</v>
          </cell>
          <cell r="D1590">
            <v>3338.39</v>
          </cell>
          <cell r="E1590">
            <v>8586815.8800000008</v>
          </cell>
          <cell r="F1590"/>
          <cell r="G1590">
            <v>3338.39</v>
          </cell>
        </row>
        <row r="1591">
          <cell r="C1591">
            <v>122945983115</v>
          </cell>
          <cell r="D1591">
            <v>1654.51</v>
          </cell>
          <cell r="E1591">
            <v>8579921.4700000007</v>
          </cell>
          <cell r="F1591"/>
          <cell r="G1591">
            <v>1654.51</v>
          </cell>
        </row>
        <row r="1592">
          <cell r="C1592">
            <v>124068230242</v>
          </cell>
          <cell r="D1592">
            <v>171.32</v>
          </cell>
          <cell r="E1592">
            <v>9308131.6500000004</v>
          </cell>
          <cell r="F1592"/>
          <cell r="G1592">
            <v>171.32</v>
          </cell>
        </row>
        <row r="1593">
          <cell r="C1593">
            <v>120816016066</v>
          </cell>
          <cell r="D1593">
            <v>655.93</v>
          </cell>
          <cell r="E1593">
            <v>8155306.8399999999</v>
          </cell>
          <cell r="F1593"/>
          <cell r="G1593">
            <v>655.93</v>
          </cell>
        </row>
        <row r="1594">
          <cell r="C1594">
            <v>121206351955</v>
          </cell>
          <cell r="D1594">
            <v>1081.79</v>
          </cell>
          <cell r="E1594">
            <v>9541287.1999999993</v>
          </cell>
          <cell r="F1594"/>
          <cell r="G1594">
            <v>1081.79</v>
          </cell>
        </row>
        <row r="1595">
          <cell r="C1595">
            <v>122412699784</v>
          </cell>
          <cell r="D1595">
            <v>420.97</v>
          </cell>
          <cell r="E1595">
            <v>5932636.1600000001</v>
          </cell>
          <cell r="F1595"/>
          <cell r="G1595">
            <v>420.97</v>
          </cell>
        </row>
        <row r="1596">
          <cell r="C1596">
            <v>124063961392</v>
          </cell>
          <cell r="D1596">
            <v>420.97</v>
          </cell>
          <cell r="E1596">
            <v>8583709.2100000009</v>
          </cell>
          <cell r="F1596"/>
          <cell r="G1596">
            <v>420.97</v>
          </cell>
        </row>
        <row r="1597">
          <cell r="C1597">
            <v>123525769105</v>
          </cell>
          <cell r="D1597">
            <v>420.97</v>
          </cell>
          <cell r="E1597">
            <v>8995950.4000000004</v>
          </cell>
          <cell r="F1597"/>
          <cell r="G1597">
            <v>420.97</v>
          </cell>
        </row>
        <row r="1598">
          <cell r="C1598">
            <v>122641776136</v>
          </cell>
          <cell r="D1598">
            <v>3015.32</v>
          </cell>
          <cell r="E1598">
            <v>7747248.1699999999</v>
          </cell>
          <cell r="F1598"/>
          <cell r="G1598">
            <v>3015.32</v>
          </cell>
        </row>
        <row r="1599">
          <cell r="C1599">
            <v>121319283480</v>
          </cell>
          <cell r="D1599">
            <v>1718.14</v>
          </cell>
          <cell r="E1599">
            <v>7256110.1500000004</v>
          </cell>
          <cell r="F1599"/>
          <cell r="G1599">
            <v>1718.14</v>
          </cell>
        </row>
        <row r="1600">
          <cell r="C1600">
            <v>122710252141</v>
          </cell>
          <cell r="D1600">
            <v>420.97</v>
          </cell>
          <cell r="E1600">
            <v>5957130.7000000002</v>
          </cell>
          <cell r="F1600"/>
          <cell r="G1600">
            <v>420.97</v>
          </cell>
        </row>
        <row r="1601">
          <cell r="C1601">
            <v>124068221446</v>
          </cell>
          <cell r="D1601">
            <v>1262.9100000000001</v>
          </cell>
          <cell r="E1601">
            <v>9321106.4700000007</v>
          </cell>
          <cell r="F1601"/>
          <cell r="G1601">
            <v>1262.9100000000001</v>
          </cell>
        </row>
        <row r="1602">
          <cell r="C1602">
            <v>122954939035</v>
          </cell>
          <cell r="D1602">
            <v>489.5</v>
          </cell>
          <cell r="E1602">
            <v>9982562.6400000006</v>
          </cell>
          <cell r="F1602"/>
          <cell r="G1602">
            <v>489.5</v>
          </cell>
        </row>
        <row r="1603">
          <cell r="C1603">
            <v>121875975327</v>
          </cell>
          <cell r="D1603">
            <v>3832.78</v>
          </cell>
          <cell r="E1603">
            <v>4966557.5599999996</v>
          </cell>
          <cell r="F1603"/>
          <cell r="G1603">
            <v>3832.78</v>
          </cell>
        </row>
        <row r="1604">
          <cell r="C1604">
            <v>124070984084</v>
          </cell>
          <cell r="D1604">
            <v>210.48</v>
          </cell>
          <cell r="E1604">
            <v>9593337.5399999991</v>
          </cell>
          <cell r="F1604"/>
          <cell r="G1604">
            <v>210.48</v>
          </cell>
        </row>
        <row r="1605">
          <cell r="C1605">
            <v>121720926764</v>
          </cell>
          <cell r="D1605">
            <v>1590.87</v>
          </cell>
          <cell r="E1605">
            <v>8136714.9500000002</v>
          </cell>
          <cell r="F1605"/>
          <cell r="G1605">
            <v>1590.87</v>
          </cell>
        </row>
        <row r="1606">
          <cell r="C1606">
            <v>122949897291</v>
          </cell>
          <cell r="D1606">
            <v>4043.27</v>
          </cell>
          <cell r="E1606">
            <v>9019501.7599999998</v>
          </cell>
          <cell r="F1606"/>
          <cell r="G1606">
            <v>4043.27</v>
          </cell>
        </row>
        <row r="1607">
          <cell r="C1607">
            <v>121462487422</v>
          </cell>
          <cell r="D1607">
            <v>885.99</v>
          </cell>
          <cell r="E1607">
            <v>8217547.8300000001</v>
          </cell>
          <cell r="F1607"/>
          <cell r="G1607">
            <v>885.99</v>
          </cell>
        </row>
        <row r="1608">
          <cell r="C1608">
            <v>123754887255</v>
          </cell>
          <cell r="D1608">
            <v>631.45000000000005</v>
          </cell>
          <cell r="E1608">
            <v>10862989.32</v>
          </cell>
          <cell r="F1608"/>
          <cell r="G1608">
            <v>631.45000000000005</v>
          </cell>
        </row>
        <row r="1609">
          <cell r="C1609">
            <v>122394662760</v>
          </cell>
          <cell r="D1609">
            <v>244.75</v>
          </cell>
          <cell r="E1609">
            <v>4232985.8099999996</v>
          </cell>
          <cell r="F1609"/>
          <cell r="G1609">
            <v>244.75</v>
          </cell>
        </row>
        <row r="1610">
          <cell r="C1610">
            <v>123034052781</v>
          </cell>
          <cell r="D1610">
            <v>4376.13</v>
          </cell>
          <cell r="E1610">
            <v>10875611.49</v>
          </cell>
          <cell r="F1610"/>
          <cell r="G1610">
            <v>4376.13</v>
          </cell>
        </row>
        <row r="1611">
          <cell r="C1611">
            <v>122124321573</v>
          </cell>
          <cell r="D1611">
            <v>6265.6</v>
          </cell>
          <cell r="E1611">
            <v>9283888.1899999995</v>
          </cell>
          <cell r="F1611"/>
          <cell r="G1611">
            <v>6265.6</v>
          </cell>
        </row>
        <row r="1612">
          <cell r="C1612">
            <v>120319114147</v>
          </cell>
          <cell r="D1612">
            <v>2516.0300000000002</v>
          </cell>
          <cell r="E1612">
            <v>9236069.5</v>
          </cell>
          <cell r="F1612"/>
          <cell r="G1612">
            <v>2516.0300000000002</v>
          </cell>
        </row>
        <row r="1613">
          <cell r="C1613">
            <v>122102657525</v>
          </cell>
          <cell r="D1613">
            <v>2055.9</v>
          </cell>
          <cell r="E1613">
            <v>7514896.2999999998</v>
          </cell>
          <cell r="F1613"/>
          <cell r="G1613">
            <v>2055.9</v>
          </cell>
        </row>
        <row r="1614">
          <cell r="C1614">
            <v>122006074967</v>
          </cell>
          <cell r="D1614">
            <v>6314.55</v>
          </cell>
          <cell r="E1614">
            <v>6876781.0700000003</v>
          </cell>
          <cell r="F1614"/>
          <cell r="G1614">
            <v>6314.55</v>
          </cell>
        </row>
        <row r="1615">
          <cell r="C1615">
            <v>123371836832</v>
          </cell>
          <cell r="D1615">
            <v>391.6</v>
          </cell>
          <cell r="E1615">
            <v>6397848.9500000002</v>
          </cell>
          <cell r="F1615"/>
          <cell r="G1615">
            <v>391.6</v>
          </cell>
        </row>
        <row r="1616">
          <cell r="C1616">
            <v>121719599616</v>
          </cell>
          <cell r="D1616">
            <v>1997.16</v>
          </cell>
          <cell r="E1616">
            <v>8005262.4000000004</v>
          </cell>
          <cell r="F1616"/>
          <cell r="G1616">
            <v>1997.16</v>
          </cell>
        </row>
        <row r="1617">
          <cell r="C1617">
            <v>122505830712</v>
          </cell>
          <cell r="D1617">
            <v>420.97</v>
          </cell>
          <cell r="E1617">
            <v>5932142.21</v>
          </cell>
          <cell r="F1617"/>
          <cell r="G1617">
            <v>420.97</v>
          </cell>
        </row>
        <row r="1618">
          <cell r="C1618">
            <v>122827085037</v>
          </cell>
          <cell r="D1618">
            <v>1409.76</v>
          </cell>
          <cell r="E1618">
            <v>6169349.6799999997</v>
          </cell>
          <cell r="F1618"/>
          <cell r="G1618">
            <v>1409.76</v>
          </cell>
        </row>
        <row r="1619">
          <cell r="C1619">
            <v>120838119478</v>
          </cell>
          <cell r="D1619">
            <v>1439.13</v>
          </cell>
          <cell r="E1619">
            <v>9597879.4100000001</v>
          </cell>
          <cell r="F1619"/>
          <cell r="G1619">
            <v>1439.13</v>
          </cell>
        </row>
        <row r="1620">
          <cell r="C1620">
            <v>121880071459</v>
          </cell>
          <cell r="D1620">
            <v>2770.57</v>
          </cell>
          <cell r="E1620">
            <v>5473877.1399999997</v>
          </cell>
          <cell r="F1620"/>
          <cell r="G1620">
            <v>2770.57</v>
          </cell>
        </row>
        <row r="1621">
          <cell r="C1621">
            <v>122651345952</v>
          </cell>
          <cell r="D1621">
            <v>856.62</v>
          </cell>
          <cell r="E1621">
            <v>8404718.25</v>
          </cell>
          <cell r="F1621"/>
          <cell r="G1621">
            <v>856.62</v>
          </cell>
        </row>
        <row r="1622">
          <cell r="C1622">
            <v>120813028918</v>
          </cell>
          <cell r="D1622">
            <v>788.09</v>
          </cell>
          <cell r="E1622">
            <v>8023544.7999999998</v>
          </cell>
          <cell r="F1622"/>
          <cell r="G1622">
            <v>788.09</v>
          </cell>
        </row>
        <row r="1623">
          <cell r="C1623">
            <v>120204970021</v>
          </cell>
          <cell r="D1623">
            <v>915.36</v>
          </cell>
          <cell r="E1623">
            <v>7293287.6799999997</v>
          </cell>
          <cell r="F1623"/>
          <cell r="G1623">
            <v>915.36</v>
          </cell>
        </row>
        <row r="1624">
          <cell r="C1624">
            <v>124200124590</v>
          </cell>
          <cell r="D1624">
            <v>3211.12</v>
          </cell>
          <cell r="E1624">
            <v>8960311.8100000005</v>
          </cell>
          <cell r="F1624"/>
          <cell r="G1624">
            <v>3211.12</v>
          </cell>
        </row>
        <row r="1625">
          <cell r="C1625">
            <v>122828157977</v>
          </cell>
          <cell r="D1625">
            <v>3318.81</v>
          </cell>
          <cell r="E1625">
            <v>6205697.2599999998</v>
          </cell>
          <cell r="F1625"/>
          <cell r="G1625">
            <v>3318.81</v>
          </cell>
        </row>
        <row r="1626">
          <cell r="C1626">
            <v>122939375885</v>
          </cell>
          <cell r="D1626">
            <v>3318.81</v>
          </cell>
          <cell r="E1626">
            <v>8404938.6099999994</v>
          </cell>
          <cell r="F1626"/>
          <cell r="G1626">
            <v>3318.81</v>
          </cell>
        </row>
        <row r="1627">
          <cell r="C1627">
            <v>121195671825</v>
          </cell>
          <cell r="D1627">
            <v>822.36</v>
          </cell>
          <cell r="E1627">
            <v>7896553.3300000001</v>
          </cell>
          <cell r="F1627"/>
          <cell r="G1627">
            <v>822.36</v>
          </cell>
        </row>
        <row r="1628">
          <cell r="C1628">
            <v>121877023753</v>
          </cell>
          <cell r="D1628">
            <v>3216.01</v>
          </cell>
          <cell r="E1628">
            <v>5211622.6399999997</v>
          </cell>
          <cell r="F1628"/>
          <cell r="G1628">
            <v>3216.01</v>
          </cell>
        </row>
        <row r="1629">
          <cell r="C1629">
            <v>122535606894</v>
          </cell>
          <cell r="D1629">
            <v>386.7</v>
          </cell>
          <cell r="E1629">
            <v>6613353.5</v>
          </cell>
          <cell r="F1629"/>
          <cell r="G1629">
            <v>386.7</v>
          </cell>
        </row>
        <row r="1630">
          <cell r="C1630">
            <v>124062940012</v>
          </cell>
          <cell r="D1630">
            <v>210.48</v>
          </cell>
          <cell r="E1630">
            <v>8438026.1099999994</v>
          </cell>
          <cell r="F1630"/>
          <cell r="G1630">
            <v>210.48</v>
          </cell>
        </row>
        <row r="1631">
          <cell r="C1631">
            <v>122410265860</v>
          </cell>
          <cell r="D1631">
            <v>841.94</v>
          </cell>
          <cell r="E1631">
            <v>5570176.6299999999</v>
          </cell>
          <cell r="F1631"/>
          <cell r="G1631">
            <v>841.94</v>
          </cell>
        </row>
        <row r="1632">
          <cell r="C1632">
            <v>121605601990</v>
          </cell>
          <cell r="D1632">
            <v>2520.92</v>
          </cell>
          <cell r="E1632">
            <v>6687447.7199999997</v>
          </cell>
          <cell r="F1632"/>
          <cell r="G1632">
            <v>2520.92</v>
          </cell>
        </row>
        <row r="1633">
          <cell r="C1633">
            <v>121086170523</v>
          </cell>
          <cell r="D1633">
            <v>460.13</v>
          </cell>
          <cell r="E1633">
            <v>7082967.96</v>
          </cell>
          <cell r="F1633"/>
          <cell r="G1633">
            <v>460.13</v>
          </cell>
        </row>
        <row r="1634">
          <cell r="C1634">
            <v>122955414491</v>
          </cell>
          <cell r="D1634">
            <v>1027.95</v>
          </cell>
          <cell r="E1634">
            <v>10250881.92</v>
          </cell>
          <cell r="F1634"/>
          <cell r="G1634">
            <v>1027.95</v>
          </cell>
        </row>
        <row r="1635">
          <cell r="C1635">
            <v>122655520844</v>
          </cell>
          <cell r="D1635">
            <v>802.78</v>
          </cell>
          <cell r="E1635">
            <v>9215267.3900000006</v>
          </cell>
          <cell r="F1635"/>
          <cell r="G1635">
            <v>802.78</v>
          </cell>
        </row>
        <row r="1636">
          <cell r="C1636">
            <v>122195520067</v>
          </cell>
          <cell r="D1636">
            <v>949.63</v>
          </cell>
          <cell r="E1636">
            <v>9611061.5099999998</v>
          </cell>
          <cell r="F1636"/>
          <cell r="G1636">
            <v>949.63</v>
          </cell>
        </row>
        <row r="1637">
          <cell r="C1637">
            <v>120319590197</v>
          </cell>
          <cell r="D1637">
            <v>210.48</v>
          </cell>
          <cell r="E1637">
            <v>9240469.4700000007</v>
          </cell>
          <cell r="F1637"/>
          <cell r="G1637">
            <v>210.48</v>
          </cell>
        </row>
        <row r="1638">
          <cell r="C1638">
            <v>120315656461</v>
          </cell>
          <cell r="D1638">
            <v>841.94</v>
          </cell>
          <cell r="E1638">
            <v>8880468.4399999995</v>
          </cell>
          <cell r="F1638"/>
          <cell r="G1638">
            <v>841.94</v>
          </cell>
        </row>
        <row r="1639">
          <cell r="C1639">
            <v>124202751160</v>
          </cell>
          <cell r="D1639">
            <v>841.94</v>
          </cell>
          <cell r="E1639">
            <v>9182742.6099999994</v>
          </cell>
          <cell r="F1639"/>
          <cell r="G1639">
            <v>841.94</v>
          </cell>
        </row>
        <row r="1640">
          <cell r="C1640">
            <v>122737971300</v>
          </cell>
          <cell r="D1640">
            <v>1664.3</v>
          </cell>
          <cell r="E1640">
            <v>9906001.1099999994</v>
          </cell>
          <cell r="F1640"/>
          <cell r="G1640">
            <v>1664.3</v>
          </cell>
        </row>
        <row r="1641">
          <cell r="C1641">
            <v>120317342521</v>
          </cell>
          <cell r="D1641">
            <v>2178.27</v>
          </cell>
          <cell r="E1641">
            <v>9010531.3100000005</v>
          </cell>
          <cell r="F1641"/>
          <cell r="G1641">
            <v>2178.27</v>
          </cell>
        </row>
        <row r="1642">
          <cell r="C1642">
            <v>122009730139</v>
          </cell>
          <cell r="D1642">
            <v>1879.68</v>
          </cell>
          <cell r="E1642">
            <v>7450472.5300000003</v>
          </cell>
          <cell r="F1642"/>
          <cell r="G1642">
            <v>1879.68</v>
          </cell>
        </row>
        <row r="1643">
          <cell r="C1643">
            <v>121439929288</v>
          </cell>
          <cell r="D1643">
            <v>440.55</v>
          </cell>
          <cell r="E1643">
            <v>7089666.5099999998</v>
          </cell>
          <cell r="F1643"/>
          <cell r="G1643">
            <v>440.55</v>
          </cell>
        </row>
        <row r="1644">
          <cell r="C1644">
            <v>122106084277</v>
          </cell>
          <cell r="D1644">
            <v>342.65</v>
          </cell>
          <cell r="E1644">
            <v>7559299.6600000001</v>
          </cell>
          <cell r="F1644"/>
          <cell r="G1644">
            <v>342.65</v>
          </cell>
        </row>
        <row r="1645">
          <cell r="C1645">
            <v>123403348277</v>
          </cell>
          <cell r="D1645">
            <v>1741.64</v>
          </cell>
          <cell r="E1645">
            <v>9545357.6999999993</v>
          </cell>
          <cell r="F1645"/>
          <cell r="G1645">
            <v>1741.64</v>
          </cell>
        </row>
        <row r="1646">
          <cell r="C1646">
            <v>122395228018</v>
          </cell>
          <cell r="D1646">
            <v>210.48</v>
          </cell>
          <cell r="E1646">
            <v>4250331.21</v>
          </cell>
          <cell r="F1646"/>
          <cell r="G1646">
            <v>210.48</v>
          </cell>
        </row>
        <row r="1647">
          <cell r="C1647">
            <v>122646022996</v>
          </cell>
          <cell r="D1647">
            <v>518.87</v>
          </cell>
          <cell r="E1647">
            <v>8065997.9699999997</v>
          </cell>
          <cell r="F1647"/>
          <cell r="G1647">
            <v>518.87</v>
          </cell>
        </row>
        <row r="1648">
          <cell r="C1648">
            <v>120833035146</v>
          </cell>
          <cell r="D1648">
            <v>1419.55</v>
          </cell>
          <cell r="E1648">
            <v>8910142.6899999995</v>
          </cell>
          <cell r="F1648"/>
          <cell r="G1648">
            <v>1419.55</v>
          </cell>
        </row>
        <row r="1649">
          <cell r="C1649">
            <v>122409984864</v>
          </cell>
          <cell r="D1649">
            <v>171.32</v>
          </cell>
          <cell r="E1649">
            <v>5370317.8700000001</v>
          </cell>
          <cell r="F1649"/>
          <cell r="G1649">
            <v>171.32</v>
          </cell>
        </row>
        <row r="1650">
          <cell r="C1650">
            <v>122842378891</v>
          </cell>
          <cell r="D1650">
            <v>5012.4799999999996</v>
          </cell>
          <cell r="E1650">
            <v>7578495.0999999996</v>
          </cell>
          <cell r="F1650"/>
          <cell r="G1650">
            <v>5012.4799999999996</v>
          </cell>
        </row>
        <row r="1651">
          <cell r="C1651">
            <v>122535422410</v>
          </cell>
          <cell r="D1651">
            <v>5120.17</v>
          </cell>
          <cell r="E1651">
            <v>6589778.46</v>
          </cell>
          <cell r="F1651"/>
          <cell r="G1651">
            <v>5120.17</v>
          </cell>
        </row>
        <row r="1652">
          <cell r="C1652">
            <v>122839258519</v>
          </cell>
          <cell r="D1652">
            <v>4248.8599999999997</v>
          </cell>
          <cell r="E1652">
            <v>6538153.9000000004</v>
          </cell>
          <cell r="F1652"/>
          <cell r="G1652">
            <v>4248.8599999999997</v>
          </cell>
        </row>
        <row r="1653">
          <cell r="C1653">
            <v>122123482287</v>
          </cell>
          <cell r="D1653">
            <v>420.97</v>
          </cell>
          <cell r="E1653">
            <v>8884278.4700000007</v>
          </cell>
          <cell r="F1653"/>
          <cell r="G1653">
            <v>420.97</v>
          </cell>
        </row>
        <row r="1654">
          <cell r="C1654">
            <v>122647479486</v>
          </cell>
          <cell r="D1654">
            <v>665.72</v>
          </cell>
          <cell r="E1654">
            <v>8177644.0300000003</v>
          </cell>
          <cell r="F1654"/>
          <cell r="G1654">
            <v>665.72</v>
          </cell>
        </row>
        <row r="1655">
          <cell r="C1655">
            <v>123113477762</v>
          </cell>
          <cell r="D1655">
            <v>5472.61</v>
          </cell>
          <cell r="E1655">
            <v>5711981.3399999999</v>
          </cell>
          <cell r="F1655"/>
          <cell r="G1655">
            <v>5472.61</v>
          </cell>
        </row>
        <row r="1656">
          <cell r="C1656">
            <v>122648061436</v>
          </cell>
          <cell r="D1656">
            <v>660.82</v>
          </cell>
          <cell r="E1656">
            <v>8195939.6799999997</v>
          </cell>
          <cell r="F1656"/>
          <cell r="G1656">
            <v>660.82</v>
          </cell>
        </row>
        <row r="1657">
          <cell r="C1657">
            <v>120322329439</v>
          </cell>
          <cell r="D1657">
            <v>1801.36</v>
          </cell>
          <cell r="E1657">
            <v>10181162.039999999</v>
          </cell>
          <cell r="F1657"/>
          <cell r="G1657">
            <v>1801.36</v>
          </cell>
        </row>
        <row r="1658">
          <cell r="C1658">
            <v>121429934636</v>
          </cell>
          <cell r="D1658">
            <v>440.55</v>
          </cell>
          <cell r="E1658">
            <v>7032885.8600000003</v>
          </cell>
          <cell r="F1658"/>
          <cell r="G1658">
            <v>440.55</v>
          </cell>
        </row>
        <row r="1659">
          <cell r="C1659">
            <v>121880885455</v>
          </cell>
          <cell r="D1659">
            <v>802.78</v>
          </cell>
          <cell r="E1659">
            <v>5626432.5999999996</v>
          </cell>
          <cell r="F1659"/>
          <cell r="G1659">
            <v>802.78</v>
          </cell>
        </row>
        <row r="1660">
          <cell r="C1660">
            <v>123488077878</v>
          </cell>
          <cell r="D1660">
            <v>4875.42</v>
          </cell>
          <cell r="E1660">
            <v>9274168.1099999994</v>
          </cell>
          <cell r="F1660"/>
          <cell r="G1660">
            <v>4875.42</v>
          </cell>
        </row>
        <row r="1661">
          <cell r="C1661">
            <v>120318261835</v>
          </cell>
          <cell r="D1661">
            <v>1958</v>
          </cell>
          <cell r="E1661">
            <v>9117976.9900000002</v>
          </cell>
          <cell r="F1661"/>
          <cell r="G1661">
            <v>1958</v>
          </cell>
        </row>
        <row r="1662">
          <cell r="C1662">
            <v>122528669894</v>
          </cell>
          <cell r="D1662">
            <v>430.76</v>
          </cell>
          <cell r="E1662">
            <v>6078030.6500000004</v>
          </cell>
          <cell r="F1662"/>
          <cell r="G1662">
            <v>430.76</v>
          </cell>
        </row>
        <row r="1663">
          <cell r="C1663">
            <v>122582380879</v>
          </cell>
          <cell r="D1663">
            <v>171.32</v>
          </cell>
          <cell r="E1663">
            <v>5739335.6299999999</v>
          </cell>
          <cell r="F1663"/>
          <cell r="G1663">
            <v>171.32</v>
          </cell>
        </row>
        <row r="1664">
          <cell r="C1664">
            <v>121317706294</v>
          </cell>
          <cell r="D1664">
            <v>1702.48</v>
          </cell>
          <cell r="E1664">
            <v>7104340.4900000002</v>
          </cell>
          <cell r="F1664"/>
          <cell r="G1664">
            <v>1702.48</v>
          </cell>
        </row>
        <row r="1665">
          <cell r="C1665">
            <v>121609149656</v>
          </cell>
          <cell r="D1665">
            <v>1395.07</v>
          </cell>
          <cell r="E1665">
            <v>7224441.1500000004</v>
          </cell>
          <cell r="F1665"/>
          <cell r="G1665">
            <v>1395.07</v>
          </cell>
        </row>
        <row r="1666">
          <cell r="C1666">
            <v>123775377899</v>
          </cell>
          <cell r="D1666">
            <v>959.42</v>
          </cell>
          <cell r="E1666">
            <v>11499211.91</v>
          </cell>
          <cell r="F1666"/>
          <cell r="G1666">
            <v>959.42</v>
          </cell>
        </row>
        <row r="1667">
          <cell r="C1667">
            <v>122409026190</v>
          </cell>
          <cell r="D1667">
            <v>1752.41</v>
          </cell>
          <cell r="E1667">
            <v>5303887.5199999996</v>
          </cell>
          <cell r="F1667"/>
          <cell r="G1667">
            <v>1752.41</v>
          </cell>
        </row>
        <row r="1668">
          <cell r="C1668">
            <v>121703252978</v>
          </cell>
          <cell r="D1668">
            <v>3123.01</v>
          </cell>
          <cell r="E1668">
            <v>7317774.1900000004</v>
          </cell>
          <cell r="F1668"/>
          <cell r="G1668">
            <v>3123.01</v>
          </cell>
        </row>
        <row r="1669">
          <cell r="C1669">
            <v>122411944352</v>
          </cell>
          <cell r="D1669">
            <v>2173.38</v>
          </cell>
          <cell r="E1669">
            <v>5834211.5499999998</v>
          </cell>
          <cell r="F1669"/>
          <cell r="G1669">
            <v>2173.38</v>
          </cell>
        </row>
        <row r="1670">
          <cell r="C1670">
            <v>122410980564</v>
          </cell>
          <cell r="D1670">
            <v>455.23</v>
          </cell>
          <cell r="E1670">
            <v>5617640.5599999996</v>
          </cell>
          <cell r="F1670"/>
          <cell r="G1670">
            <v>455.23</v>
          </cell>
        </row>
        <row r="1671">
          <cell r="C1671">
            <v>123020879469</v>
          </cell>
          <cell r="D1671">
            <v>1155.22</v>
          </cell>
          <cell r="E1671">
            <v>10309528.869999999</v>
          </cell>
          <cell r="F1671"/>
          <cell r="G1671">
            <v>1155.22</v>
          </cell>
        </row>
        <row r="1672">
          <cell r="C1672">
            <v>121726657442</v>
          </cell>
          <cell r="D1672">
            <v>2951.68</v>
          </cell>
          <cell r="E1672">
            <v>8969969.6899999995</v>
          </cell>
          <cell r="F1672"/>
          <cell r="G1672">
            <v>2951.68</v>
          </cell>
        </row>
        <row r="1673">
          <cell r="C1673">
            <v>120290564619</v>
          </cell>
          <cell r="D1673">
            <v>3495.03</v>
          </cell>
          <cell r="E1673">
            <v>7907150.1299999999</v>
          </cell>
          <cell r="F1673"/>
          <cell r="G1673">
            <v>3495.03</v>
          </cell>
        </row>
        <row r="1674">
          <cell r="C1674">
            <v>121880078039</v>
          </cell>
          <cell r="D1674">
            <v>4165.6400000000003</v>
          </cell>
          <cell r="E1674">
            <v>5560955.71</v>
          </cell>
          <cell r="F1674"/>
          <cell r="G1674">
            <v>4165.6400000000003</v>
          </cell>
        </row>
        <row r="1675">
          <cell r="C1675">
            <v>123229834472</v>
          </cell>
          <cell r="D1675">
            <v>420.97</v>
          </cell>
          <cell r="E1675">
            <v>4899913.8</v>
          </cell>
          <cell r="F1675"/>
          <cell r="G1675">
            <v>420.97</v>
          </cell>
        </row>
        <row r="1676">
          <cell r="C1676">
            <v>124208705672</v>
          </cell>
          <cell r="D1676">
            <v>1718.14</v>
          </cell>
          <cell r="E1676">
            <v>10346914.74</v>
          </cell>
          <cell r="F1676"/>
          <cell r="G1676">
            <v>1718.14</v>
          </cell>
        </row>
        <row r="1677">
          <cell r="C1677">
            <v>121802657142</v>
          </cell>
          <cell r="D1677">
            <v>1003.47</v>
          </cell>
          <cell r="E1677">
            <v>10070194.609999999</v>
          </cell>
          <cell r="F1677"/>
          <cell r="G1677">
            <v>1003.47</v>
          </cell>
        </row>
        <row r="1678">
          <cell r="C1678">
            <v>120718201812</v>
          </cell>
          <cell r="D1678">
            <v>2467.08</v>
          </cell>
          <cell r="E1678">
            <v>6849699.9400000004</v>
          </cell>
          <cell r="F1678"/>
          <cell r="G1678">
            <v>2467.08</v>
          </cell>
        </row>
        <row r="1679">
          <cell r="C1679">
            <v>120321935299</v>
          </cell>
          <cell r="D1679">
            <v>724.46</v>
          </cell>
          <cell r="E1679">
            <v>9890589.6099999994</v>
          </cell>
          <cell r="F1679"/>
          <cell r="G1679">
            <v>724.46</v>
          </cell>
        </row>
        <row r="1680">
          <cell r="C1680">
            <v>124055692998</v>
          </cell>
          <cell r="D1680">
            <v>420.97</v>
          </cell>
          <cell r="E1680">
            <v>8288914.3600000003</v>
          </cell>
          <cell r="F1680"/>
          <cell r="G1680">
            <v>420.97</v>
          </cell>
        </row>
        <row r="1681">
          <cell r="C1681">
            <v>122703150933</v>
          </cell>
          <cell r="D1681">
            <v>631.45000000000005</v>
          </cell>
          <cell r="E1681">
            <v>5163820.84</v>
          </cell>
          <cell r="F1681"/>
          <cell r="G1681">
            <v>631.45000000000005</v>
          </cell>
        </row>
        <row r="1682">
          <cell r="C1682">
            <v>123666195605</v>
          </cell>
          <cell r="D1682">
            <v>685.3</v>
          </cell>
          <cell r="E1682">
            <v>9944732.5700000003</v>
          </cell>
          <cell r="F1682"/>
          <cell r="G1682">
            <v>685.3</v>
          </cell>
        </row>
        <row r="1683">
          <cell r="C1683">
            <v>121687294245</v>
          </cell>
          <cell r="D1683">
            <v>3543.98</v>
          </cell>
          <cell r="E1683">
            <v>6067338.4699999997</v>
          </cell>
          <cell r="F1683"/>
          <cell r="G1683">
            <v>3543.98</v>
          </cell>
        </row>
        <row r="1684">
          <cell r="C1684">
            <v>124069912122</v>
          </cell>
          <cell r="D1684">
            <v>1013.26</v>
          </cell>
          <cell r="E1684">
            <v>9514057.3399999999</v>
          </cell>
          <cell r="F1684"/>
          <cell r="G1684">
            <v>1013.26</v>
          </cell>
        </row>
        <row r="1685">
          <cell r="C1685">
            <v>122654785532</v>
          </cell>
          <cell r="D1685">
            <v>1067.1099999999999</v>
          </cell>
          <cell r="E1685">
            <v>8941027.6799999997</v>
          </cell>
          <cell r="F1685"/>
          <cell r="G1685">
            <v>1067.1099999999999</v>
          </cell>
        </row>
        <row r="1686">
          <cell r="C1686">
            <v>122710460831</v>
          </cell>
          <cell r="D1686">
            <v>171.32</v>
          </cell>
          <cell r="E1686">
            <v>5970747.3600000003</v>
          </cell>
          <cell r="F1686"/>
          <cell r="G1686">
            <v>171.32</v>
          </cell>
        </row>
        <row r="1687">
          <cell r="C1687">
            <v>120296211381</v>
          </cell>
          <cell r="D1687">
            <v>3847.47</v>
          </cell>
          <cell r="E1687">
            <v>8103972.25</v>
          </cell>
          <cell r="F1687"/>
          <cell r="G1687">
            <v>3847.47</v>
          </cell>
        </row>
        <row r="1688">
          <cell r="C1688">
            <v>122656456360</v>
          </cell>
          <cell r="D1688">
            <v>4219.49</v>
          </cell>
          <cell r="E1688">
            <v>9507919.6300000008</v>
          </cell>
          <cell r="F1688"/>
          <cell r="G1688">
            <v>4219.49</v>
          </cell>
        </row>
        <row r="1689">
          <cell r="C1689">
            <v>121864713393</v>
          </cell>
          <cell r="D1689">
            <v>210.48</v>
          </cell>
          <cell r="E1689">
            <v>4237357.4000000004</v>
          </cell>
          <cell r="F1689"/>
          <cell r="G1689">
            <v>210.48</v>
          </cell>
        </row>
        <row r="1690">
          <cell r="C1690">
            <v>123774375517</v>
          </cell>
          <cell r="D1690">
            <v>1199.27</v>
          </cell>
          <cell r="E1690">
            <v>11340345.119999999</v>
          </cell>
          <cell r="F1690"/>
          <cell r="G1690">
            <v>1199.27</v>
          </cell>
        </row>
        <row r="1691">
          <cell r="C1691">
            <v>124204748364</v>
          </cell>
          <cell r="D1691">
            <v>4831.3599999999997</v>
          </cell>
          <cell r="E1691">
            <v>9429450.4800000004</v>
          </cell>
          <cell r="F1691"/>
          <cell r="G1691">
            <v>4831.3599999999997</v>
          </cell>
        </row>
        <row r="1692">
          <cell r="C1692">
            <v>124192839420</v>
          </cell>
          <cell r="D1692">
            <v>1429.34</v>
          </cell>
          <cell r="E1692">
            <v>8590869.1899999995</v>
          </cell>
          <cell r="F1692"/>
          <cell r="G1692">
            <v>1429.34</v>
          </cell>
        </row>
        <row r="1693">
          <cell r="C1693">
            <v>123375878390</v>
          </cell>
          <cell r="D1693">
            <v>6603.35</v>
          </cell>
          <cell r="E1693">
            <v>6752747.1100000003</v>
          </cell>
          <cell r="F1693"/>
          <cell r="G1693">
            <v>6603.35</v>
          </cell>
        </row>
        <row r="1694">
          <cell r="C1694">
            <v>120839371306</v>
          </cell>
          <cell r="D1694">
            <v>469.92</v>
          </cell>
          <cell r="E1694">
            <v>10095026.029999999</v>
          </cell>
          <cell r="F1694"/>
          <cell r="G1694">
            <v>469.92</v>
          </cell>
        </row>
        <row r="1695">
          <cell r="C1695">
            <v>122112782991</v>
          </cell>
          <cell r="D1695">
            <v>3446.08</v>
          </cell>
          <cell r="E1695">
            <v>7911423.2400000002</v>
          </cell>
          <cell r="F1695"/>
          <cell r="G1695">
            <v>3446.08</v>
          </cell>
        </row>
        <row r="1696">
          <cell r="C1696">
            <v>122656223126</v>
          </cell>
          <cell r="D1696">
            <v>636.35</v>
          </cell>
          <cell r="E1696">
            <v>9350541.5899999999</v>
          </cell>
          <cell r="F1696"/>
          <cell r="G1696">
            <v>636.35</v>
          </cell>
        </row>
        <row r="1697">
          <cell r="C1697">
            <v>121198700371</v>
          </cell>
          <cell r="D1697">
            <v>1076.9000000000001</v>
          </cell>
          <cell r="E1697">
            <v>8171991.4100000001</v>
          </cell>
          <cell r="F1697"/>
          <cell r="G1697">
            <v>1076.9000000000001</v>
          </cell>
        </row>
        <row r="1698">
          <cell r="C1698">
            <v>123485439124</v>
          </cell>
          <cell r="D1698">
            <v>773.41</v>
          </cell>
          <cell r="E1698">
            <v>8769249.2400000002</v>
          </cell>
          <cell r="F1698"/>
          <cell r="G1698">
            <v>773.41</v>
          </cell>
        </row>
        <row r="1699">
          <cell r="C1699">
            <v>120725004550</v>
          </cell>
          <cell r="D1699">
            <v>885.99</v>
          </cell>
          <cell r="E1699">
            <v>7832677.0199999996</v>
          </cell>
          <cell r="F1699"/>
          <cell r="G1699">
            <v>885.99</v>
          </cell>
        </row>
        <row r="1700">
          <cell r="C1700">
            <v>120838811760</v>
          </cell>
          <cell r="D1700">
            <v>631.45000000000005</v>
          </cell>
          <cell r="E1700">
            <v>9846898.5199999996</v>
          </cell>
          <cell r="F1700"/>
          <cell r="G1700">
            <v>631.45000000000005</v>
          </cell>
        </row>
        <row r="1701">
          <cell r="C1701">
            <v>122411604200</v>
          </cell>
          <cell r="D1701">
            <v>210.48</v>
          </cell>
          <cell r="E1701">
            <v>5688385.8799999999</v>
          </cell>
          <cell r="F1701"/>
          <cell r="G1701">
            <v>210.48</v>
          </cell>
        </row>
        <row r="1702">
          <cell r="C1702">
            <v>124069472988</v>
          </cell>
          <cell r="D1702">
            <v>763.62</v>
          </cell>
          <cell r="E1702">
            <v>9404212.1400000006</v>
          </cell>
          <cell r="F1702"/>
          <cell r="G1702">
            <v>763.62</v>
          </cell>
        </row>
        <row r="1703">
          <cell r="C1703">
            <v>120836114698</v>
          </cell>
          <cell r="D1703">
            <v>411.18</v>
          </cell>
          <cell r="E1703">
            <v>9200134.9800000004</v>
          </cell>
          <cell r="F1703"/>
          <cell r="G1703">
            <v>411.18</v>
          </cell>
        </row>
        <row r="1704">
          <cell r="C1704">
            <v>123660766815</v>
          </cell>
          <cell r="D1704">
            <v>420.97</v>
          </cell>
          <cell r="E1704">
            <v>9018313.9100000001</v>
          </cell>
          <cell r="F1704"/>
          <cell r="G1704">
            <v>420.97</v>
          </cell>
        </row>
        <row r="1705">
          <cell r="C1705">
            <v>120322244381</v>
          </cell>
          <cell r="D1705">
            <v>1571.29</v>
          </cell>
          <cell r="E1705">
            <v>10085202.83</v>
          </cell>
          <cell r="F1705"/>
          <cell r="G1705">
            <v>1571.29</v>
          </cell>
        </row>
        <row r="1706">
          <cell r="C1706">
            <v>124206605142</v>
          </cell>
          <cell r="D1706">
            <v>1879.68</v>
          </cell>
          <cell r="E1706">
            <v>9881846.4800000004</v>
          </cell>
          <cell r="F1706"/>
          <cell r="G1706">
            <v>1879.68</v>
          </cell>
        </row>
        <row r="1707">
          <cell r="C1707">
            <v>122643362584</v>
          </cell>
          <cell r="D1707">
            <v>748.93</v>
          </cell>
          <cell r="E1707">
            <v>7848837.1500000004</v>
          </cell>
          <cell r="F1707"/>
          <cell r="G1707">
            <v>748.93</v>
          </cell>
        </row>
        <row r="1708">
          <cell r="C1708">
            <v>121084870075</v>
          </cell>
          <cell r="D1708">
            <v>489.5</v>
          </cell>
          <cell r="E1708">
            <v>6924010.1100000003</v>
          </cell>
          <cell r="F1708"/>
          <cell r="G1708">
            <v>489.5</v>
          </cell>
        </row>
        <row r="1709">
          <cell r="C1709">
            <v>123763665855</v>
          </cell>
          <cell r="D1709">
            <v>3837.68</v>
          </cell>
          <cell r="E1709">
            <v>11009850.09</v>
          </cell>
          <cell r="F1709"/>
          <cell r="G1709">
            <v>3837.68</v>
          </cell>
        </row>
        <row r="1710">
          <cell r="C1710">
            <v>123484500804</v>
          </cell>
          <cell r="D1710">
            <v>210.48</v>
          </cell>
          <cell r="E1710">
            <v>8681188.9600000009</v>
          </cell>
          <cell r="F1710"/>
          <cell r="G1710">
            <v>210.48</v>
          </cell>
        </row>
        <row r="1711">
          <cell r="C1711">
            <v>121278614759</v>
          </cell>
          <cell r="D1711">
            <v>4141.17</v>
          </cell>
          <cell r="E1711">
            <v>10017594.289999999</v>
          </cell>
          <cell r="F1711"/>
          <cell r="G1711">
            <v>4141.17</v>
          </cell>
        </row>
        <row r="1712">
          <cell r="C1712">
            <v>123776241577</v>
          </cell>
          <cell r="D1712">
            <v>6892.16</v>
          </cell>
          <cell r="E1712">
            <v>11762196.68</v>
          </cell>
          <cell r="F1712"/>
          <cell r="G1712">
            <v>6892.16</v>
          </cell>
        </row>
        <row r="1713">
          <cell r="C1713">
            <v>123236908394</v>
          </cell>
          <cell r="D1713">
            <v>2971.26</v>
          </cell>
          <cell r="E1713">
            <v>5044204.7300000004</v>
          </cell>
          <cell r="F1713"/>
          <cell r="G1713">
            <v>2971.26</v>
          </cell>
        </row>
        <row r="1714">
          <cell r="C1714">
            <v>123757460295</v>
          </cell>
          <cell r="D1714">
            <v>420.97</v>
          </cell>
          <cell r="E1714">
            <v>10871789.27</v>
          </cell>
          <cell r="F1714"/>
          <cell r="G1714">
            <v>420.97</v>
          </cell>
        </row>
        <row r="1715">
          <cell r="C1715">
            <v>121883406283</v>
          </cell>
          <cell r="D1715">
            <v>876.2</v>
          </cell>
          <cell r="E1715">
            <v>5997426.4400000004</v>
          </cell>
          <cell r="F1715"/>
          <cell r="G1715">
            <v>876.2</v>
          </cell>
        </row>
        <row r="1716">
          <cell r="C1716">
            <v>120322038157</v>
          </cell>
          <cell r="D1716">
            <v>1771.99</v>
          </cell>
          <cell r="E1716">
            <v>10004600.960000001</v>
          </cell>
          <cell r="F1716"/>
          <cell r="G1716">
            <v>1771.99</v>
          </cell>
        </row>
        <row r="1717">
          <cell r="C1717">
            <v>122709779999</v>
          </cell>
          <cell r="D1717">
            <v>210.48</v>
          </cell>
          <cell r="E1717">
            <v>5821465.4199999999</v>
          </cell>
          <cell r="F1717"/>
          <cell r="G1717">
            <v>210.48</v>
          </cell>
        </row>
        <row r="1718">
          <cell r="C1718">
            <v>123242874750</v>
          </cell>
          <cell r="D1718">
            <v>210.48</v>
          </cell>
          <cell r="E1718">
            <v>5535344.2800000003</v>
          </cell>
          <cell r="F1718"/>
          <cell r="G1718">
            <v>210.48</v>
          </cell>
        </row>
        <row r="1719">
          <cell r="C1719">
            <v>123247799440</v>
          </cell>
          <cell r="D1719">
            <v>420.97</v>
          </cell>
          <cell r="E1719">
            <v>6370011.1500000004</v>
          </cell>
          <cell r="F1719"/>
          <cell r="G1719">
            <v>420.97</v>
          </cell>
        </row>
        <row r="1720">
          <cell r="C1720">
            <v>122124772435</v>
          </cell>
          <cell r="D1720">
            <v>685.3</v>
          </cell>
          <cell r="E1720">
            <v>9315751.0899999999</v>
          </cell>
          <cell r="F1720"/>
          <cell r="G1720">
            <v>685.3</v>
          </cell>
        </row>
        <row r="1721">
          <cell r="C1721">
            <v>120720875962</v>
          </cell>
          <cell r="D1721">
            <v>220.27</v>
          </cell>
          <cell r="E1721">
            <v>7160653.2699999996</v>
          </cell>
          <cell r="F1721"/>
          <cell r="G1721">
            <v>220.27</v>
          </cell>
        </row>
        <row r="1722">
          <cell r="C1722">
            <v>122955177251</v>
          </cell>
          <cell r="D1722">
            <v>3113.22</v>
          </cell>
          <cell r="E1722">
            <v>10191952.890000001</v>
          </cell>
          <cell r="F1722"/>
          <cell r="G1722">
            <v>3113.22</v>
          </cell>
        </row>
        <row r="1723">
          <cell r="C1723">
            <v>122406695958</v>
          </cell>
          <cell r="D1723">
            <v>210.48</v>
          </cell>
          <cell r="E1723">
            <v>5117114.72</v>
          </cell>
          <cell r="F1723"/>
          <cell r="G1723">
            <v>210.48</v>
          </cell>
        </row>
        <row r="1724">
          <cell r="C1724">
            <v>121461197874</v>
          </cell>
          <cell r="D1724">
            <v>401.39</v>
          </cell>
          <cell r="E1724">
            <v>8112923.2199999997</v>
          </cell>
          <cell r="F1724"/>
          <cell r="G1724">
            <v>401.39</v>
          </cell>
        </row>
        <row r="1725">
          <cell r="C1725">
            <v>123380935365</v>
          </cell>
          <cell r="D1725">
            <v>631.45000000000005</v>
          </cell>
          <cell r="E1725">
            <v>8879051.5199999996</v>
          </cell>
          <cell r="F1725"/>
          <cell r="G1725">
            <v>631.45000000000005</v>
          </cell>
        </row>
        <row r="1726">
          <cell r="C1726">
            <v>120200001137</v>
          </cell>
          <cell r="D1726">
            <v>230.06</v>
          </cell>
          <cell r="E1726">
            <v>6452167.3799999999</v>
          </cell>
          <cell r="F1726"/>
          <cell r="G1726">
            <v>230.06</v>
          </cell>
        </row>
        <row r="1727">
          <cell r="C1727">
            <v>124069077880</v>
          </cell>
          <cell r="D1727">
            <v>841.94</v>
          </cell>
          <cell r="E1727">
            <v>9377239.8499999996</v>
          </cell>
          <cell r="F1727"/>
          <cell r="G1727">
            <v>841.94</v>
          </cell>
        </row>
        <row r="1728">
          <cell r="C1728">
            <v>122704726101</v>
          </cell>
          <cell r="D1728">
            <v>430.76</v>
          </cell>
          <cell r="E1728">
            <v>5216086.07</v>
          </cell>
          <cell r="F1728"/>
          <cell r="G1728">
            <v>430.76</v>
          </cell>
        </row>
        <row r="1729">
          <cell r="C1729">
            <v>122004494911</v>
          </cell>
          <cell r="D1729">
            <v>381.81</v>
          </cell>
          <cell r="E1729">
            <v>6533702.4000000004</v>
          </cell>
          <cell r="F1729"/>
          <cell r="G1729">
            <v>381.81</v>
          </cell>
        </row>
        <row r="1730">
          <cell r="C1730">
            <v>120936255589</v>
          </cell>
          <cell r="D1730">
            <v>5364.92</v>
          </cell>
          <cell r="E1730">
            <v>7709941.75</v>
          </cell>
          <cell r="F1730"/>
          <cell r="G1730">
            <v>5364.92</v>
          </cell>
        </row>
        <row r="1731">
          <cell r="C1731">
            <v>122124138301</v>
          </cell>
          <cell r="D1731">
            <v>1331.44</v>
          </cell>
          <cell r="E1731">
            <v>9188158.5099999998</v>
          </cell>
          <cell r="F1731"/>
          <cell r="G1731">
            <v>1331.44</v>
          </cell>
        </row>
        <row r="1732">
          <cell r="C1732">
            <v>122656200638</v>
          </cell>
          <cell r="D1732">
            <v>1027.95</v>
          </cell>
          <cell r="E1732">
            <v>9337239.3399999999</v>
          </cell>
          <cell r="F1732"/>
          <cell r="G1732">
            <v>1027.95</v>
          </cell>
        </row>
        <row r="1733">
          <cell r="C1733">
            <v>120204475829</v>
          </cell>
          <cell r="D1733">
            <v>827.25</v>
          </cell>
          <cell r="E1733">
            <v>7177946.1900000004</v>
          </cell>
          <cell r="F1733"/>
          <cell r="G1733">
            <v>827.25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00.420438078705" createdVersion="6" refreshedVersion="6" minRefreshableVersion="3" recordCount="1566">
  <cacheSource type="worksheet">
    <worksheetSource ref="A4:E1570" sheet="sheet0"/>
  </cacheSource>
  <cacheFields count="5">
    <cacheField name="RELEASE_DATE" numFmtId="0">
      <sharedItems count="30">
        <s v="01-09-2025"/>
        <s v="02-09-2025"/>
        <s v="03-09-2025"/>
        <s v="04-09-2025"/>
        <s v="05-09-2025"/>
        <s v="06-09-2025"/>
        <s v="07-09-2025"/>
        <s v="08-09-2025"/>
        <s v="09-09-2025"/>
        <s v="10-09-2025"/>
        <s v="11-09-2025"/>
        <s v="12-09-2025"/>
        <s v="13-09-2025"/>
        <s v="14-09-2025"/>
        <s v="15-09-2025"/>
        <s v="16-09-2025"/>
        <s v="17-09-2025"/>
        <s v="18-09-2025"/>
        <s v="19-09-2025"/>
        <s v="20-09-2025"/>
        <s v="21-09-2025"/>
        <s v="22-09-2025"/>
        <s v="23-09-2025"/>
        <s v="24-09-2025"/>
        <s v="25-09-2025"/>
        <s v="26-09-2025"/>
        <s v="27-09-2025"/>
        <s v="28-09-2025"/>
        <s v="29-09-2025"/>
        <s v="30-09-2025"/>
      </sharedItems>
    </cacheField>
    <cacheField name="TRANSACTION_TYPE" numFmtId="0">
      <sharedItems count="163">
        <s v="Liquidación de dinero"/>
        <s v="Transferencia recibida Juan Felipe Folmer Dondena"/>
        <s v="Transferencia enviada DOÑA DORA"/>
        <s v="Transferencia enviada CDG SRL"/>
        <s v="Impuesto por extracción"/>
        <s v="Pago con QR FEPASA"/>
        <s v="Transferencia enviada Rodolfo Oscar Bidal"/>
        <s v="Transferencia enviada ACERO JEKLO SAS"/>
        <s v="Transferencia enviada BACO DE LOS ANDES SA"/>
        <s v="Transferencia enviada Distribuidora Doña Dora"/>
        <s v="Transferencia enviada Granja La Blanquita S.r.l."/>
        <s v="Transferencia enviada SUCESION DE SATTO"/>
        <s v="Transferencia enviada Mariano Pedro Rebord Palazzo"/>
        <s v="Pago con QR Coca-Cola ANDINA"/>
        <s v="Transferencia recibida Joaquin Pedro Schenone"/>
        <s v="Transferencia recibida Ivan Goldin"/>
        <s v="Transferencia recibida Tahiel Heredia"/>
        <s v="Transferencia enviada LAGUNA CAPRI SAS"/>
        <s v="Transferencia enviada"/>
        <s v="Transferencia enviada FRUVECO S R L"/>
        <s v="Transferencia recibida Brian Ramon Coronel"/>
        <s v="Transferencia recibida Rocío Magal Moscatelli"/>
        <s v="Transferencia recibida Malena Cerrudo"/>
        <s v="Transferencia recibida Alex Taiel Chinellato"/>
        <s v="Transferencia recibida Nicanor Ormaechea"/>
        <s v="Transferencia recibida Mildelicias"/>
        <s v="Transferencia recibida Eliana Daniela Versalovich"/>
        <s v="Transferencia recibida Maximo Leandro Gorostegui"/>
        <s v="Transferencia recibida Benjamín Rolls Villaud"/>
        <s v="Transferencia enviada BASSO REPRESENT SRL"/>
        <s v="Pago de servicios ARCA"/>
        <s v="Transferencia recibida Juan Dario Silva"/>
        <s v="Transferencia recibida Matias Rodriguez"/>
        <s v="Transferencia recibida Thiago Cafferata"/>
        <s v="Transferencia recibida Marcelo Alejandro Iwanczuk"/>
        <s v="Transferencia recibida Laureana Paula Calvo"/>
        <s v="Transferencia recibida Carlos Daniel Galarza"/>
        <s v="Transferencia recibida Martina Johana Herman"/>
        <s v="Transferencia recibida Lautaro Martin"/>
        <s v="Transferencia recibida Sebastian Ignacio Taffarel"/>
        <s v="Liquidación de dinero cancelada Venta cancelada"/>
        <s v="Transferencia recibida Valentin Beltzer"/>
        <s v="Transferencia recibida Lucio Agustín Witiuk"/>
        <s v="Transferencia recibida Valentina Victoria Pintos"/>
        <s v="Transferencia recibida Nahuel Zalazar Miño"/>
        <s v="Transferencia recibida Johann Lighuan Abel Laureiro"/>
        <s v="Transferencia recibida Celina Blanc"/>
        <s v="Transferencia recibida Jorge Esteban Etienot"/>
        <s v="Transferencia recibida Aixa Nicole Martínez"/>
        <s v="Transferencia recibida Ana Emilia Fuentes Bernay"/>
        <s v="Transferencia recibida Guadalupe Maria Del Huerto Fernandez"/>
        <s v="Transferencia recibida Martin Esteban Ortiz"/>
        <s v="Transferencia recibida Alfonso Rolando Nicolas Kraiesky"/>
        <s v="Transferencia recibida Sophia Ahumada"/>
        <s v="Transferencia recibida Sabrina Fiorella Pintos"/>
        <s v="Transferencia recibida Juan Manuel Fernandez"/>
        <s v="Transferencia recibida Manuel Galvan"/>
        <s v="Transferencia enviada Cerveza Tractor"/>
        <s v="Transferencia enviada DOLCET NORBERTO DAVID"/>
        <s v="Transferencia enviada BOURLOT SA"/>
        <s v="Transferencia recibida Matias Emanuel Gomez"/>
        <s v="Transferencia recibida Gabriel Maximiliano Welschen"/>
        <s v="Transferencia recibida Evelyn Rama"/>
        <s v="Transferencia recibida Micaela Maillen Borro"/>
        <s v="Transferencia recibida Valentin Lopez"/>
        <s v="Transferencia recibida Joaquín Vergniaud Costa"/>
        <s v="Transferencia recibida Lautaro Emanuel Allois Satto"/>
        <s v="Transferencia recibida Melanie Troncoso"/>
        <s v="Débito por deuda Facturas vencidas de Mercado Libre"/>
        <s v="Transferencia enviada CAMILA SCARDINO"/>
        <s v="Transferencia recibida Manuela Sofia Dalmao Dematteis"/>
        <s v="Transferencia recibida Rita Milagros Juvenal"/>
        <s v="Transferencia recibida Martina Elola"/>
        <s v="Transferencia recibida Marialaura"/>
        <s v="Transferencia recibida Sebastián Andrés Saavedra"/>
        <s v="Transferencia recibida Angelina Leopardo"/>
        <s v="Compra de Manometro 63mm Post 1/4 Npt, Inox Con Glicerina 0-4 Bar/psi Mercado Libr..."/>
        <s v="Transferencia recibida Juan Ignacio Daniele"/>
        <s v="Transferencia recibida Yamil Jose Ale"/>
        <s v="Transferencia recibida Concepcar"/>
        <s v="Transferencia recibida Francisco Exequiel Zegaib"/>
        <s v="Transferencia recibida Agustin Alejandro Vizcarra"/>
        <s v="Transferencia recibida Germán Yair Gaggietta"/>
        <s v="Transferencia recibida Jazmín Uranga"/>
        <s v="Transferencia recibida Angel Ernesto Cholson"/>
        <s v="Transferencia recibida Mauricio Oscar Lopez"/>
        <s v="Transferencia recibida Cristian Efraín Etchebarne"/>
        <s v="Transferencia recibida Mariano Mensa"/>
        <s v="Transferencia recibida Juan Manuel Schroeder"/>
        <s v="Transferencia recibida Sol Fagundez"/>
        <s v="Transferencia recibida Fernando Emanuel Lozano"/>
        <s v="Transferencia recibida Ramiro Pascal"/>
        <s v="Transferencia recibida Erik"/>
        <s v="Transferencia recibida Hugo Ezequiel Perez"/>
        <s v="Transferencia recibida Facundo Ariel Marquez De Los Santos"/>
        <s v="Transferencia recibida Iara Micae Blanco Duarte"/>
        <s v="Transferencia recibida Walter Daniel Dieta"/>
        <s v="Transferencia recibida Julieta Graumann"/>
        <s v="Transferencia enviada ERPEN JULIO C. Y PONZONI ANTONELLA P. SOCIEDAD SIMPLE"/>
        <s v="Compra de Epitrónica Pack 100 Rollos Papel Térmico 80x50 48grs Ticket, Comandera, ..."/>
        <s v="Transferencia enviada TRES ORILLAS SRL"/>
        <s v="Transferencia enviada Eula Marcelo German"/>
        <s v="Transferencia recibida Sergio Bruno Cabral"/>
        <s v="Transferencia recibida Melina Belén Maschio"/>
        <s v="Transferencia recibida Betina Salomé Farias"/>
        <s v="Transferencia recibida Lautaro Exequiel Roja"/>
        <s v="Transferencia enviada ENCODE SA"/>
        <s v="Transferencia enviada PELPAK EMBALAJES S.A"/>
        <s v="Compra de Impresora De Tickets Comandera Hasar 181 Usb Serie Ethernet P-has-181 Ne..."/>
        <s v="Transferencia recibida Erika Maria Cristina Gamarra Dammann"/>
        <s v="Transferencia recibida Lucrecia Lujan Ruiz Diaz"/>
        <s v="Transferencia recibida Osvaldo Ariel Carro"/>
        <s v="Transferencia recibida Andrea Del Valle Llanes"/>
        <s v="Transferencia recibida Josefina Otero"/>
        <s v="Transferencia recibida Sebastian Raul Nuñez"/>
        <s v="Transferencia recibida Andres Salvador Proemmel Galeano"/>
        <s v="Transferencia recibida Sergio Luis Bonnin"/>
        <s v="Transferencia recibida Odontólogo Dri Iván"/>
        <s v="Transferencia recibida Marcos Javier Acosta"/>
        <s v="Transferencia recibida Paula Dabadia"/>
        <s v="Transferencia recibida Sebastian Nicolas Pino"/>
        <s v="Compra de Butter Roller Enmantecadora Pan Manteca Smash Hamburguesas Gris Acero Me..."/>
        <s v="Transferencia recibida Gabriela Gisela Carelli"/>
        <s v="Transferencia recibida Lautaro Morales"/>
        <s v="Transferencia enviada Gustavo Eugenio Gatter"/>
        <s v="Transferencia enviada NATALIA ELIZABETH BALBUENA"/>
        <s v="Compra de Kit Medidor Eléctrico Trifásico Wifi Hasta 80a Powermeter Mercado Libre..."/>
        <s v="Transferencia recibida Pedro Sebastian Gonzalez Uruzula"/>
        <s v="Transferencia recibida Marisol Agustina Horn"/>
        <s v="Transferencia recibida Santiago Daniel Viollaz"/>
        <s v="Transferencia recibida Kiosco Gabii"/>
        <s v="Transferencia recibida Camila Josefina Cozzi"/>
        <s v="Transferencia recibida Silvana Paola Domanico"/>
        <s v="Transferencia recibida Santino Loker"/>
        <s v="Transferencia recibida Milagros Macarena Bosch"/>
        <s v="Transferencia recibida Benjamín Villaud"/>
        <s v="Transferencia enviada COMERCIAL RIGGIO SA"/>
        <s v="Transferencia recibida Lucas Schanton"/>
        <s v="Transferencia recibida Agustin Fernando Loupias"/>
        <s v="Transferencia recibida Manuel Sebastian Castel"/>
        <s v="Transferencia recibida Nicole Protto"/>
        <s v="Transferencia recibida Hugo Alfredo Vinzon"/>
        <s v="Transferencia recibida Paola Galarraga"/>
        <s v="Transferencia recibida Micaela Bonelli"/>
        <s v="Transferencia recibida Joaquin Manuel Colliard"/>
        <s v="Transferencia recibida Iván Bianchi Fallet"/>
        <s v="Transferencia recibida Maria Laura Pilepich"/>
        <s v="Transferencia recibida Juan Carlos Serra"/>
        <s v="Transferencia recibida Sergio Daniel Gareca"/>
        <s v="Transferencia recibida Gabriel Alejandro Gauna"/>
        <s v="Transferencia recibida Matias Peralta"/>
        <s v="Transferencia recibida Rodrigo Lorenzo Cruz"/>
        <s v="Transferencia recibida Andres Quintar Riboli"/>
        <s v="Transferencia recibida Luciano Rafael Petroni"/>
        <s v="Transferencia recibida Leonela Lujan Peralta"/>
        <s v="Transferencia recibida Guillermo Fabian Ducret Leturia"/>
        <s v="Transferencia recibida Carla Stefania Ramos"/>
        <s v="Transferencia recibida Rodolfo Agustin Diaz Piriz"/>
        <s v="Transferencia recibida Joaquin Klug"/>
        <s v="Transferencia recibida Malena Guadalupe Rodriguez Traverso"/>
        <s v="Transferencia recibida Sofia Ayelen Debrabandere"/>
        <s v="Transferencia recibida Candela Schauman"/>
        <s v="Compra Mercado Libre"/>
      </sharedItems>
    </cacheField>
    <cacheField name="REFERENCE_ID" numFmtId="0">
      <sharedItems/>
    </cacheField>
    <cacheField name="TRANSACTION_NET_AMOUNT" numFmtId="0">
      <sharedItems containsSemiMixedTypes="0" containsString="0" containsNumber="1" minValue="-2213333.84" maxValue="224700.84"/>
    </cacheField>
    <cacheField name="PARTIAL_BALANCE" numFmtId="0">
      <sharedItems containsSemiMixedTypes="0" containsString="0" containsNumber="1" minValue="6439252.6799999997" maxValue="14346865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st.Bechir" refreshedDate="46133.469621064818" createdVersion="5" refreshedVersion="5" minRefreshableVersion="3" recordCount="1566">
  <cacheSource type="worksheet">
    <worksheetSource ref="A4:M1570" sheet="sheet0"/>
  </cacheSource>
  <cacheFields count="13">
    <cacheField name="RELEASE_DATE" numFmtId="0">
      <sharedItems count="30">
        <s v="01-09-2025"/>
        <s v="21-09-2025"/>
        <s v="22-09-2025"/>
        <s v="15-09-2025"/>
        <s v="19-09-2025"/>
        <s v="23-09-2025"/>
        <s v="12-09-2025"/>
        <s v="29-09-2025"/>
        <s v="11-09-2025"/>
        <s v="02-09-2025"/>
        <s v="03-09-2025"/>
        <s v="04-09-2025"/>
        <s v="05-09-2025"/>
        <s v="08-09-2025"/>
        <s v="09-09-2025"/>
        <s v="10-09-2025"/>
        <s v="13-09-2025"/>
        <s v="06-09-2025"/>
        <s v="07-09-2025"/>
        <s v="16-09-2025"/>
        <s v="17-09-2025"/>
        <s v="24-09-2025"/>
        <s v="25-09-2025"/>
        <s v="26-09-2025"/>
        <s v="27-09-2025"/>
        <s v="14-09-2025"/>
        <s v="30-09-2025"/>
        <s v="18-09-2025"/>
        <s v="20-09-2025"/>
        <s v="28-09-2025"/>
      </sharedItems>
    </cacheField>
    <cacheField name="TRANSACTION_TYPE" numFmtId="0">
      <sharedItems count="163">
        <s v="Liquidación de dinero"/>
        <s v="Transferencia recibida Juan Felipe Folmer Dondena"/>
        <s v="Compra de Butter Roller Enmantecadora Pan Manteca Smash Hamburguesas Gris Acero Me..."/>
        <s v="Compra de Epitrónica Pack 100 Rollos Papel Térmico 80x50 48grs Ticket, Comandera, ..."/>
        <s v="Compra de Impresora De Tickets Comandera Hasar 181 Usb Serie Ethernet P-has-181 Ne..."/>
        <s v="Compra de Kit Medidor Eléctrico Trifásico Wifi Hasta 80a Powermeter Mercado Libre..."/>
        <s v="Compra de Manometro 63mm Post 1/4 Npt, Inox Con Glicerina 0-4 Bar/psi Mercado Libr..."/>
        <s v="Compra Mercado Libre"/>
        <s v="Débito por deuda Facturas vencidas de Mercado Libre"/>
        <s v="Impuesto por extracción"/>
        <s v="Transferencia recibida Joaquin Pedro Schenone"/>
        <s v="Transferencia recibida Ivan Goldin"/>
        <s v="Transferencia recibida Tahiel Heredia"/>
        <s v="Transferencia recibida Brian Ramon Coronel"/>
        <s v="Transferencia recibida Rocío Magal Moscatelli"/>
        <s v="Transferencia recibida Malena Cerrudo"/>
        <s v="Transferencia recibida Alex Taiel Chinellato"/>
        <s v="Transferencia recibida Nicanor Ormaechea"/>
        <s v="Transferencia recibida Mildelicias"/>
        <s v="Transferencia recibida Eliana Daniela Versalovich"/>
        <s v="Transferencia recibida Maximo Leandro Gorostegui"/>
        <s v="Transferencia recibida Benjamín Rolls Villaud"/>
        <s v="Transferencia recibida Juan Dario Silva"/>
        <s v="Transferencia recibida Matias Rodriguez"/>
        <s v="Transferencia recibida Thiago Cafferata"/>
        <s v="Transferencia recibida Marcelo Alejandro Iwanczuk"/>
        <s v="Transferencia recibida Laureana Paula Calvo"/>
        <s v="Transferencia recibida Carlos Daniel Galarza"/>
        <s v="Transferencia recibida Martina Johana Herman"/>
        <s v="Transferencia recibida Lautaro Martin"/>
        <s v="Transferencia recibida Sebastian Ignacio Taffarel"/>
        <s v="Liquidación de dinero cancelada Venta cancelada"/>
        <s v="Transferencia recibida Valentin Beltzer"/>
        <s v="Transferencia recibida Lucio Agustín Witiuk"/>
        <s v="Transferencia recibida Valentina Victoria Pintos"/>
        <s v="Transferencia recibida Nahuel Zalazar Miño"/>
        <s v="Transferencia recibida Johann Lighuan Abel Laureiro"/>
        <s v="Transferencia recibida Celina Blanc"/>
        <s v="Transferencia recibida Jorge Esteban Etienot"/>
        <s v="Transferencia recibida Aixa Nicole Martínez"/>
        <s v="Transferencia recibida Ana Emilia Fuentes Bernay"/>
        <s v="Transferencia recibida Guadalupe Maria Del Huerto Fernandez"/>
        <s v="Transferencia recibida Martin Esteban Ortiz"/>
        <s v="Transferencia recibida Alfonso Rolando Nicolas Kraiesky"/>
        <s v="Transferencia recibida Sophia Ahumada"/>
        <s v="Transferencia recibida Sabrina Fiorella Pintos"/>
        <s v="Transferencia recibida Juan Manuel Fernandez"/>
        <s v="Transferencia recibida Manuel Galvan"/>
        <s v="Transferencia recibida Matias Emanuel Gomez"/>
        <s v="Transferencia recibida Gabriel Maximiliano Welschen"/>
        <s v="Transferencia recibida Evelyn Rama"/>
        <s v="Transferencia recibida Micaela Maillen Borro"/>
        <s v="Transferencia recibida Valentin Lopez"/>
        <s v="Transferencia recibida Joaquín Vergniaud Costa"/>
        <s v="Transferencia recibida Lautaro Emanuel Allois Satto"/>
        <s v="Transferencia recibida Melanie Troncoso"/>
        <s v="Transferencia recibida Manuela Sofia Dalmao Dematteis"/>
        <s v="Transferencia recibida Rita Milagros Juvenal"/>
        <s v="Transferencia recibida Martina Elola"/>
        <s v="Transferencia recibida Marialaura"/>
        <s v="Transferencia recibida Sebastián Andrés Saavedra"/>
        <s v="Pago con QR Coca-Cola ANDINA"/>
        <s v="Transferencia recibida Angelina Leopardo"/>
        <s v="Transferencia recibida Juan Ignacio Daniele"/>
        <s v="Transferencia recibida Yamil Jose Ale"/>
        <s v="Transferencia recibida Concepcar"/>
        <s v="Transferencia recibida Francisco Exequiel Zegaib"/>
        <s v="Transferencia recibida Agustin Alejandro Vizcarra"/>
        <s v="Transferencia recibida Germán Yair Gaggietta"/>
        <s v="Transferencia recibida Jazmín Uranga"/>
        <s v="Transferencia recibida Angel Ernesto Cholson"/>
        <s v="Transferencia recibida Mauricio Oscar Lopez"/>
        <s v="Transferencia recibida Cristian Efraín Etchebarne"/>
        <s v="Transferencia recibida Mariano Mensa"/>
        <s v="Transferencia recibida Juan Manuel Schroeder"/>
        <s v="Transferencia recibida Sol Fagundez"/>
        <s v="Transferencia recibida Fernando Emanuel Lozano"/>
        <s v="Transferencia recibida Ramiro Pascal"/>
        <s v="Transferencia recibida Erik"/>
        <s v="Transferencia recibida Hugo Ezequiel Perez"/>
        <s v="Transferencia recibida Facundo Ariel Marquez De Los Santos"/>
        <s v="Transferencia recibida Iara Micae Blanco Duarte"/>
        <s v="Transferencia recibida Walter Daniel Dieta"/>
        <s v="Transferencia recibida Julieta Graumann"/>
        <s v="Pago con QR FEPASA"/>
        <s v="Pago de servicios ARCA"/>
        <s v="Transferencia enviada"/>
        <s v="Transferencia enviada ACERO JEKLO SAS"/>
        <s v="Transferencia enviada BACO DE LOS ANDES SA"/>
        <s v="Transferencia enviada BASSO REPRESENT SRL"/>
        <s v="Transferencia enviada BOURLOT SA"/>
        <s v="Transferencia enviada CAMILA SCARDINO"/>
        <s v="Transferencia enviada CDG SRL"/>
        <s v="Transferencia enviada Cerveza Tractor"/>
        <s v="Transferencia enviada COMERCIAL RIGGIO SA"/>
        <s v="Transferencia recibida Sergio Bruno Cabral"/>
        <s v="Transferencia recibida Melina Belén Maschio"/>
        <s v="Transferencia recibida Betina Salomé Farias"/>
        <s v="Transferencia recibida Lautaro Exequiel Roja"/>
        <s v="Transferencia enviada Distribuidora Doña Dora"/>
        <s v="Transferencia enviada DOLCET NORBERTO DAVID"/>
        <s v="Transferencia enviada DOÑA DORA"/>
        <s v="Transferencia enviada ENCODE SA"/>
        <s v="Transferencia enviada ERPEN JULIO C. Y PONZONI ANTONELLA P. SOCIEDAD SIMPLE"/>
        <s v="Transferencia recibida Erika Maria Cristina Gamarra Dammann"/>
        <s v="Transferencia recibida Lucrecia Lujan Ruiz Diaz"/>
        <s v="Transferencia recibida Osvaldo Ariel Carro"/>
        <s v="Transferencia recibida Andrea Del Valle Llanes"/>
        <s v="Transferencia recibida Josefina Otero"/>
        <s v="Transferencia recibida Sebastian Raul Nuñez"/>
        <s v="Transferencia recibida Andres Salvador Proemmel Galeano"/>
        <s v="Transferencia recibida Sergio Luis Bonnin"/>
        <s v="Transferencia recibida Odontólogo Dri Iván"/>
        <s v="Transferencia recibida Marcos Javier Acosta"/>
        <s v="Transferencia recibida Paula Dabadia"/>
        <s v="Transferencia recibida Sebastian Nicolas Pino"/>
        <s v="Transferencia recibida Gabriela Gisela Carelli"/>
        <s v="Transferencia recibida Lautaro Morales"/>
        <s v="Transferencia enviada Eula Marcelo German"/>
        <s v="Transferencia enviada FRUVECO S R L"/>
        <s v="Transferencia enviada Granja La Blanquita S.r.l."/>
        <s v="Transferencia enviada Gustavo Eugenio Gatter"/>
        <s v="Transferencia enviada LAGUNA CAPRI SAS"/>
        <s v="Transferencia enviada Mariano Pedro Rebord Palazzo"/>
        <s v="Transferencia recibida Pedro Sebastian Gonzalez Uruzula"/>
        <s v="Transferencia recibida Marisol Agustina Horn"/>
        <s v="Transferencia recibida Santiago Daniel Viollaz"/>
        <s v="Transferencia recibida Kiosco Gabii"/>
        <s v="Transferencia recibida Camila Josefina Cozzi"/>
        <s v="Transferencia recibida Silvana Paola Domanico"/>
        <s v="Transferencia recibida Santino Loker"/>
        <s v="Transferencia recibida Milagros Macarena Bosch"/>
        <s v="Transferencia recibida Benjamín Villaud"/>
        <s v="Transferencia recibida Lucas Schanton"/>
        <s v="Transferencia recibida Agustin Fernando Loupias"/>
        <s v="Transferencia recibida Manuel Sebastian Castel"/>
        <s v="Transferencia enviada NATALIA ELIZABETH BALBUENA"/>
        <s v="Transferencia enviada PELPAK EMBALAJES S.A"/>
        <s v="Transferencia enviada Rodolfo Oscar Bidal"/>
        <s v="Transferencia recibida Nicole Protto"/>
        <s v="Transferencia recibida Hugo Alfredo Vinzon"/>
        <s v="Transferencia recibida Paola Galarraga"/>
        <s v="Transferencia recibida Micaela Bonelli"/>
        <s v="Transferencia recibida Joaquin Manuel Colliard"/>
        <s v="Transferencia recibida Iván Bianchi Fallet"/>
        <s v="Transferencia recibida Maria Laura Pilepich"/>
        <s v="Transferencia recibida Juan Carlos Serra"/>
        <s v="Transferencia recibida Sergio Daniel Gareca"/>
        <s v="Transferencia recibida Gabriel Alejandro Gauna"/>
        <s v="Transferencia recibida Matias Peralta"/>
        <s v="Transferencia recibida Rodrigo Lorenzo Cruz"/>
        <s v="Transferencia recibida Andres Quintar Riboli"/>
        <s v="Transferencia recibida Luciano Rafael Petroni"/>
        <s v="Transferencia recibida Leonela Lujan Peralta"/>
        <s v="Transferencia recibida Guillermo Fabian Ducret Leturia"/>
        <s v="Transferencia recibida Carla Stefania Ramos"/>
        <s v="Transferencia recibida Rodolfo Agustin Diaz Piriz"/>
        <s v="Transferencia recibida Joaquin Klug"/>
        <s v="Transferencia recibida Malena Guadalupe Rodriguez Traverso"/>
        <s v="Transferencia enviada SUCESION DE SATTO"/>
        <s v="Transferencia recibida Sofia Ayelen Debrabandere"/>
        <s v="Transferencia recibida Candela Schauman"/>
        <s v="Transferencia enviada TRES ORILLAS SRL"/>
      </sharedItems>
    </cacheField>
    <cacheField name="REFERENCE_ID" numFmtId="1">
      <sharedItems containsSemiMixedTypes="0" containsString="0" containsNumber="1" containsInteger="1" minValue="2350344890" maxValue="128067663200"/>
    </cacheField>
    <cacheField name="TRANSACTION_NET_AMOUNT" numFmtId="0">
      <sharedItems containsSemiMixedTypes="0" containsString="0" containsNumber="1" minValue="-2213333.84" maxValue="224700.84"/>
    </cacheField>
    <cacheField name="PARTIAL_BALANCE" numFmtId="0">
      <sharedItems containsSemiMixedTypes="0" containsString="0" containsNumber="1" minValue="6439252.6799999997" maxValue="14346865.75"/>
    </cacheField>
    <cacheField name="VARIOS" numFmtId="0">
      <sharedItems count="5">
        <s v="COBRO"/>
        <s v="PAGO PROVEEDOR"/>
        <s v="IDC"/>
        <s v="ARCA"/>
        <s v="RETIRO / PROV"/>
      </sharedItems>
    </cacheField>
    <cacheField name="TRANSACTION_TOTAL_AMOUNT" numFmtId="0">
      <sharedItems containsString="0" containsBlank="1" containsNumber="1" minValue="-2200133.041749503" maxValue="-4970.1789264413519"/>
    </cacheField>
    <cacheField name="IDC COMPRAS" numFmtId="0">
      <sharedItems containsString="0" containsBlank="1" containsNumber="1" minValue="-13200.798250496853" maxValue="-29.821073558648095"/>
    </cacheField>
    <cacheField name="SIRCUPA" numFmtId="43">
      <sharedItems containsSemiMixedTypes="0" containsString="0" containsNumber="1" minValue="-185.25" maxValue="0"/>
    </cacheField>
    <cacheField name="SIRTAC" numFmtId="43">
      <sharedItems containsSemiMixedTypes="0" containsString="0" containsNumber="1" minValue="-2394" maxValue="800"/>
    </cacheField>
    <cacheField name="Gastos" numFmtId="43">
      <sharedItems containsSemiMixedTypes="0" containsString="0" containsNumber="1" minValue="-13621.9" maxValue="776"/>
    </cacheField>
    <cacheField name="IDC" numFmtId="43">
      <sharedItems containsString="0" containsBlank="1" containsNumber="1" minValue="-13200.798250496853" maxValue="480"/>
    </cacheField>
    <cacheField name="MOV TOTAL" numFmtId="43">
      <sharedItems containsSemiMixedTypes="0" containsString="0" containsNumber="1" minValue="-2200133.041749503" maxValue="239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6">
  <r>
    <x v="0"/>
    <x v="0"/>
    <s v="123864040285"/>
    <n v="14614.5"/>
    <n v="12904391.59"/>
  </r>
  <r>
    <x v="0"/>
    <x v="0"/>
    <s v="123864645949"/>
    <n v="17050.25"/>
    <n v="12921441.84"/>
  </r>
  <r>
    <x v="0"/>
    <x v="0"/>
    <s v="124407346652"/>
    <n v="11984.28"/>
    <n v="12933426.119999999"/>
  </r>
  <r>
    <x v="0"/>
    <x v="1"/>
    <s v="123865265509"/>
    <n v="646.14"/>
    <n v="12934072.26"/>
  </r>
  <r>
    <x v="0"/>
    <x v="0"/>
    <s v="124407749182"/>
    <n v="23870.35"/>
    <n v="12957942.609999999"/>
  </r>
  <r>
    <x v="0"/>
    <x v="0"/>
    <s v="123868184561"/>
    <n v="9743"/>
    <n v="12967685.609999999"/>
  </r>
  <r>
    <x v="0"/>
    <x v="0"/>
    <s v="123868170745"/>
    <n v="13153.05"/>
    <n v="12980838.66"/>
  </r>
  <r>
    <x v="0"/>
    <x v="2"/>
    <s v="123897475515"/>
    <n v="-161786.93"/>
    <n v="12819051.73"/>
  </r>
  <r>
    <x v="0"/>
    <x v="3"/>
    <s v="124446003662"/>
    <n v="-91714.5"/>
    <n v="12727337.23"/>
  </r>
  <r>
    <x v="0"/>
    <x v="4"/>
    <s v="124446003662"/>
    <n v="-550.29"/>
    <n v="12726786.939999999"/>
  </r>
  <r>
    <x v="0"/>
    <x v="5"/>
    <s v="124454118654"/>
    <n v="-273665.15999999997"/>
    <n v="12453121.779999999"/>
  </r>
  <r>
    <x v="0"/>
    <x v="4"/>
    <s v="124454118654"/>
    <n v="-1641.99"/>
    <n v="12451479.789999999"/>
  </r>
  <r>
    <x v="0"/>
    <x v="6"/>
    <s v="124459001098"/>
    <n v="-238065.88"/>
    <n v="12213413.91"/>
  </r>
  <r>
    <x v="0"/>
    <x v="7"/>
    <s v="124489977054"/>
    <n v="-168677.75"/>
    <n v="12044736.16"/>
  </r>
  <r>
    <x v="0"/>
    <x v="4"/>
    <s v="124489977054"/>
    <n v="-1012.07"/>
    <n v="12043724.09"/>
  </r>
  <r>
    <x v="1"/>
    <x v="8"/>
    <s v="124014458903"/>
    <n v="-982084.1"/>
    <n v="11061639.99"/>
  </r>
  <r>
    <x v="1"/>
    <x v="4"/>
    <s v="124014458903"/>
    <n v="-5892.5"/>
    <n v="11055747.49"/>
  </r>
  <r>
    <x v="1"/>
    <x v="9"/>
    <s v="124018294619"/>
    <n v="-423171.26"/>
    <n v="10632576.23"/>
  </r>
  <r>
    <x v="1"/>
    <x v="10"/>
    <s v="124031772669"/>
    <n v="-785165"/>
    <n v="9847411.2300000004"/>
  </r>
  <r>
    <x v="1"/>
    <x v="4"/>
    <s v="124031772669"/>
    <n v="-4710.99"/>
    <n v="9842700.2400000002"/>
  </r>
  <r>
    <x v="1"/>
    <x v="11"/>
    <s v="124618927966"/>
    <n v="-84294.94"/>
    <n v="9758405.3000000007"/>
  </r>
  <r>
    <x v="1"/>
    <x v="4"/>
    <s v="124618927966"/>
    <n v="-505.77"/>
    <n v="9757899.5299999993"/>
  </r>
  <r>
    <x v="1"/>
    <x v="11"/>
    <s v="124624594370"/>
    <n v="-215724.16"/>
    <n v="9542175.3699999992"/>
  </r>
  <r>
    <x v="1"/>
    <x v="4"/>
    <s v="124624594370"/>
    <n v="-1294.3399999999999"/>
    <n v="9540881.0299999993"/>
  </r>
  <r>
    <x v="2"/>
    <x v="11"/>
    <s v="124167213727"/>
    <n v="-107615.09"/>
    <n v="9433265.9399999995"/>
  </r>
  <r>
    <x v="2"/>
    <x v="4"/>
    <s v="124167213727"/>
    <n v="-645.69000000000005"/>
    <n v="9432620.25"/>
  </r>
  <r>
    <x v="2"/>
    <x v="12"/>
    <s v="124169559701"/>
    <n v="-155261.01"/>
    <n v="9277359.2400000002"/>
  </r>
  <r>
    <x v="2"/>
    <x v="13"/>
    <s v="124761516066"/>
    <n v="-210343.29"/>
    <n v="9067015.9499999993"/>
  </r>
  <r>
    <x v="2"/>
    <x v="4"/>
    <s v="124761516066"/>
    <n v="-1262.06"/>
    <n v="9065753.8900000006"/>
  </r>
  <r>
    <x v="2"/>
    <x v="13"/>
    <s v="124774089426"/>
    <n v="-45239.61"/>
    <n v="9020514.2799999993"/>
  </r>
  <r>
    <x v="2"/>
    <x v="4"/>
    <s v="124774089426"/>
    <n v="-271.44"/>
    <n v="9020242.8399999999"/>
  </r>
  <r>
    <x v="2"/>
    <x v="0"/>
    <s v="124234497707"/>
    <n v="4774.07"/>
    <n v="9025016.9100000001"/>
  </r>
  <r>
    <x v="2"/>
    <x v="0"/>
    <s v="124781182650"/>
    <n v="8071.96"/>
    <n v="9033088.8699999992"/>
  </r>
  <r>
    <x v="2"/>
    <x v="0"/>
    <s v="124236889607"/>
    <n v="28546.99"/>
    <n v="9061635.8599999994"/>
  </r>
  <r>
    <x v="2"/>
    <x v="14"/>
    <s v="124236877691"/>
    <n v="1434.23"/>
    <n v="9063070.0899999999"/>
  </r>
  <r>
    <x v="2"/>
    <x v="0"/>
    <s v="124784681512"/>
    <n v="28144.9"/>
    <n v="9091214.9900000002"/>
  </r>
  <r>
    <x v="2"/>
    <x v="0"/>
    <s v="124788106000"/>
    <n v="5006.91"/>
    <n v="9096221.9000000004"/>
  </r>
  <r>
    <x v="2"/>
    <x v="0"/>
    <s v="124245392201"/>
    <n v="33223.629999999997"/>
    <n v="9129445.5299999993"/>
  </r>
  <r>
    <x v="2"/>
    <x v="0"/>
    <s v="124245389515"/>
    <n v="44817.8"/>
    <n v="9174263.3300000001"/>
  </r>
  <r>
    <x v="2"/>
    <x v="0"/>
    <s v="124247706111"/>
    <n v="11983.89"/>
    <n v="9186247.2200000007"/>
  </r>
  <r>
    <x v="2"/>
    <x v="0"/>
    <s v="124795296394"/>
    <n v="19485.03"/>
    <n v="9205732.25"/>
  </r>
  <r>
    <x v="2"/>
    <x v="0"/>
    <s v="124251168101"/>
    <n v="58356.67"/>
    <n v="9264088.9199999999"/>
  </r>
  <r>
    <x v="2"/>
    <x v="0"/>
    <s v="124251556927"/>
    <n v="69175.3"/>
    <n v="9333264.2200000007"/>
  </r>
  <r>
    <x v="3"/>
    <x v="0"/>
    <s v="124797073790"/>
    <n v="55729.96"/>
    <n v="9388994.1799999997"/>
  </r>
  <r>
    <x v="3"/>
    <x v="0"/>
    <s v="124797394520"/>
    <n v="35756.81"/>
    <n v="9424750.9900000002"/>
  </r>
  <r>
    <x v="3"/>
    <x v="15"/>
    <s v="124253070499"/>
    <n v="1796.46"/>
    <n v="9426547.4499999993"/>
  </r>
  <r>
    <x v="3"/>
    <x v="0"/>
    <s v="124797743380"/>
    <n v="138720.76"/>
    <n v="9565268.2100000009"/>
  </r>
  <r>
    <x v="3"/>
    <x v="0"/>
    <s v="124797908608"/>
    <n v="14072.45"/>
    <n v="9579340.6600000001"/>
  </r>
  <r>
    <x v="3"/>
    <x v="0"/>
    <s v="124253989611"/>
    <n v="20362.87"/>
    <n v="9599703.5299999993"/>
  </r>
  <r>
    <x v="3"/>
    <x v="0"/>
    <s v="124798439032"/>
    <n v="27475.26"/>
    <n v="9627178.7899999991"/>
  </r>
  <r>
    <x v="3"/>
    <x v="16"/>
    <s v="124254045511"/>
    <n v="1380.39"/>
    <n v="9628559.1799999997"/>
  </r>
  <r>
    <x v="3"/>
    <x v="0"/>
    <s v="124798706468"/>
    <n v="9548.14"/>
    <n v="9638107.3200000003"/>
  </r>
  <r>
    <x v="3"/>
    <x v="0"/>
    <s v="124800062204"/>
    <n v="45984.04"/>
    <n v="9684091.3599999994"/>
  </r>
  <r>
    <x v="3"/>
    <x v="0"/>
    <s v="124256095479"/>
    <n v="19484.05"/>
    <n v="9703575.4100000001"/>
  </r>
  <r>
    <x v="3"/>
    <x v="17"/>
    <s v="124293086141"/>
    <n v="-1226240"/>
    <n v="8477335.4100000001"/>
  </r>
  <r>
    <x v="3"/>
    <x v="4"/>
    <s v="124293086141"/>
    <n v="-7357.44"/>
    <n v="8469977.9700000007"/>
  </r>
  <r>
    <x v="3"/>
    <x v="18"/>
    <s v="124295531407"/>
    <n v="-21729.59"/>
    <n v="8448248.3800000008"/>
  </r>
  <r>
    <x v="3"/>
    <x v="19"/>
    <s v="124845509146"/>
    <n v="-220026.32"/>
    <n v="8228222.0599999996"/>
  </r>
  <r>
    <x v="3"/>
    <x v="4"/>
    <s v="124845509146"/>
    <n v="-1320.16"/>
    <n v="8226901.9000000004"/>
  </r>
  <r>
    <x v="3"/>
    <x v="19"/>
    <s v="124856861194"/>
    <n v="-137020"/>
    <n v="8089881.9000000004"/>
  </r>
  <r>
    <x v="3"/>
    <x v="4"/>
    <s v="124856861194"/>
    <n v="-822.12"/>
    <n v="8089059.7800000003"/>
  </r>
  <r>
    <x v="3"/>
    <x v="0"/>
    <s v="124907529624"/>
    <n v="15491.37"/>
    <n v="8104551.1500000004"/>
  </r>
  <r>
    <x v="3"/>
    <x v="0"/>
    <s v="124362593953"/>
    <n v="4189.49"/>
    <n v="8108740.6399999997"/>
  </r>
  <r>
    <x v="3"/>
    <x v="20"/>
    <s v="124362828291"/>
    <n v="210.48"/>
    <n v="8108951.1200000001"/>
  </r>
  <r>
    <x v="3"/>
    <x v="0"/>
    <s v="124908939322"/>
    <n v="4189.49"/>
    <n v="8113140.6100000003"/>
  </r>
  <r>
    <x v="3"/>
    <x v="0"/>
    <s v="124909134908"/>
    <n v="7599.54"/>
    <n v="8120740.1500000004"/>
  </r>
  <r>
    <x v="3"/>
    <x v="21"/>
    <s v="124909138878"/>
    <n v="381.81"/>
    <n v="8121121.96"/>
  </r>
  <r>
    <x v="3"/>
    <x v="0"/>
    <s v="124912912486"/>
    <n v="29229"/>
    <n v="8150350.96"/>
  </r>
  <r>
    <x v="3"/>
    <x v="0"/>
    <s v="124368294535"/>
    <n v="4062.21"/>
    <n v="8154413.1699999999"/>
  </r>
  <r>
    <x v="3"/>
    <x v="0"/>
    <s v="124370030581"/>
    <n v="106101.27"/>
    <n v="8260514.4400000004"/>
  </r>
  <r>
    <x v="3"/>
    <x v="0"/>
    <s v="124919880508"/>
    <n v="23188.34"/>
    <n v="8283702.7800000003"/>
  </r>
  <r>
    <x v="3"/>
    <x v="0"/>
    <s v="124375560999"/>
    <n v="4062.21"/>
    <n v="8287764.9900000002"/>
  </r>
  <r>
    <x v="3"/>
    <x v="0"/>
    <s v="124921656040"/>
    <n v="37356.28"/>
    <n v="8325121.2699999996"/>
  </r>
  <r>
    <x v="3"/>
    <x v="0"/>
    <s v="124379045323"/>
    <n v="3799.77"/>
    <n v="8328921.04"/>
  </r>
  <r>
    <x v="3"/>
    <x v="0"/>
    <s v="124924939738"/>
    <n v="8378.98"/>
    <n v="8337300.0199999996"/>
  </r>
  <r>
    <x v="3"/>
    <x v="0"/>
    <s v="124379914851"/>
    <n v="4189.49"/>
    <n v="8341489.5099999998"/>
  </r>
  <r>
    <x v="3"/>
    <x v="0"/>
    <s v="124926524640"/>
    <n v="79795.17"/>
    <n v="8421284.6799999997"/>
  </r>
  <r>
    <x v="3"/>
    <x v="0"/>
    <s v="124926603568"/>
    <n v="13542.77"/>
    <n v="8434827.4499999993"/>
  </r>
  <r>
    <x v="3"/>
    <x v="0"/>
    <s v="124926894128"/>
    <n v="3410.05"/>
    <n v="8438237.5"/>
  </r>
  <r>
    <x v="3"/>
    <x v="22"/>
    <s v="124926882200"/>
    <n v="171.32"/>
    <n v="8438408.8200000003"/>
  </r>
  <r>
    <x v="3"/>
    <x v="0"/>
    <s v="124382131027"/>
    <n v="27377.83"/>
    <n v="8465786.6500000004"/>
  </r>
  <r>
    <x v="3"/>
    <x v="23"/>
    <s v="124382023949"/>
    <n v="4126.4799999999996"/>
    <n v="8469913.1300000008"/>
  </r>
  <r>
    <x v="3"/>
    <x v="0"/>
    <s v="124382333979"/>
    <n v="12568.47"/>
    <n v="8482481.5999999996"/>
  </r>
  <r>
    <x v="3"/>
    <x v="0"/>
    <s v="124383268861"/>
    <n v="4189.49"/>
    <n v="8486671.0899999999"/>
  </r>
  <r>
    <x v="3"/>
    <x v="0"/>
    <s v="124383275693"/>
    <n v="9060.99"/>
    <n v="8495732.0800000001"/>
  </r>
  <r>
    <x v="3"/>
    <x v="0"/>
    <s v="124928647796"/>
    <n v="12568.47"/>
    <n v="8508300.5500000007"/>
  </r>
  <r>
    <x v="3"/>
    <x v="0"/>
    <s v="124929160694"/>
    <n v="32139.66"/>
    <n v="8540440.2100000009"/>
  </r>
  <r>
    <x v="3"/>
    <x v="0"/>
    <s v="124929201672"/>
    <n v="12568.47"/>
    <n v="8553008.6799999997"/>
  </r>
  <r>
    <x v="3"/>
    <x v="0"/>
    <s v="124929525256"/>
    <n v="3410.05"/>
    <n v="8556418.7300000004"/>
  </r>
  <r>
    <x v="3"/>
    <x v="0"/>
    <s v="124929549560"/>
    <n v="13250.48"/>
    <n v="8569669.2100000009"/>
  </r>
  <r>
    <x v="3"/>
    <x v="0"/>
    <s v="124384575133"/>
    <n v="10619.87"/>
    <n v="8580289.0800000001"/>
  </r>
  <r>
    <x v="3"/>
    <x v="0"/>
    <s v="124929877616"/>
    <n v="3799.77"/>
    <n v="8584088.8499999996"/>
  </r>
  <r>
    <x v="3"/>
    <x v="0"/>
    <s v="124929957960"/>
    <n v="4189.49"/>
    <n v="8588278.3399999999"/>
  </r>
  <r>
    <x v="3"/>
    <x v="0"/>
    <s v="124385248819"/>
    <n v="3799.77"/>
    <n v="8592078.1099999994"/>
  </r>
  <r>
    <x v="3"/>
    <x v="0"/>
    <s v="124930281670"/>
    <n v="8071.96"/>
    <n v="8600150.0700000003"/>
  </r>
  <r>
    <x v="3"/>
    <x v="0"/>
    <s v="124385652341"/>
    <n v="13932.49"/>
    <n v="8614082.5600000005"/>
  </r>
  <r>
    <x v="3"/>
    <x v="0"/>
    <s v="124930920538"/>
    <n v="20311.05"/>
    <n v="8634393.6099999994"/>
  </r>
  <r>
    <x v="3"/>
    <x v="0"/>
    <s v="124385743585"/>
    <n v="3799.77"/>
    <n v="8638193.3800000008"/>
  </r>
  <r>
    <x v="3"/>
    <x v="0"/>
    <s v="124386234575"/>
    <n v="12470.04"/>
    <n v="8650663.4199999999"/>
  </r>
  <r>
    <x v="3"/>
    <x v="0"/>
    <s v="124386117715"/>
    <n v="18414.27"/>
    <n v="8669077.6899999995"/>
  </r>
  <r>
    <x v="3"/>
    <x v="0"/>
    <s v="124931688378"/>
    <n v="9353.2800000000007"/>
    <n v="8678430.9700000007"/>
  </r>
  <r>
    <x v="3"/>
    <x v="0"/>
    <s v="124931738646"/>
    <n v="3799.77"/>
    <n v="8682230.7400000002"/>
  </r>
  <r>
    <x v="3"/>
    <x v="0"/>
    <s v="124931811338"/>
    <n v="1851.17"/>
    <n v="8684081.9100000001"/>
  </r>
  <r>
    <x v="4"/>
    <x v="0"/>
    <s v="124386853415"/>
    <n v="3799.77"/>
    <n v="8687881.6799999997"/>
  </r>
  <r>
    <x v="4"/>
    <x v="24"/>
    <s v="124386769841"/>
    <n v="381.81"/>
    <n v="8688263.4900000002"/>
  </r>
  <r>
    <x v="4"/>
    <x v="0"/>
    <s v="124932013860"/>
    <n v="59319.519999999997"/>
    <n v="8747583.0099999998"/>
  </r>
  <r>
    <x v="4"/>
    <x v="0"/>
    <s v="124387202427"/>
    <n v="7989.26"/>
    <n v="8755572.2699999996"/>
  </r>
  <r>
    <x v="4"/>
    <x v="0"/>
    <s v="124387169897"/>
    <n v="9060.99"/>
    <n v="8764633.2599999998"/>
  </r>
  <r>
    <x v="4"/>
    <x v="0"/>
    <s v="124387263837"/>
    <n v="15491.37"/>
    <n v="8780124.6300000008"/>
  </r>
  <r>
    <x v="4"/>
    <x v="0"/>
    <s v="124932672660"/>
    <n v="4871.5"/>
    <n v="8784996.1300000008"/>
  </r>
  <r>
    <x v="4"/>
    <x v="0"/>
    <s v="124932574010"/>
    <n v="4539.5"/>
    <n v="8789535.6300000008"/>
  </r>
  <r>
    <x v="4"/>
    <x v="0"/>
    <s v="124387491809"/>
    <n v="68980.44"/>
    <n v="8858516.0700000003"/>
  </r>
  <r>
    <x v="4"/>
    <x v="0"/>
    <s v="124932738810"/>
    <n v="2143.46"/>
    <n v="8860659.5299999993"/>
  </r>
  <r>
    <x v="4"/>
    <x v="0"/>
    <s v="124933058374"/>
    <n v="15686.23"/>
    <n v="8876345.7599999998"/>
  </r>
  <r>
    <x v="4"/>
    <x v="0"/>
    <s v="124933214738"/>
    <n v="4189.49"/>
    <n v="8880535.25"/>
  </r>
  <r>
    <x v="4"/>
    <x v="0"/>
    <s v="124388057649"/>
    <n v="4189.49"/>
    <n v="8884724.7400000002"/>
  </r>
  <r>
    <x v="4"/>
    <x v="0"/>
    <s v="124933398996"/>
    <n v="4189.49"/>
    <n v="8888914.2300000004"/>
  </r>
  <r>
    <x v="4"/>
    <x v="0"/>
    <s v="124388358883"/>
    <n v="4062.21"/>
    <n v="8892976.4399999995"/>
  </r>
  <r>
    <x v="4"/>
    <x v="0"/>
    <s v="124388466105"/>
    <n v="181414.66"/>
    <n v="9074391.0999999996"/>
  </r>
  <r>
    <x v="4"/>
    <x v="0"/>
    <s v="124388706943"/>
    <n v="3799.77"/>
    <n v="9078190.8699999992"/>
  </r>
  <r>
    <x v="4"/>
    <x v="24"/>
    <s v="124933915330"/>
    <n v="381.81"/>
    <n v="9078572.6799999997"/>
  </r>
  <r>
    <x v="4"/>
    <x v="0"/>
    <s v="124934432228"/>
    <n v="4189.49"/>
    <n v="9082762.1699999999"/>
  </r>
  <r>
    <x v="4"/>
    <x v="25"/>
    <s v="124389262853"/>
    <n v="210.48"/>
    <n v="9082972.6500000004"/>
  </r>
  <r>
    <x v="4"/>
    <x v="0"/>
    <s v="124389182075"/>
    <n v="4189.49"/>
    <n v="9087162.1400000006"/>
  </r>
  <r>
    <x v="4"/>
    <x v="0"/>
    <s v="124389369351"/>
    <n v="58555.43"/>
    <n v="9145717.5700000003"/>
  </r>
  <r>
    <x v="4"/>
    <x v="26"/>
    <s v="124389351389"/>
    <n v="2941.89"/>
    <n v="9148659.4600000009"/>
  </r>
  <r>
    <x v="4"/>
    <x v="0"/>
    <s v="124389389493"/>
    <n v="4189.49"/>
    <n v="9152848.9499999993"/>
  </r>
  <r>
    <x v="4"/>
    <x v="27"/>
    <s v="124389417047"/>
    <n v="489.5"/>
    <n v="9153338.4499999993"/>
  </r>
  <r>
    <x v="4"/>
    <x v="0"/>
    <s v="124389390021"/>
    <n v="8029.95"/>
    <n v="9161368.4000000004"/>
  </r>
  <r>
    <x v="4"/>
    <x v="0"/>
    <s v="124935015006"/>
    <n v="4189.49"/>
    <n v="9165557.8900000006"/>
  </r>
  <r>
    <x v="4"/>
    <x v="0"/>
    <s v="124390277545"/>
    <n v="4189.49"/>
    <n v="9169747.3800000008"/>
  </r>
  <r>
    <x v="4"/>
    <x v="28"/>
    <s v="124935440028"/>
    <n v="420.97"/>
    <n v="9170168.3499999996"/>
  </r>
  <r>
    <x v="4"/>
    <x v="0"/>
    <s v="124390468955"/>
    <n v="13932.49"/>
    <n v="9184100.8399999999"/>
  </r>
  <r>
    <x v="4"/>
    <x v="0"/>
    <s v="124390658789"/>
    <n v="38294.879999999997"/>
    <n v="9222395.7200000007"/>
  </r>
  <r>
    <x v="4"/>
    <x v="0"/>
    <s v="124936306000"/>
    <n v="8378.98"/>
    <n v="9230774.6999999993"/>
  </r>
  <r>
    <x v="4"/>
    <x v="0"/>
    <s v="124936593136"/>
    <n v="21532.03"/>
    <n v="9252306.7300000004"/>
  </r>
  <r>
    <x v="4"/>
    <x v="0"/>
    <s v="124391343749"/>
    <n v="9060.99"/>
    <n v="9261367.7200000007"/>
  </r>
  <r>
    <x v="4"/>
    <x v="0"/>
    <s v="124391696277"/>
    <n v="4189.49"/>
    <n v="9265557.2100000009"/>
  </r>
  <r>
    <x v="4"/>
    <x v="0"/>
    <s v="124391850585"/>
    <n v="94994.25"/>
    <n v="9360551.4600000009"/>
  </r>
  <r>
    <x v="4"/>
    <x v="0"/>
    <s v="124391938119"/>
    <n v="4189.49"/>
    <n v="9364740.9499999993"/>
  </r>
  <r>
    <x v="4"/>
    <x v="28"/>
    <s v="124391779837"/>
    <n v="420.97"/>
    <n v="9365161.9199999999"/>
  </r>
  <r>
    <x v="4"/>
    <x v="0"/>
    <s v="124937292950"/>
    <n v="34879.94"/>
    <n v="9400041.8599999994"/>
  </r>
  <r>
    <x v="4"/>
    <x v="0"/>
    <s v="124392231153"/>
    <n v="9743"/>
    <n v="9409784.8599999994"/>
  </r>
  <r>
    <x v="4"/>
    <x v="0"/>
    <s v="124392245583"/>
    <n v="33695.74"/>
    <n v="9443480.5999999996"/>
  </r>
  <r>
    <x v="4"/>
    <x v="0"/>
    <s v="124392595503"/>
    <n v="4062.21"/>
    <n v="9447542.8100000005"/>
  </r>
  <r>
    <x v="4"/>
    <x v="0"/>
    <s v="124937954288"/>
    <n v="6820.1"/>
    <n v="9454362.9100000001"/>
  </r>
  <r>
    <x v="4"/>
    <x v="0"/>
    <s v="124938008312"/>
    <n v="12568.47"/>
    <n v="9466931.3800000008"/>
  </r>
  <r>
    <x v="4"/>
    <x v="0"/>
    <s v="124392818757"/>
    <n v="20168.009999999998"/>
    <n v="9487099.3900000006"/>
  </r>
  <r>
    <x v="4"/>
    <x v="0"/>
    <s v="124392888675"/>
    <n v="84374.38"/>
    <n v="9571473.7699999996"/>
  </r>
  <r>
    <x v="4"/>
    <x v="0"/>
    <s v="124392988273"/>
    <n v="8476.41"/>
    <n v="9579950.1799999997"/>
  </r>
  <r>
    <x v="4"/>
    <x v="0"/>
    <s v="124938162788"/>
    <n v="28546.99"/>
    <n v="9608497.1699999999"/>
  </r>
  <r>
    <x v="4"/>
    <x v="0"/>
    <s v="124938249624"/>
    <n v="4189.49"/>
    <n v="9612686.6600000001"/>
  </r>
  <r>
    <x v="4"/>
    <x v="29"/>
    <s v="124420739261"/>
    <n v="-433268.17"/>
    <n v="9179418.4900000002"/>
  </r>
  <r>
    <x v="4"/>
    <x v="4"/>
    <s v="124420739261"/>
    <n v="-2599.61"/>
    <n v="9176818.8800000008"/>
  </r>
  <r>
    <x v="4"/>
    <x v="30"/>
    <s v="124474681067"/>
    <n v="-2213333.84"/>
    <n v="6963485.04"/>
  </r>
  <r>
    <x v="4"/>
    <x v="9"/>
    <s v="124490574149"/>
    <n v="-385845.67"/>
    <n v="6577639.3700000001"/>
  </r>
  <r>
    <x v="4"/>
    <x v="9"/>
    <s v="125037170650"/>
    <n v="-138386.69"/>
    <n v="6439252.6799999997"/>
  </r>
  <r>
    <x v="4"/>
    <x v="0"/>
    <s v="125049940460"/>
    <n v="9260.58"/>
    <n v="6448513.2599999998"/>
  </r>
  <r>
    <x v="4"/>
    <x v="0"/>
    <s v="124506917889"/>
    <n v="16075.95"/>
    <n v="6464589.21"/>
  </r>
  <r>
    <x v="4"/>
    <x v="0"/>
    <s v="124512339921"/>
    <n v="7368.66"/>
    <n v="6471957.8700000001"/>
  </r>
  <r>
    <x v="4"/>
    <x v="0"/>
    <s v="124513068303"/>
    <n v="4062.21"/>
    <n v="6476020.0800000001"/>
  </r>
  <r>
    <x v="4"/>
    <x v="0"/>
    <s v="125063411054"/>
    <n v="8378.98"/>
    <n v="6484399.0599999996"/>
  </r>
  <r>
    <x v="4"/>
    <x v="0"/>
    <s v="125066792780"/>
    <n v="10619.87"/>
    <n v="6495018.9299999997"/>
  </r>
  <r>
    <x v="4"/>
    <x v="0"/>
    <s v="124521851915"/>
    <n v="11430.87"/>
    <n v="6506449.7999999998"/>
  </r>
  <r>
    <x v="4"/>
    <x v="0"/>
    <s v="125070585706"/>
    <n v="7368.66"/>
    <n v="6513818.46"/>
  </r>
  <r>
    <x v="4"/>
    <x v="0"/>
    <s v="124525967241"/>
    <n v="4062.21"/>
    <n v="6517880.6699999999"/>
  </r>
  <r>
    <x v="4"/>
    <x v="0"/>
    <s v="124526350425"/>
    <n v="4189.49"/>
    <n v="6522070.1600000001"/>
  </r>
  <r>
    <x v="4"/>
    <x v="0"/>
    <s v="125072280684"/>
    <n v="8768.7000000000007"/>
    <n v="6530838.8600000003"/>
  </r>
  <r>
    <x v="4"/>
    <x v="0"/>
    <s v="125072870242"/>
    <n v="8502.2999999999993"/>
    <n v="6539341.1600000001"/>
  </r>
  <r>
    <x v="4"/>
    <x v="0"/>
    <s v="125074007976"/>
    <n v="3177.65"/>
    <n v="6542518.8099999996"/>
  </r>
  <r>
    <x v="4"/>
    <x v="0"/>
    <s v="124528936881"/>
    <n v="45395"/>
    <n v="6587913.8099999996"/>
  </r>
  <r>
    <x v="4"/>
    <x v="0"/>
    <s v="125074730376"/>
    <n v="6820.1"/>
    <n v="6594733.9100000001"/>
  </r>
  <r>
    <x v="4"/>
    <x v="31"/>
    <s v="125074601908"/>
    <n v="342.65"/>
    <n v="6595076.5599999996"/>
  </r>
  <r>
    <x v="4"/>
    <x v="0"/>
    <s v="125074877368"/>
    <n v="44123.94"/>
    <n v="6639200.5"/>
  </r>
  <r>
    <x v="4"/>
    <x v="0"/>
    <s v="125075109170"/>
    <n v="4189.49"/>
    <n v="6643389.9900000002"/>
  </r>
  <r>
    <x v="4"/>
    <x v="0"/>
    <s v="125075403750"/>
    <n v="38948.910000000003"/>
    <n v="6682338.9000000004"/>
  </r>
  <r>
    <x v="4"/>
    <x v="0"/>
    <s v="124529807091"/>
    <n v="7548.06"/>
    <n v="6689886.96"/>
  </r>
  <r>
    <x v="4"/>
    <x v="0"/>
    <s v="125076566722"/>
    <n v="14076.03"/>
    <n v="6703962.9900000002"/>
  </r>
  <r>
    <x v="4"/>
    <x v="0"/>
    <s v="124531770681"/>
    <n v="40238.589999999997"/>
    <n v="6744201.5800000001"/>
  </r>
  <r>
    <x v="4"/>
    <x v="32"/>
    <s v="125077543030"/>
    <n v="2021.63"/>
    <n v="6746223.21"/>
  </r>
  <r>
    <x v="4"/>
    <x v="0"/>
    <s v="125077701916"/>
    <n v="99760.320000000007"/>
    <n v="6845983.5300000003"/>
  </r>
  <r>
    <x v="4"/>
    <x v="0"/>
    <s v="124533578613"/>
    <n v="30690.45"/>
    <n v="6876673.9800000004"/>
  </r>
  <r>
    <x v="4"/>
    <x v="0"/>
    <s v="125080148776"/>
    <n v="19610.64"/>
    <n v="6896284.6200000001"/>
  </r>
  <r>
    <x v="4"/>
    <x v="0"/>
    <s v="124534512559"/>
    <n v="59140.01"/>
    <n v="6955424.6299999999"/>
  </r>
  <r>
    <x v="4"/>
    <x v="0"/>
    <s v="125080564580"/>
    <n v="16343.31"/>
    <n v="6971767.9400000004"/>
  </r>
  <r>
    <x v="4"/>
    <x v="0"/>
    <s v="125081323764"/>
    <n v="8785.7099999999991"/>
    <n v="6980553.6500000004"/>
  </r>
  <r>
    <x v="4"/>
    <x v="0"/>
    <s v="125082018504"/>
    <n v="35854.239999999998"/>
    <n v="7016407.8899999997"/>
  </r>
  <r>
    <x v="4"/>
    <x v="0"/>
    <s v="125083042824"/>
    <n v="11399.31"/>
    <n v="7027807.2000000002"/>
  </r>
  <r>
    <x v="4"/>
    <x v="0"/>
    <s v="124538079727"/>
    <n v="3684.33"/>
    <n v="7031491.5300000003"/>
  </r>
  <r>
    <x v="4"/>
    <x v="0"/>
    <s v="124538330471"/>
    <n v="6820.1"/>
    <n v="7038311.6299999999"/>
  </r>
  <r>
    <x v="4"/>
    <x v="0"/>
    <s v="125084267116"/>
    <n v="14642.85"/>
    <n v="7052954.4800000004"/>
  </r>
  <r>
    <x v="4"/>
    <x v="0"/>
    <s v="124538747357"/>
    <n v="32875.56"/>
    <n v="7085830.04"/>
  </r>
  <r>
    <x v="4"/>
    <x v="0"/>
    <s v="125084844014"/>
    <n v="4189.49"/>
    <n v="7090019.5300000003"/>
  </r>
  <r>
    <x v="4"/>
    <x v="0"/>
    <s v="125085549984"/>
    <n v="39299.519999999997"/>
    <n v="7129319.0499999998"/>
  </r>
  <r>
    <x v="4"/>
    <x v="0"/>
    <s v="125085738014"/>
    <n v="27182.97"/>
    <n v="7156502.0199999996"/>
  </r>
  <r>
    <x v="4"/>
    <x v="33"/>
    <s v="124539894925"/>
    <n v="1365.7"/>
    <n v="7157867.7199999997"/>
  </r>
  <r>
    <x v="4"/>
    <x v="0"/>
    <s v="124540015625"/>
    <n v="23060.66"/>
    <n v="7180928.3799999999"/>
  </r>
  <r>
    <x v="4"/>
    <x v="0"/>
    <s v="124540352665"/>
    <n v="35520.720000000001"/>
    <n v="7216449.0999999996"/>
  </r>
  <r>
    <x v="4"/>
    <x v="0"/>
    <s v="124540445571"/>
    <n v="47838.13"/>
    <n v="7264287.2300000004"/>
  </r>
  <r>
    <x v="4"/>
    <x v="0"/>
    <s v="124541219739"/>
    <n v="16910.13"/>
    <n v="7281197.3600000003"/>
  </r>
  <r>
    <x v="4"/>
    <x v="0"/>
    <s v="124541482575"/>
    <n v="29191.23"/>
    <n v="7310388.5899999999"/>
  </r>
  <r>
    <x v="4"/>
    <x v="0"/>
    <s v="124541581193"/>
    <n v="34634.339999999997"/>
    <n v="7345022.9299999997"/>
  </r>
  <r>
    <x v="4"/>
    <x v="0"/>
    <s v="125087841682"/>
    <n v="35854.239999999998"/>
    <n v="7380877.1699999999"/>
  </r>
  <r>
    <x v="4"/>
    <x v="34"/>
    <s v="124541947467"/>
    <n v="3602.72"/>
    <n v="7384479.8899999997"/>
  </r>
  <r>
    <x v="4"/>
    <x v="0"/>
    <s v="124542531059"/>
    <n v="25721.52"/>
    <n v="7410201.4100000001"/>
  </r>
  <r>
    <x v="5"/>
    <x v="0"/>
    <s v="125088844362"/>
    <n v="8378.98"/>
    <n v="7418580.3899999997"/>
  </r>
  <r>
    <x v="5"/>
    <x v="0"/>
    <s v="125088894738"/>
    <n v="12276.18"/>
    <n v="7430856.5700000003"/>
  </r>
  <r>
    <x v="5"/>
    <x v="0"/>
    <s v="125088899534"/>
    <n v="33158.97"/>
    <n v="7464015.54"/>
  </r>
  <r>
    <x v="5"/>
    <x v="0"/>
    <s v="125088923310"/>
    <n v="31957.040000000001"/>
    <n v="7495972.5800000001"/>
  </r>
  <r>
    <x v="5"/>
    <x v="35"/>
    <s v="125088937092"/>
    <n v="1605.56"/>
    <n v="7497578.1399999997"/>
  </r>
  <r>
    <x v="5"/>
    <x v="0"/>
    <s v="125089015400"/>
    <n v="4161.1099999999997"/>
    <n v="7501739.25"/>
  </r>
  <r>
    <x v="5"/>
    <x v="0"/>
    <s v="124543378311"/>
    <n v="33675.96"/>
    <n v="7535415.21"/>
  </r>
  <r>
    <x v="5"/>
    <x v="0"/>
    <s v="125089355560"/>
    <n v="9060.99"/>
    <n v="7544476.2000000002"/>
  </r>
  <r>
    <x v="5"/>
    <x v="0"/>
    <s v="124543543841"/>
    <n v="46179.12"/>
    <n v="7590655.3200000003"/>
  </r>
  <r>
    <x v="5"/>
    <x v="0"/>
    <s v="125089683168"/>
    <n v="44684.31"/>
    <n v="7635339.6299999999"/>
  </r>
  <r>
    <x v="5"/>
    <x v="0"/>
    <s v="125089938206"/>
    <n v="24649.79"/>
    <n v="7659989.4199999999"/>
  </r>
  <r>
    <x v="5"/>
    <x v="0"/>
    <s v="124544646101"/>
    <n v="12178.75"/>
    <n v="7672168.1699999999"/>
  </r>
  <r>
    <x v="5"/>
    <x v="0"/>
    <s v="124544677873"/>
    <n v="66447.259999999995"/>
    <n v="7738615.4299999997"/>
  </r>
  <r>
    <x v="5"/>
    <x v="0"/>
    <s v="124545246125"/>
    <n v="5163.79"/>
    <n v="7743779.2199999997"/>
  </r>
  <r>
    <x v="5"/>
    <x v="0"/>
    <s v="125091085756"/>
    <n v="7368.66"/>
    <n v="7751147.8799999999"/>
  </r>
  <r>
    <x v="5"/>
    <x v="0"/>
    <s v="124545331721"/>
    <n v="37126.71"/>
    <n v="7788274.5899999999"/>
  </r>
  <r>
    <x v="5"/>
    <x v="0"/>
    <s v="124545411795"/>
    <n v="1838.63"/>
    <n v="7790113.2199999997"/>
  </r>
  <r>
    <x v="5"/>
    <x v="0"/>
    <s v="125091553012"/>
    <n v="4161.1099999999997"/>
    <n v="7794274.3300000001"/>
  </r>
  <r>
    <x v="5"/>
    <x v="0"/>
    <s v="125091637502"/>
    <n v="10327.58"/>
    <n v="7804601.9100000001"/>
  </r>
  <r>
    <x v="5"/>
    <x v="0"/>
    <s v="125091762262"/>
    <n v="37705.410000000003"/>
    <n v="7842307.3200000003"/>
  </r>
  <r>
    <x v="5"/>
    <x v="0"/>
    <s v="124545895951"/>
    <n v="3799.77"/>
    <n v="7846107.0899999999"/>
  </r>
  <r>
    <x v="5"/>
    <x v="0"/>
    <s v="125091877596"/>
    <n v="3410.05"/>
    <n v="7849517.1399999997"/>
  </r>
  <r>
    <x v="5"/>
    <x v="0"/>
    <s v="124546230277"/>
    <n v="46376.68"/>
    <n v="7895893.8200000003"/>
  </r>
  <r>
    <x v="5"/>
    <x v="36"/>
    <s v="124546179201"/>
    <n v="2330.02"/>
    <n v="7898223.8399999999"/>
  </r>
  <r>
    <x v="5"/>
    <x v="0"/>
    <s v="125092001900"/>
    <n v="4384.3500000000004"/>
    <n v="7902608.1900000004"/>
  </r>
  <r>
    <x v="5"/>
    <x v="0"/>
    <s v="125092236130"/>
    <n v="8573.84"/>
    <n v="7911182.0300000003"/>
  </r>
  <r>
    <x v="5"/>
    <x v="0"/>
    <s v="124546385021"/>
    <n v="5163.79"/>
    <n v="7916345.8200000003"/>
  </r>
  <r>
    <x v="5"/>
    <x v="0"/>
    <s v="125092458496"/>
    <n v="99287.97"/>
    <n v="8015633.79"/>
  </r>
  <r>
    <x v="5"/>
    <x v="0"/>
    <s v="125092611780"/>
    <n v="12568.47"/>
    <n v="8028202.2599999998"/>
  </r>
  <r>
    <x v="5"/>
    <x v="0"/>
    <s v="125092695218"/>
    <n v="26073.72"/>
    <n v="8054275.9800000004"/>
  </r>
  <r>
    <x v="5"/>
    <x v="0"/>
    <s v="125092821398"/>
    <n v="26750.1"/>
    <n v="8081026.0800000001"/>
  </r>
  <r>
    <x v="5"/>
    <x v="0"/>
    <s v="124546985255"/>
    <n v="563.16"/>
    <n v="8081589.2400000002"/>
  </r>
  <r>
    <x v="5"/>
    <x v="0"/>
    <s v="124547012843"/>
    <n v="31912.400000000001"/>
    <n v="8113501.6399999997"/>
  </r>
  <r>
    <x v="5"/>
    <x v="0"/>
    <s v="125093009032"/>
    <n v="15393.94"/>
    <n v="8128895.5800000001"/>
  </r>
  <r>
    <x v="5"/>
    <x v="0"/>
    <s v="125093118136"/>
    <n v="14614.5"/>
    <n v="8143510.0800000001"/>
  </r>
  <r>
    <x v="5"/>
    <x v="0"/>
    <s v="125093285044"/>
    <n v="8124.42"/>
    <n v="8151634.5"/>
  </r>
  <r>
    <x v="5"/>
    <x v="0"/>
    <s v="124547549785"/>
    <n v="58665.87"/>
    <n v="8210300.3700000001"/>
  </r>
  <r>
    <x v="5"/>
    <x v="0"/>
    <s v="124547797645"/>
    <n v="46571.54"/>
    <n v="8256871.9100000001"/>
  </r>
  <r>
    <x v="5"/>
    <x v="37"/>
    <s v="125093603866"/>
    <n v="4679.62"/>
    <n v="8261551.5300000003"/>
  </r>
  <r>
    <x v="5"/>
    <x v="0"/>
    <s v="125093625960"/>
    <n v="25721.52"/>
    <n v="8287273.0499999998"/>
  </r>
  <r>
    <x v="5"/>
    <x v="0"/>
    <s v="125093790872"/>
    <n v="11789.03"/>
    <n v="8299062.0800000001"/>
  </r>
  <r>
    <x v="5"/>
    <x v="0"/>
    <s v="124548093551"/>
    <n v="8999.61"/>
    <n v="8308061.6900000004"/>
  </r>
  <r>
    <x v="5"/>
    <x v="0"/>
    <s v="125093963730"/>
    <n v="9353.2800000000007"/>
    <n v="8317414.9699999997"/>
  </r>
  <r>
    <x v="5"/>
    <x v="0"/>
    <s v="125094162494"/>
    <n v="8378.98"/>
    <n v="8325793.9500000002"/>
  </r>
  <r>
    <x v="5"/>
    <x v="38"/>
    <s v="124548241441"/>
    <n v="420.97"/>
    <n v="8326214.9199999999"/>
  </r>
  <r>
    <x v="5"/>
    <x v="0"/>
    <s v="124548293337"/>
    <n v="47305.440000000002"/>
    <n v="8373520.3600000003"/>
  </r>
  <r>
    <x v="5"/>
    <x v="0"/>
    <s v="125094219266"/>
    <n v="20947.45"/>
    <n v="8394467.8100000005"/>
  </r>
  <r>
    <x v="5"/>
    <x v="0"/>
    <s v="124548516339"/>
    <n v="109121.60000000001"/>
    <n v="8503589.4100000001"/>
  </r>
  <r>
    <x v="5"/>
    <x v="0"/>
    <s v="124548420083"/>
    <n v="18219.41"/>
    <n v="8521808.8200000003"/>
  </r>
  <r>
    <x v="5"/>
    <x v="0"/>
    <s v="125094837668"/>
    <n v="40172.080000000002"/>
    <n v="8561980.9000000004"/>
  </r>
  <r>
    <x v="5"/>
    <x v="0"/>
    <s v="125094899458"/>
    <n v="3410.05"/>
    <n v="8565390.9499999993"/>
  </r>
  <r>
    <x v="5"/>
    <x v="0"/>
    <s v="125095026648"/>
    <n v="5163.79"/>
    <n v="8570554.7400000002"/>
  </r>
  <r>
    <x v="5"/>
    <x v="39"/>
    <s v="124549164915"/>
    <n v="259.43"/>
    <n v="8570814.1699999999"/>
  </r>
  <r>
    <x v="5"/>
    <x v="0"/>
    <s v="124549303705"/>
    <n v="10327.58"/>
    <n v="8581141.75"/>
  </r>
  <r>
    <x v="5"/>
    <x v="0"/>
    <s v="124549540369"/>
    <n v="13640.2"/>
    <n v="8594781.9499999993"/>
  </r>
  <r>
    <x v="5"/>
    <x v="0"/>
    <s v="125095467130"/>
    <n v="77944"/>
    <n v="8672725.9499999993"/>
  </r>
  <r>
    <x v="5"/>
    <x v="40"/>
    <s v="125095467130"/>
    <n v="-77944"/>
    <n v="8594781.9499999993"/>
  </r>
  <r>
    <x v="5"/>
    <x v="0"/>
    <s v="125095831262"/>
    <n v="70247.03"/>
    <n v="8665028.9800000004"/>
  </r>
  <r>
    <x v="5"/>
    <x v="0"/>
    <s v="124550095401"/>
    <n v="21532.03"/>
    <n v="8686561.0099999998"/>
  </r>
  <r>
    <x v="5"/>
    <x v="0"/>
    <s v="125096002932"/>
    <n v="17732.259999999998"/>
    <n v="8704293.2699999996"/>
  </r>
  <r>
    <x v="5"/>
    <x v="0"/>
    <s v="124550195285"/>
    <n v="12860.76"/>
    <n v="8717154.0299999993"/>
  </r>
  <r>
    <x v="5"/>
    <x v="0"/>
    <s v="125096109694"/>
    <n v="33321.06"/>
    <n v="8750475.0899999999"/>
  </r>
  <r>
    <x v="5"/>
    <x v="41"/>
    <s v="124550265849"/>
    <n v="1674.09"/>
    <n v="8752149.1799999997"/>
  </r>
  <r>
    <x v="5"/>
    <x v="0"/>
    <s v="124550395343"/>
    <n v="4189.49"/>
    <n v="8756338.6699999999"/>
  </r>
  <r>
    <x v="5"/>
    <x v="42"/>
    <s v="125096223326"/>
    <n v="631.45000000000005"/>
    <n v="8756970.1199999992"/>
  </r>
  <r>
    <x v="5"/>
    <x v="0"/>
    <s v="125185741106"/>
    <n v="4251.1499999999996"/>
    <n v="8761221.2699999996"/>
  </r>
  <r>
    <x v="5"/>
    <x v="0"/>
    <s v="125192805316"/>
    <n v="14264.97"/>
    <n v="8775486.2400000002"/>
  </r>
  <r>
    <x v="5"/>
    <x v="0"/>
    <s v="125195880866"/>
    <n v="27377.83"/>
    <n v="8802864.0700000003"/>
  </r>
  <r>
    <x v="5"/>
    <x v="0"/>
    <s v="125196765748"/>
    <n v="47301.59"/>
    <n v="8850165.6600000001"/>
  </r>
  <r>
    <x v="5"/>
    <x v="0"/>
    <s v="125198391082"/>
    <n v="8378.98"/>
    <n v="8858544.6400000006"/>
  </r>
  <r>
    <x v="5"/>
    <x v="0"/>
    <s v="125199712170"/>
    <n v="46384.77"/>
    <n v="8904929.4100000001"/>
  </r>
  <r>
    <x v="5"/>
    <x v="0"/>
    <s v="124653835763"/>
    <n v="12373.61"/>
    <n v="8917303.0199999996"/>
  </r>
  <r>
    <x v="5"/>
    <x v="43"/>
    <s v="125200365970"/>
    <n v="1864.99"/>
    <n v="8919168.0099999998"/>
  </r>
  <r>
    <x v="5"/>
    <x v="0"/>
    <s v="124654285441"/>
    <n v="15776.49"/>
    <n v="8934944.5"/>
  </r>
  <r>
    <x v="5"/>
    <x v="0"/>
    <s v="124657393069"/>
    <n v="32998.57"/>
    <n v="8967943.0700000003"/>
  </r>
  <r>
    <x v="5"/>
    <x v="44"/>
    <s v="124657355831"/>
    <n v="3338.39"/>
    <n v="8971281.4600000009"/>
  </r>
  <r>
    <x v="5"/>
    <x v="0"/>
    <s v="124657418835"/>
    <n v="15199.08"/>
    <n v="8986480.5399999991"/>
  </r>
  <r>
    <x v="5"/>
    <x v="0"/>
    <s v="125205657088"/>
    <n v="32151.9"/>
    <n v="9018632.4399999995"/>
  </r>
  <r>
    <x v="5"/>
    <x v="0"/>
    <s v="125205858756"/>
    <n v="8378.98"/>
    <n v="9027011.4199999999"/>
  </r>
  <r>
    <x v="5"/>
    <x v="0"/>
    <s v="125206345154"/>
    <n v="26306.1"/>
    <n v="9053317.5199999996"/>
  </r>
  <r>
    <x v="5"/>
    <x v="0"/>
    <s v="124660239475"/>
    <n v="7599.54"/>
    <n v="9060917.0600000005"/>
  </r>
  <r>
    <x v="5"/>
    <x v="0"/>
    <s v="124660482969"/>
    <n v="584.58000000000004"/>
    <n v="9061501.6400000006"/>
  </r>
  <r>
    <x v="5"/>
    <x v="0"/>
    <s v="124660671863"/>
    <n v="8378.98"/>
    <n v="9069880.6199999992"/>
  </r>
  <r>
    <x v="5"/>
    <x v="0"/>
    <s v="125208294382"/>
    <n v="37607.980000000003"/>
    <n v="9107488.5999999996"/>
  </r>
  <r>
    <x v="5"/>
    <x v="0"/>
    <s v="124662242795"/>
    <n v="37997.699999999997"/>
    <n v="9145486.3000000007"/>
  </r>
  <r>
    <x v="5"/>
    <x v="0"/>
    <s v="124662948695"/>
    <n v="26451.599999999999"/>
    <n v="9171937.9000000004"/>
  </r>
  <r>
    <x v="5"/>
    <x v="0"/>
    <s v="124663516767"/>
    <n v="33515.919999999998"/>
    <n v="9205453.8200000003"/>
  </r>
  <r>
    <x v="5"/>
    <x v="0"/>
    <s v="125210313878"/>
    <n v="8378.98"/>
    <n v="9213832.8000000007"/>
  </r>
  <r>
    <x v="5"/>
    <x v="0"/>
    <s v="125210580296"/>
    <n v="10327.58"/>
    <n v="9224160.3800000008"/>
  </r>
  <r>
    <x v="5"/>
    <x v="0"/>
    <s v="125210591466"/>
    <n v="43940.93"/>
    <n v="9268101.3100000005"/>
  </r>
  <r>
    <x v="5"/>
    <x v="45"/>
    <s v="125210624856"/>
    <n v="6622.93"/>
    <n v="9274724.2400000002"/>
  </r>
  <r>
    <x v="5"/>
    <x v="0"/>
    <s v="124664329219"/>
    <n v="28059.84"/>
    <n v="9302784.0800000001"/>
  </r>
  <r>
    <x v="5"/>
    <x v="0"/>
    <s v="124664940299"/>
    <n v="8281.5499999999993"/>
    <n v="9311065.6300000008"/>
  </r>
  <r>
    <x v="5"/>
    <x v="0"/>
    <s v="124664971085"/>
    <n v="53391.64"/>
    <n v="9364457.2699999996"/>
  </r>
  <r>
    <x v="5"/>
    <x v="0"/>
    <s v="124665395075"/>
    <n v="25884.78"/>
    <n v="9390342.0500000007"/>
  </r>
  <r>
    <x v="5"/>
    <x v="0"/>
    <s v="124665509203"/>
    <n v="43258.92"/>
    <n v="9433600.9700000007"/>
  </r>
  <r>
    <x v="5"/>
    <x v="0"/>
    <s v="125212296296"/>
    <n v="7599.54"/>
    <n v="9441200.5099999998"/>
  </r>
  <r>
    <x v="5"/>
    <x v="0"/>
    <s v="125212279366"/>
    <n v="8281.5499999999993"/>
    <n v="9449482.0600000005"/>
  </r>
  <r>
    <x v="5"/>
    <x v="0"/>
    <s v="124665912009"/>
    <n v="42284.62"/>
    <n v="9491766.6799999997"/>
  </r>
  <r>
    <x v="5"/>
    <x v="0"/>
    <s v="124666058581"/>
    <n v="33820.26"/>
    <n v="9525586.9399999995"/>
  </r>
  <r>
    <x v="5"/>
    <x v="0"/>
    <s v="125212465982"/>
    <n v="4189.49"/>
    <n v="9529776.4299999997"/>
  </r>
  <r>
    <x v="5"/>
    <x v="46"/>
    <s v="125212513170"/>
    <n v="210.48"/>
    <n v="9529986.9100000001"/>
  </r>
  <r>
    <x v="5"/>
    <x v="0"/>
    <s v="125212652108"/>
    <n v="38611.879999999997"/>
    <n v="9568598.7899999991"/>
  </r>
  <r>
    <x v="5"/>
    <x v="0"/>
    <s v="125213185822"/>
    <n v="14906.79"/>
    <n v="9583505.5800000001"/>
  </r>
  <r>
    <x v="5"/>
    <x v="0"/>
    <s v="124666970071"/>
    <n v="20362.87"/>
    <n v="9603868.4499999993"/>
  </r>
  <r>
    <x v="5"/>
    <x v="0"/>
    <s v="125213846894"/>
    <n v="11052.99"/>
    <n v="9614921.4399999995"/>
  </r>
  <r>
    <x v="5"/>
    <x v="0"/>
    <s v="125213889984"/>
    <n v="6820.1"/>
    <n v="9621741.5399999991"/>
  </r>
  <r>
    <x v="5"/>
    <x v="0"/>
    <s v="125214339204"/>
    <n v="33515.919999999998"/>
    <n v="9655257.4600000009"/>
  </r>
  <r>
    <x v="5"/>
    <x v="0"/>
    <s v="124667883929"/>
    <n v="79113.16"/>
    <n v="9734370.6199999992"/>
  </r>
  <r>
    <x v="5"/>
    <x v="0"/>
    <s v="125214441310"/>
    <n v="32639.05"/>
    <n v="9767009.6699999999"/>
  </r>
  <r>
    <x v="5"/>
    <x v="47"/>
    <s v="124667969775"/>
    <n v="1639.82"/>
    <n v="9768649.4900000002"/>
  </r>
  <r>
    <x v="5"/>
    <x v="0"/>
    <s v="124668378655"/>
    <n v="7368.66"/>
    <n v="9776018.1500000004"/>
  </r>
  <r>
    <x v="5"/>
    <x v="0"/>
    <s v="125215046740"/>
    <n v="8281.5499999999993"/>
    <n v="9784299.6999999993"/>
  </r>
  <r>
    <x v="5"/>
    <x v="0"/>
    <s v="125215388296"/>
    <n v="35854.239999999998"/>
    <n v="9820153.9399999995"/>
  </r>
  <r>
    <x v="5"/>
    <x v="48"/>
    <s v="125215309354"/>
    <n v="1801.36"/>
    <n v="9821955.3000000007"/>
  </r>
  <r>
    <x v="5"/>
    <x v="0"/>
    <s v="124668982491"/>
    <n v="48746.52"/>
    <n v="9870701.8200000003"/>
  </r>
  <r>
    <x v="5"/>
    <x v="0"/>
    <s v="124669082353"/>
    <n v="40055.279999999999"/>
    <n v="9910757.0999999996"/>
  </r>
  <r>
    <x v="5"/>
    <x v="0"/>
    <s v="124669045807"/>
    <n v="7599.54"/>
    <n v="9918356.6400000006"/>
  </r>
  <r>
    <x v="5"/>
    <x v="0"/>
    <s v="124669236361"/>
    <n v="2143.46"/>
    <n v="9920500.0999999996"/>
  </r>
  <r>
    <x v="6"/>
    <x v="0"/>
    <s v="125215868728"/>
    <n v="12107.94"/>
    <n v="9932608.0399999991"/>
  </r>
  <r>
    <x v="6"/>
    <x v="0"/>
    <s v="124669482349"/>
    <n v="8378.98"/>
    <n v="9940987.0199999996"/>
  </r>
  <r>
    <x v="6"/>
    <x v="0"/>
    <s v="125216045810"/>
    <n v="96170.46"/>
    <n v="10037157.48"/>
  </r>
  <r>
    <x v="6"/>
    <x v="0"/>
    <s v="125216200412"/>
    <n v="8281.5499999999993"/>
    <n v="10045439.029999999"/>
  </r>
  <r>
    <x v="6"/>
    <x v="0"/>
    <s v="124669988837"/>
    <n v="10327.58"/>
    <n v="10055766.609999999"/>
  </r>
  <r>
    <x v="6"/>
    <x v="0"/>
    <s v="124670059343"/>
    <n v="37023.4"/>
    <n v="10092790.01"/>
  </r>
  <r>
    <x v="6"/>
    <x v="49"/>
    <s v="125216496504"/>
    <n v="3720.2"/>
    <n v="10096510.210000001"/>
  </r>
  <r>
    <x v="6"/>
    <x v="0"/>
    <s v="124670247087"/>
    <n v="82133.490000000005"/>
    <n v="10178643.699999999"/>
  </r>
  <r>
    <x v="6"/>
    <x v="0"/>
    <s v="125216661736"/>
    <n v="56304.12"/>
    <n v="10234947.82"/>
  </r>
  <r>
    <x v="6"/>
    <x v="0"/>
    <s v="124670291781"/>
    <n v="4189.49"/>
    <n v="10239137.310000001"/>
  </r>
  <r>
    <x v="6"/>
    <x v="0"/>
    <s v="125216777826"/>
    <n v="113269.53"/>
    <n v="10352406.84"/>
  </r>
  <r>
    <x v="6"/>
    <x v="0"/>
    <s v="125217154744"/>
    <n v="8378.98"/>
    <n v="10360785.82"/>
  </r>
  <r>
    <x v="6"/>
    <x v="0"/>
    <s v="124670696413"/>
    <n v="8281.5499999999993"/>
    <n v="10369067.369999999"/>
  </r>
  <r>
    <x v="6"/>
    <x v="0"/>
    <s v="124670726623"/>
    <n v="4189.49"/>
    <n v="10373256.859999999"/>
  </r>
  <r>
    <x v="6"/>
    <x v="0"/>
    <s v="125217693384"/>
    <n v="14614.5"/>
    <n v="10387871.359999999"/>
  </r>
  <r>
    <x v="6"/>
    <x v="0"/>
    <s v="124671275577"/>
    <n v="33414.160000000003"/>
    <n v="10421285.52"/>
  </r>
  <r>
    <x v="6"/>
    <x v="0"/>
    <s v="124671527545"/>
    <n v="41700.04"/>
    <n v="10462985.560000001"/>
  </r>
  <r>
    <x v="6"/>
    <x v="50"/>
    <s v="124671562997"/>
    <n v="2095.06"/>
    <n v="10465080.619999999"/>
  </r>
  <r>
    <x v="6"/>
    <x v="0"/>
    <s v="124671860837"/>
    <n v="31762.18"/>
    <n v="10496842.800000001"/>
  </r>
  <r>
    <x v="6"/>
    <x v="51"/>
    <s v="125218223556"/>
    <n v="1595.77"/>
    <n v="10498438.57"/>
  </r>
  <r>
    <x v="6"/>
    <x v="0"/>
    <s v="125218410126"/>
    <n v="10522.44"/>
    <n v="10508961.01"/>
  </r>
  <r>
    <x v="6"/>
    <x v="0"/>
    <s v="125218795632"/>
    <n v="8313.36"/>
    <n v="10517274.369999999"/>
  </r>
  <r>
    <x v="6"/>
    <x v="0"/>
    <s v="124672504175"/>
    <n v="8573.84"/>
    <n v="10525848.210000001"/>
  </r>
  <r>
    <x v="6"/>
    <x v="0"/>
    <s v="124672534433"/>
    <n v="7599.54"/>
    <n v="10533447.75"/>
  </r>
  <r>
    <x v="6"/>
    <x v="0"/>
    <s v="125219129574"/>
    <n v="44622.94"/>
    <n v="10578070.689999999"/>
  </r>
  <r>
    <x v="6"/>
    <x v="0"/>
    <s v="125219203876"/>
    <n v="8378.98"/>
    <n v="10586449.67"/>
  </r>
  <r>
    <x v="6"/>
    <x v="0"/>
    <s v="125219233532"/>
    <n v="5553.51"/>
    <n v="10592003.18"/>
  </r>
  <r>
    <x v="6"/>
    <x v="52"/>
    <s v="124672793343"/>
    <n v="279.01"/>
    <n v="10592282.189999999"/>
  </r>
  <r>
    <x v="6"/>
    <x v="0"/>
    <s v="125219980312"/>
    <n v="53196.78"/>
    <n v="10645478.970000001"/>
  </r>
  <r>
    <x v="6"/>
    <x v="0"/>
    <s v="125219899446"/>
    <n v="6820.1"/>
    <n v="10652299.07"/>
  </r>
  <r>
    <x v="6"/>
    <x v="0"/>
    <s v="125220021668"/>
    <n v="8378.98"/>
    <n v="10660678.050000001"/>
  </r>
  <r>
    <x v="6"/>
    <x v="0"/>
    <s v="124673710401"/>
    <n v="30687.02"/>
    <n v="10691365.07"/>
  </r>
  <r>
    <x v="6"/>
    <x v="0"/>
    <s v="125220339680"/>
    <n v="6820.1"/>
    <n v="10698185.17"/>
  </r>
  <r>
    <x v="6"/>
    <x v="0"/>
    <s v="124673905673"/>
    <n v="4871.5"/>
    <n v="10703056.67"/>
  </r>
  <r>
    <x v="6"/>
    <x v="53"/>
    <s v="125220439184"/>
    <n v="244.75"/>
    <n v="10703301.42"/>
  </r>
  <r>
    <x v="6"/>
    <x v="0"/>
    <s v="124673995833"/>
    <n v="25039.51"/>
    <n v="10728340.93"/>
  </r>
  <r>
    <x v="6"/>
    <x v="0"/>
    <s v="124674256535"/>
    <n v="4871.5"/>
    <n v="10733212.43"/>
  </r>
  <r>
    <x v="6"/>
    <x v="0"/>
    <s v="124675042795"/>
    <n v="48617.57"/>
    <n v="10781830"/>
  </r>
  <r>
    <x v="6"/>
    <x v="0"/>
    <s v="124675009187"/>
    <n v="17927.12"/>
    <n v="10799757.119999999"/>
  </r>
  <r>
    <x v="6"/>
    <x v="0"/>
    <s v="124675558175"/>
    <n v="24649.79"/>
    <n v="10824406.91"/>
  </r>
  <r>
    <x v="6"/>
    <x v="0"/>
    <s v="124675646391"/>
    <n v="4871.5"/>
    <n v="10829278.41"/>
  </r>
  <r>
    <x v="6"/>
    <x v="0"/>
    <s v="124675934201"/>
    <n v="8963.56"/>
    <n v="10838241.970000001"/>
  </r>
  <r>
    <x v="6"/>
    <x v="0"/>
    <s v="125222462618"/>
    <n v="6820.1"/>
    <n v="10845062.07"/>
  </r>
  <r>
    <x v="6"/>
    <x v="0"/>
    <s v="125222388040"/>
    <n v="54887.07"/>
    <n v="10899949.140000001"/>
  </r>
  <r>
    <x v="6"/>
    <x v="0"/>
    <s v="125222877250"/>
    <n v="10327.58"/>
    <n v="10910276.720000001"/>
  </r>
  <r>
    <x v="6"/>
    <x v="0"/>
    <s v="124676648481"/>
    <n v="60539.7"/>
    <n v="10970816.42"/>
  </r>
  <r>
    <x v="6"/>
    <x v="0"/>
    <s v="125223208832"/>
    <n v="14614.5"/>
    <n v="10985430.92"/>
  </r>
  <r>
    <x v="6"/>
    <x v="0"/>
    <s v="125223266490"/>
    <n v="8974.65"/>
    <n v="10994405.57"/>
  </r>
  <r>
    <x v="6"/>
    <x v="0"/>
    <s v="125223478166"/>
    <n v="20555.34"/>
    <n v="11014960.91"/>
  </r>
  <r>
    <x v="6"/>
    <x v="0"/>
    <s v="124677058353"/>
    <n v="44873.25"/>
    <n v="11059834.16"/>
  </r>
  <r>
    <x v="6"/>
    <x v="0"/>
    <s v="125223493470"/>
    <n v="8378.98"/>
    <n v="11068213.140000001"/>
  </r>
  <r>
    <x v="6"/>
    <x v="0"/>
    <s v="125223606328"/>
    <n v="143800.22"/>
    <n v="11212013.359999999"/>
  </r>
  <r>
    <x v="6"/>
    <x v="0"/>
    <s v="124677107387"/>
    <n v="21532.03"/>
    <n v="11233545.390000001"/>
  </r>
  <r>
    <x v="6"/>
    <x v="0"/>
    <s v="124677077767"/>
    <n v="12092.16"/>
    <n v="11245637.550000001"/>
  </r>
  <r>
    <x v="6"/>
    <x v="0"/>
    <s v="124677103773"/>
    <n v="7014.96"/>
    <n v="11252652.51"/>
  </r>
  <r>
    <x v="6"/>
    <x v="0"/>
    <s v="124749410821"/>
    <n v="8378.98"/>
    <n v="11261031.49"/>
  </r>
  <r>
    <x v="6"/>
    <x v="0"/>
    <s v="124751640007"/>
    <n v="44233.22"/>
    <n v="11305264.710000001"/>
  </r>
  <r>
    <x v="6"/>
    <x v="0"/>
    <s v="125298883468"/>
    <n v="10717.3"/>
    <n v="11315982.01"/>
  </r>
  <r>
    <x v="6"/>
    <x v="0"/>
    <s v="124752111709"/>
    <n v="8378.98"/>
    <n v="11324360.99"/>
  </r>
  <r>
    <x v="6"/>
    <x v="0"/>
    <s v="125300953476"/>
    <n v="29191.23"/>
    <n v="11353552.220000001"/>
  </r>
  <r>
    <x v="6"/>
    <x v="0"/>
    <s v="124754527205"/>
    <n v="46766.400000000001"/>
    <n v="11400318.619999999"/>
  </r>
  <r>
    <x v="6"/>
    <x v="45"/>
    <s v="124754626261"/>
    <n v="4699.2"/>
    <n v="11405017.82"/>
  </r>
  <r>
    <x v="6"/>
    <x v="0"/>
    <s v="124755105423"/>
    <n v="16757.96"/>
    <n v="11421775.779999999"/>
  </r>
  <r>
    <x v="6"/>
    <x v="0"/>
    <s v="124756307845"/>
    <n v="20850.02"/>
    <n v="11442625.800000001"/>
  </r>
  <r>
    <x v="6"/>
    <x v="0"/>
    <s v="124756676035"/>
    <n v="31859.61"/>
    <n v="11474485.41"/>
  </r>
  <r>
    <x v="6"/>
    <x v="0"/>
    <s v="125304841170"/>
    <n v="74826.240000000005"/>
    <n v="11549311.65"/>
  </r>
  <r>
    <x v="6"/>
    <x v="0"/>
    <s v="125305682512"/>
    <n v="98306.87"/>
    <n v="11647618.52"/>
  </r>
  <r>
    <x v="6"/>
    <x v="0"/>
    <s v="124759575161"/>
    <n v="18073.259999999998"/>
    <n v="11665691.779999999"/>
  </r>
  <r>
    <x v="6"/>
    <x v="0"/>
    <s v="124760077545"/>
    <n v="34292.61"/>
    <n v="11699984.390000001"/>
  </r>
  <r>
    <x v="6"/>
    <x v="0"/>
    <s v="124760717875"/>
    <n v="27864.98"/>
    <n v="11727849.369999999"/>
  </r>
  <r>
    <x v="6"/>
    <x v="0"/>
    <s v="125307583524"/>
    <n v="46084.39"/>
    <n v="11773933.76"/>
  </r>
  <r>
    <x v="6"/>
    <x v="0"/>
    <s v="125307924448"/>
    <n v="35367.089999999997"/>
    <n v="11809300.85"/>
  </r>
  <r>
    <x v="6"/>
    <x v="0"/>
    <s v="124761305099"/>
    <n v="39459.15"/>
    <n v="11848760"/>
  </r>
  <r>
    <x v="6"/>
    <x v="0"/>
    <s v="124761974987"/>
    <n v="66771.3"/>
    <n v="11915531.300000001"/>
  </r>
  <r>
    <x v="6"/>
    <x v="0"/>
    <s v="124762161923"/>
    <n v="36843.300000000003"/>
    <n v="11952374.6"/>
  </r>
  <r>
    <x v="6"/>
    <x v="0"/>
    <s v="124762404115"/>
    <n v="9541.4699999999993"/>
    <n v="11961916.07"/>
  </r>
  <r>
    <x v="6"/>
    <x v="0"/>
    <s v="125309426696"/>
    <n v="23675.49"/>
    <n v="11985591.560000001"/>
  </r>
  <r>
    <x v="6"/>
    <x v="0"/>
    <s v="124762545723"/>
    <n v="115640.15"/>
    <n v="12101231.710000001"/>
  </r>
  <r>
    <x v="6"/>
    <x v="0"/>
    <s v="125311350634"/>
    <n v="29852.52"/>
    <n v="12131084.23"/>
  </r>
  <r>
    <x v="6"/>
    <x v="0"/>
    <s v="125311407008"/>
    <n v="5553.51"/>
    <n v="12136637.74"/>
  </r>
  <r>
    <x v="6"/>
    <x v="54"/>
    <s v="125311377394"/>
    <n v="837.04"/>
    <n v="12137474.779999999"/>
  </r>
  <r>
    <x v="7"/>
    <x v="0"/>
    <s v="124767314759"/>
    <n v="32833.910000000003"/>
    <n v="12170308.689999999"/>
  </r>
  <r>
    <x v="7"/>
    <x v="55"/>
    <s v="124767259737"/>
    <n v="3299.23"/>
    <n v="12173607.92"/>
  </r>
  <r>
    <x v="7"/>
    <x v="0"/>
    <s v="124767413713"/>
    <n v="9743"/>
    <n v="12183350.92"/>
  </r>
  <r>
    <x v="7"/>
    <x v="0"/>
    <s v="124767429929"/>
    <n v="69272.73"/>
    <n v="12252623.65"/>
  </r>
  <r>
    <x v="7"/>
    <x v="0"/>
    <s v="125314451784"/>
    <n v="14127.35"/>
    <n v="12266751"/>
  </r>
  <r>
    <x v="7"/>
    <x v="0"/>
    <s v="124768684947"/>
    <n v="18998.849999999999"/>
    <n v="12285749.85"/>
  </r>
  <r>
    <x v="7"/>
    <x v="0"/>
    <s v="125315557302"/>
    <n v="7599.54"/>
    <n v="12293349.390000001"/>
  </r>
  <r>
    <x v="7"/>
    <x v="56"/>
    <s v="125315565192"/>
    <n v="763.62"/>
    <n v="12294113.01"/>
  </r>
  <r>
    <x v="7"/>
    <x v="5"/>
    <s v="125360500974"/>
    <n v="-270624.43"/>
    <n v="12023488.58"/>
  </r>
  <r>
    <x v="7"/>
    <x v="4"/>
    <s v="125360500974"/>
    <n v="-1623.75"/>
    <n v="12021864.83"/>
  </r>
  <r>
    <x v="7"/>
    <x v="57"/>
    <s v="124814220147"/>
    <n v="-991916"/>
    <n v="11029948.83"/>
  </r>
  <r>
    <x v="7"/>
    <x v="6"/>
    <s v="125365649906"/>
    <n v="-90268.38"/>
    <n v="10939680.449999999"/>
  </r>
  <r>
    <x v="7"/>
    <x v="58"/>
    <s v="125385837094"/>
    <n v="-261840.61"/>
    <n v="10677839.84"/>
  </r>
  <r>
    <x v="7"/>
    <x v="4"/>
    <s v="125385837094"/>
    <n v="-1571.04"/>
    <n v="10676268.800000001"/>
  </r>
  <r>
    <x v="7"/>
    <x v="3"/>
    <s v="125391966586"/>
    <n v="-95058.37"/>
    <n v="10581210.43"/>
  </r>
  <r>
    <x v="7"/>
    <x v="4"/>
    <s v="125391966586"/>
    <n v="-570.35"/>
    <n v="10580640.08"/>
  </r>
  <r>
    <x v="7"/>
    <x v="57"/>
    <s v="125402462672"/>
    <n v="-1861502.4"/>
    <n v="8719137.6799999997"/>
  </r>
  <r>
    <x v="8"/>
    <x v="59"/>
    <s v="125490840846"/>
    <n v="-155963.28"/>
    <n v="8563174.4000000004"/>
  </r>
  <r>
    <x v="8"/>
    <x v="4"/>
    <s v="125490840846"/>
    <n v="-935.78"/>
    <n v="8562238.6199999992"/>
  </r>
  <r>
    <x v="9"/>
    <x v="13"/>
    <s v="125128178537"/>
    <n v="-289725.05"/>
    <n v="8272513.5700000003"/>
  </r>
  <r>
    <x v="9"/>
    <x v="4"/>
    <s v="125128178537"/>
    <n v="-1738.35"/>
    <n v="8270775.2199999997"/>
  </r>
  <r>
    <x v="9"/>
    <x v="0"/>
    <s v="125152888873"/>
    <n v="6820.1"/>
    <n v="8277595.3200000003"/>
  </r>
  <r>
    <x v="9"/>
    <x v="0"/>
    <s v="125156581215"/>
    <n v="7794.4"/>
    <n v="8285389.7199999997"/>
  </r>
  <r>
    <x v="9"/>
    <x v="0"/>
    <s v="125707492856"/>
    <n v="14029.92"/>
    <n v="8299419.6399999997"/>
  </r>
  <r>
    <x v="9"/>
    <x v="0"/>
    <s v="125709845758"/>
    <n v="15978.52"/>
    <n v="8315398.1600000001"/>
  </r>
  <r>
    <x v="9"/>
    <x v="0"/>
    <s v="125161425019"/>
    <n v="17050.25"/>
    <n v="8332448.4100000001"/>
  </r>
  <r>
    <x v="9"/>
    <x v="0"/>
    <s v="125712931478"/>
    <n v="5163.79"/>
    <n v="8337612.2000000002"/>
  </r>
  <r>
    <x v="9"/>
    <x v="60"/>
    <s v="125164003625"/>
    <n v="259.43"/>
    <n v="8337871.6299999999"/>
  </r>
  <r>
    <x v="9"/>
    <x v="0"/>
    <s v="125167691185"/>
    <n v="14359.44"/>
    <n v="8352231.0700000003"/>
  </r>
  <r>
    <x v="9"/>
    <x v="0"/>
    <s v="125168194775"/>
    <n v="14419.64"/>
    <n v="8366650.71"/>
  </r>
  <r>
    <x v="9"/>
    <x v="0"/>
    <s v="125719555728"/>
    <n v="9742.99"/>
    <n v="8376393.7000000002"/>
  </r>
  <r>
    <x v="9"/>
    <x v="0"/>
    <s v="125721391454"/>
    <n v="9548.14"/>
    <n v="8385941.8399999999"/>
  </r>
  <r>
    <x v="9"/>
    <x v="13"/>
    <s v="125720603672"/>
    <n v="-112686.88"/>
    <n v="8273254.96"/>
  </r>
  <r>
    <x v="9"/>
    <x v="4"/>
    <s v="125720603672"/>
    <n v="-676.12"/>
    <n v="8272578.8399999999"/>
  </r>
  <r>
    <x v="9"/>
    <x v="0"/>
    <s v="125173149657"/>
    <n v="42186.22"/>
    <n v="8314765.0599999996"/>
  </r>
  <r>
    <x v="9"/>
    <x v="0"/>
    <s v="125174559711"/>
    <n v="28644.42"/>
    <n v="8343409.4800000004"/>
  </r>
  <r>
    <x v="9"/>
    <x v="61"/>
    <s v="125174633141"/>
    <n v="1439.13"/>
    <n v="8344848.6100000003"/>
  </r>
  <r>
    <x v="9"/>
    <x v="0"/>
    <s v="125723665590"/>
    <n v="33158.97"/>
    <n v="8378007.5800000001"/>
  </r>
  <r>
    <x v="9"/>
    <x v="0"/>
    <s v="125174877007"/>
    <n v="50027.19"/>
    <n v="8428034.7699999996"/>
  </r>
  <r>
    <x v="9"/>
    <x v="0"/>
    <s v="125726480542"/>
    <n v="4629.03"/>
    <n v="8432663.8000000007"/>
  </r>
  <r>
    <x v="9"/>
    <x v="0"/>
    <s v="125726680184"/>
    <n v="28155.32"/>
    <n v="8460819.1199999992"/>
  </r>
  <r>
    <x v="9"/>
    <x v="62"/>
    <s v="125177663781"/>
    <n v="1413.68"/>
    <n v="8462232.8000000007"/>
  </r>
  <r>
    <x v="9"/>
    <x v="0"/>
    <s v="125177806895"/>
    <n v="35756.81"/>
    <n v="8497989.6099999994"/>
  </r>
  <r>
    <x v="9"/>
    <x v="0"/>
    <s v="125178836433"/>
    <n v="29033.17"/>
    <n v="8527022.7799999993"/>
  </r>
  <r>
    <x v="9"/>
    <x v="0"/>
    <s v="125727987474"/>
    <n v="1851.17"/>
    <n v="8528873.9499999993"/>
  </r>
  <r>
    <x v="9"/>
    <x v="0"/>
    <s v="125728029628"/>
    <n v="35853.269999999997"/>
    <n v="8564727.2200000007"/>
  </r>
  <r>
    <x v="9"/>
    <x v="0"/>
    <s v="125728164766"/>
    <n v="19484.05"/>
    <n v="8584211.2699999996"/>
  </r>
  <r>
    <x v="9"/>
    <x v="0"/>
    <s v="125728223328"/>
    <n v="39845.949999999997"/>
    <n v="8624057.2200000007"/>
  </r>
  <r>
    <x v="9"/>
    <x v="63"/>
    <s v="125728255084"/>
    <n v="2001.08"/>
    <n v="8626058.3000000007"/>
  </r>
  <r>
    <x v="9"/>
    <x v="0"/>
    <s v="125179482645"/>
    <n v="59140.01"/>
    <n v="8685198.3100000005"/>
  </r>
  <r>
    <x v="9"/>
    <x v="0"/>
    <s v="125728703810"/>
    <n v="38968.1"/>
    <n v="8724166.4100000001"/>
  </r>
  <r>
    <x v="9"/>
    <x v="0"/>
    <s v="125729220164"/>
    <n v="27572.69"/>
    <n v="8751739.0999999996"/>
  </r>
  <r>
    <x v="9"/>
    <x v="64"/>
    <s v="125729182866"/>
    <n v="1385.28"/>
    <n v="8753124.3800000008"/>
  </r>
  <r>
    <x v="9"/>
    <x v="0"/>
    <s v="125729208924"/>
    <n v="42794.91"/>
    <n v="8795919.2899999991"/>
  </r>
  <r>
    <x v="9"/>
    <x v="0"/>
    <s v="125729858142"/>
    <n v="40628.31"/>
    <n v="8836547.5999999996"/>
  </r>
  <r>
    <x v="9"/>
    <x v="0"/>
    <s v="125730284306"/>
    <n v="50563.25"/>
    <n v="8887110.8499999996"/>
  </r>
  <r>
    <x v="10"/>
    <x v="0"/>
    <s v="125730630344"/>
    <n v="16757.96"/>
    <n v="8903868.8100000005"/>
  </r>
  <r>
    <x v="10"/>
    <x v="0"/>
    <s v="125730938612"/>
    <n v="90022.399999999994"/>
    <n v="8993891.2100000009"/>
  </r>
  <r>
    <x v="10"/>
    <x v="0"/>
    <s v="125182282317"/>
    <n v="63324.63"/>
    <n v="9057215.8399999999"/>
  </r>
  <r>
    <x v="10"/>
    <x v="65"/>
    <s v="125731139762"/>
    <n v="6362.52"/>
    <n v="9063578.3599999994"/>
  </r>
  <r>
    <x v="10"/>
    <x v="0"/>
    <s v="125182469271"/>
    <n v="18892.11"/>
    <n v="9082470.4700000007"/>
  </r>
  <r>
    <x v="10"/>
    <x v="0"/>
    <s v="125182626663"/>
    <n v="33513.97"/>
    <n v="9115984.4399999995"/>
  </r>
  <r>
    <x v="10"/>
    <x v="0"/>
    <s v="125731690258"/>
    <n v="40930.81"/>
    <n v="9156915.25"/>
  </r>
  <r>
    <x v="10"/>
    <x v="0"/>
    <s v="125732575486"/>
    <n v="34763.07"/>
    <n v="9191678.3200000003"/>
  </r>
  <r>
    <x v="10"/>
    <x v="0"/>
    <s v="125732657942"/>
    <n v="61184.09"/>
    <n v="9252862.4100000001"/>
  </r>
  <r>
    <x v="10"/>
    <x v="0"/>
    <s v="125734498538"/>
    <n v="5163.79"/>
    <n v="9258026.1999999993"/>
  </r>
  <r>
    <x v="10"/>
    <x v="66"/>
    <s v="125185385327"/>
    <n v="259.43"/>
    <n v="9258285.6300000008"/>
  </r>
  <r>
    <x v="10"/>
    <x v="0"/>
    <s v="125734695008"/>
    <n v="26829.48"/>
    <n v="9285115.1099999994"/>
  </r>
  <r>
    <x v="10"/>
    <x v="0"/>
    <s v="125186162773"/>
    <n v="10327.58"/>
    <n v="9295442.6899999995"/>
  </r>
  <r>
    <x v="10"/>
    <x v="0"/>
    <s v="125186206585"/>
    <n v="27280.400000000001"/>
    <n v="9322723.0899999999"/>
  </r>
  <r>
    <x v="10"/>
    <x v="0"/>
    <s v="125186249815"/>
    <n v="29229"/>
    <n v="9351952.0899999999"/>
  </r>
  <r>
    <x v="10"/>
    <x v="0"/>
    <s v="125186455061"/>
    <n v="17634.830000000002"/>
    <n v="9369586.9199999999"/>
  </r>
  <r>
    <x v="10"/>
    <x v="0"/>
    <s v="125735533144"/>
    <n v="15199.08"/>
    <n v="9384786"/>
  </r>
  <r>
    <x v="10"/>
    <x v="0"/>
    <s v="125735529498"/>
    <n v="7794.4"/>
    <n v="9392580.4000000004"/>
  </r>
  <r>
    <x v="10"/>
    <x v="0"/>
    <s v="125735896318"/>
    <n v="36536.25"/>
    <n v="9429116.6500000004"/>
  </r>
  <r>
    <x v="10"/>
    <x v="67"/>
    <s v="125186681353"/>
    <n v="3671.25"/>
    <n v="9432787.9000000004"/>
  </r>
  <r>
    <x v="10"/>
    <x v="68"/>
    <s v="2350344890"/>
    <n v="-25262.46"/>
    <n v="9407525.4399999995"/>
  </r>
  <r>
    <x v="10"/>
    <x v="12"/>
    <s v="125773059124"/>
    <n v="-114709.15"/>
    <n v="9292816.2899999991"/>
  </r>
  <r>
    <x v="10"/>
    <x v="12"/>
    <s v="125773107440"/>
    <n v="-216818.15"/>
    <n v="9075998.1400000006"/>
  </r>
  <r>
    <x v="10"/>
    <x v="9"/>
    <s v="125774258702"/>
    <n v="-446172.78"/>
    <n v="8629825.3599999994"/>
  </r>
  <r>
    <x v="10"/>
    <x v="19"/>
    <s v="125778500554"/>
    <n v="-239272.74"/>
    <n v="8390552.6199999992"/>
  </r>
  <r>
    <x v="10"/>
    <x v="4"/>
    <s v="125778500554"/>
    <n v="-1435.64"/>
    <n v="8389116.9800000004"/>
  </r>
  <r>
    <x v="10"/>
    <x v="19"/>
    <s v="125778419104"/>
    <n v="-188402.5"/>
    <n v="8200714.4800000004"/>
  </r>
  <r>
    <x v="10"/>
    <x v="4"/>
    <s v="125778419104"/>
    <n v="-1130.42"/>
    <n v="8199584.0599999996"/>
  </r>
  <r>
    <x v="10"/>
    <x v="11"/>
    <s v="125232960111"/>
    <n v="-33241"/>
    <n v="8166343.0599999996"/>
  </r>
  <r>
    <x v="10"/>
    <x v="4"/>
    <s v="125232960111"/>
    <n v="-199.45"/>
    <n v="8166143.6100000003"/>
  </r>
  <r>
    <x v="10"/>
    <x v="11"/>
    <s v="125232161173"/>
    <n v="-450508.26"/>
    <n v="7715635.3499999996"/>
  </r>
  <r>
    <x v="10"/>
    <x v="4"/>
    <s v="125232161173"/>
    <n v="-2703.05"/>
    <n v="7712932.2999999998"/>
  </r>
  <r>
    <x v="10"/>
    <x v="69"/>
    <s v="125259476811"/>
    <n v="-162750"/>
    <n v="7550182.2999999998"/>
  </r>
  <r>
    <x v="10"/>
    <x v="4"/>
    <s v="125259476811"/>
    <n v="-976.5"/>
    <n v="7549205.7999999998"/>
  </r>
  <r>
    <x v="10"/>
    <x v="0"/>
    <s v="125296798273"/>
    <n v="8184.12"/>
    <n v="7557389.9199999999"/>
  </r>
  <r>
    <x v="10"/>
    <x v="0"/>
    <s v="125846766732"/>
    <n v="10717.3"/>
    <n v="7568107.2199999997"/>
  </r>
  <r>
    <x v="10"/>
    <x v="70"/>
    <s v="125297082869"/>
    <n v="538.45000000000005"/>
    <n v="7568645.6699999999"/>
  </r>
  <r>
    <x v="10"/>
    <x v="0"/>
    <s v="125847517582"/>
    <n v="22408.9"/>
    <n v="7591054.5700000003"/>
  </r>
  <r>
    <x v="10"/>
    <x v="0"/>
    <s v="125298516019"/>
    <n v="33914.730000000003"/>
    <n v="7624969.2999999998"/>
  </r>
  <r>
    <x v="10"/>
    <x v="0"/>
    <s v="125851439308"/>
    <n v="8378.98"/>
    <n v="7633348.2800000003"/>
  </r>
  <r>
    <x v="10"/>
    <x v="0"/>
    <s v="125851618468"/>
    <n v="4189.49"/>
    <n v="7637537.7699999996"/>
  </r>
  <r>
    <x v="10"/>
    <x v="0"/>
    <s v="125302111081"/>
    <n v="6820.1"/>
    <n v="7644357.8700000001"/>
  </r>
  <r>
    <x v="10"/>
    <x v="0"/>
    <s v="125852041418"/>
    <n v="4062.21"/>
    <n v="7648420.0800000001"/>
  </r>
  <r>
    <x v="10"/>
    <x v="0"/>
    <s v="125852449818"/>
    <n v="3410.05"/>
    <n v="7651830.1299999999"/>
  </r>
  <r>
    <x v="10"/>
    <x v="71"/>
    <s v="125852501254"/>
    <n v="513.97"/>
    <n v="7652344.0999999996"/>
  </r>
  <r>
    <x v="10"/>
    <x v="0"/>
    <s v="125852727536"/>
    <n v="28341"/>
    <n v="7680685.0999999996"/>
  </r>
  <r>
    <x v="10"/>
    <x v="0"/>
    <s v="125853449760"/>
    <n v="8322.2199999999993"/>
    <n v="7689007.3200000003"/>
  </r>
  <r>
    <x v="10"/>
    <x v="0"/>
    <s v="125304094253"/>
    <n v="3799.77"/>
    <n v="7692807.0899999999"/>
  </r>
  <r>
    <x v="10"/>
    <x v="0"/>
    <s v="125304141263"/>
    <n v="21337.17"/>
    <n v="7714144.2599999998"/>
  </r>
  <r>
    <x v="10"/>
    <x v="0"/>
    <s v="125304398269"/>
    <n v="26964.63"/>
    <n v="7741108.8899999997"/>
  </r>
  <r>
    <x v="10"/>
    <x v="0"/>
    <s v="125854396652"/>
    <n v="20594.46"/>
    <n v="7761703.3499999996"/>
  </r>
  <r>
    <x v="10"/>
    <x v="0"/>
    <s v="125305225765"/>
    <n v="2143.46"/>
    <n v="7763846.8099999996"/>
  </r>
  <r>
    <x v="10"/>
    <x v="0"/>
    <s v="125855330618"/>
    <n v="53489.07"/>
    <n v="7817335.8799999999"/>
  </r>
  <r>
    <x v="10"/>
    <x v="0"/>
    <s v="125855413332"/>
    <n v="7368.66"/>
    <n v="7824704.54"/>
  </r>
  <r>
    <x v="10"/>
    <x v="0"/>
    <s v="125306671969"/>
    <n v="17551.82"/>
    <n v="7842256.3600000003"/>
  </r>
  <r>
    <x v="10"/>
    <x v="0"/>
    <s v="125307224295"/>
    <n v="4189.49"/>
    <n v="7846445.8499999996"/>
  </r>
  <r>
    <x v="10"/>
    <x v="0"/>
    <s v="125307313189"/>
    <n v="4189.49"/>
    <n v="7850635.3399999999"/>
  </r>
  <r>
    <x v="10"/>
    <x v="0"/>
    <s v="125307881689"/>
    <n v="4189.49"/>
    <n v="7854824.8300000001"/>
  </r>
  <r>
    <x v="10"/>
    <x v="0"/>
    <s v="125858046938"/>
    <n v="8378.98"/>
    <n v="7863203.8099999996"/>
  </r>
  <r>
    <x v="10"/>
    <x v="0"/>
    <s v="125858321940"/>
    <n v="8573.84"/>
    <n v="7871777.6500000004"/>
  </r>
  <r>
    <x v="10"/>
    <x v="0"/>
    <s v="125858862480"/>
    <n v="5163.79"/>
    <n v="7876941.4400000004"/>
  </r>
  <r>
    <x v="10"/>
    <x v="72"/>
    <s v="125858898284"/>
    <n v="259.43"/>
    <n v="7877200.8700000001"/>
  </r>
  <r>
    <x v="10"/>
    <x v="0"/>
    <s v="125860218818"/>
    <n v="27670.12"/>
    <n v="7904870.9900000002"/>
  </r>
  <r>
    <x v="10"/>
    <x v="73"/>
    <s v="125860256390"/>
    <n v="1390.18"/>
    <n v="7906261.1699999999"/>
  </r>
  <r>
    <x v="10"/>
    <x v="0"/>
    <s v="125860330268"/>
    <n v="4189.49"/>
    <n v="7910450.6600000001"/>
  </r>
  <r>
    <x v="10"/>
    <x v="0"/>
    <s v="125860494178"/>
    <n v="4871.5"/>
    <n v="7915322.1600000001"/>
  </r>
  <r>
    <x v="10"/>
    <x v="0"/>
    <s v="125310911019"/>
    <n v="4189.49"/>
    <n v="7919511.6500000004"/>
  </r>
  <r>
    <x v="10"/>
    <x v="0"/>
    <s v="125311241119"/>
    <n v="8378.98"/>
    <n v="7927890.6299999999"/>
  </r>
  <r>
    <x v="10"/>
    <x v="0"/>
    <s v="125311773883"/>
    <n v="18121.98"/>
    <n v="7946012.6100000003"/>
  </r>
  <r>
    <x v="10"/>
    <x v="0"/>
    <s v="125862584570"/>
    <n v="81548.91"/>
    <n v="8027561.5199999996"/>
  </r>
  <r>
    <x v="10"/>
    <x v="0"/>
    <s v="125312890421"/>
    <n v="18043.77"/>
    <n v="8045605.29"/>
  </r>
  <r>
    <x v="10"/>
    <x v="0"/>
    <s v="125862675902"/>
    <n v="12710.6"/>
    <n v="8058315.8899999997"/>
  </r>
  <r>
    <x v="10"/>
    <x v="0"/>
    <s v="125863448486"/>
    <n v="23480.63"/>
    <n v="8081796.5199999996"/>
  </r>
  <r>
    <x v="10"/>
    <x v="74"/>
    <s v="125313726111"/>
    <n v="1179.69"/>
    <n v="8082976.21"/>
  </r>
  <r>
    <x v="10"/>
    <x v="0"/>
    <s v="125314398803"/>
    <n v="30982.74"/>
    <n v="8113958.9500000002"/>
  </r>
  <r>
    <x v="10"/>
    <x v="0"/>
    <s v="125864492262"/>
    <n v="13932.49"/>
    <n v="8127891.4400000004"/>
  </r>
  <r>
    <x v="10"/>
    <x v="0"/>
    <s v="125864705876"/>
    <n v="8124.42"/>
    <n v="8136015.8600000003"/>
  </r>
  <r>
    <x v="10"/>
    <x v="0"/>
    <s v="125864911030"/>
    <n v="17439.97"/>
    <n v="8153455.8300000001"/>
  </r>
  <r>
    <x v="10"/>
    <x v="0"/>
    <s v="125315241639"/>
    <n v="27280.400000000001"/>
    <n v="8180736.2300000004"/>
  </r>
  <r>
    <x v="10"/>
    <x v="0"/>
    <s v="125315401565"/>
    <n v="8071.96"/>
    <n v="8188808.1900000004"/>
  </r>
  <r>
    <x v="10"/>
    <x v="0"/>
    <s v="125315415565"/>
    <n v="54755.66"/>
    <n v="8243563.8499999996"/>
  </r>
  <r>
    <x v="10"/>
    <x v="0"/>
    <s v="125315541627"/>
    <n v="12471.04"/>
    <n v="8256034.8899999997"/>
  </r>
  <r>
    <x v="10"/>
    <x v="0"/>
    <s v="125865477358"/>
    <n v="15199.08"/>
    <n v="8271233.9699999997"/>
  </r>
  <r>
    <x v="10"/>
    <x v="0"/>
    <s v="125865630514"/>
    <n v="6820.1"/>
    <n v="8278054.0700000003"/>
  </r>
  <r>
    <x v="11"/>
    <x v="0"/>
    <s v="125865890526"/>
    <n v="16368.24"/>
    <n v="8294422.3099999996"/>
  </r>
  <r>
    <x v="11"/>
    <x v="0"/>
    <s v="125866469482"/>
    <n v="13542.77"/>
    <n v="8307965.0800000001"/>
  </r>
  <r>
    <x v="11"/>
    <x v="0"/>
    <s v="125316809887"/>
    <n v="8378.98"/>
    <n v="8316344.0599999996"/>
  </r>
  <r>
    <x v="11"/>
    <x v="0"/>
    <s v="125317118715"/>
    <n v="3799.77"/>
    <n v="8320143.8300000001"/>
  </r>
  <r>
    <x v="11"/>
    <x v="0"/>
    <s v="125317119521"/>
    <n v="35127.51"/>
    <n v="8355271.3399999999"/>
  </r>
  <r>
    <x v="11"/>
    <x v="0"/>
    <s v="125317739121"/>
    <n v="4189.49"/>
    <n v="8359460.8300000001"/>
  </r>
  <r>
    <x v="11"/>
    <x v="0"/>
    <s v="125867689614"/>
    <n v="28644.42"/>
    <n v="8388105.25"/>
  </r>
  <r>
    <x v="11"/>
    <x v="0"/>
    <s v="125318140511"/>
    <n v="14614.5"/>
    <n v="8402719.75"/>
  </r>
  <r>
    <x v="11"/>
    <x v="0"/>
    <s v="125318227505"/>
    <n v="8378.98"/>
    <n v="8411098.7300000004"/>
  </r>
  <r>
    <x v="11"/>
    <x v="0"/>
    <s v="125868254842"/>
    <n v="8378.98"/>
    <n v="8419477.7100000009"/>
  </r>
  <r>
    <x v="11"/>
    <x v="0"/>
    <s v="125318560667"/>
    <n v="29911.01"/>
    <n v="8449388.7200000007"/>
  </r>
  <r>
    <x v="11"/>
    <x v="0"/>
    <s v="125868559084"/>
    <n v="37413.120000000003"/>
    <n v="8486801.8399999999"/>
  </r>
  <r>
    <x v="11"/>
    <x v="0"/>
    <s v="125318831565"/>
    <n v="16660.53"/>
    <n v="8503462.3699999992"/>
  </r>
  <r>
    <x v="11"/>
    <x v="0"/>
    <s v="125319036607"/>
    <n v="12568.47"/>
    <n v="8516030.8399999999"/>
  </r>
  <r>
    <x v="11"/>
    <x v="0"/>
    <s v="125319017341"/>
    <n v="18024.55"/>
    <n v="8534055.3900000006"/>
  </r>
  <r>
    <x v="11"/>
    <x v="0"/>
    <s v="125869092878"/>
    <n v="7807.94"/>
    <n v="8541863.3300000001"/>
  </r>
  <r>
    <x v="11"/>
    <x v="0"/>
    <s v="125869422198"/>
    <n v="79210.59"/>
    <n v="8621073.9199999999"/>
  </r>
  <r>
    <x v="11"/>
    <x v="0"/>
    <s v="125869530502"/>
    <n v="91194.48"/>
    <n v="8712268.4000000004"/>
  </r>
  <r>
    <x v="11"/>
    <x v="0"/>
    <s v="125869507316"/>
    <n v="27182.97"/>
    <n v="8739451.3699999992"/>
  </r>
  <r>
    <x v="11"/>
    <x v="0"/>
    <s v="125869681610"/>
    <n v="8378.98"/>
    <n v="8747830.3499999996"/>
  </r>
  <r>
    <x v="11"/>
    <x v="0"/>
    <s v="125320055657"/>
    <n v="7444.78"/>
    <n v="8755275.1300000008"/>
  </r>
  <r>
    <x v="11"/>
    <x v="0"/>
    <s v="125320457011"/>
    <n v="9447"/>
    <n v="8764722.1300000008"/>
  </r>
  <r>
    <x v="11"/>
    <x v="0"/>
    <s v="125320564485"/>
    <n v="4539.5"/>
    <n v="8769261.6300000008"/>
  </r>
  <r>
    <x v="11"/>
    <x v="0"/>
    <s v="125870474672"/>
    <n v="43356.35"/>
    <n v="8812617.9800000004"/>
  </r>
  <r>
    <x v="11"/>
    <x v="0"/>
    <s v="125321324087"/>
    <n v="66828.320000000007"/>
    <n v="8879446.3000000007"/>
  </r>
  <r>
    <x v="11"/>
    <x v="0"/>
    <s v="125871368350"/>
    <n v="12763.33"/>
    <n v="8892209.6300000008"/>
  </r>
  <r>
    <x v="11"/>
    <x v="0"/>
    <s v="125871494326"/>
    <n v="30787.88"/>
    <n v="8922997.5099999998"/>
  </r>
  <r>
    <x v="11"/>
    <x v="0"/>
    <s v="125871359326"/>
    <n v="22311.47"/>
    <n v="8945308.9800000004"/>
  </r>
  <r>
    <x v="11"/>
    <x v="0"/>
    <s v="125322062757"/>
    <n v="14419.64"/>
    <n v="8959728.6199999992"/>
  </r>
  <r>
    <x v="11"/>
    <x v="0"/>
    <s v="125871870980"/>
    <n v="22993.48"/>
    <n v="8982722.0999999996"/>
  </r>
  <r>
    <x v="11"/>
    <x v="0"/>
    <s v="125322405401"/>
    <n v="8378.98"/>
    <n v="8991101.0800000001"/>
  </r>
  <r>
    <x v="11"/>
    <x v="0"/>
    <s v="125322493065"/>
    <n v="6820.1"/>
    <n v="8997921.1799999997"/>
  </r>
  <r>
    <x v="11"/>
    <x v="0"/>
    <s v="125322736611"/>
    <n v="4189.49"/>
    <n v="9002110.6699999999"/>
  </r>
  <r>
    <x v="11"/>
    <x v="75"/>
    <s v="125322493613"/>
    <n v="210.48"/>
    <n v="9002321.1500000004"/>
  </r>
  <r>
    <x v="11"/>
    <x v="0"/>
    <s v="125322503897"/>
    <n v="50541.45"/>
    <n v="9052862.5999999996"/>
  </r>
  <r>
    <x v="11"/>
    <x v="0"/>
    <s v="125322888369"/>
    <n v="27670.12"/>
    <n v="9080532.7200000007"/>
  </r>
  <r>
    <x v="11"/>
    <x v="0"/>
    <s v="125872587248"/>
    <n v="16143.92"/>
    <n v="9096676.6400000006"/>
  </r>
  <r>
    <x v="11"/>
    <x v="0"/>
    <s v="125872758668"/>
    <n v="71708.479999999996"/>
    <n v="9168385.1199999992"/>
  </r>
  <r>
    <x v="11"/>
    <x v="0"/>
    <s v="125323011517"/>
    <n v="47253.55"/>
    <n v="9215638.6699999999"/>
  </r>
  <r>
    <x v="11"/>
    <x v="76"/>
    <s v="125395601971"/>
    <n v="-37225.019999999997"/>
    <n v="9178413.6500000004"/>
  </r>
  <r>
    <x v="11"/>
    <x v="0"/>
    <s v="125427741477"/>
    <n v="12568.47"/>
    <n v="9190982.1199999992"/>
  </r>
  <r>
    <x v="11"/>
    <x v="77"/>
    <s v="125979013674"/>
    <n v="631.45000000000005"/>
    <n v="9191613.5700000003"/>
  </r>
  <r>
    <x v="11"/>
    <x v="0"/>
    <s v="125433504737"/>
    <n v="10136.879999999999"/>
    <n v="9201750.4499999993"/>
  </r>
  <r>
    <x v="11"/>
    <x v="0"/>
    <s v="125433898761"/>
    <n v="34782.51"/>
    <n v="9236532.9600000009"/>
  </r>
  <r>
    <x v="11"/>
    <x v="0"/>
    <s v="125437359297"/>
    <n v="3873.27"/>
    <n v="9240406.2300000004"/>
  </r>
  <r>
    <x v="11"/>
    <x v="0"/>
    <s v="125437433757"/>
    <n v="11430.87"/>
    <n v="9251837.0999999996"/>
  </r>
  <r>
    <x v="11"/>
    <x v="0"/>
    <s v="125437828867"/>
    <n v="8573.84"/>
    <n v="9260410.9399999995"/>
  </r>
  <r>
    <x v="11"/>
    <x v="0"/>
    <s v="125437996133"/>
    <n v="24184.32"/>
    <n v="9284595.2599999998"/>
  </r>
  <r>
    <x v="11"/>
    <x v="0"/>
    <s v="125993614332"/>
    <n v="4189.49"/>
    <n v="9288784.75"/>
  </r>
  <r>
    <x v="11"/>
    <x v="0"/>
    <s v="125996443306"/>
    <n v="3684.33"/>
    <n v="9292469.0800000001"/>
  </r>
  <r>
    <x v="11"/>
    <x v="0"/>
    <s v="125446961843"/>
    <n v="30891.69"/>
    <n v="9323360.7699999996"/>
  </r>
  <r>
    <x v="11"/>
    <x v="0"/>
    <s v="125446989707"/>
    <n v="24059.35"/>
    <n v="9347420.1199999992"/>
  </r>
  <r>
    <x v="11"/>
    <x v="0"/>
    <s v="125447857505"/>
    <n v="4062.21"/>
    <n v="9351482.3300000001"/>
  </r>
  <r>
    <x v="11"/>
    <x v="0"/>
    <s v="125999347750"/>
    <n v="36341.39"/>
    <n v="9387823.7200000007"/>
  </r>
  <r>
    <x v="11"/>
    <x v="0"/>
    <s v="125449062915"/>
    <n v="27085.54"/>
    <n v="9414909.2599999998"/>
  </r>
  <r>
    <x v="11"/>
    <x v="78"/>
    <s v="126000250952"/>
    <n v="1360.81"/>
    <n v="9416270.0700000003"/>
  </r>
  <r>
    <x v="11"/>
    <x v="0"/>
    <s v="125449242459"/>
    <n v="37997.699999999997"/>
    <n v="9454267.7699999996"/>
  </r>
  <r>
    <x v="11"/>
    <x v="79"/>
    <s v="125449173473"/>
    <n v="1909.05"/>
    <n v="9456176.8200000003"/>
  </r>
  <r>
    <x v="11"/>
    <x v="0"/>
    <s v="125449622091"/>
    <n v="30203.3"/>
    <n v="9486380.1199999992"/>
  </r>
  <r>
    <x v="11"/>
    <x v="80"/>
    <s v="126000953678"/>
    <n v="1517.45"/>
    <n v="9487897.5700000003"/>
  </r>
  <r>
    <x v="11"/>
    <x v="0"/>
    <s v="126001259020"/>
    <n v="6820.1"/>
    <n v="9494717.6699999999"/>
  </r>
  <r>
    <x v="11"/>
    <x v="0"/>
    <s v="126001791192"/>
    <n v="39654.01"/>
    <n v="9534371.6799999997"/>
  </r>
  <r>
    <x v="11"/>
    <x v="0"/>
    <s v="126002231286"/>
    <n v="36049.1"/>
    <n v="9570420.7799999993"/>
  </r>
  <r>
    <x v="11"/>
    <x v="0"/>
    <s v="125451470875"/>
    <n v="7794.4"/>
    <n v="9578215.1799999997"/>
  </r>
  <r>
    <x v="11"/>
    <x v="0"/>
    <s v="125451713543"/>
    <n v="51247.56"/>
    <n v="9629462.7400000002"/>
  </r>
  <r>
    <x v="11"/>
    <x v="0"/>
    <s v="125452973303"/>
    <n v="21142.31"/>
    <n v="9650605.0500000007"/>
  </r>
  <r>
    <x v="11"/>
    <x v="0"/>
    <s v="126004526618"/>
    <n v="43739.61"/>
    <n v="9694344.6600000001"/>
  </r>
  <r>
    <x v="11"/>
    <x v="0"/>
    <s v="125453295123"/>
    <n v="7989.26"/>
    <n v="9702333.9199999999"/>
  </r>
  <r>
    <x v="11"/>
    <x v="0"/>
    <s v="126004723518"/>
    <n v="15393.94"/>
    <n v="9717727.8599999994"/>
  </r>
  <r>
    <x v="11"/>
    <x v="0"/>
    <s v="126004850416"/>
    <n v="43064.06"/>
    <n v="9760791.9199999999"/>
  </r>
  <r>
    <x v="11"/>
    <x v="0"/>
    <s v="125453742521"/>
    <n v="37637.86"/>
    <n v="9798429.7799999993"/>
  </r>
  <r>
    <x v="11"/>
    <x v="0"/>
    <s v="126005317084"/>
    <n v="43648.639999999999"/>
    <n v="9842078.4199999999"/>
  </r>
  <r>
    <x v="11"/>
    <x v="0"/>
    <s v="125454342423"/>
    <n v="7746.54"/>
    <n v="9849824.9600000009"/>
  </r>
  <r>
    <x v="11"/>
    <x v="0"/>
    <s v="125454937941"/>
    <n v="11009.59"/>
    <n v="9860834.5500000007"/>
  </r>
  <r>
    <x v="11"/>
    <x v="0"/>
    <s v="125455143547"/>
    <n v="7746.54"/>
    <n v="9868581.0899999999"/>
  </r>
  <r>
    <x v="11"/>
    <x v="0"/>
    <s v="125455209189"/>
    <n v="26640.54"/>
    <n v="9895221.6300000008"/>
  </r>
  <r>
    <x v="11"/>
    <x v="0"/>
    <s v="126006479850"/>
    <n v="4871.5"/>
    <n v="9900093.1300000008"/>
  </r>
  <r>
    <x v="11"/>
    <x v="0"/>
    <s v="126006688382"/>
    <n v="33321.06"/>
    <n v="9933414.1899999995"/>
  </r>
  <r>
    <x v="11"/>
    <x v="0"/>
    <s v="125455496263"/>
    <n v="72780.210000000006"/>
    <n v="10006194.4"/>
  </r>
  <r>
    <x v="11"/>
    <x v="81"/>
    <s v="126006713134"/>
    <n v="3656.56"/>
    <n v="10009850.960000001"/>
  </r>
  <r>
    <x v="11"/>
    <x v="0"/>
    <s v="126007138224"/>
    <n v="45723.48"/>
    <n v="10055574.439999999"/>
  </r>
  <r>
    <x v="11"/>
    <x v="0"/>
    <s v="125455999533"/>
    <n v="66276.7"/>
    <n v="10121851.140000001"/>
  </r>
  <r>
    <x v="11"/>
    <x v="0"/>
    <s v="125456097501"/>
    <n v="16910.13"/>
    <n v="10138761.27"/>
  </r>
  <r>
    <x v="11"/>
    <x v="0"/>
    <s v="126007254642"/>
    <n v="3410.05"/>
    <n v="10142171.32"/>
  </r>
  <r>
    <x v="11"/>
    <x v="0"/>
    <s v="126007328626"/>
    <n v="9743"/>
    <n v="10151914.32"/>
  </r>
  <r>
    <x v="12"/>
    <x v="0"/>
    <s v="125456304867"/>
    <n v="40725.74"/>
    <n v="10192640.060000001"/>
  </r>
  <r>
    <x v="12"/>
    <x v="0"/>
    <s v="126007613112"/>
    <n v="36049.1"/>
    <n v="10228689.16"/>
  </r>
  <r>
    <x v="12"/>
    <x v="0"/>
    <s v="126008199580"/>
    <n v="34977.370000000003"/>
    <n v="10263666.529999999"/>
  </r>
  <r>
    <x v="12"/>
    <x v="0"/>
    <s v="125457086371"/>
    <n v="37159.68"/>
    <n v="10300826.210000001"/>
  </r>
  <r>
    <x v="12"/>
    <x v="0"/>
    <s v="126008404306"/>
    <n v="14737.32"/>
    <n v="10315563.529999999"/>
  </r>
  <r>
    <x v="12"/>
    <x v="0"/>
    <s v="125457113205"/>
    <n v="46195.83"/>
    <n v="10361759.359999999"/>
  </r>
  <r>
    <x v="12"/>
    <x v="0"/>
    <s v="126008508224"/>
    <n v="27572.69"/>
    <n v="10389332.050000001"/>
  </r>
  <r>
    <x v="12"/>
    <x v="0"/>
    <s v="126008501598"/>
    <n v="40453.660000000003"/>
    <n v="10429785.710000001"/>
  </r>
  <r>
    <x v="12"/>
    <x v="0"/>
    <s v="126008998174"/>
    <n v="47896.29"/>
    <n v="10477682"/>
  </r>
  <r>
    <x v="12"/>
    <x v="0"/>
    <s v="126009033428"/>
    <n v="16059.9"/>
    <n v="10493741.9"/>
  </r>
  <r>
    <x v="12"/>
    <x v="0"/>
    <s v="125458240273"/>
    <n v="11301.88"/>
    <n v="10505043.779999999"/>
  </r>
  <r>
    <x v="12"/>
    <x v="0"/>
    <s v="125458625329"/>
    <n v="7989.26"/>
    <n v="10513033.039999999"/>
  </r>
  <r>
    <x v="12"/>
    <x v="0"/>
    <s v="125458908029"/>
    <n v="24747.22"/>
    <n v="10537780.26"/>
  </r>
  <r>
    <x v="12"/>
    <x v="82"/>
    <s v="125459061033"/>
    <n v="2486.66"/>
    <n v="10540266.92"/>
  </r>
  <r>
    <x v="12"/>
    <x v="0"/>
    <s v="126010551652"/>
    <n v="28813.35"/>
    <n v="10569080.27"/>
  </r>
  <r>
    <x v="12"/>
    <x v="0"/>
    <s v="125459627485"/>
    <n v="45304.21"/>
    <n v="10614384.48"/>
  </r>
  <r>
    <x v="12"/>
    <x v="0"/>
    <s v="125459770589"/>
    <n v="38585.75"/>
    <n v="10652970.23"/>
  </r>
  <r>
    <x v="12"/>
    <x v="0"/>
    <s v="126011115826"/>
    <n v="16173.38"/>
    <n v="10669143.609999999"/>
  </r>
  <r>
    <x v="12"/>
    <x v="83"/>
    <s v="125459873031"/>
    <n v="812.57"/>
    <n v="10669956.18"/>
  </r>
  <r>
    <x v="12"/>
    <x v="0"/>
    <s v="125459913579"/>
    <n v="7209.82"/>
    <n v="10677166"/>
  </r>
  <r>
    <x v="12"/>
    <x v="0"/>
    <s v="125459983441"/>
    <n v="19680.86"/>
    <n v="10696846.859999999"/>
  </r>
  <r>
    <x v="12"/>
    <x v="0"/>
    <s v="126011371400"/>
    <n v="12471.04"/>
    <n v="10709317.9"/>
  </r>
  <r>
    <x v="12"/>
    <x v="0"/>
    <s v="125460195335"/>
    <n v="7599.54"/>
    <n v="10716917.439999999"/>
  </r>
  <r>
    <x v="12"/>
    <x v="0"/>
    <s v="125460460203"/>
    <n v="12847.92"/>
    <n v="10729765.359999999"/>
  </r>
  <r>
    <x v="12"/>
    <x v="0"/>
    <s v="125460516437"/>
    <n v="33047.56"/>
    <n v="10762812.92"/>
  </r>
  <r>
    <x v="12"/>
    <x v="0"/>
    <s v="125460972465"/>
    <n v="7463.13"/>
    <n v="10770276.050000001"/>
  </r>
  <r>
    <x v="12"/>
    <x v="0"/>
    <s v="126012314684"/>
    <n v="39393.99"/>
    <n v="10809670.039999999"/>
  </r>
  <r>
    <x v="12"/>
    <x v="0"/>
    <s v="126012503986"/>
    <n v="12186.63"/>
    <n v="10821856.67"/>
  </r>
  <r>
    <x v="12"/>
    <x v="0"/>
    <s v="126012630432"/>
    <n v="3903.97"/>
    <n v="10825760.640000001"/>
  </r>
  <r>
    <x v="12"/>
    <x v="0"/>
    <s v="125461418987"/>
    <n v="60287.71"/>
    <n v="10886048.35"/>
  </r>
  <r>
    <x v="12"/>
    <x v="0"/>
    <s v="126012854938"/>
    <n v="10327.58"/>
    <n v="10896375.93"/>
  </r>
  <r>
    <x v="12"/>
    <x v="0"/>
    <s v="126012871060"/>
    <n v="14614.5"/>
    <n v="10910990.43"/>
  </r>
  <r>
    <x v="12"/>
    <x v="84"/>
    <s v="125461762901"/>
    <n v="734.25"/>
    <n v="10911724.68"/>
  </r>
  <r>
    <x v="12"/>
    <x v="0"/>
    <s v="126012851936"/>
    <n v="36731.11"/>
    <n v="10948455.789999999"/>
  </r>
  <r>
    <x v="12"/>
    <x v="0"/>
    <s v="126012972604"/>
    <n v="40141.160000000003"/>
    <n v="10988596.949999999"/>
  </r>
  <r>
    <x v="12"/>
    <x v="0"/>
    <s v="125461870989"/>
    <n v="38679.71"/>
    <n v="11027276.66"/>
  </r>
  <r>
    <x v="12"/>
    <x v="0"/>
    <s v="125461936825"/>
    <n v="13797.42"/>
    <n v="11041074.08"/>
  </r>
  <r>
    <x v="12"/>
    <x v="0"/>
    <s v="126013114190"/>
    <n v="16757.96"/>
    <n v="11057832.039999999"/>
  </r>
  <r>
    <x v="12"/>
    <x v="0"/>
    <s v="126013525296"/>
    <n v="22896.05"/>
    <n v="11080728.09"/>
  </r>
  <r>
    <x v="12"/>
    <x v="0"/>
    <s v="126013746036"/>
    <n v="96650.559999999998"/>
    <n v="11177378.65"/>
  </r>
  <r>
    <x v="12"/>
    <x v="0"/>
    <s v="125462776275"/>
    <n v="7463.13"/>
    <n v="11184841.779999999"/>
  </r>
  <r>
    <x v="12"/>
    <x v="0"/>
    <s v="125462980105"/>
    <n v="56899.12"/>
    <n v="11241740.9"/>
  </r>
  <r>
    <x v="12"/>
    <x v="0"/>
    <s v="126014168820"/>
    <n v="27772.99"/>
    <n v="11269513.890000001"/>
  </r>
  <r>
    <x v="12"/>
    <x v="0"/>
    <s v="125463043451"/>
    <n v="10230.15"/>
    <n v="11279744.039999999"/>
  </r>
  <r>
    <x v="12"/>
    <x v="0"/>
    <s v="126014227310"/>
    <n v="22896.05"/>
    <n v="11302640.09"/>
  </r>
  <r>
    <x v="12"/>
    <x v="0"/>
    <s v="125463091997"/>
    <n v="15393.94"/>
    <n v="11318034.029999999"/>
  </r>
  <r>
    <x v="12"/>
    <x v="0"/>
    <s v="125463291439"/>
    <n v="45986.96"/>
    <n v="11364020.99"/>
  </r>
  <r>
    <x v="12"/>
    <x v="0"/>
    <s v="126014567370"/>
    <n v="35854.239999999998"/>
    <n v="11399875.23"/>
  </r>
  <r>
    <x v="12"/>
    <x v="0"/>
    <s v="126014664178"/>
    <n v="114308.7"/>
    <n v="11514183.93"/>
  </r>
  <r>
    <x v="12"/>
    <x v="0"/>
    <s v="125463562387"/>
    <n v="7014.96"/>
    <n v="11521198.890000001"/>
  </r>
  <r>
    <x v="12"/>
    <x v="0"/>
    <s v="125463455779"/>
    <n v="13640.2"/>
    <n v="11534839.09"/>
  </r>
  <r>
    <x v="12"/>
    <x v="10"/>
    <s v="125494013461"/>
    <n v="-644900"/>
    <n v="10889939.09"/>
  </r>
  <r>
    <x v="12"/>
    <x v="4"/>
    <s v="125494013461"/>
    <n v="-3869.4"/>
    <n v="10886069.689999999"/>
  </r>
  <r>
    <x v="12"/>
    <x v="0"/>
    <s v="126096640836"/>
    <n v="7081.62"/>
    <n v="10893151.310000001"/>
  </r>
  <r>
    <x v="12"/>
    <x v="0"/>
    <s v="126099304852"/>
    <n v="14906.79"/>
    <n v="10908058.1"/>
  </r>
  <r>
    <x v="12"/>
    <x v="0"/>
    <s v="126103502012"/>
    <n v="38192.559999999998"/>
    <n v="10946250.66"/>
  </r>
  <r>
    <x v="12"/>
    <x v="0"/>
    <s v="126105503786"/>
    <n v="15491.37"/>
    <n v="10961742.029999999"/>
  </r>
  <r>
    <x v="12"/>
    <x v="0"/>
    <s v="126105964490"/>
    <n v="11430.87"/>
    <n v="10973172.9"/>
  </r>
  <r>
    <x v="12"/>
    <x v="0"/>
    <s v="125554253101"/>
    <n v="3903.97"/>
    <n v="10977076.869999999"/>
  </r>
  <r>
    <x v="12"/>
    <x v="0"/>
    <s v="125554633827"/>
    <n v="8378.98"/>
    <n v="10985455.85"/>
  </r>
  <r>
    <x v="12"/>
    <x v="0"/>
    <s v="125557181285"/>
    <n v="15199.08"/>
    <n v="11000654.93"/>
  </r>
  <r>
    <x v="12"/>
    <x v="85"/>
    <s v="125557234739"/>
    <n v="1527.24"/>
    <n v="11002182.17"/>
  </r>
  <r>
    <x v="12"/>
    <x v="0"/>
    <s v="126109192968"/>
    <n v="10619.87"/>
    <n v="11012802.039999999"/>
  </r>
  <r>
    <x v="12"/>
    <x v="0"/>
    <s v="125558021461"/>
    <n v="4062.21"/>
    <n v="11016864.25"/>
  </r>
  <r>
    <x v="12"/>
    <x v="0"/>
    <s v="126110485752"/>
    <n v="4189.49"/>
    <n v="11021053.74"/>
  </r>
  <r>
    <x v="12"/>
    <x v="0"/>
    <s v="126110608540"/>
    <n v="12276.18"/>
    <n v="11033329.92"/>
  </r>
  <r>
    <x v="12"/>
    <x v="0"/>
    <s v="125559982515"/>
    <n v="25818.95"/>
    <n v="11059148.869999999"/>
  </r>
  <r>
    <x v="12"/>
    <x v="0"/>
    <s v="126111930026"/>
    <n v="46857.120000000003"/>
    <n v="11106005.99"/>
  </r>
  <r>
    <x v="12"/>
    <x v="0"/>
    <s v="125561730289"/>
    <n v="33226.44"/>
    <n v="11139232.43"/>
  </r>
  <r>
    <x v="12"/>
    <x v="0"/>
    <s v="125562837095"/>
    <n v="8768.7000000000007"/>
    <n v="11148001.130000001"/>
  </r>
  <r>
    <x v="12"/>
    <x v="0"/>
    <s v="125563294919"/>
    <n v="5195.8500000000004"/>
    <n v="11153196.98"/>
  </r>
  <r>
    <x v="12"/>
    <x v="0"/>
    <s v="125565056217"/>
    <n v="35135.730000000003"/>
    <n v="11188332.710000001"/>
  </r>
  <r>
    <x v="12"/>
    <x v="0"/>
    <s v="125565748807"/>
    <n v="29229"/>
    <n v="11217561.710000001"/>
  </r>
  <r>
    <x v="12"/>
    <x v="86"/>
    <s v="126117918928"/>
    <n v="1468.5"/>
    <n v="11219030.210000001"/>
  </r>
  <r>
    <x v="12"/>
    <x v="0"/>
    <s v="126118455600"/>
    <n v="46857.120000000003"/>
    <n v="11265887.33"/>
  </r>
  <r>
    <x v="12"/>
    <x v="0"/>
    <s v="125566797827"/>
    <n v="53470.02"/>
    <n v="11319357.35"/>
  </r>
  <r>
    <x v="12"/>
    <x v="0"/>
    <s v="126120126774"/>
    <n v="25999.22"/>
    <n v="11345356.57"/>
  </r>
  <r>
    <x v="12"/>
    <x v="0"/>
    <s v="126120191518"/>
    <n v="29415.96"/>
    <n v="11374772.529999999"/>
  </r>
  <r>
    <x v="12"/>
    <x v="0"/>
    <s v="125569052645"/>
    <n v="32249.33"/>
    <n v="11407021.859999999"/>
  </r>
  <r>
    <x v="12"/>
    <x v="0"/>
    <s v="126121422420"/>
    <n v="41992.33"/>
    <n v="11449014.189999999"/>
  </r>
  <r>
    <x v="12"/>
    <x v="0"/>
    <s v="126121449144"/>
    <n v="31469.89"/>
    <n v="11480484.08"/>
  </r>
  <r>
    <x v="12"/>
    <x v="87"/>
    <s v="126121433118"/>
    <n v="3162.17"/>
    <n v="11483646.25"/>
  </r>
  <r>
    <x v="12"/>
    <x v="0"/>
    <s v="126121361624"/>
    <n v="62728.08"/>
    <n v="11546374.33"/>
  </r>
  <r>
    <x v="12"/>
    <x v="0"/>
    <s v="126121826612"/>
    <n v="21532.03"/>
    <n v="11567906.359999999"/>
  </r>
  <r>
    <x v="12"/>
    <x v="88"/>
    <s v="125569350053"/>
    <n v="1081.79"/>
    <n v="11568988.15"/>
  </r>
  <r>
    <x v="12"/>
    <x v="0"/>
    <s v="126122277928"/>
    <n v="35993.07"/>
    <n v="11604981.220000001"/>
  </r>
  <r>
    <x v="12"/>
    <x v="0"/>
    <s v="126123126956"/>
    <n v="38670.32"/>
    <n v="11643651.539999999"/>
  </r>
  <r>
    <x v="12"/>
    <x v="0"/>
    <s v="125571870311"/>
    <n v="37120.83"/>
    <n v="11680772.369999999"/>
  </r>
  <r>
    <x v="12"/>
    <x v="0"/>
    <s v="125571861443"/>
    <n v="3410.05"/>
    <n v="11684182.42"/>
  </r>
  <r>
    <x v="12"/>
    <x v="0"/>
    <s v="125571811845"/>
    <n v="3410.05"/>
    <n v="11687592.470000001"/>
  </r>
  <r>
    <x v="12"/>
    <x v="0"/>
    <s v="126124056584"/>
    <n v="94603.18"/>
    <n v="11782195.65"/>
  </r>
  <r>
    <x v="13"/>
    <x v="0"/>
    <s v="125572517133"/>
    <n v="26695.82"/>
    <n v="11808891.470000001"/>
  </r>
  <r>
    <x v="13"/>
    <x v="0"/>
    <s v="125572639149"/>
    <n v="37976.94"/>
    <n v="11846868.41"/>
  </r>
  <r>
    <x v="13"/>
    <x v="0"/>
    <s v="126124937948"/>
    <n v="15199.08"/>
    <n v="11862067.49"/>
  </r>
  <r>
    <x v="13"/>
    <x v="0"/>
    <s v="126125328454"/>
    <n v="31080.17"/>
    <n v="11893147.66"/>
  </r>
  <r>
    <x v="13"/>
    <x v="0"/>
    <s v="125573390505"/>
    <n v="54755.66"/>
    <n v="11947903.32"/>
  </r>
  <r>
    <x v="13"/>
    <x v="89"/>
    <s v="126125321516"/>
    <n v="2750.99"/>
    <n v="11950654.310000001"/>
  </r>
  <r>
    <x v="13"/>
    <x v="0"/>
    <s v="126125616248"/>
    <n v="2143.46"/>
    <n v="11952797.77"/>
  </r>
  <r>
    <x v="13"/>
    <x v="0"/>
    <s v="126125649050"/>
    <n v="65656.649999999994"/>
    <n v="12018454.42"/>
  </r>
  <r>
    <x v="13"/>
    <x v="0"/>
    <s v="125573766089"/>
    <n v="6476.34"/>
    <n v="12024930.76"/>
  </r>
  <r>
    <x v="13"/>
    <x v="0"/>
    <s v="126125844426"/>
    <n v="87006.87"/>
    <n v="12111937.630000001"/>
  </r>
  <r>
    <x v="13"/>
    <x v="0"/>
    <s v="126125865338"/>
    <n v="34670.49"/>
    <n v="12146608.119999999"/>
  </r>
  <r>
    <x v="13"/>
    <x v="0"/>
    <s v="126126003700"/>
    <n v="54073.65"/>
    <n v="12200681.77"/>
  </r>
  <r>
    <x v="13"/>
    <x v="0"/>
    <s v="125574552839"/>
    <n v="49397.01"/>
    <n v="12250078.779999999"/>
  </r>
  <r>
    <x v="13"/>
    <x v="90"/>
    <s v="126126266778"/>
    <n v="4963.53"/>
    <n v="12255042.310000001"/>
  </r>
  <r>
    <x v="13"/>
    <x v="0"/>
    <s v="126126279136"/>
    <n v="43746.07"/>
    <n v="12298788.380000001"/>
  </r>
  <r>
    <x v="13"/>
    <x v="0"/>
    <s v="125575047745"/>
    <n v="47801.82"/>
    <n v="12346590.199999999"/>
  </r>
  <r>
    <x v="13"/>
    <x v="0"/>
    <s v="126127444242"/>
    <n v="34009.199999999997"/>
    <n v="12380599.4"/>
  </r>
  <r>
    <x v="13"/>
    <x v="0"/>
    <s v="125575646461"/>
    <n v="64888.38"/>
    <n v="12445487.779999999"/>
  </r>
  <r>
    <x v="13"/>
    <x v="0"/>
    <s v="126127972920"/>
    <n v="8768.7000000000007"/>
    <n v="12454256.48"/>
  </r>
  <r>
    <x v="13"/>
    <x v="0"/>
    <s v="125575777739"/>
    <n v="17571.419999999998"/>
    <n v="12471827.9"/>
  </r>
  <r>
    <x v="13"/>
    <x v="0"/>
    <s v="126128300134"/>
    <n v="35142.839999999997"/>
    <n v="12506970.74"/>
  </r>
  <r>
    <x v="13"/>
    <x v="0"/>
    <s v="126128476864"/>
    <n v="118085.16"/>
    <n v="12625055.9"/>
  </r>
  <r>
    <x v="13"/>
    <x v="0"/>
    <s v="126128502728"/>
    <n v="16800.939999999999"/>
    <n v="12641856.84"/>
  </r>
  <r>
    <x v="13"/>
    <x v="0"/>
    <s v="125576351683"/>
    <n v="38582.28"/>
    <n v="12680439.119999999"/>
  </r>
  <r>
    <x v="13"/>
    <x v="91"/>
    <s v="125576459167"/>
    <n v="3876.84"/>
    <n v="12684315.960000001"/>
  </r>
  <r>
    <x v="13"/>
    <x v="0"/>
    <s v="125576738331"/>
    <n v="65005.64"/>
    <n v="12749321.6"/>
  </r>
  <r>
    <x v="13"/>
    <x v="0"/>
    <s v="125576972801"/>
    <n v="5163.79"/>
    <n v="12754485.390000001"/>
  </r>
  <r>
    <x v="13"/>
    <x v="0"/>
    <s v="126128875098"/>
    <n v="14906.79"/>
    <n v="12769392.18"/>
  </r>
  <r>
    <x v="13"/>
    <x v="0"/>
    <s v="126128849374"/>
    <n v="5163.79"/>
    <n v="12774555.970000001"/>
  </r>
  <r>
    <x v="13"/>
    <x v="92"/>
    <s v="125576891613"/>
    <n v="518.87"/>
    <n v="12775074.84"/>
  </r>
  <r>
    <x v="13"/>
    <x v="0"/>
    <s v="126128996208"/>
    <n v="3799.77"/>
    <n v="12778874.609999999"/>
  </r>
  <r>
    <x v="13"/>
    <x v="0"/>
    <s v="126128807772"/>
    <n v="10035.290000000001"/>
    <n v="12788909.9"/>
  </r>
  <r>
    <x v="13"/>
    <x v="0"/>
    <s v="125576905955"/>
    <n v="9258.06"/>
    <n v="12798167.960000001"/>
  </r>
  <r>
    <x v="13"/>
    <x v="0"/>
    <s v="125577184425"/>
    <n v="25136.94"/>
    <n v="12823304.9"/>
  </r>
  <r>
    <x v="13"/>
    <x v="0"/>
    <s v="125577313229"/>
    <n v="16075.95"/>
    <n v="12839380.85"/>
  </r>
  <r>
    <x v="13"/>
    <x v="0"/>
    <s v="125577491253"/>
    <n v="40310.76"/>
    <n v="12879691.609999999"/>
  </r>
  <r>
    <x v="13"/>
    <x v="0"/>
    <s v="126129426494"/>
    <n v="11336.4"/>
    <n v="12891028.01"/>
  </r>
  <r>
    <x v="13"/>
    <x v="0"/>
    <s v="126129504564"/>
    <n v="50273.88"/>
    <n v="12941301.890000001"/>
  </r>
  <r>
    <x v="13"/>
    <x v="0"/>
    <s v="125578259241"/>
    <n v="3660.54"/>
    <n v="12944962.43"/>
  </r>
  <r>
    <x v="13"/>
    <x v="0"/>
    <s v="125578192035"/>
    <n v="15209.67"/>
    <n v="12960172.1"/>
  </r>
  <r>
    <x v="13"/>
    <x v="0"/>
    <s v="126130624264"/>
    <n v="7321.08"/>
    <n v="12967493.18"/>
  </r>
  <r>
    <x v="13"/>
    <x v="0"/>
    <s v="126131114974"/>
    <n v="55158.9"/>
    <n v="13022652.08"/>
  </r>
  <r>
    <x v="13"/>
    <x v="0"/>
    <s v="126131164784"/>
    <n v="23806.44"/>
    <n v="13046458.52"/>
  </r>
  <r>
    <x v="13"/>
    <x v="0"/>
    <s v="126131278306"/>
    <n v="19388.57"/>
    <n v="13065847.09"/>
  </r>
  <r>
    <x v="13"/>
    <x v="93"/>
    <s v="125578968239"/>
    <n v="974.1"/>
    <n v="13066821.189999999"/>
  </r>
  <r>
    <x v="13"/>
    <x v="0"/>
    <s v="125578892085"/>
    <n v="12763.33"/>
    <n v="13079584.52"/>
  </r>
  <r>
    <x v="13"/>
    <x v="0"/>
    <s v="126131480124"/>
    <n v="22334.34"/>
    <n v="13101918.859999999"/>
  </r>
  <r>
    <x v="13"/>
    <x v="94"/>
    <s v="126131385030"/>
    <n v="2408.34"/>
    <n v="13104327.199999999"/>
  </r>
  <r>
    <x v="13"/>
    <x v="0"/>
    <s v="125579030099"/>
    <n v="20362.87"/>
    <n v="13124690.07"/>
  </r>
  <r>
    <x v="13"/>
    <x v="0"/>
    <s v="125579346241"/>
    <n v="29143.59"/>
    <n v="13153833.66"/>
  </r>
  <r>
    <x v="13"/>
    <x v="0"/>
    <s v="125579320835"/>
    <n v="11052.99"/>
    <n v="13164886.65"/>
  </r>
  <r>
    <x v="13"/>
    <x v="0"/>
    <s v="126131790334"/>
    <n v="24747.22"/>
    <n v="13189633.869999999"/>
  </r>
  <r>
    <x v="13"/>
    <x v="0"/>
    <s v="126131685768"/>
    <n v="59529.73"/>
    <n v="13249163.6"/>
  </r>
  <r>
    <x v="13"/>
    <x v="0"/>
    <s v="126131769430"/>
    <n v="7794.4"/>
    <n v="13256958"/>
  </r>
  <r>
    <x v="13"/>
    <x v="0"/>
    <s v="125579567091"/>
    <n v="26306.1"/>
    <n v="13283264.1"/>
  </r>
  <r>
    <x v="13"/>
    <x v="0"/>
    <s v="125579583955"/>
    <n v="9255.85"/>
    <n v="13292519.949999999"/>
  </r>
  <r>
    <x v="13"/>
    <x v="0"/>
    <s v="125641694887"/>
    <n v="10717.3"/>
    <n v="13303237.25"/>
  </r>
  <r>
    <x v="13"/>
    <x v="95"/>
    <s v="125641720659"/>
    <n v="538.45000000000005"/>
    <n v="13303775.699999999"/>
  </r>
  <r>
    <x v="13"/>
    <x v="0"/>
    <s v="126195667264"/>
    <n v="8502.2999999999993"/>
    <n v="13312278"/>
  </r>
  <r>
    <x v="13"/>
    <x v="0"/>
    <s v="125647221653"/>
    <n v="7599.54"/>
    <n v="13319877.539999999"/>
  </r>
  <r>
    <x v="13"/>
    <x v="96"/>
    <s v="125647203977"/>
    <n v="763.62"/>
    <n v="13320641.16"/>
  </r>
  <r>
    <x v="13"/>
    <x v="0"/>
    <s v="126199806570"/>
    <n v="22408.9"/>
    <n v="13343050.060000001"/>
  </r>
  <r>
    <x v="13"/>
    <x v="0"/>
    <s v="125648509125"/>
    <n v="5163.79"/>
    <n v="13348213.85"/>
  </r>
  <r>
    <x v="13"/>
    <x v="0"/>
    <s v="126202107638"/>
    <n v="24513.3"/>
    <n v="13372727.15"/>
  </r>
  <r>
    <x v="13"/>
    <x v="0"/>
    <s v="125650842711"/>
    <n v="20877.87"/>
    <n v="13393605.02"/>
  </r>
  <r>
    <x v="13"/>
    <x v="0"/>
    <s v="126208398932"/>
    <n v="37023.4"/>
    <n v="13430628.42"/>
  </r>
  <r>
    <x v="13"/>
    <x v="0"/>
    <s v="125656403991"/>
    <n v="18121.98"/>
    <n v="13448750.4"/>
  </r>
  <r>
    <x v="13"/>
    <x v="0"/>
    <s v="126209525276"/>
    <n v="13547.8"/>
    <n v="13462298.199999999"/>
  </r>
  <r>
    <x v="13"/>
    <x v="0"/>
    <s v="126210057176"/>
    <n v="21608.02"/>
    <n v="13483906.220000001"/>
  </r>
  <r>
    <x v="13"/>
    <x v="0"/>
    <s v="126211365010"/>
    <n v="31469.89"/>
    <n v="13515376.109999999"/>
  </r>
  <r>
    <x v="13"/>
    <x v="0"/>
    <s v="125659456895"/>
    <n v="8378.98"/>
    <n v="13523755.09"/>
  </r>
  <r>
    <x v="13"/>
    <x v="0"/>
    <s v="125659954419"/>
    <n v="39361.72"/>
    <n v="13563116.810000001"/>
  </r>
  <r>
    <x v="13"/>
    <x v="0"/>
    <s v="125659996117"/>
    <n v="42674.34"/>
    <n v="13605791.15"/>
  </r>
  <r>
    <x v="13"/>
    <x v="0"/>
    <s v="126212628608"/>
    <n v="9730.41"/>
    <n v="13615521.560000001"/>
  </r>
  <r>
    <x v="13"/>
    <x v="0"/>
    <s v="126213107032"/>
    <n v="28157.27"/>
    <n v="13643678.83"/>
  </r>
  <r>
    <x v="13"/>
    <x v="0"/>
    <s v="126213201364"/>
    <n v="76872.27"/>
    <n v="13720551.1"/>
  </r>
  <r>
    <x v="13"/>
    <x v="0"/>
    <s v="126213444444"/>
    <n v="4384.3500000000004"/>
    <n v="13724935.449999999"/>
  </r>
  <r>
    <x v="13"/>
    <x v="0"/>
    <s v="125661802007"/>
    <n v="66129"/>
    <n v="13791064.449999999"/>
  </r>
  <r>
    <x v="13"/>
    <x v="0"/>
    <s v="125662278353"/>
    <n v="19973.150000000001"/>
    <n v="13811037.6"/>
  </r>
  <r>
    <x v="13"/>
    <x v="0"/>
    <s v="126214829960"/>
    <n v="47740.7"/>
    <n v="13858778.300000001"/>
  </r>
  <r>
    <x v="13"/>
    <x v="0"/>
    <s v="125662860685"/>
    <n v="39582.93"/>
    <n v="13898361.23"/>
  </r>
  <r>
    <x v="13"/>
    <x v="0"/>
    <s v="125663240327"/>
    <n v="11241.93"/>
    <n v="13909603.16"/>
  </r>
  <r>
    <x v="13"/>
    <x v="0"/>
    <s v="125663262315"/>
    <n v="17342.54"/>
    <n v="13926945.699999999"/>
  </r>
  <r>
    <x v="13"/>
    <x v="0"/>
    <s v="126215681054"/>
    <n v="41094.449999999997"/>
    <n v="13968040.15"/>
  </r>
  <r>
    <x v="14"/>
    <x v="0"/>
    <s v="125664117927"/>
    <n v="57288.84"/>
    <n v="14025328.99"/>
  </r>
  <r>
    <x v="14"/>
    <x v="0"/>
    <s v="126216706478"/>
    <n v="83692.37"/>
    <n v="14109021.359999999"/>
  </r>
  <r>
    <x v="14"/>
    <x v="0"/>
    <s v="126216657442"/>
    <n v="31630.82"/>
    <n v="14140652.18"/>
  </r>
  <r>
    <x v="14"/>
    <x v="0"/>
    <s v="126216807538"/>
    <n v="22896.05"/>
    <n v="14163548.23"/>
  </r>
  <r>
    <x v="14"/>
    <x v="0"/>
    <s v="126217102720"/>
    <n v="26988.11"/>
    <n v="14190536.34"/>
  </r>
  <r>
    <x v="14"/>
    <x v="0"/>
    <s v="126217490808"/>
    <n v="8768.7000000000007"/>
    <n v="14199305.039999999"/>
  </r>
  <r>
    <x v="14"/>
    <x v="0"/>
    <s v="126217984052"/>
    <n v="48812.43"/>
    <n v="14248117.470000001"/>
  </r>
  <r>
    <x v="14"/>
    <x v="97"/>
    <s v="126218156282"/>
    <n v="4904.79"/>
    <n v="14253022.26"/>
  </r>
  <r>
    <x v="14"/>
    <x v="0"/>
    <s v="126218238140"/>
    <n v="35172.230000000003"/>
    <n v="14288194.49"/>
  </r>
  <r>
    <x v="14"/>
    <x v="0"/>
    <s v="126218221652"/>
    <n v="21063.279999999999"/>
    <n v="14309257.77"/>
  </r>
  <r>
    <x v="14"/>
    <x v="0"/>
    <s v="125666113965"/>
    <n v="37607.980000000003"/>
    <n v="14346865.75"/>
  </r>
  <r>
    <x v="14"/>
    <x v="98"/>
    <s v="125698300455"/>
    <n v="-816942.42"/>
    <n v="13529923.33"/>
  </r>
  <r>
    <x v="14"/>
    <x v="57"/>
    <s v="126258081176"/>
    <n v="-857112"/>
    <n v="12672811.33"/>
  </r>
  <r>
    <x v="14"/>
    <x v="5"/>
    <s v="125715190737"/>
    <n v="-264542.99"/>
    <n v="12408268.34"/>
  </r>
  <r>
    <x v="14"/>
    <x v="4"/>
    <s v="125715190737"/>
    <n v="-1587.26"/>
    <n v="12406681.08"/>
  </r>
  <r>
    <x v="14"/>
    <x v="99"/>
    <s v="125728344293"/>
    <n v="-103632.08"/>
    <n v="12303049"/>
  </r>
  <r>
    <x v="14"/>
    <x v="12"/>
    <s v="126284737774"/>
    <n v="-126076.95"/>
    <n v="12176972.050000001"/>
  </r>
  <r>
    <x v="14"/>
    <x v="12"/>
    <s v="126285096672"/>
    <n v="-320702.74"/>
    <n v="11856269.310000001"/>
  </r>
  <r>
    <x v="14"/>
    <x v="2"/>
    <s v="125735003593"/>
    <n v="-16055.76"/>
    <n v="11840213.550000001"/>
  </r>
  <r>
    <x v="14"/>
    <x v="2"/>
    <s v="126288428012"/>
    <n v="-26107.51"/>
    <n v="11814106.039999999"/>
  </r>
  <r>
    <x v="14"/>
    <x v="2"/>
    <s v="126288909182"/>
    <n v="-214992.66"/>
    <n v="11599113.380000001"/>
  </r>
  <r>
    <x v="14"/>
    <x v="100"/>
    <s v="125738338007"/>
    <n v="-113156"/>
    <n v="11485957.380000001"/>
  </r>
  <r>
    <x v="14"/>
    <x v="4"/>
    <s v="125738338007"/>
    <n v="-678.94"/>
    <n v="11485278.439999999"/>
  </r>
  <r>
    <x v="14"/>
    <x v="18"/>
    <s v="126316363178"/>
    <n v="-21729.59"/>
    <n v="11463548.85"/>
  </r>
  <r>
    <x v="15"/>
    <x v="6"/>
    <s v="126387313180"/>
    <n v="-169621.66"/>
    <n v="11293927.189999999"/>
  </r>
  <r>
    <x v="15"/>
    <x v="100"/>
    <s v="126401610954"/>
    <n v="-1049644.75"/>
    <n v="10244282.439999999"/>
  </r>
  <r>
    <x v="15"/>
    <x v="4"/>
    <s v="126401610954"/>
    <n v="-6297.87"/>
    <n v="10237984.57"/>
  </r>
  <r>
    <x v="15"/>
    <x v="101"/>
    <s v="126403126956"/>
    <n v="-557501.44999999995"/>
    <n v="9680483.1199999992"/>
  </r>
  <r>
    <x v="15"/>
    <x v="4"/>
    <s v="126403126956"/>
    <n v="-3345.01"/>
    <n v="9677138.1099999994"/>
  </r>
  <r>
    <x v="15"/>
    <x v="17"/>
    <s v="125859839609"/>
    <n v="-281880"/>
    <n v="9395258.1099999994"/>
  </r>
  <r>
    <x v="15"/>
    <x v="4"/>
    <s v="125859839609"/>
    <n v="-1691.28"/>
    <n v="9393566.8300000001"/>
  </r>
  <r>
    <x v="16"/>
    <x v="13"/>
    <s v="125988349795"/>
    <n v="-201417.51"/>
    <n v="9192149.3200000003"/>
  </r>
  <r>
    <x v="16"/>
    <x v="4"/>
    <s v="125988349795"/>
    <n v="-1208.51"/>
    <n v="9190940.8100000005"/>
  </r>
  <r>
    <x v="16"/>
    <x v="11"/>
    <s v="126550128384"/>
    <n v="-119660.83"/>
    <n v="9071279.9800000004"/>
  </r>
  <r>
    <x v="16"/>
    <x v="4"/>
    <s v="126550128384"/>
    <n v="-717.96"/>
    <n v="9070562.0199999996"/>
  </r>
  <r>
    <x v="16"/>
    <x v="13"/>
    <s v="126556131568"/>
    <n v="-109543.14"/>
    <n v="8961018.8800000008"/>
  </r>
  <r>
    <x v="16"/>
    <x v="4"/>
    <s v="126556131568"/>
    <n v="-657.26"/>
    <n v="8960361.6199999992"/>
  </r>
  <r>
    <x v="16"/>
    <x v="8"/>
    <s v="126006760321"/>
    <n v="-1052954.1000000001"/>
    <n v="7907407.5199999996"/>
  </r>
  <r>
    <x v="16"/>
    <x v="4"/>
    <s v="126006760321"/>
    <n v="-6317.72"/>
    <n v="7901089.7999999998"/>
  </r>
  <r>
    <x v="16"/>
    <x v="0"/>
    <s v="126032999989"/>
    <n v="8378.98"/>
    <n v="7909468.7800000003"/>
  </r>
  <r>
    <x v="16"/>
    <x v="0"/>
    <s v="126591409114"/>
    <n v="8124.42"/>
    <n v="7917593.2000000002"/>
  </r>
  <r>
    <x v="16"/>
    <x v="0"/>
    <s v="126036386561"/>
    <n v="12568.47"/>
    <n v="7930161.6699999999"/>
  </r>
  <r>
    <x v="16"/>
    <x v="0"/>
    <s v="126594945894"/>
    <n v="9446.06"/>
    <n v="7939607.7300000004"/>
  </r>
  <r>
    <x v="16"/>
    <x v="0"/>
    <s v="126597067472"/>
    <n v="8378.98"/>
    <n v="7947986.71"/>
  </r>
  <r>
    <x v="16"/>
    <x v="0"/>
    <s v="126597591802"/>
    <n v="37704.44"/>
    <n v="7985691.1500000004"/>
  </r>
  <r>
    <x v="16"/>
    <x v="0"/>
    <s v="126043752843"/>
    <n v="42576.86"/>
    <n v="8028268.0099999998"/>
  </r>
  <r>
    <x v="16"/>
    <x v="0"/>
    <s v="126600508822"/>
    <n v="19291.14"/>
    <n v="8047559.1500000004"/>
  </r>
  <r>
    <x v="16"/>
    <x v="0"/>
    <s v="126045198407"/>
    <n v="25136.94"/>
    <n v="8072696.0899999999"/>
  </r>
  <r>
    <x v="16"/>
    <x v="0"/>
    <s v="126046694901"/>
    <n v="49643.01"/>
    <n v="8122339.0999999996"/>
  </r>
  <r>
    <x v="16"/>
    <x v="0"/>
    <s v="126046661655"/>
    <n v="69467.59"/>
    <n v="8191806.6900000004"/>
  </r>
  <r>
    <x v="16"/>
    <x v="0"/>
    <s v="126047122521"/>
    <n v="8378.98"/>
    <n v="8200185.6699999999"/>
  </r>
  <r>
    <x v="16"/>
    <x v="0"/>
    <s v="126047460401"/>
    <n v="19484.05"/>
    <n v="8219669.7199999997"/>
  </r>
  <r>
    <x v="16"/>
    <x v="0"/>
    <s v="126602656096"/>
    <n v="33223.629999999997"/>
    <n v="8252893.3499999996"/>
  </r>
  <r>
    <x v="16"/>
    <x v="0"/>
    <s v="126603090892"/>
    <n v="33320.089999999997"/>
    <n v="8286213.4400000004"/>
  </r>
  <r>
    <x v="16"/>
    <x v="0"/>
    <s v="126603719712"/>
    <n v="4189.49"/>
    <n v="8290402.9299999997"/>
  </r>
  <r>
    <x v="16"/>
    <x v="0"/>
    <s v="126604501712"/>
    <n v="19778.29"/>
    <n v="8310181.2199999997"/>
  </r>
  <r>
    <x v="16"/>
    <x v="0"/>
    <s v="126604962718"/>
    <n v="27961.439999999999"/>
    <n v="8338142.6600000001"/>
  </r>
  <r>
    <x v="16"/>
    <x v="0"/>
    <s v="126605063444"/>
    <n v="79732.679999999993"/>
    <n v="8417875.3399999999"/>
  </r>
  <r>
    <x v="17"/>
    <x v="0"/>
    <s v="126050976059"/>
    <n v="9743"/>
    <n v="8427618.3399999999"/>
  </r>
  <r>
    <x v="17"/>
    <x v="0"/>
    <s v="126606760284"/>
    <n v="49388.86"/>
    <n v="8477007.1999999993"/>
  </r>
  <r>
    <x v="17"/>
    <x v="0"/>
    <s v="126607039216"/>
    <n v="7807.94"/>
    <n v="8484815.1400000006"/>
  </r>
  <r>
    <x v="17"/>
    <x v="0"/>
    <s v="126608518506"/>
    <n v="8596.77"/>
    <n v="8493411.9100000001"/>
  </r>
  <r>
    <x v="17"/>
    <x v="0"/>
    <s v="126053089055"/>
    <n v="49785.760000000002"/>
    <n v="8543197.6699999999"/>
  </r>
  <r>
    <x v="17"/>
    <x v="0"/>
    <s v="126608907260"/>
    <n v="42868.23"/>
    <n v="8586065.9000000004"/>
  </r>
  <r>
    <x v="17"/>
    <x v="0"/>
    <s v="126054219383"/>
    <n v="24648.82"/>
    <n v="8610714.7200000007"/>
  </r>
  <r>
    <x v="17"/>
    <x v="57"/>
    <s v="126672617220"/>
    <n v="-989904"/>
    <n v="7620810.7199999997"/>
  </r>
  <r>
    <x v="17"/>
    <x v="0"/>
    <s v="126157000377"/>
    <n v="8171.1"/>
    <n v="7628981.8200000003"/>
  </r>
  <r>
    <x v="17"/>
    <x v="0"/>
    <s v="126159013621"/>
    <n v="4189.49"/>
    <n v="7633171.3099999996"/>
  </r>
  <r>
    <x v="17"/>
    <x v="0"/>
    <s v="126715334666"/>
    <n v="25136.94"/>
    <n v="7658308.25"/>
  </r>
  <r>
    <x v="17"/>
    <x v="0"/>
    <s v="126717656802"/>
    <n v="4189.49"/>
    <n v="7662497.7400000002"/>
  </r>
  <r>
    <x v="17"/>
    <x v="0"/>
    <s v="126163201675"/>
    <n v="8378.98"/>
    <n v="7670876.7199999997"/>
  </r>
  <r>
    <x v="17"/>
    <x v="0"/>
    <s v="126163696217"/>
    <n v="21971.18"/>
    <n v="7692847.9000000004"/>
  </r>
  <r>
    <x v="17"/>
    <x v="0"/>
    <s v="126720176148"/>
    <n v="48572.65"/>
    <n v="7741420.5499999998"/>
  </r>
  <r>
    <x v="17"/>
    <x v="0"/>
    <s v="126720731270"/>
    <n v="4189.49"/>
    <n v="7745610.04"/>
  </r>
  <r>
    <x v="17"/>
    <x v="0"/>
    <s v="126165274867"/>
    <n v="4062.21"/>
    <n v="7749672.25"/>
  </r>
  <r>
    <x v="17"/>
    <x v="0"/>
    <s v="126723007268"/>
    <n v="7172.41"/>
    <n v="7756844.6600000001"/>
  </r>
  <r>
    <x v="17"/>
    <x v="0"/>
    <s v="126723539042"/>
    <n v="4062.21"/>
    <n v="7760906.8700000001"/>
  </r>
  <r>
    <x v="17"/>
    <x v="0"/>
    <s v="126723765408"/>
    <n v="4189.49"/>
    <n v="7765096.3600000003"/>
  </r>
  <r>
    <x v="17"/>
    <x v="0"/>
    <s v="126724104590"/>
    <n v="8974.65"/>
    <n v="7774071.0099999998"/>
  </r>
  <r>
    <x v="17"/>
    <x v="0"/>
    <s v="126724308446"/>
    <n v="4189.49"/>
    <n v="7778260.5"/>
  </r>
  <r>
    <x v="17"/>
    <x v="0"/>
    <s v="126724304832"/>
    <n v="3799.77"/>
    <n v="7782060.2699999996"/>
  </r>
  <r>
    <x v="17"/>
    <x v="0"/>
    <s v="126169270677"/>
    <n v="5553.51"/>
    <n v="7787613.7800000003"/>
  </r>
  <r>
    <x v="17"/>
    <x v="0"/>
    <s v="126725418364"/>
    <n v="3410.05"/>
    <n v="7791023.8300000001"/>
  </r>
  <r>
    <x v="17"/>
    <x v="0"/>
    <s v="126725608370"/>
    <n v="3410.05"/>
    <n v="7794433.8799999999"/>
  </r>
  <r>
    <x v="17"/>
    <x v="0"/>
    <s v="126170159241"/>
    <n v="37032.239999999998"/>
    <n v="7831466.1200000001"/>
  </r>
  <r>
    <x v="17"/>
    <x v="0"/>
    <s v="126171003423"/>
    <n v="3410.05"/>
    <n v="7834876.1699999999"/>
  </r>
  <r>
    <x v="17"/>
    <x v="0"/>
    <s v="126171264709"/>
    <n v="4189.49"/>
    <n v="7839065.6600000001"/>
  </r>
  <r>
    <x v="17"/>
    <x v="0"/>
    <s v="126171958661"/>
    <n v="11886.46"/>
    <n v="7850952.1200000001"/>
  </r>
  <r>
    <x v="17"/>
    <x v="0"/>
    <s v="126728336370"/>
    <n v="4062.21"/>
    <n v="7855014.3300000001"/>
  </r>
  <r>
    <x v="17"/>
    <x v="0"/>
    <s v="126172507849"/>
    <n v="7414.94"/>
    <n v="7862429.2699999996"/>
  </r>
  <r>
    <x v="17"/>
    <x v="0"/>
    <s v="126172609131"/>
    <n v="18043.77"/>
    <n v="7880473.04"/>
  </r>
  <r>
    <x v="17"/>
    <x v="0"/>
    <s v="126728677538"/>
    <n v="4062.21"/>
    <n v="7884535.25"/>
  </r>
  <r>
    <x v="17"/>
    <x v="0"/>
    <s v="126729380342"/>
    <n v="4189.49"/>
    <n v="7888724.7400000002"/>
  </r>
  <r>
    <x v="17"/>
    <x v="0"/>
    <s v="126729257882"/>
    <n v="5163.79"/>
    <n v="7893888.5300000003"/>
  </r>
  <r>
    <x v="17"/>
    <x v="0"/>
    <s v="126729595734"/>
    <n v="4062.21"/>
    <n v="7897950.7400000002"/>
  </r>
  <r>
    <x v="17"/>
    <x v="0"/>
    <s v="126729997528"/>
    <n v="4035.98"/>
    <n v="7901986.7199999997"/>
  </r>
  <r>
    <x v="17"/>
    <x v="0"/>
    <s v="126173864405"/>
    <n v="16757.96"/>
    <n v="7918744.6799999997"/>
  </r>
  <r>
    <x v="17"/>
    <x v="0"/>
    <s v="126730400096"/>
    <n v="54755.66"/>
    <n v="7973500.3399999999"/>
  </r>
  <r>
    <x v="17"/>
    <x v="102"/>
    <s v="126173878017"/>
    <n v="2750.99"/>
    <n v="7976251.3300000001"/>
  </r>
  <r>
    <x v="17"/>
    <x v="0"/>
    <s v="126730576680"/>
    <n v="20850.02"/>
    <n v="7997101.3499999996"/>
  </r>
  <r>
    <x v="17"/>
    <x v="0"/>
    <s v="126730666812"/>
    <n v="3410.05"/>
    <n v="8000511.4000000004"/>
  </r>
  <r>
    <x v="17"/>
    <x v="0"/>
    <s v="126730724768"/>
    <n v="4189.49"/>
    <n v="8004700.8899999997"/>
  </r>
  <r>
    <x v="17"/>
    <x v="0"/>
    <s v="126174840651"/>
    <n v="52417.34"/>
    <n v="8057118.2300000004"/>
  </r>
  <r>
    <x v="17"/>
    <x v="0"/>
    <s v="126730960018"/>
    <n v="3410.05"/>
    <n v="8060528.2800000003"/>
  </r>
  <r>
    <x v="17"/>
    <x v="0"/>
    <s v="126175205521"/>
    <n v="13347.91"/>
    <n v="8073876.1900000004"/>
  </r>
  <r>
    <x v="17"/>
    <x v="0"/>
    <s v="126176306385"/>
    <n v="8378.98"/>
    <n v="8082255.1699999999"/>
  </r>
  <r>
    <x v="17"/>
    <x v="0"/>
    <s v="126176356419"/>
    <n v="8378.98"/>
    <n v="8090634.1500000004"/>
  </r>
  <r>
    <x v="17"/>
    <x v="0"/>
    <s v="126176295955"/>
    <n v="14419.64"/>
    <n v="8105053.79"/>
  </r>
  <r>
    <x v="17"/>
    <x v="0"/>
    <s v="126733342172"/>
    <n v="24122.02"/>
    <n v="8129175.8099999996"/>
  </r>
  <r>
    <x v="17"/>
    <x v="0"/>
    <s v="126177394425"/>
    <n v="5163.79"/>
    <n v="8134339.5999999996"/>
  </r>
  <r>
    <x v="17"/>
    <x v="0"/>
    <s v="126733789902"/>
    <n v="10327.58"/>
    <n v="8144667.1799999997"/>
  </r>
  <r>
    <x v="17"/>
    <x v="0"/>
    <s v="126177858555"/>
    <n v="104444.96"/>
    <n v="8249112.1399999997"/>
  </r>
  <r>
    <x v="17"/>
    <x v="103"/>
    <s v="126734105004"/>
    <n v="5247.44"/>
    <n v="8254359.5800000001"/>
  </r>
  <r>
    <x v="17"/>
    <x v="0"/>
    <s v="126734101344"/>
    <n v="8378.98"/>
    <n v="8262738.5599999996"/>
  </r>
  <r>
    <x v="17"/>
    <x v="0"/>
    <s v="126177996273"/>
    <n v="16757.96"/>
    <n v="8279496.5199999996"/>
  </r>
  <r>
    <x v="17"/>
    <x v="0"/>
    <s v="126734131932"/>
    <n v="4189.49"/>
    <n v="8283686.0099999998"/>
  </r>
  <r>
    <x v="17"/>
    <x v="0"/>
    <s v="126734488490"/>
    <n v="21337.17"/>
    <n v="8305023.1799999997"/>
  </r>
  <r>
    <x v="17"/>
    <x v="0"/>
    <s v="126178996297"/>
    <n v="8378.98"/>
    <n v="8313402.1600000001"/>
  </r>
  <r>
    <x v="17"/>
    <x v="0"/>
    <s v="126179218399"/>
    <n v="9353.2800000000007"/>
    <n v="8322755.4400000004"/>
  </r>
  <r>
    <x v="17"/>
    <x v="104"/>
    <s v="126179069627"/>
    <n v="469.92"/>
    <n v="8323225.3600000003"/>
  </r>
  <r>
    <x v="17"/>
    <x v="0"/>
    <s v="126735130040"/>
    <n v="3410.05"/>
    <n v="8326635.4100000001"/>
  </r>
  <r>
    <x v="17"/>
    <x v="105"/>
    <s v="126179214869"/>
    <n v="171.32"/>
    <n v="8326806.7300000004"/>
  </r>
  <r>
    <x v="17"/>
    <x v="0"/>
    <s v="126735538284"/>
    <n v="9060.99"/>
    <n v="8335867.7199999997"/>
  </r>
  <r>
    <x v="18"/>
    <x v="0"/>
    <s v="126735449040"/>
    <n v="4035.98"/>
    <n v="8339903.7000000002"/>
  </r>
  <r>
    <x v="18"/>
    <x v="0"/>
    <s v="126179338967"/>
    <n v="4062.21"/>
    <n v="8343965.9100000001"/>
  </r>
  <r>
    <x v="18"/>
    <x v="0"/>
    <s v="126179317665"/>
    <n v="8124.42"/>
    <n v="8352090.3300000001"/>
  </r>
  <r>
    <x v="18"/>
    <x v="0"/>
    <s v="126179543345"/>
    <n v="12568.47"/>
    <n v="8364658.7999999998"/>
  </r>
  <r>
    <x v="18"/>
    <x v="0"/>
    <s v="126736088642"/>
    <n v="20752.59"/>
    <n v="8385411.3899999997"/>
  </r>
  <r>
    <x v="18"/>
    <x v="0"/>
    <s v="126736031606"/>
    <n v="4384.3500000000004"/>
    <n v="8389795.7400000002"/>
  </r>
  <r>
    <x v="18"/>
    <x v="0"/>
    <s v="126179853579"/>
    <n v="9060.99"/>
    <n v="8398856.7300000004"/>
  </r>
  <r>
    <x v="18"/>
    <x v="0"/>
    <s v="126736781276"/>
    <n v="7807.94"/>
    <n v="8406664.6699999999"/>
  </r>
  <r>
    <x v="18"/>
    <x v="0"/>
    <s v="126736925278"/>
    <n v="21728.1"/>
    <n v="8428392.7699999996"/>
  </r>
  <r>
    <x v="18"/>
    <x v="0"/>
    <s v="126180519317"/>
    <n v="65862.679999999993"/>
    <n v="8494255.4499999993"/>
  </r>
  <r>
    <x v="18"/>
    <x v="0"/>
    <s v="126180758335"/>
    <n v="19522.88"/>
    <n v="8513778.3300000001"/>
  </r>
  <r>
    <x v="18"/>
    <x v="0"/>
    <s v="126736920096"/>
    <n v="81338.67"/>
    <n v="8595117"/>
  </r>
  <r>
    <x v="18"/>
    <x v="0"/>
    <s v="126737086952"/>
    <n v="16425.5"/>
    <n v="8611542.5"/>
  </r>
  <r>
    <x v="18"/>
    <x v="0"/>
    <s v="126737129400"/>
    <n v="9060.99"/>
    <n v="8620603.4900000002"/>
  </r>
  <r>
    <x v="18"/>
    <x v="0"/>
    <s v="126181139963"/>
    <n v="12568.47"/>
    <n v="8633171.9600000009"/>
  </r>
  <r>
    <x v="18"/>
    <x v="0"/>
    <s v="126181421567"/>
    <n v="31859.61"/>
    <n v="8665031.5700000003"/>
  </r>
  <r>
    <x v="18"/>
    <x v="0"/>
    <s v="126182042267"/>
    <n v="21921.75"/>
    <n v="8686953.3200000003"/>
  </r>
  <r>
    <x v="18"/>
    <x v="0"/>
    <s v="126738333100"/>
    <n v="34100.5"/>
    <n v="8721053.8200000003"/>
  </r>
  <r>
    <x v="18"/>
    <x v="0"/>
    <s v="126738441012"/>
    <n v="13250.48"/>
    <n v="8734304.3000000007"/>
  </r>
  <r>
    <x v="18"/>
    <x v="0"/>
    <s v="126738655450"/>
    <n v="13250.48"/>
    <n v="8747554.7799999993"/>
  </r>
  <r>
    <x v="18"/>
    <x v="105"/>
    <s v="126182237529"/>
    <n v="665.72"/>
    <n v="8748220.5"/>
  </r>
  <r>
    <x v="18"/>
    <x v="0"/>
    <s v="126738940502"/>
    <n v="3799.77"/>
    <n v="8752020.2699999996"/>
  </r>
  <r>
    <x v="18"/>
    <x v="0"/>
    <s v="126182746591"/>
    <n v="23285.77"/>
    <n v="8775306.0399999991"/>
  </r>
  <r>
    <x v="18"/>
    <x v="0"/>
    <s v="126182861281"/>
    <n v="3799.77"/>
    <n v="8779105.8100000005"/>
  </r>
  <r>
    <x v="18"/>
    <x v="0"/>
    <s v="126183222931"/>
    <n v="7989.26"/>
    <n v="8787095.0700000003"/>
  </r>
  <r>
    <x v="18"/>
    <x v="0"/>
    <s v="126183344315"/>
    <n v="61186.04"/>
    <n v="8848281.1099999994"/>
  </r>
  <r>
    <x v="18"/>
    <x v="0"/>
    <s v="126183314795"/>
    <n v="9060.99"/>
    <n v="8857342.0999999996"/>
  </r>
  <r>
    <x v="18"/>
    <x v="0"/>
    <s v="126183517159"/>
    <n v="4189.49"/>
    <n v="8861531.5899999999"/>
  </r>
  <r>
    <x v="18"/>
    <x v="0"/>
    <s v="126740106866"/>
    <n v="4871.5"/>
    <n v="8866403.0899999999"/>
  </r>
  <r>
    <x v="18"/>
    <x v="0"/>
    <s v="126183601699"/>
    <n v="3177.65"/>
    <n v="8869580.7400000002"/>
  </r>
  <r>
    <x v="18"/>
    <x v="0"/>
    <s v="126183676019"/>
    <n v="12568.47"/>
    <n v="8882149.2100000009"/>
  </r>
  <r>
    <x v="18"/>
    <x v="0"/>
    <s v="126740392456"/>
    <n v="8184.12"/>
    <n v="8890333.3300000001"/>
  </r>
  <r>
    <x v="18"/>
    <x v="0"/>
    <s v="126740494230"/>
    <n v="5350.02"/>
    <n v="8895683.3499999996"/>
  </r>
  <r>
    <x v="18"/>
    <x v="0"/>
    <s v="126740171940"/>
    <n v="4871.5"/>
    <n v="8900554.8499999996"/>
  </r>
  <r>
    <x v="18"/>
    <x v="0"/>
    <s v="126184382547"/>
    <n v="51053.32"/>
    <n v="8951608.1699999999"/>
  </r>
  <r>
    <x v="18"/>
    <x v="0"/>
    <s v="126740843732"/>
    <n v="9353.2800000000007"/>
    <n v="8960961.4499999993"/>
  </r>
  <r>
    <x v="18"/>
    <x v="0"/>
    <s v="126741631900"/>
    <n v="11983.89"/>
    <n v="8972945.3399999999"/>
  </r>
  <r>
    <x v="18"/>
    <x v="0"/>
    <s v="126185585139"/>
    <n v="23090.91"/>
    <n v="8996036.25"/>
  </r>
  <r>
    <x v="18"/>
    <x v="0"/>
    <s v="126185692955"/>
    <n v="16368.24"/>
    <n v="9012404.4900000002"/>
  </r>
  <r>
    <x v="18"/>
    <x v="0"/>
    <s v="126185509995"/>
    <n v="22408.9"/>
    <n v="9034813.3900000006"/>
  </r>
  <r>
    <x v="18"/>
    <x v="0"/>
    <s v="126185693425"/>
    <n v="44915.23"/>
    <n v="9079728.6199999992"/>
  </r>
  <r>
    <x v="18"/>
    <x v="0"/>
    <s v="126741893182"/>
    <n v="18302.7"/>
    <n v="9098031.3200000003"/>
  </r>
  <r>
    <x v="18"/>
    <x v="0"/>
    <s v="126185826419"/>
    <n v="7599.54"/>
    <n v="9105630.8599999994"/>
  </r>
  <r>
    <x v="18"/>
    <x v="106"/>
    <s v="126770445030"/>
    <n v="-90750"/>
    <n v="9014880.8599999994"/>
  </r>
  <r>
    <x v="18"/>
    <x v="4"/>
    <s v="126770445030"/>
    <n v="-544.5"/>
    <n v="9014336.3599999994"/>
  </r>
  <r>
    <x v="18"/>
    <x v="19"/>
    <s v="126793578000"/>
    <n v="-158284.69"/>
    <n v="8856051.6699999999"/>
  </r>
  <r>
    <x v="18"/>
    <x v="4"/>
    <s v="126793578000"/>
    <n v="-949.71"/>
    <n v="8855101.9600000009"/>
  </r>
  <r>
    <x v="18"/>
    <x v="19"/>
    <s v="126237032063"/>
    <n v="-58278"/>
    <n v="8796823.9600000009"/>
  </r>
  <r>
    <x v="18"/>
    <x v="4"/>
    <s v="126237032063"/>
    <n v="-349.67"/>
    <n v="8796474.2899999991"/>
  </r>
  <r>
    <x v="18"/>
    <x v="19"/>
    <s v="126238042751"/>
    <n v="-197879.97"/>
    <n v="8598594.3200000003"/>
  </r>
  <r>
    <x v="18"/>
    <x v="4"/>
    <s v="126238042751"/>
    <n v="-1187.28"/>
    <n v="8597407.0399999991"/>
  </r>
  <r>
    <x v="18"/>
    <x v="9"/>
    <s v="126797263370"/>
    <n v="-492940"/>
    <n v="8104467.04"/>
  </r>
  <r>
    <x v="18"/>
    <x v="3"/>
    <s v="126240876525"/>
    <n v="-149573.5"/>
    <n v="7954893.54"/>
  </r>
  <r>
    <x v="18"/>
    <x v="4"/>
    <s v="126240876525"/>
    <n v="-897.44"/>
    <n v="7953996.0999999996"/>
  </r>
  <r>
    <x v="18"/>
    <x v="107"/>
    <s v="126250049639"/>
    <n v="-397247.6"/>
    <n v="7556748.5"/>
  </r>
  <r>
    <x v="18"/>
    <x v="4"/>
    <s v="126250049639"/>
    <n v="-2383.4899999999998"/>
    <n v="7554365.0099999998"/>
  </r>
  <r>
    <x v="18"/>
    <x v="108"/>
    <s v="126810642450"/>
    <n v="-220425.67"/>
    <n v="7333939.3399999999"/>
  </r>
  <r>
    <x v="18"/>
    <x v="0"/>
    <s v="126284532553"/>
    <n v="8124.42"/>
    <n v="7342063.7599999998"/>
  </r>
  <r>
    <x v="18"/>
    <x v="0"/>
    <s v="126292935665"/>
    <n v="3684.33"/>
    <n v="7345748.0899999999"/>
  </r>
  <r>
    <x v="18"/>
    <x v="0"/>
    <s v="126295087115"/>
    <n v="8768.7000000000007"/>
    <n v="7354516.79"/>
  </r>
  <r>
    <x v="18"/>
    <x v="0"/>
    <s v="126853170834"/>
    <n v="8502.2999999999993"/>
    <n v="7363019.0899999999"/>
  </r>
  <r>
    <x v="18"/>
    <x v="0"/>
    <s v="126296416437"/>
    <n v="8124.42"/>
    <n v="7371143.5099999998"/>
  </r>
  <r>
    <x v="18"/>
    <x v="0"/>
    <s v="126298474467"/>
    <n v="8768.7000000000007"/>
    <n v="7379912.21"/>
  </r>
  <r>
    <x v="18"/>
    <x v="0"/>
    <s v="126298554027"/>
    <n v="8768.7000000000007"/>
    <n v="7388680.9100000001"/>
  </r>
  <r>
    <x v="18"/>
    <x v="0"/>
    <s v="126299319221"/>
    <n v="20612.009999999998"/>
    <n v="7409292.9199999999"/>
  </r>
  <r>
    <x v="18"/>
    <x v="0"/>
    <s v="126859782450"/>
    <n v="4035.98"/>
    <n v="7413328.9000000004"/>
  </r>
  <r>
    <x v="18"/>
    <x v="0"/>
    <s v="126304421967"/>
    <n v="46961.26"/>
    <n v="7460290.1600000001"/>
  </r>
  <r>
    <x v="18"/>
    <x v="0"/>
    <s v="126861716336"/>
    <n v="5163.79"/>
    <n v="7465453.9500000002"/>
  </r>
  <r>
    <x v="18"/>
    <x v="72"/>
    <s v="126861692506"/>
    <n v="259.43"/>
    <n v="7465713.3799999999"/>
  </r>
  <r>
    <x v="18"/>
    <x v="0"/>
    <s v="126862230908"/>
    <n v="3799.77"/>
    <n v="7469513.1500000004"/>
  </r>
  <r>
    <x v="18"/>
    <x v="0"/>
    <s v="126306563085"/>
    <n v="26013.81"/>
    <n v="7495526.96"/>
  </r>
  <r>
    <x v="18"/>
    <x v="0"/>
    <s v="126308248317"/>
    <n v="8768.7000000000007"/>
    <n v="7504295.6600000001"/>
  </r>
  <r>
    <x v="18"/>
    <x v="0"/>
    <s v="126865877842"/>
    <n v="33914.730000000003"/>
    <n v="7538210.3899999997"/>
  </r>
  <r>
    <x v="18"/>
    <x v="0"/>
    <s v="126309333557"/>
    <n v="44395.78"/>
    <n v="7582606.1699999999"/>
  </r>
  <r>
    <x v="18"/>
    <x v="0"/>
    <s v="126868129818"/>
    <n v="58555.43"/>
    <n v="7641161.5999999996"/>
  </r>
  <r>
    <x v="18"/>
    <x v="0"/>
    <s v="126311741457"/>
    <n v="34685.08"/>
    <n v="7675846.6799999997"/>
  </r>
  <r>
    <x v="18"/>
    <x v="0"/>
    <s v="126312348037"/>
    <n v="3799.77"/>
    <n v="7679646.4500000002"/>
  </r>
  <r>
    <x v="18"/>
    <x v="0"/>
    <s v="126869531676"/>
    <n v="16248.84"/>
    <n v="7695895.29"/>
  </r>
  <r>
    <x v="18"/>
    <x v="0"/>
    <s v="126869842594"/>
    <n v="9447"/>
    <n v="7705342.29"/>
  </r>
  <r>
    <x v="18"/>
    <x v="0"/>
    <s v="126870052406"/>
    <n v="46762.65"/>
    <n v="7752104.9400000004"/>
  </r>
  <r>
    <x v="18"/>
    <x v="0"/>
    <s v="126871817554"/>
    <n v="16757.96"/>
    <n v="7768862.9000000004"/>
  </r>
  <r>
    <x v="18"/>
    <x v="0"/>
    <s v="126314909589"/>
    <n v="4871.5"/>
    <n v="7773734.4000000004"/>
  </r>
  <r>
    <x v="18"/>
    <x v="0"/>
    <s v="126873074156"/>
    <n v="4189.49"/>
    <n v="7777923.8899999997"/>
  </r>
  <r>
    <x v="19"/>
    <x v="0"/>
    <s v="126316225841"/>
    <n v="1851.17"/>
    <n v="7779775.0599999996"/>
  </r>
  <r>
    <x v="19"/>
    <x v="109"/>
    <s v="126873295184"/>
    <n v="93"/>
    <n v="7779868.0599999996"/>
  </r>
  <r>
    <x v="19"/>
    <x v="0"/>
    <s v="126874886990"/>
    <n v="67734.990000000005"/>
    <n v="7847603.0499999998"/>
  </r>
  <r>
    <x v="19"/>
    <x v="0"/>
    <s v="126875041098"/>
    <n v="14831.79"/>
    <n v="7862434.8399999999"/>
  </r>
  <r>
    <x v="19"/>
    <x v="0"/>
    <s v="126318205615"/>
    <n v="7696.97"/>
    <n v="7870131.8099999996"/>
  </r>
  <r>
    <x v="19"/>
    <x v="0"/>
    <s v="126875172028"/>
    <n v="4871.5"/>
    <n v="7875003.3099999996"/>
  </r>
  <r>
    <x v="19"/>
    <x v="0"/>
    <s v="126876254088"/>
    <n v="4189.49"/>
    <n v="7879192.7999999998"/>
  </r>
  <r>
    <x v="19"/>
    <x v="0"/>
    <s v="126876381400"/>
    <n v="6820.1"/>
    <n v="7886012.9000000004"/>
  </r>
  <r>
    <x v="19"/>
    <x v="0"/>
    <s v="126319844955"/>
    <n v="30105.87"/>
    <n v="7916118.7699999996"/>
  </r>
  <r>
    <x v="19"/>
    <x v="0"/>
    <s v="126320141423"/>
    <n v="12958.19"/>
    <n v="7929076.96"/>
  </r>
  <r>
    <x v="19"/>
    <x v="0"/>
    <s v="126320288243"/>
    <n v="4189.49"/>
    <n v="7933266.4500000002"/>
  </r>
  <r>
    <x v="19"/>
    <x v="0"/>
    <s v="126320241659"/>
    <n v="11128.55"/>
    <n v="7944395"/>
  </r>
  <r>
    <x v="19"/>
    <x v="110"/>
    <s v="126320241673"/>
    <n v="1688.77"/>
    <n v="7946083.7699999996"/>
  </r>
  <r>
    <x v="19"/>
    <x v="0"/>
    <s v="126877870800"/>
    <n v="9158.42"/>
    <n v="7955242.1900000004"/>
  </r>
  <r>
    <x v="19"/>
    <x v="0"/>
    <s v="126878375750"/>
    <n v="224700.84"/>
    <n v="8179943.0300000003"/>
  </r>
  <r>
    <x v="19"/>
    <x v="0"/>
    <s v="126321636735"/>
    <n v="41700.04"/>
    <n v="8221643.0700000003"/>
  </r>
  <r>
    <x v="19"/>
    <x v="0"/>
    <s v="126322107825"/>
    <n v="62728.08"/>
    <n v="8284371.1500000004"/>
  </r>
  <r>
    <x v="19"/>
    <x v="0"/>
    <s v="126879442386"/>
    <n v="43363.32"/>
    <n v="8327734.4699999997"/>
  </r>
  <r>
    <x v="19"/>
    <x v="0"/>
    <s v="126322416275"/>
    <n v="9743"/>
    <n v="8337477.4699999997"/>
  </r>
  <r>
    <x v="19"/>
    <x v="0"/>
    <s v="126322363921"/>
    <n v="49981.59"/>
    <n v="8387459.0599999996"/>
  </r>
  <r>
    <x v="19"/>
    <x v="0"/>
    <s v="126322417111"/>
    <n v="12665.9"/>
    <n v="8400124.9600000009"/>
  </r>
  <r>
    <x v="19"/>
    <x v="0"/>
    <s v="126879711336"/>
    <n v="8502.2999999999993"/>
    <n v="8408627.2599999998"/>
  </r>
  <r>
    <x v="19"/>
    <x v="0"/>
    <s v="126879997894"/>
    <n v="65960.11"/>
    <n v="8474587.3699999992"/>
  </r>
  <r>
    <x v="19"/>
    <x v="0"/>
    <s v="126322987383"/>
    <n v="44038.36"/>
    <n v="8518625.7300000004"/>
  </r>
  <r>
    <x v="19"/>
    <x v="0"/>
    <s v="126323027433"/>
    <n v="22389.39"/>
    <n v="8541015.1199999992"/>
  </r>
  <r>
    <x v="19"/>
    <x v="0"/>
    <s v="126960677984"/>
    <n v="11903.22"/>
    <n v="8552918.3399999999"/>
  </r>
  <r>
    <x v="19"/>
    <x v="0"/>
    <s v="126410121599"/>
    <n v="5163.79"/>
    <n v="8558082.1300000008"/>
  </r>
  <r>
    <x v="19"/>
    <x v="0"/>
    <s v="126410422343"/>
    <n v="4189.49"/>
    <n v="8562271.6199999992"/>
  </r>
  <r>
    <x v="19"/>
    <x v="0"/>
    <s v="126412724811"/>
    <n v="7368.66"/>
    <n v="8569640.2799999993"/>
  </r>
  <r>
    <x v="19"/>
    <x v="0"/>
    <s v="126970599066"/>
    <n v="3903.97"/>
    <n v="8573544.25"/>
  </r>
  <r>
    <x v="19"/>
    <x v="0"/>
    <s v="126971190364"/>
    <n v="7508.8"/>
    <n v="8581053.0500000007"/>
  </r>
  <r>
    <x v="19"/>
    <x v="0"/>
    <s v="126415952795"/>
    <n v="3799.77"/>
    <n v="8584852.8200000003"/>
  </r>
  <r>
    <x v="19"/>
    <x v="0"/>
    <s v="126416100771"/>
    <n v="18095.990000000002"/>
    <n v="8602948.8100000005"/>
  </r>
  <r>
    <x v="19"/>
    <x v="0"/>
    <s v="126416744717"/>
    <n v="7368.66"/>
    <n v="8610317.4700000007"/>
  </r>
  <r>
    <x v="19"/>
    <x v="0"/>
    <s v="126417189235"/>
    <n v="55548.36"/>
    <n v="8665865.8300000001"/>
  </r>
  <r>
    <x v="19"/>
    <x v="0"/>
    <s v="126417744443"/>
    <n v="17537.400000000001"/>
    <n v="8683403.2300000004"/>
  </r>
  <r>
    <x v="19"/>
    <x v="0"/>
    <s v="126418008273"/>
    <n v="26598.39"/>
    <n v="8710001.6199999992"/>
  </r>
  <r>
    <x v="19"/>
    <x v="111"/>
    <s v="126417976831"/>
    <n v="1336.33"/>
    <n v="8711337.9499999993"/>
  </r>
  <r>
    <x v="19"/>
    <x v="0"/>
    <s v="126418419939"/>
    <n v="12763.33"/>
    <n v="8724101.2799999993"/>
  </r>
  <r>
    <x v="19"/>
    <x v="112"/>
    <s v="126418469315"/>
    <n v="641.24"/>
    <n v="8724742.5199999996"/>
  </r>
  <r>
    <x v="19"/>
    <x v="0"/>
    <s v="126978302556"/>
    <n v="27377.83"/>
    <n v="8752120.3499999996"/>
  </r>
  <r>
    <x v="19"/>
    <x v="0"/>
    <s v="126979157826"/>
    <n v="34292.61"/>
    <n v="8786412.9600000009"/>
  </r>
  <r>
    <x v="19"/>
    <x v="0"/>
    <s v="126421871761"/>
    <n v="8378.98"/>
    <n v="8794791.9399999995"/>
  </r>
  <r>
    <x v="19"/>
    <x v="0"/>
    <s v="126980936250"/>
    <n v="20700.12"/>
    <n v="8815492.0600000005"/>
  </r>
  <r>
    <x v="19"/>
    <x v="0"/>
    <s v="126423501303"/>
    <n v="23334.09"/>
    <n v="8838826.1500000004"/>
  </r>
  <r>
    <x v="19"/>
    <x v="0"/>
    <s v="126423667935"/>
    <n v="30142.28"/>
    <n v="8868968.4299999997"/>
  </r>
  <r>
    <x v="19"/>
    <x v="0"/>
    <s v="126981776406"/>
    <n v="32875.56"/>
    <n v="8901843.9900000002"/>
  </r>
  <r>
    <x v="19"/>
    <x v="0"/>
    <s v="126981700000"/>
    <n v="71419.320000000007"/>
    <n v="8973263.3100000005"/>
  </r>
  <r>
    <x v="19"/>
    <x v="0"/>
    <s v="126424486673"/>
    <n v="10257.620000000001"/>
    <n v="8983520.9299999997"/>
  </r>
  <r>
    <x v="19"/>
    <x v="0"/>
    <s v="126424804149"/>
    <n v="50955.89"/>
    <n v="9034476.8200000003"/>
  </r>
  <r>
    <x v="19"/>
    <x v="0"/>
    <s v="126425131863"/>
    <n v="25317.96"/>
    <n v="9059794.7799999993"/>
  </r>
  <r>
    <x v="19"/>
    <x v="0"/>
    <s v="126982959770"/>
    <n v="10619.87"/>
    <n v="9070414.6500000004"/>
  </r>
  <r>
    <x v="19"/>
    <x v="0"/>
    <s v="126983145714"/>
    <n v="8378.98"/>
    <n v="9078793.6300000008"/>
  </r>
  <r>
    <x v="19"/>
    <x v="0"/>
    <s v="126426033467"/>
    <n v="37218.26"/>
    <n v="9116011.8900000006"/>
  </r>
  <r>
    <x v="19"/>
    <x v="113"/>
    <s v="126983513620"/>
    <n v="1869.89"/>
    <n v="9117881.7799999993"/>
  </r>
  <r>
    <x v="19"/>
    <x v="0"/>
    <s v="126983720944"/>
    <n v="40336.019999999997"/>
    <n v="9158217.8000000007"/>
  </r>
  <r>
    <x v="19"/>
    <x v="0"/>
    <s v="126983964624"/>
    <n v="70831.61"/>
    <n v="9229049.4100000001"/>
  </r>
  <r>
    <x v="19"/>
    <x v="0"/>
    <s v="126426592653"/>
    <n v="39751.440000000002"/>
    <n v="9268800.8499999996"/>
  </r>
  <r>
    <x v="19"/>
    <x v="0"/>
    <s v="126426524043"/>
    <n v="27585.24"/>
    <n v="9296386.0899999999"/>
  </r>
  <r>
    <x v="19"/>
    <x v="0"/>
    <s v="126984441946"/>
    <n v="20405.52"/>
    <n v="9316791.6099999994"/>
  </r>
  <r>
    <x v="19"/>
    <x v="0"/>
    <s v="126984992484"/>
    <n v="32541.62"/>
    <n v="9349333.2300000004"/>
  </r>
  <r>
    <x v="19"/>
    <x v="0"/>
    <s v="126984981826"/>
    <n v="30230.400000000001"/>
    <n v="9379563.6300000008"/>
  </r>
  <r>
    <x v="19"/>
    <x v="0"/>
    <s v="126427734197"/>
    <n v="7307.25"/>
    <n v="9386870.8800000008"/>
  </r>
  <r>
    <x v="19"/>
    <x v="114"/>
    <s v="126427704535"/>
    <n v="734.25"/>
    <n v="9387605.1300000008"/>
  </r>
  <r>
    <x v="19"/>
    <x v="0"/>
    <s v="126985153914"/>
    <n v="3799.77"/>
    <n v="9391404.9000000004"/>
  </r>
  <r>
    <x v="19"/>
    <x v="0"/>
    <s v="126427840519"/>
    <n v="32541.62"/>
    <n v="9423946.5199999996"/>
  </r>
  <r>
    <x v="19"/>
    <x v="115"/>
    <s v="126427745647"/>
    <n v="1634.93"/>
    <n v="9425581.4499999993"/>
  </r>
  <r>
    <x v="19"/>
    <x v="0"/>
    <s v="126428154421"/>
    <n v="9743"/>
    <n v="9435324.4499999993"/>
  </r>
  <r>
    <x v="19"/>
    <x v="0"/>
    <s v="126428160507"/>
    <n v="37544"/>
    <n v="9472868.4499999993"/>
  </r>
  <r>
    <x v="19"/>
    <x v="0"/>
    <s v="126985881488"/>
    <n v="69624.39"/>
    <n v="9542492.8399999999"/>
  </r>
  <r>
    <x v="19"/>
    <x v="0"/>
    <s v="126428591035"/>
    <n v="37221.18"/>
    <n v="9579714.0199999996"/>
  </r>
  <r>
    <x v="19"/>
    <x v="0"/>
    <s v="126986201156"/>
    <n v="35048.370000000003"/>
    <n v="9614762.3900000006"/>
  </r>
  <r>
    <x v="19"/>
    <x v="0"/>
    <s v="126428827067"/>
    <n v="45012.66"/>
    <n v="9659775.0500000007"/>
  </r>
  <r>
    <x v="19"/>
    <x v="116"/>
    <s v="126986375372"/>
    <n v="2261.4899999999998"/>
    <n v="9662036.5399999991"/>
  </r>
  <r>
    <x v="19"/>
    <x v="0"/>
    <s v="126986728354"/>
    <n v="8785.7099999999991"/>
    <n v="9670822.25"/>
  </r>
  <r>
    <x v="19"/>
    <x v="0"/>
    <s v="126429190877"/>
    <n v="50320.4"/>
    <n v="9721142.6500000004"/>
  </r>
  <r>
    <x v="19"/>
    <x v="0"/>
    <s v="126986973700"/>
    <n v="10327.58"/>
    <n v="9731470.2300000004"/>
  </r>
  <r>
    <x v="19"/>
    <x v="0"/>
    <s v="126987554710"/>
    <n v="25999.22"/>
    <n v="9757469.4499999993"/>
  </r>
  <r>
    <x v="20"/>
    <x v="0"/>
    <s v="126430310225"/>
    <n v="21728.1"/>
    <n v="9779197.5500000007"/>
  </r>
  <r>
    <x v="20"/>
    <x v="0"/>
    <s v="126430431329"/>
    <n v="15580.76"/>
    <n v="9794778.3100000005"/>
  </r>
  <r>
    <x v="20"/>
    <x v="0"/>
    <s v="126988152896"/>
    <n v="56704.26"/>
    <n v="9851482.5700000003"/>
  </r>
  <r>
    <x v="20"/>
    <x v="0"/>
    <s v="126430926107"/>
    <n v="17665.89"/>
    <n v="9869148.4600000009"/>
  </r>
  <r>
    <x v="20"/>
    <x v="0"/>
    <s v="126430980121"/>
    <n v="7989.26"/>
    <n v="9877137.7200000007"/>
  </r>
  <r>
    <x v="20"/>
    <x v="0"/>
    <s v="126988634112"/>
    <n v="10793.9"/>
    <n v="9887931.6199999992"/>
  </r>
  <r>
    <x v="20"/>
    <x v="0"/>
    <s v="126431285979"/>
    <n v="52904.49"/>
    <n v="9940836.1099999994"/>
  </r>
  <r>
    <x v="20"/>
    <x v="0"/>
    <s v="126431466333"/>
    <n v="68590.720000000001"/>
    <n v="10009426.83"/>
  </r>
  <r>
    <x v="20"/>
    <x v="0"/>
    <s v="126432046519"/>
    <n v="9743"/>
    <n v="10019169.83"/>
  </r>
  <r>
    <x v="20"/>
    <x v="0"/>
    <s v="126432682049"/>
    <n v="11430.87"/>
    <n v="10030600.699999999"/>
  </r>
  <r>
    <x v="20"/>
    <x v="0"/>
    <s v="126990295636"/>
    <n v="43161.49"/>
    <n v="10073762.189999999"/>
  </r>
  <r>
    <x v="20"/>
    <x v="0"/>
    <s v="126990455038"/>
    <n v="55632.53"/>
    <n v="10129394.720000001"/>
  </r>
  <r>
    <x v="20"/>
    <x v="0"/>
    <s v="126990463684"/>
    <n v="78138.86"/>
    <n v="10207533.58"/>
  </r>
  <r>
    <x v="20"/>
    <x v="0"/>
    <s v="126433454335"/>
    <n v="97776.45"/>
    <n v="10305310.029999999"/>
  </r>
  <r>
    <x v="20"/>
    <x v="0"/>
    <s v="126991162222"/>
    <n v="152672.81"/>
    <n v="10457982.84"/>
  </r>
  <r>
    <x v="20"/>
    <x v="117"/>
    <s v="126433503641"/>
    <n v="7670.46"/>
    <n v="10465653.300000001"/>
  </r>
  <r>
    <x v="20"/>
    <x v="0"/>
    <s v="126991147208"/>
    <n v="42674.34"/>
    <n v="10508327.640000001"/>
  </r>
  <r>
    <x v="20"/>
    <x v="0"/>
    <s v="126433647229"/>
    <n v="5748.37"/>
    <n v="10514076.01"/>
  </r>
  <r>
    <x v="20"/>
    <x v="0"/>
    <s v="126991562026"/>
    <n v="22896.05"/>
    <n v="10536972.060000001"/>
  </r>
  <r>
    <x v="20"/>
    <x v="118"/>
    <s v="126991676568"/>
    <n v="1150.32"/>
    <n v="10538122.380000001"/>
  </r>
  <r>
    <x v="20"/>
    <x v="0"/>
    <s v="126434616539"/>
    <n v="23239.62"/>
    <n v="10561362"/>
  </r>
  <r>
    <x v="20"/>
    <x v="0"/>
    <s v="126434588095"/>
    <n v="18705.060000000001"/>
    <n v="10580067.060000001"/>
  </r>
  <r>
    <x v="20"/>
    <x v="0"/>
    <s v="126992251400"/>
    <n v="52514.77"/>
    <n v="10632581.83"/>
  </r>
  <r>
    <x v="20"/>
    <x v="119"/>
    <s v="126992294948"/>
    <n v="2638.4"/>
    <n v="10635220.23"/>
  </r>
  <r>
    <x v="20"/>
    <x v="0"/>
    <s v="126992434810"/>
    <n v="33695.74"/>
    <n v="10668915.970000001"/>
  </r>
  <r>
    <x v="20"/>
    <x v="0"/>
    <s v="126992555472"/>
    <n v="8378.98"/>
    <n v="10677294.949999999"/>
  </r>
  <r>
    <x v="20"/>
    <x v="0"/>
    <s v="126992591204"/>
    <n v="13640.2"/>
    <n v="10690935.15"/>
  </r>
  <r>
    <x v="20"/>
    <x v="0"/>
    <s v="126435168221"/>
    <n v="114090.53"/>
    <n v="10805025.68"/>
  </r>
  <r>
    <x v="20"/>
    <x v="0"/>
    <s v="126992667842"/>
    <n v="21255.75"/>
    <n v="10826281.43"/>
  </r>
  <r>
    <x v="20"/>
    <x v="0"/>
    <s v="126992767926"/>
    <n v="45499.81"/>
    <n v="10871781.24"/>
  </r>
  <r>
    <x v="20"/>
    <x v="0"/>
    <s v="126992956554"/>
    <n v="81622.080000000002"/>
    <n v="10953403.32"/>
  </r>
  <r>
    <x v="20"/>
    <x v="0"/>
    <s v="126435878863"/>
    <n v="23428.560000000001"/>
    <n v="10976831.880000001"/>
  </r>
  <r>
    <x v="20"/>
    <x v="0"/>
    <s v="126435881501"/>
    <n v="114285.39"/>
    <n v="11091117.27"/>
  </r>
  <r>
    <x v="20"/>
    <x v="0"/>
    <s v="126435988375"/>
    <n v="20070.580000000002"/>
    <n v="11111187.85"/>
  </r>
  <r>
    <x v="20"/>
    <x v="0"/>
    <s v="126436273079"/>
    <n v="9351.3700000000008"/>
    <n v="11120539.220000001"/>
  </r>
  <r>
    <x v="20"/>
    <x v="120"/>
    <s v="126993731584"/>
    <n v="1008.37"/>
    <n v="11121547.59"/>
  </r>
  <r>
    <x v="20"/>
    <x v="0"/>
    <s v="126993816968"/>
    <n v="8573.84"/>
    <n v="11130121.43"/>
  </r>
  <r>
    <x v="20"/>
    <x v="0"/>
    <s v="126993923076"/>
    <n v="25429.23"/>
    <n v="11155550.66"/>
  </r>
  <r>
    <x v="20"/>
    <x v="0"/>
    <s v="126436481429"/>
    <n v="49407.81"/>
    <n v="11204958.470000001"/>
  </r>
  <r>
    <x v="20"/>
    <x v="0"/>
    <s v="126436687071"/>
    <n v="37997.699999999997"/>
    <n v="11242956.17"/>
  </r>
  <r>
    <x v="20"/>
    <x v="0"/>
    <s v="126436885759"/>
    <n v="18511.7"/>
    <n v="11261467.869999999"/>
  </r>
  <r>
    <x v="20"/>
    <x v="0"/>
    <s v="126437258399"/>
    <n v="18121.98"/>
    <n v="11279589.85"/>
  </r>
  <r>
    <x v="20"/>
    <x v="0"/>
    <s v="126994713226"/>
    <n v="43258.92"/>
    <n v="11322848.77"/>
  </r>
  <r>
    <x v="20"/>
    <x v="0"/>
    <s v="126994733000"/>
    <n v="18024.55"/>
    <n v="11340873.32"/>
  </r>
  <r>
    <x v="20"/>
    <x v="0"/>
    <s v="126994702036"/>
    <n v="15491.37"/>
    <n v="11356364.689999999"/>
  </r>
  <r>
    <x v="20"/>
    <x v="0"/>
    <s v="126994834838"/>
    <n v="8071.96"/>
    <n v="11364436.65"/>
  </r>
  <r>
    <x v="20"/>
    <x v="0"/>
    <s v="126994860808"/>
    <n v="22896.05"/>
    <n v="11387332.699999999"/>
  </r>
  <r>
    <x v="20"/>
    <x v="0"/>
    <s v="126994870920"/>
    <n v="18803.990000000002"/>
    <n v="11406136.689999999"/>
  </r>
  <r>
    <x v="20"/>
    <x v="0"/>
    <s v="126995028620"/>
    <n v="33773.879999999997"/>
    <n v="11439910.57"/>
  </r>
  <r>
    <x v="20"/>
    <x v="0"/>
    <s v="126498711815"/>
    <n v="8378.98"/>
    <n v="11448289.550000001"/>
  </r>
  <r>
    <x v="20"/>
    <x v="0"/>
    <s v="126499013865"/>
    <n v="4974.58"/>
    <n v="11453264.130000001"/>
  </r>
  <r>
    <x v="20"/>
    <x v="0"/>
    <s v="127057252498"/>
    <n v="4189.49"/>
    <n v="11457453.619999999"/>
  </r>
  <r>
    <x v="20"/>
    <x v="0"/>
    <s v="126501121485"/>
    <n v="6355.3"/>
    <n v="11463808.92"/>
  </r>
  <r>
    <x v="20"/>
    <x v="0"/>
    <s v="126502326417"/>
    <n v="4384.3500000000004"/>
    <n v="11468193.27"/>
  </r>
  <r>
    <x v="20"/>
    <x v="0"/>
    <s v="127060015374"/>
    <n v="8768.7000000000007"/>
    <n v="11476961.970000001"/>
  </r>
  <r>
    <x v="20"/>
    <x v="0"/>
    <s v="127064546278"/>
    <n v="17704.05"/>
    <n v="11494666.02"/>
  </r>
  <r>
    <x v="20"/>
    <x v="0"/>
    <s v="126508269011"/>
    <n v="8378.98"/>
    <n v="11503045"/>
  </r>
  <r>
    <x v="20"/>
    <x v="0"/>
    <s v="127066369438"/>
    <n v="16547.669999999998"/>
    <n v="11519592.67"/>
  </r>
  <r>
    <x v="20"/>
    <x v="0"/>
    <s v="126509739927"/>
    <n v="18421.650000000001"/>
    <n v="11538014.32"/>
  </r>
  <r>
    <x v="20"/>
    <x v="0"/>
    <s v="126510073927"/>
    <n v="24656.67"/>
    <n v="11562670.99"/>
  </r>
  <r>
    <x v="20"/>
    <x v="121"/>
    <s v="127068860180"/>
    <n v="-89532.99"/>
    <n v="11473138"/>
  </r>
  <r>
    <x v="20"/>
    <x v="0"/>
    <s v="126511461547"/>
    <n v="22896.05"/>
    <n v="11496034.050000001"/>
  </r>
  <r>
    <x v="20"/>
    <x v="0"/>
    <s v="126511948803"/>
    <n v="62744.92"/>
    <n v="11558778.970000001"/>
  </r>
  <r>
    <x v="20"/>
    <x v="0"/>
    <s v="126512641065"/>
    <n v="7794.4"/>
    <n v="11566573.369999999"/>
  </r>
  <r>
    <x v="20"/>
    <x v="0"/>
    <s v="127070575668"/>
    <n v="25790.31"/>
    <n v="11592363.68"/>
  </r>
  <r>
    <x v="20"/>
    <x v="0"/>
    <s v="126514090825"/>
    <n v="14453.91"/>
    <n v="11606817.59"/>
  </r>
  <r>
    <x v="20"/>
    <x v="0"/>
    <s v="126515332807"/>
    <n v="9855.2999999999993"/>
    <n v="11616672.890000001"/>
  </r>
  <r>
    <x v="20"/>
    <x v="0"/>
    <s v="127072983012"/>
    <n v="82221.36"/>
    <n v="11698894.25"/>
  </r>
  <r>
    <x v="20"/>
    <x v="0"/>
    <s v="126515369669"/>
    <n v="32611.49"/>
    <n v="11731505.74"/>
  </r>
  <r>
    <x v="20"/>
    <x v="0"/>
    <s v="127073051828"/>
    <n v="10327.58"/>
    <n v="11741833.32"/>
  </r>
  <r>
    <x v="20"/>
    <x v="0"/>
    <s v="127073157830"/>
    <n v="57911.62"/>
    <n v="11799744.939999999"/>
  </r>
  <r>
    <x v="20"/>
    <x v="0"/>
    <s v="126517327301"/>
    <n v="6820.1"/>
    <n v="11806565.039999999"/>
  </r>
  <r>
    <x v="20"/>
    <x v="122"/>
    <s v="126517378719"/>
    <n v="685.3"/>
    <n v="11807250.34"/>
  </r>
  <r>
    <x v="20"/>
    <x v="0"/>
    <s v="127075428606"/>
    <n v="32736.48"/>
    <n v="11839986.82"/>
  </r>
  <r>
    <x v="20"/>
    <x v="123"/>
    <s v="126517605135"/>
    <n v="1644.72"/>
    <n v="11841631.539999999"/>
  </r>
  <r>
    <x v="20"/>
    <x v="0"/>
    <s v="127076367736"/>
    <n v="8071.96"/>
    <n v="11849703.5"/>
  </r>
  <r>
    <x v="21"/>
    <x v="124"/>
    <s v="126554909927"/>
    <n v="-9808.51"/>
    <n v="11839894.99"/>
  </r>
  <r>
    <x v="21"/>
    <x v="124"/>
    <s v="127113049188"/>
    <n v="-74343.42"/>
    <n v="11765551.57"/>
  </r>
  <r>
    <x v="21"/>
    <x v="124"/>
    <s v="126555295449"/>
    <n v="-25753.61"/>
    <n v="11739797.960000001"/>
  </r>
  <r>
    <x v="21"/>
    <x v="12"/>
    <s v="126557190161"/>
    <n v="-150472.45000000001"/>
    <n v="11589325.51"/>
  </r>
  <r>
    <x v="21"/>
    <x v="12"/>
    <s v="127115178752"/>
    <n v="-179047.88"/>
    <n v="11410277.630000001"/>
  </r>
  <r>
    <x v="21"/>
    <x v="30"/>
    <s v="126558339359"/>
    <n v="-527435.88"/>
    <n v="10882841.75"/>
  </r>
  <r>
    <x v="21"/>
    <x v="98"/>
    <s v="126561112907"/>
    <n v="-823539.27"/>
    <n v="10059302.48"/>
  </r>
  <r>
    <x v="21"/>
    <x v="6"/>
    <s v="126562288511"/>
    <n v="-69896.88"/>
    <n v="9989405.5999999996"/>
  </r>
  <r>
    <x v="21"/>
    <x v="5"/>
    <s v="127124821744"/>
    <n v="-176361.99"/>
    <n v="9813043.6099999994"/>
  </r>
  <r>
    <x v="21"/>
    <x v="4"/>
    <s v="127124821744"/>
    <n v="-1058.17"/>
    <n v="9811985.4399999995"/>
  </r>
  <r>
    <x v="21"/>
    <x v="121"/>
    <s v="127126561178"/>
    <n v="-89532.99"/>
    <n v="9722452.4499999993"/>
  </r>
  <r>
    <x v="21"/>
    <x v="108"/>
    <s v="127126683578"/>
    <n v="-220425.67"/>
    <n v="9502026.7799999993"/>
  </r>
  <r>
    <x v="21"/>
    <x v="125"/>
    <s v="126569211701"/>
    <n v="-5000"/>
    <n v="9497026.7799999993"/>
  </r>
  <r>
    <x v="21"/>
    <x v="4"/>
    <s v="126569211701"/>
    <n v="-30"/>
    <n v="9496996.7799999993"/>
  </r>
  <r>
    <x v="21"/>
    <x v="30"/>
    <s v="127135771494"/>
    <n v="-736855.88"/>
    <n v="8760140.9000000004"/>
  </r>
  <r>
    <x v="21"/>
    <x v="9"/>
    <s v="127137463700"/>
    <n v="-286218.19"/>
    <n v="8473922.7100000009"/>
  </r>
  <r>
    <x v="22"/>
    <x v="98"/>
    <s v="126674991801"/>
    <n v="-142819.31"/>
    <n v="8331103.4000000004"/>
  </r>
  <r>
    <x v="22"/>
    <x v="126"/>
    <s v="126684826955"/>
    <n v="-251359.76"/>
    <n v="8079743.6399999997"/>
  </r>
  <r>
    <x v="23"/>
    <x v="13"/>
    <s v="127363517828"/>
    <n v="-184602.4"/>
    <n v="7895141.2400000002"/>
  </r>
  <r>
    <x v="23"/>
    <x v="4"/>
    <s v="127363517828"/>
    <n v="-1107.6099999999999"/>
    <n v="7894033.6299999999"/>
  </r>
  <r>
    <x v="23"/>
    <x v="13"/>
    <s v="127365725240"/>
    <n v="-325277.90000000002"/>
    <n v="7568755.7300000004"/>
  </r>
  <r>
    <x v="23"/>
    <x v="4"/>
    <s v="127365725240"/>
    <n v="-1951.67"/>
    <n v="7566804.0599999996"/>
  </r>
  <r>
    <x v="23"/>
    <x v="0"/>
    <s v="126870127477"/>
    <n v="9158.42"/>
    <n v="7575962.4800000004"/>
  </r>
  <r>
    <x v="23"/>
    <x v="0"/>
    <s v="126870455355"/>
    <n v="7989.26"/>
    <n v="7583951.7400000002"/>
  </r>
  <r>
    <x v="23"/>
    <x v="0"/>
    <s v="126876188659"/>
    <n v="9645.57"/>
    <n v="7593597.3099999996"/>
  </r>
  <r>
    <x v="23"/>
    <x v="0"/>
    <s v="126879032923"/>
    <n v="17050.25"/>
    <n v="7610647.5599999996"/>
  </r>
  <r>
    <x v="23"/>
    <x v="0"/>
    <s v="126879534625"/>
    <n v="37260.54"/>
    <n v="7647908.0999999996"/>
  </r>
  <r>
    <x v="23"/>
    <x v="0"/>
    <s v="126885640855"/>
    <n v="35103.64"/>
    <n v="7683011.7400000002"/>
  </r>
  <r>
    <x v="23"/>
    <x v="0"/>
    <s v="127446508562"/>
    <n v="32778.26"/>
    <n v="7715790"/>
  </r>
  <r>
    <x v="23"/>
    <x v="0"/>
    <s v="126886865607"/>
    <n v="85737.43"/>
    <n v="7801527.4299999997"/>
  </r>
  <r>
    <x v="23"/>
    <x v="0"/>
    <s v="126887451621"/>
    <n v="30103.919999999998"/>
    <n v="7831631.3499999996"/>
  </r>
  <r>
    <x v="23"/>
    <x v="0"/>
    <s v="126887615459"/>
    <n v="19484.05"/>
    <n v="7851115.4000000004"/>
  </r>
  <r>
    <x v="23"/>
    <x v="115"/>
    <s v="127448024726"/>
    <n v="978.02"/>
    <n v="7852093.4199999999"/>
  </r>
  <r>
    <x v="23"/>
    <x v="0"/>
    <s v="127448262384"/>
    <n v="25813.11"/>
    <n v="7877906.5300000003"/>
  </r>
  <r>
    <x v="23"/>
    <x v="127"/>
    <s v="127448143966"/>
    <n v="2593.37"/>
    <n v="7880499.9000000004"/>
  </r>
  <r>
    <x v="24"/>
    <x v="0"/>
    <s v="126890006531"/>
    <n v="25436.06"/>
    <n v="7905935.96"/>
  </r>
  <r>
    <x v="24"/>
    <x v="0"/>
    <s v="127450599184"/>
    <n v="19096.28"/>
    <n v="7925032.2400000002"/>
  </r>
  <r>
    <x v="24"/>
    <x v="0"/>
    <s v="127451720802"/>
    <n v="35074.800000000003"/>
    <n v="7960107.04"/>
  </r>
  <r>
    <x v="24"/>
    <x v="11"/>
    <s v="126932959003"/>
    <n v="-98090.03"/>
    <n v="7862017.0099999998"/>
  </r>
  <r>
    <x v="24"/>
    <x v="4"/>
    <s v="126932959003"/>
    <n v="-588.54"/>
    <n v="7861428.4699999997"/>
  </r>
  <r>
    <x v="24"/>
    <x v="0"/>
    <s v="126987851295"/>
    <n v="8447.4"/>
    <n v="7869875.8700000001"/>
  </r>
  <r>
    <x v="24"/>
    <x v="0"/>
    <s v="127551863294"/>
    <n v="38543.760000000002"/>
    <n v="7908419.6299999999"/>
  </r>
  <r>
    <x v="24"/>
    <x v="0"/>
    <s v="126992616729"/>
    <n v="4384.3500000000004"/>
    <n v="7912803.9800000004"/>
  </r>
  <r>
    <x v="24"/>
    <x v="0"/>
    <s v="126993096283"/>
    <n v="8768.7000000000007"/>
    <n v="7921572.6799999997"/>
  </r>
  <r>
    <x v="24"/>
    <x v="0"/>
    <s v="126995125095"/>
    <n v="3507.48"/>
    <n v="7925080.1600000001"/>
  </r>
  <r>
    <x v="24"/>
    <x v="0"/>
    <s v="127558376292"/>
    <n v="23995.38"/>
    <n v="7949075.54"/>
  </r>
  <r>
    <x v="24"/>
    <x v="0"/>
    <s v="126997229679"/>
    <n v="5358.65"/>
    <n v="7954434.1900000004"/>
  </r>
  <r>
    <x v="24"/>
    <x v="0"/>
    <s v="127559378722"/>
    <n v="4384.3500000000004"/>
    <n v="7958818.54"/>
  </r>
  <r>
    <x v="24"/>
    <x v="128"/>
    <s v="126998023247"/>
    <n v="440.55"/>
    <n v="7959259.0899999999"/>
  </r>
  <r>
    <x v="24"/>
    <x v="0"/>
    <s v="126998588149"/>
    <n v="17537.400000000001"/>
    <n v="7976796.4900000002"/>
  </r>
  <r>
    <x v="24"/>
    <x v="0"/>
    <s v="127560080358"/>
    <n v="4384.3500000000004"/>
    <n v="7981180.8399999999"/>
  </r>
  <r>
    <x v="24"/>
    <x v="0"/>
    <s v="126999420385"/>
    <n v="8963.56"/>
    <n v="7990144.4000000004"/>
  </r>
  <r>
    <x v="24"/>
    <x v="0"/>
    <s v="127000155083"/>
    <n v="8768.7000000000007"/>
    <n v="7998913.0999999996"/>
  </r>
  <r>
    <x v="24"/>
    <x v="0"/>
    <s v="127562689912"/>
    <n v="12081.32"/>
    <n v="8010994.4199999999"/>
  </r>
  <r>
    <x v="24"/>
    <x v="129"/>
    <s v="127562966336"/>
    <n v="1213.96"/>
    <n v="8012208.3799999999"/>
  </r>
  <r>
    <x v="24"/>
    <x v="0"/>
    <s v="127562889506"/>
    <n v="75103.649999999994"/>
    <n v="8087312.0300000003"/>
  </r>
  <r>
    <x v="24"/>
    <x v="0"/>
    <s v="127562995342"/>
    <n v="18678.14"/>
    <n v="8105990.1699999999"/>
  </r>
  <r>
    <x v="24"/>
    <x v="0"/>
    <s v="127563396870"/>
    <n v="6820.1"/>
    <n v="8112810.2699999996"/>
  </r>
  <r>
    <x v="24"/>
    <x v="0"/>
    <s v="127563642228"/>
    <n v="3702.34"/>
    <n v="8116512.6100000003"/>
  </r>
  <r>
    <x v="24"/>
    <x v="0"/>
    <s v="127002660243"/>
    <n v="3702.34"/>
    <n v="8120214.9500000002"/>
  </r>
  <r>
    <x v="24"/>
    <x v="0"/>
    <s v="127002777527"/>
    <n v="4354.6499999999996"/>
    <n v="8124569.5999999996"/>
  </r>
  <r>
    <x v="24"/>
    <x v="0"/>
    <s v="127003432415"/>
    <n v="8184.12"/>
    <n v="8132753.7199999997"/>
  </r>
  <r>
    <x v="24"/>
    <x v="130"/>
    <s v="127003299949"/>
    <n v="1233.54"/>
    <n v="8133987.2599999998"/>
  </r>
  <r>
    <x v="24"/>
    <x v="0"/>
    <s v="127564523660"/>
    <n v="3897.2"/>
    <n v="8137884.46"/>
  </r>
  <r>
    <x v="24"/>
    <x v="0"/>
    <s v="127564884982"/>
    <n v="127633.3"/>
    <n v="8265517.7599999998"/>
  </r>
  <r>
    <x v="24"/>
    <x v="0"/>
    <s v="127003793721"/>
    <n v="4223.7"/>
    <n v="8269741.46"/>
  </r>
  <r>
    <x v="24"/>
    <x v="0"/>
    <s v="127004006243"/>
    <n v="4384.3500000000004"/>
    <n v="8274125.8099999996"/>
  </r>
  <r>
    <x v="24"/>
    <x v="0"/>
    <s v="127004301425"/>
    <n v="3945.91"/>
    <n v="8278071.7199999997"/>
  </r>
  <r>
    <x v="24"/>
    <x v="0"/>
    <s v="127565988078"/>
    <n v="23772.92"/>
    <n v="8301844.6399999997"/>
  </r>
  <r>
    <x v="24"/>
    <x v="0"/>
    <s v="127005216387"/>
    <n v="7978.1"/>
    <n v="8309822.7400000002"/>
  </r>
  <r>
    <x v="24"/>
    <x v="0"/>
    <s v="127005490421"/>
    <n v="4871.5"/>
    <n v="8314694.2400000002"/>
  </r>
  <r>
    <x v="24"/>
    <x v="0"/>
    <s v="127005540781"/>
    <n v="4871.5"/>
    <n v="8319565.7400000002"/>
  </r>
  <r>
    <x v="24"/>
    <x v="0"/>
    <s v="127006095161"/>
    <n v="1753.74"/>
    <n v="8321319.4800000004"/>
  </r>
  <r>
    <x v="24"/>
    <x v="131"/>
    <s v="127567163882"/>
    <n v="264.33"/>
    <n v="8321583.8099999996"/>
  </r>
  <r>
    <x v="24"/>
    <x v="0"/>
    <s v="127567646980"/>
    <n v="3507.48"/>
    <n v="8325091.29"/>
  </r>
  <r>
    <x v="24"/>
    <x v="0"/>
    <s v="127007093447"/>
    <n v="59042.58"/>
    <n v="8384133.8700000001"/>
  </r>
  <r>
    <x v="24"/>
    <x v="0"/>
    <s v="127007204939"/>
    <n v="4384.3500000000004"/>
    <n v="8388518.2199999997"/>
  </r>
  <r>
    <x v="24"/>
    <x v="0"/>
    <s v="127568624334"/>
    <n v="4062.21"/>
    <n v="8392580.4299999997"/>
  </r>
  <r>
    <x v="24"/>
    <x v="0"/>
    <s v="127568666708"/>
    <n v="8768.7000000000007"/>
    <n v="8401349.1300000008"/>
  </r>
  <r>
    <x v="24"/>
    <x v="0"/>
    <s v="127007460091"/>
    <n v="20752.59"/>
    <n v="8422101.7200000007"/>
  </r>
  <r>
    <x v="24"/>
    <x v="0"/>
    <s v="127568769746"/>
    <n v="38874.57"/>
    <n v="8460976.2899999991"/>
  </r>
  <r>
    <x v="24"/>
    <x v="0"/>
    <s v="127568899816"/>
    <n v="3507.48"/>
    <n v="8464483.7699999996"/>
  </r>
  <r>
    <x v="24"/>
    <x v="93"/>
    <s v="127007619411"/>
    <n v="176.22"/>
    <n v="8464659.9900000002"/>
  </r>
  <r>
    <x v="24"/>
    <x v="0"/>
    <s v="127007916917"/>
    <n v="9255.85"/>
    <n v="8473915.8399999999"/>
  </r>
  <r>
    <x v="24"/>
    <x v="0"/>
    <s v="127569343110"/>
    <n v="4384.3500000000004"/>
    <n v="8478300.1899999995"/>
  </r>
  <r>
    <x v="24"/>
    <x v="0"/>
    <s v="127569643602"/>
    <n v="101911.78"/>
    <n v="8580211.9700000007"/>
  </r>
  <r>
    <x v="24"/>
    <x v="132"/>
    <s v="127569760408"/>
    <n v="10240.34"/>
    <n v="8590452.3100000005"/>
  </r>
  <r>
    <x v="24"/>
    <x v="0"/>
    <s v="127569711396"/>
    <n v="97868.43"/>
    <n v="8688320.7400000002"/>
  </r>
  <r>
    <x v="24"/>
    <x v="0"/>
    <s v="127569878656"/>
    <n v="7891.83"/>
    <n v="8696212.5700000003"/>
  </r>
  <r>
    <x v="24"/>
    <x v="0"/>
    <s v="127008737071"/>
    <n v="30934.02"/>
    <n v="8727146.5899999999"/>
  </r>
  <r>
    <x v="24"/>
    <x v="0"/>
    <s v="127570168514"/>
    <n v="4384.3500000000004"/>
    <n v="8731530.9399999995"/>
  </r>
  <r>
    <x v="24"/>
    <x v="0"/>
    <s v="127570530222"/>
    <n v="34538.93"/>
    <n v="8766069.8699999992"/>
  </r>
  <r>
    <x v="25"/>
    <x v="0"/>
    <s v="127009741659"/>
    <n v="7404.68"/>
    <n v="8773474.5500000007"/>
  </r>
  <r>
    <x v="25"/>
    <x v="0"/>
    <s v="127571110712"/>
    <n v="4384.3500000000004"/>
    <n v="8777858.9000000004"/>
  </r>
  <r>
    <x v="25"/>
    <x v="0"/>
    <s v="127009987447"/>
    <n v="44817.8"/>
    <n v="8822676.6999999993"/>
  </r>
  <r>
    <x v="25"/>
    <x v="0"/>
    <s v="127010232283"/>
    <n v="9743"/>
    <n v="8832419.6999999993"/>
  </r>
  <r>
    <x v="25"/>
    <x v="0"/>
    <s v="127010025919"/>
    <n v="4354.6499999999996"/>
    <n v="8836774.3499999996"/>
  </r>
  <r>
    <x v="25"/>
    <x v="0"/>
    <s v="127010211831"/>
    <n v="14906.79"/>
    <n v="8851681.1400000006"/>
  </r>
  <r>
    <x v="25"/>
    <x v="0"/>
    <s v="127571538018"/>
    <n v="33773.879999999997"/>
    <n v="8885455.0199999996"/>
  </r>
  <r>
    <x v="25"/>
    <x v="0"/>
    <s v="127572103516"/>
    <n v="4286.92"/>
    <n v="8889741.9399999995"/>
  </r>
  <r>
    <x v="25"/>
    <x v="133"/>
    <s v="127572204974"/>
    <n v="646.14"/>
    <n v="8890388.0800000001"/>
  </r>
  <r>
    <x v="25"/>
    <x v="0"/>
    <s v="127572308076"/>
    <n v="4384.3500000000004"/>
    <n v="8894772.4299999997"/>
  </r>
  <r>
    <x v="25"/>
    <x v="0"/>
    <s v="127010996009"/>
    <n v="7891.83"/>
    <n v="8902664.2599999998"/>
  </r>
  <r>
    <x v="25"/>
    <x v="0"/>
    <s v="127011203685"/>
    <n v="4384.3500000000004"/>
    <n v="8907048.6099999994"/>
  </r>
  <r>
    <x v="25"/>
    <x v="0"/>
    <s v="127572489702"/>
    <n v="3378.96"/>
    <n v="8910427.5700000003"/>
  </r>
  <r>
    <x v="25"/>
    <x v="0"/>
    <s v="127572547690"/>
    <n v="83351.360000000001"/>
    <n v="8993778.9299999997"/>
  </r>
  <r>
    <x v="25"/>
    <x v="0"/>
    <s v="127572677794"/>
    <n v="3507.48"/>
    <n v="8997286.4100000001"/>
  </r>
  <r>
    <x v="25"/>
    <x v="0"/>
    <s v="127572984226"/>
    <n v="11204.45"/>
    <n v="9008490.8599999994"/>
  </r>
  <r>
    <x v="25"/>
    <x v="0"/>
    <s v="127573121230"/>
    <n v="8502.2999999999993"/>
    <n v="9016993.1600000001"/>
  </r>
  <r>
    <x v="25"/>
    <x v="0"/>
    <s v="127573266632"/>
    <n v="14906.79"/>
    <n v="9031899.9499999993"/>
  </r>
  <r>
    <x v="25"/>
    <x v="0"/>
    <s v="127573233874"/>
    <n v="7891.83"/>
    <n v="9039791.7799999993"/>
  </r>
  <r>
    <x v="25"/>
    <x v="0"/>
    <s v="127573340062"/>
    <n v="12568.47"/>
    <n v="9052360.25"/>
  </r>
  <r>
    <x v="25"/>
    <x v="0"/>
    <s v="127012562167"/>
    <n v="4384.3500000000004"/>
    <n v="9056744.5999999996"/>
  </r>
  <r>
    <x v="25"/>
    <x v="0"/>
    <s v="127573927294"/>
    <n v="3507.48"/>
    <n v="9060252.0800000001"/>
  </r>
  <r>
    <x v="25"/>
    <x v="0"/>
    <s v="127574467208"/>
    <n v="3507.48"/>
    <n v="9063759.5600000005"/>
  </r>
  <r>
    <x v="25"/>
    <x v="134"/>
    <s v="127574413546"/>
    <n v="176.22"/>
    <n v="9063935.7799999993"/>
  </r>
  <r>
    <x v="25"/>
    <x v="0"/>
    <s v="127574484086"/>
    <n v="4384.3500000000004"/>
    <n v="9068320.1300000008"/>
  </r>
  <r>
    <x v="25"/>
    <x v="135"/>
    <s v="127574595412"/>
    <n v="440.55"/>
    <n v="9068760.6799999997"/>
  </r>
  <r>
    <x v="25"/>
    <x v="0"/>
    <s v="127574760394"/>
    <n v="10473.719999999999"/>
    <n v="9079234.4000000004"/>
  </r>
  <r>
    <x v="25"/>
    <x v="0"/>
    <s v="127013820395"/>
    <n v="17537.400000000001"/>
    <n v="9096771.8000000007"/>
  </r>
  <r>
    <x v="25"/>
    <x v="0"/>
    <s v="127575063154"/>
    <n v="28674.23"/>
    <n v="9125446.0299999993"/>
  </r>
  <r>
    <x v="25"/>
    <x v="0"/>
    <s v="127575157346"/>
    <n v="4384.3500000000004"/>
    <n v="9129830.3800000008"/>
  </r>
  <r>
    <x v="25"/>
    <x v="0"/>
    <s v="127575113918"/>
    <n v="41407.75"/>
    <n v="9171238.1300000008"/>
  </r>
  <r>
    <x v="25"/>
    <x v="0"/>
    <s v="127013893873"/>
    <n v="14906.79"/>
    <n v="9186144.9199999999"/>
  </r>
  <r>
    <x v="25"/>
    <x v="0"/>
    <s v="127014134823"/>
    <n v="3945.91"/>
    <n v="9190090.8300000001"/>
  </r>
  <r>
    <x v="25"/>
    <x v="0"/>
    <s v="127575489108"/>
    <n v="4871.5"/>
    <n v="9194962.3300000001"/>
  </r>
  <r>
    <x v="25"/>
    <x v="0"/>
    <s v="127575732242"/>
    <n v="37120.83"/>
    <n v="9232083.1600000001"/>
  </r>
  <r>
    <x v="25"/>
    <x v="0"/>
    <s v="127575709104"/>
    <n v="8427.69"/>
    <n v="9240510.8499999996"/>
  </r>
  <r>
    <x v="25"/>
    <x v="0"/>
    <s v="127576498344"/>
    <n v="52368.62"/>
    <n v="9292879.4700000007"/>
  </r>
  <r>
    <x v="25"/>
    <x v="0"/>
    <s v="127576327400"/>
    <n v="8768.7000000000007"/>
    <n v="9301648.1699999999"/>
  </r>
  <r>
    <x v="25"/>
    <x v="0"/>
    <s v="127576590324"/>
    <n v="3378.96"/>
    <n v="9305027.1300000008"/>
  </r>
  <r>
    <x v="25"/>
    <x v="0"/>
    <s v="127576545044"/>
    <n v="6100.9"/>
    <n v="9311128.0299999993"/>
  </r>
  <r>
    <x v="25"/>
    <x v="0"/>
    <s v="127576557502"/>
    <n v="154767.54999999999"/>
    <n v="9465895.5800000001"/>
  </r>
  <r>
    <x v="25"/>
    <x v="0"/>
    <s v="127015620133"/>
    <n v="13153.05"/>
    <n v="9479048.6300000008"/>
  </r>
  <r>
    <x v="25"/>
    <x v="0"/>
    <s v="127015403685"/>
    <n v="7014.96"/>
    <n v="9486063.5899999999"/>
  </r>
  <r>
    <x v="25"/>
    <x v="0"/>
    <s v="127015646835"/>
    <n v="12276.18"/>
    <n v="9498339.7699999996"/>
  </r>
  <r>
    <x v="25"/>
    <x v="0"/>
    <s v="127576831188"/>
    <n v="4384.3500000000004"/>
    <n v="9502724.1199999992"/>
  </r>
  <r>
    <x v="25"/>
    <x v="0"/>
    <s v="127015860511"/>
    <n v="4384.3500000000004"/>
    <n v="9507108.4700000007"/>
  </r>
  <r>
    <x v="25"/>
    <x v="0"/>
    <s v="127015606063"/>
    <n v="5819.32"/>
    <n v="9512927.7899999991"/>
  </r>
  <r>
    <x v="25"/>
    <x v="17"/>
    <s v="127610741100"/>
    <n v="-1267900"/>
    <n v="8245027.79"/>
  </r>
  <r>
    <x v="25"/>
    <x v="4"/>
    <s v="127610741100"/>
    <n v="-7607.4"/>
    <n v="8237420.3899999997"/>
  </r>
  <r>
    <x v="25"/>
    <x v="136"/>
    <s v="127087676739"/>
    <n v="-233204.26"/>
    <n v="8004216.1299999999"/>
  </r>
  <r>
    <x v="25"/>
    <x v="4"/>
    <s v="127087676739"/>
    <n v="-1399.23"/>
    <n v="8002816.9000000004"/>
  </r>
  <r>
    <x v="25"/>
    <x v="0"/>
    <s v="127679194174"/>
    <n v="6355.3"/>
    <n v="8009172.2000000002"/>
  </r>
  <r>
    <x v="25"/>
    <x v="0"/>
    <s v="127679388200"/>
    <n v="12281.1"/>
    <n v="8021453.2999999998"/>
  </r>
  <r>
    <x v="25"/>
    <x v="0"/>
    <s v="127680169218"/>
    <n v="26692.26"/>
    <n v="8048145.5599999996"/>
  </r>
  <r>
    <x v="25"/>
    <x v="0"/>
    <s v="127680295528"/>
    <n v="12438.23"/>
    <n v="8060583.79"/>
  </r>
  <r>
    <x v="25"/>
    <x v="0"/>
    <s v="127682236964"/>
    <n v="28439.58"/>
    <n v="8089023.3700000001"/>
  </r>
  <r>
    <x v="25"/>
    <x v="0"/>
    <s v="127685431266"/>
    <n v="9158.42"/>
    <n v="8098181.79"/>
  </r>
  <r>
    <x v="25"/>
    <x v="0"/>
    <s v="127685463730"/>
    <n v="4251.1499999999996"/>
    <n v="8102432.9400000004"/>
  </r>
  <r>
    <x v="25"/>
    <x v="0"/>
    <s v="127686983606"/>
    <n v="4223.7"/>
    <n v="8106656.6399999997"/>
  </r>
  <r>
    <x v="25"/>
    <x v="0"/>
    <s v="127687107476"/>
    <n v="7794.4"/>
    <n v="8114451.04"/>
  </r>
  <r>
    <x v="25"/>
    <x v="0"/>
    <s v="127126712461"/>
    <n v="162514.1"/>
    <n v="8276965.1399999997"/>
  </r>
  <r>
    <x v="25"/>
    <x v="0"/>
    <s v="127688724722"/>
    <n v="25412.43"/>
    <n v="8302377.5700000003"/>
  </r>
  <r>
    <x v="25"/>
    <x v="0"/>
    <s v="127127545649"/>
    <n v="59822.02"/>
    <n v="8362199.5899999999"/>
  </r>
  <r>
    <x v="25"/>
    <x v="0"/>
    <s v="127130305985"/>
    <n v="46571.54"/>
    <n v="8408771.1300000008"/>
  </r>
  <r>
    <x v="25"/>
    <x v="0"/>
    <s v="127691820066"/>
    <n v="28546.99"/>
    <n v="8437318.1199999992"/>
  </r>
  <r>
    <x v="25"/>
    <x v="0"/>
    <s v="127130788563"/>
    <n v="36438.82"/>
    <n v="8473756.9399999995"/>
  </r>
  <r>
    <x v="25"/>
    <x v="0"/>
    <s v="127692414538"/>
    <n v="122859.23"/>
    <n v="8596616.1699999999"/>
  </r>
  <r>
    <x v="25"/>
    <x v="0"/>
    <s v="127692795340"/>
    <n v="24373.26"/>
    <n v="8620989.4299999997"/>
  </r>
  <r>
    <x v="25"/>
    <x v="0"/>
    <s v="127132014539"/>
    <n v="43361.73"/>
    <n v="8664351.1600000001"/>
  </r>
  <r>
    <x v="25"/>
    <x v="0"/>
    <s v="127132281045"/>
    <n v="42771.77"/>
    <n v="8707122.9299999997"/>
  </r>
  <r>
    <x v="25"/>
    <x v="78"/>
    <s v="127132211439"/>
    <n v="2148.9"/>
    <n v="8709271.8300000001"/>
  </r>
  <r>
    <x v="25"/>
    <x v="0"/>
    <s v="127693996562"/>
    <n v="4223.7"/>
    <n v="8713495.5299999993"/>
  </r>
  <r>
    <x v="25"/>
    <x v="0"/>
    <s v="127694077596"/>
    <n v="4384.3500000000004"/>
    <n v="8717879.8800000008"/>
  </r>
  <r>
    <x v="25"/>
    <x v="0"/>
    <s v="127694163582"/>
    <n v="31080.17"/>
    <n v="8748960.0500000007"/>
  </r>
  <r>
    <x v="25"/>
    <x v="137"/>
    <s v="127694197476"/>
    <n v="3123.01"/>
    <n v="8752083.0600000005"/>
  </r>
  <r>
    <x v="25"/>
    <x v="0"/>
    <s v="127694198004"/>
    <n v="25818.95"/>
    <n v="8777902.0099999998"/>
  </r>
  <r>
    <x v="25"/>
    <x v="138"/>
    <s v="127132666919"/>
    <n v="1297.17"/>
    <n v="8779199.1799999997"/>
  </r>
  <r>
    <x v="25"/>
    <x v="0"/>
    <s v="127696845350"/>
    <n v="30787.88"/>
    <n v="8809987.0600000005"/>
  </r>
  <r>
    <x v="25"/>
    <x v="63"/>
    <s v="127696927036"/>
    <n v="1546.82"/>
    <n v="8811533.8800000008"/>
  </r>
  <r>
    <x v="25"/>
    <x v="0"/>
    <s v="127697127812"/>
    <n v="159790.39999999999"/>
    <n v="8971324.2799999993"/>
  </r>
  <r>
    <x v="25"/>
    <x v="0"/>
    <s v="127135874547"/>
    <n v="51864.03"/>
    <n v="9023188.3100000005"/>
  </r>
  <r>
    <x v="25"/>
    <x v="0"/>
    <s v="127135739949"/>
    <n v="34490.22"/>
    <n v="9057678.5299999993"/>
  </r>
  <r>
    <x v="25"/>
    <x v="139"/>
    <s v="127135807619"/>
    <n v="1732.83"/>
    <n v="9059411.3599999994"/>
  </r>
  <r>
    <x v="25"/>
    <x v="0"/>
    <s v="127697846676"/>
    <n v="14711.93"/>
    <n v="9074123.2899999991"/>
  </r>
  <r>
    <x v="25"/>
    <x v="0"/>
    <s v="127698564448"/>
    <n v="13153.05"/>
    <n v="9087276.3399999999"/>
  </r>
  <r>
    <x v="25"/>
    <x v="0"/>
    <s v="127137102327"/>
    <n v="37693.53"/>
    <n v="9124969.8699999992"/>
  </r>
  <r>
    <x v="25"/>
    <x v="0"/>
    <s v="127137188773"/>
    <n v="11711.91"/>
    <n v="9136681.7799999993"/>
  </r>
  <r>
    <x v="25"/>
    <x v="0"/>
    <s v="127699173378"/>
    <n v="15289.66"/>
    <n v="9151971.4399999995"/>
  </r>
  <r>
    <x v="25"/>
    <x v="0"/>
    <s v="127699484268"/>
    <n v="37976.94"/>
    <n v="9189948.3800000008"/>
  </r>
  <r>
    <x v="25"/>
    <x v="0"/>
    <s v="127138460989"/>
    <n v="39771.870000000003"/>
    <n v="9229720.25"/>
  </r>
  <r>
    <x v="25"/>
    <x v="0"/>
    <s v="127138622917"/>
    <n v="4035.98"/>
    <n v="9233756.2300000004"/>
  </r>
  <r>
    <x v="25"/>
    <x v="0"/>
    <s v="127138754811"/>
    <n v="43843.5"/>
    <n v="9277599.7300000004"/>
  </r>
  <r>
    <x v="25"/>
    <x v="0"/>
    <s v="127138858083"/>
    <n v="28157.27"/>
    <n v="9305757"/>
  </r>
  <r>
    <x v="26"/>
    <x v="0"/>
    <s v="127702181460"/>
    <n v="7160.98"/>
    <n v="9312917.9800000004"/>
  </r>
  <r>
    <x v="26"/>
    <x v="0"/>
    <s v="127702622786"/>
    <n v="223504.42"/>
    <n v="9536422.4000000004"/>
  </r>
  <r>
    <x v="26"/>
    <x v="0"/>
    <s v="127702629144"/>
    <n v="4871.5"/>
    <n v="9541293.9000000004"/>
  </r>
  <r>
    <x v="26"/>
    <x v="0"/>
    <s v="127141531181"/>
    <n v="2143.46"/>
    <n v="9543437.3599999994"/>
  </r>
  <r>
    <x v="26"/>
    <x v="0"/>
    <s v="127141616145"/>
    <n v="4871.5"/>
    <n v="9548308.8599999994"/>
  </r>
  <r>
    <x v="26"/>
    <x v="0"/>
    <s v="127141798509"/>
    <n v="22408.9"/>
    <n v="9570717.7599999998"/>
  </r>
  <r>
    <x v="26"/>
    <x v="0"/>
    <s v="127703776340"/>
    <n v="118059.4"/>
    <n v="9688777.1600000001"/>
  </r>
  <r>
    <x v="26"/>
    <x v="0"/>
    <s v="127141989725"/>
    <n v="18121.98"/>
    <n v="9706899.1400000006"/>
  </r>
  <r>
    <x v="26"/>
    <x v="0"/>
    <s v="127142199177"/>
    <n v="37353.22"/>
    <n v="9744252.3599999994"/>
  </r>
  <r>
    <x v="26"/>
    <x v="0"/>
    <s v="127142183777"/>
    <n v="8573.84"/>
    <n v="9752826.1999999993"/>
  </r>
  <r>
    <x v="26"/>
    <x v="0"/>
    <s v="127142483797"/>
    <n v="40920.6"/>
    <n v="9793746.8000000007"/>
  </r>
  <r>
    <x v="26"/>
    <x v="0"/>
    <s v="127704640858"/>
    <n v="12483.33"/>
    <n v="9806230.1300000008"/>
  </r>
  <r>
    <x v="26"/>
    <x v="140"/>
    <s v="127142975449"/>
    <n v="1894.36"/>
    <n v="9808124.4900000002"/>
  </r>
  <r>
    <x v="26"/>
    <x v="0"/>
    <s v="127704837868"/>
    <n v="37221.18"/>
    <n v="9845345.6699999999"/>
  </r>
  <r>
    <x v="26"/>
    <x v="141"/>
    <s v="127143653663"/>
    <n v="9236.86"/>
    <n v="9854582.5299999993"/>
  </r>
  <r>
    <x v="26"/>
    <x v="0"/>
    <s v="127705296188"/>
    <n v="61283.47"/>
    <n v="9915866"/>
  </r>
  <r>
    <x v="26"/>
    <x v="0"/>
    <s v="127705207416"/>
    <n v="9743"/>
    <n v="9925609"/>
  </r>
  <r>
    <x v="26"/>
    <x v="0"/>
    <s v="127143767515"/>
    <n v="6040.66"/>
    <n v="9931649.6600000001"/>
  </r>
  <r>
    <x v="26"/>
    <x v="0"/>
    <s v="127705564586"/>
    <n v="26843.96"/>
    <n v="9958493.6199999992"/>
  </r>
  <r>
    <x v="26"/>
    <x v="0"/>
    <s v="127143969217"/>
    <n v="26843.96"/>
    <n v="9985337.5800000001"/>
  </r>
  <r>
    <x v="26"/>
    <x v="0"/>
    <s v="127144387259"/>
    <n v="15393.94"/>
    <n v="10000731.52"/>
  </r>
  <r>
    <x v="26"/>
    <x v="0"/>
    <s v="127144478587"/>
    <n v="54365.94"/>
    <n v="10055097.460000001"/>
  </r>
  <r>
    <x v="26"/>
    <x v="142"/>
    <s v="127144500403"/>
    <n v="2731.41"/>
    <n v="10057828.869999999"/>
  </r>
  <r>
    <x v="26"/>
    <x v="0"/>
    <s v="127144733153"/>
    <n v="10522.44"/>
    <n v="10068351.310000001"/>
  </r>
  <r>
    <x v="26"/>
    <x v="0"/>
    <s v="127145169313"/>
    <n v="10035.290000000001"/>
    <n v="10078386.6"/>
  </r>
  <r>
    <x v="26"/>
    <x v="143"/>
    <s v="127145157389"/>
    <n v="504.18"/>
    <n v="10078890.779999999"/>
  </r>
  <r>
    <x v="26"/>
    <x v="0"/>
    <s v="127145306205"/>
    <n v="26186.94"/>
    <n v="10105077.720000001"/>
  </r>
  <r>
    <x v="26"/>
    <x v="0"/>
    <s v="127145410663"/>
    <n v="127723.44"/>
    <n v="10232801.16"/>
  </r>
  <r>
    <x v="26"/>
    <x v="0"/>
    <s v="127707143532"/>
    <n v="28689.64"/>
    <n v="10261490.800000001"/>
  </r>
  <r>
    <x v="26"/>
    <x v="0"/>
    <s v="127707316320"/>
    <n v="28644.42"/>
    <n v="10290135.220000001"/>
  </r>
  <r>
    <x v="26"/>
    <x v="0"/>
    <s v="127707273290"/>
    <n v="41310.32"/>
    <n v="10331445.539999999"/>
  </r>
  <r>
    <x v="26"/>
    <x v="19"/>
    <s v="127724094526"/>
    <n v="-188107.92"/>
    <n v="10143337.619999999"/>
  </r>
  <r>
    <x v="26"/>
    <x v="4"/>
    <s v="127724094526"/>
    <n v="-1128.6500000000001"/>
    <n v="10142208.970000001"/>
  </r>
  <r>
    <x v="26"/>
    <x v="19"/>
    <s v="127161961407"/>
    <n v="-64624.39"/>
    <n v="10077584.58"/>
  </r>
  <r>
    <x v="26"/>
    <x v="4"/>
    <s v="127161961407"/>
    <n v="-387.75"/>
    <n v="10077196.83"/>
  </r>
  <r>
    <x v="26"/>
    <x v="19"/>
    <s v="127162354947"/>
    <n v="-206059.47"/>
    <n v="9871137.3599999994"/>
  </r>
  <r>
    <x v="26"/>
    <x v="4"/>
    <s v="127162354947"/>
    <n v="-1236.3599999999999"/>
    <n v="9869901"/>
  </r>
  <r>
    <x v="26"/>
    <x v="19"/>
    <s v="127163022479"/>
    <n v="-36365.769999999997"/>
    <n v="9833535.2300000004"/>
  </r>
  <r>
    <x v="26"/>
    <x v="4"/>
    <s v="127163022479"/>
    <n v="-218.19"/>
    <n v="9833317.0399999991"/>
  </r>
  <r>
    <x v="26"/>
    <x v="0"/>
    <s v="127220230833"/>
    <n v="4993.45"/>
    <n v="9838310.4900000002"/>
  </r>
  <r>
    <x v="26"/>
    <x v="0"/>
    <s v="127785471812"/>
    <n v="13153.05"/>
    <n v="9851463.5399999991"/>
  </r>
  <r>
    <x v="26"/>
    <x v="144"/>
    <s v="127785493518"/>
    <n v="660.82"/>
    <n v="9852124.3599999994"/>
  </r>
  <r>
    <x v="26"/>
    <x v="0"/>
    <s v="127787969538"/>
    <n v="7321.08"/>
    <n v="9859445.4399999995"/>
  </r>
  <r>
    <x v="26"/>
    <x v="0"/>
    <s v="127788429684"/>
    <n v="15588.8"/>
    <n v="9875034.2400000002"/>
  </r>
  <r>
    <x v="26"/>
    <x v="145"/>
    <s v="127226319261"/>
    <n v="783.2"/>
    <n v="9875817.4399999995"/>
  </r>
  <r>
    <x v="26"/>
    <x v="0"/>
    <s v="127789821032"/>
    <n v="8029.95"/>
    <n v="9883847.3900000006"/>
  </r>
  <r>
    <x v="26"/>
    <x v="0"/>
    <s v="127228416533"/>
    <n v="24552.36"/>
    <n v="9908399.75"/>
  </r>
  <r>
    <x v="26"/>
    <x v="0"/>
    <s v="127228393663"/>
    <n v="9158.42"/>
    <n v="9917558.1699999999"/>
  </r>
  <r>
    <x v="26"/>
    <x v="0"/>
    <s v="127229216263"/>
    <n v="16075.95"/>
    <n v="9933634.1199999992"/>
  </r>
  <r>
    <x v="26"/>
    <x v="0"/>
    <s v="127791466702"/>
    <n v="10619.87"/>
    <n v="9944253.9900000002"/>
  </r>
  <r>
    <x v="26"/>
    <x v="0"/>
    <s v="127792154848"/>
    <n v="8502.2999999999993"/>
    <n v="9952756.2899999991"/>
  </r>
  <r>
    <x v="26"/>
    <x v="0"/>
    <s v="127231821275"/>
    <n v="4579.21"/>
    <n v="9957335.5"/>
  </r>
  <r>
    <x v="26"/>
    <x v="0"/>
    <s v="127794328414"/>
    <n v="12373.61"/>
    <n v="9969709.1099999994"/>
  </r>
  <r>
    <x v="26"/>
    <x v="0"/>
    <s v="127794377100"/>
    <n v="28689.64"/>
    <n v="9998398.75"/>
  </r>
  <r>
    <x v="26"/>
    <x v="0"/>
    <s v="127233151759"/>
    <n v="5358.65"/>
    <n v="10003757.4"/>
  </r>
  <r>
    <x v="26"/>
    <x v="0"/>
    <s v="127233936785"/>
    <n v="8502.2999999999993"/>
    <n v="10012259.699999999"/>
  </r>
  <r>
    <x v="26"/>
    <x v="0"/>
    <s v="127234256045"/>
    <n v="5350.02"/>
    <n v="10017609.720000001"/>
  </r>
  <r>
    <x v="26"/>
    <x v="0"/>
    <s v="127796618374"/>
    <n v="7209.82"/>
    <n v="10024819.539999999"/>
  </r>
  <r>
    <x v="26"/>
    <x v="0"/>
    <s v="127234704203"/>
    <n v="26695.82"/>
    <n v="10051515.359999999"/>
  </r>
  <r>
    <x v="26"/>
    <x v="146"/>
    <s v="127234688415"/>
    <n v="2682.46"/>
    <n v="10054197.82"/>
  </r>
  <r>
    <x v="26"/>
    <x v="0"/>
    <s v="127799026568"/>
    <n v="8378.98"/>
    <n v="10062576.800000001"/>
  </r>
  <r>
    <x v="26"/>
    <x v="0"/>
    <s v="127238351915"/>
    <n v="33126.199999999997"/>
    <n v="10095703"/>
  </r>
  <r>
    <x v="26"/>
    <x v="0"/>
    <s v="127238466519"/>
    <n v="30868.6"/>
    <n v="10126571.6"/>
  </r>
  <r>
    <x v="26"/>
    <x v="0"/>
    <s v="127800943318"/>
    <n v="36633.68"/>
    <n v="10163205.279999999"/>
  </r>
  <r>
    <x v="26"/>
    <x v="0"/>
    <s v="127239227751"/>
    <n v="21917.040000000001"/>
    <n v="10185122.32"/>
  </r>
  <r>
    <x v="26"/>
    <x v="0"/>
    <s v="127239351455"/>
    <n v="22214.04"/>
    <n v="10207336.359999999"/>
  </r>
  <r>
    <x v="26"/>
    <x v="0"/>
    <s v="127239518551"/>
    <n v="22788.29"/>
    <n v="10230124.65"/>
  </r>
  <r>
    <x v="26"/>
    <x v="0"/>
    <s v="127239890865"/>
    <n v="29234.38"/>
    <n v="10259359.029999999"/>
  </r>
  <r>
    <x v="26"/>
    <x v="0"/>
    <s v="127802564664"/>
    <n v="7172.41"/>
    <n v="10266531.439999999"/>
  </r>
  <r>
    <x v="26"/>
    <x v="0"/>
    <s v="127803309066"/>
    <n v="72195.63"/>
    <n v="10338727.07"/>
  </r>
  <r>
    <x v="26"/>
    <x v="0"/>
    <s v="127241451265"/>
    <n v="14419.64"/>
    <n v="10353146.710000001"/>
  </r>
  <r>
    <x v="26"/>
    <x v="147"/>
    <s v="127803560186"/>
    <n v="724.46"/>
    <n v="10353871.17"/>
  </r>
  <r>
    <x v="26"/>
    <x v="0"/>
    <s v="127803525440"/>
    <n v="8281.5499999999993"/>
    <n v="10362152.720000001"/>
  </r>
  <r>
    <x v="26"/>
    <x v="148"/>
    <s v="127803499794"/>
    <n v="416.07"/>
    <n v="10362568.789999999"/>
  </r>
  <r>
    <x v="26"/>
    <x v="0"/>
    <s v="127242722135"/>
    <n v="13347.91"/>
    <n v="10375916.699999999"/>
  </r>
  <r>
    <x v="26"/>
    <x v="0"/>
    <s v="127242782269"/>
    <n v="35709.660000000003"/>
    <n v="10411626.359999999"/>
  </r>
  <r>
    <x v="26"/>
    <x v="0"/>
    <s v="127804919688"/>
    <n v="4384.3500000000004"/>
    <n v="10416010.710000001"/>
  </r>
  <r>
    <x v="26"/>
    <x v="149"/>
    <s v="127242751977"/>
    <n v="220.27"/>
    <n v="10416230.98"/>
  </r>
  <r>
    <x v="26"/>
    <x v="0"/>
    <s v="127242950363"/>
    <n v="35951.67"/>
    <n v="10452182.65"/>
  </r>
  <r>
    <x v="26"/>
    <x v="0"/>
    <s v="127243294621"/>
    <n v="50468.74"/>
    <n v="10502651.390000001"/>
  </r>
  <r>
    <x v="26"/>
    <x v="0"/>
    <s v="127243983795"/>
    <n v="17364.099999999999"/>
    <n v="10520015.49"/>
  </r>
  <r>
    <x v="26"/>
    <x v="0"/>
    <s v="127806240328"/>
    <n v="7463.13"/>
    <n v="10527478.619999999"/>
  </r>
  <r>
    <x v="26"/>
    <x v="0"/>
    <s v="127806286920"/>
    <n v="10327.58"/>
    <n v="10537806.199999999"/>
  </r>
  <r>
    <x v="26"/>
    <x v="0"/>
    <s v="127806313302"/>
    <n v="27774.18"/>
    <n v="10565580.380000001"/>
  </r>
  <r>
    <x v="26"/>
    <x v="0"/>
    <s v="127244912805"/>
    <n v="9255.85"/>
    <n v="10574836.23"/>
  </r>
  <r>
    <x v="26"/>
    <x v="0"/>
    <s v="127807055040"/>
    <n v="35611.360000000001"/>
    <n v="10610447.59"/>
  </r>
  <r>
    <x v="26"/>
    <x v="0"/>
    <s v="127807178114"/>
    <n v="122372.08"/>
    <n v="10732819.67"/>
  </r>
  <r>
    <x v="26"/>
    <x v="0"/>
    <s v="127245029875"/>
    <n v="10522.44"/>
    <n v="10743342.109999999"/>
  </r>
  <r>
    <x v="26"/>
    <x v="0"/>
    <s v="127807303014"/>
    <n v="45485.79"/>
    <n v="10788827.9"/>
  </r>
  <r>
    <x v="26"/>
    <x v="0"/>
    <s v="127807371108"/>
    <n v="9949.16"/>
    <n v="10798777.060000001"/>
  </r>
  <r>
    <x v="27"/>
    <x v="0"/>
    <s v="127245659321"/>
    <n v="11204.45"/>
    <n v="10809981.51"/>
  </r>
  <r>
    <x v="27"/>
    <x v="0"/>
    <s v="127807611922"/>
    <n v="38777.14"/>
    <n v="10848758.65"/>
  </r>
  <r>
    <x v="27"/>
    <x v="0"/>
    <s v="127246033175"/>
    <n v="8124.42"/>
    <n v="10856883.07"/>
  </r>
  <r>
    <x v="27"/>
    <x v="0"/>
    <s v="127808394028"/>
    <n v="59237.440000000002"/>
    <n v="10916120.51"/>
  </r>
  <r>
    <x v="27"/>
    <x v="0"/>
    <s v="127246970897"/>
    <n v="55563.48"/>
    <n v="10971683.99"/>
  </r>
  <r>
    <x v="27"/>
    <x v="0"/>
    <s v="127246949555"/>
    <n v="70207.28"/>
    <n v="11041891.27"/>
  </r>
  <r>
    <x v="27"/>
    <x v="0"/>
    <s v="127247017257"/>
    <n v="11903.22"/>
    <n v="11053794.49"/>
  </r>
  <r>
    <x v="27"/>
    <x v="0"/>
    <s v="127247172953"/>
    <n v="4871.5"/>
    <n v="11058665.99"/>
  </r>
  <r>
    <x v="27"/>
    <x v="0"/>
    <s v="127809109126"/>
    <n v="43926.48"/>
    <n v="11102592.470000001"/>
  </r>
  <r>
    <x v="27"/>
    <x v="0"/>
    <s v="127809918652"/>
    <n v="65845.59"/>
    <n v="11168438.060000001"/>
  </r>
  <r>
    <x v="27"/>
    <x v="0"/>
    <s v="127810129960"/>
    <n v="4384.3500000000004"/>
    <n v="11172822.41"/>
  </r>
  <r>
    <x v="27"/>
    <x v="0"/>
    <s v="127248087839"/>
    <n v="10327.58"/>
    <n v="11183149.99"/>
  </r>
  <r>
    <x v="27"/>
    <x v="0"/>
    <s v="127810283682"/>
    <n v="6722.67"/>
    <n v="11189872.66"/>
  </r>
  <r>
    <x v="27"/>
    <x v="0"/>
    <s v="127810531122"/>
    <n v="6820.1"/>
    <n v="11196692.76"/>
  </r>
  <r>
    <x v="27"/>
    <x v="0"/>
    <s v="127248587365"/>
    <n v="21350.22"/>
    <n v="11218042.98"/>
  </r>
  <r>
    <x v="27"/>
    <x v="0"/>
    <s v="127810660446"/>
    <n v="11009.59"/>
    <n v="11229052.57"/>
  </r>
  <r>
    <x v="27"/>
    <x v="0"/>
    <s v="127810601972"/>
    <n v="17537.400000000001"/>
    <n v="11246589.970000001"/>
  </r>
  <r>
    <x v="27"/>
    <x v="150"/>
    <s v="127810671348"/>
    <n v="1762.2"/>
    <n v="11248352.17"/>
  </r>
  <r>
    <x v="27"/>
    <x v="0"/>
    <s v="127248792915"/>
    <n v="13131.33"/>
    <n v="11261483.5"/>
  </r>
  <r>
    <x v="27"/>
    <x v="0"/>
    <s v="127810724012"/>
    <n v="8974.65"/>
    <n v="11270458.15"/>
  </r>
  <r>
    <x v="27"/>
    <x v="0"/>
    <s v="127248897113"/>
    <n v="36511.54"/>
    <n v="11306969.689999999"/>
  </r>
  <r>
    <x v="27"/>
    <x v="0"/>
    <s v="127248937077"/>
    <n v="112434.22"/>
    <n v="11419403.91"/>
  </r>
  <r>
    <x v="27"/>
    <x v="0"/>
    <s v="127811071464"/>
    <n v="23188.34"/>
    <n v="11442592.25"/>
  </r>
  <r>
    <x v="27"/>
    <x v="0"/>
    <s v="127811111728"/>
    <n v="8916.7000000000007"/>
    <n v="11451508.949999999"/>
  </r>
  <r>
    <x v="27"/>
    <x v="0"/>
    <s v="127811226742"/>
    <n v="9255.85"/>
    <n v="11460764.800000001"/>
  </r>
  <r>
    <x v="27"/>
    <x v="0"/>
    <s v="127811499056"/>
    <n v="9743"/>
    <n v="11470507.800000001"/>
  </r>
  <r>
    <x v="27"/>
    <x v="0"/>
    <s v="127250134163"/>
    <n v="216474.49"/>
    <n v="11686982.289999999"/>
  </r>
  <r>
    <x v="27"/>
    <x v="0"/>
    <s v="127812138404"/>
    <n v="22506.33"/>
    <n v="11709488.619999999"/>
  </r>
  <r>
    <x v="27"/>
    <x v="151"/>
    <s v="127250089189"/>
    <n v="1130.74"/>
    <n v="11710619.359999999"/>
  </r>
  <r>
    <x v="27"/>
    <x v="0"/>
    <s v="127250308065"/>
    <n v="16050.06"/>
    <n v="11726669.42"/>
  </r>
  <r>
    <x v="27"/>
    <x v="0"/>
    <s v="127812503352"/>
    <n v="4411.42"/>
    <n v="11731080.84"/>
  </r>
  <r>
    <x v="27"/>
    <x v="0"/>
    <s v="127812707210"/>
    <n v="19486"/>
    <n v="11750566.84"/>
  </r>
  <r>
    <x v="27"/>
    <x v="0"/>
    <s v="127812796320"/>
    <n v="5163.79"/>
    <n v="11755730.630000001"/>
  </r>
  <r>
    <x v="27"/>
    <x v="0"/>
    <s v="127251212637"/>
    <n v="4579.21"/>
    <n v="11760309.84"/>
  </r>
  <r>
    <x v="27"/>
    <x v="0"/>
    <s v="127813504204"/>
    <n v="19778.29"/>
    <n v="11780088.130000001"/>
  </r>
  <r>
    <x v="27"/>
    <x v="0"/>
    <s v="127813395904"/>
    <n v="8281.5499999999993"/>
    <n v="11788369.68"/>
  </r>
  <r>
    <x v="27"/>
    <x v="152"/>
    <s v="127813504838"/>
    <n v="832.15"/>
    <n v="11789201.83"/>
  </r>
  <r>
    <x v="27"/>
    <x v="0"/>
    <s v="127251614945"/>
    <n v="20850.02"/>
    <n v="11810051.85"/>
  </r>
  <r>
    <x v="27"/>
    <x v="0"/>
    <s v="127251757799"/>
    <n v="14127.35"/>
    <n v="11824179.199999999"/>
  </r>
  <r>
    <x v="27"/>
    <x v="0"/>
    <s v="127813895138"/>
    <n v="22214.04"/>
    <n v="11846393.24"/>
  </r>
  <r>
    <x v="27"/>
    <x v="0"/>
    <s v="127813946890"/>
    <n v="112125.65"/>
    <n v="11958518.890000001"/>
  </r>
  <r>
    <x v="27"/>
    <x v="153"/>
    <s v="127251920723"/>
    <n v="12090.65"/>
    <n v="11970609.539999999"/>
  </r>
  <r>
    <x v="27"/>
    <x v="0"/>
    <s v="127813968884"/>
    <n v="18121.98"/>
    <n v="11988731.52"/>
  </r>
  <r>
    <x v="27"/>
    <x v="0"/>
    <s v="127814011646"/>
    <n v="10912.16"/>
    <n v="11999643.68"/>
  </r>
  <r>
    <x v="27"/>
    <x v="0"/>
    <s v="127814092122"/>
    <n v="12958.19"/>
    <n v="12012601.869999999"/>
  </r>
  <r>
    <x v="27"/>
    <x v="0"/>
    <s v="127252116403"/>
    <n v="4579.21"/>
    <n v="12017181.08"/>
  </r>
  <r>
    <x v="27"/>
    <x v="0"/>
    <s v="127252236479"/>
    <n v="22879.08"/>
    <n v="12040060.16"/>
  </r>
  <r>
    <x v="27"/>
    <x v="0"/>
    <s v="127814176098"/>
    <n v="19680.86"/>
    <n v="12059741.02"/>
  </r>
  <r>
    <x v="27"/>
    <x v="154"/>
    <s v="127252239517"/>
    <n v="988.79"/>
    <n v="12060729.810000001"/>
  </r>
  <r>
    <x v="27"/>
    <x v="0"/>
    <s v="127814289146"/>
    <n v="14526.4"/>
    <n v="12075256.210000001"/>
  </r>
  <r>
    <x v="27"/>
    <x v="1"/>
    <s v="127252261571"/>
    <n v="783.2"/>
    <n v="12076039.41"/>
  </r>
  <r>
    <x v="27"/>
    <x v="0"/>
    <s v="127870626052"/>
    <n v="9158.42"/>
    <n v="12085197.83"/>
  </r>
  <r>
    <x v="27"/>
    <x v="0"/>
    <s v="127873552906"/>
    <n v="9158.42"/>
    <n v="12094356.25"/>
  </r>
  <r>
    <x v="27"/>
    <x v="0"/>
    <s v="127876039514"/>
    <n v="7404.68"/>
    <n v="12101760.93"/>
  </r>
  <r>
    <x v="27"/>
    <x v="155"/>
    <s v="127876057264"/>
    <n v="372.02"/>
    <n v="12102132.949999999"/>
  </r>
  <r>
    <x v="27"/>
    <x v="0"/>
    <s v="127315514443"/>
    <n v="6757.92"/>
    <n v="12108890.869999999"/>
  </r>
  <r>
    <x v="27"/>
    <x v="0"/>
    <s v="127878828956"/>
    <n v="3897.2"/>
    <n v="12112788.07"/>
  </r>
  <r>
    <x v="27"/>
    <x v="0"/>
    <s v="127317375181"/>
    <n v="1997.38"/>
    <n v="12114785.449999999"/>
  </r>
  <r>
    <x v="27"/>
    <x v="0"/>
    <s v="127880430416"/>
    <n v="13698.15"/>
    <n v="12128483.6"/>
  </r>
  <r>
    <x v="27"/>
    <x v="0"/>
    <s v="127317995411"/>
    <n v="12858.82"/>
    <n v="12141342.42"/>
  </r>
  <r>
    <x v="27"/>
    <x v="0"/>
    <s v="127880854096"/>
    <n v="40159.550000000003"/>
    <n v="12181501.970000001"/>
  </r>
  <r>
    <x v="27"/>
    <x v="0"/>
    <s v="127881631044"/>
    <n v="7014.96"/>
    <n v="12188516.93"/>
  </r>
  <r>
    <x v="27"/>
    <x v="0"/>
    <s v="127319553663"/>
    <n v="31504.13"/>
    <n v="12220021.060000001"/>
  </r>
  <r>
    <x v="27"/>
    <x v="0"/>
    <s v="127319914109"/>
    <n v="44873.25"/>
    <n v="12264894.310000001"/>
  </r>
  <r>
    <x v="27"/>
    <x v="0"/>
    <s v="127321523307"/>
    <n v="60460.800000000003"/>
    <n v="12325355.109999999"/>
  </r>
  <r>
    <x v="27"/>
    <x v="0"/>
    <s v="127321838171"/>
    <n v="8768.7000000000007"/>
    <n v="12334123.810000001"/>
  </r>
  <r>
    <x v="27"/>
    <x v="0"/>
    <s v="127886300768"/>
    <n v="5163.79"/>
    <n v="12339287.6"/>
  </r>
  <r>
    <x v="27"/>
    <x v="156"/>
    <s v="127323985443"/>
    <n v="259.43"/>
    <n v="12339547.029999999"/>
  </r>
  <r>
    <x v="27"/>
    <x v="0"/>
    <s v="127886596694"/>
    <n v="17147.68"/>
    <n v="12356694.710000001"/>
  </r>
  <r>
    <x v="27"/>
    <x v="0"/>
    <s v="127886777148"/>
    <n v="72780.210000000006"/>
    <n v="12429474.92"/>
  </r>
  <r>
    <x v="27"/>
    <x v="0"/>
    <s v="127324806483"/>
    <n v="26013.81"/>
    <n v="12455488.73"/>
  </r>
  <r>
    <x v="27"/>
    <x v="157"/>
    <s v="127887318326"/>
    <n v="1306.96"/>
    <n v="12456795.689999999"/>
  </r>
  <r>
    <x v="27"/>
    <x v="0"/>
    <s v="127887369754"/>
    <n v="22606.71"/>
    <n v="12479402.4"/>
  </r>
  <r>
    <x v="27"/>
    <x v="0"/>
    <s v="127887531604"/>
    <n v="45694.67"/>
    <n v="12525097.07"/>
  </r>
  <r>
    <x v="27"/>
    <x v="0"/>
    <s v="127327134359"/>
    <n v="4579.21"/>
    <n v="12529676.279999999"/>
  </r>
  <r>
    <x v="27"/>
    <x v="0"/>
    <s v="127890550192"/>
    <n v="5358.65"/>
    <n v="12535034.93"/>
  </r>
  <r>
    <x v="27"/>
    <x v="0"/>
    <s v="127328690661"/>
    <n v="25136.94"/>
    <n v="12560171.869999999"/>
  </r>
  <r>
    <x v="27"/>
    <x v="0"/>
    <s v="127891287160"/>
    <n v="29758.05"/>
    <n v="12589929.92"/>
  </r>
  <r>
    <x v="27"/>
    <x v="0"/>
    <s v="127328855521"/>
    <n v="30868.6"/>
    <n v="12620798.52"/>
  </r>
  <r>
    <x v="27"/>
    <x v="0"/>
    <s v="127329293865"/>
    <n v="35237.31"/>
    <n v="12656035.83"/>
  </r>
  <r>
    <x v="27"/>
    <x v="0"/>
    <s v="127891727240"/>
    <n v="33321.06"/>
    <n v="12689356.890000001"/>
  </r>
  <r>
    <x v="27"/>
    <x v="0"/>
    <s v="127329483271"/>
    <n v="39677.4"/>
    <n v="12729034.289999999"/>
  </r>
  <r>
    <x v="27"/>
    <x v="0"/>
    <s v="127891938390"/>
    <n v="32249.33"/>
    <n v="12761283.619999999"/>
  </r>
  <r>
    <x v="27"/>
    <x v="0"/>
    <s v="127329669179"/>
    <n v="26783.05"/>
    <n v="12788066.67"/>
  </r>
  <r>
    <x v="27"/>
    <x v="0"/>
    <s v="127330733001"/>
    <n v="35464.519999999997"/>
    <n v="12823531.189999999"/>
  </r>
  <r>
    <x v="27"/>
    <x v="0"/>
    <s v="127893248554"/>
    <n v="22105.98"/>
    <n v="12845637.17"/>
  </r>
  <r>
    <x v="27"/>
    <x v="0"/>
    <s v="127330998645"/>
    <n v="37485.699999999997"/>
    <n v="12883122.869999999"/>
  </r>
  <r>
    <x v="27"/>
    <x v="0"/>
    <s v="127331234613"/>
    <n v="35074.800000000003"/>
    <n v="12918197.67"/>
  </r>
  <r>
    <x v="27"/>
    <x v="158"/>
    <s v="127331112049"/>
    <n v="3524.4"/>
    <n v="12921722.07"/>
  </r>
  <r>
    <x v="27"/>
    <x v="0"/>
    <s v="127331380259"/>
    <n v="34197.93"/>
    <n v="12955920"/>
  </r>
  <r>
    <x v="27"/>
    <x v="0"/>
    <s v="127331363373"/>
    <n v="73169.929999999993"/>
    <n v="13029089.93"/>
  </r>
  <r>
    <x v="27"/>
    <x v="159"/>
    <s v="127331388995"/>
    <n v="7352.29"/>
    <n v="13036442.220000001"/>
  </r>
  <r>
    <x v="27"/>
    <x v="0"/>
    <s v="127331361971"/>
    <n v="31413.34"/>
    <n v="13067855.560000001"/>
  </r>
  <r>
    <x v="27"/>
    <x v="0"/>
    <s v="127894050264"/>
    <n v="51443.040000000001"/>
    <n v="13119298.6"/>
  </r>
  <r>
    <x v="28"/>
    <x v="0"/>
    <s v="127894055512"/>
    <n v="9743"/>
    <n v="13129041.6"/>
  </r>
  <r>
    <x v="28"/>
    <x v="0"/>
    <s v="127894447792"/>
    <n v="8029.95"/>
    <n v="13137071.550000001"/>
  </r>
  <r>
    <x v="28"/>
    <x v="0"/>
    <s v="127894737706"/>
    <n v="23578.06"/>
    <n v="13160649.609999999"/>
  </r>
  <r>
    <x v="28"/>
    <x v="0"/>
    <s v="127332392351"/>
    <n v="95509.17"/>
    <n v="13256158.779999999"/>
  </r>
  <r>
    <x v="28"/>
    <x v="0"/>
    <s v="127894833394"/>
    <n v="26403.53"/>
    <n v="13282562.310000001"/>
  </r>
  <r>
    <x v="28"/>
    <x v="0"/>
    <s v="127332484489"/>
    <n v="25317.96"/>
    <n v="13307880.27"/>
  </r>
  <r>
    <x v="28"/>
    <x v="0"/>
    <s v="127894879810"/>
    <n v="48325.279999999999"/>
    <n v="13356205.550000001"/>
  </r>
  <r>
    <x v="28"/>
    <x v="0"/>
    <s v="127332445685"/>
    <n v="62539.14"/>
    <n v="13418744.689999999"/>
  </r>
  <r>
    <x v="28"/>
    <x v="0"/>
    <s v="127895243454"/>
    <n v="9447"/>
    <n v="13428191.689999999"/>
  </r>
  <r>
    <x v="28"/>
    <x v="0"/>
    <s v="127895360758"/>
    <n v="30593.02"/>
    <n v="13458784.710000001"/>
  </r>
  <r>
    <x v="28"/>
    <x v="0"/>
    <s v="127895269884"/>
    <n v="83417.009999999995"/>
    <n v="13542201.720000001"/>
  </r>
  <r>
    <x v="28"/>
    <x v="0"/>
    <s v="127333073127"/>
    <n v="27767.55"/>
    <n v="13569969.27"/>
  </r>
  <r>
    <x v="28"/>
    <x v="0"/>
    <s v="127895917768"/>
    <n v="10064.08"/>
    <n v="13580033.35"/>
  </r>
  <r>
    <x v="28"/>
    <x v="0"/>
    <s v="127334214297"/>
    <n v="37705.410000000003"/>
    <n v="13617738.76"/>
  </r>
  <r>
    <x v="28"/>
    <x v="0"/>
    <s v="127334292265"/>
    <n v="48032.99"/>
    <n v="13665771.75"/>
  </r>
  <r>
    <x v="28"/>
    <x v="160"/>
    <s v="127896570932"/>
    <n v="2413.23"/>
    <n v="13668184.98"/>
  </r>
  <r>
    <x v="28"/>
    <x v="0"/>
    <s v="127334832777"/>
    <n v="19156.689999999999"/>
    <n v="13687341.67"/>
  </r>
  <r>
    <x v="28"/>
    <x v="0"/>
    <s v="127897506320"/>
    <n v="9447"/>
    <n v="13696788.67"/>
  </r>
  <r>
    <x v="28"/>
    <x v="0"/>
    <s v="127898260894"/>
    <n v="8768.7000000000007"/>
    <n v="13705557.369999999"/>
  </r>
  <r>
    <x v="28"/>
    <x v="161"/>
    <s v="127335749687"/>
    <n v="440.55"/>
    <n v="13705997.92"/>
  </r>
  <r>
    <x v="28"/>
    <x v="0"/>
    <s v="127898519072"/>
    <n v="22896.05"/>
    <n v="13728893.970000001"/>
  </r>
  <r>
    <x v="28"/>
    <x v="0"/>
    <s v="127898594082"/>
    <n v="36049.1"/>
    <n v="13764943.07"/>
  </r>
  <r>
    <x v="28"/>
    <x v="18"/>
    <s v="127934358644"/>
    <n v="-46356.45"/>
    <n v="13718586.619999999"/>
  </r>
  <r>
    <x v="28"/>
    <x v="98"/>
    <s v="127934684742"/>
    <n v="-938188.06"/>
    <n v="12780398.560000001"/>
  </r>
  <r>
    <x v="28"/>
    <x v="162"/>
    <s v="127373245459"/>
    <n v="-259931.29"/>
    <n v="12520467.27"/>
  </r>
  <r>
    <x v="28"/>
    <x v="5"/>
    <s v="127373558177"/>
    <n v="-261502.26"/>
    <n v="12258965.01"/>
  </r>
  <r>
    <x v="28"/>
    <x v="4"/>
    <s v="127373558177"/>
    <n v="-1569.01"/>
    <n v="12257396"/>
  </r>
  <r>
    <x v="29"/>
    <x v="12"/>
    <s v="128057195334"/>
    <n v="-182649.36"/>
    <n v="12074746.640000001"/>
  </r>
  <r>
    <x v="29"/>
    <x v="12"/>
    <s v="127493738443"/>
    <n v="-209826.45"/>
    <n v="11864920.189999999"/>
  </r>
  <r>
    <x v="29"/>
    <x v="6"/>
    <s v="128058002836"/>
    <n v="-216466.05"/>
    <n v="11648454.140000001"/>
  </r>
  <r>
    <x v="29"/>
    <x v="9"/>
    <s v="128059423494"/>
    <n v="-694305.25"/>
    <n v="10954148.890000001"/>
  </r>
  <r>
    <x v="29"/>
    <x v="30"/>
    <s v="128067663200"/>
    <n v="-71540.38"/>
    <n v="10882608.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6">
  <r>
    <x v="0"/>
    <x v="0"/>
    <n v="123864040285"/>
    <n v="14614.5"/>
    <n v="12904391.59"/>
    <x v="0"/>
    <m/>
    <m/>
    <n v="0"/>
    <n v="-150"/>
    <n v="-145.5"/>
    <n v="-90"/>
    <n v="15000"/>
  </r>
  <r>
    <x v="0"/>
    <x v="0"/>
    <n v="123868184561"/>
    <n v="9743"/>
    <n v="12967685.609999999"/>
    <x v="0"/>
    <m/>
    <m/>
    <n v="0"/>
    <n v="-100"/>
    <n v="-97"/>
    <n v="-60"/>
    <n v="10000"/>
  </r>
  <r>
    <x v="0"/>
    <x v="0"/>
    <n v="123868170745"/>
    <n v="13153.05"/>
    <n v="12980838.66"/>
    <x v="0"/>
    <m/>
    <m/>
    <n v="0"/>
    <n v="-135"/>
    <n v="-130.94999999999999"/>
    <n v="-81"/>
    <n v="13500"/>
  </r>
  <r>
    <x v="0"/>
    <x v="0"/>
    <n v="123864645949"/>
    <n v="17050.25"/>
    <n v="12921441.84"/>
    <x v="0"/>
    <m/>
    <m/>
    <n v="0"/>
    <n v="-175"/>
    <n v="-169.75"/>
    <n v="-105"/>
    <n v="17500"/>
  </r>
  <r>
    <x v="0"/>
    <x v="0"/>
    <n v="124407346652"/>
    <n v="11984.28"/>
    <n v="12933426.119999999"/>
    <x v="0"/>
    <m/>
    <m/>
    <n v="0"/>
    <n v="-132"/>
    <n v="-1004.52"/>
    <n v="-79.2"/>
    <n v="13200.000000000002"/>
  </r>
  <r>
    <x v="0"/>
    <x v="1"/>
    <n v="123865265509"/>
    <n v="646.14"/>
    <n v="12934072.26"/>
    <x v="0"/>
    <m/>
    <m/>
    <n v="-9.9"/>
    <n v="0"/>
    <n v="0"/>
    <n v="-3.96"/>
    <n v="660"/>
  </r>
  <r>
    <x v="0"/>
    <x v="0"/>
    <n v="124407749182"/>
    <n v="23870.35"/>
    <n v="12957942.609999999"/>
    <x v="0"/>
    <m/>
    <m/>
    <n v="0"/>
    <n v="-245"/>
    <n v="-237.65"/>
    <n v="-147"/>
    <n v="24500"/>
  </r>
  <r>
    <x v="1"/>
    <x v="2"/>
    <n v="127068860180"/>
    <n v="-89532.99"/>
    <n v="11473138"/>
    <x v="1"/>
    <n v="-88998.99602385686"/>
    <n v="-533.99397614314512"/>
    <n v="0"/>
    <n v="0"/>
    <n v="0"/>
    <n v="-533.99397614314512"/>
    <n v="-88998.99602385686"/>
  </r>
  <r>
    <x v="2"/>
    <x v="2"/>
    <n v="127126561178"/>
    <n v="-89532.99"/>
    <n v="9722452.4499999993"/>
    <x v="1"/>
    <n v="-88998.99602385686"/>
    <n v="-533.99397614314512"/>
    <n v="0"/>
    <n v="0"/>
    <n v="0"/>
    <n v="-533.99397614314512"/>
    <n v="-88998.99602385686"/>
  </r>
  <r>
    <x v="3"/>
    <x v="3"/>
    <n v="125728344293"/>
    <n v="-103632.08"/>
    <n v="12303049"/>
    <x v="1"/>
    <n v="-103013.99602385686"/>
    <n v="-618.08397614314163"/>
    <n v="0"/>
    <n v="0"/>
    <n v="0"/>
    <n v="-618.08000000000004"/>
    <n v="-103014"/>
  </r>
  <r>
    <x v="4"/>
    <x v="4"/>
    <n v="126810642450"/>
    <n v="-220425.67"/>
    <n v="7333939.3399999999"/>
    <x v="1"/>
    <n v="-219111.00397614314"/>
    <n v="-1314.6660238568729"/>
    <n v="0"/>
    <n v="0"/>
    <n v="0"/>
    <n v="-1314.6660238568729"/>
    <n v="-219111.00397614314"/>
  </r>
  <r>
    <x v="2"/>
    <x v="4"/>
    <n v="127126683578"/>
    <n v="-220425.67"/>
    <n v="9502026.7799999993"/>
    <x v="1"/>
    <n v="-219111.00397614314"/>
    <n v="-1314.6660238568729"/>
    <n v="0"/>
    <n v="0"/>
    <n v="0"/>
    <n v="-1314.6660238568729"/>
    <n v="-219111.00397614314"/>
  </r>
  <r>
    <x v="5"/>
    <x v="5"/>
    <n v="126684826955"/>
    <n v="-251359.76"/>
    <n v="8079743.6399999997"/>
    <x v="1"/>
    <n v="-249860.59642147119"/>
    <n v="-1499.1635785288236"/>
    <n v="0"/>
    <n v="0"/>
    <n v="0"/>
    <n v="-1499.1635785288236"/>
    <n v="-249860.59642147119"/>
  </r>
  <r>
    <x v="6"/>
    <x v="6"/>
    <n v="125395601971"/>
    <n v="-37225.019999999997"/>
    <n v="9178413.6500000004"/>
    <x v="1"/>
    <n v="-37003.00198807157"/>
    <n v="-222.01801192842686"/>
    <n v="0"/>
    <n v="0"/>
    <n v="0"/>
    <n v="-222.01801192842686"/>
    <n v="-37003.00198807157"/>
  </r>
  <r>
    <x v="7"/>
    <x v="7"/>
    <n v="127373245459"/>
    <n v="-259931.29"/>
    <n v="12520467.27"/>
    <x v="1"/>
    <n v="-258381.00397614314"/>
    <n v="-1550.2860238568683"/>
    <n v="0"/>
    <n v="0"/>
    <n v="0"/>
    <n v="-1550.29"/>
    <n v="-258381"/>
  </r>
  <r>
    <x v="8"/>
    <x v="8"/>
    <n v="2350344890"/>
    <n v="-25262.46"/>
    <n v="9407525.4399999995"/>
    <x v="1"/>
    <n v="-25111.789264413517"/>
    <n v="-150.6707355864819"/>
    <n v="0"/>
    <n v="0"/>
    <n v="0"/>
    <n v="-150.6707355864819"/>
    <n v="-25111.789264413517"/>
  </r>
  <r>
    <x v="0"/>
    <x v="9"/>
    <n v="124446003662"/>
    <n v="-550.29"/>
    <n v="12726786.939999999"/>
    <x v="2"/>
    <n v="-91714.999999999985"/>
    <m/>
    <n v="0"/>
    <n v="0"/>
    <n v="0"/>
    <n v="-550.29"/>
    <n v="-550.29"/>
  </r>
  <r>
    <x v="0"/>
    <x v="9"/>
    <n v="124454118654"/>
    <n v="-1641.99"/>
    <n v="12451479.789999999"/>
    <x v="2"/>
    <n v="-273665"/>
    <m/>
    <n v="0"/>
    <n v="0"/>
    <n v="0"/>
    <n v="-1641.99"/>
    <n v="-1641.99"/>
  </r>
  <r>
    <x v="0"/>
    <x v="9"/>
    <n v="124489977054"/>
    <n v="-1012.07"/>
    <n v="12043724.09"/>
    <x v="2"/>
    <n v="-168678.33333333334"/>
    <m/>
    <n v="0"/>
    <n v="0"/>
    <n v="0"/>
    <n v="-1012.07"/>
    <n v="-1012.07"/>
  </r>
  <r>
    <x v="9"/>
    <x v="9"/>
    <n v="124014458903"/>
    <n v="-5892.5"/>
    <n v="11055747.49"/>
    <x v="2"/>
    <n v="-982083.33333333326"/>
    <m/>
    <n v="0"/>
    <n v="0"/>
    <n v="0"/>
    <n v="-5892.5"/>
    <n v="-5892.5"/>
  </r>
  <r>
    <x v="9"/>
    <x v="9"/>
    <n v="124031772669"/>
    <n v="-4710.99"/>
    <n v="9842700.2400000002"/>
    <x v="2"/>
    <n v="-785165"/>
    <m/>
    <n v="0"/>
    <n v="0"/>
    <n v="0"/>
    <n v="-4710.99"/>
    <n v="-4710.99"/>
  </r>
  <r>
    <x v="9"/>
    <x v="9"/>
    <n v="124618927966"/>
    <n v="-505.77"/>
    <n v="9757899.5299999993"/>
    <x v="2"/>
    <n v="-84295"/>
    <m/>
    <n v="0"/>
    <n v="0"/>
    <n v="0"/>
    <n v="-505.77"/>
    <n v="-505.77"/>
  </r>
  <r>
    <x v="9"/>
    <x v="9"/>
    <n v="124624594370"/>
    <n v="-1294.3399999999999"/>
    <n v="9540881.0299999993"/>
    <x v="2"/>
    <n v="-215723.33333333331"/>
    <m/>
    <n v="0"/>
    <n v="0"/>
    <n v="0"/>
    <n v="-1294.3399999999999"/>
    <n v="-1294.3399999999999"/>
  </r>
  <r>
    <x v="10"/>
    <x v="9"/>
    <n v="124167213727"/>
    <n v="-645.69000000000005"/>
    <n v="9432620.25"/>
    <x v="2"/>
    <n v="-107615"/>
    <m/>
    <n v="0"/>
    <n v="0"/>
    <n v="0"/>
    <n v="-645.69000000000005"/>
    <n v="-645.69000000000005"/>
  </r>
  <r>
    <x v="10"/>
    <x v="9"/>
    <n v="124761516066"/>
    <n v="-1262.06"/>
    <n v="9065753.8900000006"/>
    <x v="2"/>
    <n v="-210343.33333333331"/>
    <m/>
    <n v="0"/>
    <n v="0"/>
    <n v="0"/>
    <n v="-1262.06"/>
    <n v="-1262.06"/>
  </r>
  <r>
    <x v="10"/>
    <x v="9"/>
    <n v="124774089426"/>
    <n v="-271.44"/>
    <n v="9020242.8399999999"/>
    <x v="2"/>
    <n v="-45240"/>
    <m/>
    <n v="0"/>
    <n v="0"/>
    <n v="0"/>
    <n v="-271.44"/>
    <n v="-271.44"/>
  </r>
  <r>
    <x v="11"/>
    <x v="9"/>
    <n v="124293086141"/>
    <n v="-7357.44"/>
    <n v="8469977.9700000007"/>
    <x v="2"/>
    <n v="-1226240"/>
    <m/>
    <n v="0"/>
    <n v="0"/>
    <n v="0"/>
    <n v="-7357.44"/>
    <n v="-7357.44"/>
  </r>
  <r>
    <x v="10"/>
    <x v="0"/>
    <n v="124234497707"/>
    <n v="4774.07"/>
    <n v="9025016.9100000001"/>
    <x v="0"/>
    <m/>
    <m/>
    <n v="0"/>
    <n v="-49"/>
    <n v="-47.53"/>
    <n v="-29.4"/>
    <n v="4899.9999999999991"/>
  </r>
  <r>
    <x v="10"/>
    <x v="0"/>
    <n v="124781182650"/>
    <n v="8071.96"/>
    <n v="9033088.8699999992"/>
    <x v="0"/>
    <m/>
    <m/>
    <n v="0"/>
    <n v="-86"/>
    <n v="-390.44"/>
    <n v="-51.6"/>
    <n v="8600"/>
  </r>
  <r>
    <x v="10"/>
    <x v="0"/>
    <n v="124236889607"/>
    <n v="28546.99"/>
    <n v="9061635.8599999994"/>
    <x v="0"/>
    <m/>
    <m/>
    <n v="0"/>
    <n v="-293"/>
    <n v="-284.20999999999998"/>
    <n v="-175.8"/>
    <n v="29300"/>
  </r>
  <r>
    <x v="10"/>
    <x v="10"/>
    <n v="124236877691"/>
    <n v="1434.23"/>
    <n v="9063070.0899999999"/>
    <x v="0"/>
    <m/>
    <m/>
    <n v="-21.98"/>
    <n v="0"/>
    <n v="0"/>
    <n v="-8.7899999999999991"/>
    <n v="1465"/>
  </r>
  <r>
    <x v="10"/>
    <x v="0"/>
    <n v="124784681512"/>
    <n v="28144.9"/>
    <n v="9091214.9900000002"/>
    <x v="0"/>
    <m/>
    <m/>
    <n v="0"/>
    <n v="-310"/>
    <n v="-2359.1"/>
    <n v="-186"/>
    <n v="31000"/>
  </r>
  <r>
    <x v="10"/>
    <x v="0"/>
    <n v="124788106000"/>
    <n v="5006.91"/>
    <n v="9096221.9000000004"/>
    <x v="0"/>
    <m/>
    <m/>
    <n v="0"/>
    <n v="-53"/>
    <n v="-208.29"/>
    <n v="-31.8"/>
    <n v="5300"/>
  </r>
  <r>
    <x v="10"/>
    <x v="0"/>
    <n v="124245392201"/>
    <n v="33223.629999999997"/>
    <n v="9129445.5299999993"/>
    <x v="0"/>
    <m/>
    <m/>
    <n v="0"/>
    <n v="-341"/>
    <n v="-330.77"/>
    <n v="-204.6"/>
    <n v="34099.999999999993"/>
  </r>
  <r>
    <x v="10"/>
    <x v="0"/>
    <n v="124245389515"/>
    <n v="44817.8"/>
    <n v="9174263.3300000001"/>
    <x v="0"/>
    <m/>
    <m/>
    <n v="0"/>
    <n v="-460"/>
    <n v="-446.2"/>
    <n v="-276"/>
    <n v="46000"/>
  </r>
  <r>
    <x v="10"/>
    <x v="0"/>
    <n v="124247706111"/>
    <n v="11983.89"/>
    <n v="9186247.2200000007"/>
    <x v="0"/>
    <m/>
    <m/>
    <n v="0"/>
    <n v="-123"/>
    <n v="-119.31"/>
    <n v="-73.8"/>
    <n v="12299.999999999998"/>
  </r>
  <r>
    <x v="10"/>
    <x v="0"/>
    <n v="124795296394"/>
    <n v="19485.03"/>
    <n v="9205732.25"/>
    <x v="0"/>
    <m/>
    <m/>
    <n v="0"/>
    <n v="-199.99"/>
    <n v="-193.99"/>
    <n v="-119.99"/>
    <n v="19999.000000000004"/>
  </r>
  <r>
    <x v="10"/>
    <x v="0"/>
    <n v="124251168101"/>
    <n v="58356.67"/>
    <n v="9264088.9199999999"/>
    <x v="0"/>
    <m/>
    <m/>
    <n v="0"/>
    <n v="-598.96"/>
    <n v="-580.99"/>
    <n v="-359.38"/>
    <n v="59895.999999999993"/>
  </r>
  <r>
    <x v="10"/>
    <x v="0"/>
    <n v="124251556927"/>
    <n v="69175.3"/>
    <n v="9333264.2200000007"/>
    <x v="0"/>
    <m/>
    <m/>
    <n v="0"/>
    <n v="-710"/>
    <n v="-688.7"/>
    <n v="-426"/>
    <n v="71000"/>
  </r>
  <r>
    <x v="11"/>
    <x v="9"/>
    <n v="124845509146"/>
    <n v="-1320.16"/>
    <n v="8226901.9000000004"/>
    <x v="2"/>
    <n v="-220026.66666666669"/>
    <m/>
    <n v="0"/>
    <n v="0"/>
    <n v="0"/>
    <n v="-1320.16"/>
    <n v="-1320.16"/>
  </r>
  <r>
    <x v="11"/>
    <x v="9"/>
    <n v="124856861194"/>
    <n v="-822.12"/>
    <n v="8089059.7800000003"/>
    <x v="2"/>
    <n v="-137020"/>
    <m/>
    <n v="0"/>
    <n v="0"/>
    <n v="0"/>
    <n v="-822.12"/>
    <n v="-822.12"/>
  </r>
  <r>
    <x v="12"/>
    <x v="9"/>
    <n v="124420739261"/>
    <n v="-2599.61"/>
    <n v="9176818.8800000008"/>
    <x v="2"/>
    <n v="-433268.33333333337"/>
    <m/>
    <n v="0"/>
    <n v="0"/>
    <n v="0"/>
    <n v="-2599.61"/>
    <n v="-2599.61"/>
  </r>
  <r>
    <x v="13"/>
    <x v="9"/>
    <n v="125360500974"/>
    <n v="-1623.75"/>
    <n v="12021864.83"/>
    <x v="2"/>
    <n v="-270625"/>
    <m/>
    <n v="0"/>
    <n v="0"/>
    <n v="0"/>
    <n v="-1623.75"/>
    <n v="-1623.75"/>
  </r>
  <r>
    <x v="13"/>
    <x v="9"/>
    <n v="125385837094"/>
    <n v="-1571.04"/>
    <n v="10676268.800000001"/>
    <x v="2"/>
    <n v="-261840"/>
    <m/>
    <n v="0"/>
    <n v="0"/>
    <n v="0"/>
    <n v="-1571.04"/>
    <n v="-1571.04"/>
  </r>
  <r>
    <x v="13"/>
    <x v="9"/>
    <n v="125391966586"/>
    <n v="-570.35"/>
    <n v="10580640.08"/>
    <x v="2"/>
    <n v="-95058.333333333328"/>
    <m/>
    <n v="0"/>
    <n v="0"/>
    <n v="0"/>
    <n v="-570.35"/>
    <n v="-570.35"/>
  </r>
  <r>
    <x v="14"/>
    <x v="9"/>
    <n v="125490840846"/>
    <n v="-935.78"/>
    <n v="8562238.6199999992"/>
    <x v="2"/>
    <n v="-155963.33333333331"/>
    <m/>
    <n v="0"/>
    <n v="0"/>
    <n v="0"/>
    <n v="-935.78"/>
    <n v="-935.78"/>
  </r>
  <r>
    <x v="11"/>
    <x v="0"/>
    <n v="124797073790"/>
    <n v="55729.96"/>
    <n v="9388994.1799999997"/>
    <x v="0"/>
    <m/>
    <m/>
    <n v="0"/>
    <n v="-572"/>
    <n v="-554.84"/>
    <n v="-343.2"/>
    <n v="57199.999999999993"/>
  </r>
  <r>
    <x v="11"/>
    <x v="0"/>
    <n v="124797394520"/>
    <n v="35756.81"/>
    <n v="9424750.9900000002"/>
    <x v="0"/>
    <m/>
    <m/>
    <n v="0"/>
    <n v="-367"/>
    <n v="-355.99"/>
    <n v="-220.2"/>
    <n v="36699.999999999993"/>
  </r>
  <r>
    <x v="11"/>
    <x v="11"/>
    <n v="124253070499"/>
    <n v="1796.46"/>
    <n v="9426547.4499999993"/>
    <x v="0"/>
    <m/>
    <m/>
    <n v="-27.53"/>
    <n v="0"/>
    <n v="0"/>
    <n v="-11.01"/>
    <n v="1835"/>
  </r>
  <r>
    <x v="11"/>
    <x v="0"/>
    <n v="124797743380"/>
    <n v="138720.76"/>
    <n v="9565268.2100000009"/>
    <x v="0"/>
    <m/>
    <m/>
    <n v="0"/>
    <n v="-1527.93"/>
    <n v="-11627.55"/>
    <n v="-916.76"/>
    <n v="152793"/>
  </r>
  <r>
    <x v="11"/>
    <x v="0"/>
    <n v="124797908608"/>
    <n v="14072.45"/>
    <n v="9579340.6600000001"/>
    <x v="0"/>
    <m/>
    <m/>
    <n v="0"/>
    <n v="-155"/>
    <n v="-1179.55"/>
    <n v="-93"/>
    <n v="15500"/>
  </r>
  <r>
    <x v="11"/>
    <x v="0"/>
    <n v="124253989611"/>
    <n v="20362.87"/>
    <n v="9599703.5299999993"/>
    <x v="0"/>
    <m/>
    <m/>
    <n v="0"/>
    <n v="-209"/>
    <n v="-202.73"/>
    <n v="-125.4"/>
    <n v="20900"/>
  </r>
  <r>
    <x v="11"/>
    <x v="0"/>
    <n v="124798439032"/>
    <n v="27475.26"/>
    <n v="9627178.7899999991"/>
    <x v="0"/>
    <m/>
    <m/>
    <n v="0"/>
    <n v="-282"/>
    <n v="-273.54000000000002"/>
    <n v="-169.2"/>
    <n v="28200"/>
  </r>
  <r>
    <x v="11"/>
    <x v="12"/>
    <n v="124254045511"/>
    <n v="1380.39"/>
    <n v="9628559.1799999997"/>
    <x v="0"/>
    <m/>
    <m/>
    <n v="-21.15"/>
    <n v="0"/>
    <n v="0"/>
    <n v="-8.4600000000000009"/>
    <n v="1410.0000000000002"/>
  </r>
  <r>
    <x v="11"/>
    <x v="0"/>
    <n v="124798706468"/>
    <n v="9548.14"/>
    <n v="9638107.3200000003"/>
    <x v="0"/>
    <m/>
    <m/>
    <n v="0"/>
    <n v="-98"/>
    <n v="-95.06"/>
    <n v="-58.8"/>
    <n v="9799.9999999999982"/>
  </r>
  <r>
    <x v="11"/>
    <x v="0"/>
    <n v="124800062204"/>
    <n v="45984.04"/>
    <n v="9684091.3599999994"/>
    <x v="0"/>
    <m/>
    <m/>
    <n v="0"/>
    <n v="-471.97"/>
    <n v="-457.81"/>
    <n v="-283.18"/>
    <n v="47197"/>
  </r>
  <r>
    <x v="11"/>
    <x v="0"/>
    <n v="124256095479"/>
    <n v="19484.05"/>
    <n v="9703575.4100000001"/>
    <x v="0"/>
    <m/>
    <m/>
    <n v="0"/>
    <n v="-199.98"/>
    <n v="-193.98"/>
    <n v="-119.99"/>
    <n v="19998"/>
  </r>
  <r>
    <x v="11"/>
    <x v="0"/>
    <n v="124907529624"/>
    <n v="15491.37"/>
    <n v="8104551.1500000004"/>
    <x v="0"/>
    <m/>
    <m/>
    <n v="0"/>
    <n v="-159"/>
    <n v="-154.22999999999999"/>
    <n v="-95.4"/>
    <n v="15900"/>
  </r>
  <r>
    <x v="11"/>
    <x v="0"/>
    <n v="124362593953"/>
    <n v="4189.49"/>
    <n v="8108740.6399999997"/>
    <x v="0"/>
    <m/>
    <m/>
    <n v="0"/>
    <n v="-43"/>
    <n v="-41.71"/>
    <n v="-25.8"/>
    <n v="4300"/>
  </r>
  <r>
    <x v="11"/>
    <x v="13"/>
    <n v="124362828291"/>
    <n v="210.48"/>
    <n v="8108951.1200000001"/>
    <x v="0"/>
    <m/>
    <m/>
    <n v="-3.23"/>
    <n v="0"/>
    <n v="0"/>
    <n v="-1.29"/>
    <n v="214.99999999999997"/>
  </r>
  <r>
    <x v="11"/>
    <x v="0"/>
    <n v="124908939322"/>
    <n v="4189.49"/>
    <n v="8113140.6100000003"/>
    <x v="0"/>
    <m/>
    <m/>
    <n v="0"/>
    <n v="-43"/>
    <n v="-41.71"/>
    <n v="-25.8"/>
    <n v="4300"/>
  </r>
  <r>
    <x v="11"/>
    <x v="0"/>
    <n v="124909134908"/>
    <n v="7599.54"/>
    <n v="8120740.1500000004"/>
    <x v="0"/>
    <m/>
    <m/>
    <n v="0"/>
    <n v="-78"/>
    <n v="-75.66"/>
    <n v="-46.8"/>
    <n v="7800"/>
  </r>
  <r>
    <x v="11"/>
    <x v="14"/>
    <n v="124909138878"/>
    <n v="381.81"/>
    <n v="8121121.96"/>
    <x v="0"/>
    <m/>
    <m/>
    <n v="-5.85"/>
    <n v="0"/>
    <n v="0"/>
    <n v="-2.34"/>
    <n v="390"/>
  </r>
  <r>
    <x v="11"/>
    <x v="0"/>
    <n v="124912912486"/>
    <n v="29229"/>
    <n v="8150350.96"/>
    <x v="0"/>
    <m/>
    <m/>
    <n v="0"/>
    <n v="-300"/>
    <n v="-291"/>
    <n v="-180"/>
    <n v="30000"/>
  </r>
  <r>
    <x v="11"/>
    <x v="0"/>
    <n v="124368294535"/>
    <n v="4062.21"/>
    <n v="8154413.1699999999"/>
    <x v="0"/>
    <m/>
    <m/>
    <n v="0"/>
    <n v="-43"/>
    <n v="-168.99"/>
    <n v="-25.8"/>
    <n v="4300"/>
  </r>
  <r>
    <x v="11"/>
    <x v="0"/>
    <n v="124370030581"/>
    <n v="106101.27"/>
    <n v="8260514.4400000004"/>
    <x v="0"/>
    <m/>
    <m/>
    <n v="0"/>
    <n v="-1089"/>
    <n v="-1056.33"/>
    <n v="-653.4"/>
    <n v="108900"/>
  </r>
  <r>
    <x v="11"/>
    <x v="0"/>
    <n v="124919880508"/>
    <n v="23188.34"/>
    <n v="8283702.7800000003"/>
    <x v="0"/>
    <m/>
    <m/>
    <n v="0"/>
    <n v="-238"/>
    <n v="-230.86"/>
    <n v="-142.80000000000001"/>
    <n v="23800"/>
  </r>
  <r>
    <x v="11"/>
    <x v="0"/>
    <n v="124375560999"/>
    <n v="4062.21"/>
    <n v="8287764.9900000002"/>
    <x v="0"/>
    <m/>
    <m/>
    <n v="0"/>
    <n v="-43"/>
    <n v="-168.99"/>
    <n v="-25.8"/>
    <n v="4300"/>
  </r>
  <r>
    <x v="11"/>
    <x v="0"/>
    <n v="124921656040"/>
    <n v="37356.28"/>
    <n v="8325121.2699999996"/>
    <x v="0"/>
    <m/>
    <m/>
    <n v="0"/>
    <n v="-398"/>
    <n v="-1806.92"/>
    <n v="-238.8"/>
    <n v="39800"/>
  </r>
  <r>
    <x v="11"/>
    <x v="0"/>
    <n v="124379045323"/>
    <n v="3799.77"/>
    <n v="8328921.04"/>
    <x v="0"/>
    <m/>
    <m/>
    <n v="0"/>
    <n v="-39"/>
    <n v="-37.83"/>
    <n v="-23.4"/>
    <n v="3900"/>
  </r>
  <r>
    <x v="11"/>
    <x v="0"/>
    <n v="124924939738"/>
    <n v="8378.98"/>
    <n v="8337300.0199999996"/>
    <x v="0"/>
    <m/>
    <m/>
    <n v="0"/>
    <n v="-86"/>
    <n v="-83.42"/>
    <n v="-51.6"/>
    <n v="8600"/>
  </r>
  <r>
    <x v="11"/>
    <x v="0"/>
    <n v="124379914851"/>
    <n v="4189.49"/>
    <n v="8341489.5099999998"/>
    <x v="0"/>
    <m/>
    <m/>
    <n v="0"/>
    <n v="-43"/>
    <n v="-41.71"/>
    <n v="-25.8"/>
    <n v="4300"/>
  </r>
  <r>
    <x v="11"/>
    <x v="0"/>
    <n v="124926524640"/>
    <n v="79795.17"/>
    <n v="8421284.6799999997"/>
    <x v="0"/>
    <m/>
    <m/>
    <n v="0"/>
    <n v="-819"/>
    <n v="-794.43"/>
    <n v="-491.4"/>
    <n v="81899.999999999985"/>
  </r>
  <r>
    <x v="11"/>
    <x v="0"/>
    <n v="124926603568"/>
    <n v="13542.77"/>
    <n v="8434827.4499999993"/>
    <x v="0"/>
    <m/>
    <m/>
    <n v="0"/>
    <n v="-139"/>
    <n v="-134.83000000000001"/>
    <n v="-83.4"/>
    <n v="13900"/>
  </r>
  <r>
    <x v="11"/>
    <x v="0"/>
    <n v="124926894128"/>
    <n v="3410.05"/>
    <n v="8438237.5"/>
    <x v="0"/>
    <m/>
    <m/>
    <n v="0"/>
    <n v="-35"/>
    <n v="-33.950000000000003"/>
    <n v="-21"/>
    <n v="3500"/>
  </r>
  <r>
    <x v="11"/>
    <x v="15"/>
    <n v="124926882200"/>
    <n v="171.32"/>
    <n v="8438408.8200000003"/>
    <x v="0"/>
    <m/>
    <m/>
    <n v="-2.63"/>
    <n v="0"/>
    <n v="0"/>
    <n v="-1.05"/>
    <n v="175"/>
  </r>
  <r>
    <x v="11"/>
    <x v="0"/>
    <n v="124382131027"/>
    <n v="27377.83"/>
    <n v="8465786.6500000004"/>
    <x v="0"/>
    <m/>
    <m/>
    <n v="0"/>
    <n v="-281"/>
    <n v="-272.57"/>
    <n v="-168.6"/>
    <n v="28100"/>
  </r>
  <r>
    <x v="11"/>
    <x v="16"/>
    <n v="124382023949"/>
    <n v="4126.4799999999996"/>
    <n v="8469913.1300000008"/>
    <x v="0"/>
    <m/>
    <m/>
    <n v="-63.23"/>
    <n v="0"/>
    <n v="0"/>
    <n v="-25.29"/>
    <n v="4214.9999999999991"/>
  </r>
  <r>
    <x v="11"/>
    <x v="0"/>
    <n v="124382333979"/>
    <n v="12568.47"/>
    <n v="8482481.5999999996"/>
    <x v="0"/>
    <m/>
    <m/>
    <n v="0"/>
    <n v="-129"/>
    <n v="-125.13"/>
    <n v="-77.400000000000006"/>
    <n v="12899.999999999998"/>
  </r>
  <r>
    <x v="11"/>
    <x v="0"/>
    <n v="124383268861"/>
    <n v="4189.49"/>
    <n v="8486671.0899999999"/>
    <x v="0"/>
    <m/>
    <m/>
    <n v="0"/>
    <n v="-43"/>
    <n v="-41.71"/>
    <n v="-25.8"/>
    <n v="4300"/>
  </r>
  <r>
    <x v="11"/>
    <x v="0"/>
    <n v="124383275693"/>
    <n v="9060.99"/>
    <n v="8495732.0800000001"/>
    <x v="0"/>
    <m/>
    <m/>
    <n v="0"/>
    <n v="-93"/>
    <n v="-90.21"/>
    <n v="-55.8"/>
    <n v="9299.9999999999982"/>
  </r>
  <r>
    <x v="11"/>
    <x v="0"/>
    <n v="124928647796"/>
    <n v="12568.47"/>
    <n v="8508300.5500000007"/>
    <x v="0"/>
    <m/>
    <m/>
    <n v="0"/>
    <n v="-129"/>
    <n v="-125.13"/>
    <n v="-77.400000000000006"/>
    <n v="12899.999999999998"/>
  </r>
  <r>
    <x v="11"/>
    <x v="0"/>
    <n v="124929160694"/>
    <n v="32139.66"/>
    <n v="8540440.2100000009"/>
    <x v="0"/>
    <m/>
    <m/>
    <n v="0"/>
    <n v="-354"/>
    <n v="-2693.94"/>
    <n v="-212.4"/>
    <n v="35400"/>
  </r>
  <r>
    <x v="11"/>
    <x v="0"/>
    <n v="124929201672"/>
    <n v="12568.47"/>
    <n v="8553008.6799999997"/>
    <x v="0"/>
    <m/>
    <m/>
    <n v="0"/>
    <n v="-129"/>
    <n v="-125.13"/>
    <n v="-77.400000000000006"/>
    <n v="12899.999999999998"/>
  </r>
  <r>
    <x v="11"/>
    <x v="0"/>
    <n v="124929525256"/>
    <n v="3410.05"/>
    <n v="8556418.7300000004"/>
    <x v="0"/>
    <m/>
    <m/>
    <n v="0"/>
    <n v="-35"/>
    <n v="-33.950000000000003"/>
    <n v="-21"/>
    <n v="3500"/>
  </r>
  <r>
    <x v="11"/>
    <x v="0"/>
    <n v="124929549560"/>
    <n v="13250.48"/>
    <n v="8569669.2100000009"/>
    <x v="0"/>
    <m/>
    <m/>
    <n v="0"/>
    <n v="-136"/>
    <n v="-131.91999999999999"/>
    <n v="-81.599999999999994"/>
    <n v="13600"/>
  </r>
  <r>
    <x v="11"/>
    <x v="0"/>
    <n v="124384575133"/>
    <n v="10619.87"/>
    <n v="8580289.0800000001"/>
    <x v="0"/>
    <m/>
    <m/>
    <n v="0"/>
    <n v="-109"/>
    <n v="-105.73"/>
    <n v="-65.400000000000006"/>
    <n v="10900"/>
  </r>
  <r>
    <x v="11"/>
    <x v="0"/>
    <n v="124929877616"/>
    <n v="3799.77"/>
    <n v="8584088.8499999996"/>
    <x v="0"/>
    <m/>
    <m/>
    <n v="0"/>
    <n v="-39"/>
    <n v="-37.83"/>
    <n v="-23.4"/>
    <n v="3900"/>
  </r>
  <r>
    <x v="11"/>
    <x v="0"/>
    <n v="124929957960"/>
    <n v="4189.49"/>
    <n v="8588278.3399999999"/>
    <x v="0"/>
    <m/>
    <m/>
    <n v="0"/>
    <n v="-43"/>
    <n v="-41.71"/>
    <n v="-25.8"/>
    <n v="4300"/>
  </r>
  <r>
    <x v="11"/>
    <x v="0"/>
    <n v="124385248819"/>
    <n v="3799.77"/>
    <n v="8592078.1099999994"/>
    <x v="0"/>
    <m/>
    <m/>
    <n v="0"/>
    <n v="-39"/>
    <n v="-37.83"/>
    <n v="-23.4"/>
    <n v="3900"/>
  </r>
  <r>
    <x v="11"/>
    <x v="0"/>
    <n v="124930281670"/>
    <n v="8071.96"/>
    <n v="8600150.0700000003"/>
    <x v="0"/>
    <m/>
    <m/>
    <n v="0"/>
    <n v="-86"/>
    <n v="-390.44"/>
    <n v="-51.6"/>
    <n v="8600"/>
  </r>
  <r>
    <x v="11"/>
    <x v="0"/>
    <n v="124385652341"/>
    <n v="13932.49"/>
    <n v="8614082.5600000005"/>
    <x v="0"/>
    <m/>
    <m/>
    <n v="0"/>
    <n v="-143"/>
    <n v="-138.71"/>
    <n v="-85.8"/>
    <n v="14299.999999999998"/>
  </r>
  <r>
    <x v="11"/>
    <x v="0"/>
    <n v="124930920538"/>
    <n v="20311.05"/>
    <n v="8634393.6099999994"/>
    <x v="0"/>
    <m/>
    <m/>
    <n v="0"/>
    <n v="-215"/>
    <n v="-844.95"/>
    <n v="-129"/>
    <n v="21500"/>
  </r>
  <r>
    <x v="11"/>
    <x v="0"/>
    <n v="124385743585"/>
    <n v="3799.77"/>
    <n v="8638193.3800000008"/>
    <x v="0"/>
    <m/>
    <m/>
    <n v="0"/>
    <n v="-39"/>
    <n v="-37.83"/>
    <n v="-23.4"/>
    <n v="3900"/>
  </r>
  <r>
    <x v="11"/>
    <x v="0"/>
    <n v="124386234575"/>
    <n v="12470.04"/>
    <n v="8650663.4199999999"/>
    <x v="0"/>
    <m/>
    <m/>
    <n v="0"/>
    <n v="-132"/>
    <n v="-518.76"/>
    <n v="-79.2"/>
    <n v="13200.000000000002"/>
  </r>
  <r>
    <x v="11"/>
    <x v="0"/>
    <n v="124386117715"/>
    <n v="18414.27"/>
    <n v="8669077.6899999995"/>
    <x v="0"/>
    <m/>
    <m/>
    <n v="0"/>
    <n v="-189"/>
    <n v="-183.33"/>
    <n v="-113.4"/>
    <n v="18900.000000000004"/>
  </r>
  <r>
    <x v="11"/>
    <x v="0"/>
    <n v="124931688378"/>
    <n v="9353.2800000000007"/>
    <n v="8678430.9700000007"/>
    <x v="0"/>
    <m/>
    <m/>
    <n v="0"/>
    <n v="-96"/>
    <n v="-93.12"/>
    <n v="-57.6"/>
    <n v="9600.0000000000018"/>
  </r>
  <r>
    <x v="11"/>
    <x v="0"/>
    <n v="124931738646"/>
    <n v="3799.77"/>
    <n v="8682230.7400000002"/>
    <x v="0"/>
    <m/>
    <m/>
    <n v="0"/>
    <n v="-39"/>
    <n v="-37.83"/>
    <n v="-23.4"/>
    <n v="3900"/>
  </r>
  <r>
    <x v="11"/>
    <x v="0"/>
    <n v="124931811338"/>
    <n v="1851.17"/>
    <n v="8684081.9100000001"/>
    <x v="0"/>
    <m/>
    <m/>
    <n v="0"/>
    <n v="-19"/>
    <n v="-18.43"/>
    <n v="-11.4"/>
    <n v="1900.0000000000002"/>
  </r>
  <r>
    <x v="15"/>
    <x v="9"/>
    <n v="125128178537"/>
    <n v="-1738.35"/>
    <n v="8270775.2199999997"/>
    <x v="2"/>
    <n v="-289725"/>
    <m/>
    <n v="0"/>
    <n v="0"/>
    <n v="0"/>
    <n v="-1738.35"/>
    <n v="-1738.35"/>
  </r>
  <r>
    <x v="15"/>
    <x v="9"/>
    <n v="125720603672"/>
    <n v="-676.12"/>
    <n v="8272578.8399999999"/>
    <x v="2"/>
    <n v="-112686.66666666667"/>
    <m/>
    <n v="0"/>
    <n v="0"/>
    <n v="0"/>
    <n v="-676.12"/>
    <n v="-676.12"/>
  </r>
  <r>
    <x v="8"/>
    <x v="9"/>
    <n v="125232161173"/>
    <n v="-2703.05"/>
    <n v="7712932.2999999998"/>
    <x v="2"/>
    <n v="-450508.33333333337"/>
    <m/>
    <n v="0"/>
    <n v="0"/>
    <n v="0"/>
    <n v="-2703.05"/>
    <n v="-2703.05"/>
  </r>
  <r>
    <x v="8"/>
    <x v="9"/>
    <n v="125232960111"/>
    <n v="-199.45"/>
    <n v="8166143.6100000003"/>
    <x v="2"/>
    <n v="-33241.666666666664"/>
    <m/>
    <n v="0"/>
    <n v="0"/>
    <n v="0"/>
    <n v="-199.45"/>
    <n v="-199.45"/>
  </r>
  <r>
    <x v="8"/>
    <x v="9"/>
    <n v="125259476811"/>
    <n v="-976.5"/>
    <n v="7549205.7999999998"/>
    <x v="2"/>
    <n v="-162750"/>
    <m/>
    <n v="0"/>
    <n v="0"/>
    <n v="0"/>
    <n v="-976.5"/>
    <n v="-976.5"/>
  </r>
  <r>
    <x v="8"/>
    <x v="9"/>
    <n v="125778419104"/>
    <n v="-1130.42"/>
    <n v="8199584.0599999996"/>
    <x v="2"/>
    <n v="-188403.33333333334"/>
    <m/>
    <n v="0"/>
    <n v="0"/>
    <n v="0"/>
    <n v="-1130.42"/>
    <n v="-1130.42"/>
  </r>
  <r>
    <x v="12"/>
    <x v="0"/>
    <n v="124386853415"/>
    <n v="3799.77"/>
    <n v="8687881.6799999997"/>
    <x v="0"/>
    <m/>
    <m/>
    <n v="0"/>
    <n v="-39"/>
    <n v="-37.83"/>
    <n v="-23.4"/>
    <n v="3900"/>
  </r>
  <r>
    <x v="12"/>
    <x v="17"/>
    <n v="124386769841"/>
    <n v="381.81"/>
    <n v="8688263.4900000002"/>
    <x v="0"/>
    <m/>
    <m/>
    <n v="-5.85"/>
    <n v="0"/>
    <n v="0"/>
    <n v="-2.34"/>
    <n v="390"/>
  </r>
  <r>
    <x v="12"/>
    <x v="0"/>
    <n v="124932013860"/>
    <n v="59319.519999999997"/>
    <n v="8747583.0099999998"/>
    <x v="0"/>
    <m/>
    <m/>
    <n v="0"/>
    <n v="-632"/>
    <n v="-2869.28"/>
    <n v="-379.2"/>
    <n v="63199.999999999993"/>
  </r>
  <r>
    <x v="12"/>
    <x v="0"/>
    <n v="124387202427"/>
    <n v="7989.26"/>
    <n v="8755572.2699999996"/>
    <x v="0"/>
    <m/>
    <m/>
    <n v="0"/>
    <n v="-82"/>
    <n v="-79.540000000000006"/>
    <n v="-49.2"/>
    <n v="8200"/>
  </r>
  <r>
    <x v="12"/>
    <x v="0"/>
    <n v="124387169897"/>
    <n v="9060.99"/>
    <n v="8764633.2599999998"/>
    <x v="0"/>
    <m/>
    <m/>
    <n v="0"/>
    <n v="-93"/>
    <n v="-90.21"/>
    <n v="-55.8"/>
    <n v="9299.9999999999982"/>
  </r>
  <r>
    <x v="12"/>
    <x v="0"/>
    <n v="124387263837"/>
    <n v="15491.37"/>
    <n v="8780124.6300000008"/>
    <x v="0"/>
    <m/>
    <m/>
    <n v="0"/>
    <n v="-159"/>
    <n v="-154.22999999999999"/>
    <n v="-95.4"/>
    <n v="15900"/>
  </r>
  <r>
    <x v="12"/>
    <x v="0"/>
    <n v="124932672660"/>
    <n v="4871.5"/>
    <n v="8784996.1300000008"/>
    <x v="0"/>
    <m/>
    <m/>
    <n v="0"/>
    <n v="-50"/>
    <n v="-48.5"/>
    <n v="-30"/>
    <n v="5000"/>
  </r>
  <r>
    <x v="12"/>
    <x v="0"/>
    <n v="124932574010"/>
    <n v="4539.5"/>
    <n v="8789535.6300000008"/>
    <x v="0"/>
    <m/>
    <m/>
    <n v="0"/>
    <n v="-50"/>
    <n v="-380.5"/>
    <n v="-30"/>
    <n v="5000"/>
  </r>
  <r>
    <x v="12"/>
    <x v="0"/>
    <n v="124387491809"/>
    <n v="68980.44"/>
    <n v="8858516.0700000003"/>
    <x v="0"/>
    <m/>
    <m/>
    <n v="0"/>
    <n v="-708"/>
    <n v="-686.76"/>
    <n v="-424.8"/>
    <n v="70800"/>
  </r>
  <r>
    <x v="12"/>
    <x v="0"/>
    <n v="124932738810"/>
    <n v="2143.46"/>
    <n v="8860659.5299999993"/>
    <x v="0"/>
    <m/>
    <m/>
    <n v="0"/>
    <n v="-22"/>
    <n v="-21.34"/>
    <n v="-13.2"/>
    <n v="2200"/>
  </r>
  <r>
    <x v="12"/>
    <x v="0"/>
    <n v="124933058374"/>
    <n v="15686.23"/>
    <n v="8876345.7599999998"/>
    <x v="0"/>
    <m/>
    <m/>
    <n v="0"/>
    <n v="-161"/>
    <n v="-156.16999999999999"/>
    <n v="-96.6"/>
    <n v="16100"/>
  </r>
  <r>
    <x v="12"/>
    <x v="0"/>
    <n v="124933214738"/>
    <n v="4189.49"/>
    <n v="8880535.25"/>
    <x v="0"/>
    <m/>
    <m/>
    <n v="0"/>
    <n v="-43"/>
    <n v="-41.71"/>
    <n v="-25.8"/>
    <n v="4300"/>
  </r>
  <r>
    <x v="12"/>
    <x v="0"/>
    <n v="124388057649"/>
    <n v="4189.49"/>
    <n v="8884724.7400000002"/>
    <x v="0"/>
    <m/>
    <m/>
    <n v="0"/>
    <n v="-43"/>
    <n v="-41.71"/>
    <n v="-25.8"/>
    <n v="4300"/>
  </r>
  <r>
    <x v="12"/>
    <x v="0"/>
    <n v="124933398996"/>
    <n v="4189.49"/>
    <n v="8888914.2300000004"/>
    <x v="0"/>
    <m/>
    <m/>
    <n v="0"/>
    <n v="-43"/>
    <n v="-41.71"/>
    <n v="-25.8"/>
    <n v="4300"/>
  </r>
  <r>
    <x v="12"/>
    <x v="0"/>
    <n v="124388358883"/>
    <n v="4062.21"/>
    <n v="8892976.4399999995"/>
    <x v="0"/>
    <m/>
    <m/>
    <n v="0"/>
    <n v="-43"/>
    <n v="-168.99"/>
    <n v="-25.8"/>
    <n v="4300"/>
  </r>
  <r>
    <x v="12"/>
    <x v="0"/>
    <n v="124388466105"/>
    <n v="181414.66"/>
    <n v="9074391.0999999996"/>
    <x v="0"/>
    <m/>
    <m/>
    <n v="0"/>
    <n v="-1862"/>
    <n v="-1806.14"/>
    <n v="-1117.2"/>
    <n v="186200.00000000003"/>
  </r>
  <r>
    <x v="12"/>
    <x v="0"/>
    <n v="124388706943"/>
    <n v="3799.77"/>
    <n v="9078190.8699999992"/>
    <x v="0"/>
    <m/>
    <m/>
    <n v="0"/>
    <n v="-39"/>
    <n v="-37.83"/>
    <n v="-23.4"/>
    <n v="3900"/>
  </r>
  <r>
    <x v="12"/>
    <x v="17"/>
    <n v="124933915330"/>
    <n v="381.81"/>
    <n v="9078572.6799999997"/>
    <x v="0"/>
    <m/>
    <m/>
    <n v="-5.85"/>
    <n v="0"/>
    <n v="0"/>
    <n v="-2.34"/>
    <n v="390"/>
  </r>
  <r>
    <x v="12"/>
    <x v="0"/>
    <n v="124934432228"/>
    <n v="4189.49"/>
    <n v="9082762.1699999999"/>
    <x v="0"/>
    <m/>
    <m/>
    <n v="0"/>
    <n v="-43"/>
    <n v="-41.71"/>
    <n v="-25.8"/>
    <n v="4300"/>
  </r>
  <r>
    <x v="12"/>
    <x v="18"/>
    <n v="124389262853"/>
    <n v="210.48"/>
    <n v="9082972.6500000004"/>
    <x v="0"/>
    <m/>
    <m/>
    <n v="-3.23"/>
    <n v="0"/>
    <n v="0"/>
    <n v="-1.29"/>
    <n v="214.99999999999997"/>
  </r>
  <r>
    <x v="12"/>
    <x v="0"/>
    <n v="124389182075"/>
    <n v="4189.49"/>
    <n v="9087162.1400000006"/>
    <x v="0"/>
    <m/>
    <m/>
    <n v="0"/>
    <n v="-43"/>
    <n v="-41.71"/>
    <n v="-25.8"/>
    <n v="4300"/>
  </r>
  <r>
    <x v="12"/>
    <x v="0"/>
    <n v="124389369351"/>
    <n v="58555.43"/>
    <n v="9145717.5700000003"/>
    <x v="0"/>
    <m/>
    <m/>
    <n v="0"/>
    <n v="-601"/>
    <n v="-582.97"/>
    <n v="-360.6"/>
    <n v="60100"/>
  </r>
  <r>
    <x v="12"/>
    <x v="19"/>
    <n v="124389351389"/>
    <n v="2941.89"/>
    <n v="9148659.4600000009"/>
    <x v="0"/>
    <m/>
    <m/>
    <n v="-45.08"/>
    <n v="0"/>
    <n v="0"/>
    <n v="-18.03"/>
    <n v="3005"/>
  </r>
  <r>
    <x v="12"/>
    <x v="0"/>
    <n v="124389389493"/>
    <n v="4189.49"/>
    <n v="9152848.9499999993"/>
    <x v="0"/>
    <m/>
    <m/>
    <n v="0"/>
    <n v="-43"/>
    <n v="-41.71"/>
    <n v="-25.8"/>
    <n v="4300"/>
  </r>
  <r>
    <x v="12"/>
    <x v="20"/>
    <n v="124389417047"/>
    <n v="489.5"/>
    <n v="9153338.4499999993"/>
    <x v="0"/>
    <m/>
    <m/>
    <n v="-7.5"/>
    <n v="0"/>
    <n v="0"/>
    <n v="-3"/>
    <n v="500"/>
  </r>
  <r>
    <x v="12"/>
    <x v="0"/>
    <n v="124389390021"/>
    <n v="8029.95"/>
    <n v="9161368.4000000004"/>
    <x v="0"/>
    <m/>
    <m/>
    <n v="0"/>
    <n v="-85"/>
    <n v="-334.05"/>
    <n v="-51"/>
    <n v="8500"/>
  </r>
  <r>
    <x v="12"/>
    <x v="0"/>
    <n v="124935015006"/>
    <n v="4189.49"/>
    <n v="9165557.8900000006"/>
    <x v="0"/>
    <m/>
    <m/>
    <n v="0"/>
    <n v="-43"/>
    <n v="-41.71"/>
    <n v="-25.8"/>
    <n v="4300"/>
  </r>
  <r>
    <x v="12"/>
    <x v="0"/>
    <n v="124390277545"/>
    <n v="4189.49"/>
    <n v="9169747.3800000008"/>
    <x v="0"/>
    <m/>
    <m/>
    <n v="0"/>
    <n v="-43"/>
    <n v="-41.71"/>
    <n v="-25.8"/>
    <n v="4300"/>
  </r>
  <r>
    <x v="12"/>
    <x v="21"/>
    <n v="124935440028"/>
    <n v="420.97"/>
    <n v="9170168.3499999996"/>
    <x v="0"/>
    <m/>
    <m/>
    <n v="-6.45"/>
    <n v="0"/>
    <n v="0"/>
    <n v="-2.58"/>
    <n v="430"/>
  </r>
  <r>
    <x v="12"/>
    <x v="0"/>
    <n v="124390468955"/>
    <n v="13932.49"/>
    <n v="9184100.8399999999"/>
    <x v="0"/>
    <m/>
    <m/>
    <n v="0"/>
    <n v="-143"/>
    <n v="-138.71"/>
    <n v="-85.8"/>
    <n v="14299.999999999998"/>
  </r>
  <r>
    <x v="12"/>
    <x v="0"/>
    <n v="124390658789"/>
    <n v="38294.879999999997"/>
    <n v="9222395.7200000007"/>
    <x v="0"/>
    <m/>
    <m/>
    <n v="0"/>
    <n v="-408"/>
    <n v="-1852.32"/>
    <n v="-244.8"/>
    <n v="40800"/>
  </r>
  <r>
    <x v="12"/>
    <x v="0"/>
    <n v="124936306000"/>
    <n v="8378.98"/>
    <n v="9230774.6999999993"/>
    <x v="0"/>
    <m/>
    <m/>
    <n v="0"/>
    <n v="-86"/>
    <n v="-83.42"/>
    <n v="-51.6"/>
    <n v="8600"/>
  </r>
  <r>
    <x v="12"/>
    <x v="0"/>
    <n v="124936593136"/>
    <n v="21532.03"/>
    <n v="9252306.7300000004"/>
    <x v="0"/>
    <m/>
    <m/>
    <n v="0"/>
    <n v="-221"/>
    <n v="-214.37"/>
    <n v="-132.6"/>
    <n v="22099.999999999996"/>
  </r>
  <r>
    <x v="12"/>
    <x v="0"/>
    <n v="124391343749"/>
    <n v="9060.99"/>
    <n v="9261367.7200000007"/>
    <x v="0"/>
    <m/>
    <m/>
    <n v="0"/>
    <n v="-93"/>
    <n v="-90.21"/>
    <n v="-55.8"/>
    <n v="9299.9999999999982"/>
  </r>
  <r>
    <x v="12"/>
    <x v="0"/>
    <n v="124391696277"/>
    <n v="4189.49"/>
    <n v="9265557.2100000009"/>
    <x v="0"/>
    <m/>
    <m/>
    <n v="0"/>
    <n v="-43"/>
    <n v="-41.71"/>
    <n v="-25.8"/>
    <n v="4300"/>
  </r>
  <r>
    <x v="12"/>
    <x v="0"/>
    <n v="124391850585"/>
    <n v="94994.25"/>
    <n v="9360551.4600000009"/>
    <x v="0"/>
    <m/>
    <m/>
    <n v="0"/>
    <n v="-975"/>
    <n v="-945.75"/>
    <n v="-585"/>
    <n v="97500"/>
  </r>
  <r>
    <x v="12"/>
    <x v="0"/>
    <n v="124391938119"/>
    <n v="4189.49"/>
    <n v="9364740.9499999993"/>
    <x v="0"/>
    <m/>
    <m/>
    <n v="0"/>
    <n v="-43"/>
    <n v="-41.71"/>
    <n v="-25.8"/>
    <n v="4300"/>
  </r>
  <r>
    <x v="12"/>
    <x v="21"/>
    <n v="124391779837"/>
    <n v="420.97"/>
    <n v="9365161.9199999999"/>
    <x v="0"/>
    <m/>
    <m/>
    <n v="-6.45"/>
    <n v="0"/>
    <n v="0"/>
    <n v="-2.58"/>
    <n v="430"/>
  </r>
  <r>
    <x v="12"/>
    <x v="0"/>
    <n v="124937292950"/>
    <n v="34879.94"/>
    <n v="9400041.8599999994"/>
    <x v="0"/>
    <m/>
    <m/>
    <n v="0"/>
    <n v="-358"/>
    <n v="-347.26"/>
    <n v="-214.8"/>
    <n v="35800.000000000007"/>
  </r>
  <r>
    <x v="12"/>
    <x v="0"/>
    <n v="124392231153"/>
    <n v="9743"/>
    <n v="9409784.8599999994"/>
    <x v="0"/>
    <m/>
    <m/>
    <n v="0"/>
    <n v="-100"/>
    <n v="-97"/>
    <n v="-60"/>
    <n v="10000"/>
  </r>
  <r>
    <x v="12"/>
    <x v="0"/>
    <n v="124392245583"/>
    <n v="33695.74"/>
    <n v="9443480.5999999996"/>
    <x v="0"/>
    <m/>
    <m/>
    <n v="0"/>
    <n v="-359"/>
    <n v="-1629.86"/>
    <n v="-215.4"/>
    <n v="35900"/>
  </r>
  <r>
    <x v="12"/>
    <x v="0"/>
    <n v="124392595503"/>
    <n v="4062.21"/>
    <n v="9447542.8100000005"/>
    <x v="0"/>
    <m/>
    <m/>
    <n v="0"/>
    <n v="-43"/>
    <n v="-168.99"/>
    <n v="-25.8"/>
    <n v="4300"/>
  </r>
  <r>
    <x v="12"/>
    <x v="0"/>
    <n v="124937954288"/>
    <n v="6820.1"/>
    <n v="9454362.9100000001"/>
    <x v="0"/>
    <m/>
    <m/>
    <n v="0"/>
    <n v="-70"/>
    <n v="-67.900000000000006"/>
    <n v="-42"/>
    <n v="7000"/>
  </r>
  <r>
    <x v="12"/>
    <x v="0"/>
    <n v="124938008312"/>
    <n v="12568.47"/>
    <n v="9466931.3800000008"/>
    <x v="0"/>
    <m/>
    <m/>
    <n v="0"/>
    <n v="-129"/>
    <n v="-125.13"/>
    <n v="-77.400000000000006"/>
    <n v="12899.999999999998"/>
  </r>
  <r>
    <x v="12"/>
    <x v="0"/>
    <n v="124392818757"/>
    <n v="20168.009999999998"/>
    <n v="9487099.3900000006"/>
    <x v="0"/>
    <m/>
    <m/>
    <n v="0"/>
    <n v="-207"/>
    <n v="-200.79"/>
    <n v="-124.2"/>
    <n v="20700"/>
  </r>
  <r>
    <x v="12"/>
    <x v="0"/>
    <n v="124392888675"/>
    <n v="84374.38"/>
    <n v="9571473.7699999996"/>
    <x v="0"/>
    <m/>
    <m/>
    <n v="0"/>
    <n v="-866"/>
    <n v="-840.02"/>
    <n v="-519.6"/>
    <n v="86600.000000000015"/>
  </r>
  <r>
    <x v="12"/>
    <x v="0"/>
    <n v="124392988273"/>
    <n v="8476.41"/>
    <n v="9579950.1799999997"/>
    <x v="0"/>
    <m/>
    <m/>
    <n v="0"/>
    <n v="-87"/>
    <n v="-84.39"/>
    <n v="-52.2"/>
    <n v="8700"/>
  </r>
  <r>
    <x v="12"/>
    <x v="0"/>
    <n v="124938162788"/>
    <n v="28546.99"/>
    <n v="9608497.1699999999"/>
    <x v="0"/>
    <m/>
    <m/>
    <n v="0"/>
    <n v="-293"/>
    <n v="-284.20999999999998"/>
    <n v="-175.8"/>
    <n v="29300"/>
  </r>
  <r>
    <x v="12"/>
    <x v="0"/>
    <n v="124938249624"/>
    <n v="4189.49"/>
    <n v="9612686.6600000001"/>
    <x v="0"/>
    <m/>
    <m/>
    <n v="0"/>
    <n v="-43"/>
    <n v="-41.71"/>
    <n v="-25.8"/>
    <n v="4300"/>
  </r>
  <r>
    <x v="12"/>
    <x v="0"/>
    <n v="125049940460"/>
    <n v="9260.58"/>
    <n v="6448513.2599999998"/>
    <x v="0"/>
    <m/>
    <m/>
    <n v="0"/>
    <n v="-102"/>
    <n v="-776.22"/>
    <n v="-61.2"/>
    <n v="10200"/>
  </r>
  <r>
    <x v="12"/>
    <x v="0"/>
    <n v="124506917889"/>
    <n v="16075.95"/>
    <n v="6464589.21"/>
    <x v="0"/>
    <m/>
    <m/>
    <n v="0"/>
    <n v="-165"/>
    <n v="-160.05000000000001"/>
    <n v="-99"/>
    <n v="16500"/>
  </r>
  <r>
    <x v="12"/>
    <x v="0"/>
    <n v="124512339921"/>
    <n v="7368.66"/>
    <n v="6471957.8700000001"/>
    <x v="0"/>
    <m/>
    <m/>
    <n v="0"/>
    <n v="-78"/>
    <n v="-306.54000000000002"/>
    <n v="-46.8"/>
    <n v="7800"/>
  </r>
  <r>
    <x v="12"/>
    <x v="0"/>
    <n v="124513068303"/>
    <n v="4062.21"/>
    <n v="6476020.0800000001"/>
    <x v="0"/>
    <m/>
    <m/>
    <n v="0"/>
    <n v="-43"/>
    <n v="-168.99"/>
    <n v="-25.8"/>
    <n v="4300"/>
  </r>
  <r>
    <x v="12"/>
    <x v="0"/>
    <n v="125063411054"/>
    <n v="8378.98"/>
    <n v="6484399.0599999996"/>
    <x v="0"/>
    <m/>
    <m/>
    <n v="0"/>
    <n v="-86"/>
    <n v="-83.42"/>
    <n v="-51.6"/>
    <n v="8600"/>
  </r>
  <r>
    <x v="12"/>
    <x v="0"/>
    <n v="125066792780"/>
    <n v="10619.87"/>
    <n v="6495018.9299999997"/>
    <x v="0"/>
    <m/>
    <m/>
    <n v="0"/>
    <n v="-109"/>
    <n v="-105.73"/>
    <n v="-65.400000000000006"/>
    <n v="10900"/>
  </r>
  <r>
    <x v="12"/>
    <x v="0"/>
    <n v="124521851915"/>
    <n v="11430.87"/>
    <n v="6506449.7999999998"/>
    <x v="0"/>
    <m/>
    <m/>
    <n v="0"/>
    <n v="-121"/>
    <n v="-475.53"/>
    <n v="-72.599999999999994"/>
    <n v="12100.000000000002"/>
  </r>
  <r>
    <x v="12"/>
    <x v="0"/>
    <n v="125070585706"/>
    <n v="7368.66"/>
    <n v="6513818.46"/>
    <x v="0"/>
    <m/>
    <m/>
    <n v="0"/>
    <n v="-78"/>
    <n v="-306.54000000000002"/>
    <n v="-46.8"/>
    <n v="7800"/>
  </r>
  <r>
    <x v="12"/>
    <x v="0"/>
    <n v="124525967241"/>
    <n v="4062.21"/>
    <n v="6517880.6699999999"/>
    <x v="0"/>
    <m/>
    <m/>
    <n v="0"/>
    <n v="-43"/>
    <n v="-168.99"/>
    <n v="-25.8"/>
    <n v="4300"/>
  </r>
  <r>
    <x v="12"/>
    <x v="0"/>
    <n v="124526350425"/>
    <n v="4189.49"/>
    <n v="6522070.1600000001"/>
    <x v="0"/>
    <m/>
    <m/>
    <n v="0"/>
    <n v="-43"/>
    <n v="-41.71"/>
    <n v="-25.8"/>
    <n v="4300"/>
  </r>
  <r>
    <x v="12"/>
    <x v="0"/>
    <n v="125072280684"/>
    <n v="8768.7000000000007"/>
    <n v="6530838.8600000003"/>
    <x v="0"/>
    <m/>
    <m/>
    <n v="0"/>
    <n v="-90"/>
    <n v="-87.3"/>
    <n v="-54"/>
    <n v="9000"/>
  </r>
  <r>
    <x v="12"/>
    <x v="0"/>
    <n v="125072870242"/>
    <n v="8502.2999999999993"/>
    <n v="6539341.1600000001"/>
    <x v="0"/>
    <m/>
    <m/>
    <n v="0"/>
    <n v="-90"/>
    <n v="-353.7"/>
    <n v="-54"/>
    <n v="9000"/>
  </r>
  <r>
    <x v="12"/>
    <x v="0"/>
    <n v="125074007976"/>
    <n v="3177.65"/>
    <n v="6542518.8099999996"/>
    <x v="0"/>
    <m/>
    <m/>
    <n v="0"/>
    <n v="-35"/>
    <n v="-266.35000000000002"/>
    <n v="-21"/>
    <n v="3500"/>
  </r>
  <r>
    <x v="12"/>
    <x v="0"/>
    <n v="124528936881"/>
    <n v="45395"/>
    <n v="6587913.8099999996"/>
    <x v="0"/>
    <m/>
    <m/>
    <n v="0"/>
    <n v="-500"/>
    <n v="-3805"/>
    <n v="-300"/>
    <n v="50000"/>
  </r>
  <r>
    <x v="12"/>
    <x v="0"/>
    <n v="125074730376"/>
    <n v="6820.1"/>
    <n v="6594733.9100000001"/>
    <x v="0"/>
    <m/>
    <m/>
    <n v="0"/>
    <n v="-70"/>
    <n v="-67.900000000000006"/>
    <n v="-42"/>
    <n v="7000"/>
  </r>
  <r>
    <x v="12"/>
    <x v="22"/>
    <n v="125074601908"/>
    <n v="342.65"/>
    <n v="6595076.5599999996"/>
    <x v="0"/>
    <m/>
    <m/>
    <n v="-5.25"/>
    <n v="0"/>
    <n v="0"/>
    <n v="-2.1"/>
    <n v="350"/>
  </r>
  <r>
    <x v="12"/>
    <x v="0"/>
    <n v="125074877368"/>
    <n v="44123.94"/>
    <n v="6639200.5"/>
    <x v="0"/>
    <m/>
    <m/>
    <n v="0"/>
    <n v="-486"/>
    <n v="-3698.46"/>
    <n v="-291.60000000000002"/>
    <n v="48600"/>
  </r>
  <r>
    <x v="12"/>
    <x v="0"/>
    <n v="125075109170"/>
    <n v="4189.49"/>
    <n v="6643389.9900000002"/>
    <x v="0"/>
    <m/>
    <m/>
    <n v="0"/>
    <n v="-43"/>
    <n v="-41.71"/>
    <n v="-25.8"/>
    <n v="4300"/>
  </r>
  <r>
    <x v="12"/>
    <x v="0"/>
    <n v="125075403750"/>
    <n v="38948.910000000003"/>
    <n v="6682338.9000000004"/>
    <x v="0"/>
    <m/>
    <m/>
    <n v="0"/>
    <n v="-429"/>
    <n v="-3264.69"/>
    <n v="-257.39999999999998"/>
    <n v="42900.000000000007"/>
  </r>
  <r>
    <x v="12"/>
    <x v="0"/>
    <n v="124529807091"/>
    <n v="7548.06"/>
    <n v="6689886.96"/>
    <x v="0"/>
    <m/>
    <m/>
    <n v="0"/>
    <n v="-78"/>
    <n v="-127.14"/>
    <n v="-46.8"/>
    <n v="7800.0000000000009"/>
  </r>
  <r>
    <x v="12"/>
    <x v="0"/>
    <n v="125076566722"/>
    <n v="14076.03"/>
    <n v="6703962.9900000002"/>
    <x v="0"/>
    <m/>
    <m/>
    <n v="0"/>
    <n v="-149"/>
    <n v="-585.57000000000005"/>
    <n v="-89.4"/>
    <n v="14900"/>
  </r>
  <r>
    <x v="12"/>
    <x v="0"/>
    <n v="124531770681"/>
    <n v="40238.589999999997"/>
    <n v="6744201.5800000001"/>
    <x v="0"/>
    <m/>
    <m/>
    <n v="0"/>
    <n v="-413"/>
    <n v="-400.61"/>
    <n v="-247.8"/>
    <n v="41300"/>
  </r>
  <r>
    <x v="12"/>
    <x v="23"/>
    <n v="125077543030"/>
    <n v="2021.63"/>
    <n v="6746223.21"/>
    <x v="0"/>
    <m/>
    <m/>
    <n v="-30.98"/>
    <n v="0"/>
    <n v="0"/>
    <n v="-12.39"/>
    <n v="2065"/>
  </r>
  <r>
    <x v="12"/>
    <x v="0"/>
    <n v="125077701916"/>
    <n v="99760.320000000007"/>
    <n v="6845983.5300000003"/>
    <x v="0"/>
    <m/>
    <m/>
    <n v="0"/>
    <n v="-1056"/>
    <n v="-4150.08"/>
    <n v="-633.6"/>
    <n v="105600.00000000001"/>
  </r>
  <r>
    <x v="12"/>
    <x v="0"/>
    <n v="124533578613"/>
    <n v="30690.45"/>
    <n v="6876673.9800000004"/>
    <x v="0"/>
    <m/>
    <m/>
    <n v="0"/>
    <n v="-315"/>
    <n v="-305.55"/>
    <n v="-189"/>
    <n v="31500"/>
  </r>
  <r>
    <x v="12"/>
    <x v="0"/>
    <n v="125080148776"/>
    <n v="19610.64"/>
    <n v="6896284.6200000001"/>
    <x v="0"/>
    <m/>
    <m/>
    <n v="0"/>
    <n v="-216"/>
    <n v="-1643.76"/>
    <n v="-129.6"/>
    <n v="21599.999999999996"/>
  </r>
  <r>
    <x v="12"/>
    <x v="0"/>
    <n v="124534512559"/>
    <n v="59140.01"/>
    <n v="6955424.6299999999"/>
    <x v="0"/>
    <m/>
    <m/>
    <n v="0"/>
    <n v="-607"/>
    <n v="-588.79"/>
    <n v="-364.2"/>
    <n v="60700"/>
  </r>
  <r>
    <x v="12"/>
    <x v="0"/>
    <n v="125080564580"/>
    <n v="16343.31"/>
    <n v="6971767.9400000004"/>
    <x v="0"/>
    <m/>
    <m/>
    <n v="0"/>
    <n v="-173"/>
    <n v="-679.89"/>
    <n v="-103.8"/>
    <n v="17299.999999999996"/>
  </r>
  <r>
    <x v="12"/>
    <x v="0"/>
    <n v="125081323764"/>
    <n v="8785.7099999999991"/>
    <n v="6980553.6500000004"/>
    <x v="0"/>
    <m/>
    <m/>
    <n v="0"/>
    <n v="-93"/>
    <n v="-365.49"/>
    <n v="-55.8"/>
    <n v="9299.9999999999982"/>
  </r>
  <r>
    <x v="12"/>
    <x v="0"/>
    <n v="125082018504"/>
    <n v="35854.239999999998"/>
    <n v="7016407.8899999997"/>
    <x v="0"/>
    <m/>
    <m/>
    <n v="0"/>
    <n v="-368"/>
    <n v="-356.96"/>
    <n v="-220.8"/>
    <n v="36800"/>
  </r>
  <r>
    <x v="12"/>
    <x v="0"/>
    <n v="125083042824"/>
    <n v="11399.31"/>
    <n v="7027807.2000000002"/>
    <x v="0"/>
    <m/>
    <m/>
    <n v="0"/>
    <n v="-117"/>
    <n v="-113.49"/>
    <n v="-70.2"/>
    <n v="11700"/>
  </r>
  <r>
    <x v="12"/>
    <x v="0"/>
    <n v="124538079727"/>
    <n v="3684.33"/>
    <n v="7031491.5300000003"/>
    <x v="0"/>
    <m/>
    <m/>
    <n v="0"/>
    <n v="-39"/>
    <n v="-153.27000000000001"/>
    <n v="-23.4"/>
    <n v="3900"/>
  </r>
  <r>
    <x v="12"/>
    <x v="0"/>
    <n v="124538330471"/>
    <n v="6820.1"/>
    <n v="7038311.6299999999"/>
    <x v="0"/>
    <m/>
    <m/>
    <n v="0"/>
    <n v="-70"/>
    <n v="-67.900000000000006"/>
    <n v="-42"/>
    <n v="7000"/>
  </r>
  <r>
    <x v="12"/>
    <x v="0"/>
    <n v="125084267116"/>
    <n v="14642.85"/>
    <n v="7052954.4800000004"/>
    <x v="0"/>
    <m/>
    <m/>
    <n v="0"/>
    <n v="-155"/>
    <n v="-609.15"/>
    <n v="-93"/>
    <n v="15500"/>
  </r>
  <r>
    <x v="12"/>
    <x v="0"/>
    <n v="124538747357"/>
    <n v="32875.56"/>
    <n v="7085830.04"/>
    <x v="0"/>
    <m/>
    <m/>
    <n v="0"/>
    <n v="-348"/>
    <n v="-1367.64"/>
    <n v="-208.8"/>
    <n v="34800"/>
  </r>
  <r>
    <x v="12"/>
    <x v="0"/>
    <n v="125084844014"/>
    <n v="4189.49"/>
    <n v="7090019.5300000003"/>
    <x v="0"/>
    <m/>
    <m/>
    <n v="0"/>
    <n v="-43"/>
    <n v="-41.71"/>
    <n v="-25.8"/>
    <n v="4300"/>
  </r>
  <r>
    <x v="12"/>
    <x v="0"/>
    <n v="125085549984"/>
    <n v="39299.519999999997"/>
    <n v="7129319.0499999998"/>
    <x v="0"/>
    <m/>
    <m/>
    <n v="0"/>
    <n v="-416"/>
    <n v="-1634.88"/>
    <n v="-249.6"/>
    <n v="41599.999999999993"/>
  </r>
  <r>
    <x v="12"/>
    <x v="0"/>
    <n v="125085738014"/>
    <n v="27182.97"/>
    <n v="7156502.0199999996"/>
    <x v="0"/>
    <m/>
    <m/>
    <n v="0"/>
    <n v="-279"/>
    <n v="-270.63"/>
    <n v="-167.4"/>
    <n v="27900.000000000004"/>
  </r>
  <r>
    <x v="12"/>
    <x v="24"/>
    <n v="124539894925"/>
    <n v="1365.7"/>
    <n v="7157867.7199999997"/>
    <x v="0"/>
    <m/>
    <m/>
    <n v="-20.93"/>
    <n v="0"/>
    <n v="0"/>
    <n v="-8.3699999999999992"/>
    <n v="1395"/>
  </r>
  <r>
    <x v="12"/>
    <x v="0"/>
    <n v="124540015625"/>
    <n v="23060.66"/>
    <n v="7180928.3799999999"/>
    <x v="0"/>
    <m/>
    <m/>
    <n v="0"/>
    <n v="-254"/>
    <n v="-1932.94"/>
    <n v="-152.4"/>
    <n v="25400"/>
  </r>
  <r>
    <x v="12"/>
    <x v="0"/>
    <n v="124540352665"/>
    <n v="35520.720000000001"/>
    <n v="7216449.0999999996"/>
    <x v="0"/>
    <m/>
    <m/>
    <n v="0"/>
    <n v="-376"/>
    <n v="-1477.68"/>
    <n v="-225.6"/>
    <n v="37600"/>
  </r>
  <r>
    <x v="12"/>
    <x v="0"/>
    <n v="124540445571"/>
    <n v="47838.13"/>
    <n v="7264287.2300000004"/>
    <x v="0"/>
    <m/>
    <m/>
    <n v="0"/>
    <n v="-491"/>
    <n v="-476.27"/>
    <n v="-294.60000000000002"/>
    <n v="49099.999999999993"/>
  </r>
  <r>
    <x v="12"/>
    <x v="0"/>
    <n v="124541219739"/>
    <n v="16910.13"/>
    <n v="7281197.3600000003"/>
    <x v="0"/>
    <m/>
    <m/>
    <n v="0"/>
    <n v="-179"/>
    <n v="-703.47"/>
    <n v="-107.4"/>
    <n v="17900.000000000004"/>
  </r>
  <r>
    <x v="12"/>
    <x v="0"/>
    <n v="124541482575"/>
    <n v="29191.23"/>
    <n v="7310388.5899999999"/>
    <x v="0"/>
    <m/>
    <m/>
    <n v="0"/>
    <n v="-309"/>
    <n v="-1214.3699999999999"/>
    <n v="-185.4"/>
    <n v="30900"/>
  </r>
  <r>
    <x v="12"/>
    <x v="0"/>
    <n v="124541581193"/>
    <n v="34634.339999999997"/>
    <n v="7345022.9299999997"/>
    <x v="0"/>
    <m/>
    <m/>
    <n v="0"/>
    <n v="-369"/>
    <n v="-1675.26"/>
    <n v="-221.4"/>
    <n v="36900"/>
  </r>
  <r>
    <x v="12"/>
    <x v="0"/>
    <n v="125087841682"/>
    <n v="35854.239999999998"/>
    <n v="7380877.1699999999"/>
    <x v="0"/>
    <m/>
    <m/>
    <n v="0"/>
    <n v="-368"/>
    <n v="-356.96"/>
    <n v="-220.8"/>
    <n v="36800"/>
  </r>
  <r>
    <x v="12"/>
    <x v="25"/>
    <n v="124541947467"/>
    <n v="3602.72"/>
    <n v="7384479.8899999997"/>
    <x v="0"/>
    <m/>
    <m/>
    <n v="-55.2"/>
    <n v="0"/>
    <n v="0"/>
    <n v="-22.08"/>
    <n v="3679.9999999999995"/>
  </r>
  <r>
    <x v="12"/>
    <x v="0"/>
    <n v="124542531059"/>
    <n v="25721.52"/>
    <n v="7410201.4100000001"/>
    <x v="0"/>
    <m/>
    <m/>
    <n v="0"/>
    <n v="-264"/>
    <n v="-256.08"/>
    <n v="-158.4"/>
    <n v="26400.000000000004"/>
  </r>
  <r>
    <x v="8"/>
    <x v="9"/>
    <n v="125778500554"/>
    <n v="-1435.64"/>
    <n v="8389116.9800000004"/>
    <x v="2"/>
    <n v="-239273.33333333334"/>
    <m/>
    <n v="0"/>
    <n v="0"/>
    <n v="0"/>
    <n v="-1435.64"/>
    <n v="-1435.64"/>
  </r>
  <r>
    <x v="16"/>
    <x v="9"/>
    <n v="125494013461"/>
    <n v="-3869.4"/>
    <n v="10886069.689999999"/>
    <x v="2"/>
    <n v="-644900"/>
    <m/>
    <n v="0"/>
    <n v="0"/>
    <n v="0"/>
    <n v="-3869.4"/>
    <n v="-3869.4"/>
  </r>
  <r>
    <x v="3"/>
    <x v="9"/>
    <n v="125715190737"/>
    <n v="-1587.26"/>
    <n v="12406681.08"/>
    <x v="2"/>
    <n v="-264543.33333333331"/>
    <m/>
    <n v="0"/>
    <n v="0"/>
    <n v="0"/>
    <n v="-1587.26"/>
    <n v="-1587.26"/>
  </r>
  <r>
    <x v="17"/>
    <x v="0"/>
    <n v="125088844362"/>
    <n v="8378.98"/>
    <n v="7418580.3899999997"/>
    <x v="0"/>
    <m/>
    <m/>
    <n v="0"/>
    <n v="-86"/>
    <n v="-83.42"/>
    <n v="-51.6"/>
    <n v="8600"/>
  </r>
  <r>
    <x v="17"/>
    <x v="0"/>
    <n v="125088894738"/>
    <n v="12276.18"/>
    <n v="7430856.5700000003"/>
    <x v="0"/>
    <m/>
    <m/>
    <n v="0"/>
    <n v="-126"/>
    <n v="-122.22"/>
    <n v="-75.599999999999994"/>
    <n v="12600"/>
  </r>
  <r>
    <x v="17"/>
    <x v="0"/>
    <n v="125088899534"/>
    <n v="33158.97"/>
    <n v="7464015.54"/>
    <x v="0"/>
    <m/>
    <m/>
    <n v="0"/>
    <n v="-351"/>
    <n v="-1379.43"/>
    <n v="-210.6"/>
    <n v="35100"/>
  </r>
  <r>
    <x v="17"/>
    <x v="0"/>
    <n v="125088923310"/>
    <n v="31957.040000000001"/>
    <n v="7495972.5800000001"/>
    <x v="0"/>
    <m/>
    <m/>
    <n v="0"/>
    <n v="-328"/>
    <n v="-318.16000000000003"/>
    <n v="-196.8"/>
    <n v="32800"/>
  </r>
  <r>
    <x v="17"/>
    <x v="26"/>
    <n v="125088937092"/>
    <n v="1605.56"/>
    <n v="7497578.1399999997"/>
    <x v="0"/>
    <m/>
    <m/>
    <n v="-24.6"/>
    <n v="0"/>
    <n v="0"/>
    <n v="-9.84"/>
    <n v="1639.9999999999998"/>
  </r>
  <r>
    <x v="17"/>
    <x v="0"/>
    <n v="125089015400"/>
    <n v="4161.1099999999997"/>
    <n v="7501739.25"/>
    <x v="0"/>
    <m/>
    <m/>
    <n v="0"/>
    <n v="-43"/>
    <n v="-70.09"/>
    <n v="-25.8"/>
    <n v="4300"/>
  </r>
  <r>
    <x v="17"/>
    <x v="0"/>
    <n v="124543378311"/>
    <n v="33675.96"/>
    <n v="7535415.21"/>
    <x v="0"/>
    <m/>
    <m/>
    <n v="0"/>
    <n v="-348"/>
    <n v="-567.24"/>
    <n v="-208.8"/>
    <n v="34800"/>
  </r>
  <r>
    <x v="17"/>
    <x v="0"/>
    <n v="125089355560"/>
    <n v="9060.99"/>
    <n v="7544476.2000000002"/>
    <x v="0"/>
    <m/>
    <m/>
    <n v="0"/>
    <n v="-93"/>
    <n v="-90.21"/>
    <n v="-55.8"/>
    <n v="9299.9999999999982"/>
  </r>
  <r>
    <x v="17"/>
    <x v="0"/>
    <n v="124543543841"/>
    <n v="46179.12"/>
    <n v="7590655.3200000003"/>
    <x v="0"/>
    <m/>
    <m/>
    <n v="0"/>
    <n v="-492"/>
    <n v="-2233.6799999999998"/>
    <n v="-295.2"/>
    <n v="49200"/>
  </r>
  <r>
    <x v="17"/>
    <x v="0"/>
    <n v="125089683168"/>
    <n v="44684.31"/>
    <n v="7635339.6299999999"/>
    <x v="0"/>
    <m/>
    <m/>
    <n v="0"/>
    <n v="-473"/>
    <n v="-1858.89"/>
    <n v="-283.8"/>
    <n v="47300"/>
  </r>
  <r>
    <x v="17"/>
    <x v="0"/>
    <n v="125089938206"/>
    <n v="24649.79"/>
    <n v="7659989.4199999999"/>
    <x v="0"/>
    <m/>
    <m/>
    <n v="0"/>
    <n v="-253"/>
    <n v="-245.41"/>
    <n v="-151.80000000000001"/>
    <n v="25300"/>
  </r>
  <r>
    <x v="17"/>
    <x v="0"/>
    <n v="124544646101"/>
    <n v="12178.75"/>
    <n v="7672168.1699999999"/>
    <x v="0"/>
    <m/>
    <m/>
    <n v="0"/>
    <n v="-125"/>
    <n v="-121.25"/>
    <n v="-75"/>
    <n v="12500"/>
  </r>
  <r>
    <x v="17"/>
    <x v="0"/>
    <n v="124544677873"/>
    <n v="66447.259999999995"/>
    <n v="7738615.4299999997"/>
    <x v="0"/>
    <m/>
    <m/>
    <n v="0"/>
    <n v="-682"/>
    <n v="-661.54"/>
    <n v="-409.2"/>
    <n v="68199.999999999985"/>
  </r>
  <r>
    <x v="17"/>
    <x v="0"/>
    <n v="124545246125"/>
    <n v="5163.79"/>
    <n v="7743779.2199999997"/>
    <x v="0"/>
    <m/>
    <m/>
    <n v="0"/>
    <n v="-53"/>
    <n v="-51.41"/>
    <n v="-31.8"/>
    <n v="5300"/>
  </r>
  <r>
    <x v="17"/>
    <x v="0"/>
    <n v="125091085756"/>
    <n v="7368.66"/>
    <n v="7751147.8799999999"/>
    <x v="0"/>
    <m/>
    <m/>
    <n v="0"/>
    <n v="-78"/>
    <n v="-306.54000000000002"/>
    <n v="-46.8"/>
    <n v="7800"/>
  </r>
  <r>
    <x v="17"/>
    <x v="0"/>
    <n v="124545331721"/>
    <n v="37126.71"/>
    <n v="7788274.5899999999"/>
    <x v="0"/>
    <m/>
    <m/>
    <n v="0"/>
    <n v="-393"/>
    <n v="-1544.49"/>
    <n v="-235.8"/>
    <n v="39300"/>
  </r>
  <r>
    <x v="17"/>
    <x v="0"/>
    <n v="124545411795"/>
    <n v="1838.63"/>
    <n v="7790113.2199999997"/>
    <x v="0"/>
    <m/>
    <m/>
    <n v="0"/>
    <n v="-19"/>
    <n v="-30.97"/>
    <n v="-11.4"/>
    <n v="1900.0000000000002"/>
  </r>
  <r>
    <x v="17"/>
    <x v="0"/>
    <n v="125091553012"/>
    <n v="4161.1099999999997"/>
    <n v="7794274.3300000001"/>
    <x v="0"/>
    <m/>
    <m/>
    <n v="0"/>
    <n v="-43"/>
    <n v="-70.09"/>
    <n v="-25.8"/>
    <n v="4300"/>
  </r>
  <r>
    <x v="17"/>
    <x v="0"/>
    <n v="125091637502"/>
    <n v="10327.58"/>
    <n v="7804601.9100000001"/>
    <x v="0"/>
    <m/>
    <m/>
    <n v="0"/>
    <n v="-106"/>
    <n v="-102.82"/>
    <n v="-63.6"/>
    <n v="10600"/>
  </r>
  <r>
    <x v="17"/>
    <x v="0"/>
    <n v="125091762262"/>
    <n v="37705.410000000003"/>
    <n v="7842307.3200000003"/>
    <x v="0"/>
    <m/>
    <m/>
    <n v="0"/>
    <n v="-387"/>
    <n v="-375.39"/>
    <n v="-232.2"/>
    <n v="38700"/>
  </r>
  <r>
    <x v="17"/>
    <x v="0"/>
    <n v="124545895951"/>
    <n v="3799.77"/>
    <n v="7846107.0899999999"/>
    <x v="0"/>
    <m/>
    <m/>
    <n v="0"/>
    <n v="-39"/>
    <n v="-37.83"/>
    <n v="-23.4"/>
    <n v="3900"/>
  </r>
  <r>
    <x v="17"/>
    <x v="0"/>
    <n v="125091877596"/>
    <n v="3410.05"/>
    <n v="7849517.1399999997"/>
    <x v="0"/>
    <m/>
    <m/>
    <n v="0"/>
    <n v="-35"/>
    <n v="-33.950000000000003"/>
    <n v="-21"/>
    <n v="3500"/>
  </r>
  <r>
    <x v="17"/>
    <x v="0"/>
    <n v="124546230277"/>
    <n v="46376.68"/>
    <n v="7895893.8200000003"/>
    <x v="0"/>
    <m/>
    <m/>
    <n v="0"/>
    <n v="-476"/>
    <n v="-461.72"/>
    <n v="-285.60000000000002"/>
    <n v="47600"/>
  </r>
  <r>
    <x v="17"/>
    <x v="27"/>
    <n v="124546179201"/>
    <n v="2330.02"/>
    <n v="7898223.8399999999"/>
    <x v="0"/>
    <m/>
    <m/>
    <n v="-35.700000000000003"/>
    <n v="0"/>
    <n v="0"/>
    <n v="-14.28"/>
    <n v="2380"/>
  </r>
  <r>
    <x v="17"/>
    <x v="0"/>
    <n v="125092001900"/>
    <n v="4384.3500000000004"/>
    <n v="7902608.1900000004"/>
    <x v="0"/>
    <m/>
    <m/>
    <n v="0"/>
    <n v="-45"/>
    <n v="-43.65"/>
    <n v="-27"/>
    <n v="4500"/>
  </r>
  <r>
    <x v="17"/>
    <x v="0"/>
    <n v="125092236130"/>
    <n v="8573.84"/>
    <n v="7911182.0300000003"/>
    <x v="0"/>
    <m/>
    <m/>
    <n v="0"/>
    <n v="-88"/>
    <n v="-85.36"/>
    <n v="-52.8"/>
    <n v="8800"/>
  </r>
  <r>
    <x v="17"/>
    <x v="0"/>
    <n v="124546385021"/>
    <n v="5163.79"/>
    <n v="7916345.8200000003"/>
    <x v="0"/>
    <m/>
    <m/>
    <n v="0"/>
    <n v="-53"/>
    <n v="-51.41"/>
    <n v="-31.8"/>
    <n v="5300"/>
  </r>
  <r>
    <x v="17"/>
    <x v="0"/>
    <n v="125092458496"/>
    <n v="99287.97"/>
    <n v="8015633.79"/>
    <x v="0"/>
    <m/>
    <m/>
    <n v="0"/>
    <n v="-1051"/>
    <n v="-4130.43"/>
    <n v="-630.6"/>
    <n v="105100"/>
  </r>
  <r>
    <x v="17"/>
    <x v="0"/>
    <n v="125092611780"/>
    <n v="12568.47"/>
    <n v="8028202.2599999998"/>
    <x v="0"/>
    <m/>
    <m/>
    <n v="0"/>
    <n v="-129"/>
    <n v="-125.13"/>
    <n v="-77.400000000000006"/>
    <n v="12899.999999999998"/>
  </r>
  <r>
    <x v="17"/>
    <x v="0"/>
    <n v="125092695218"/>
    <n v="26073.72"/>
    <n v="8054275.9800000004"/>
    <x v="0"/>
    <m/>
    <m/>
    <n v="0"/>
    <n v="-276"/>
    <n v="-1084.68"/>
    <n v="-165.6"/>
    <n v="27600"/>
  </r>
  <r>
    <x v="17"/>
    <x v="0"/>
    <n v="125092821398"/>
    <n v="26750.1"/>
    <n v="8081026.0800000001"/>
    <x v="0"/>
    <m/>
    <m/>
    <n v="0"/>
    <n v="-285"/>
    <n v="-1293.9000000000001"/>
    <n v="-171"/>
    <n v="28500"/>
  </r>
  <r>
    <x v="17"/>
    <x v="0"/>
    <n v="124546985255"/>
    <n v="563.16"/>
    <n v="8081589.2400000002"/>
    <x v="0"/>
    <m/>
    <m/>
    <n v="0"/>
    <n v="-6"/>
    <n v="-27.24"/>
    <n v="-3.6"/>
    <n v="600"/>
  </r>
  <r>
    <x v="17"/>
    <x v="0"/>
    <n v="124547012843"/>
    <n v="31912.400000000001"/>
    <n v="8113501.6399999997"/>
    <x v="0"/>
    <m/>
    <m/>
    <n v="0"/>
    <n v="-340"/>
    <n v="-1543.6"/>
    <n v="-204"/>
    <n v="34000"/>
  </r>
  <r>
    <x v="17"/>
    <x v="0"/>
    <n v="125093009032"/>
    <n v="15393.94"/>
    <n v="8128895.5800000001"/>
    <x v="0"/>
    <m/>
    <m/>
    <n v="0"/>
    <n v="-158"/>
    <n v="-153.26"/>
    <n v="-94.8"/>
    <n v="15800"/>
  </r>
  <r>
    <x v="17"/>
    <x v="0"/>
    <n v="125093118136"/>
    <n v="14614.5"/>
    <n v="8143510.0800000001"/>
    <x v="0"/>
    <m/>
    <m/>
    <n v="0"/>
    <n v="-150"/>
    <n v="-145.5"/>
    <n v="-90"/>
    <n v="15000"/>
  </r>
  <r>
    <x v="17"/>
    <x v="0"/>
    <n v="125093285044"/>
    <n v="8124.42"/>
    <n v="8151634.5"/>
    <x v="0"/>
    <m/>
    <m/>
    <n v="0"/>
    <n v="-86"/>
    <n v="-337.98"/>
    <n v="-51.6"/>
    <n v="8600"/>
  </r>
  <r>
    <x v="17"/>
    <x v="0"/>
    <n v="124547549785"/>
    <n v="58665.87"/>
    <n v="8210300.3700000001"/>
    <x v="0"/>
    <m/>
    <m/>
    <n v="0"/>
    <n v="-621"/>
    <n v="-2440.5300000000002"/>
    <n v="-372.6"/>
    <n v="62100"/>
  </r>
  <r>
    <x v="17"/>
    <x v="0"/>
    <n v="124547797645"/>
    <n v="46571.54"/>
    <n v="8256871.9100000001"/>
    <x v="0"/>
    <m/>
    <m/>
    <n v="0"/>
    <n v="-478"/>
    <n v="-463.66"/>
    <n v="-286.8"/>
    <n v="47800.000000000007"/>
  </r>
  <r>
    <x v="17"/>
    <x v="28"/>
    <n v="125093603866"/>
    <n v="4679.62"/>
    <n v="8261551.5300000003"/>
    <x v="0"/>
    <m/>
    <m/>
    <n v="-71.7"/>
    <n v="0"/>
    <n v="0"/>
    <n v="-28.68"/>
    <n v="4780"/>
  </r>
  <r>
    <x v="17"/>
    <x v="0"/>
    <n v="125093625960"/>
    <n v="25721.52"/>
    <n v="8287273.0499999998"/>
    <x v="0"/>
    <m/>
    <m/>
    <n v="0"/>
    <n v="-264"/>
    <n v="-256.08"/>
    <n v="-158.4"/>
    <n v="26400.000000000004"/>
  </r>
  <r>
    <x v="17"/>
    <x v="0"/>
    <n v="125093790872"/>
    <n v="11789.03"/>
    <n v="8299062.0800000001"/>
    <x v="0"/>
    <m/>
    <m/>
    <n v="0"/>
    <n v="-121"/>
    <n v="-117.37"/>
    <n v="-72.599999999999994"/>
    <n v="12100.000000000002"/>
  </r>
  <r>
    <x v="17"/>
    <x v="0"/>
    <n v="124548093551"/>
    <n v="8999.61"/>
    <n v="8308061.6900000004"/>
    <x v="0"/>
    <m/>
    <m/>
    <n v="0"/>
    <n v="-93"/>
    <n v="-151.59"/>
    <n v="-55.8"/>
    <n v="9300"/>
  </r>
  <r>
    <x v="17"/>
    <x v="0"/>
    <n v="125093963730"/>
    <n v="9353.2800000000007"/>
    <n v="8317414.9699999997"/>
    <x v="0"/>
    <m/>
    <m/>
    <n v="0"/>
    <n v="-96"/>
    <n v="-93.12"/>
    <n v="-57.6"/>
    <n v="9600.0000000000018"/>
  </r>
  <r>
    <x v="17"/>
    <x v="0"/>
    <n v="125094162494"/>
    <n v="8378.98"/>
    <n v="8325793.9500000002"/>
    <x v="0"/>
    <m/>
    <m/>
    <n v="0"/>
    <n v="-86"/>
    <n v="-83.42"/>
    <n v="-51.6"/>
    <n v="8600"/>
  </r>
  <r>
    <x v="17"/>
    <x v="29"/>
    <n v="124548241441"/>
    <n v="420.97"/>
    <n v="8326214.9199999999"/>
    <x v="0"/>
    <m/>
    <m/>
    <n v="-6.45"/>
    <n v="0"/>
    <n v="0"/>
    <n v="-2.58"/>
    <n v="430"/>
  </r>
  <r>
    <x v="17"/>
    <x v="0"/>
    <n v="124548293337"/>
    <n v="47305.440000000002"/>
    <n v="8373520.3600000003"/>
    <x v="0"/>
    <m/>
    <m/>
    <n v="0"/>
    <n v="-504"/>
    <n v="-2288.16"/>
    <n v="-302.39999999999998"/>
    <n v="50400.000000000007"/>
  </r>
  <r>
    <x v="17"/>
    <x v="0"/>
    <n v="125094219266"/>
    <n v="20947.45"/>
    <n v="8394467.8100000005"/>
    <x v="0"/>
    <m/>
    <m/>
    <n v="0"/>
    <n v="-215"/>
    <n v="-208.55"/>
    <n v="-129"/>
    <n v="21500"/>
  </r>
  <r>
    <x v="17"/>
    <x v="0"/>
    <n v="124548516339"/>
    <n v="109121.60000000001"/>
    <n v="8503589.4100000001"/>
    <x v="0"/>
    <m/>
    <m/>
    <n v="0"/>
    <n v="-1120"/>
    <n v="-1086.4000000000001"/>
    <n v="-672"/>
    <n v="112000"/>
  </r>
  <r>
    <x v="17"/>
    <x v="0"/>
    <n v="124548420083"/>
    <n v="18219.41"/>
    <n v="8521808.8200000003"/>
    <x v="0"/>
    <m/>
    <m/>
    <n v="0"/>
    <n v="-187"/>
    <n v="-181.39"/>
    <n v="-112.2"/>
    <n v="18700"/>
  </r>
  <r>
    <x v="17"/>
    <x v="0"/>
    <n v="125094837668"/>
    <n v="40172.080000000002"/>
    <n v="8561980.9000000004"/>
    <x v="0"/>
    <m/>
    <m/>
    <n v="0"/>
    <n v="-428"/>
    <n v="-1943.12"/>
    <n v="-256.8"/>
    <n v="42800.000000000007"/>
  </r>
  <r>
    <x v="17"/>
    <x v="0"/>
    <n v="125094899458"/>
    <n v="3410.05"/>
    <n v="8565390.9499999993"/>
    <x v="0"/>
    <m/>
    <m/>
    <n v="0"/>
    <n v="-35"/>
    <n v="-33.950000000000003"/>
    <n v="-21"/>
    <n v="3500"/>
  </r>
  <r>
    <x v="17"/>
    <x v="0"/>
    <n v="125095026648"/>
    <n v="5163.79"/>
    <n v="8570554.7400000002"/>
    <x v="0"/>
    <m/>
    <m/>
    <n v="0"/>
    <n v="-53"/>
    <n v="-51.41"/>
    <n v="-31.8"/>
    <n v="5300"/>
  </r>
  <r>
    <x v="17"/>
    <x v="30"/>
    <n v="124549164915"/>
    <n v="259.43"/>
    <n v="8570814.1699999999"/>
    <x v="0"/>
    <m/>
    <m/>
    <n v="-3.98"/>
    <n v="0"/>
    <n v="0"/>
    <n v="-1.59"/>
    <n v="265"/>
  </r>
  <r>
    <x v="17"/>
    <x v="0"/>
    <n v="124549303705"/>
    <n v="10327.58"/>
    <n v="8581141.75"/>
    <x v="0"/>
    <m/>
    <m/>
    <n v="0"/>
    <n v="-106"/>
    <n v="-102.82"/>
    <n v="-63.6"/>
    <n v="10600"/>
  </r>
  <r>
    <x v="17"/>
    <x v="0"/>
    <n v="124549540369"/>
    <n v="13640.2"/>
    <n v="8594781.9499999993"/>
    <x v="0"/>
    <m/>
    <m/>
    <n v="0"/>
    <n v="-140"/>
    <n v="-135.80000000000001"/>
    <n v="-84"/>
    <n v="14000"/>
  </r>
  <r>
    <x v="17"/>
    <x v="0"/>
    <n v="125095467130"/>
    <n v="77944"/>
    <n v="8672725.9499999993"/>
    <x v="0"/>
    <m/>
    <m/>
    <n v="0"/>
    <n v="-800"/>
    <n v="-776"/>
    <n v="-480"/>
    <n v="80000"/>
  </r>
  <r>
    <x v="17"/>
    <x v="31"/>
    <n v="125095467130"/>
    <n v="-77944"/>
    <n v="8594781.9499999993"/>
    <x v="0"/>
    <m/>
    <m/>
    <n v="0"/>
    <n v="800"/>
    <n v="776"/>
    <n v="480"/>
    <n v="-80000"/>
  </r>
  <r>
    <x v="17"/>
    <x v="0"/>
    <n v="125095831262"/>
    <n v="70247.03"/>
    <n v="8665028.9800000004"/>
    <x v="0"/>
    <m/>
    <m/>
    <n v="0"/>
    <n v="-721"/>
    <n v="-699.37"/>
    <n v="-432.6"/>
    <n v="72100"/>
  </r>
  <r>
    <x v="17"/>
    <x v="0"/>
    <n v="124550095401"/>
    <n v="21532.03"/>
    <n v="8686561.0099999998"/>
    <x v="0"/>
    <m/>
    <m/>
    <n v="0"/>
    <n v="-221"/>
    <n v="-214.37"/>
    <n v="-132.6"/>
    <n v="22099.999999999996"/>
  </r>
  <r>
    <x v="17"/>
    <x v="0"/>
    <n v="125096002932"/>
    <n v="17732.259999999998"/>
    <n v="8704293.2699999996"/>
    <x v="0"/>
    <m/>
    <m/>
    <n v="0"/>
    <n v="-182"/>
    <n v="-176.54"/>
    <n v="-109.2"/>
    <n v="18200"/>
  </r>
  <r>
    <x v="17"/>
    <x v="0"/>
    <n v="124550195285"/>
    <n v="12860.76"/>
    <n v="8717154.0299999993"/>
    <x v="0"/>
    <m/>
    <m/>
    <n v="0"/>
    <n v="-132"/>
    <n v="-128.04"/>
    <n v="-79.2"/>
    <n v="13200.000000000002"/>
  </r>
  <r>
    <x v="17"/>
    <x v="0"/>
    <n v="125096109694"/>
    <n v="33321.06"/>
    <n v="8750475.0899999999"/>
    <x v="0"/>
    <m/>
    <m/>
    <n v="0"/>
    <n v="-342"/>
    <n v="-331.74"/>
    <n v="-205.2"/>
    <n v="34199.999999999993"/>
  </r>
  <r>
    <x v="17"/>
    <x v="32"/>
    <n v="124550265849"/>
    <n v="1674.09"/>
    <n v="8752149.1799999997"/>
    <x v="0"/>
    <m/>
    <m/>
    <n v="-25.65"/>
    <n v="0"/>
    <n v="0"/>
    <n v="-10.26"/>
    <n v="1710"/>
  </r>
  <r>
    <x v="17"/>
    <x v="0"/>
    <n v="124550395343"/>
    <n v="4189.49"/>
    <n v="8756338.6699999999"/>
    <x v="0"/>
    <m/>
    <m/>
    <n v="0"/>
    <n v="-43"/>
    <n v="-41.71"/>
    <n v="-25.8"/>
    <n v="4300"/>
  </r>
  <r>
    <x v="17"/>
    <x v="33"/>
    <n v="125096223326"/>
    <n v="631.45000000000005"/>
    <n v="8756970.1199999992"/>
    <x v="0"/>
    <m/>
    <m/>
    <n v="-9.68"/>
    <n v="0"/>
    <n v="0"/>
    <n v="-3.87"/>
    <n v="645"/>
  </r>
  <r>
    <x v="17"/>
    <x v="0"/>
    <n v="125185741106"/>
    <n v="4251.1499999999996"/>
    <n v="8761221.2699999996"/>
    <x v="0"/>
    <m/>
    <m/>
    <n v="0"/>
    <n v="-45"/>
    <n v="-176.85"/>
    <n v="-27"/>
    <n v="4500"/>
  </r>
  <r>
    <x v="17"/>
    <x v="0"/>
    <n v="125192805316"/>
    <n v="14264.97"/>
    <n v="8775486.2400000002"/>
    <x v="0"/>
    <m/>
    <m/>
    <n v="0"/>
    <n v="-151"/>
    <n v="-593.42999999999995"/>
    <n v="-90.6"/>
    <n v="15100"/>
  </r>
  <r>
    <x v="17"/>
    <x v="0"/>
    <n v="125195880866"/>
    <n v="27377.83"/>
    <n v="8802864.0700000003"/>
    <x v="0"/>
    <m/>
    <m/>
    <n v="0"/>
    <n v="-281"/>
    <n v="-272.57"/>
    <n v="-168.6"/>
    <n v="28100"/>
  </r>
  <r>
    <x v="17"/>
    <x v="0"/>
    <n v="125196765748"/>
    <n v="47301.59"/>
    <n v="8850165.6600000001"/>
    <x v="0"/>
    <m/>
    <m/>
    <n v="0"/>
    <n v="-521"/>
    <n v="-3964.81"/>
    <n v="-312.60000000000002"/>
    <n v="52099.999999999993"/>
  </r>
  <r>
    <x v="17"/>
    <x v="0"/>
    <n v="125198391082"/>
    <n v="8378.98"/>
    <n v="8858544.6400000006"/>
    <x v="0"/>
    <m/>
    <m/>
    <n v="0"/>
    <n v="-86"/>
    <n v="-83.42"/>
    <n v="-51.6"/>
    <n v="8600"/>
  </r>
  <r>
    <x v="17"/>
    <x v="0"/>
    <n v="125199712170"/>
    <n v="46384.77"/>
    <n v="8904929.4100000001"/>
    <x v="0"/>
    <m/>
    <m/>
    <n v="0"/>
    <n v="-491"/>
    <n v="-1929.63"/>
    <n v="-294.60000000000002"/>
    <n v="49099.999999999993"/>
  </r>
  <r>
    <x v="17"/>
    <x v="0"/>
    <n v="124653835763"/>
    <n v="12373.61"/>
    <n v="8917303.0199999996"/>
    <x v="0"/>
    <m/>
    <m/>
    <n v="0"/>
    <n v="-127"/>
    <n v="-123.19"/>
    <n v="-76.2"/>
    <n v="12700.000000000002"/>
  </r>
  <r>
    <x v="17"/>
    <x v="34"/>
    <n v="125200365970"/>
    <n v="1864.99"/>
    <n v="8919168.0099999998"/>
    <x v="0"/>
    <m/>
    <m/>
    <n v="-28.58"/>
    <n v="0"/>
    <n v="0"/>
    <n v="-11.43"/>
    <n v="1905"/>
  </r>
  <r>
    <x v="17"/>
    <x v="0"/>
    <n v="124654285441"/>
    <n v="15776.49"/>
    <n v="8934944.5"/>
    <x v="0"/>
    <m/>
    <m/>
    <n v="0"/>
    <n v="-167"/>
    <n v="-656.31"/>
    <n v="-100.2"/>
    <n v="16700"/>
  </r>
  <r>
    <x v="17"/>
    <x v="0"/>
    <n v="124657393069"/>
    <n v="32998.57"/>
    <n v="8967943.0700000003"/>
    <x v="0"/>
    <m/>
    <m/>
    <n v="0"/>
    <n v="-341"/>
    <n v="-555.83000000000004"/>
    <n v="-204.6"/>
    <n v="34100"/>
  </r>
  <r>
    <x v="17"/>
    <x v="35"/>
    <n v="124657355831"/>
    <n v="3338.39"/>
    <n v="8971281.4600000009"/>
    <x v="0"/>
    <m/>
    <m/>
    <n v="-51.15"/>
    <n v="0"/>
    <n v="0"/>
    <n v="-20.46"/>
    <n v="3410"/>
  </r>
  <r>
    <x v="17"/>
    <x v="0"/>
    <n v="124657418835"/>
    <n v="15199.08"/>
    <n v="8986480.5399999991"/>
    <x v="0"/>
    <m/>
    <m/>
    <n v="0"/>
    <n v="-156"/>
    <n v="-151.32"/>
    <n v="-93.6"/>
    <n v="15600"/>
  </r>
  <r>
    <x v="17"/>
    <x v="0"/>
    <n v="125205657088"/>
    <n v="32151.9"/>
    <n v="9018632.4399999995"/>
    <x v="0"/>
    <m/>
    <m/>
    <n v="0"/>
    <n v="-330"/>
    <n v="-320.10000000000002"/>
    <n v="-198"/>
    <n v="33000"/>
  </r>
  <r>
    <x v="17"/>
    <x v="0"/>
    <n v="125205858756"/>
    <n v="8378.98"/>
    <n v="9027011.4199999999"/>
    <x v="0"/>
    <m/>
    <m/>
    <n v="0"/>
    <n v="-86"/>
    <n v="-83.42"/>
    <n v="-51.6"/>
    <n v="8600"/>
  </r>
  <r>
    <x v="17"/>
    <x v="0"/>
    <n v="125206345154"/>
    <n v="26306.1"/>
    <n v="9053317.5199999996"/>
    <x v="0"/>
    <m/>
    <m/>
    <n v="0"/>
    <n v="-270"/>
    <n v="-261.89999999999998"/>
    <n v="-162"/>
    <n v="27000"/>
  </r>
  <r>
    <x v="17"/>
    <x v="0"/>
    <n v="124660239475"/>
    <n v="7599.54"/>
    <n v="9060917.0600000005"/>
    <x v="0"/>
    <m/>
    <m/>
    <n v="0"/>
    <n v="-78"/>
    <n v="-75.66"/>
    <n v="-46.8"/>
    <n v="7800"/>
  </r>
  <r>
    <x v="17"/>
    <x v="0"/>
    <n v="124660482969"/>
    <n v="584.58000000000004"/>
    <n v="9061501.6400000006"/>
    <x v="0"/>
    <m/>
    <m/>
    <n v="0"/>
    <n v="-6"/>
    <n v="-5.82"/>
    <n v="-3.6"/>
    <n v="600.00000000000011"/>
  </r>
  <r>
    <x v="17"/>
    <x v="0"/>
    <n v="124660671863"/>
    <n v="8378.98"/>
    <n v="9069880.6199999992"/>
    <x v="0"/>
    <m/>
    <m/>
    <n v="0"/>
    <n v="-86"/>
    <n v="-83.42"/>
    <n v="-51.6"/>
    <n v="8600"/>
  </r>
  <r>
    <x v="17"/>
    <x v="0"/>
    <n v="125208294382"/>
    <n v="37607.980000000003"/>
    <n v="9107488.5999999996"/>
    <x v="0"/>
    <m/>
    <m/>
    <n v="0"/>
    <n v="-386"/>
    <n v="-374.42"/>
    <n v="-231.6"/>
    <n v="38600"/>
  </r>
  <r>
    <x v="17"/>
    <x v="0"/>
    <n v="124662242795"/>
    <n v="37997.699999999997"/>
    <n v="9145486.3000000007"/>
    <x v="0"/>
    <m/>
    <m/>
    <n v="0"/>
    <n v="-390"/>
    <n v="-378.3"/>
    <n v="-234"/>
    <n v="39000"/>
  </r>
  <r>
    <x v="17"/>
    <x v="0"/>
    <n v="124662948695"/>
    <n v="26451.599999999999"/>
    <n v="9171937.9000000004"/>
    <x v="0"/>
    <m/>
    <m/>
    <n v="0"/>
    <n v="-280"/>
    <n v="-1100.4000000000001"/>
    <n v="-168"/>
    <n v="28000"/>
  </r>
  <r>
    <x v="17"/>
    <x v="0"/>
    <n v="124663516767"/>
    <n v="33515.919999999998"/>
    <n v="9205453.8200000003"/>
    <x v="0"/>
    <m/>
    <m/>
    <n v="0"/>
    <n v="-344"/>
    <n v="-333.68"/>
    <n v="-206.4"/>
    <n v="34400"/>
  </r>
  <r>
    <x v="17"/>
    <x v="0"/>
    <n v="125210313878"/>
    <n v="8378.98"/>
    <n v="9213832.8000000007"/>
    <x v="0"/>
    <m/>
    <m/>
    <n v="0"/>
    <n v="-86"/>
    <n v="-83.42"/>
    <n v="-51.6"/>
    <n v="8600"/>
  </r>
  <r>
    <x v="17"/>
    <x v="0"/>
    <n v="125210580296"/>
    <n v="10327.58"/>
    <n v="9224160.3800000008"/>
    <x v="0"/>
    <m/>
    <m/>
    <n v="0"/>
    <n v="-106"/>
    <n v="-102.82"/>
    <n v="-63.6"/>
    <n v="10600"/>
  </r>
  <r>
    <x v="17"/>
    <x v="0"/>
    <n v="125210591466"/>
    <n v="43940.93"/>
    <n v="9268101.3100000005"/>
    <x v="0"/>
    <m/>
    <m/>
    <n v="0"/>
    <n v="-451"/>
    <n v="-437.47"/>
    <n v="-270.60000000000002"/>
    <n v="45100"/>
  </r>
  <r>
    <x v="17"/>
    <x v="36"/>
    <n v="125210624856"/>
    <n v="6622.93"/>
    <n v="9274724.2400000002"/>
    <x v="0"/>
    <m/>
    <m/>
    <n v="-101.48"/>
    <n v="0"/>
    <n v="0"/>
    <n v="-40.590000000000003"/>
    <n v="6765"/>
  </r>
  <r>
    <x v="17"/>
    <x v="0"/>
    <n v="124664329219"/>
    <n v="28059.84"/>
    <n v="9302784.0800000001"/>
    <x v="0"/>
    <m/>
    <m/>
    <n v="0"/>
    <n v="-288"/>
    <n v="-279.36"/>
    <n v="-172.8"/>
    <n v="28800"/>
  </r>
  <r>
    <x v="17"/>
    <x v="0"/>
    <n v="124664940299"/>
    <n v="8281.5499999999993"/>
    <n v="9311065.6300000008"/>
    <x v="0"/>
    <m/>
    <m/>
    <n v="0"/>
    <n v="-85"/>
    <n v="-82.45"/>
    <n v="-51"/>
    <n v="8500"/>
  </r>
  <r>
    <x v="17"/>
    <x v="0"/>
    <n v="124664971085"/>
    <n v="53391.64"/>
    <n v="9364457.2699999996"/>
    <x v="0"/>
    <m/>
    <m/>
    <n v="0"/>
    <n v="-548"/>
    <n v="-531.55999999999995"/>
    <n v="-328.8"/>
    <n v="54800"/>
  </r>
  <r>
    <x v="17"/>
    <x v="0"/>
    <n v="124665395075"/>
    <n v="25884.78"/>
    <n v="9390342.0500000007"/>
    <x v="0"/>
    <m/>
    <m/>
    <n v="0"/>
    <n v="-274"/>
    <n v="-1076.82"/>
    <n v="-164.4"/>
    <n v="27400"/>
  </r>
  <r>
    <x v="17"/>
    <x v="0"/>
    <n v="124665509203"/>
    <n v="43258.92"/>
    <n v="9433600.9700000007"/>
    <x v="0"/>
    <m/>
    <m/>
    <n v="0"/>
    <n v="-444"/>
    <n v="-430.68"/>
    <n v="-266.39999999999998"/>
    <n v="44400"/>
  </r>
  <r>
    <x v="17"/>
    <x v="0"/>
    <n v="125212296296"/>
    <n v="7599.54"/>
    <n v="9441200.5099999998"/>
    <x v="0"/>
    <m/>
    <m/>
    <n v="0"/>
    <n v="-78"/>
    <n v="-75.66"/>
    <n v="-46.8"/>
    <n v="7800"/>
  </r>
  <r>
    <x v="17"/>
    <x v="0"/>
    <n v="125212279366"/>
    <n v="8281.5499999999993"/>
    <n v="9449482.0600000005"/>
    <x v="0"/>
    <m/>
    <m/>
    <n v="0"/>
    <n v="-85"/>
    <n v="-82.45"/>
    <n v="-51"/>
    <n v="8500"/>
  </r>
  <r>
    <x v="17"/>
    <x v="0"/>
    <n v="124665912009"/>
    <n v="42284.62"/>
    <n v="9491766.6799999997"/>
    <x v="0"/>
    <m/>
    <m/>
    <n v="0"/>
    <n v="-434"/>
    <n v="-420.98"/>
    <n v="-260.39999999999998"/>
    <n v="43400.000000000007"/>
  </r>
  <r>
    <x v="17"/>
    <x v="0"/>
    <n v="124666058581"/>
    <n v="33820.26"/>
    <n v="9525586.9399999995"/>
    <x v="0"/>
    <m/>
    <m/>
    <n v="0"/>
    <n v="-358"/>
    <n v="-1406.94"/>
    <n v="-214.8"/>
    <n v="35800.000000000007"/>
  </r>
  <r>
    <x v="17"/>
    <x v="0"/>
    <n v="125212465982"/>
    <n v="4189.49"/>
    <n v="9529776.4299999997"/>
    <x v="0"/>
    <m/>
    <m/>
    <n v="0"/>
    <n v="-43"/>
    <n v="-41.71"/>
    <n v="-25.8"/>
    <n v="4300"/>
  </r>
  <r>
    <x v="17"/>
    <x v="37"/>
    <n v="125212513170"/>
    <n v="210.48"/>
    <n v="9529986.9100000001"/>
    <x v="0"/>
    <m/>
    <m/>
    <n v="-3.23"/>
    <n v="0"/>
    <n v="0"/>
    <n v="-1.29"/>
    <n v="214.99999999999997"/>
  </r>
  <r>
    <x v="17"/>
    <x v="0"/>
    <n v="125212652108"/>
    <n v="38611.879999999997"/>
    <n v="9568598.7899999991"/>
    <x v="0"/>
    <m/>
    <m/>
    <n v="0"/>
    <n v="-443"/>
    <n v="-4979.32"/>
    <n v="-265.8"/>
    <n v="44300"/>
  </r>
  <r>
    <x v="17"/>
    <x v="0"/>
    <n v="125213185822"/>
    <n v="14906.79"/>
    <n v="9583505.5800000001"/>
    <x v="0"/>
    <m/>
    <m/>
    <n v="0"/>
    <n v="-153"/>
    <n v="-148.41"/>
    <n v="-91.8"/>
    <n v="15300"/>
  </r>
  <r>
    <x v="17"/>
    <x v="0"/>
    <n v="124666970071"/>
    <n v="20362.87"/>
    <n v="9603868.4499999993"/>
    <x v="0"/>
    <m/>
    <m/>
    <n v="0"/>
    <n v="-209"/>
    <n v="-202.73"/>
    <n v="-125.4"/>
    <n v="20900"/>
  </r>
  <r>
    <x v="17"/>
    <x v="0"/>
    <n v="125213846894"/>
    <n v="11052.99"/>
    <n v="9614921.4399999995"/>
    <x v="0"/>
    <m/>
    <m/>
    <n v="0"/>
    <n v="-117"/>
    <n v="-459.81"/>
    <n v="-70.2"/>
    <n v="11700"/>
  </r>
  <r>
    <x v="17"/>
    <x v="0"/>
    <n v="125213889984"/>
    <n v="6820.1"/>
    <n v="9621741.5399999991"/>
    <x v="0"/>
    <m/>
    <m/>
    <n v="0"/>
    <n v="-70"/>
    <n v="-67.900000000000006"/>
    <n v="-42"/>
    <n v="7000"/>
  </r>
  <r>
    <x v="17"/>
    <x v="0"/>
    <n v="125214339204"/>
    <n v="33515.919999999998"/>
    <n v="9655257.4600000009"/>
    <x v="0"/>
    <m/>
    <m/>
    <n v="0"/>
    <n v="-344"/>
    <n v="-333.68"/>
    <n v="-206.4"/>
    <n v="34400"/>
  </r>
  <r>
    <x v="17"/>
    <x v="0"/>
    <n v="124667883929"/>
    <n v="79113.16"/>
    <n v="9734370.6199999992"/>
    <x v="0"/>
    <m/>
    <m/>
    <n v="0"/>
    <n v="-812"/>
    <n v="-787.64"/>
    <n v="-487.2"/>
    <n v="81200"/>
  </r>
  <r>
    <x v="17"/>
    <x v="0"/>
    <n v="125214441310"/>
    <n v="32639.05"/>
    <n v="9767009.6699999999"/>
    <x v="0"/>
    <m/>
    <m/>
    <n v="0"/>
    <n v="-335"/>
    <n v="-324.95"/>
    <n v="-201"/>
    <n v="33500"/>
  </r>
  <r>
    <x v="17"/>
    <x v="38"/>
    <n v="124667969775"/>
    <n v="1639.82"/>
    <n v="9768649.4900000002"/>
    <x v="0"/>
    <m/>
    <m/>
    <n v="-25.13"/>
    <n v="0"/>
    <n v="0"/>
    <n v="-10.050000000000001"/>
    <n v="1675"/>
  </r>
  <r>
    <x v="17"/>
    <x v="0"/>
    <n v="124668378655"/>
    <n v="7368.66"/>
    <n v="9776018.1500000004"/>
    <x v="0"/>
    <m/>
    <m/>
    <n v="0"/>
    <n v="-78"/>
    <n v="-306.54000000000002"/>
    <n v="-46.8"/>
    <n v="7800"/>
  </r>
  <r>
    <x v="17"/>
    <x v="0"/>
    <n v="125215046740"/>
    <n v="8281.5499999999993"/>
    <n v="9784299.6999999993"/>
    <x v="0"/>
    <m/>
    <m/>
    <n v="0"/>
    <n v="-85"/>
    <n v="-82.45"/>
    <n v="-51"/>
    <n v="8500"/>
  </r>
  <r>
    <x v="17"/>
    <x v="0"/>
    <n v="125215388296"/>
    <n v="35854.239999999998"/>
    <n v="9820153.9399999995"/>
    <x v="0"/>
    <m/>
    <m/>
    <n v="0"/>
    <n v="-368"/>
    <n v="-356.96"/>
    <n v="-220.8"/>
    <n v="36800"/>
  </r>
  <r>
    <x v="17"/>
    <x v="39"/>
    <n v="125215309354"/>
    <n v="1801.36"/>
    <n v="9821955.3000000007"/>
    <x v="0"/>
    <m/>
    <m/>
    <n v="-27.6"/>
    <n v="0"/>
    <n v="0"/>
    <n v="-11.04"/>
    <n v="1839.9999999999998"/>
  </r>
  <r>
    <x v="17"/>
    <x v="0"/>
    <n v="124668982491"/>
    <n v="48746.52"/>
    <n v="9870701.8200000003"/>
    <x v="0"/>
    <m/>
    <m/>
    <n v="0"/>
    <n v="-516"/>
    <n v="-2027.88"/>
    <n v="-309.60000000000002"/>
    <n v="51599.999999999993"/>
  </r>
  <r>
    <x v="17"/>
    <x v="0"/>
    <n v="124669082353"/>
    <n v="40055.279999999999"/>
    <n v="9910757.0999999996"/>
    <x v="0"/>
    <m/>
    <m/>
    <n v="0"/>
    <n v="-424"/>
    <n v="-1666.32"/>
    <n v="-254.4"/>
    <n v="42400"/>
  </r>
  <r>
    <x v="17"/>
    <x v="0"/>
    <n v="124669045807"/>
    <n v="7599.54"/>
    <n v="9918356.6400000006"/>
    <x v="0"/>
    <m/>
    <m/>
    <n v="0"/>
    <n v="-78"/>
    <n v="-75.66"/>
    <n v="-46.8"/>
    <n v="7800"/>
  </r>
  <r>
    <x v="17"/>
    <x v="0"/>
    <n v="124669236361"/>
    <n v="2143.46"/>
    <n v="9920500.0999999996"/>
    <x v="0"/>
    <m/>
    <m/>
    <n v="0"/>
    <n v="-22"/>
    <n v="-21.34"/>
    <n v="-13.2"/>
    <n v="2200"/>
  </r>
  <r>
    <x v="18"/>
    <x v="0"/>
    <n v="125215868728"/>
    <n v="12107.94"/>
    <n v="9932608.0399999991"/>
    <x v="0"/>
    <m/>
    <m/>
    <n v="0"/>
    <n v="-129"/>
    <n v="-585.66"/>
    <n v="-77.400000000000006"/>
    <n v="12900"/>
  </r>
  <r>
    <x v="18"/>
    <x v="0"/>
    <n v="124669482349"/>
    <n v="8378.98"/>
    <n v="9940987.0199999996"/>
    <x v="0"/>
    <m/>
    <m/>
    <n v="0"/>
    <n v="-86"/>
    <n v="-83.42"/>
    <n v="-51.6"/>
    <n v="8600"/>
  </r>
  <r>
    <x v="18"/>
    <x v="0"/>
    <n v="125216045810"/>
    <n v="96170.46"/>
    <n v="10037157.48"/>
    <x v="0"/>
    <m/>
    <m/>
    <n v="0"/>
    <n v="-1018"/>
    <n v="-4000.74"/>
    <n v="-610.79999999999995"/>
    <n v="101800.00000000001"/>
  </r>
  <r>
    <x v="18"/>
    <x v="0"/>
    <n v="125216200412"/>
    <n v="8281.5499999999993"/>
    <n v="10045439.029999999"/>
    <x v="0"/>
    <m/>
    <m/>
    <n v="0"/>
    <n v="-85"/>
    <n v="-82.45"/>
    <n v="-51"/>
    <n v="8500"/>
  </r>
  <r>
    <x v="18"/>
    <x v="0"/>
    <n v="124669988837"/>
    <n v="10327.58"/>
    <n v="10055766.609999999"/>
    <x v="0"/>
    <m/>
    <m/>
    <n v="0"/>
    <n v="-106"/>
    <n v="-102.82"/>
    <n v="-63.6"/>
    <n v="10600"/>
  </r>
  <r>
    <x v="18"/>
    <x v="0"/>
    <n v="124670059343"/>
    <n v="37023.4"/>
    <n v="10092790.01"/>
    <x v="0"/>
    <m/>
    <m/>
    <n v="0"/>
    <n v="-380"/>
    <n v="-368.6"/>
    <n v="-228"/>
    <n v="38000"/>
  </r>
  <r>
    <x v="18"/>
    <x v="40"/>
    <n v="125216496504"/>
    <n v="3720.2"/>
    <n v="10096510.210000001"/>
    <x v="0"/>
    <m/>
    <m/>
    <n v="-57"/>
    <n v="0"/>
    <n v="0"/>
    <n v="-22.8"/>
    <n v="3800"/>
  </r>
  <r>
    <x v="18"/>
    <x v="0"/>
    <n v="124670247087"/>
    <n v="82133.490000000005"/>
    <n v="10178643.699999999"/>
    <x v="0"/>
    <m/>
    <m/>
    <n v="0"/>
    <n v="-843"/>
    <n v="-817.71"/>
    <n v="-505.8"/>
    <n v="84300.000000000015"/>
  </r>
  <r>
    <x v="18"/>
    <x v="0"/>
    <n v="125216661736"/>
    <n v="56304.12"/>
    <n v="10234947.82"/>
    <x v="0"/>
    <m/>
    <m/>
    <n v="0"/>
    <n v="-596"/>
    <n v="-2342.2800000000002"/>
    <n v="-357.6"/>
    <n v="59600"/>
  </r>
  <r>
    <x v="18"/>
    <x v="0"/>
    <n v="124670291781"/>
    <n v="4189.49"/>
    <n v="10239137.310000001"/>
    <x v="0"/>
    <m/>
    <m/>
    <n v="0"/>
    <n v="-43"/>
    <n v="-41.71"/>
    <n v="-25.8"/>
    <n v="4300"/>
  </r>
  <r>
    <x v="18"/>
    <x v="0"/>
    <n v="125216777826"/>
    <n v="113269.53"/>
    <n v="10352406.84"/>
    <x v="0"/>
    <m/>
    <m/>
    <n v="0"/>
    <n v="-1199"/>
    <n v="-4712.07"/>
    <n v="-719.4"/>
    <n v="119900"/>
  </r>
  <r>
    <x v="18"/>
    <x v="0"/>
    <n v="125217154744"/>
    <n v="8378.98"/>
    <n v="10360785.82"/>
    <x v="0"/>
    <m/>
    <m/>
    <n v="0"/>
    <n v="-86"/>
    <n v="-83.42"/>
    <n v="-51.6"/>
    <n v="8600"/>
  </r>
  <r>
    <x v="18"/>
    <x v="0"/>
    <n v="124670696413"/>
    <n v="8281.5499999999993"/>
    <n v="10369067.369999999"/>
    <x v="0"/>
    <m/>
    <m/>
    <n v="0"/>
    <n v="-85"/>
    <n v="-82.45"/>
    <n v="-51"/>
    <n v="8500"/>
  </r>
  <r>
    <x v="18"/>
    <x v="0"/>
    <n v="124670726623"/>
    <n v="4189.49"/>
    <n v="10373256.859999999"/>
    <x v="0"/>
    <m/>
    <m/>
    <n v="0"/>
    <n v="-43"/>
    <n v="-41.71"/>
    <n v="-25.8"/>
    <n v="4300"/>
  </r>
  <r>
    <x v="18"/>
    <x v="0"/>
    <n v="125217693384"/>
    <n v="14614.5"/>
    <n v="10387871.359999999"/>
    <x v="0"/>
    <m/>
    <m/>
    <n v="0"/>
    <n v="-150"/>
    <n v="-145.5"/>
    <n v="-90"/>
    <n v="15000"/>
  </r>
  <r>
    <x v="18"/>
    <x v="0"/>
    <n v="124671275577"/>
    <n v="33414.160000000003"/>
    <n v="10421285.52"/>
    <x v="0"/>
    <m/>
    <m/>
    <n v="0"/>
    <n v="-356"/>
    <n v="-1616.24"/>
    <n v="-213.6"/>
    <n v="35600"/>
  </r>
  <r>
    <x v="18"/>
    <x v="0"/>
    <n v="124671527545"/>
    <n v="41700.04"/>
    <n v="10462985.560000001"/>
    <x v="0"/>
    <m/>
    <m/>
    <n v="0"/>
    <n v="-428"/>
    <n v="-415.16"/>
    <n v="-256.8"/>
    <n v="42800.000000000007"/>
  </r>
  <r>
    <x v="18"/>
    <x v="41"/>
    <n v="124671562997"/>
    <n v="2095.06"/>
    <n v="10465080.619999999"/>
    <x v="0"/>
    <m/>
    <m/>
    <n v="-32.1"/>
    <n v="0"/>
    <n v="0"/>
    <n v="-12.84"/>
    <n v="2140"/>
  </r>
  <r>
    <x v="18"/>
    <x v="0"/>
    <n v="124671860837"/>
    <n v="31762.18"/>
    <n v="10496842.800000001"/>
    <x v="0"/>
    <m/>
    <m/>
    <n v="0"/>
    <n v="-326"/>
    <n v="-316.22000000000003"/>
    <n v="-195.6"/>
    <n v="32600"/>
  </r>
  <r>
    <x v="18"/>
    <x v="42"/>
    <n v="125218223556"/>
    <n v="1595.77"/>
    <n v="10498438.57"/>
    <x v="0"/>
    <m/>
    <m/>
    <n v="-24.45"/>
    <n v="0"/>
    <n v="0"/>
    <n v="-9.7799999999999994"/>
    <n v="1630"/>
  </r>
  <r>
    <x v="18"/>
    <x v="0"/>
    <n v="125218410126"/>
    <n v="10522.44"/>
    <n v="10508961.01"/>
    <x v="0"/>
    <m/>
    <m/>
    <n v="0"/>
    <n v="-108"/>
    <n v="-104.76"/>
    <n v="-64.8"/>
    <n v="10800"/>
  </r>
  <r>
    <x v="18"/>
    <x v="0"/>
    <n v="125218795632"/>
    <n v="8313.36"/>
    <n v="10517274.369999999"/>
    <x v="0"/>
    <m/>
    <m/>
    <n v="0"/>
    <n v="-88"/>
    <n v="-345.84"/>
    <n v="-52.8"/>
    <n v="8800"/>
  </r>
  <r>
    <x v="18"/>
    <x v="0"/>
    <n v="124672504175"/>
    <n v="8573.84"/>
    <n v="10525848.210000001"/>
    <x v="0"/>
    <m/>
    <m/>
    <n v="0"/>
    <n v="-88"/>
    <n v="-85.36"/>
    <n v="-52.8"/>
    <n v="8800"/>
  </r>
  <r>
    <x v="18"/>
    <x v="0"/>
    <n v="124672534433"/>
    <n v="7599.54"/>
    <n v="10533447.75"/>
    <x v="0"/>
    <m/>
    <m/>
    <n v="0"/>
    <n v="-78"/>
    <n v="-75.66"/>
    <n v="-46.8"/>
    <n v="7800"/>
  </r>
  <r>
    <x v="18"/>
    <x v="0"/>
    <n v="125219129574"/>
    <n v="44622.94"/>
    <n v="10578070.689999999"/>
    <x v="0"/>
    <m/>
    <m/>
    <n v="0"/>
    <n v="-458"/>
    <n v="-444.26"/>
    <n v="-274.8"/>
    <n v="45800.000000000007"/>
  </r>
  <r>
    <x v="18"/>
    <x v="0"/>
    <n v="125219203876"/>
    <n v="8378.98"/>
    <n v="10586449.67"/>
    <x v="0"/>
    <m/>
    <m/>
    <n v="0"/>
    <n v="-86"/>
    <n v="-83.42"/>
    <n v="-51.6"/>
    <n v="8600"/>
  </r>
  <r>
    <x v="18"/>
    <x v="0"/>
    <n v="125219233532"/>
    <n v="5553.51"/>
    <n v="10592003.18"/>
    <x v="0"/>
    <m/>
    <m/>
    <n v="0"/>
    <n v="-57"/>
    <n v="-55.29"/>
    <n v="-34.200000000000003"/>
    <n v="5700"/>
  </r>
  <r>
    <x v="18"/>
    <x v="43"/>
    <n v="124672793343"/>
    <n v="279.01"/>
    <n v="10592282.189999999"/>
    <x v="0"/>
    <m/>
    <m/>
    <n v="-4.28"/>
    <n v="0"/>
    <n v="0"/>
    <n v="-1.71"/>
    <n v="284.99999999999994"/>
  </r>
  <r>
    <x v="18"/>
    <x v="0"/>
    <n v="125219980312"/>
    <n v="53196.78"/>
    <n v="10645478.970000001"/>
    <x v="0"/>
    <m/>
    <m/>
    <n v="0"/>
    <n v="-546"/>
    <n v="-529.62"/>
    <n v="-327.60000000000002"/>
    <n v="54600"/>
  </r>
  <r>
    <x v="18"/>
    <x v="0"/>
    <n v="125219899446"/>
    <n v="6820.1"/>
    <n v="10652299.07"/>
    <x v="0"/>
    <m/>
    <m/>
    <n v="0"/>
    <n v="-70"/>
    <n v="-67.900000000000006"/>
    <n v="-42"/>
    <n v="7000"/>
  </r>
  <r>
    <x v="18"/>
    <x v="0"/>
    <n v="125220021668"/>
    <n v="8378.98"/>
    <n v="10660678.050000001"/>
    <x v="0"/>
    <m/>
    <m/>
    <n v="0"/>
    <n v="-86"/>
    <n v="-83.42"/>
    <n v="-51.6"/>
    <n v="8600"/>
  </r>
  <r>
    <x v="18"/>
    <x v="0"/>
    <n v="124673710401"/>
    <n v="30687.02"/>
    <n v="10691365.07"/>
    <x v="0"/>
    <m/>
    <m/>
    <n v="0"/>
    <n v="-338"/>
    <n v="-2572.1799999999998"/>
    <n v="-202.8"/>
    <n v="33800"/>
  </r>
  <r>
    <x v="18"/>
    <x v="0"/>
    <n v="125220339680"/>
    <n v="6820.1"/>
    <n v="10698185.17"/>
    <x v="0"/>
    <m/>
    <m/>
    <n v="0"/>
    <n v="-70"/>
    <n v="-67.900000000000006"/>
    <n v="-42"/>
    <n v="7000"/>
  </r>
  <r>
    <x v="18"/>
    <x v="0"/>
    <n v="124673905673"/>
    <n v="4871.5"/>
    <n v="10703056.67"/>
    <x v="0"/>
    <m/>
    <m/>
    <n v="0"/>
    <n v="-50"/>
    <n v="-48.5"/>
    <n v="-30"/>
    <n v="5000"/>
  </r>
  <r>
    <x v="18"/>
    <x v="44"/>
    <n v="125220439184"/>
    <n v="244.75"/>
    <n v="10703301.42"/>
    <x v="0"/>
    <m/>
    <m/>
    <n v="-3.75"/>
    <n v="0"/>
    <n v="0"/>
    <n v="-1.5"/>
    <n v="250"/>
  </r>
  <r>
    <x v="18"/>
    <x v="0"/>
    <n v="124673995833"/>
    <n v="25039.51"/>
    <n v="10728340.93"/>
    <x v="0"/>
    <m/>
    <m/>
    <n v="0"/>
    <n v="-257"/>
    <n v="-249.29"/>
    <n v="-154.19999999999999"/>
    <n v="25700"/>
  </r>
  <r>
    <x v="18"/>
    <x v="0"/>
    <n v="124674256535"/>
    <n v="4871.5"/>
    <n v="10733212.43"/>
    <x v="0"/>
    <m/>
    <m/>
    <n v="0"/>
    <n v="-50"/>
    <n v="-48.5"/>
    <n v="-30"/>
    <n v="5000"/>
  </r>
  <r>
    <x v="18"/>
    <x v="0"/>
    <n v="124675042795"/>
    <n v="48617.57"/>
    <n v="10781830"/>
    <x v="0"/>
    <m/>
    <m/>
    <n v="0"/>
    <n v="-499"/>
    <n v="-484.03"/>
    <n v="-299.39999999999998"/>
    <n v="49900"/>
  </r>
  <r>
    <x v="18"/>
    <x v="0"/>
    <n v="124675009187"/>
    <n v="17927.12"/>
    <n v="10799757.119999999"/>
    <x v="0"/>
    <m/>
    <m/>
    <n v="0"/>
    <n v="-184"/>
    <n v="-178.48"/>
    <n v="-110.4"/>
    <n v="18400"/>
  </r>
  <r>
    <x v="18"/>
    <x v="0"/>
    <n v="124675558175"/>
    <n v="24649.79"/>
    <n v="10824406.91"/>
    <x v="0"/>
    <m/>
    <m/>
    <n v="0"/>
    <n v="-253"/>
    <n v="-245.41"/>
    <n v="-151.80000000000001"/>
    <n v="25300"/>
  </r>
  <r>
    <x v="18"/>
    <x v="0"/>
    <n v="124675646391"/>
    <n v="4871.5"/>
    <n v="10829278.41"/>
    <x v="0"/>
    <m/>
    <m/>
    <n v="0"/>
    <n v="-50"/>
    <n v="-48.5"/>
    <n v="-30"/>
    <n v="5000"/>
  </r>
  <r>
    <x v="18"/>
    <x v="0"/>
    <n v="124675934201"/>
    <n v="8963.56"/>
    <n v="10838241.970000001"/>
    <x v="0"/>
    <m/>
    <m/>
    <n v="0"/>
    <n v="-92"/>
    <n v="-89.24"/>
    <n v="-55.2"/>
    <n v="9200"/>
  </r>
  <r>
    <x v="18"/>
    <x v="0"/>
    <n v="125222462618"/>
    <n v="6820.1"/>
    <n v="10845062.07"/>
    <x v="0"/>
    <m/>
    <m/>
    <n v="0"/>
    <n v="-70"/>
    <n v="-67.900000000000006"/>
    <n v="-42"/>
    <n v="7000"/>
  </r>
  <r>
    <x v="18"/>
    <x v="0"/>
    <n v="125222388040"/>
    <n v="54887.07"/>
    <n v="10899949.140000001"/>
    <x v="0"/>
    <m/>
    <m/>
    <n v="0"/>
    <n v="-581"/>
    <n v="-2283.33"/>
    <n v="-348.6"/>
    <n v="58100"/>
  </r>
  <r>
    <x v="18"/>
    <x v="0"/>
    <n v="125222877250"/>
    <n v="10327.58"/>
    <n v="10910276.720000001"/>
    <x v="0"/>
    <m/>
    <m/>
    <n v="0"/>
    <n v="-106"/>
    <n v="-102.82"/>
    <n v="-63.6"/>
    <n v="10600"/>
  </r>
  <r>
    <x v="18"/>
    <x v="0"/>
    <n v="124676648481"/>
    <n v="60539.7"/>
    <n v="10970816.42"/>
    <x v="0"/>
    <m/>
    <m/>
    <n v="0"/>
    <n v="-645"/>
    <n v="-2928.3"/>
    <n v="-387"/>
    <n v="64500"/>
  </r>
  <r>
    <x v="18"/>
    <x v="0"/>
    <n v="125223208832"/>
    <n v="14614.5"/>
    <n v="10985430.92"/>
    <x v="0"/>
    <m/>
    <m/>
    <n v="0"/>
    <n v="-150"/>
    <n v="-145.5"/>
    <n v="-90"/>
    <n v="15000"/>
  </r>
  <r>
    <x v="18"/>
    <x v="0"/>
    <n v="125223266490"/>
    <n v="8974.65"/>
    <n v="10994405.57"/>
    <x v="0"/>
    <m/>
    <m/>
    <n v="0"/>
    <n v="-95"/>
    <n v="-373.35"/>
    <n v="-57"/>
    <n v="9500"/>
  </r>
  <r>
    <x v="18"/>
    <x v="0"/>
    <n v="125223478166"/>
    <n v="20555.34"/>
    <n v="11014960.91"/>
    <x v="0"/>
    <m/>
    <m/>
    <n v="0"/>
    <n v="-219"/>
    <n v="-994.26"/>
    <n v="-131.4"/>
    <n v="21900"/>
  </r>
  <r>
    <x v="18"/>
    <x v="0"/>
    <n v="124677058353"/>
    <n v="44873.25"/>
    <n v="11059834.16"/>
    <x v="0"/>
    <m/>
    <m/>
    <n v="0"/>
    <n v="-475"/>
    <n v="-1866.75"/>
    <n v="-285"/>
    <n v="47500"/>
  </r>
  <r>
    <x v="18"/>
    <x v="0"/>
    <n v="125223493470"/>
    <n v="8378.98"/>
    <n v="11068213.140000001"/>
    <x v="0"/>
    <m/>
    <m/>
    <n v="0"/>
    <n v="-86"/>
    <n v="-83.42"/>
    <n v="-51.6"/>
    <n v="8600"/>
  </r>
  <r>
    <x v="18"/>
    <x v="0"/>
    <n v="125223606328"/>
    <n v="143800.22"/>
    <n v="11212013.359999999"/>
    <x v="0"/>
    <m/>
    <m/>
    <n v="0"/>
    <n v="-1486"/>
    <n v="-2422.1799999999998"/>
    <n v="-891.6"/>
    <n v="148600"/>
  </r>
  <r>
    <x v="18"/>
    <x v="0"/>
    <n v="124677107387"/>
    <n v="21532.03"/>
    <n v="11233545.390000001"/>
    <x v="0"/>
    <m/>
    <m/>
    <n v="0"/>
    <n v="-221"/>
    <n v="-214.37"/>
    <n v="-132.6"/>
    <n v="22099.999999999996"/>
  </r>
  <r>
    <x v="18"/>
    <x v="0"/>
    <n v="124677077767"/>
    <n v="12092.16"/>
    <n v="11245637.550000001"/>
    <x v="0"/>
    <m/>
    <m/>
    <n v="0"/>
    <n v="-128"/>
    <n v="-503.04"/>
    <n v="-76.8"/>
    <n v="12800"/>
  </r>
  <r>
    <x v="18"/>
    <x v="0"/>
    <n v="124677103773"/>
    <n v="7014.96"/>
    <n v="11252652.51"/>
    <x v="0"/>
    <m/>
    <m/>
    <n v="0"/>
    <n v="-72"/>
    <n v="-69.84"/>
    <n v="-43.2"/>
    <n v="7200"/>
  </r>
  <r>
    <x v="18"/>
    <x v="0"/>
    <n v="124749410821"/>
    <n v="8378.98"/>
    <n v="11261031.49"/>
    <x v="0"/>
    <m/>
    <m/>
    <n v="0"/>
    <n v="-86"/>
    <n v="-83.42"/>
    <n v="-51.6"/>
    <n v="8600"/>
  </r>
  <r>
    <x v="18"/>
    <x v="0"/>
    <n v="124751640007"/>
    <n v="44233.22"/>
    <n v="11305264.710000001"/>
    <x v="0"/>
    <m/>
    <m/>
    <n v="0"/>
    <n v="-454"/>
    <n v="-440.38"/>
    <n v="-272.39999999999998"/>
    <n v="45400"/>
  </r>
  <r>
    <x v="18"/>
    <x v="0"/>
    <n v="125298883468"/>
    <n v="10717.3"/>
    <n v="11315982.01"/>
    <x v="0"/>
    <m/>
    <m/>
    <n v="0"/>
    <n v="-110"/>
    <n v="-106.7"/>
    <n v="-66"/>
    <n v="11000"/>
  </r>
  <r>
    <x v="18"/>
    <x v="0"/>
    <n v="124752111709"/>
    <n v="8378.98"/>
    <n v="11324360.99"/>
    <x v="0"/>
    <m/>
    <m/>
    <n v="0"/>
    <n v="-86"/>
    <n v="-83.42"/>
    <n v="-51.6"/>
    <n v="8600"/>
  </r>
  <r>
    <x v="18"/>
    <x v="0"/>
    <n v="125300953476"/>
    <n v="29191.23"/>
    <n v="11353552.220000001"/>
    <x v="0"/>
    <m/>
    <m/>
    <n v="0"/>
    <n v="-309"/>
    <n v="-1214.3699999999999"/>
    <n v="-185.4"/>
    <n v="30900"/>
  </r>
  <r>
    <x v="18"/>
    <x v="0"/>
    <n v="124754527205"/>
    <n v="46766.400000000001"/>
    <n v="11400318.619999999"/>
    <x v="0"/>
    <m/>
    <m/>
    <n v="0"/>
    <n v="-480"/>
    <n v="-465.6"/>
    <n v="-288"/>
    <n v="48000"/>
  </r>
  <r>
    <x v="18"/>
    <x v="36"/>
    <n v="124754626261"/>
    <n v="4699.2"/>
    <n v="11405017.82"/>
    <x v="0"/>
    <m/>
    <m/>
    <n v="-72"/>
    <n v="0"/>
    <n v="0"/>
    <n v="-28.8"/>
    <n v="4800"/>
  </r>
  <r>
    <x v="18"/>
    <x v="0"/>
    <n v="124755105423"/>
    <n v="16757.96"/>
    <n v="11421775.779999999"/>
    <x v="0"/>
    <m/>
    <m/>
    <n v="0"/>
    <n v="-172"/>
    <n v="-166.84"/>
    <n v="-103.2"/>
    <n v="17200"/>
  </r>
  <r>
    <x v="18"/>
    <x v="0"/>
    <n v="124756307845"/>
    <n v="20850.02"/>
    <n v="11442625.800000001"/>
    <x v="0"/>
    <m/>
    <m/>
    <n v="0"/>
    <n v="-214"/>
    <n v="-207.58"/>
    <n v="-128.4"/>
    <n v="21400.000000000004"/>
  </r>
  <r>
    <x v="18"/>
    <x v="0"/>
    <n v="124756676035"/>
    <n v="31859.61"/>
    <n v="11474485.41"/>
    <x v="0"/>
    <m/>
    <m/>
    <n v="0"/>
    <n v="-327"/>
    <n v="-317.19"/>
    <n v="-196.2"/>
    <n v="32700"/>
  </r>
  <r>
    <x v="18"/>
    <x v="0"/>
    <n v="125304841170"/>
    <n v="74826.240000000005"/>
    <n v="11549311.65"/>
    <x v="0"/>
    <m/>
    <m/>
    <n v="0"/>
    <n v="-768"/>
    <n v="-744.96"/>
    <n v="-460.8"/>
    <n v="76800.000000000015"/>
  </r>
  <r>
    <x v="18"/>
    <x v="0"/>
    <n v="125305682512"/>
    <n v="98306.87"/>
    <n v="11647618.52"/>
    <x v="0"/>
    <m/>
    <m/>
    <n v="0"/>
    <n v="-1009"/>
    <n v="-978.73"/>
    <n v="-605.4"/>
    <n v="100899.99999999999"/>
  </r>
  <r>
    <x v="18"/>
    <x v="0"/>
    <n v="124759575161"/>
    <n v="18073.259999999998"/>
    <n v="11665691.779999999"/>
    <x v="0"/>
    <m/>
    <m/>
    <n v="0"/>
    <n v="-185.5"/>
    <n v="-179.94"/>
    <n v="-111.3"/>
    <n v="18549.999999999996"/>
  </r>
  <r>
    <x v="18"/>
    <x v="0"/>
    <n v="124760077545"/>
    <n v="34292.61"/>
    <n v="11699984.390000001"/>
    <x v="0"/>
    <m/>
    <m/>
    <n v="0"/>
    <n v="-363"/>
    <n v="-1426.59"/>
    <n v="-217.8"/>
    <n v="36300"/>
  </r>
  <r>
    <x v="18"/>
    <x v="0"/>
    <n v="124760717875"/>
    <n v="27864.98"/>
    <n v="11727849.369999999"/>
    <x v="0"/>
    <m/>
    <m/>
    <n v="0"/>
    <n v="-286"/>
    <n v="-277.42"/>
    <n v="-171.6"/>
    <n v="28599.999999999996"/>
  </r>
  <r>
    <x v="18"/>
    <x v="0"/>
    <n v="125307583524"/>
    <n v="46084.39"/>
    <n v="11773933.76"/>
    <x v="0"/>
    <m/>
    <m/>
    <n v="0"/>
    <n v="-473"/>
    <n v="-458.81"/>
    <n v="-283.8"/>
    <n v="47300"/>
  </r>
  <r>
    <x v="18"/>
    <x v="0"/>
    <n v="125307924448"/>
    <n v="35367.089999999997"/>
    <n v="11809300.85"/>
    <x v="0"/>
    <m/>
    <m/>
    <n v="0"/>
    <n v="-363"/>
    <n v="-352.11"/>
    <n v="-217.8"/>
    <n v="36300"/>
  </r>
  <r>
    <x v="18"/>
    <x v="0"/>
    <n v="124761305099"/>
    <n v="39459.15"/>
    <n v="11848760"/>
    <x v="0"/>
    <m/>
    <m/>
    <n v="0"/>
    <n v="-405"/>
    <n v="-392.85"/>
    <n v="-243"/>
    <n v="40500"/>
  </r>
  <r>
    <x v="18"/>
    <x v="0"/>
    <n v="124761974987"/>
    <n v="66771.3"/>
    <n v="11915531.300000001"/>
    <x v="0"/>
    <m/>
    <m/>
    <n v="0"/>
    <n v="-690"/>
    <n v="-1124.7"/>
    <n v="-414"/>
    <n v="69000"/>
  </r>
  <r>
    <x v="18"/>
    <x v="0"/>
    <n v="124762161923"/>
    <n v="36843.300000000003"/>
    <n v="11952374.6"/>
    <x v="0"/>
    <m/>
    <m/>
    <n v="0"/>
    <n v="-390"/>
    <n v="-1532.7"/>
    <n v="-234"/>
    <n v="39000"/>
  </r>
  <r>
    <x v="18"/>
    <x v="0"/>
    <n v="124762404115"/>
    <n v="9541.4699999999993"/>
    <n v="11961916.07"/>
    <x v="0"/>
    <m/>
    <m/>
    <n v="0"/>
    <n v="-101"/>
    <n v="-396.93"/>
    <n v="-60.6"/>
    <n v="10100"/>
  </r>
  <r>
    <x v="18"/>
    <x v="0"/>
    <n v="125309426696"/>
    <n v="23675.49"/>
    <n v="11985591.560000001"/>
    <x v="0"/>
    <m/>
    <m/>
    <n v="0"/>
    <n v="-243"/>
    <n v="-235.71"/>
    <n v="-145.80000000000001"/>
    <n v="24300"/>
  </r>
  <r>
    <x v="18"/>
    <x v="0"/>
    <n v="124762545723"/>
    <n v="115640.15"/>
    <n v="12101231.710000001"/>
    <x v="0"/>
    <m/>
    <m/>
    <n v="0"/>
    <n v="-1195"/>
    <n v="-1947.85"/>
    <n v="-717"/>
    <n v="119500"/>
  </r>
  <r>
    <x v="18"/>
    <x v="0"/>
    <n v="125311350634"/>
    <n v="29852.52"/>
    <n v="12131084.23"/>
    <x v="0"/>
    <m/>
    <m/>
    <n v="0"/>
    <n v="-316"/>
    <n v="-1241.8800000000001"/>
    <n v="-189.6"/>
    <n v="31600"/>
  </r>
  <r>
    <x v="18"/>
    <x v="0"/>
    <n v="125311407008"/>
    <n v="5553.51"/>
    <n v="12136637.74"/>
    <x v="0"/>
    <m/>
    <m/>
    <n v="0"/>
    <n v="-57"/>
    <n v="-55.29"/>
    <n v="-34.200000000000003"/>
    <n v="5700"/>
  </r>
  <r>
    <x v="18"/>
    <x v="45"/>
    <n v="125311377394"/>
    <n v="837.04"/>
    <n v="12137474.779999999"/>
    <x v="0"/>
    <m/>
    <m/>
    <n v="-12.83"/>
    <n v="0"/>
    <n v="0"/>
    <n v="-5.13"/>
    <n v="855"/>
  </r>
  <r>
    <x v="3"/>
    <x v="9"/>
    <n v="125738338007"/>
    <n v="-678.94"/>
    <n v="11485278.439999999"/>
    <x v="2"/>
    <n v="-113156.66666666667"/>
    <m/>
    <n v="0"/>
    <n v="0"/>
    <n v="0"/>
    <n v="-678.94"/>
    <n v="-678.94"/>
  </r>
  <r>
    <x v="19"/>
    <x v="9"/>
    <n v="125859839609"/>
    <n v="-1691.28"/>
    <n v="9393566.8300000001"/>
    <x v="2"/>
    <n v="-281880"/>
    <m/>
    <n v="0"/>
    <n v="0"/>
    <n v="0"/>
    <n v="-1691.28"/>
    <n v="-1691.28"/>
  </r>
  <r>
    <x v="19"/>
    <x v="9"/>
    <n v="126401610954"/>
    <n v="-6297.87"/>
    <n v="10237984.57"/>
    <x v="2"/>
    <n v="-1049645"/>
    <m/>
    <n v="0"/>
    <n v="0"/>
    <n v="0"/>
    <n v="-6297.87"/>
    <n v="-6297.87"/>
  </r>
  <r>
    <x v="13"/>
    <x v="0"/>
    <n v="124767314759"/>
    <n v="32833.910000000003"/>
    <n v="12170308.689999999"/>
    <x v="0"/>
    <m/>
    <m/>
    <n v="0"/>
    <n v="-337"/>
    <n v="-326.89"/>
    <n v="-202.2"/>
    <n v="33700"/>
  </r>
  <r>
    <x v="13"/>
    <x v="46"/>
    <n v="124767259737"/>
    <n v="3299.23"/>
    <n v="12173607.92"/>
    <x v="0"/>
    <m/>
    <m/>
    <n v="-50.55"/>
    <n v="0"/>
    <n v="0"/>
    <n v="-20.22"/>
    <n v="3370"/>
  </r>
  <r>
    <x v="13"/>
    <x v="0"/>
    <n v="124767413713"/>
    <n v="9743"/>
    <n v="12183350.92"/>
    <x v="0"/>
    <m/>
    <m/>
    <n v="0"/>
    <n v="-100"/>
    <n v="-97"/>
    <n v="-60"/>
    <n v="10000"/>
  </r>
  <r>
    <x v="13"/>
    <x v="0"/>
    <n v="124767429929"/>
    <n v="69272.73"/>
    <n v="12252623.65"/>
    <x v="0"/>
    <m/>
    <m/>
    <n v="0"/>
    <n v="-711"/>
    <n v="-689.67"/>
    <n v="-426.6"/>
    <n v="71100"/>
  </r>
  <r>
    <x v="13"/>
    <x v="0"/>
    <n v="125314451784"/>
    <n v="14127.35"/>
    <n v="12266751"/>
    <x v="0"/>
    <m/>
    <m/>
    <n v="0"/>
    <n v="-145"/>
    <n v="-140.65"/>
    <n v="-87"/>
    <n v="14500"/>
  </r>
  <r>
    <x v="13"/>
    <x v="0"/>
    <n v="124768684947"/>
    <n v="18998.849999999999"/>
    <n v="12285749.85"/>
    <x v="0"/>
    <m/>
    <m/>
    <n v="0"/>
    <n v="-195"/>
    <n v="-189.15"/>
    <n v="-117"/>
    <n v="19500"/>
  </r>
  <r>
    <x v="13"/>
    <x v="0"/>
    <n v="125315557302"/>
    <n v="7599.54"/>
    <n v="12293349.390000001"/>
    <x v="0"/>
    <m/>
    <m/>
    <n v="0"/>
    <n v="-78"/>
    <n v="-75.66"/>
    <n v="-46.8"/>
    <n v="7800"/>
  </r>
  <r>
    <x v="13"/>
    <x v="47"/>
    <n v="125315565192"/>
    <n v="763.62"/>
    <n v="12294113.01"/>
    <x v="0"/>
    <m/>
    <m/>
    <n v="-11.7"/>
    <n v="0"/>
    <n v="0"/>
    <n v="-4.68"/>
    <n v="780"/>
  </r>
  <r>
    <x v="19"/>
    <x v="9"/>
    <n v="126403126956"/>
    <n v="-3345.01"/>
    <n v="9677138.1099999994"/>
    <x v="2"/>
    <n v="-557501.66666666674"/>
    <m/>
    <n v="0"/>
    <n v="0"/>
    <n v="0"/>
    <n v="-3345.01"/>
    <n v="-3345.01"/>
  </r>
  <r>
    <x v="20"/>
    <x v="9"/>
    <n v="125988349795"/>
    <n v="-1208.51"/>
    <n v="9190940.8100000005"/>
    <x v="2"/>
    <n v="-201418.33333333331"/>
    <m/>
    <n v="0"/>
    <n v="0"/>
    <n v="0"/>
    <n v="-1208.51"/>
    <n v="-1208.51"/>
  </r>
  <r>
    <x v="20"/>
    <x v="9"/>
    <n v="126006760321"/>
    <n v="-6317.72"/>
    <n v="7901089.7999999998"/>
    <x v="2"/>
    <n v="-1052953.3333333333"/>
    <m/>
    <n v="0"/>
    <n v="0"/>
    <n v="0"/>
    <n v="-6317.72"/>
    <n v="-6317.72"/>
  </r>
  <r>
    <x v="20"/>
    <x v="9"/>
    <n v="126550128384"/>
    <n v="-717.96"/>
    <n v="9070562.0199999996"/>
    <x v="2"/>
    <n v="-119660"/>
    <m/>
    <n v="0"/>
    <n v="0"/>
    <n v="0"/>
    <n v="-717.96"/>
    <n v="-717.96"/>
  </r>
  <r>
    <x v="20"/>
    <x v="9"/>
    <n v="126556131568"/>
    <n v="-657.26"/>
    <n v="8960361.6199999992"/>
    <x v="2"/>
    <n v="-109543.33333333333"/>
    <m/>
    <n v="0"/>
    <n v="0"/>
    <n v="0"/>
    <n v="-657.26"/>
    <n v="-657.26"/>
  </r>
  <r>
    <x v="4"/>
    <x v="9"/>
    <n v="126237032063"/>
    <n v="-349.67"/>
    <n v="8796474.2899999991"/>
    <x v="2"/>
    <n v="-58278.333333333336"/>
    <m/>
    <n v="0"/>
    <n v="0"/>
    <n v="0"/>
    <n v="-349.67"/>
    <n v="-349.67"/>
  </r>
  <r>
    <x v="4"/>
    <x v="9"/>
    <n v="126238042751"/>
    <n v="-1187.28"/>
    <n v="8597407.0399999991"/>
    <x v="2"/>
    <n v="-197880"/>
    <m/>
    <n v="0"/>
    <n v="0"/>
    <n v="0"/>
    <n v="-1187.28"/>
    <n v="-1187.28"/>
  </r>
  <r>
    <x v="4"/>
    <x v="9"/>
    <n v="126240876525"/>
    <n v="-897.44"/>
    <n v="7953996.0999999996"/>
    <x v="2"/>
    <n v="-149573.33333333334"/>
    <m/>
    <n v="0"/>
    <n v="0"/>
    <n v="0"/>
    <n v="-897.44"/>
    <n v="-897.44"/>
  </r>
  <r>
    <x v="4"/>
    <x v="9"/>
    <n v="126250049639"/>
    <n v="-2383.4899999999998"/>
    <n v="7554365.0099999998"/>
    <x v="2"/>
    <n v="-397248.33333333331"/>
    <m/>
    <n v="0"/>
    <n v="0"/>
    <n v="0"/>
    <n v="-2383.4899999999998"/>
    <n v="-2383.4899999999998"/>
  </r>
  <r>
    <x v="4"/>
    <x v="9"/>
    <n v="126770445030"/>
    <n v="-544.5"/>
    <n v="9014336.3599999994"/>
    <x v="2"/>
    <n v="-90750"/>
    <m/>
    <n v="0"/>
    <n v="0"/>
    <n v="0"/>
    <n v="-544.5"/>
    <n v="-544.5"/>
  </r>
  <r>
    <x v="15"/>
    <x v="0"/>
    <n v="125152888873"/>
    <n v="6820.1"/>
    <n v="8277595.3200000003"/>
    <x v="0"/>
    <m/>
    <m/>
    <n v="0"/>
    <n v="-70"/>
    <n v="-67.900000000000006"/>
    <n v="-42"/>
    <n v="7000"/>
  </r>
  <r>
    <x v="15"/>
    <x v="0"/>
    <n v="125156581215"/>
    <n v="7794.4"/>
    <n v="8285389.7199999997"/>
    <x v="0"/>
    <m/>
    <m/>
    <n v="0"/>
    <n v="-80"/>
    <n v="-77.599999999999994"/>
    <n v="-48"/>
    <n v="8000"/>
  </r>
  <r>
    <x v="15"/>
    <x v="0"/>
    <n v="125707492856"/>
    <n v="14029.92"/>
    <n v="8299419.6399999997"/>
    <x v="0"/>
    <m/>
    <m/>
    <n v="0"/>
    <n v="-144"/>
    <n v="-139.68"/>
    <n v="-86.4"/>
    <n v="14400"/>
  </r>
  <r>
    <x v="15"/>
    <x v="0"/>
    <n v="125709845758"/>
    <n v="15978.52"/>
    <n v="8315398.1600000001"/>
    <x v="0"/>
    <m/>
    <m/>
    <n v="0"/>
    <n v="-164"/>
    <n v="-159.08000000000001"/>
    <n v="-98.4"/>
    <n v="16400"/>
  </r>
  <r>
    <x v="15"/>
    <x v="0"/>
    <n v="125161425019"/>
    <n v="17050.25"/>
    <n v="8332448.4100000001"/>
    <x v="0"/>
    <m/>
    <m/>
    <n v="0"/>
    <n v="-175"/>
    <n v="-169.75"/>
    <n v="-105"/>
    <n v="17500"/>
  </r>
  <r>
    <x v="15"/>
    <x v="0"/>
    <n v="125712931478"/>
    <n v="5163.79"/>
    <n v="8337612.2000000002"/>
    <x v="0"/>
    <m/>
    <m/>
    <n v="0"/>
    <n v="-53"/>
    <n v="-51.41"/>
    <n v="-31.8"/>
    <n v="5300"/>
  </r>
  <r>
    <x v="15"/>
    <x v="48"/>
    <n v="125164003625"/>
    <n v="259.43"/>
    <n v="8337871.6299999999"/>
    <x v="0"/>
    <m/>
    <m/>
    <n v="-3.98"/>
    <n v="0"/>
    <n v="0"/>
    <n v="-1.59"/>
    <n v="265"/>
  </r>
  <r>
    <x v="15"/>
    <x v="0"/>
    <n v="125167691185"/>
    <n v="14359.44"/>
    <n v="8352231.0700000003"/>
    <x v="0"/>
    <m/>
    <m/>
    <n v="0"/>
    <n v="-152"/>
    <n v="-597.36"/>
    <n v="-91.2"/>
    <n v="15200.000000000002"/>
  </r>
  <r>
    <x v="15"/>
    <x v="0"/>
    <n v="125168194775"/>
    <n v="14419.64"/>
    <n v="8366650.71"/>
    <x v="0"/>
    <m/>
    <m/>
    <n v="0"/>
    <n v="-148"/>
    <n v="-143.56"/>
    <n v="-88.8"/>
    <n v="14799.999999999998"/>
  </r>
  <r>
    <x v="15"/>
    <x v="0"/>
    <n v="125719555728"/>
    <n v="9742.99"/>
    <n v="8376393.7000000002"/>
    <x v="0"/>
    <m/>
    <m/>
    <n v="0"/>
    <n v="-100"/>
    <n v="-97"/>
    <n v="-60"/>
    <n v="9999.99"/>
  </r>
  <r>
    <x v="15"/>
    <x v="0"/>
    <n v="125721391454"/>
    <n v="9548.14"/>
    <n v="8385941.8399999999"/>
    <x v="0"/>
    <m/>
    <m/>
    <n v="0"/>
    <n v="-98"/>
    <n v="-95.06"/>
    <n v="-58.8"/>
    <n v="9799.9999999999982"/>
  </r>
  <r>
    <x v="15"/>
    <x v="0"/>
    <n v="125173149657"/>
    <n v="42186.22"/>
    <n v="8314765.0599999996"/>
    <x v="0"/>
    <m/>
    <m/>
    <n v="0"/>
    <n v="-432.99"/>
    <n v="-420"/>
    <n v="-259.79000000000002"/>
    <n v="43299"/>
  </r>
  <r>
    <x v="15"/>
    <x v="0"/>
    <n v="125174559711"/>
    <n v="28644.42"/>
    <n v="8343409.4800000004"/>
    <x v="0"/>
    <m/>
    <m/>
    <n v="0"/>
    <n v="-294"/>
    <n v="-285.18"/>
    <n v="-176.4"/>
    <n v="29400"/>
  </r>
  <r>
    <x v="15"/>
    <x v="49"/>
    <n v="125174633141"/>
    <n v="1439.13"/>
    <n v="8344848.6100000003"/>
    <x v="0"/>
    <m/>
    <m/>
    <n v="-22.05"/>
    <n v="0"/>
    <n v="0"/>
    <n v="-8.82"/>
    <n v="1470"/>
  </r>
  <r>
    <x v="15"/>
    <x v="0"/>
    <n v="125723665590"/>
    <n v="33158.97"/>
    <n v="8378007.5800000001"/>
    <x v="0"/>
    <m/>
    <m/>
    <n v="0"/>
    <n v="-351"/>
    <n v="-1379.43"/>
    <n v="-210.6"/>
    <n v="35100"/>
  </r>
  <r>
    <x v="15"/>
    <x v="0"/>
    <n v="125174877007"/>
    <n v="50027.19"/>
    <n v="8428034.7699999996"/>
    <x v="0"/>
    <m/>
    <m/>
    <n v="0"/>
    <n v="-516.97"/>
    <n v="-842.66"/>
    <n v="-310.18"/>
    <n v="51697.000000000007"/>
  </r>
  <r>
    <x v="15"/>
    <x v="0"/>
    <n v="125726480542"/>
    <n v="4629.03"/>
    <n v="8432663.8000000007"/>
    <x v="0"/>
    <m/>
    <m/>
    <n v="0"/>
    <n v="-49"/>
    <n v="-192.57"/>
    <n v="-29.4"/>
    <n v="4899.9999999999991"/>
  </r>
  <r>
    <x v="15"/>
    <x v="0"/>
    <n v="125726680184"/>
    <n v="28155.32"/>
    <n v="8460819.1199999992"/>
    <x v="0"/>
    <m/>
    <m/>
    <n v="0"/>
    <n v="-288.98"/>
    <n v="-280.31"/>
    <n v="-173.39"/>
    <n v="28898"/>
  </r>
  <r>
    <x v="15"/>
    <x v="50"/>
    <n v="125177663781"/>
    <n v="1413.68"/>
    <n v="8462232.8000000007"/>
    <x v="0"/>
    <m/>
    <m/>
    <n v="-21.66"/>
    <n v="0"/>
    <n v="0"/>
    <n v="-8.66"/>
    <n v="1444.0000000000002"/>
  </r>
  <r>
    <x v="15"/>
    <x v="0"/>
    <n v="125177806895"/>
    <n v="35756.81"/>
    <n v="8497989.6099999994"/>
    <x v="0"/>
    <m/>
    <m/>
    <n v="0"/>
    <n v="-367"/>
    <n v="-355.99"/>
    <n v="-220.2"/>
    <n v="36699.999999999993"/>
  </r>
  <r>
    <x v="15"/>
    <x v="0"/>
    <n v="125178836433"/>
    <n v="29033.17"/>
    <n v="8527022.7799999993"/>
    <x v="0"/>
    <m/>
    <m/>
    <n v="0"/>
    <n v="-297.99"/>
    <n v="-289.05"/>
    <n v="-178.79"/>
    <n v="29799"/>
  </r>
  <r>
    <x v="15"/>
    <x v="0"/>
    <n v="125727987474"/>
    <n v="1851.17"/>
    <n v="8528873.9499999993"/>
    <x v="0"/>
    <m/>
    <m/>
    <n v="0"/>
    <n v="-19"/>
    <n v="-18.43"/>
    <n v="-11.4"/>
    <n v="1900.0000000000002"/>
  </r>
  <r>
    <x v="15"/>
    <x v="0"/>
    <n v="125728029628"/>
    <n v="35853.269999999997"/>
    <n v="8564727.2200000007"/>
    <x v="0"/>
    <m/>
    <m/>
    <n v="0"/>
    <n v="-367.99"/>
    <n v="-356.95"/>
    <n v="-220.79"/>
    <n v="36798.999999999993"/>
  </r>
  <r>
    <x v="15"/>
    <x v="0"/>
    <n v="125728164766"/>
    <n v="19484.05"/>
    <n v="8584211.2699999996"/>
    <x v="0"/>
    <m/>
    <m/>
    <n v="0"/>
    <n v="-199.98"/>
    <n v="-193.98"/>
    <n v="-119.99"/>
    <n v="19998"/>
  </r>
  <r>
    <x v="15"/>
    <x v="0"/>
    <n v="125728223328"/>
    <n v="39845.949999999997"/>
    <n v="8624057.2200000007"/>
    <x v="0"/>
    <m/>
    <m/>
    <n v="0"/>
    <n v="-408.97"/>
    <n v="-396.7"/>
    <n v="-245.38"/>
    <n v="40896.999999999993"/>
  </r>
  <r>
    <x v="15"/>
    <x v="51"/>
    <n v="125728255084"/>
    <n v="2001.08"/>
    <n v="8626058.3000000007"/>
    <x v="0"/>
    <m/>
    <m/>
    <n v="-30.66"/>
    <n v="0"/>
    <n v="0"/>
    <n v="-12.26"/>
    <n v="2044"/>
  </r>
  <r>
    <x v="15"/>
    <x v="0"/>
    <n v="125179482645"/>
    <n v="59140.01"/>
    <n v="8685198.3100000005"/>
    <x v="0"/>
    <m/>
    <m/>
    <n v="0"/>
    <n v="-607"/>
    <n v="-588.79"/>
    <n v="-364.2"/>
    <n v="60700"/>
  </r>
  <r>
    <x v="15"/>
    <x v="0"/>
    <n v="125728703810"/>
    <n v="38968.1"/>
    <n v="8724166.4100000001"/>
    <x v="0"/>
    <m/>
    <m/>
    <n v="0"/>
    <n v="-399.96"/>
    <n v="-387.96"/>
    <n v="-239.98"/>
    <n v="39996"/>
  </r>
  <r>
    <x v="15"/>
    <x v="0"/>
    <n v="125729220164"/>
    <n v="27572.69"/>
    <n v="8751739.0999999996"/>
    <x v="0"/>
    <m/>
    <m/>
    <n v="0"/>
    <n v="-283"/>
    <n v="-274.51"/>
    <n v="-169.8"/>
    <n v="28299.999999999996"/>
  </r>
  <r>
    <x v="15"/>
    <x v="52"/>
    <n v="125729182866"/>
    <n v="1385.28"/>
    <n v="8753124.3800000008"/>
    <x v="0"/>
    <m/>
    <m/>
    <n v="-21.23"/>
    <n v="0"/>
    <n v="0"/>
    <n v="-8.49"/>
    <n v="1415"/>
  </r>
  <r>
    <x v="15"/>
    <x v="0"/>
    <n v="125729208924"/>
    <n v="42794.91"/>
    <n v="8795919.2899999991"/>
    <x v="0"/>
    <m/>
    <m/>
    <n v="0"/>
    <n v="-453"/>
    <n v="-1780.29"/>
    <n v="-271.8"/>
    <n v="45300.000000000007"/>
  </r>
  <r>
    <x v="15"/>
    <x v="0"/>
    <n v="125729858142"/>
    <n v="40628.31"/>
    <n v="8836547.5999999996"/>
    <x v="0"/>
    <m/>
    <m/>
    <n v="0"/>
    <n v="-417"/>
    <n v="-404.49"/>
    <n v="-250.2"/>
    <n v="41699.999999999993"/>
  </r>
  <r>
    <x v="15"/>
    <x v="0"/>
    <n v="125730284306"/>
    <n v="50563.25"/>
    <n v="8887110.8499999996"/>
    <x v="0"/>
    <m/>
    <m/>
    <n v="0"/>
    <n v="-518.97"/>
    <n v="-503.4"/>
    <n v="-311.38"/>
    <n v="51897"/>
  </r>
  <r>
    <x v="4"/>
    <x v="9"/>
    <n v="126793578000"/>
    <n v="-949.71"/>
    <n v="8855101.9600000009"/>
    <x v="2"/>
    <n v="-158285"/>
    <m/>
    <n v="0"/>
    <n v="0"/>
    <n v="0"/>
    <n v="-949.71"/>
    <n v="-949.71"/>
  </r>
  <r>
    <x v="2"/>
    <x v="9"/>
    <n v="126569211701"/>
    <n v="-30"/>
    <n v="9496996.7799999993"/>
    <x v="2"/>
    <n v="-5000"/>
    <m/>
    <n v="0"/>
    <n v="0"/>
    <n v="0"/>
    <n v="-30"/>
    <n v="-30"/>
  </r>
  <r>
    <x v="2"/>
    <x v="9"/>
    <n v="127124821744"/>
    <n v="-1058.17"/>
    <n v="9811985.4399999995"/>
    <x v="2"/>
    <n v="-176361.66666666669"/>
    <m/>
    <n v="0"/>
    <n v="0"/>
    <n v="0"/>
    <n v="-1058.17"/>
    <n v="-1058.17"/>
  </r>
  <r>
    <x v="21"/>
    <x v="9"/>
    <n v="127363517828"/>
    <n v="-1107.6099999999999"/>
    <n v="7894033.6299999999"/>
    <x v="2"/>
    <n v="-184601.66666666666"/>
    <m/>
    <n v="0"/>
    <n v="0"/>
    <n v="0"/>
    <n v="-1107.6099999999999"/>
    <n v="-1107.6099999999999"/>
  </r>
  <r>
    <x v="21"/>
    <x v="9"/>
    <n v="127365725240"/>
    <n v="-1951.67"/>
    <n v="7566804.0599999996"/>
    <x v="2"/>
    <n v="-325278.33333333331"/>
    <m/>
    <n v="0"/>
    <n v="0"/>
    <n v="0"/>
    <n v="-1951.67"/>
    <n v="-1951.67"/>
  </r>
  <r>
    <x v="22"/>
    <x v="9"/>
    <n v="126932959003"/>
    <n v="-588.54"/>
    <n v="7861428.4699999997"/>
    <x v="2"/>
    <n v="-98089.999999999985"/>
    <m/>
    <n v="0"/>
    <n v="0"/>
    <n v="0"/>
    <n v="-588.54"/>
    <n v="-588.54"/>
  </r>
  <r>
    <x v="23"/>
    <x v="9"/>
    <n v="127087676739"/>
    <n v="-1399.23"/>
    <n v="8002816.9000000004"/>
    <x v="2"/>
    <n v="-233205"/>
    <m/>
    <n v="0"/>
    <n v="0"/>
    <n v="0"/>
    <n v="-1399.23"/>
    <n v="-1399.23"/>
  </r>
  <r>
    <x v="8"/>
    <x v="0"/>
    <n v="125730630344"/>
    <n v="16757.96"/>
    <n v="8903868.8100000005"/>
    <x v="0"/>
    <m/>
    <m/>
    <n v="0"/>
    <n v="-172"/>
    <n v="-166.84"/>
    <n v="-103.2"/>
    <n v="17200"/>
  </r>
  <r>
    <x v="8"/>
    <x v="0"/>
    <n v="125730938612"/>
    <n v="90022.399999999994"/>
    <n v="8993891.2100000009"/>
    <x v="0"/>
    <m/>
    <m/>
    <n v="0"/>
    <n v="-923.97"/>
    <n v="-896.25"/>
    <n v="-554.38"/>
    <n v="92397"/>
  </r>
  <r>
    <x v="8"/>
    <x v="0"/>
    <n v="125182282317"/>
    <n v="63324.63"/>
    <n v="9057215.8399999999"/>
    <x v="0"/>
    <m/>
    <m/>
    <n v="0"/>
    <n v="-649.95000000000005"/>
    <n v="-630.45000000000005"/>
    <n v="-389.97"/>
    <n v="64994.999999999993"/>
  </r>
  <r>
    <x v="8"/>
    <x v="53"/>
    <n v="125731139762"/>
    <n v="6362.52"/>
    <n v="9063578.3599999994"/>
    <x v="0"/>
    <m/>
    <m/>
    <n v="-97.49"/>
    <n v="0"/>
    <n v="0"/>
    <n v="-38.99"/>
    <n v="6499"/>
  </r>
  <r>
    <x v="8"/>
    <x v="0"/>
    <n v="125182469271"/>
    <n v="18892.11"/>
    <n v="9082470.4700000007"/>
    <x v="0"/>
    <m/>
    <m/>
    <n v="0"/>
    <n v="-199.98"/>
    <n v="-785.92"/>
    <n v="-119.99"/>
    <n v="19998"/>
  </r>
  <r>
    <x v="8"/>
    <x v="0"/>
    <n v="125182626663"/>
    <n v="33513.97"/>
    <n v="9115984.4399999995"/>
    <x v="0"/>
    <m/>
    <m/>
    <n v="0"/>
    <n v="-343.98"/>
    <n v="-333.66"/>
    <n v="-206.39"/>
    <n v="34398.000000000007"/>
  </r>
  <r>
    <x v="8"/>
    <x v="0"/>
    <n v="125731690258"/>
    <n v="40930.81"/>
    <n v="9156915.25"/>
    <x v="0"/>
    <m/>
    <m/>
    <n v="0"/>
    <n v="-422.97"/>
    <n v="-689.44"/>
    <n v="-253.78"/>
    <n v="42297"/>
  </r>
  <r>
    <x v="8"/>
    <x v="0"/>
    <n v="125732575486"/>
    <n v="34763.07"/>
    <n v="9191678.3200000003"/>
    <x v="0"/>
    <m/>
    <m/>
    <n v="0"/>
    <n v="-367.98"/>
    <n v="-1446.16"/>
    <n v="-220.79"/>
    <n v="36798.000000000007"/>
  </r>
  <r>
    <x v="8"/>
    <x v="0"/>
    <n v="125732657942"/>
    <n v="61184.09"/>
    <n v="9252862.4100000001"/>
    <x v="0"/>
    <m/>
    <m/>
    <n v="0"/>
    <n v="-627.98"/>
    <n v="-609.14"/>
    <n v="-376.79"/>
    <n v="62798"/>
  </r>
  <r>
    <x v="8"/>
    <x v="0"/>
    <n v="125734498538"/>
    <n v="5163.79"/>
    <n v="9258026.1999999993"/>
    <x v="0"/>
    <m/>
    <m/>
    <n v="0"/>
    <n v="-53"/>
    <n v="-51.41"/>
    <n v="-31.8"/>
    <n v="5300"/>
  </r>
  <r>
    <x v="8"/>
    <x v="54"/>
    <n v="125185385327"/>
    <n v="259.43"/>
    <n v="9258285.6300000008"/>
    <x v="0"/>
    <m/>
    <m/>
    <n v="-3.98"/>
    <n v="0"/>
    <n v="0"/>
    <n v="-1.59"/>
    <n v="265"/>
  </r>
  <r>
    <x v="8"/>
    <x v="0"/>
    <n v="125734695008"/>
    <n v="26829.48"/>
    <n v="9285115.1099999994"/>
    <x v="0"/>
    <m/>
    <m/>
    <n v="0"/>
    <n v="-284"/>
    <n v="-1116.1199999999999"/>
    <n v="-170.4"/>
    <n v="28400"/>
  </r>
  <r>
    <x v="8"/>
    <x v="0"/>
    <n v="125186162773"/>
    <n v="10327.58"/>
    <n v="9295442.6899999995"/>
    <x v="0"/>
    <m/>
    <m/>
    <n v="0"/>
    <n v="-106"/>
    <n v="-102.82"/>
    <n v="-63.6"/>
    <n v="10600"/>
  </r>
  <r>
    <x v="8"/>
    <x v="0"/>
    <n v="125186206585"/>
    <n v="27280.400000000001"/>
    <n v="9322723.0899999999"/>
    <x v="0"/>
    <m/>
    <m/>
    <n v="0"/>
    <n v="-280"/>
    <n v="-271.60000000000002"/>
    <n v="-168"/>
    <n v="28000"/>
  </r>
  <r>
    <x v="8"/>
    <x v="0"/>
    <n v="125186249815"/>
    <n v="29229"/>
    <n v="9351952.0899999999"/>
    <x v="0"/>
    <m/>
    <m/>
    <n v="0"/>
    <n v="-300"/>
    <n v="-291"/>
    <n v="-180"/>
    <n v="30000"/>
  </r>
  <r>
    <x v="8"/>
    <x v="0"/>
    <n v="125186455061"/>
    <n v="17634.830000000002"/>
    <n v="9369586.9199999999"/>
    <x v="0"/>
    <m/>
    <m/>
    <n v="0"/>
    <n v="-181"/>
    <n v="-175.57"/>
    <n v="-108.6"/>
    <n v="18100"/>
  </r>
  <r>
    <x v="8"/>
    <x v="0"/>
    <n v="125735533144"/>
    <n v="15199.08"/>
    <n v="9384786"/>
    <x v="0"/>
    <m/>
    <m/>
    <n v="0"/>
    <n v="-156"/>
    <n v="-151.32"/>
    <n v="-93.6"/>
    <n v="15600"/>
  </r>
  <r>
    <x v="8"/>
    <x v="0"/>
    <n v="125735529498"/>
    <n v="7794.4"/>
    <n v="9392580.4000000004"/>
    <x v="0"/>
    <m/>
    <m/>
    <n v="0"/>
    <n v="-80"/>
    <n v="-77.599999999999994"/>
    <n v="-48"/>
    <n v="8000"/>
  </r>
  <r>
    <x v="8"/>
    <x v="0"/>
    <n v="125735896318"/>
    <n v="36536.25"/>
    <n v="9429116.6500000004"/>
    <x v="0"/>
    <m/>
    <m/>
    <n v="0"/>
    <n v="-375"/>
    <n v="-363.75"/>
    <n v="-225"/>
    <n v="37500"/>
  </r>
  <r>
    <x v="8"/>
    <x v="55"/>
    <n v="125186681353"/>
    <n v="3671.25"/>
    <n v="9432787.9000000004"/>
    <x v="0"/>
    <m/>
    <m/>
    <n v="-56.25"/>
    <n v="0"/>
    <n v="0"/>
    <n v="-22.5"/>
    <n v="3750"/>
  </r>
  <r>
    <x v="8"/>
    <x v="0"/>
    <n v="125296798273"/>
    <n v="8184.12"/>
    <n v="7557389.9199999999"/>
    <x v="0"/>
    <m/>
    <m/>
    <n v="0"/>
    <n v="-84"/>
    <n v="-81.48"/>
    <n v="-50.4"/>
    <n v="8399.9999999999982"/>
  </r>
  <r>
    <x v="8"/>
    <x v="0"/>
    <n v="125846766732"/>
    <n v="10717.3"/>
    <n v="7568107.2199999997"/>
    <x v="0"/>
    <m/>
    <m/>
    <n v="0"/>
    <n v="-110"/>
    <n v="-106.7"/>
    <n v="-66"/>
    <n v="11000"/>
  </r>
  <r>
    <x v="8"/>
    <x v="56"/>
    <n v="125297082869"/>
    <n v="538.45000000000005"/>
    <n v="7568645.6699999999"/>
    <x v="0"/>
    <m/>
    <m/>
    <n v="-8.25"/>
    <n v="0"/>
    <n v="0"/>
    <n v="-3.3"/>
    <n v="550"/>
  </r>
  <r>
    <x v="8"/>
    <x v="0"/>
    <n v="125847517582"/>
    <n v="22408.9"/>
    <n v="7591054.5700000003"/>
    <x v="0"/>
    <m/>
    <m/>
    <n v="0"/>
    <n v="-230"/>
    <n v="-223.1"/>
    <n v="-138"/>
    <n v="23000"/>
  </r>
  <r>
    <x v="8"/>
    <x v="0"/>
    <n v="125298516019"/>
    <n v="33914.730000000003"/>
    <n v="7624969.2999999998"/>
    <x v="0"/>
    <m/>
    <m/>
    <n v="0"/>
    <n v="-359"/>
    <n v="-1410.87"/>
    <n v="-215.4"/>
    <n v="35900.000000000007"/>
  </r>
  <r>
    <x v="8"/>
    <x v="0"/>
    <n v="125851439308"/>
    <n v="8378.98"/>
    <n v="7633348.2800000003"/>
    <x v="0"/>
    <m/>
    <m/>
    <n v="0"/>
    <n v="-86"/>
    <n v="-83.42"/>
    <n v="-51.6"/>
    <n v="8600"/>
  </r>
  <r>
    <x v="8"/>
    <x v="0"/>
    <n v="125851618468"/>
    <n v="4189.49"/>
    <n v="7637537.7699999996"/>
    <x v="0"/>
    <m/>
    <m/>
    <n v="0"/>
    <n v="-43"/>
    <n v="-41.71"/>
    <n v="-25.8"/>
    <n v="4300"/>
  </r>
  <r>
    <x v="8"/>
    <x v="0"/>
    <n v="125302111081"/>
    <n v="6820.1"/>
    <n v="7644357.8700000001"/>
    <x v="0"/>
    <m/>
    <m/>
    <n v="0"/>
    <n v="-70"/>
    <n v="-67.900000000000006"/>
    <n v="-42"/>
    <n v="7000"/>
  </r>
  <r>
    <x v="8"/>
    <x v="0"/>
    <n v="125852041418"/>
    <n v="4062.21"/>
    <n v="7648420.0800000001"/>
    <x v="0"/>
    <m/>
    <m/>
    <n v="0"/>
    <n v="-43"/>
    <n v="-168.99"/>
    <n v="-25.8"/>
    <n v="4300"/>
  </r>
  <r>
    <x v="8"/>
    <x v="0"/>
    <n v="125852449818"/>
    <n v="3410.05"/>
    <n v="7651830.1299999999"/>
    <x v="0"/>
    <m/>
    <m/>
    <n v="0"/>
    <n v="-35"/>
    <n v="-33.950000000000003"/>
    <n v="-21"/>
    <n v="3500"/>
  </r>
  <r>
    <x v="8"/>
    <x v="57"/>
    <n v="125852501254"/>
    <n v="513.97"/>
    <n v="7652344.0999999996"/>
    <x v="0"/>
    <m/>
    <m/>
    <n v="-7.88"/>
    <n v="0"/>
    <n v="0"/>
    <n v="-3.15"/>
    <n v="525"/>
  </r>
  <r>
    <x v="8"/>
    <x v="0"/>
    <n v="125852727536"/>
    <n v="28341"/>
    <n v="7680685.0999999996"/>
    <x v="0"/>
    <m/>
    <m/>
    <n v="0"/>
    <n v="-300"/>
    <n v="-1179"/>
    <n v="-180"/>
    <n v="30000"/>
  </r>
  <r>
    <x v="8"/>
    <x v="0"/>
    <n v="125853449760"/>
    <n v="8322.2199999999993"/>
    <n v="7689007.3200000003"/>
    <x v="0"/>
    <m/>
    <m/>
    <n v="0"/>
    <n v="-86"/>
    <n v="-140.18"/>
    <n v="-51.6"/>
    <n v="8600"/>
  </r>
  <r>
    <x v="8"/>
    <x v="0"/>
    <n v="125304094253"/>
    <n v="3799.77"/>
    <n v="7692807.0899999999"/>
    <x v="0"/>
    <m/>
    <m/>
    <n v="0"/>
    <n v="-39"/>
    <n v="-37.83"/>
    <n v="-23.4"/>
    <n v="3900"/>
  </r>
  <r>
    <x v="8"/>
    <x v="0"/>
    <n v="125304141263"/>
    <n v="21337.17"/>
    <n v="7714144.2599999998"/>
    <x v="0"/>
    <m/>
    <m/>
    <n v="0"/>
    <n v="-219"/>
    <n v="-212.43"/>
    <n v="-131.4"/>
    <n v="21900"/>
  </r>
  <r>
    <x v="8"/>
    <x v="0"/>
    <n v="125304398269"/>
    <n v="26964.63"/>
    <n v="7741108.8899999997"/>
    <x v="0"/>
    <m/>
    <m/>
    <n v="0"/>
    <n v="-297"/>
    <n v="-2260.17"/>
    <n v="-178.2"/>
    <n v="29700.000000000004"/>
  </r>
  <r>
    <x v="8"/>
    <x v="0"/>
    <n v="125854396652"/>
    <n v="20594.46"/>
    <n v="7761703.3499999996"/>
    <x v="0"/>
    <m/>
    <m/>
    <n v="0"/>
    <n v="-218"/>
    <n v="-856.74"/>
    <n v="-130.80000000000001"/>
    <n v="21800"/>
  </r>
  <r>
    <x v="8"/>
    <x v="0"/>
    <n v="125305225765"/>
    <n v="2143.46"/>
    <n v="7763846.8099999996"/>
    <x v="0"/>
    <m/>
    <m/>
    <n v="0"/>
    <n v="-22"/>
    <n v="-21.34"/>
    <n v="-13.2"/>
    <n v="2200"/>
  </r>
  <r>
    <x v="8"/>
    <x v="0"/>
    <n v="125855330618"/>
    <n v="53489.07"/>
    <n v="7817335.8799999999"/>
    <x v="0"/>
    <m/>
    <m/>
    <n v="0"/>
    <n v="-549"/>
    <n v="-532.53"/>
    <n v="-329.4"/>
    <n v="54900"/>
  </r>
  <r>
    <x v="8"/>
    <x v="0"/>
    <n v="125855413332"/>
    <n v="7368.66"/>
    <n v="7824704.54"/>
    <x v="0"/>
    <m/>
    <m/>
    <n v="0"/>
    <n v="-78"/>
    <n v="-306.54000000000002"/>
    <n v="-46.8"/>
    <n v="7800"/>
  </r>
  <r>
    <x v="8"/>
    <x v="0"/>
    <n v="125306671969"/>
    <n v="17551.82"/>
    <n v="7842256.3600000003"/>
    <x v="0"/>
    <m/>
    <m/>
    <n v="0"/>
    <n v="-187"/>
    <n v="-848.98"/>
    <n v="-112.2"/>
    <n v="18700"/>
  </r>
  <r>
    <x v="8"/>
    <x v="0"/>
    <n v="125307224295"/>
    <n v="4189.49"/>
    <n v="7846445.8499999996"/>
    <x v="0"/>
    <m/>
    <m/>
    <n v="0"/>
    <n v="-43"/>
    <n v="-41.71"/>
    <n v="-25.8"/>
    <n v="4300"/>
  </r>
  <r>
    <x v="8"/>
    <x v="0"/>
    <n v="125307313189"/>
    <n v="4189.49"/>
    <n v="7850635.3399999999"/>
    <x v="0"/>
    <m/>
    <m/>
    <n v="0"/>
    <n v="-43"/>
    <n v="-41.71"/>
    <n v="-25.8"/>
    <n v="4300"/>
  </r>
  <r>
    <x v="8"/>
    <x v="0"/>
    <n v="125307881689"/>
    <n v="4189.49"/>
    <n v="7854824.8300000001"/>
    <x v="0"/>
    <m/>
    <m/>
    <n v="0"/>
    <n v="-43"/>
    <n v="-41.71"/>
    <n v="-25.8"/>
    <n v="4300"/>
  </r>
  <r>
    <x v="8"/>
    <x v="0"/>
    <n v="125858046938"/>
    <n v="8378.98"/>
    <n v="7863203.8099999996"/>
    <x v="0"/>
    <m/>
    <m/>
    <n v="0"/>
    <n v="-86"/>
    <n v="-83.42"/>
    <n v="-51.6"/>
    <n v="8600"/>
  </r>
  <r>
    <x v="8"/>
    <x v="0"/>
    <n v="125858321940"/>
    <n v="8573.84"/>
    <n v="7871777.6500000004"/>
    <x v="0"/>
    <m/>
    <m/>
    <n v="0"/>
    <n v="-88"/>
    <n v="-85.36"/>
    <n v="-52.8"/>
    <n v="8800"/>
  </r>
  <r>
    <x v="8"/>
    <x v="0"/>
    <n v="125858862480"/>
    <n v="5163.79"/>
    <n v="7876941.4400000004"/>
    <x v="0"/>
    <m/>
    <m/>
    <n v="0"/>
    <n v="-53"/>
    <n v="-51.41"/>
    <n v="-31.8"/>
    <n v="5300"/>
  </r>
  <r>
    <x v="8"/>
    <x v="58"/>
    <n v="125858898284"/>
    <n v="259.43"/>
    <n v="7877200.8700000001"/>
    <x v="0"/>
    <m/>
    <m/>
    <n v="-3.98"/>
    <n v="0"/>
    <n v="0"/>
    <n v="-1.59"/>
    <n v="265"/>
  </r>
  <r>
    <x v="8"/>
    <x v="0"/>
    <n v="125860218818"/>
    <n v="27670.12"/>
    <n v="7904870.9900000002"/>
    <x v="0"/>
    <m/>
    <m/>
    <n v="0"/>
    <n v="-284"/>
    <n v="-275.48"/>
    <n v="-170.4"/>
    <n v="28400"/>
  </r>
  <r>
    <x v="8"/>
    <x v="59"/>
    <n v="125860256390"/>
    <n v="1390.18"/>
    <n v="7906261.1699999999"/>
    <x v="0"/>
    <m/>
    <m/>
    <n v="-21.3"/>
    <n v="0"/>
    <n v="0"/>
    <n v="-8.52"/>
    <n v="1420"/>
  </r>
  <r>
    <x v="8"/>
    <x v="0"/>
    <n v="125860330268"/>
    <n v="4189.49"/>
    <n v="7910450.6600000001"/>
    <x v="0"/>
    <m/>
    <m/>
    <n v="0"/>
    <n v="-43"/>
    <n v="-41.71"/>
    <n v="-25.8"/>
    <n v="4300"/>
  </r>
  <r>
    <x v="8"/>
    <x v="0"/>
    <n v="125860494178"/>
    <n v="4871.5"/>
    <n v="7915322.1600000001"/>
    <x v="0"/>
    <m/>
    <m/>
    <n v="0"/>
    <n v="-50"/>
    <n v="-48.5"/>
    <n v="-30"/>
    <n v="5000"/>
  </r>
  <r>
    <x v="8"/>
    <x v="0"/>
    <n v="125310911019"/>
    <n v="4189.49"/>
    <n v="7919511.6500000004"/>
    <x v="0"/>
    <m/>
    <m/>
    <n v="0"/>
    <n v="-43"/>
    <n v="-41.71"/>
    <n v="-25.8"/>
    <n v="4300"/>
  </r>
  <r>
    <x v="8"/>
    <x v="0"/>
    <n v="125311241119"/>
    <n v="8378.98"/>
    <n v="7927890.6299999999"/>
    <x v="0"/>
    <m/>
    <m/>
    <n v="0"/>
    <n v="-86"/>
    <n v="-83.42"/>
    <n v="-51.6"/>
    <n v="8600"/>
  </r>
  <r>
    <x v="8"/>
    <x v="0"/>
    <n v="125311773883"/>
    <n v="18121.98"/>
    <n v="7946012.6100000003"/>
    <x v="0"/>
    <m/>
    <m/>
    <n v="0"/>
    <n v="-186"/>
    <n v="-180.42"/>
    <n v="-111.6"/>
    <n v="18599.999999999996"/>
  </r>
  <r>
    <x v="8"/>
    <x v="0"/>
    <n v="125862584570"/>
    <n v="81548.91"/>
    <n v="8027561.5199999996"/>
    <x v="0"/>
    <m/>
    <m/>
    <n v="0"/>
    <n v="-837"/>
    <n v="-811.89"/>
    <n v="-502.2"/>
    <n v="83700"/>
  </r>
  <r>
    <x v="8"/>
    <x v="0"/>
    <n v="125312890421"/>
    <n v="18043.77"/>
    <n v="8045605.29"/>
    <x v="0"/>
    <m/>
    <m/>
    <n v="0"/>
    <n v="-191"/>
    <n v="-750.63"/>
    <n v="-114.6"/>
    <n v="19100"/>
  </r>
  <r>
    <x v="8"/>
    <x v="0"/>
    <n v="125862675902"/>
    <n v="12710.6"/>
    <n v="8058315.8899999997"/>
    <x v="0"/>
    <m/>
    <m/>
    <n v="0"/>
    <n v="-140"/>
    <n v="-1065.4000000000001"/>
    <n v="-84"/>
    <n v="14000"/>
  </r>
  <r>
    <x v="8"/>
    <x v="0"/>
    <n v="125863448486"/>
    <n v="23480.63"/>
    <n v="8081796.5199999996"/>
    <x v="0"/>
    <m/>
    <m/>
    <n v="0"/>
    <n v="-241"/>
    <n v="-233.77"/>
    <n v="-144.6"/>
    <n v="24100"/>
  </r>
  <r>
    <x v="8"/>
    <x v="60"/>
    <n v="125313726111"/>
    <n v="1179.69"/>
    <n v="8082976.21"/>
    <x v="0"/>
    <m/>
    <m/>
    <n v="-18.079999999999998"/>
    <n v="0"/>
    <n v="0"/>
    <n v="-7.23"/>
    <n v="1205"/>
  </r>
  <r>
    <x v="8"/>
    <x v="0"/>
    <n v="125314398803"/>
    <n v="30982.74"/>
    <n v="8113958.9500000002"/>
    <x v="0"/>
    <m/>
    <m/>
    <n v="0"/>
    <n v="-318"/>
    <n v="-308.45999999999998"/>
    <n v="-190.8"/>
    <n v="31800"/>
  </r>
  <r>
    <x v="8"/>
    <x v="0"/>
    <n v="125864492262"/>
    <n v="13932.49"/>
    <n v="8127891.4400000004"/>
    <x v="0"/>
    <m/>
    <m/>
    <n v="0"/>
    <n v="-143"/>
    <n v="-138.71"/>
    <n v="-85.8"/>
    <n v="14299.999999999998"/>
  </r>
  <r>
    <x v="8"/>
    <x v="0"/>
    <n v="125864705876"/>
    <n v="8124.42"/>
    <n v="8136015.8600000003"/>
    <x v="0"/>
    <m/>
    <m/>
    <n v="0"/>
    <n v="-86"/>
    <n v="-337.98"/>
    <n v="-51.6"/>
    <n v="8600"/>
  </r>
  <r>
    <x v="8"/>
    <x v="0"/>
    <n v="125864911030"/>
    <n v="17439.97"/>
    <n v="8153455.8300000001"/>
    <x v="0"/>
    <m/>
    <m/>
    <n v="0"/>
    <n v="-179"/>
    <n v="-173.63"/>
    <n v="-107.4"/>
    <n v="17900.000000000004"/>
  </r>
  <r>
    <x v="8"/>
    <x v="0"/>
    <n v="125315241639"/>
    <n v="27280.400000000001"/>
    <n v="8180736.2300000004"/>
    <x v="0"/>
    <m/>
    <m/>
    <n v="0"/>
    <n v="-280"/>
    <n v="-271.60000000000002"/>
    <n v="-168"/>
    <n v="28000"/>
  </r>
  <r>
    <x v="8"/>
    <x v="0"/>
    <n v="125315401565"/>
    <n v="8071.96"/>
    <n v="8188808.1900000004"/>
    <x v="0"/>
    <m/>
    <m/>
    <n v="0"/>
    <n v="-86"/>
    <n v="-390.44"/>
    <n v="-51.6"/>
    <n v="8600"/>
  </r>
  <r>
    <x v="8"/>
    <x v="0"/>
    <n v="125315415565"/>
    <n v="54755.66"/>
    <n v="8243563.8499999996"/>
    <x v="0"/>
    <m/>
    <m/>
    <n v="0"/>
    <n v="-562"/>
    <n v="-545.14"/>
    <n v="-337.2"/>
    <n v="56200"/>
  </r>
  <r>
    <x v="8"/>
    <x v="0"/>
    <n v="125315541627"/>
    <n v="12471.04"/>
    <n v="8256034.8899999997"/>
    <x v="0"/>
    <m/>
    <m/>
    <n v="0"/>
    <n v="-128"/>
    <n v="-124.16"/>
    <n v="-76.8"/>
    <n v="12800"/>
  </r>
  <r>
    <x v="8"/>
    <x v="0"/>
    <n v="125865477358"/>
    <n v="15199.08"/>
    <n v="8271233.9699999997"/>
    <x v="0"/>
    <m/>
    <m/>
    <n v="0"/>
    <n v="-156"/>
    <n v="-151.32"/>
    <n v="-93.6"/>
    <n v="15600"/>
  </r>
  <r>
    <x v="8"/>
    <x v="0"/>
    <n v="125865630514"/>
    <n v="6820.1"/>
    <n v="8278054.0700000003"/>
    <x v="0"/>
    <m/>
    <m/>
    <n v="0"/>
    <n v="-70"/>
    <n v="-67.900000000000006"/>
    <n v="-42"/>
    <n v="7000"/>
  </r>
  <r>
    <x v="23"/>
    <x v="9"/>
    <n v="127610741100"/>
    <n v="-7607.4"/>
    <n v="8237420.3899999997"/>
    <x v="2"/>
    <n v="-1267900"/>
    <m/>
    <n v="0"/>
    <n v="0"/>
    <n v="0"/>
    <n v="-7607.4"/>
    <n v="-7607.4"/>
  </r>
  <r>
    <x v="24"/>
    <x v="9"/>
    <n v="127161961407"/>
    <n v="-387.75"/>
    <n v="10077196.83"/>
    <x v="2"/>
    <n v="-64625"/>
    <m/>
    <n v="0"/>
    <n v="0"/>
    <n v="0"/>
    <n v="-387.75"/>
    <n v="-387.75"/>
  </r>
  <r>
    <x v="24"/>
    <x v="9"/>
    <n v="127162354947"/>
    <n v="-1236.3599999999999"/>
    <n v="9869901"/>
    <x v="2"/>
    <n v="-206059.99999999997"/>
    <m/>
    <n v="0"/>
    <n v="0"/>
    <n v="0"/>
    <n v="-1236.3599999999999"/>
    <n v="-1236.3599999999999"/>
  </r>
  <r>
    <x v="24"/>
    <x v="9"/>
    <n v="127163022479"/>
    <n v="-218.19"/>
    <n v="9833317.0399999991"/>
    <x v="2"/>
    <n v="-36365"/>
    <m/>
    <n v="0"/>
    <n v="0"/>
    <n v="0"/>
    <n v="-218.19"/>
    <n v="-218.19"/>
  </r>
  <r>
    <x v="24"/>
    <x v="9"/>
    <n v="127724094526"/>
    <n v="-1128.6500000000001"/>
    <n v="10142208.970000001"/>
    <x v="2"/>
    <n v="-188108.33333333334"/>
    <m/>
    <n v="0"/>
    <n v="0"/>
    <n v="0"/>
    <n v="-1128.6500000000001"/>
    <n v="-1128.6500000000001"/>
  </r>
  <r>
    <x v="7"/>
    <x v="9"/>
    <n v="127373558177"/>
    <n v="-1569.01"/>
    <n v="12257396"/>
    <x v="2"/>
    <n v="-261501.66666666666"/>
    <m/>
    <n v="0"/>
    <n v="0"/>
    <n v="0"/>
    <n v="-1569.01"/>
    <n v="-1569.01"/>
  </r>
  <r>
    <x v="10"/>
    <x v="61"/>
    <n v="124761516066"/>
    <n v="-210343.29"/>
    <n v="9067015.9499999993"/>
    <x v="1"/>
    <n v="-209088.75745526841"/>
    <n v="-1254.532544731599"/>
    <n v="0"/>
    <n v="0"/>
    <n v="0"/>
    <m/>
    <n v="-210343.29"/>
  </r>
  <r>
    <x v="10"/>
    <x v="61"/>
    <n v="124774089426"/>
    <n v="-45239.61"/>
    <n v="9020514.2799999993"/>
    <x v="1"/>
    <n v="-44969.791252485091"/>
    <n v="-269.81874751490977"/>
    <n v="0"/>
    <n v="0"/>
    <n v="0"/>
    <m/>
    <n v="-45239.61"/>
  </r>
  <r>
    <x v="15"/>
    <x v="61"/>
    <n v="125128178537"/>
    <n v="-289725.05"/>
    <n v="8272513.5700000003"/>
    <x v="1"/>
    <n v="-287997.06759443338"/>
    <n v="-1727.9824055666104"/>
    <n v="0"/>
    <n v="0"/>
    <n v="0"/>
    <m/>
    <n v="-289725.05"/>
  </r>
  <r>
    <x v="6"/>
    <x v="0"/>
    <n v="125865890526"/>
    <n v="16368.24"/>
    <n v="8294422.3099999996"/>
    <x v="0"/>
    <m/>
    <m/>
    <n v="0"/>
    <n v="-168"/>
    <n v="-162.96"/>
    <n v="-100.8"/>
    <n v="16799.999999999996"/>
  </r>
  <r>
    <x v="6"/>
    <x v="0"/>
    <n v="125866469482"/>
    <n v="13542.77"/>
    <n v="8307965.0800000001"/>
    <x v="0"/>
    <m/>
    <m/>
    <n v="0"/>
    <n v="-139"/>
    <n v="-134.83000000000001"/>
    <n v="-83.4"/>
    <n v="13900"/>
  </r>
  <r>
    <x v="6"/>
    <x v="0"/>
    <n v="125316809887"/>
    <n v="8378.98"/>
    <n v="8316344.0599999996"/>
    <x v="0"/>
    <m/>
    <m/>
    <n v="0"/>
    <n v="-86"/>
    <n v="-83.42"/>
    <n v="-51.6"/>
    <n v="8600"/>
  </r>
  <r>
    <x v="6"/>
    <x v="0"/>
    <n v="125317118715"/>
    <n v="3799.77"/>
    <n v="8320143.8300000001"/>
    <x v="0"/>
    <m/>
    <m/>
    <n v="0"/>
    <n v="-39"/>
    <n v="-37.83"/>
    <n v="-23.4"/>
    <n v="3900"/>
  </r>
  <r>
    <x v="6"/>
    <x v="0"/>
    <n v="125317119521"/>
    <n v="35127.51"/>
    <n v="8355271.3399999999"/>
    <x v="0"/>
    <m/>
    <m/>
    <n v="0"/>
    <n v="-363"/>
    <n v="-591.69000000000005"/>
    <n v="-217.8"/>
    <n v="36300.000000000007"/>
  </r>
  <r>
    <x v="6"/>
    <x v="0"/>
    <n v="125317739121"/>
    <n v="4189.49"/>
    <n v="8359460.8300000001"/>
    <x v="0"/>
    <m/>
    <m/>
    <n v="0"/>
    <n v="-43"/>
    <n v="-41.71"/>
    <n v="-25.8"/>
    <n v="4300"/>
  </r>
  <r>
    <x v="6"/>
    <x v="0"/>
    <n v="125867689614"/>
    <n v="28644.42"/>
    <n v="8388105.25"/>
    <x v="0"/>
    <m/>
    <m/>
    <n v="0"/>
    <n v="-294"/>
    <n v="-285.18"/>
    <n v="-176.4"/>
    <n v="29400"/>
  </r>
  <r>
    <x v="6"/>
    <x v="0"/>
    <n v="125318140511"/>
    <n v="14614.5"/>
    <n v="8402719.75"/>
    <x v="0"/>
    <m/>
    <m/>
    <n v="0"/>
    <n v="-150"/>
    <n v="-145.5"/>
    <n v="-90"/>
    <n v="15000"/>
  </r>
  <r>
    <x v="6"/>
    <x v="0"/>
    <n v="125318227505"/>
    <n v="8378.98"/>
    <n v="8411098.7300000004"/>
    <x v="0"/>
    <m/>
    <m/>
    <n v="0"/>
    <n v="-86"/>
    <n v="-83.42"/>
    <n v="-51.6"/>
    <n v="8600"/>
  </r>
  <r>
    <x v="6"/>
    <x v="0"/>
    <n v="125868254842"/>
    <n v="8378.98"/>
    <n v="8419477.7100000009"/>
    <x v="0"/>
    <m/>
    <m/>
    <n v="0"/>
    <n v="-86"/>
    <n v="-83.42"/>
    <n v="-51.6"/>
    <n v="8600"/>
  </r>
  <r>
    <x v="6"/>
    <x v="0"/>
    <n v="125318560667"/>
    <n v="29911.01"/>
    <n v="8449388.7200000007"/>
    <x v="0"/>
    <m/>
    <m/>
    <n v="0"/>
    <n v="-307"/>
    <n v="-297.79000000000002"/>
    <n v="-184.2"/>
    <n v="30700"/>
  </r>
  <r>
    <x v="6"/>
    <x v="0"/>
    <n v="125868559084"/>
    <n v="37413.120000000003"/>
    <n v="8486801.8399999999"/>
    <x v="0"/>
    <m/>
    <m/>
    <n v="0"/>
    <n v="-384"/>
    <n v="-372.48"/>
    <n v="-230.4"/>
    <n v="38400.000000000007"/>
  </r>
  <r>
    <x v="6"/>
    <x v="0"/>
    <n v="125318831565"/>
    <n v="16660.53"/>
    <n v="8503462.3699999992"/>
    <x v="0"/>
    <m/>
    <m/>
    <n v="0"/>
    <n v="-171"/>
    <n v="-165.87"/>
    <n v="-102.6"/>
    <n v="17099.999999999996"/>
  </r>
  <r>
    <x v="6"/>
    <x v="0"/>
    <n v="125319036607"/>
    <n v="12568.47"/>
    <n v="8516030.8399999999"/>
    <x v="0"/>
    <m/>
    <m/>
    <n v="0"/>
    <n v="-129"/>
    <n v="-125.13"/>
    <n v="-77.400000000000006"/>
    <n v="12899.999999999998"/>
  </r>
  <r>
    <x v="6"/>
    <x v="0"/>
    <n v="125319017341"/>
    <n v="18024.55"/>
    <n v="8534055.3900000006"/>
    <x v="0"/>
    <m/>
    <m/>
    <n v="0"/>
    <n v="-185"/>
    <n v="-179.45"/>
    <n v="-111"/>
    <n v="18500"/>
  </r>
  <r>
    <x v="6"/>
    <x v="0"/>
    <n v="125869092878"/>
    <n v="7807.94"/>
    <n v="8541863.3300000001"/>
    <x v="0"/>
    <m/>
    <m/>
    <n v="0"/>
    <n v="-86"/>
    <n v="-654.46"/>
    <n v="-51.6"/>
    <n v="8600"/>
  </r>
  <r>
    <x v="6"/>
    <x v="0"/>
    <n v="125869422198"/>
    <n v="79210.59"/>
    <n v="8621073.9199999999"/>
    <x v="0"/>
    <m/>
    <m/>
    <n v="0"/>
    <n v="-813"/>
    <n v="-788.61"/>
    <n v="-487.8"/>
    <n v="81300"/>
  </r>
  <r>
    <x v="6"/>
    <x v="0"/>
    <n v="125869530502"/>
    <n v="91194.48"/>
    <n v="8712268.4000000004"/>
    <x v="0"/>
    <m/>
    <m/>
    <n v="0"/>
    <n v="-936"/>
    <n v="-907.92"/>
    <n v="-561.6"/>
    <n v="93600"/>
  </r>
  <r>
    <x v="6"/>
    <x v="0"/>
    <n v="125869507316"/>
    <n v="27182.97"/>
    <n v="8739451.3699999992"/>
    <x v="0"/>
    <m/>
    <m/>
    <n v="0"/>
    <n v="-279"/>
    <n v="-270.63"/>
    <n v="-167.4"/>
    <n v="27900.000000000004"/>
  </r>
  <r>
    <x v="6"/>
    <x v="0"/>
    <n v="125869681610"/>
    <n v="8378.98"/>
    <n v="8747830.3499999996"/>
    <x v="0"/>
    <m/>
    <m/>
    <n v="0"/>
    <n v="-86"/>
    <n v="-83.42"/>
    <n v="-51.6"/>
    <n v="8600"/>
  </r>
  <r>
    <x v="6"/>
    <x v="0"/>
    <n v="125320055657"/>
    <n v="7444.78"/>
    <n v="8755275.1300000008"/>
    <x v="0"/>
    <m/>
    <m/>
    <n v="0"/>
    <n v="-82"/>
    <n v="-624.02"/>
    <n v="-49.2"/>
    <n v="8200"/>
  </r>
  <r>
    <x v="6"/>
    <x v="0"/>
    <n v="125320457011"/>
    <n v="9447"/>
    <n v="8764722.1300000008"/>
    <x v="0"/>
    <m/>
    <m/>
    <n v="0"/>
    <n v="-100"/>
    <n v="-393"/>
    <n v="-60"/>
    <n v="10000"/>
  </r>
  <r>
    <x v="6"/>
    <x v="0"/>
    <n v="125320564485"/>
    <n v="4539.5"/>
    <n v="8769261.6300000008"/>
    <x v="0"/>
    <m/>
    <m/>
    <n v="0"/>
    <n v="-50"/>
    <n v="-380.5"/>
    <n v="-30"/>
    <n v="5000"/>
  </r>
  <r>
    <x v="6"/>
    <x v="0"/>
    <n v="125870474672"/>
    <n v="43356.35"/>
    <n v="8812617.9800000004"/>
    <x v="0"/>
    <m/>
    <m/>
    <n v="0"/>
    <n v="-445"/>
    <n v="-431.65"/>
    <n v="-267"/>
    <n v="44500"/>
  </r>
  <r>
    <x v="6"/>
    <x v="0"/>
    <n v="125321324087"/>
    <n v="66828.320000000007"/>
    <n v="8879446.3000000007"/>
    <x v="0"/>
    <m/>
    <m/>
    <n v="0"/>
    <n v="-712"/>
    <n v="-3232.48"/>
    <n v="-427.2"/>
    <n v="71200"/>
  </r>
  <r>
    <x v="6"/>
    <x v="0"/>
    <n v="125871368350"/>
    <n v="12763.33"/>
    <n v="8892209.6300000008"/>
    <x v="0"/>
    <m/>
    <m/>
    <n v="0"/>
    <n v="-131"/>
    <n v="-127.07"/>
    <n v="-78.599999999999994"/>
    <n v="13100"/>
  </r>
  <r>
    <x v="6"/>
    <x v="0"/>
    <n v="125871494326"/>
    <n v="30787.88"/>
    <n v="8922997.5099999998"/>
    <x v="0"/>
    <m/>
    <m/>
    <n v="0"/>
    <n v="-316"/>
    <n v="-306.52"/>
    <n v="-189.6"/>
    <n v="31600"/>
  </r>
  <r>
    <x v="6"/>
    <x v="0"/>
    <n v="125871359326"/>
    <n v="22311.47"/>
    <n v="8945308.9800000004"/>
    <x v="0"/>
    <m/>
    <m/>
    <n v="0"/>
    <n v="-229"/>
    <n v="-222.13"/>
    <n v="-137.4"/>
    <n v="22900.000000000004"/>
  </r>
  <r>
    <x v="6"/>
    <x v="0"/>
    <n v="125322062757"/>
    <n v="14419.64"/>
    <n v="8959728.6199999992"/>
    <x v="0"/>
    <m/>
    <m/>
    <n v="0"/>
    <n v="-148"/>
    <n v="-143.56"/>
    <n v="-88.8"/>
    <n v="14799.999999999998"/>
  </r>
  <r>
    <x v="6"/>
    <x v="0"/>
    <n v="125871870980"/>
    <n v="22993.48"/>
    <n v="8982722.0999999996"/>
    <x v="0"/>
    <m/>
    <m/>
    <n v="0"/>
    <n v="-236"/>
    <n v="-228.92"/>
    <n v="-141.6"/>
    <n v="23599.999999999996"/>
  </r>
  <r>
    <x v="6"/>
    <x v="0"/>
    <n v="125322405401"/>
    <n v="8378.98"/>
    <n v="8991101.0800000001"/>
    <x v="0"/>
    <m/>
    <m/>
    <n v="0"/>
    <n v="-86"/>
    <n v="-83.42"/>
    <n v="-51.6"/>
    <n v="8600"/>
  </r>
  <r>
    <x v="6"/>
    <x v="0"/>
    <n v="125322493065"/>
    <n v="6820.1"/>
    <n v="8997921.1799999997"/>
    <x v="0"/>
    <m/>
    <m/>
    <n v="0"/>
    <n v="-70"/>
    <n v="-67.900000000000006"/>
    <n v="-42"/>
    <n v="7000"/>
  </r>
  <r>
    <x v="6"/>
    <x v="0"/>
    <n v="125322736611"/>
    <n v="4189.49"/>
    <n v="9002110.6699999999"/>
    <x v="0"/>
    <m/>
    <m/>
    <n v="0"/>
    <n v="-43"/>
    <n v="-41.71"/>
    <n v="-25.8"/>
    <n v="4300"/>
  </r>
  <r>
    <x v="6"/>
    <x v="62"/>
    <n v="125322493613"/>
    <n v="210.48"/>
    <n v="9002321.1500000004"/>
    <x v="0"/>
    <m/>
    <m/>
    <n v="-3.23"/>
    <n v="0"/>
    <n v="0"/>
    <n v="-1.29"/>
    <n v="214.99999999999997"/>
  </r>
  <r>
    <x v="6"/>
    <x v="0"/>
    <n v="125322503897"/>
    <n v="50541.45"/>
    <n v="9052862.5999999996"/>
    <x v="0"/>
    <m/>
    <m/>
    <n v="0"/>
    <n v="-535"/>
    <n v="-2102.5500000000002"/>
    <n v="-321"/>
    <n v="53500"/>
  </r>
  <r>
    <x v="6"/>
    <x v="0"/>
    <n v="125322888369"/>
    <n v="27670.12"/>
    <n v="9080532.7200000007"/>
    <x v="0"/>
    <m/>
    <m/>
    <n v="0"/>
    <n v="-284"/>
    <n v="-275.48"/>
    <n v="-170.4"/>
    <n v="28400"/>
  </r>
  <r>
    <x v="6"/>
    <x v="0"/>
    <n v="125872587248"/>
    <n v="16143.92"/>
    <n v="9096676.6400000006"/>
    <x v="0"/>
    <m/>
    <m/>
    <n v="0"/>
    <n v="-172"/>
    <n v="-780.88"/>
    <n v="-103.2"/>
    <n v="17200"/>
  </r>
  <r>
    <x v="6"/>
    <x v="0"/>
    <n v="125872758668"/>
    <n v="71708.479999999996"/>
    <n v="9168385.1199999992"/>
    <x v="0"/>
    <m/>
    <m/>
    <n v="0"/>
    <n v="-736"/>
    <n v="-713.92"/>
    <n v="-441.6"/>
    <n v="73600"/>
  </r>
  <r>
    <x v="6"/>
    <x v="0"/>
    <n v="125323011517"/>
    <n v="47253.55"/>
    <n v="9215638.6699999999"/>
    <x v="0"/>
    <m/>
    <m/>
    <n v="0"/>
    <n v="-485"/>
    <n v="-470.45"/>
    <n v="-291"/>
    <n v="48500"/>
  </r>
  <r>
    <x v="6"/>
    <x v="0"/>
    <n v="125427741477"/>
    <n v="12568.47"/>
    <n v="9190982.1199999992"/>
    <x v="0"/>
    <m/>
    <m/>
    <n v="0"/>
    <n v="-129"/>
    <n v="-125.13"/>
    <n v="-77.400000000000006"/>
    <n v="12899.999999999998"/>
  </r>
  <r>
    <x v="6"/>
    <x v="63"/>
    <n v="125979013674"/>
    <n v="631.45000000000005"/>
    <n v="9191613.5700000003"/>
    <x v="0"/>
    <m/>
    <m/>
    <n v="-9.68"/>
    <n v="0"/>
    <n v="0"/>
    <n v="-3.87"/>
    <n v="645"/>
  </r>
  <r>
    <x v="6"/>
    <x v="0"/>
    <n v="125433504737"/>
    <n v="10136.879999999999"/>
    <n v="9201750.4499999993"/>
    <x v="0"/>
    <m/>
    <m/>
    <n v="0"/>
    <n v="-108"/>
    <n v="-490.32"/>
    <n v="-64.8"/>
    <n v="10799.999999999998"/>
  </r>
  <r>
    <x v="6"/>
    <x v="0"/>
    <n v="125433898761"/>
    <n v="34782.51"/>
    <n v="9236532.9600000009"/>
    <x v="0"/>
    <m/>
    <m/>
    <n v="0"/>
    <n v="-357"/>
    <n v="-346.29"/>
    <n v="-214.2"/>
    <n v="35700"/>
  </r>
  <r>
    <x v="6"/>
    <x v="0"/>
    <n v="125437359297"/>
    <n v="3873.27"/>
    <n v="9240406.2300000004"/>
    <x v="0"/>
    <m/>
    <m/>
    <n v="0"/>
    <n v="-41"/>
    <n v="-161.13"/>
    <n v="-24.6"/>
    <n v="4100"/>
  </r>
  <r>
    <x v="6"/>
    <x v="0"/>
    <n v="125437433757"/>
    <n v="11430.87"/>
    <n v="9251837.0999999996"/>
    <x v="0"/>
    <m/>
    <m/>
    <n v="0"/>
    <n v="-121"/>
    <n v="-475.53"/>
    <n v="-72.599999999999994"/>
    <n v="12100.000000000002"/>
  </r>
  <r>
    <x v="6"/>
    <x v="0"/>
    <n v="125437828867"/>
    <n v="8573.84"/>
    <n v="9260410.9399999995"/>
    <x v="0"/>
    <m/>
    <m/>
    <n v="0"/>
    <n v="-88"/>
    <n v="-85.36"/>
    <n v="-52.8"/>
    <n v="8800"/>
  </r>
  <r>
    <x v="6"/>
    <x v="0"/>
    <n v="125437996133"/>
    <n v="24184.32"/>
    <n v="9284595.2599999998"/>
    <x v="0"/>
    <m/>
    <m/>
    <n v="0"/>
    <n v="-256"/>
    <n v="-1006.08"/>
    <n v="-153.6"/>
    <n v="25600"/>
  </r>
  <r>
    <x v="6"/>
    <x v="0"/>
    <n v="125993614332"/>
    <n v="4189.49"/>
    <n v="9288784.75"/>
    <x v="0"/>
    <m/>
    <m/>
    <n v="0"/>
    <n v="-43"/>
    <n v="-41.71"/>
    <n v="-25.8"/>
    <n v="4300"/>
  </r>
  <r>
    <x v="6"/>
    <x v="0"/>
    <n v="125996443306"/>
    <n v="3684.33"/>
    <n v="9292469.0800000001"/>
    <x v="0"/>
    <m/>
    <m/>
    <n v="0"/>
    <n v="-39"/>
    <n v="-153.27000000000001"/>
    <n v="-23.4"/>
    <n v="3900"/>
  </r>
  <r>
    <x v="6"/>
    <x v="0"/>
    <n v="125446961843"/>
    <n v="30891.69"/>
    <n v="9323360.7699999996"/>
    <x v="0"/>
    <m/>
    <m/>
    <n v="0"/>
    <n v="-327"/>
    <n v="-1285.1099999999999"/>
    <n v="-196.2"/>
    <n v="32700"/>
  </r>
  <r>
    <x v="6"/>
    <x v="0"/>
    <n v="125446989707"/>
    <n v="24059.35"/>
    <n v="9347420.1199999992"/>
    <x v="0"/>
    <m/>
    <m/>
    <n v="0"/>
    <n v="-265"/>
    <n v="-2016.65"/>
    <n v="-159"/>
    <n v="26500"/>
  </r>
  <r>
    <x v="6"/>
    <x v="0"/>
    <n v="125447857505"/>
    <n v="4062.21"/>
    <n v="9351482.3300000001"/>
    <x v="0"/>
    <m/>
    <m/>
    <n v="0"/>
    <n v="-43"/>
    <n v="-168.99"/>
    <n v="-25.8"/>
    <n v="4300"/>
  </r>
  <r>
    <x v="6"/>
    <x v="0"/>
    <n v="125999347750"/>
    <n v="36341.39"/>
    <n v="9387823.7200000007"/>
    <x v="0"/>
    <m/>
    <m/>
    <n v="0"/>
    <n v="-373"/>
    <n v="-361.81"/>
    <n v="-223.8"/>
    <n v="37300"/>
  </r>
  <r>
    <x v="6"/>
    <x v="0"/>
    <n v="125449062915"/>
    <n v="27085.54"/>
    <n v="9414909.2599999998"/>
    <x v="0"/>
    <m/>
    <m/>
    <n v="0"/>
    <n v="-278"/>
    <n v="-269.66000000000003"/>
    <n v="-166.8"/>
    <n v="27800"/>
  </r>
  <r>
    <x v="6"/>
    <x v="64"/>
    <n v="126000250952"/>
    <n v="1360.81"/>
    <n v="9416270.0700000003"/>
    <x v="0"/>
    <m/>
    <m/>
    <n v="-20.85"/>
    <n v="0"/>
    <n v="0"/>
    <n v="-8.34"/>
    <n v="1389.9999999999998"/>
  </r>
  <r>
    <x v="6"/>
    <x v="0"/>
    <n v="125449242459"/>
    <n v="37997.699999999997"/>
    <n v="9454267.7699999996"/>
    <x v="0"/>
    <m/>
    <m/>
    <n v="0"/>
    <n v="-390"/>
    <n v="-378.3"/>
    <n v="-234"/>
    <n v="39000"/>
  </r>
  <r>
    <x v="6"/>
    <x v="65"/>
    <n v="125449173473"/>
    <n v="1909.05"/>
    <n v="9456176.8200000003"/>
    <x v="0"/>
    <m/>
    <m/>
    <n v="-29.25"/>
    <n v="0"/>
    <n v="0"/>
    <n v="-11.7"/>
    <n v="1950"/>
  </r>
  <r>
    <x v="6"/>
    <x v="0"/>
    <n v="125449622091"/>
    <n v="30203.3"/>
    <n v="9486380.1199999992"/>
    <x v="0"/>
    <m/>
    <m/>
    <n v="0"/>
    <n v="-310"/>
    <n v="-300.7"/>
    <n v="-186"/>
    <n v="31000"/>
  </r>
  <r>
    <x v="6"/>
    <x v="66"/>
    <n v="126000953678"/>
    <n v="1517.45"/>
    <n v="9487897.5700000003"/>
    <x v="0"/>
    <m/>
    <m/>
    <n v="-23.25"/>
    <n v="0"/>
    <n v="0"/>
    <n v="-9.3000000000000007"/>
    <n v="1550"/>
  </r>
  <r>
    <x v="6"/>
    <x v="0"/>
    <n v="126001259020"/>
    <n v="6820.1"/>
    <n v="9494717.6699999999"/>
    <x v="0"/>
    <m/>
    <m/>
    <n v="0"/>
    <n v="-70"/>
    <n v="-67.900000000000006"/>
    <n v="-42"/>
    <n v="7000"/>
  </r>
  <r>
    <x v="6"/>
    <x v="0"/>
    <n v="126001791192"/>
    <n v="39654.01"/>
    <n v="9534371.6799999997"/>
    <x v="0"/>
    <m/>
    <m/>
    <n v="0"/>
    <n v="-407"/>
    <n v="-394.79"/>
    <n v="-244.2"/>
    <n v="40700"/>
  </r>
  <r>
    <x v="6"/>
    <x v="0"/>
    <n v="126002231286"/>
    <n v="36049.1"/>
    <n v="9570420.7799999993"/>
    <x v="0"/>
    <m/>
    <m/>
    <n v="0"/>
    <n v="-370"/>
    <n v="-358.9"/>
    <n v="-222"/>
    <n v="37000"/>
  </r>
  <r>
    <x v="6"/>
    <x v="0"/>
    <n v="125451470875"/>
    <n v="7794.4"/>
    <n v="9578215.1799999997"/>
    <x v="0"/>
    <m/>
    <m/>
    <n v="0"/>
    <n v="-80"/>
    <n v="-77.599999999999994"/>
    <n v="-48"/>
    <n v="8000"/>
  </r>
  <r>
    <x v="6"/>
    <x v="0"/>
    <n v="125451713543"/>
    <n v="51247.56"/>
    <n v="9629462.7400000002"/>
    <x v="0"/>
    <m/>
    <m/>
    <n v="0"/>
    <n v="-546"/>
    <n v="-2478.84"/>
    <n v="-327.60000000000002"/>
    <n v="54599.999999999993"/>
  </r>
  <r>
    <x v="6"/>
    <x v="0"/>
    <n v="125452973303"/>
    <n v="21142.31"/>
    <n v="9650605.0500000007"/>
    <x v="0"/>
    <m/>
    <m/>
    <n v="0"/>
    <n v="-217"/>
    <n v="-210.49"/>
    <n v="-130.19999999999999"/>
    <n v="21700.000000000004"/>
  </r>
  <r>
    <x v="6"/>
    <x v="0"/>
    <n v="126004526618"/>
    <n v="43739.61"/>
    <n v="9694344.6600000001"/>
    <x v="0"/>
    <m/>
    <m/>
    <n v="0"/>
    <n v="-463"/>
    <n v="-1819.59"/>
    <n v="-277.8"/>
    <n v="46300"/>
  </r>
  <r>
    <x v="6"/>
    <x v="0"/>
    <n v="125453295123"/>
    <n v="7989.26"/>
    <n v="9702333.9199999999"/>
    <x v="0"/>
    <m/>
    <m/>
    <n v="0"/>
    <n v="-82"/>
    <n v="-79.540000000000006"/>
    <n v="-49.2"/>
    <n v="8200"/>
  </r>
  <r>
    <x v="6"/>
    <x v="0"/>
    <n v="126004723518"/>
    <n v="15393.94"/>
    <n v="9717727.8599999994"/>
    <x v="0"/>
    <m/>
    <m/>
    <n v="0"/>
    <n v="-158"/>
    <n v="-153.26"/>
    <n v="-94.8"/>
    <n v="15800"/>
  </r>
  <r>
    <x v="6"/>
    <x v="0"/>
    <n v="126004850416"/>
    <n v="43064.06"/>
    <n v="9760791.9199999999"/>
    <x v="0"/>
    <m/>
    <m/>
    <n v="0"/>
    <n v="-442"/>
    <n v="-428.74"/>
    <n v="-265.2"/>
    <n v="44199.999999999993"/>
  </r>
  <r>
    <x v="6"/>
    <x v="0"/>
    <n v="125453742521"/>
    <n v="37637.86"/>
    <n v="9798429.7799999993"/>
    <x v="0"/>
    <m/>
    <m/>
    <n v="0"/>
    <n v="-401"/>
    <n v="-1820.54"/>
    <n v="-240.6"/>
    <n v="40100"/>
  </r>
  <r>
    <x v="6"/>
    <x v="0"/>
    <n v="126005317084"/>
    <n v="43648.639999999999"/>
    <n v="9842078.4199999999"/>
    <x v="0"/>
    <m/>
    <m/>
    <n v="0"/>
    <n v="-448"/>
    <n v="-434.56"/>
    <n v="-268.8"/>
    <n v="44800"/>
  </r>
  <r>
    <x v="6"/>
    <x v="0"/>
    <n v="125454342423"/>
    <n v="7746.54"/>
    <n v="9849824.9600000009"/>
    <x v="0"/>
    <m/>
    <m/>
    <n v="0"/>
    <n v="-82"/>
    <n v="-322.26"/>
    <n v="-49.2"/>
    <n v="8200"/>
  </r>
  <r>
    <x v="6"/>
    <x v="0"/>
    <n v="125454937941"/>
    <n v="11009.59"/>
    <n v="9860834.5500000007"/>
    <x v="0"/>
    <m/>
    <m/>
    <n v="0"/>
    <n v="-113"/>
    <n v="-109.61"/>
    <n v="-67.8"/>
    <n v="11300"/>
  </r>
  <r>
    <x v="6"/>
    <x v="0"/>
    <n v="125455143547"/>
    <n v="7746.54"/>
    <n v="9868581.0899999999"/>
    <x v="0"/>
    <m/>
    <m/>
    <n v="0"/>
    <n v="-82"/>
    <n v="-322.26"/>
    <n v="-49.2"/>
    <n v="8200"/>
  </r>
  <r>
    <x v="6"/>
    <x v="0"/>
    <n v="125455209189"/>
    <n v="26640.54"/>
    <n v="9895221.6300000008"/>
    <x v="0"/>
    <m/>
    <m/>
    <n v="0"/>
    <n v="-282"/>
    <n v="-1108.26"/>
    <n v="-169.2"/>
    <n v="28200"/>
  </r>
  <r>
    <x v="6"/>
    <x v="0"/>
    <n v="126006479850"/>
    <n v="4871.5"/>
    <n v="9900093.1300000008"/>
    <x v="0"/>
    <m/>
    <m/>
    <n v="0"/>
    <n v="-50"/>
    <n v="-48.5"/>
    <n v="-30"/>
    <n v="5000"/>
  </r>
  <r>
    <x v="6"/>
    <x v="0"/>
    <n v="126006688382"/>
    <n v="33321.06"/>
    <n v="9933414.1899999995"/>
    <x v="0"/>
    <m/>
    <m/>
    <n v="0"/>
    <n v="-342"/>
    <n v="-331.74"/>
    <n v="-205.2"/>
    <n v="34199.999999999993"/>
  </r>
  <r>
    <x v="6"/>
    <x v="0"/>
    <n v="125455496263"/>
    <n v="72780.210000000006"/>
    <n v="10006194.4"/>
    <x v="0"/>
    <m/>
    <m/>
    <n v="0"/>
    <n v="-747"/>
    <n v="-724.59"/>
    <n v="-448.2"/>
    <n v="74700"/>
  </r>
  <r>
    <x v="6"/>
    <x v="67"/>
    <n v="126006713134"/>
    <n v="3656.56"/>
    <n v="10009850.960000001"/>
    <x v="0"/>
    <m/>
    <m/>
    <n v="-56.03"/>
    <n v="0"/>
    <n v="0"/>
    <n v="-22.41"/>
    <n v="3735"/>
  </r>
  <r>
    <x v="6"/>
    <x v="0"/>
    <n v="126007138224"/>
    <n v="45723.48"/>
    <n v="10055574.439999999"/>
    <x v="0"/>
    <m/>
    <m/>
    <n v="0"/>
    <n v="-484"/>
    <n v="-1902.12"/>
    <n v="-290.39999999999998"/>
    <n v="48400.000000000007"/>
  </r>
  <r>
    <x v="6"/>
    <x v="0"/>
    <n v="125455999533"/>
    <n v="66276.7"/>
    <n v="10121851.140000001"/>
    <x v="0"/>
    <m/>
    <m/>
    <n v="0"/>
    <n v="-730"/>
    <n v="-5555.3"/>
    <n v="-438"/>
    <n v="73000"/>
  </r>
  <r>
    <x v="6"/>
    <x v="0"/>
    <n v="125456097501"/>
    <n v="16910.13"/>
    <n v="10138761.27"/>
    <x v="0"/>
    <m/>
    <m/>
    <n v="0"/>
    <n v="-179"/>
    <n v="-703.47"/>
    <n v="-107.4"/>
    <n v="17900.000000000004"/>
  </r>
  <r>
    <x v="6"/>
    <x v="0"/>
    <n v="126007254642"/>
    <n v="3410.05"/>
    <n v="10142171.32"/>
    <x v="0"/>
    <m/>
    <m/>
    <n v="0"/>
    <n v="-35"/>
    <n v="-33.950000000000003"/>
    <n v="-21"/>
    <n v="3500"/>
  </r>
  <r>
    <x v="6"/>
    <x v="0"/>
    <n v="126007328626"/>
    <n v="9743"/>
    <n v="10151914.32"/>
    <x v="0"/>
    <m/>
    <m/>
    <n v="0"/>
    <n v="-100"/>
    <n v="-97"/>
    <n v="-60"/>
    <n v="10000"/>
  </r>
  <r>
    <x v="15"/>
    <x v="61"/>
    <n v="125720603672"/>
    <n v="-112686.88"/>
    <n v="8273254.96"/>
    <x v="1"/>
    <n v="-112014.7912524851"/>
    <n v="-672.08874751490657"/>
    <n v="0"/>
    <n v="0"/>
    <n v="0"/>
    <m/>
    <n v="-112686.88"/>
  </r>
  <r>
    <x v="20"/>
    <x v="61"/>
    <n v="125988349795"/>
    <n v="-201417.51"/>
    <n v="9192149.3200000003"/>
    <x v="1"/>
    <n v="-200216.21272365807"/>
    <n v="-1201.2972763419384"/>
    <n v="0"/>
    <n v="0"/>
    <n v="0"/>
    <m/>
    <n v="-201417.51"/>
  </r>
  <r>
    <x v="16"/>
    <x v="0"/>
    <n v="125456304867"/>
    <n v="40725.74"/>
    <n v="10192640.060000001"/>
    <x v="0"/>
    <m/>
    <m/>
    <n v="0"/>
    <n v="-418"/>
    <n v="-405.46"/>
    <n v="-250.8"/>
    <n v="41800"/>
  </r>
  <r>
    <x v="16"/>
    <x v="0"/>
    <n v="126007613112"/>
    <n v="36049.1"/>
    <n v="10228689.16"/>
    <x v="0"/>
    <m/>
    <m/>
    <n v="0"/>
    <n v="-370"/>
    <n v="-358.9"/>
    <n v="-222"/>
    <n v="37000"/>
  </r>
  <r>
    <x v="16"/>
    <x v="0"/>
    <n v="126008199580"/>
    <n v="34977.370000000003"/>
    <n v="10263666.529999999"/>
    <x v="0"/>
    <m/>
    <m/>
    <n v="0"/>
    <n v="-359"/>
    <n v="-348.23"/>
    <n v="-215.4"/>
    <n v="35900.000000000007"/>
  </r>
  <r>
    <x v="16"/>
    <x v="0"/>
    <n v="125457086371"/>
    <n v="37159.68"/>
    <n v="10300826.210000001"/>
    <x v="0"/>
    <m/>
    <m/>
    <n v="0"/>
    <n v="-384"/>
    <n v="-625.91999999999996"/>
    <n v="-230.4"/>
    <n v="38400"/>
  </r>
  <r>
    <x v="16"/>
    <x v="0"/>
    <n v="126008404306"/>
    <n v="14737.32"/>
    <n v="10315563.529999999"/>
    <x v="0"/>
    <m/>
    <m/>
    <n v="0"/>
    <n v="-156"/>
    <n v="-613.08000000000004"/>
    <n v="-93.6"/>
    <n v="15600"/>
  </r>
  <r>
    <x v="16"/>
    <x v="0"/>
    <n v="125457113205"/>
    <n v="46195.83"/>
    <n v="10361759.359999999"/>
    <x v="0"/>
    <m/>
    <m/>
    <n v="0"/>
    <n v="-489"/>
    <n v="-1921.77"/>
    <n v="-293.39999999999998"/>
    <n v="48900"/>
  </r>
  <r>
    <x v="16"/>
    <x v="0"/>
    <n v="126008508224"/>
    <n v="27572.69"/>
    <n v="10389332.050000001"/>
    <x v="0"/>
    <m/>
    <m/>
    <n v="0"/>
    <n v="-283"/>
    <n v="-274.51"/>
    <n v="-169.8"/>
    <n v="28299.999999999996"/>
  </r>
  <r>
    <x v="16"/>
    <x v="0"/>
    <n v="126008501598"/>
    <n v="40453.660000000003"/>
    <n v="10429785.710000001"/>
    <x v="0"/>
    <m/>
    <m/>
    <n v="0"/>
    <n v="-431"/>
    <n v="-1956.74"/>
    <n v="-258.60000000000002"/>
    <n v="43100"/>
  </r>
  <r>
    <x v="16"/>
    <x v="0"/>
    <n v="126008998174"/>
    <n v="47896.29"/>
    <n v="10477682"/>
    <x v="0"/>
    <m/>
    <m/>
    <n v="0"/>
    <n v="-507"/>
    <n v="-1992.51"/>
    <n v="-304.2"/>
    <n v="50700"/>
  </r>
  <r>
    <x v="16"/>
    <x v="0"/>
    <n v="126009033428"/>
    <n v="16059.9"/>
    <n v="10493741.9"/>
    <x v="0"/>
    <m/>
    <m/>
    <n v="0"/>
    <n v="-170"/>
    <n v="-668.1"/>
    <n v="-102"/>
    <n v="17000"/>
  </r>
  <r>
    <x v="16"/>
    <x v="0"/>
    <n v="125458240273"/>
    <n v="11301.88"/>
    <n v="10505043.779999999"/>
    <x v="0"/>
    <m/>
    <m/>
    <n v="0"/>
    <n v="-116"/>
    <n v="-112.52"/>
    <n v="-69.599999999999994"/>
    <n v="11600"/>
  </r>
  <r>
    <x v="16"/>
    <x v="0"/>
    <n v="125458625329"/>
    <n v="7989.26"/>
    <n v="10513033.039999999"/>
    <x v="0"/>
    <m/>
    <m/>
    <n v="0"/>
    <n v="-82"/>
    <n v="-79.540000000000006"/>
    <n v="-49.2"/>
    <n v="8200"/>
  </r>
  <r>
    <x v="16"/>
    <x v="0"/>
    <n v="125458908029"/>
    <n v="24747.22"/>
    <n v="10537780.26"/>
    <x v="0"/>
    <m/>
    <m/>
    <n v="0"/>
    <n v="-254"/>
    <n v="-246.38"/>
    <n v="-152.4"/>
    <n v="25400.000000000004"/>
  </r>
  <r>
    <x v="16"/>
    <x v="68"/>
    <n v="125459061033"/>
    <n v="2486.66"/>
    <n v="10540266.92"/>
    <x v="0"/>
    <m/>
    <m/>
    <n v="-38.1"/>
    <n v="0"/>
    <n v="0"/>
    <n v="-15.24"/>
    <n v="2539.9999999999995"/>
  </r>
  <r>
    <x v="16"/>
    <x v="0"/>
    <n v="126010551652"/>
    <n v="28813.35"/>
    <n v="10569080.27"/>
    <x v="0"/>
    <m/>
    <m/>
    <n v="0"/>
    <n v="-305"/>
    <n v="-1198.6500000000001"/>
    <n v="-183"/>
    <n v="30500"/>
  </r>
  <r>
    <x v="16"/>
    <x v="0"/>
    <n v="125459627485"/>
    <n v="45304.21"/>
    <n v="10614384.48"/>
    <x v="0"/>
    <m/>
    <m/>
    <n v="0"/>
    <n v="-499"/>
    <n v="-3797.39"/>
    <n v="-299.39999999999998"/>
    <n v="49900"/>
  </r>
  <r>
    <x v="16"/>
    <x v="0"/>
    <n v="125459770589"/>
    <n v="38585.75"/>
    <n v="10652970.23"/>
    <x v="0"/>
    <m/>
    <m/>
    <n v="0"/>
    <n v="-425"/>
    <n v="-3234.25"/>
    <n v="-255"/>
    <n v="42500"/>
  </r>
  <r>
    <x v="16"/>
    <x v="0"/>
    <n v="126011115826"/>
    <n v="16173.38"/>
    <n v="10669143.609999999"/>
    <x v="0"/>
    <m/>
    <m/>
    <n v="0"/>
    <n v="-166"/>
    <n v="-161.02000000000001"/>
    <n v="-99.6"/>
    <n v="16599.999999999996"/>
  </r>
  <r>
    <x v="16"/>
    <x v="69"/>
    <n v="125459873031"/>
    <n v="812.57"/>
    <n v="10669956.18"/>
    <x v="0"/>
    <m/>
    <m/>
    <n v="-12.45"/>
    <n v="0"/>
    <n v="0"/>
    <n v="-4.9800000000000004"/>
    <n v="830.00000000000011"/>
  </r>
  <r>
    <x v="16"/>
    <x v="0"/>
    <n v="125459913579"/>
    <n v="7209.82"/>
    <n v="10677166"/>
    <x v="0"/>
    <m/>
    <m/>
    <n v="0"/>
    <n v="-74"/>
    <n v="-71.78"/>
    <n v="-44.4"/>
    <n v="7399.9999999999991"/>
  </r>
  <r>
    <x v="16"/>
    <x v="0"/>
    <n v="125459983441"/>
    <n v="19680.86"/>
    <n v="10696846.859999999"/>
    <x v="0"/>
    <m/>
    <m/>
    <n v="0"/>
    <n v="-202"/>
    <n v="-195.94"/>
    <n v="-121.2"/>
    <n v="20200"/>
  </r>
  <r>
    <x v="16"/>
    <x v="0"/>
    <n v="126011371400"/>
    <n v="12471.04"/>
    <n v="10709317.9"/>
    <x v="0"/>
    <m/>
    <m/>
    <n v="0"/>
    <n v="-128"/>
    <n v="-124.16"/>
    <n v="-76.8"/>
    <n v="12800"/>
  </r>
  <r>
    <x v="16"/>
    <x v="0"/>
    <n v="125460195335"/>
    <n v="7599.54"/>
    <n v="10716917.439999999"/>
    <x v="0"/>
    <m/>
    <m/>
    <n v="0"/>
    <n v="-78"/>
    <n v="-75.66"/>
    <n v="-46.8"/>
    <n v="7800"/>
  </r>
  <r>
    <x v="16"/>
    <x v="0"/>
    <n v="125460460203"/>
    <n v="12847.92"/>
    <n v="10729765.359999999"/>
    <x v="0"/>
    <m/>
    <m/>
    <n v="0"/>
    <n v="-136"/>
    <n v="-534.48"/>
    <n v="-81.599999999999994"/>
    <n v="13600"/>
  </r>
  <r>
    <x v="16"/>
    <x v="0"/>
    <n v="125460516437"/>
    <n v="33047.56"/>
    <n v="10762812.92"/>
    <x v="0"/>
    <m/>
    <m/>
    <n v="0"/>
    <n v="-364"/>
    <n v="-2770.04"/>
    <n v="-218.4"/>
    <n v="36400"/>
  </r>
  <r>
    <x v="16"/>
    <x v="0"/>
    <n v="125460972465"/>
    <n v="7463.13"/>
    <n v="10770276.050000001"/>
    <x v="0"/>
    <m/>
    <m/>
    <n v="0"/>
    <n v="-79"/>
    <n v="-310.47000000000003"/>
    <n v="-47.4"/>
    <n v="7900"/>
  </r>
  <r>
    <x v="16"/>
    <x v="0"/>
    <n v="126012314684"/>
    <n v="39393.99"/>
    <n v="10809670.039999999"/>
    <x v="0"/>
    <m/>
    <m/>
    <n v="0"/>
    <n v="-417"/>
    <n v="-1638.81"/>
    <n v="-250.2"/>
    <n v="41699.999999999993"/>
  </r>
  <r>
    <x v="16"/>
    <x v="0"/>
    <n v="126012503986"/>
    <n v="12186.63"/>
    <n v="10821856.67"/>
    <x v="0"/>
    <m/>
    <m/>
    <n v="0"/>
    <n v="-129"/>
    <n v="-506.97"/>
    <n v="-77.400000000000006"/>
    <n v="12899.999999999998"/>
  </r>
  <r>
    <x v="16"/>
    <x v="0"/>
    <n v="126012630432"/>
    <n v="3903.97"/>
    <n v="10825760.640000001"/>
    <x v="0"/>
    <m/>
    <m/>
    <n v="0"/>
    <n v="-43"/>
    <n v="-327.23"/>
    <n v="-25.8"/>
    <n v="4300"/>
  </r>
  <r>
    <x v="16"/>
    <x v="0"/>
    <n v="125461418987"/>
    <n v="60287.71"/>
    <n v="10886048.35"/>
    <x v="0"/>
    <m/>
    <m/>
    <n v="0"/>
    <n v="-623"/>
    <n v="-1015.49"/>
    <n v="-373.8"/>
    <n v="62300"/>
  </r>
  <r>
    <x v="16"/>
    <x v="0"/>
    <n v="126012854938"/>
    <n v="10327.58"/>
    <n v="10896375.93"/>
    <x v="0"/>
    <m/>
    <m/>
    <n v="0"/>
    <n v="-106"/>
    <n v="-102.82"/>
    <n v="-63.6"/>
    <n v="10600"/>
  </r>
  <r>
    <x v="16"/>
    <x v="0"/>
    <n v="126012871060"/>
    <n v="14614.5"/>
    <n v="10910990.43"/>
    <x v="0"/>
    <m/>
    <m/>
    <n v="0"/>
    <n v="-150"/>
    <n v="-145.5"/>
    <n v="-90"/>
    <n v="15000"/>
  </r>
  <r>
    <x v="16"/>
    <x v="70"/>
    <n v="125461762901"/>
    <n v="734.25"/>
    <n v="10911724.68"/>
    <x v="0"/>
    <m/>
    <m/>
    <n v="-11.25"/>
    <n v="0"/>
    <n v="0"/>
    <n v="-4.5"/>
    <n v="750"/>
  </r>
  <r>
    <x v="16"/>
    <x v="0"/>
    <n v="126012851936"/>
    <n v="36731.11"/>
    <n v="10948455.789999999"/>
    <x v="0"/>
    <m/>
    <m/>
    <n v="0"/>
    <n v="-377"/>
    <n v="-365.69"/>
    <n v="-226.2"/>
    <n v="37700"/>
  </r>
  <r>
    <x v="16"/>
    <x v="0"/>
    <n v="126012972604"/>
    <n v="40141.160000000003"/>
    <n v="10988596.949999999"/>
    <x v="0"/>
    <m/>
    <m/>
    <n v="0"/>
    <n v="-412"/>
    <n v="-399.64"/>
    <n v="-247.2"/>
    <n v="41200"/>
  </r>
  <r>
    <x v="16"/>
    <x v="0"/>
    <n v="125461870989"/>
    <n v="38679.71"/>
    <n v="11027276.66"/>
    <x v="0"/>
    <m/>
    <m/>
    <n v="0"/>
    <n v="-397"/>
    <n v="-385.09"/>
    <n v="-238.2"/>
    <n v="39699.999999999993"/>
  </r>
  <r>
    <x v="16"/>
    <x v="0"/>
    <n v="125461936825"/>
    <n v="13797.42"/>
    <n v="11041074.08"/>
    <x v="0"/>
    <m/>
    <m/>
    <n v="0"/>
    <n v="-147"/>
    <n v="-667.38"/>
    <n v="-88.2"/>
    <n v="14700"/>
  </r>
  <r>
    <x v="16"/>
    <x v="0"/>
    <n v="126013114190"/>
    <n v="16757.96"/>
    <n v="11057832.039999999"/>
    <x v="0"/>
    <m/>
    <m/>
    <n v="0"/>
    <n v="-172"/>
    <n v="-166.84"/>
    <n v="-103.2"/>
    <n v="17200"/>
  </r>
  <r>
    <x v="16"/>
    <x v="0"/>
    <n v="126013525296"/>
    <n v="22896.05"/>
    <n v="11080728.09"/>
    <x v="0"/>
    <m/>
    <m/>
    <n v="0"/>
    <n v="-235"/>
    <n v="-227.95"/>
    <n v="-141"/>
    <n v="23500"/>
  </r>
  <r>
    <x v="16"/>
    <x v="0"/>
    <n v="126013746036"/>
    <n v="96650.559999999998"/>
    <n v="11177378.65"/>
    <x v="0"/>
    <m/>
    <m/>
    <n v="0"/>
    <n v="-992"/>
    <n v="-962.24"/>
    <n v="-595.20000000000005"/>
    <n v="99200"/>
  </r>
  <r>
    <x v="16"/>
    <x v="0"/>
    <n v="125462776275"/>
    <n v="7463.13"/>
    <n v="11184841.779999999"/>
    <x v="0"/>
    <m/>
    <m/>
    <n v="0"/>
    <n v="-79"/>
    <n v="-310.47000000000003"/>
    <n v="-47.4"/>
    <n v="7900"/>
  </r>
  <r>
    <x v="16"/>
    <x v="0"/>
    <n v="125462980105"/>
    <n v="56899.12"/>
    <n v="11241740.9"/>
    <x v="0"/>
    <m/>
    <m/>
    <n v="0"/>
    <n v="-584"/>
    <n v="-566.48"/>
    <n v="-350.4"/>
    <n v="58400.000000000007"/>
  </r>
  <r>
    <x v="16"/>
    <x v="0"/>
    <n v="126014168820"/>
    <n v="27772.99"/>
    <n v="11269513.890000001"/>
    <x v="0"/>
    <m/>
    <m/>
    <n v="0"/>
    <n v="-287"/>
    <n v="-467.81"/>
    <n v="-172.2"/>
    <n v="28700.000000000004"/>
  </r>
  <r>
    <x v="16"/>
    <x v="0"/>
    <n v="125463043451"/>
    <n v="10230.15"/>
    <n v="11279744.039999999"/>
    <x v="0"/>
    <m/>
    <m/>
    <n v="0"/>
    <n v="-105"/>
    <n v="-101.85"/>
    <n v="-63"/>
    <n v="10500"/>
  </r>
  <r>
    <x v="16"/>
    <x v="0"/>
    <n v="126014227310"/>
    <n v="22896.05"/>
    <n v="11302640.09"/>
    <x v="0"/>
    <m/>
    <m/>
    <n v="0"/>
    <n v="-235"/>
    <n v="-227.95"/>
    <n v="-141"/>
    <n v="23500"/>
  </r>
  <r>
    <x v="16"/>
    <x v="0"/>
    <n v="125463091997"/>
    <n v="15393.94"/>
    <n v="11318034.029999999"/>
    <x v="0"/>
    <m/>
    <m/>
    <n v="0"/>
    <n v="-158"/>
    <n v="-153.26"/>
    <n v="-94.8"/>
    <n v="15800"/>
  </r>
  <r>
    <x v="16"/>
    <x v="0"/>
    <n v="125463291439"/>
    <n v="45986.96"/>
    <n v="11364020.99"/>
    <x v="0"/>
    <m/>
    <m/>
    <n v="0"/>
    <n v="-472"/>
    <n v="-457.84"/>
    <n v="-283.2"/>
    <n v="47199.999999999993"/>
  </r>
  <r>
    <x v="16"/>
    <x v="0"/>
    <n v="126014567370"/>
    <n v="35854.239999999998"/>
    <n v="11399875.23"/>
    <x v="0"/>
    <m/>
    <m/>
    <n v="0"/>
    <n v="-368"/>
    <n v="-356.96"/>
    <n v="-220.8"/>
    <n v="36800"/>
  </r>
  <r>
    <x v="16"/>
    <x v="0"/>
    <n v="126014664178"/>
    <n v="114308.7"/>
    <n v="11514183.93"/>
    <x v="0"/>
    <m/>
    <m/>
    <n v="0"/>
    <n v="-1210"/>
    <n v="-4755.3"/>
    <n v="-726"/>
    <n v="121000"/>
  </r>
  <r>
    <x v="16"/>
    <x v="0"/>
    <n v="125463562387"/>
    <n v="7014.96"/>
    <n v="11521198.890000001"/>
    <x v="0"/>
    <m/>
    <m/>
    <n v="0"/>
    <n v="-72"/>
    <n v="-69.84"/>
    <n v="-43.2"/>
    <n v="7200"/>
  </r>
  <r>
    <x v="16"/>
    <x v="0"/>
    <n v="125463455779"/>
    <n v="13640.2"/>
    <n v="11534839.09"/>
    <x v="0"/>
    <m/>
    <m/>
    <n v="0"/>
    <n v="-140"/>
    <n v="-135.80000000000001"/>
    <n v="-84"/>
    <n v="14000"/>
  </r>
  <r>
    <x v="16"/>
    <x v="0"/>
    <n v="126096640836"/>
    <n v="7081.62"/>
    <n v="10893151.310000001"/>
    <x v="0"/>
    <m/>
    <m/>
    <n v="0"/>
    <n v="-78"/>
    <n v="-593.58000000000004"/>
    <n v="-46.8"/>
    <n v="7800"/>
  </r>
  <r>
    <x v="16"/>
    <x v="0"/>
    <n v="126099304852"/>
    <n v="14906.79"/>
    <n v="10908058.1"/>
    <x v="0"/>
    <m/>
    <m/>
    <n v="0"/>
    <n v="-153"/>
    <n v="-148.41"/>
    <n v="-91.8"/>
    <n v="15300"/>
  </r>
  <r>
    <x v="16"/>
    <x v="0"/>
    <n v="126103502012"/>
    <n v="38192.559999999998"/>
    <n v="10946250.66"/>
    <x v="0"/>
    <m/>
    <m/>
    <n v="0"/>
    <n v="-392"/>
    <n v="-380.24"/>
    <n v="-235.2"/>
    <n v="39199.999999999993"/>
  </r>
  <r>
    <x v="16"/>
    <x v="0"/>
    <n v="126105503786"/>
    <n v="15491.37"/>
    <n v="10961742.029999999"/>
    <x v="0"/>
    <m/>
    <m/>
    <n v="0"/>
    <n v="-159"/>
    <n v="-154.22999999999999"/>
    <n v="-95.4"/>
    <n v="15900"/>
  </r>
  <r>
    <x v="16"/>
    <x v="0"/>
    <n v="126105964490"/>
    <n v="11430.87"/>
    <n v="10973172.9"/>
    <x v="0"/>
    <m/>
    <m/>
    <n v="0"/>
    <n v="-121"/>
    <n v="-475.53"/>
    <n v="-72.599999999999994"/>
    <n v="12100.000000000002"/>
  </r>
  <r>
    <x v="16"/>
    <x v="0"/>
    <n v="125554253101"/>
    <n v="3903.97"/>
    <n v="10977076.869999999"/>
    <x v="0"/>
    <m/>
    <m/>
    <n v="0"/>
    <n v="-43"/>
    <n v="-327.23"/>
    <n v="-25.8"/>
    <n v="4300"/>
  </r>
  <r>
    <x v="16"/>
    <x v="0"/>
    <n v="125554633827"/>
    <n v="8378.98"/>
    <n v="10985455.85"/>
    <x v="0"/>
    <m/>
    <m/>
    <n v="0"/>
    <n v="-86"/>
    <n v="-83.42"/>
    <n v="-51.6"/>
    <n v="8600"/>
  </r>
  <r>
    <x v="16"/>
    <x v="0"/>
    <n v="125557181285"/>
    <n v="15199.08"/>
    <n v="11000654.93"/>
    <x v="0"/>
    <m/>
    <m/>
    <n v="0"/>
    <n v="-156"/>
    <n v="-151.32"/>
    <n v="-93.6"/>
    <n v="15600"/>
  </r>
  <r>
    <x v="16"/>
    <x v="71"/>
    <n v="125557234739"/>
    <n v="1527.24"/>
    <n v="11002182.17"/>
    <x v="0"/>
    <m/>
    <m/>
    <n v="-23.4"/>
    <n v="0"/>
    <n v="0"/>
    <n v="-9.36"/>
    <n v="1560"/>
  </r>
  <r>
    <x v="16"/>
    <x v="0"/>
    <n v="126109192968"/>
    <n v="10619.87"/>
    <n v="11012802.039999999"/>
    <x v="0"/>
    <m/>
    <m/>
    <n v="0"/>
    <n v="-109"/>
    <n v="-105.73"/>
    <n v="-65.400000000000006"/>
    <n v="10900"/>
  </r>
  <r>
    <x v="16"/>
    <x v="0"/>
    <n v="125558021461"/>
    <n v="4062.21"/>
    <n v="11016864.25"/>
    <x v="0"/>
    <m/>
    <m/>
    <n v="0"/>
    <n v="-43"/>
    <n v="-168.99"/>
    <n v="-25.8"/>
    <n v="4300"/>
  </r>
  <r>
    <x v="16"/>
    <x v="0"/>
    <n v="126110485752"/>
    <n v="4189.49"/>
    <n v="11021053.74"/>
    <x v="0"/>
    <m/>
    <m/>
    <n v="0"/>
    <n v="-43"/>
    <n v="-41.71"/>
    <n v="-25.8"/>
    <n v="4300"/>
  </r>
  <r>
    <x v="16"/>
    <x v="0"/>
    <n v="126110608540"/>
    <n v="12276.18"/>
    <n v="11033329.92"/>
    <x v="0"/>
    <m/>
    <m/>
    <n v="0"/>
    <n v="-126"/>
    <n v="-122.22"/>
    <n v="-75.599999999999994"/>
    <n v="12600"/>
  </r>
  <r>
    <x v="16"/>
    <x v="0"/>
    <n v="125559982515"/>
    <n v="25818.95"/>
    <n v="11059148.869999999"/>
    <x v="0"/>
    <m/>
    <m/>
    <n v="0"/>
    <n v="-265"/>
    <n v="-257.05"/>
    <n v="-159"/>
    <n v="26500"/>
  </r>
  <r>
    <x v="16"/>
    <x v="0"/>
    <n v="126111930026"/>
    <n v="46857.120000000003"/>
    <n v="11106005.99"/>
    <x v="0"/>
    <m/>
    <m/>
    <n v="0"/>
    <n v="-496"/>
    <n v="-1949.28"/>
    <n v="-297.60000000000002"/>
    <n v="49600"/>
  </r>
  <r>
    <x v="16"/>
    <x v="0"/>
    <n v="125561730289"/>
    <n v="33226.44"/>
    <n v="11139232.43"/>
    <x v="0"/>
    <m/>
    <m/>
    <n v="0"/>
    <n v="-354"/>
    <n v="-1607.16"/>
    <n v="-212.4"/>
    <n v="35400.000000000007"/>
  </r>
  <r>
    <x v="16"/>
    <x v="0"/>
    <n v="125562837095"/>
    <n v="8768.7000000000007"/>
    <n v="11148001.130000001"/>
    <x v="0"/>
    <m/>
    <m/>
    <n v="0"/>
    <n v="-90"/>
    <n v="-87.3"/>
    <n v="-54"/>
    <n v="9000"/>
  </r>
  <r>
    <x v="16"/>
    <x v="0"/>
    <n v="125563294919"/>
    <n v="5195.8500000000004"/>
    <n v="11153196.98"/>
    <x v="0"/>
    <m/>
    <m/>
    <n v="0"/>
    <n v="-55"/>
    <n v="-216.15"/>
    <n v="-33"/>
    <n v="5500"/>
  </r>
  <r>
    <x v="16"/>
    <x v="0"/>
    <n v="125565056217"/>
    <n v="35135.730000000003"/>
    <n v="11188332.710000001"/>
    <x v="0"/>
    <m/>
    <m/>
    <n v="0"/>
    <n v="-387"/>
    <n v="-2945.07"/>
    <n v="-232.2"/>
    <n v="38700"/>
  </r>
  <r>
    <x v="16"/>
    <x v="0"/>
    <n v="125565748807"/>
    <n v="29229"/>
    <n v="11217561.710000001"/>
    <x v="0"/>
    <m/>
    <m/>
    <n v="0"/>
    <n v="-300"/>
    <n v="-291"/>
    <n v="-180"/>
    <n v="30000"/>
  </r>
  <r>
    <x v="16"/>
    <x v="72"/>
    <n v="126117918928"/>
    <n v="1468.5"/>
    <n v="11219030.210000001"/>
    <x v="0"/>
    <m/>
    <m/>
    <n v="-22.5"/>
    <n v="0"/>
    <n v="0"/>
    <n v="-9"/>
    <n v="1500"/>
  </r>
  <r>
    <x v="16"/>
    <x v="0"/>
    <n v="126118455600"/>
    <n v="46857.120000000003"/>
    <n v="11265887.33"/>
    <x v="0"/>
    <m/>
    <m/>
    <n v="0"/>
    <n v="-496"/>
    <n v="-1949.28"/>
    <n v="-297.60000000000002"/>
    <n v="49600"/>
  </r>
  <r>
    <x v="16"/>
    <x v="0"/>
    <n v="125566797827"/>
    <n v="53470.02"/>
    <n v="11319357.35"/>
    <x v="0"/>
    <m/>
    <m/>
    <n v="0"/>
    <n v="-566"/>
    <n v="-2224.38"/>
    <n v="-339.6"/>
    <n v="56599.999999999993"/>
  </r>
  <r>
    <x v="16"/>
    <x v="0"/>
    <n v="126120126774"/>
    <n v="25999.22"/>
    <n v="11345356.57"/>
    <x v="0"/>
    <m/>
    <m/>
    <n v="0"/>
    <n v="-277"/>
    <n v="-1257.58"/>
    <n v="-166.2"/>
    <n v="27700.000000000004"/>
  </r>
  <r>
    <x v="16"/>
    <x v="0"/>
    <n v="126120191518"/>
    <n v="29415.96"/>
    <n v="11374772.529999999"/>
    <x v="0"/>
    <m/>
    <m/>
    <n v="0"/>
    <n v="-324"/>
    <n v="-2465.64"/>
    <n v="-194.4"/>
    <n v="32400"/>
  </r>
  <r>
    <x v="16"/>
    <x v="0"/>
    <n v="125569052645"/>
    <n v="32249.33"/>
    <n v="11407021.859999999"/>
    <x v="0"/>
    <m/>
    <m/>
    <n v="0"/>
    <n v="-331"/>
    <n v="-321.07"/>
    <n v="-198.6"/>
    <n v="33100"/>
  </r>
  <r>
    <x v="16"/>
    <x v="0"/>
    <n v="126121422420"/>
    <n v="41992.33"/>
    <n v="11449014.189999999"/>
    <x v="0"/>
    <m/>
    <m/>
    <n v="0"/>
    <n v="-431"/>
    <n v="-418.07"/>
    <n v="-258.60000000000002"/>
    <n v="43100"/>
  </r>
  <r>
    <x v="16"/>
    <x v="0"/>
    <n v="126121449144"/>
    <n v="31469.89"/>
    <n v="11480484.08"/>
    <x v="0"/>
    <m/>
    <m/>
    <n v="0"/>
    <n v="-323"/>
    <n v="-313.31"/>
    <n v="-193.8"/>
    <n v="32300"/>
  </r>
  <r>
    <x v="16"/>
    <x v="73"/>
    <n v="126121433118"/>
    <n v="3162.17"/>
    <n v="11483646.25"/>
    <x v="0"/>
    <m/>
    <m/>
    <n v="-48.45"/>
    <n v="0"/>
    <n v="0"/>
    <n v="-19.38"/>
    <n v="3230"/>
  </r>
  <r>
    <x v="16"/>
    <x v="0"/>
    <n v="126121361624"/>
    <n v="62728.08"/>
    <n v="11546374.33"/>
    <x v="0"/>
    <m/>
    <m/>
    <n v="0"/>
    <n v="-664"/>
    <n v="-2609.52"/>
    <n v="-398.4"/>
    <n v="66400"/>
  </r>
  <r>
    <x v="16"/>
    <x v="0"/>
    <n v="126121826612"/>
    <n v="21532.03"/>
    <n v="11567906.359999999"/>
    <x v="0"/>
    <m/>
    <m/>
    <n v="0"/>
    <n v="-221"/>
    <n v="-214.37"/>
    <n v="-132.6"/>
    <n v="22099.999999999996"/>
  </r>
  <r>
    <x v="16"/>
    <x v="74"/>
    <n v="125569350053"/>
    <n v="1081.79"/>
    <n v="11568988.15"/>
    <x v="0"/>
    <m/>
    <m/>
    <n v="-16.579999999999998"/>
    <n v="0"/>
    <n v="0"/>
    <n v="-6.63"/>
    <n v="1105"/>
  </r>
  <r>
    <x v="16"/>
    <x v="0"/>
    <n v="126122277928"/>
    <n v="35993.07"/>
    <n v="11604981.220000001"/>
    <x v="0"/>
    <m/>
    <m/>
    <n v="0"/>
    <n v="-381"/>
    <n v="-1497.33"/>
    <n v="-228.6"/>
    <n v="38100"/>
  </r>
  <r>
    <x v="16"/>
    <x v="0"/>
    <n v="126123126956"/>
    <n v="38670.32"/>
    <n v="11643651.539999999"/>
    <x v="0"/>
    <m/>
    <m/>
    <n v="0"/>
    <n v="-412"/>
    <n v="-1870.48"/>
    <n v="-247.2"/>
    <n v="41200"/>
  </r>
  <r>
    <x v="16"/>
    <x v="0"/>
    <n v="125571870311"/>
    <n v="37120.83"/>
    <n v="11680772.369999999"/>
    <x v="0"/>
    <m/>
    <m/>
    <n v="0"/>
    <n v="-381"/>
    <n v="-369.57"/>
    <n v="-228.6"/>
    <n v="38100"/>
  </r>
  <r>
    <x v="16"/>
    <x v="0"/>
    <n v="125571861443"/>
    <n v="3410.05"/>
    <n v="11684182.42"/>
    <x v="0"/>
    <m/>
    <m/>
    <n v="0"/>
    <n v="-35"/>
    <n v="-33.950000000000003"/>
    <n v="-21"/>
    <n v="3500"/>
  </r>
  <r>
    <x v="16"/>
    <x v="0"/>
    <n v="125571811845"/>
    <n v="3410.05"/>
    <n v="11687592.470000001"/>
    <x v="0"/>
    <m/>
    <m/>
    <n v="0"/>
    <n v="-35"/>
    <n v="-33.950000000000003"/>
    <n v="-21"/>
    <n v="3500"/>
  </r>
  <r>
    <x v="16"/>
    <x v="0"/>
    <n v="126124056584"/>
    <n v="94603.18"/>
    <n v="11782195.65"/>
    <x v="0"/>
    <m/>
    <m/>
    <n v="0"/>
    <n v="-1042"/>
    <n v="-7929.62"/>
    <n v="-625.20000000000005"/>
    <n v="104199.99999999999"/>
  </r>
  <r>
    <x v="20"/>
    <x v="61"/>
    <n v="126556131568"/>
    <n v="-109543.14"/>
    <n v="8961018.8800000008"/>
    <x v="1"/>
    <n v="-108889.80119284295"/>
    <n v="-653.33880715705163"/>
    <n v="0"/>
    <n v="0"/>
    <n v="0"/>
    <m/>
    <n v="-109543.14"/>
  </r>
  <r>
    <x v="25"/>
    <x v="0"/>
    <n v="125572517133"/>
    <n v="26695.82"/>
    <n v="11808891.470000001"/>
    <x v="0"/>
    <m/>
    <m/>
    <n v="0"/>
    <n v="-274"/>
    <n v="-265.77999999999997"/>
    <n v="-164.4"/>
    <n v="27400"/>
  </r>
  <r>
    <x v="25"/>
    <x v="0"/>
    <n v="125572639149"/>
    <n v="37976.94"/>
    <n v="11846868.41"/>
    <x v="0"/>
    <m/>
    <m/>
    <n v="0"/>
    <n v="-402"/>
    <n v="-1579.86"/>
    <n v="-241.2"/>
    <n v="40200"/>
  </r>
  <r>
    <x v="25"/>
    <x v="0"/>
    <n v="126124937948"/>
    <n v="15199.08"/>
    <n v="11862067.49"/>
    <x v="0"/>
    <m/>
    <m/>
    <n v="0"/>
    <n v="-156"/>
    <n v="-151.32"/>
    <n v="-93.6"/>
    <n v="15600"/>
  </r>
  <r>
    <x v="25"/>
    <x v="0"/>
    <n v="126125328454"/>
    <n v="31080.17"/>
    <n v="11893147.66"/>
    <x v="0"/>
    <m/>
    <m/>
    <n v="0"/>
    <n v="-319"/>
    <n v="-309.43"/>
    <n v="-191.4"/>
    <n v="31900"/>
  </r>
  <r>
    <x v="25"/>
    <x v="0"/>
    <n v="125573390505"/>
    <n v="54755.66"/>
    <n v="11947903.32"/>
    <x v="0"/>
    <m/>
    <m/>
    <n v="0"/>
    <n v="-562"/>
    <n v="-545.14"/>
    <n v="-337.2"/>
    <n v="56200"/>
  </r>
  <r>
    <x v="25"/>
    <x v="75"/>
    <n v="126125321516"/>
    <n v="2750.99"/>
    <n v="11950654.310000001"/>
    <x v="0"/>
    <m/>
    <m/>
    <n v="-42.15"/>
    <n v="0"/>
    <n v="0"/>
    <n v="-16.86"/>
    <n v="2810"/>
  </r>
  <r>
    <x v="25"/>
    <x v="0"/>
    <n v="126125616248"/>
    <n v="2143.46"/>
    <n v="11952797.77"/>
    <x v="0"/>
    <m/>
    <m/>
    <n v="0"/>
    <n v="-22"/>
    <n v="-21.34"/>
    <n v="-13.2"/>
    <n v="2200"/>
  </r>
  <r>
    <x v="25"/>
    <x v="0"/>
    <n v="126125649050"/>
    <n v="65656.649999999994"/>
    <n v="12018454.42"/>
    <x v="0"/>
    <m/>
    <m/>
    <n v="0"/>
    <n v="-695"/>
    <n v="-2731.35"/>
    <n v="-417"/>
    <n v="69500"/>
  </r>
  <r>
    <x v="25"/>
    <x v="0"/>
    <n v="125573766089"/>
    <n v="6476.34"/>
    <n v="12024930.76"/>
    <x v="0"/>
    <m/>
    <m/>
    <n v="0"/>
    <n v="-69"/>
    <n v="-313.26"/>
    <n v="-41.4"/>
    <n v="6900"/>
  </r>
  <r>
    <x v="25"/>
    <x v="0"/>
    <n v="126125844426"/>
    <n v="87006.87"/>
    <n v="12111937.630000001"/>
    <x v="0"/>
    <m/>
    <m/>
    <n v="0"/>
    <n v="-921"/>
    <n v="-3619.53"/>
    <n v="-552.6"/>
    <n v="92100"/>
  </r>
  <r>
    <x v="25"/>
    <x v="0"/>
    <n v="126125865338"/>
    <n v="34670.49"/>
    <n v="12146608.119999999"/>
    <x v="0"/>
    <m/>
    <m/>
    <n v="0"/>
    <n v="-367"/>
    <n v="-1442.31"/>
    <n v="-220.2"/>
    <n v="36699.999999999993"/>
  </r>
  <r>
    <x v="25"/>
    <x v="0"/>
    <n v="126126003700"/>
    <n v="54073.65"/>
    <n v="12200681.77"/>
    <x v="0"/>
    <m/>
    <m/>
    <n v="0"/>
    <n v="-555"/>
    <n v="-538.35"/>
    <n v="-333"/>
    <n v="55500"/>
  </r>
  <r>
    <x v="25"/>
    <x v="0"/>
    <n v="125574552839"/>
    <n v="49397.01"/>
    <n v="12250078.779999999"/>
    <x v="0"/>
    <m/>
    <m/>
    <n v="0"/>
    <n v="-507"/>
    <n v="-491.79"/>
    <n v="-304.2"/>
    <n v="50700"/>
  </r>
  <r>
    <x v="25"/>
    <x v="76"/>
    <n v="126126266778"/>
    <n v="4963.53"/>
    <n v="12255042.310000001"/>
    <x v="0"/>
    <m/>
    <m/>
    <n v="-76.05"/>
    <n v="0"/>
    <n v="0"/>
    <n v="-30.42"/>
    <n v="5070"/>
  </r>
  <r>
    <x v="25"/>
    <x v="0"/>
    <n v="126126279136"/>
    <n v="43746.07"/>
    <n v="12298788.380000001"/>
    <x v="0"/>
    <m/>
    <m/>
    <n v="0"/>
    <n v="-449"/>
    <n v="-435.53"/>
    <n v="-269.39999999999998"/>
    <n v="44900"/>
  </r>
  <r>
    <x v="25"/>
    <x v="0"/>
    <n v="125575047745"/>
    <n v="47801.82"/>
    <n v="12346590.199999999"/>
    <x v="0"/>
    <m/>
    <m/>
    <n v="0"/>
    <n v="-506"/>
    <n v="-1988.58"/>
    <n v="-303.60000000000002"/>
    <n v="50600"/>
  </r>
  <r>
    <x v="25"/>
    <x v="0"/>
    <n v="126127444242"/>
    <n v="34009.199999999997"/>
    <n v="12380599.4"/>
    <x v="0"/>
    <m/>
    <m/>
    <n v="0"/>
    <n v="-360"/>
    <n v="-1414.8"/>
    <n v="-216"/>
    <n v="36000"/>
  </r>
  <r>
    <x v="25"/>
    <x v="0"/>
    <n v="125575646461"/>
    <n v="64888.38"/>
    <n v="12445487.779999999"/>
    <x v="0"/>
    <m/>
    <m/>
    <n v="0"/>
    <n v="-666"/>
    <n v="-646.02"/>
    <n v="-399.6"/>
    <n v="66600.000000000015"/>
  </r>
  <r>
    <x v="25"/>
    <x v="0"/>
    <n v="126127972920"/>
    <n v="8768.7000000000007"/>
    <n v="12454256.48"/>
    <x v="0"/>
    <m/>
    <m/>
    <n v="0"/>
    <n v="-90"/>
    <n v="-87.3"/>
    <n v="-54"/>
    <n v="9000"/>
  </r>
  <r>
    <x v="25"/>
    <x v="0"/>
    <n v="125575777739"/>
    <n v="17571.419999999998"/>
    <n v="12471827.9"/>
    <x v="0"/>
    <m/>
    <m/>
    <n v="0"/>
    <n v="-186"/>
    <n v="-730.98"/>
    <n v="-111.6"/>
    <n v="18599.999999999996"/>
  </r>
  <r>
    <x v="25"/>
    <x v="0"/>
    <n v="126128300134"/>
    <n v="35142.839999999997"/>
    <n v="12506970.74"/>
    <x v="0"/>
    <m/>
    <m/>
    <n v="0"/>
    <n v="-372"/>
    <n v="-1461.96"/>
    <n v="-223.2"/>
    <n v="37199.999999999993"/>
  </r>
  <r>
    <x v="25"/>
    <x v="0"/>
    <n v="126128476864"/>
    <n v="118085.16"/>
    <n v="12625055.9"/>
    <x v="0"/>
    <m/>
    <m/>
    <n v="0"/>
    <n v="-1212"/>
    <n v="-1175.6400000000001"/>
    <n v="-727.2"/>
    <n v="121200"/>
  </r>
  <r>
    <x v="25"/>
    <x v="0"/>
    <n v="126128502728"/>
    <n v="16800.939999999999"/>
    <n v="12641856.84"/>
    <x v="0"/>
    <m/>
    <m/>
    <n v="0"/>
    <n v="-179"/>
    <n v="-812.66"/>
    <n v="-107.4"/>
    <n v="17900"/>
  </r>
  <r>
    <x v="25"/>
    <x v="0"/>
    <n v="125576351683"/>
    <n v="38582.28"/>
    <n v="12680439.119999999"/>
    <x v="0"/>
    <m/>
    <m/>
    <n v="0"/>
    <n v="-396"/>
    <n v="-384.12"/>
    <n v="-237.6"/>
    <n v="39600"/>
  </r>
  <r>
    <x v="25"/>
    <x v="77"/>
    <n v="125576459167"/>
    <n v="3876.84"/>
    <n v="12684315.960000001"/>
    <x v="0"/>
    <m/>
    <m/>
    <n v="-59.4"/>
    <n v="0"/>
    <n v="0"/>
    <n v="-23.76"/>
    <n v="3960.0000000000005"/>
  </r>
  <r>
    <x v="25"/>
    <x v="0"/>
    <n v="125576738331"/>
    <n v="65005.64"/>
    <n v="12749321.6"/>
    <x v="0"/>
    <m/>
    <m/>
    <n v="0"/>
    <n v="-716"/>
    <n v="-5448.76"/>
    <n v="-429.6"/>
    <n v="71600"/>
  </r>
  <r>
    <x v="25"/>
    <x v="0"/>
    <n v="125576972801"/>
    <n v="5163.79"/>
    <n v="12754485.390000001"/>
    <x v="0"/>
    <m/>
    <m/>
    <n v="0"/>
    <n v="-53"/>
    <n v="-51.41"/>
    <n v="-31.8"/>
    <n v="5300"/>
  </r>
  <r>
    <x v="25"/>
    <x v="0"/>
    <n v="126128875098"/>
    <n v="14906.79"/>
    <n v="12769392.18"/>
    <x v="0"/>
    <m/>
    <m/>
    <n v="0"/>
    <n v="-153"/>
    <n v="-148.41"/>
    <n v="-91.8"/>
    <n v="15300"/>
  </r>
  <r>
    <x v="25"/>
    <x v="0"/>
    <n v="126128849374"/>
    <n v="5163.79"/>
    <n v="12774555.970000001"/>
    <x v="0"/>
    <m/>
    <m/>
    <n v="0"/>
    <n v="-53"/>
    <n v="-51.41"/>
    <n v="-31.8"/>
    <n v="5300"/>
  </r>
  <r>
    <x v="25"/>
    <x v="78"/>
    <n v="125576891613"/>
    <n v="518.87"/>
    <n v="12775074.84"/>
    <x v="0"/>
    <m/>
    <m/>
    <n v="-7.95"/>
    <n v="0"/>
    <n v="0"/>
    <n v="-3.18"/>
    <n v="530"/>
  </r>
  <r>
    <x v="25"/>
    <x v="0"/>
    <n v="126128996208"/>
    <n v="3799.77"/>
    <n v="12778874.609999999"/>
    <x v="0"/>
    <m/>
    <m/>
    <n v="0"/>
    <n v="-39"/>
    <n v="-37.83"/>
    <n v="-23.4"/>
    <n v="3900"/>
  </r>
  <r>
    <x v="25"/>
    <x v="0"/>
    <n v="126128807772"/>
    <n v="10035.290000000001"/>
    <n v="12788909.9"/>
    <x v="0"/>
    <m/>
    <m/>
    <n v="0"/>
    <n v="-103"/>
    <n v="-99.91"/>
    <n v="-61.8"/>
    <n v="10300"/>
  </r>
  <r>
    <x v="25"/>
    <x v="0"/>
    <n v="125576905955"/>
    <n v="9258.06"/>
    <n v="12798167.960000001"/>
    <x v="0"/>
    <m/>
    <m/>
    <n v="0"/>
    <n v="-98"/>
    <n v="-385.14"/>
    <n v="-58.8"/>
    <n v="9799.9999999999982"/>
  </r>
  <r>
    <x v="25"/>
    <x v="0"/>
    <n v="125577184425"/>
    <n v="25136.94"/>
    <n v="12823304.9"/>
    <x v="0"/>
    <m/>
    <m/>
    <n v="0"/>
    <n v="-258"/>
    <n v="-250.26"/>
    <n v="-154.80000000000001"/>
    <n v="25799.999999999996"/>
  </r>
  <r>
    <x v="25"/>
    <x v="0"/>
    <n v="125577313229"/>
    <n v="16075.95"/>
    <n v="12839380.85"/>
    <x v="0"/>
    <m/>
    <m/>
    <n v="0"/>
    <n v="-165"/>
    <n v="-160.05000000000001"/>
    <n v="-99"/>
    <n v="16500"/>
  </r>
  <r>
    <x v="25"/>
    <x v="0"/>
    <n v="125577491253"/>
    <n v="40310.76"/>
    <n v="12879691.609999999"/>
    <x v="0"/>
    <m/>
    <m/>
    <n v="0"/>
    <n v="-444"/>
    <n v="-3378.84"/>
    <n v="-266.39999999999998"/>
    <n v="44400.000000000007"/>
  </r>
  <r>
    <x v="25"/>
    <x v="0"/>
    <n v="126129426494"/>
    <n v="11336.4"/>
    <n v="12891028.01"/>
    <x v="0"/>
    <m/>
    <m/>
    <n v="0"/>
    <n v="-120"/>
    <n v="-471.6"/>
    <n v="-72"/>
    <n v="12000"/>
  </r>
  <r>
    <x v="25"/>
    <x v="0"/>
    <n v="126129504564"/>
    <n v="50273.88"/>
    <n v="12941301.890000001"/>
    <x v="0"/>
    <m/>
    <m/>
    <n v="0"/>
    <n v="-516"/>
    <n v="-500.52"/>
    <n v="-309.60000000000002"/>
    <n v="51599.999999999993"/>
  </r>
  <r>
    <x v="25"/>
    <x v="0"/>
    <n v="125578259241"/>
    <n v="3660.54"/>
    <n v="12944962.43"/>
    <x v="0"/>
    <m/>
    <m/>
    <n v="0"/>
    <n v="-39"/>
    <n v="-177.06"/>
    <n v="-23.4"/>
    <n v="3900"/>
  </r>
  <r>
    <x v="25"/>
    <x v="0"/>
    <n v="125578192035"/>
    <n v="15209.67"/>
    <n v="12960172.1"/>
    <x v="0"/>
    <m/>
    <m/>
    <n v="0"/>
    <n v="-161"/>
    <n v="-632.73"/>
    <n v="-96.6"/>
    <n v="16100"/>
  </r>
  <r>
    <x v="25"/>
    <x v="0"/>
    <n v="126130624264"/>
    <n v="7321.08"/>
    <n v="12967493.18"/>
    <x v="0"/>
    <m/>
    <m/>
    <n v="0"/>
    <n v="-78"/>
    <n v="-354.12"/>
    <n v="-46.8"/>
    <n v="7800"/>
  </r>
  <r>
    <x v="25"/>
    <x v="0"/>
    <n v="126131114974"/>
    <n v="55158.9"/>
    <n v="13022652.08"/>
    <x v="0"/>
    <m/>
    <m/>
    <n v="0"/>
    <n v="-570"/>
    <n v="-929.1"/>
    <n v="-342"/>
    <n v="57000"/>
  </r>
  <r>
    <x v="25"/>
    <x v="0"/>
    <n v="126131164784"/>
    <n v="23806.44"/>
    <n v="13046458.52"/>
    <x v="0"/>
    <m/>
    <m/>
    <n v="0"/>
    <n v="-252"/>
    <n v="-990.36"/>
    <n v="-151.19999999999999"/>
    <n v="25200"/>
  </r>
  <r>
    <x v="25"/>
    <x v="0"/>
    <n v="126131278306"/>
    <n v="19388.57"/>
    <n v="13065847.09"/>
    <x v="0"/>
    <m/>
    <m/>
    <n v="0"/>
    <n v="-199"/>
    <n v="-193.03"/>
    <n v="-119.4"/>
    <n v="19900"/>
  </r>
  <r>
    <x v="25"/>
    <x v="79"/>
    <n v="125578968239"/>
    <n v="974.1"/>
    <n v="13066821.189999999"/>
    <x v="0"/>
    <m/>
    <m/>
    <n v="-14.93"/>
    <n v="0"/>
    <n v="0"/>
    <n v="-5.97"/>
    <n v="995"/>
  </r>
  <r>
    <x v="25"/>
    <x v="0"/>
    <n v="125578892085"/>
    <n v="12763.33"/>
    <n v="13079584.52"/>
    <x v="0"/>
    <m/>
    <m/>
    <n v="0"/>
    <n v="-131"/>
    <n v="-127.07"/>
    <n v="-78.599999999999994"/>
    <n v="13100"/>
  </r>
  <r>
    <x v="25"/>
    <x v="0"/>
    <n v="126131480124"/>
    <n v="22334.34"/>
    <n v="13101918.859999999"/>
    <x v="0"/>
    <m/>
    <m/>
    <n v="0"/>
    <n v="-246"/>
    <n v="-1872.06"/>
    <n v="-147.6"/>
    <n v="24600"/>
  </r>
  <r>
    <x v="25"/>
    <x v="80"/>
    <n v="126131385030"/>
    <n v="2408.34"/>
    <n v="13104327.199999999"/>
    <x v="0"/>
    <m/>
    <m/>
    <n v="-36.9"/>
    <n v="0"/>
    <n v="0"/>
    <n v="-14.76"/>
    <n v="2460.0000000000005"/>
  </r>
  <r>
    <x v="25"/>
    <x v="0"/>
    <n v="125579030099"/>
    <n v="20362.87"/>
    <n v="13124690.07"/>
    <x v="0"/>
    <m/>
    <m/>
    <n v="0"/>
    <n v="-209"/>
    <n v="-202.73"/>
    <n v="-125.4"/>
    <n v="20900"/>
  </r>
  <r>
    <x v="25"/>
    <x v="0"/>
    <n v="125579346241"/>
    <n v="29143.59"/>
    <n v="13153833.66"/>
    <x v="0"/>
    <m/>
    <m/>
    <n v="0"/>
    <n v="-321"/>
    <n v="-2442.81"/>
    <n v="-192.6"/>
    <n v="32100"/>
  </r>
  <r>
    <x v="25"/>
    <x v="0"/>
    <n v="125579320835"/>
    <n v="11052.99"/>
    <n v="13164886.65"/>
    <x v="0"/>
    <m/>
    <m/>
    <n v="0"/>
    <n v="-117"/>
    <n v="-459.81"/>
    <n v="-70.2"/>
    <n v="11700"/>
  </r>
  <r>
    <x v="25"/>
    <x v="0"/>
    <n v="126131790334"/>
    <n v="24747.22"/>
    <n v="13189633.869999999"/>
    <x v="0"/>
    <m/>
    <m/>
    <n v="0"/>
    <n v="-254"/>
    <n v="-246.38"/>
    <n v="-152.4"/>
    <n v="25400.000000000004"/>
  </r>
  <r>
    <x v="25"/>
    <x v="0"/>
    <n v="126131685768"/>
    <n v="59529.73"/>
    <n v="13249163.6"/>
    <x v="0"/>
    <m/>
    <m/>
    <n v="0"/>
    <n v="-611"/>
    <n v="-592.66999999999996"/>
    <n v="-366.6"/>
    <n v="61100"/>
  </r>
  <r>
    <x v="25"/>
    <x v="0"/>
    <n v="126131769430"/>
    <n v="7794.4"/>
    <n v="13256958"/>
    <x v="0"/>
    <m/>
    <m/>
    <n v="0"/>
    <n v="-80"/>
    <n v="-77.599999999999994"/>
    <n v="-48"/>
    <n v="8000"/>
  </r>
  <r>
    <x v="25"/>
    <x v="0"/>
    <n v="125579567091"/>
    <n v="26306.1"/>
    <n v="13283264.1"/>
    <x v="0"/>
    <m/>
    <m/>
    <n v="0"/>
    <n v="-270"/>
    <n v="-261.89999999999998"/>
    <n v="-162"/>
    <n v="27000"/>
  </r>
  <r>
    <x v="25"/>
    <x v="0"/>
    <n v="125579583955"/>
    <n v="9255.85"/>
    <n v="13292519.949999999"/>
    <x v="0"/>
    <m/>
    <m/>
    <n v="0"/>
    <n v="-95"/>
    <n v="-92.15"/>
    <n v="-57"/>
    <n v="9500"/>
  </r>
  <r>
    <x v="25"/>
    <x v="0"/>
    <n v="125641694887"/>
    <n v="10717.3"/>
    <n v="13303237.25"/>
    <x v="0"/>
    <m/>
    <m/>
    <n v="0"/>
    <n v="-110"/>
    <n v="-106.7"/>
    <n v="-66"/>
    <n v="11000"/>
  </r>
  <r>
    <x v="25"/>
    <x v="81"/>
    <n v="125641720659"/>
    <n v="538.45000000000005"/>
    <n v="13303775.699999999"/>
    <x v="0"/>
    <m/>
    <m/>
    <n v="-8.25"/>
    <n v="0"/>
    <n v="0"/>
    <n v="-3.3"/>
    <n v="550"/>
  </r>
  <r>
    <x v="25"/>
    <x v="0"/>
    <n v="126195667264"/>
    <n v="8502.2999999999993"/>
    <n v="13312278"/>
    <x v="0"/>
    <m/>
    <m/>
    <n v="0"/>
    <n v="-90"/>
    <n v="-353.7"/>
    <n v="-54"/>
    <n v="9000"/>
  </r>
  <r>
    <x v="25"/>
    <x v="0"/>
    <n v="125647221653"/>
    <n v="7599.54"/>
    <n v="13319877.539999999"/>
    <x v="0"/>
    <m/>
    <m/>
    <n v="0"/>
    <n v="-78"/>
    <n v="-75.66"/>
    <n v="-46.8"/>
    <n v="7800"/>
  </r>
  <r>
    <x v="25"/>
    <x v="82"/>
    <n v="125647203977"/>
    <n v="763.62"/>
    <n v="13320641.16"/>
    <x v="0"/>
    <m/>
    <m/>
    <n v="-11.7"/>
    <n v="0"/>
    <n v="0"/>
    <n v="-4.68"/>
    <n v="780"/>
  </r>
  <r>
    <x v="25"/>
    <x v="0"/>
    <n v="126199806570"/>
    <n v="22408.9"/>
    <n v="13343050.060000001"/>
    <x v="0"/>
    <m/>
    <m/>
    <n v="0"/>
    <n v="-230"/>
    <n v="-223.1"/>
    <n v="-138"/>
    <n v="23000"/>
  </r>
  <r>
    <x v="25"/>
    <x v="0"/>
    <n v="125648509125"/>
    <n v="5163.79"/>
    <n v="13348213.85"/>
    <x v="0"/>
    <m/>
    <m/>
    <n v="0"/>
    <n v="-53"/>
    <n v="-51.41"/>
    <n v="-31.8"/>
    <n v="5300"/>
  </r>
  <r>
    <x v="25"/>
    <x v="0"/>
    <n v="126202107638"/>
    <n v="24513.3"/>
    <n v="13372727.15"/>
    <x v="0"/>
    <m/>
    <m/>
    <n v="0"/>
    <n v="-270"/>
    <n v="-2054.6999999999998"/>
    <n v="-162"/>
    <n v="27000"/>
  </r>
  <r>
    <x v="25"/>
    <x v="0"/>
    <n v="125650842711"/>
    <n v="20877.87"/>
    <n v="13393605.02"/>
    <x v="0"/>
    <m/>
    <m/>
    <n v="0"/>
    <n v="-221"/>
    <n v="-868.53"/>
    <n v="-132.6"/>
    <n v="22099.999999999996"/>
  </r>
  <r>
    <x v="25"/>
    <x v="0"/>
    <n v="126208398932"/>
    <n v="37023.4"/>
    <n v="13430628.42"/>
    <x v="0"/>
    <m/>
    <m/>
    <n v="0"/>
    <n v="-380"/>
    <n v="-368.6"/>
    <n v="-228"/>
    <n v="38000"/>
  </r>
  <r>
    <x v="25"/>
    <x v="0"/>
    <n v="125656403991"/>
    <n v="18121.98"/>
    <n v="13448750.4"/>
    <x v="0"/>
    <m/>
    <m/>
    <n v="0"/>
    <n v="-186"/>
    <n v="-180.42"/>
    <n v="-111.6"/>
    <n v="18599.999999999996"/>
  </r>
  <r>
    <x v="25"/>
    <x v="0"/>
    <n v="126209525276"/>
    <n v="13547.8"/>
    <n v="13462298.199999999"/>
    <x v="0"/>
    <m/>
    <m/>
    <n v="0"/>
    <n v="-140"/>
    <n v="-228.2"/>
    <n v="-84"/>
    <n v="14000"/>
  </r>
  <r>
    <x v="25"/>
    <x v="0"/>
    <n v="126210057176"/>
    <n v="21608.02"/>
    <n v="13483906.220000001"/>
    <x v="0"/>
    <m/>
    <m/>
    <n v="0"/>
    <n v="-238"/>
    <n v="-1811.18"/>
    <n v="-142.80000000000001"/>
    <n v="23800"/>
  </r>
  <r>
    <x v="25"/>
    <x v="0"/>
    <n v="126211365010"/>
    <n v="31469.89"/>
    <n v="13515376.109999999"/>
    <x v="0"/>
    <m/>
    <m/>
    <n v="0"/>
    <n v="-323"/>
    <n v="-313.31"/>
    <n v="-193.8"/>
    <n v="32300"/>
  </r>
  <r>
    <x v="25"/>
    <x v="0"/>
    <n v="125659456895"/>
    <n v="8378.98"/>
    <n v="13523755.09"/>
    <x v="0"/>
    <m/>
    <m/>
    <n v="0"/>
    <n v="-86"/>
    <n v="-83.42"/>
    <n v="-51.6"/>
    <n v="8600"/>
  </r>
  <r>
    <x v="25"/>
    <x v="0"/>
    <n v="125659954419"/>
    <n v="39361.72"/>
    <n v="13563116.810000001"/>
    <x v="0"/>
    <m/>
    <m/>
    <n v="0"/>
    <n v="-404"/>
    <n v="-391.88"/>
    <n v="-242.4"/>
    <n v="40400"/>
  </r>
  <r>
    <x v="25"/>
    <x v="0"/>
    <n v="125659996117"/>
    <n v="42674.34"/>
    <n v="13605791.15"/>
    <x v="0"/>
    <m/>
    <m/>
    <n v="0"/>
    <n v="-438"/>
    <n v="-424.86"/>
    <n v="-262.8"/>
    <n v="43800"/>
  </r>
  <r>
    <x v="25"/>
    <x v="0"/>
    <n v="126212628608"/>
    <n v="9730.41"/>
    <n v="13615521.560000001"/>
    <x v="0"/>
    <m/>
    <m/>
    <n v="0"/>
    <n v="-103"/>
    <n v="-404.79"/>
    <n v="-61.8"/>
    <n v="10300"/>
  </r>
  <r>
    <x v="25"/>
    <x v="0"/>
    <n v="126213107032"/>
    <n v="28157.27"/>
    <n v="13643678.83"/>
    <x v="0"/>
    <m/>
    <m/>
    <n v="0"/>
    <n v="-289"/>
    <n v="-280.33"/>
    <n v="-173.4"/>
    <n v="28900.000000000004"/>
  </r>
  <r>
    <x v="25"/>
    <x v="0"/>
    <n v="126213201364"/>
    <n v="76872.27"/>
    <n v="13720551.1"/>
    <x v="0"/>
    <m/>
    <m/>
    <n v="0"/>
    <n v="-789"/>
    <n v="-765.33"/>
    <n v="-473.4"/>
    <n v="78900"/>
  </r>
  <r>
    <x v="25"/>
    <x v="0"/>
    <n v="126213444444"/>
    <n v="4384.3500000000004"/>
    <n v="13724935.449999999"/>
    <x v="0"/>
    <m/>
    <m/>
    <n v="0"/>
    <n v="-45"/>
    <n v="-43.65"/>
    <n v="-27"/>
    <n v="4500"/>
  </r>
  <r>
    <x v="25"/>
    <x v="0"/>
    <n v="125661802007"/>
    <n v="66129"/>
    <n v="13791064.449999999"/>
    <x v="0"/>
    <m/>
    <m/>
    <n v="0"/>
    <n v="-700"/>
    <n v="-2751"/>
    <n v="-420"/>
    <n v="70000"/>
  </r>
  <r>
    <x v="25"/>
    <x v="0"/>
    <n v="125662278353"/>
    <n v="19973.150000000001"/>
    <n v="13811037.6"/>
    <x v="0"/>
    <m/>
    <m/>
    <n v="0"/>
    <n v="-205"/>
    <n v="-198.85"/>
    <n v="-123"/>
    <n v="20500"/>
  </r>
  <r>
    <x v="25"/>
    <x v="0"/>
    <n v="126214829960"/>
    <n v="47740.7"/>
    <n v="13858778.300000001"/>
    <x v="0"/>
    <m/>
    <m/>
    <n v="0"/>
    <n v="-490"/>
    <n v="-475.3"/>
    <n v="-294"/>
    <n v="49000"/>
  </r>
  <r>
    <x v="25"/>
    <x v="0"/>
    <n v="125662860685"/>
    <n v="39582.93"/>
    <n v="13898361.23"/>
    <x v="0"/>
    <m/>
    <m/>
    <n v="0"/>
    <n v="-419"/>
    <n v="-1646.67"/>
    <n v="-251.4"/>
    <n v="41900"/>
  </r>
  <r>
    <x v="25"/>
    <x v="0"/>
    <n v="125663240327"/>
    <n v="11241.93"/>
    <n v="13909603.16"/>
    <x v="0"/>
    <m/>
    <m/>
    <n v="0"/>
    <n v="-119"/>
    <n v="-467.67"/>
    <n v="-71.400000000000006"/>
    <n v="11900"/>
  </r>
  <r>
    <x v="25"/>
    <x v="0"/>
    <n v="125663262315"/>
    <n v="17342.54"/>
    <n v="13926945.699999999"/>
    <x v="0"/>
    <m/>
    <m/>
    <n v="0"/>
    <n v="-178"/>
    <n v="-172.66"/>
    <n v="-106.8"/>
    <n v="17800"/>
  </r>
  <r>
    <x v="25"/>
    <x v="0"/>
    <n v="126215681054"/>
    <n v="41094.449999999997"/>
    <n v="13968040.15"/>
    <x v="0"/>
    <m/>
    <m/>
    <n v="0"/>
    <n v="-435"/>
    <n v="-1709.55"/>
    <n v="-261"/>
    <n v="43500"/>
  </r>
  <r>
    <x v="21"/>
    <x v="61"/>
    <n v="127363517828"/>
    <n v="-184602.4"/>
    <n v="7895141.2400000002"/>
    <x v="1"/>
    <n v="-183501.39165009939"/>
    <n v="-1101.0083499005996"/>
    <n v="0"/>
    <n v="0"/>
    <n v="0"/>
    <m/>
    <n v="-184602.4"/>
  </r>
  <r>
    <x v="21"/>
    <x v="61"/>
    <n v="127365725240"/>
    <n v="-325277.90000000002"/>
    <n v="7568755.7300000004"/>
    <x v="1"/>
    <n v="-323337.87276341952"/>
    <n v="-1940.0272365804994"/>
    <n v="0"/>
    <n v="0"/>
    <n v="0"/>
    <m/>
    <n v="-325277.90000000002"/>
  </r>
  <r>
    <x v="3"/>
    <x v="0"/>
    <n v="125664117927"/>
    <n v="57288.84"/>
    <n v="14025328.99"/>
    <x v="0"/>
    <m/>
    <m/>
    <n v="0"/>
    <n v="-588"/>
    <n v="-570.36"/>
    <n v="-352.8"/>
    <n v="58800"/>
  </r>
  <r>
    <x v="3"/>
    <x v="0"/>
    <n v="126216706478"/>
    <n v="83692.37"/>
    <n v="14109021.359999999"/>
    <x v="0"/>
    <m/>
    <m/>
    <n v="0"/>
    <n v="-859"/>
    <n v="-833.23"/>
    <n v="-515.4"/>
    <n v="85899.999999999985"/>
  </r>
  <r>
    <x v="3"/>
    <x v="0"/>
    <n v="126216657442"/>
    <n v="31630.82"/>
    <n v="14140652.18"/>
    <x v="0"/>
    <m/>
    <m/>
    <n v="0"/>
    <n v="-337"/>
    <n v="-1529.98"/>
    <n v="-202.2"/>
    <n v="33700"/>
  </r>
  <r>
    <x v="3"/>
    <x v="0"/>
    <n v="126216807538"/>
    <n v="22896.05"/>
    <n v="14163548.23"/>
    <x v="0"/>
    <m/>
    <m/>
    <n v="0"/>
    <n v="-235"/>
    <n v="-227.95"/>
    <n v="-141"/>
    <n v="23500"/>
  </r>
  <r>
    <x v="3"/>
    <x v="0"/>
    <n v="126217102720"/>
    <n v="26988.11"/>
    <n v="14190536.34"/>
    <x v="0"/>
    <m/>
    <m/>
    <n v="0"/>
    <n v="-277"/>
    <n v="-268.69"/>
    <n v="-166.2"/>
    <n v="27700"/>
  </r>
  <r>
    <x v="3"/>
    <x v="0"/>
    <n v="126217490808"/>
    <n v="8768.7000000000007"/>
    <n v="14199305.039999999"/>
    <x v="0"/>
    <m/>
    <m/>
    <n v="0"/>
    <n v="-90"/>
    <n v="-87.3"/>
    <n v="-54"/>
    <n v="9000"/>
  </r>
  <r>
    <x v="3"/>
    <x v="0"/>
    <n v="126217984052"/>
    <n v="48812.43"/>
    <n v="14248117.470000001"/>
    <x v="0"/>
    <m/>
    <m/>
    <n v="0"/>
    <n v="-501"/>
    <n v="-485.97"/>
    <n v="-300.60000000000002"/>
    <n v="50100"/>
  </r>
  <r>
    <x v="3"/>
    <x v="83"/>
    <n v="126218156282"/>
    <n v="4904.79"/>
    <n v="14253022.26"/>
    <x v="0"/>
    <m/>
    <m/>
    <n v="-75.150000000000006"/>
    <n v="0"/>
    <n v="0"/>
    <n v="-30.06"/>
    <n v="5010"/>
  </r>
  <r>
    <x v="3"/>
    <x v="0"/>
    <n v="126218238140"/>
    <n v="35172.230000000003"/>
    <n v="14288194.49"/>
    <x v="0"/>
    <m/>
    <m/>
    <n v="0"/>
    <n v="-361"/>
    <n v="-350.17"/>
    <n v="-216.6"/>
    <n v="36100"/>
  </r>
  <r>
    <x v="3"/>
    <x v="0"/>
    <n v="126218221652"/>
    <n v="21063.279999999999"/>
    <n v="14309257.77"/>
    <x v="0"/>
    <m/>
    <m/>
    <n v="0"/>
    <n v="-232"/>
    <n v="-1765.52"/>
    <n v="-139.19999999999999"/>
    <n v="23200"/>
  </r>
  <r>
    <x v="3"/>
    <x v="0"/>
    <n v="125666113965"/>
    <n v="37607.980000000003"/>
    <n v="14346865.75"/>
    <x v="0"/>
    <m/>
    <m/>
    <n v="0"/>
    <n v="-386"/>
    <n v="-374.42"/>
    <n v="-231.6"/>
    <n v="38600"/>
  </r>
  <r>
    <x v="0"/>
    <x v="84"/>
    <n v="124454118654"/>
    <n v="-273665.15999999997"/>
    <n v="12453121.779999999"/>
    <x v="1"/>
    <n v="-272032.96222664014"/>
    <n v="-1632.1977733598324"/>
    <n v="0"/>
    <n v="0"/>
    <n v="0"/>
    <m/>
    <n v="-273665.15999999997"/>
  </r>
  <r>
    <x v="13"/>
    <x v="84"/>
    <n v="125360500974"/>
    <n v="-270624.43"/>
    <n v="12023488.58"/>
    <x v="1"/>
    <n v="-269010.36779324053"/>
    <n v="-1614.0622067594668"/>
    <n v="0"/>
    <n v="0"/>
    <n v="0"/>
    <m/>
    <n v="-270624.43"/>
  </r>
  <r>
    <x v="3"/>
    <x v="84"/>
    <n v="125715190737"/>
    <n v="-264542.99"/>
    <n v="12408268.34"/>
    <x v="1"/>
    <n v="-262965.19880715705"/>
    <n v="-1577.7911928429385"/>
    <n v="0"/>
    <n v="0"/>
    <n v="0"/>
    <m/>
    <n v="-264542.99"/>
  </r>
  <r>
    <x v="2"/>
    <x v="84"/>
    <n v="127124821744"/>
    <n v="-176361.99"/>
    <n v="9813043.6099999994"/>
    <x v="1"/>
    <n v="-175310.12922465208"/>
    <n v="-1051.8607753479155"/>
    <n v="0"/>
    <n v="0"/>
    <n v="0"/>
    <m/>
    <n v="-176361.99"/>
  </r>
  <r>
    <x v="7"/>
    <x v="84"/>
    <n v="127373558177"/>
    <n v="-261502.26"/>
    <n v="12258965.01"/>
    <x v="1"/>
    <n v="-259942.60437375747"/>
    <n v="-1559.6556262425438"/>
    <n v="0"/>
    <n v="0"/>
    <n v="0"/>
    <m/>
    <n v="-261502.26"/>
  </r>
  <r>
    <x v="12"/>
    <x v="85"/>
    <n v="124474681067"/>
    <n v="-2213333.84"/>
    <n v="6963485.04"/>
    <x v="3"/>
    <n v="-2200133.041749503"/>
    <n v="-13200.798250496853"/>
    <n v="0"/>
    <n v="0"/>
    <n v="0"/>
    <n v="-13200.798250496853"/>
    <n v="-2200133.041749503"/>
  </r>
  <r>
    <x v="2"/>
    <x v="85"/>
    <n v="126558339359"/>
    <n v="-527435.88"/>
    <n v="10882841.75"/>
    <x v="3"/>
    <n v="-524290.13916500995"/>
    <n v="-3145.7408349900506"/>
    <n v="0"/>
    <n v="0"/>
    <n v="0"/>
    <n v="-3145.7408349900506"/>
    <n v="-524290.13916500995"/>
  </r>
  <r>
    <x v="2"/>
    <x v="85"/>
    <n v="127135771494"/>
    <n v="-736855.88"/>
    <n v="8760140.9000000004"/>
    <x v="3"/>
    <n v="-732461.11332007952"/>
    <n v="-4394.766679920489"/>
    <n v="0"/>
    <n v="0"/>
    <n v="0"/>
    <n v="-4394.766679920489"/>
    <n v="-732461.11332007952"/>
  </r>
  <r>
    <x v="26"/>
    <x v="85"/>
    <n v="128067663200"/>
    <n v="-71540.38"/>
    <n v="10882608.51"/>
    <x v="3"/>
    <n v="-71113.697813121282"/>
    <n v="-426.68218687872286"/>
    <n v="0"/>
    <n v="0"/>
    <n v="0"/>
    <n v="-426.68218687872286"/>
    <n v="-71113.697813121282"/>
  </r>
  <r>
    <x v="11"/>
    <x v="86"/>
    <n v="124295531407"/>
    <n v="-21729.59"/>
    <n v="8448248.3800000008"/>
    <x v="1"/>
    <n v="-21599.990059642147"/>
    <n v="-129.59994035785348"/>
    <n v="0"/>
    <n v="0"/>
    <n v="0"/>
    <n v="-129.59994035785348"/>
    <n v="-21599.990059642147"/>
  </r>
  <r>
    <x v="3"/>
    <x v="86"/>
    <n v="126316363178"/>
    <n v="-21729.59"/>
    <n v="11463548.85"/>
    <x v="1"/>
    <n v="-21599.990059642147"/>
    <n v="-129.59994035785348"/>
    <n v="0"/>
    <n v="0"/>
    <n v="0"/>
    <n v="-129.59994035785348"/>
    <n v="-21599.990059642147"/>
  </r>
  <r>
    <x v="7"/>
    <x v="86"/>
    <n v="127934358644"/>
    <n v="-46356.45"/>
    <n v="13718586.619999999"/>
    <x v="1"/>
    <n v="-46079.970178926436"/>
    <n v="-276.47982107356074"/>
    <n v="0"/>
    <n v="0"/>
    <n v="0"/>
    <n v="-276.47982107356074"/>
    <n v="-46079.970178926436"/>
  </r>
  <r>
    <x v="0"/>
    <x v="87"/>
    <n v="124489977054"/>
    <n v="-168677.75"/>
    <n v="12044736.16"/>
    <x v="1"/>
    <n v="-167671.71968190855"/>
    <n v="-1006.0303180914489"/>
    <n v="0"/>
    <n v="0"/>
    <n v="0"/>
    <m/>
    <n v="-168677.75"/>
  </r>
  <r>
    <x v="9"/>
    <x v="88"/>
    <n v="124014458903"/>
    <n v="-982084.1"/>
    <n v="11061639.99"/>
    <x v="1"/>
    <n v="-976226.73956262425"/>
    <n v="-5857.3604373757262"/>
    <n v="0"/>
    <n v="0"/>
    <n v="0"/>
    <m/>
    <n v="-982084.1"/>
  </r>
  <r>
    <x v="20"/>
    <x v="88"/>
    <n v="126006760321"/>
    <n v="-1052954.1000000001"/>
    <n v="7907407.5199999996"/>
    <x v="1"/>
    <n v="-1046674.0556660041"/>
    <n v="-6280.0443339960184"/>
    <n v="0"/>
    <n v="0"/>
    <n v="0"/>
    <m/>
    <n v="-1052954.1000000001"/>
  </r>
  <r>
    <x v="12"/>
    <x v="89"/>
    <n v="124420739261"/>
    <n v="-433268.17"/>
    <n v="9179418.4900000002"/>
    <x v="1"/>
    <n v="-430684.06560636184"/>
    <n v="-2584.1043936381466"/>
    <n v="0"/>
    <n v="0"/>
    <n v="0"/>
    <m/>
    <n v="-433268.17"/>
  </r>
  <r>
    <x v="14"/>
    <x v="90"/>
    <n v="125490840846"/>
    <n v="-155963.28"/>
    <n v="8563174.4000000004"/>
    <x v="1"/>
    <n v="-155033.0815109344"/>
    <n v="-930.19848906560219"/>
    <n v="0"/>
    <n v="0"/>
    <n v="0"/>
    <m/>
    <n v="-155963.28"/>
  </r>
  <r>
    <x v="8"/>
    <x v="91"/>
    <n v="125259476811"/>
    <n v="-162750"/>
    <n v="7550182.2999999998"/>
    <x v="1"/>
    <n v="-161779.32405566602"/>
    <n v="-970.67594433398335"/>
    <n v="0"/>
    <n v="0"/>
    <n v="0"/>
    <m/>
    <n v="-162750"/>
  </r>
  <r>
    <x v="0"/>
    <x v="92"/>
    <n v="124446003662"/>
    <n v="-91714.5"/>
    <n v="12727337.23"/>
    <x v="1"/>
    <n v="-91167.495029821075"/>
    <n v="-547.00497017892485"/>
    <n v="0"/>
    <n v="0"/>
    <n v="0"/>
    <m/>
    <n v="-91714.5"/>
  </r>
  <r>
    <x v="13"/>
    <x v="92"/>
    <n v="125391966586"/>
    <n v="-95058.37"/>
    <n v="10581210.43"/>
    <x v="1"/>
    <n v="-94491.421471172958"/>
    <n v="-566.94852882703708"/>
    <n v="0"/>
    <n v="0"/>
    <n v="0"/>
    <m/>
    <n v="-95058.37"/>
  </r>
  <r>
    <x v="4"/>
    <x v="92"/>
    <n v="126240876525"/>
    <n v="-149573.5"/>
    <n v="7954893.54"/>
    <x v="1"/>
    <n v="-148681.41153081512"/>
    <n v="-892.08846918487689"/>
    <n v="0"/>
    <n v="0"/>
    <n v="0"/>
    <m/>
    <n v="-149573.5"/>
  </r>
  <r>
    <x v="13"/>
    <x v="93"/>
    <n v="124814220147"/>
    <n v="-991916"/>
    <n v="11029948.83"/>
    <x v="4"/>
    <n v="-986000"/>
    <n v="-5916"/>
    <n v="0"/>
    <n v="0"/>
    <n v="0"/>
    <n v="-5916"/>
    <n v="-986000"/>
  </r>
  <r>
    <x v="13"/>
    <x v="93"/>
    <n v="125402462672"/>
    <n v="-1861502.4"/>
    <n v="8719137.6799999997"/>
    <x v="4"/>
    <n v="-1850400"/>
    <n v="-11102.399999999907"/>
    <n v="0"/>
    <n v="0"/>
    <n v="0"/>
    <n v="-11102.399999999907"/>
    <n v="-1850400"/>
  </r>
  <r>
    <x v="3"/>
    <x v="93"/>
    <n v="126258081176"/>
    <n v="-857112"/>
    <n v="12672811.33"/>
    <x v="4"/>
    <n v="-852000"/>
    <n v="-5112"/>
    <n v="0"/>
    <n v="0"/>
    <n v="0"/>
    <n v="-5112"/>
    <n v="-852000"/>
  </r>
  <r>
    <x v="27"/>
    <x v="93"/>
    <n v="126672617220"/>
    <n v="-989904"/>
    <n v="7620810.7199999997"/>
    <x v="4"/>
    <n v="-984000"/>
    <n v="-5904"/>
    <n v="0"/>
    <n v="0"/>
    <n v="0"/>
    <n v="-5904"/>
    <n v="-984000"/>
  </r>
  <r>
    <x v="23"/>
    <x v="94"/>
    <n v="127087676739"/>
    <n v="-233204.26"/>
    <n v="8004216.1299999999"/>
    <x v="1"/>
    <n v="-231813.37972166997"/>
    <n v="-1390.8802783300343"/>
    <n v="0"/>
    <n v="0"/>
    <n v="0"/>
    <m/>
    <n v="-233204.26"/>
  </r>
  <r>
    <x v="20"/>
    <x v="0"/>
    <n v="126032999989"/>
    <n v="8378.98"/>
    <n v="7909468.7800000003"/>
    <x v="0"/>
    <m/>
    <m/>
    <n v="0"/>
    <n v="-86"/>
    <n v="-83.42"/>
    <n v="-51.6"/>
    <n v="8600"/>
  </r>
  <r>
    <x v="20"/>
    <x v="0"/>
    <n v="126591409114"/>
    <n v="8124.42"/>
    <n v="7917593.2000000002"/>
    <x v="0"/>
    <m/>
    <m/>
    <n v="0"/>
    <n v="-86"/>
    <n v="-337.98"/>
    <n v="-51.6"/>
    <n v="8600"/>
  </r>
  <r>
    <x v="20"/>
    <x v="0"/>
    <n v="126036386561"/>
    <n v="12568.47"/>
    <n v="7930161.6699999999"/>
    <x v="0"/>
    <m/>
    <m/>
    <n v="0"/>
    <n v="-129"/>
    <n v="-125.13"/>
    <n v="-77.400000000000006"/>
    <n v="12899.999999999998"/>
  </r>
  <r>
    <x v="20"/>
    <x v="0"/>
    <n v="126594945894"/>
    <n v="9446.06"/>
    <n v="7939607.7300000004"/>
    <x v="0"/>
    <m/>
    <m/>
    <n v="0"/>
    <n v="-99.99"/>
    <n v="-392.96"/>
    <n v="-59.99"/>
    <n v="9998.9999999999982"/>
  </r>
  <r>
    <x v="20"/>
    <x v="0"/>
    <n v="126597067472"/>
    <n v="8378.98"/>
    <n v="7947986.71"/>
    <x v="0"/>
    <m/>
    <m/>
    <n v="0"/>
    <n v="-86"/>
    <n v="-83.42"/>
    <n v="-51.6"/>
    <n v="8600"/>
  </r>
  <r>
    <x v="20"/>
    <x v="0"/>
    <n v="126597591802"/>
    <n v="37704.44"/>
    <n v="7985691.1500000004"/>
    <x v="0"/>
    <m/>
    <m/>
    <n v="0"/>
    <n v="-386.99"/>
    <n v="-375.38"/>
    <n v="-232.19"/>
    <n v="38699"/>
  </r>
  <r>
    <x v="20"/>
    <x v="0"/>
    <n v="126043752843"/>
    <n v="42576.86"/>
    <n v="8028268.0099999998"/>
    <x v="0"/>
    <m/>
    <m/>
    <n v="0"/>
    <n v="-439.98"/>
    <n v="-717.17"/>
    <n v="-263.99"/>
    <n v="43998"/>
  </r>
  <r>
    <x v="20"/>
    <x v="0"/>
    <n v="126600508822"/>
    <n v="19291.14"/>
    <n v="8047559.1500000004"/>
    <x v="0"/>
    <m/>
    <m/>
    <n v="0"/>
    <n v="-198"/>
    <n v="-192.06"/>
    <n v="-118.8"/>
    <n v="19800"/>
  </r>
  <r>
    <x v="20"/>
    <x v="0"/>
    <n v="126045198407"/>
    <n v="25136.94"/>
    <n v="8072696.0899999999"/>
    <x v="0"/>
    <m/>
    <m/>
    <n v="0"/>
    <n v="-258"/>
    <n v="-250.26"/>
    <n v="-154.80000000000001"/>
    <n v="25799.999999999996"/>
  </r>
  <r>
    <x v="20"/>
    <x v="0"/>
    <n v="126046694901"/>
    <n v="49643.01"/>
    <n v="8122339.0999999996"/>
    <x v="0"/>
    <m/>
    <m/>
    <n v="0"/>
    <n v="-513"/>
    <n v="-836.19"/>
    <n v="-307.8"/>
    <n v="51300.000000000007"/>
  </r>
  <r>
    <x v="20"/>
    <x v="0"/>
    <n v="126046661655"/>
    <n v="69467.59"/>
    <n v="8191806.6900000004"/>
    <x v="0"/>
    <m/>
    <m/>
    <n v="0"/>
    <n v="-713"/>
    <n v="-691.61"/>
    <n v="-427.8"/>
    <n v="71300"/>
  </r>
  <r>
    <x v="20"/>
    <x v="0"/>
    <n v="126047122521"/>
    <n v="8378.98"/>
    <n v="8200185.6699999999"/>
    <x v="0"/>
    <m/>
    <m/>
    <n v="0"/>
    <n v="-86"/>
    <n v="-83.42"/>
    <n v="-51.6"/>
    <n v="8600"/>
  </r>
  <r>
    <x v="20"/>
    <x v="0"/>
    <n v="126047460401"/>
    <n v="19484.05"/>
    <n v="8219669.7199999997"/>
    <x v="0"/>
    <m/>
    <m/>
    <n v="0"/>
    <n v="-199.98"/>
    <n v="-193.98"/>
    <n v="-119.99"/>
    <n v="19998"/>
  </r>
  <r>
    <x v="20"/>
    <x v="0"/>
    <n v="126602656096"/>
    <n v="33223.629999999997"/>
    <n v="8252893.3499999996"/>
    <x v="0"/>
    <m/>
    <m/>
    <n v="0"/>
    <n v="-341"/>
    <n v="-330.77"/>
    <n v="-204.6"/>
    <n v="34099.999999999993"/>
  </r>
  <r>
    <x v="20"/>
    <x v="0"/>
    <n v="126603090892"/>
    <n v="33320.089999999997"/>
    <n v="8286213.4400000004"/>
    <x v="0"/>
    <m/>
    <m/>
    <n v="0"/>
    <n v="-341.99"/>
    <n v="-331.73"/>
    <n v="-205.19"/>
    <n v="34199"/>
  </r>
  <r>
    <x v="20"/>
    <x v="0"/>
    <n v="126603719712"/>
    <n v="4189.49"/>
    <n v="8290402.9299999997"/>
    <x v="0"/>
    <m/>
    <m/>
    <n v="0"/>
    <n v="-43"/>
    <n v="-41.71"/>
    <n v="-25.8"/>
    <n v="4300"/>
  </r>
  <r>
    <x v="20"/>
    <x v="0"/>
    <n v="126604501712"/>
    <n v="19778.29"/>
    <n v="8310181.2199999997"/>
    <x v="0"/>
    <m/>
    <m/>
    <n v="0"/>
    <n v="-203"/>
    <n v="-196.91"/>
    <n v="-121.8"/>
    <n v="20300"/>
  </r>
  <r>
    <x v="20"/>
    <x v="0"/>
    <n v="126604962718"/>
    <n v="27961.439999999999"/>
    <n v="8338142.6600000001"/>
    <x v="0"/>
    <m/>
    <m/>
    <n v="0"/>
    <n v="-286.99"/>
    <n v="-278.38"/>
    <n v="-172.19"/>
    <n v="28699"/>
  </r>
  <r>
    <x v="20"/>
    <x v="0"/>
    <n v="126605063444"/>
    <n v="79732.679999999993"/>
    <n v="8417875.3399999999"/>
    <x v="0"/>
    <m/>
    <m/>
    <n v="0"/>
    <n v="-844"/>
    <n v="-3316.92"/>
    <n v="-506.4"/>
    <n v="84399.999999999985"/>
  </r>
  <r>
    <x v="27"/>
    <x v="0"/>
    <n v="126050976059"/>
    <n v="9743"/>
    <n v="8427618.3399999999"/>
    <x v="0"/>
    <m/>
    <m/>
    <n v="0"/>
    <n v="-100"/>
    <n v="-97"/>
    <n v="-60"/>
    <n v="10000"/>
  </r>
  <r>
    <x v="27"/>
    <x v="0"/>
    <n v="126606760284"/>
    <n v="49388.86"/>
    <n v="8477007.1999999993"/>
    <x v="0"/>
    <m/>
    <m/>
    <n v="0"/>
    <n v="-543.99"/>
    <n v="-4139.76"/>
    <n v="-326.39"/>
    <n v="54399"/>
  </r>
  <r>
    <x v="27"/>
    <x v="0"/>
    <n v="126607039216"/>
    <n v="7807.94"/>
    <n v="8484815.1400000006"/>
    <x v="0"/>
    <m/>
    <m/>
    <n v="0"/>
    <n v="-86"/>
    <n v="-654.46"/>
    <n v="-51.6"/>
    <n v="8600"/>
  </r>
  <r>
    <x v="27"/>
    <x v="0"/>
    <n v="126608518506"/>
    <n v="8596.77"/>
    <n v="8493411.9100000001"/>
    <x v="0"/>
    <m/>
    <m/>
    <n v="0"/>
    <n v="-91"/>
    <n v="-357.63"/>
    <n v="-54.6"/>
    <n v="9100"/>
  </r>
  <r>
    <x v="27"/>
    <x v="0"/>
    <n v="126053089055"/>
    <n v="49785.760000000002"/>
    <n v="8543197.6699999999"/>
    <x v="0"/>
    <m/>
    <m/>
    <n v="0"/>
    <n v="-510.99"/>
    <n v="-495.66"/>
    <n v="-306.58999999999997"/>
    <n v="51099"/>
  </r>
  <r>
    <x v="27"/>
    <x v="0"/>
    <n v="126608907260"/>
    <n v="42868.23"/>
    <n v="8586065.9000000004"/>
    <x v="0"/>
    <m/>
    <m/>
    <n v="0"/>
    <n v="-439.99"/>
    <n v="-426.79"/>
    <n v="-263.99"/>
    <n v="43999"/>
  </r>
  <r>
    <x v="27"/>
    <x v="0"/>
    <n v="126054219383"/>
    <n v="24648.82"/>
    <n v="8610714.7200000007"/>
    <x v="0"/>
    <m/>
    <m/>
    <n v="0"/>
    <n v="-252.99"/>
    <n v="-245.4"/>
    <n v="-151.79"/>
    <n v="25299.000000000004"/>
  </r>
  <r>
    <x v="27"/>
    <x v="0"/>
    <n v="126157000377"/>
    <n v="8171.1"/>
    <n v="7628981.8200000003"/>
    <x v="0"/>
    <m/>
    <m/>
    <n v="0"/>
    <n v="-90"/>
    <n v="-684.9"/>
    <n v="-54"/>
    <n v="9000"/>
  </r>
  <r>
    <x v="27"/>
    <x v="0"/>
    <n v="126159013621"/>
    <n v="4189.49"/>
    <n v="7633171.3099999996"/>
    <x v="0"/>
    <m/>
    <m/>
    <n v="0"/>
    <n v="-43"/>
    <n v="-41.71"/>
    <n v="-25.8"/>
    <n v="4300"/>
  </r>
  <r>
    <x v="27"/>
    <x v="0"/>
    <n v="126715334666"/>
    <n v="25136.94"/>
    <n v="7658308.25"/>
    <x v="0"/>
    <m/>
    <m/>
    <n v="0"/>
    <n v="-258"/>
    <n v="-250.26"/>
    <n v="-154.80000000000001"/>
    <n v="25799.999999999996"/>
  </r>
  <r>
    <x v="27"/>
    <x v="0"/>
    <n v="126717656802"/>
    <n v="4189.49"/>
    <n v="7662497.7400000002"/>
    <x v="0"/>
    <m/>
    <m/>
    <n v="0"/>
    <n v="-43"/>
    <n v="-41.71"/>
    <n v="-25.8"/>
    <n v="4300"/>
  </r>
  <r>
    <x v="27"/>
    <x v="0"/>
    <n v="126163201675"/>
    <n v="8378.98"/>
    <n v="7670876.7199999997"/>
    <x v="0"/>
    <m/>
    <m/>
    <n v="0"/>
    <n v="-86"/>
    <n v="-83.42"/>
    <n v="-51.6"/>
    <n v="8600"/>
  </r>
  <r>
    <x v="27"/>
    <x v="0"/>
    <n v="126163696217"/>
    <n v="21971.18"/>
    <n v="7692847.9000000004"/>
    <x v="0"/>
    <m/>
    <m/>
    <n v="0"/>
    <n v="-242"/>
    <n v="-1841.62"/>
    <n v="-145.19999999999999"/>
    <n v="24200"/>
  </r>
  <r>
    <x v="27"/>
    <x v="0"/>
    <n v="126720176148"/>
    <n v="48572.65"/>
    <n v="7741420.5499999998"/>
    <x v="0"/>
    <m/>
    <m/>
    <n v="0"/>
    <n v="-535"/>
    <n v="-4071.35"/>
    <n v="-321"/>
    <n v="53500"/>
  </r>
  <r>
    <x v="27"/>
    <x v="0"/>
    <n v="126720731270"/>
    <n v="4189.49"/>
    <n v="7745610.04"/>
    <x v="0"/>
    <m/>
    <m/>
    <n v="0"/>
    <n v="-43"/>
    <n v="-41.71"/>
    <n v="-25.8"/>
    <n v="4300"/>
  </r>
  <r>
    <x v="27"/>
    <x v="0"/>
    <n v="126165274867"/>
    <n v="4062.21"/>
    <n v="7749672.25"/>
    <x v="0"/>
    <m/>
    <m/>
    <n v="0"/>
    <n v="-43"/>
    <n v="-168.99"/>
    <n v="-25.8"/>
    <n v="4300"/>
  </r>
  <r>
    <x v="27"/>
    <x v="0"/>
    <n v="126723007268"/>
    <n v="7172.41"/>
    <n v="7756844.6600000001"/>
    <x v="0"/>
    <m/>
    <m/>
    <n v="0"/>
    <n v="-79"/>
    <n v="-601.19000000000005"/>
    <n v="-47.4"/>
    <n v="7900"/>
  </r>
  <r>
    <x v="27"/>
    <x v="0"/>
    <n v="126723539042"/>
    <n v="4062.21"/>
    <n v="7760906.8700000001"/>
    <x v="0"/>
    <m/>
    <m/>
    <n v="0"/>
    <n v="-43"/>
    <n v="-168.99"/>
    <n v="-25.8"/>
    <n v="4300"/>
  </r>
  <r>
    <x v="27"/>
    <x v="0"/>
    <n v="126723765408"/>
    <n v="4189.49"/>
    <n v="7765096.3600000003"/>
    <x v="0"/>
    <m/>
    <m/>
    <n v="0"/>
    <n v="-43"/>
    <n v="-41.71"/>
    <n v="-25.8"/>
    <n v="4300"/>
  </r>
  <r>
    <x v="27"/>
    <x v="0"/>
    <n v="126724104590"/>
    <n v="8974.65"/>
    <n v="7774071.0099999998"/>
    <x v="0"/>
    <m/>
    <m/>
    <n v="0"/>
    <n v="-95"/>
    <n v="-373.35"/>
    <n v="-57"/>
    <n v="9500"/>
  </r>
  <r>
    <x v="27"/>
    <x v="0"/>
    <n v="126724308446"/>
    <n v="4189.49"/>
    <n v="7778260.5"/>
    <x v="0"/>
    <m/>
    <m/>
    <n v="0"/>
    <n v="-43"/>
    <n v="-41.71"/>
    <n v="-25.8"/>
    <n v="4300"/>
  </r>
  <r>
    <x v="27"/>
    <x v="0"/>
    <n v="126724304832"/>
    <n v="3799.77"/>
    <n v="7782060.2699999996"/>
    <x v="0"/>
    <m/>
    <m/>
    <n v="0"/>
    <n v="-39"/>
    <n v="-37.83"/>
    <n v="-23.4"/>
    <n v="3900"/>
  </r>
  <r>
    <x v="27"/>
    <x v="0"/>
    <n v="126169270677"/>
    <n v="5553.51"/>
    <n v="7787613.7800000003"/>
    <x v="0"/>
    <m/>
    <m/>
    <n v="0"/>
    <n v="-57"/>
    <n v="-55.29"/>
    <n v="-34.200000000000003"/>
    <n v="5700"/>
  </r>
  <r>
    <x v="27"/>
    <x v="0"/>
    <n v="126725418364"/>
    <n v="3410.05"/>
    <n v="7791023.8300000001"/>
    <x v="0"/>
    <m/>
    <m/>
    <n v="0"/>
    <n v="-35"/>
    <n v="-33.950000000000003"/>
    <n v="-21"/>
    <n v="3500"/>
  </r>
  <r>
    <x v="27"/>
    <x v="0"/>
    <n v="126725608370"/>
    <n v="3410.05"/>
    <n v="7794433.8799999999"/>
    <x v="0"/>
    <m/>
    <m/>
    <n v="0"/>
    <n v="-35"/>
    <n v="-33.950000000000003"/>
    <n v="-21"/>
    <n v="3500"/>
  </r>
  <r>
    <x v="27"/>
    <x v="0"/>
    <n v="126170159241"/>
    <n v="37032.239999999998"/>
    <n v="7831466.1200000001"/>
    <x v="0"/>
    <m/>
    <m/>
    <n v="0"/>
    <n v="-392"/>
    <n v="-1540.56"/>
    <n v="-235.2"/>
    <n v="39199.999999999993"/>
  </r>
  <r>
    <x v="27"/>
    <x v="0"/>
    <n v="126171003423"/>
    <n v="3410.05"/>
    <n v="7834876.1699999999"/>
    <x v="0"/>
    <m/>
    <m/>
    <n v="0"/>
    <n v="-35"/>
    <n v="-33.950000000000003"/>
    <n v="-21"/>
    <n v="3500"/>
  </r>
  <r>
    <x v="27"/>
    <x v="0"/>
    <n v="126171264709"/>
    <n v="4189.49"/>
    <n v="7839065.6600000001"/>
    <x v="0"/>
    <m/>
    <m/>
    <n v="0"/>
    <n v="-43"/>
    <n v="-41.71"/>
    <n v="-25.8"/>
    <n v="4300"/>
  </r>
  <r>
    <x v="27"/>
    <x v="0"/>
    <n v="126171958661"/>
    <n v="11886.46"/>
    <n v="7850952.1200000001"/>
    <x v="0"/>
    <m/>
    <m/>
    <n v="0"/>
    <n v="-122"/>
    <n v="-118.34"/>
    <n v="-73.2"/>
    <n v="12200"/>
  </r>
  <r>
    <x v="27"/>
    <x v="0"/>
    <n v="126728336370"/>
    <n v="4062.21"/>
    <n v="7855014.3300000001"/>
    <x v="0"/>
    <m/>
    <m/>
    <n v="0"/>
    <n v="-43"/>
    <n v="-168.99"/>
    <n v="-25.8"/>
    <n v="4300"/>
  </r>
  <r>
    <x v="27"/>
    <x v="0"/>
    <n v="126172507849"/>
    <n v="7414.94"/>
    <n v="7862429.2699999996"/>
    <x v="0"/>
    <m/>
    <m/>
    <n v="0"/>
    <n v="-79"/>
    <n v="-358.66"/>
    <n v="-47.4"/>
    <n v="7899.9999999999991"/>
  </r>
  <r>
    <x v="27"/>
    <x v="0"/>
    <n v="126172609131"/>
    <n v="18043.77"/>
    <n v="7880473.04"/>
    <x v="0"/>
    <m/>
    <m/>
    <n v="0"/>
    <n v="-191"/>
    <n v="-750.63"/>
    <n v="-114.6"/>
    <n v="19100"/>
  </r>
  <r>
    <x v="27"/>
    <x v="0"/>
    <n v="126728677538"/>
    <n v="4062.21"/>
    <n v="7884535.25"/>
    <x v="0"/>
    <m/>
    <m/>
    <n v="0"/>
    <n v="-43"/>
    <n v="-168.99"/>
    <n v="-25.8"/>
    <n v="4300"/>
  </r>
  <r>
    <x v="27"/>
    <x v="0"/>
    <n v="126729380342"/>
    <n v="4189.49"/>
    <n v="7888724.7400000002"/>
    <x v="0"/>
    <m/>
    <m/>
    <n v="0"/>
    <n v="-43"/>
    <n v="-41.71"/>
    <n v="-25.8"/>
    <n v="4300"/>
  </r>
  <r>
    <x v="27"/>
    <x v="0"/>
    <n v="126729257882"/>
    <n v="5163.79"/>
    <n v="7893888.5300000003"/>
    <x v="0"/>
    <m/>
    <m/>
    <n v="0"/>
    <n v="-53"/>
    <n v="-51.41"/>
    <n v="-31.8"/>
    <n v="5300"/>
  </r>
  <r>
    <x v="27"/>
    <x v="0"/>
    <n v="126729595734"/>
    <n v="4062.21"/>
    <n v="7897950.7400000002"/>
    <x v="0"/>
    <m/>
    <m/>
    <n v="0"/>
    <n v="-43"/>
    <n v="-168.99"/>
    <n v="-25.8"/>
    <n v="4300"/>
  </r>
  <r>
    <x v="27"/>
    <x v="0"/>
    <n v="126729997528"/>
    <n v="4035.98"/>
    <n v="7901986.7199999997"/>
    <x v="0"/>
    <m/>
    <m/>
    <n v="0"/>
    <n v="-43"/>
    <n v="-195.22"/>
    <n v="-25.8"/>
    <n v="4300"/>
  </r>
  <r>
    <x v="27"/>
    <x v="0"/>
    <n v="126173864405"/>
    <n v="16757.96"/>
    <n v="7918744.6799999997"/>
    <x v="0"/>
    <m/>
    <m/>
    <n v="0"/>
    <n v="-172"/>
    <n v="-166.84"/>
    <n v="-103.2"/>
    <n v="17200"/>
  </r>
  <r>
    <x v="27"/>
    <x v="0"/>
    <n v="126730400096"/>
    <n v="54755.66"/>
    <n v="7973500.3399999999"/>
    <x v="0"/>
    <m/>
    <m/>
    <n v="0"/>
    <n v="-562"/>
    <n v="-545.14"/>
    <n v="-337.2"/>
    <n v="56200"/>
  </r>
  <r>
    <x v="27"/>
    <x v="95"/>
    <n v="126173878017"/>
    <n v="2750.99"/>
    <n v="7976251.3300000001"/>
    <x v="0"/>
    <m/>
    <m/>
    <n v="-42.15"/>
    <n v="0"/>
    <n v="0"/>
    <n v="-16.86"/>
    <n v="2810"/>
  </r>
  <r>
    <x v="27"/>
    <x v="0"/>
    <n v="126730576680"/>
    <n v="20850.02"/>
    <n v="7997101.3499999996"/>
    <x v="0"/>
    <m/>
    <m/>
    <n v="0"/>
    <n v="-214"/>
    <n v="-207.58"/>
    <n v="-128.4"/>
    <n v="21400.000000000004"/>
  </r>
  <r>
    <x v="27"/>
    <x v="0"/>
    <n v="126730666812"/>
    <n v="3410.05"/>
    <n v="8000511.4000000004"/>
    <x v="0"/>
    <m/>
    <m/>
    <n v="0"/>
    <n v="-35"/>
    <n v="-33.950000000000003"/>
    <n v="-21"/>
    <n v="3500"/>
  </r>
  <r>
    <x v="27"/>
    <x v="0"/>
    <n v="126730724768"/>
    <n v="4189.49"/>
    <n v="8004700.8899999997"/>
    <x v="0"/>
    <m/>
    <m/>
    <n v="0"/>
    <n v="-43"/>
    <n v="-41.71"/>
    <n v="-25.8"/>
    <n v="4300"/>
  </r>
  <r>
    <x v="27"/>
    <x v="0"/>
    <n v="126174840651"/>
    <n v="52417.34"/>
    <n v="8057118.2300000004"/>
    <x v="0"/>
    <m/>
    <m/>
    <n v="0"/>
    <n v="-538"/>
    <n v="-521.86"/>
    <n v="-322.8"/>
    <n v="53800"/>
  </r>
  <r>
    <x v="27"/>
    <x v="0"/>
    <n v="126730960018"/>
    <n v="3410.05"/>
    <n v="8060528.2800000003"/>
    <x v="0"/>
    <m/>
    <m/>
    <n v="0"/>
    <n v="-35"/>
    <n v="-33.950000000000003"/>
    <n v="-21"/>
    <n v="3500"/>
  </r>
  <r>
    <x v="27"/>
    <x v="0"/>
    <n v="126175205521"/>
    <n v="13347.91"/>
    <n v="8073876.1900000004"/>
    <x v="0"/>
    <m/>
    <m/>
    <n v="0"/>
    <n v="-137"/>
    <n v="-132.88999999999999"/>
    <n v="-82.2"/>
    <n v="13700"/>
  </r>
  <r>
    <x v="27"/>
    <x v="0"/>
    <n v="126176306385"/>
    <n v="8378.98"/>
    <n v="8082255.1699999999"/>
    <x v="0"/>
    <m/>
    <m/>
    <n v="0"/>
    <n v="-86"/>
    <n v="-83.42"/>
    <n v="-51.6"/>
    <n v="8600"/>
  </r>
  <r>
    <x v="27"/>
    <x v="0"/>
    <n v="126176356419"/>
    <n v="8378.98"/>
    <n v="8090634.1500000004"/>
    <x v="0"/>
    <m/>
    <m/>
    <n v="0"/>
    <n v="-86"/>
    <n v="-83.42"/>
    <n v="-51.6"/>
    <n v="8600"/>
  </r>
  <r>
    <x v="27"/>
    <x v="0"/>
    <n v="126176295955"/>
    <n v="14419.64"/>
    <n v="8105053.79"/>
    <x v="0"/>
    <m/>
    <m/>
    <n v="0"/>
    <n v="-148"/>
    <n v="-143.56"/>
    <n v="-88.8"/>
    <n v="14799.999999999998"/>
  </r>
  <r>
    <x v="27"/>
    <x v="0"/>
    <n v="126733342172"/>
    <n v="24122.02"/>
    <n v="8129175.8099999996"/>
    <x v="0"/>
    <m/>
    <m/>
    <n v="0"/>
    <n v="-257"/>
    <n v="-1166.78"/>
    <n v="-154.19999999999999"/>
    <n v="25700"/>
  </r>
  <r>
    <x v="27"/>
    <x v="0"/>
    <n v="126177394425"/>
    <n v="5163.79"/>
    <n v="8134339.5999999996"/>
    <x v="0"/>
    <m/>
    <m/>
    <n v="0"/>
    <n v="-53"/>
    <n v="-51.41"/>
    <n v="-31.8"/>
    <n v="5300"/>
  </r>
  <r>
    <x v="27"/>
    <x v="0"/>
    <n v="126733789902"/>
    <n v="10327.58"/>
    <n v="8144667.1799999997"/>
    <x v="0"/>
    <m/>
    <m/>
    <n v="0"/>
    <n v="-106"/>
    <n v="-102.82"/>
    <n v="-63.6"/>
    <n v="10600"/>
  </r>
  <r>
    <x v="27"/>
    <x v="0"/>
    <n v="126177858555"/>
    <n v="104444.96"/>
    <n v="8249112.1399999997"/>
    <x v="0"/>
    <m/>
    <m/>
    <n v="0"/>
    <n v="-1072"/>
    <n v="-1039.8399999999999"/>
    <n v="-643.20000000000005"/>
    <n v="107200"/>
  </r>
  <r>
    <x v="27"/>
    <x v="96"/>
    <n v="126734105004"/>
    <n v="5247.44"/>
    <n v="8254359.5800000001"/>
    <x v="0"/>
    <m/>
    <m/>
    <n v="-80.400000000000006"/>
    <n v="0"/>
    <n v="0"/>
    <n v="-32.159999999999997"/>
    <n v="5359.9999999999991"/>
  </r>
  <r>
    <x v="27"/>
    <x v="0"/>
    <n v="126734101344"/>
    <n v="8378.98"/>
    <n v="8262738.5599999996"/>
    <x v="0"/>
    <m/>
    <m/>
    <n v="0"/>
    <n v="-86"/>
    <n v="-83.42"/>
    <n v="-51.6"/>
    <n v="8600"/>
  </r>
  <r>
    <x v="27"/>
    <x v="0"/>
    <n v="126177996273"/>
    <n v="16757.96"/>
    <n v="8279496.5199999996"/>
    <x v="0"/>
    <m/>
    <m/>
    <n v="0"/>
    <n v="-172"/>
    <n v="-166.84"/>
    <n v="-103.2"/>
    <n v="17200"/>
  </r>
  <r>
    <x v="27"/>
    <x v="0"/>
    <n v="126734131932"/>
    <n v="4189.49"/>
    <n v="8283686.0099999998"/>
    <x v="0"/>
    <m/>
    <m/>
    <n v="0"/>
    <n v="-43"/>
    <n v="-41.71"/>
    <n v="-25.8"/>
    <n v="4300"/>
  </r>
  <r>
    <x v="27"/>
    <x v="0"/>
    <n v="126734488490"/>
    <n v="21337.17"/>
    <n v="8305023.1799999997"/>
    <x v="0"/>
    <m/>
    <m/>
    <n v="0"/>
    <n v="-219"/>
    <n v="-212.43"/>
    <n v="-131.4"/>
    <n v="21900"/>
  </r>
  <r>
    <x v="27"/>
    <x v="0"/>
    <n v="126178996297"/>
    <n v="8378.98"/>
    <n v="8313402.1600000001"/>
    <x v="0"/>
    <m/>
    <m/>
    <n v="0"/>
    <n v="-86"/>
    <n v="-83.42"/>
    <n v="-51.6"/>
    <n v="8600"/>
  </r>
  <r>
    <x v="27"/>
    <x v="0"/>
    <n v="126179218399"/>
    <n v="9353.2800000000007"/>
    <n v="8322755.4400000004"/>
    <x v="0"/>
    <m/>
    <m/>
    <n v="0"/>
    <n v="-96"/>
    <n v="-93.12"/>
    <n v="-57.6"/>
    <n v="9600.0000000000018"/>
  </r>
  <r>
    <x v="27"/>
    <x v="97"/>
    <n v="126179069627"/>
    <n v="469.92"/>
    <n v="8323225.3600000003"/>
    <x v="0"/>
    <m/>
    <m/>
    <n v="-7.2"/>
    <n v="0"/>
    <n v="0"/>
    <n v="-2.88"/>
    <n v="480"/>
  </r>
  <r>
    <x v="27"/>
    <x v="0"/>
    <n v="126735130040"/>
    <n v="3410.05"/>
    <n v="8326635.4100000001"/>
    <x v="0"/>
    <m/>
    <m/>
    <n v="0"/>
    <n v="-35"/>
    <n v="-33.950000000000003"/>
    <n v="-21"/>
    <n v="3500"/>
  </r>
  <r>
    <x v="27"/>
    <x v="98"/>
    <n v="126179214869"/>
    <n v="171.32"/>
    <n v="8326806.7300000004"/>
    <x v="0"/>
    <m/>
    <m/>
    <n v="-2.63"/>
    <n v="0"/>
    <n v="0"/>
    <n v="-1.05"/>
    <n v="175"/>
  </r>
  <r>
    <x v="27"/>
    <x v="0"/>
    <n v="126735538284"/>
    <n v="9060.99"/>
    <n v="8335867.7199999997"/>
    <x v="0"/>
    <m/>
    <m/>
    <n v="0"/>
    <n v="-93"/>
    <n v="-90.21"/>
    <n v="-55.8"/>
    <n v="9299.9999999999982"/>
  </r>
  <r>
    <x v="9"/>
    <x v="99"/>
    <n v="124018294619"/>
    <n v="-423171.26"/>
    <n v="10632576.23"/>
    <x v="1"/>
    <n v="-420647.37574552686"/>
    <n v="-2523.8842544731451"/>
    <n v="0"/>
    <n v="0"/>
    <n v="0"/>
    <n v="-2523.8842544731451"/>
    <n v="-420647.37574552686"/>
  </r>
  <r>
    <x v="12"/>
    <x v="99"/>
    <n v="124490574149"/>
    <n v="-385845.67"/>
    <n v="6577639.3700000001"/>
    <x v="1"/>
    <n v="-383544.40357852879"/>
    <n v="-2301.2664214711986"/>
    <n v="0"/>
    <n v="0"/>
    <n v="0"/>
    <n v="-2301.2664214711986"/>
    <n v="-383544.40357852879"/>
  </r>
  <r>
    <x v="12"/>
    <x v="99"/>
    <n v="125037170650"/>
    <n v="-138386.69"/>
    <n v="6439252.6799999997"/>
    <x v="1"/>
    <n v="-137561.32206759445"/>
    <n v="-825.36793240555562"/>
    <n v="0"/>
    <n v="0"/>
    <n v="0"/>
    <n v="-825.36793240555562"/>
    <n v="-137561.32206759445"/>
  </r>
  <r>
    <x v="8"/>
    <x v="99"/>
    <n v="125774258702"/>
    <n v="-446172.78"/>
    <n v="8629825.3599999994"/>
    <x v="1"/>
    <n v="-443511.70974155073"/>
    <n v="-2661.0702584492974"/>
    <n v="0"/>
    <n v="0"/>
    <n v="0"/>
    <n v="-2661.0702584492974"/>
    <n v="-443511.70974155073"/>
  </r>
  <r>
    <x v="4"/>
    <x v="99"/>
    <n v="126797263370"/>
    <n v="-492940"/>
    <n v="8104467.04"/>
    <x v="1"/>
    <n v="-490000"/>
    <n v="-2940"/>
    <n v="0"/>
    <n v="0"/>
    <n v="0"/>
    <n v="-2940"/>
    <n v="-490000"/>
  </r>
  <r>
    <x v="2"/>
    <x v="99"/>
    <n v="127137463700"/>
    <n v="-286218.19"/>
    <n v="8473922.7100000009"/>
    <x v="1"/>
    <n v="-284511.12326043739"/>
    <n v="-1707.0667395626078"/>
    <n v="0"/>
    <n v="0"/>
    <n v="0"/>
    <n v="-1707.0667395626078"/>
    <n v="-284511.12326043739"/>
  </r>
  <r>
    <x v="26"/>
    <x v="99"/>
    <n v="128059423494"/>
    <n v="-694305.25"/>
    <n v="10954148.890000001"/>
    <x v="1"/>
    <n v="-690164.26441351883"/>
    <n v="-4140.9855864811689"/>
    <n v="0"/>
    <n v="0"/>
    <n v="0"/>
    <n v="-4140.9855864811689"/>
    <n v="-690164.26441351883"/>
  </r>
  <r>
    <x v="13"/>
    <x v="100"/>
    <n v="125385837094"/>
    <n v="-261840.61"/>
    <n v="10677839.84"/>
    <x v="1"/>
    <n v="-260278.93638170973"/>
    <n v="-1561.6736182902532"/>
    <n v="0"/>
    <n v="0"/>
    <n v="0"/>
    <m/>
    <n v="-261840.61"/>
  </r>
  <r>
    <x v="0"/>
    <x v="101"/>
    <n v="123897475515"/>
    <n v="-161786.93"/>
    <n v="12819051.73"/>
    <x v="1"/>
    <n v="-160821.99801192843"/>
    <n v="-964.93198807156296"/>
    <n v="0"/>
    <n v="0"/>
    <n v="0"/>
    <n v="-964.93198807156296"/>
    <n v="-160821.99801192843"/>
  </r>
  <r>
    <x v="3"/>
    <x v="101"/>
    <n v="125735003593"/>
    <n v="-16055.76"/>
    <n v="11840213.550000001"/>
    <x v="1"/>
    <n v="-15960"/>
    <n v="-95.760000000000218"/>
    <n v="0"/>
    <n v="0"/>
    <n v="0"/>
    <n v="-95.760000000000218"/>
    <n v="-15960"/>
  </r>
  <r>
    <x v="3"/>
    <x v="101"/>
    <n v="126288428012"/>
    <n v="-26107.51"/>
    <n v="11814106.039999999"/>
    <x v="1"/>
    <n v="-25951.799204771371"/>
    <n v="-155.71079522862783"/>
    <n v="0"/>
    <n v="0"/>
    <n v="0"/>
    <n v="-155.71079522862783"/>
    <n v="-25951.799204771371"/>
  </r>
  <r>
    <x v="4"/>
    <x v="0"/>
    <n v="126735449040"/>
    <n v="4035.98"/>
    <n v="8339903.7000000002"/>
    <x v="0"/>
    <m/>
    <m/>
    <n v="0"/>
    <n v="-43"/>
    <n v="-195.22"/>
    <n v="-25.8"/>
    <n v="4300"/>
  </r>
  <r>
    <x v="4"/>
    <x v="0"/>
    <n v="126179338967"/>
    <n v="4062.21"/>
    <n v="8343965.9100000001"/>
    <x v="0"/>
    <m/>
    <m/>
    <n v="0"/>
    <n v="-43"/>
    <n v="-168.99"/>
    <n v="-25.8"/>
    <n v="4300"/>
  </r>
  <r>
    <x v="4"/>
    <x v="0"/>
    <n v="126179317665"/>
    <n v="8124.42"/>
    <n v="8352090.3300000001"/>
    <x v="0"/>
    <m/>
    <m/>
    <n v="0"/>
    <n v="-86"/>
    <n v="-337.98"/>
    <n v="-51.6"/>
    <n v="8600"/>
  </r>
  <r>
    <x v="4"/>
    <x v="0"/>
    <n v="126179543345"/>
    <n v="12568.47"/>
    <n v="8364658.7999999998"/>
    <x v="0"/>
    <m/>
    <m/>
    <n v="0"/>
    <n v="-129"/>
    <n v="-125.13"/>
    <n v="-77.400000000000006"/>
    <n v="12899.999999999998"/>
  </r>
  <r>
    <x v="4"/>
    <x v="0"/>
    <n v="126736088642"/>
    <n v="20752.59"/>
    <n v="8385411.3899999997"/>
    <x v="0"/>
    <m/>
    <m/>
    <n v="0"/>
    <n v="-213"/>
    <n v="-206.61"/>
    <n v="-127.8"/>
    <n v="21300"/>
  </r>
  <r>
    <x v="4"/>
    <x v="0"/>
    <n v="126736031606"/>
    <n v="4384.3500000000004"/>
    <n v="8389795.7400000002"/>
    <x v="0"/>
    <m/>
    <m/>
    <n v="0"/>
    <n v="-45"/>
    <n v="-43.65"/>
    <n v="-27"/>
    <n v="4500"/>
  </r>
  <r>
    <x v="4"/>
    <x v="0"/>
    <n v="126179853579"/>
    <n v="9060.99"/>
    <n v="8398856.7300000004"/>
    <x v="0"/>
    <m/>
    <m/>
    <n v="0"/>
    <n v="-93"/>
    <n v="-90.21"/>
    <n v="-55.8"/>
    <n v="9299.9999999999982"/>
  </r>
  <r>
    <x v="4"/>
    <x v="0"/>
    <n v="126736781276"/>
    <n v="7807.94"/>
    <n v="8406664.6699999999"/>
    <x v="0"/>
    <m/>
    <m/>
    <n v="0"/>
    <n v="-86"/>
    <n v="-654.46"/>
    <n v="-51.6"/>
    <n v="8600"/>
  </r>
  <r>
    <x v="4"/>
    <x v="0"/>
    <n v="126736925278"/>
    <n v="21728.1"/>
    <n v="8428392.7699999996"/>
    <x v="0"/>
    <m/>
    <m/>
    <n v="0"/>
    <n v="-230"/>
    <n v="-903.9"/>
    <n v="-138"/>
    <n v="23000"/>
  </r>
  <r>
    <x v="4"/>
    <x v="0"/>
    <n v="126180519317"/>
    <n v="65862.679999999993"/>
    <n v="8494255.4499999993"/>
    <x v="0"/>
    <m/>
    <m/>
    <n v="0"/>
    <n v="-676"/>
    <n v="-655.72"/>
    <n v="-405.6"/>
    <n v="67600"/>
  </r>
  <r>
    <x v="4"/>
    <x v="0"/>
    <n v="126180758335"/>
    <n v="19522.88"/>
    <n v="8513778.3300000001"/>
    <x v="0"/>
    <m/>
    <m/>
    <n v="0"/>
    <n v="-208"/>
    <n v="-944.32"/>
    <n v="-124.8"/>
    <n v="20800"/>
  </r>
  <r>
    <x v="4"/>
    <x v="0"/>
    <n v="126736920096"/>
    <n v="81338.67"/>
    <n v="8595117"/>
    <x v="0"/>
    <m/>
    <m/>
    <n v="0"/>
    <n v="-861"/>
    <n v="-3383.73"/>
    <n v="-516.6"/>
    <n v="86100"/>
  </r>
  <r>
    <x v="4"/>
    <x v="0"/>
    <n v="126737086952"/>
    <n v="16425.5"/>
    <n v="8611542.5"/>
    <x v="0"/>
    <m/>
    <m/>
    <n v="0"/>
    <n v="-175"/>
    <n v="-794.5"/>
    <n v="-105"/>
    <n v="17500"/>
  </r>
  <r>
    <x v="4"/>
    <x v="0"/>
    <n v="126737129400"/>
    <n v="9060.99"/>
    <n v="8620603.4900000002"/>
    <x v="0"/>
    <m/>
    <m/>
    <n v="0"/>
    <n v="-93"/>
    <n v="-90.21"/>
    <n v="-55.8"/>
    <n v="9299.9999999999982"/>
  </r>
  <r>
    <x v="4"/>
    <x v="0"/>
    <n v="126181139963"/>
    <n v="12568.47"/>
    <n v="8633171.9600000009"/>
    <x v="0"/>
    <m/>
    <m/>
    <n v="0"/>
    <n v="-129"/>
    <n v="-125.13"/>
    <n v="-77.400000000000006"/>
    <n v="12899.999999999998"/>
  </r>
  <r>
    <x v="4"/>
    <x v="0"/>
    <n v="126181421567"/>
    <n v="31859.61"/>
    <n v="8665031.5700000003"/>
    <x v="0"/>
    <m/>
    <m/>
    <n v="0"/>
    <n v="-327"/>
    <n v="-317.19"/>
    <n v="-196.2"/>
    <n v="32700"/>
  </r>
  <r>
    <x v="4"/>
    <x v="0"/>
    <n v="126182042267"/>
    <n v="21921.75"/>
    <n v="8686953.3200000003"/>
    <x v="0"/>
    <m/>
    <m/>
    <n v="0"/>
    <n v="-225"/>
    <n v="-218.25"/>
    <n v="-135"/>
    <n v="22500"/>
  </r>
  <r>
    <x v="4"/>
    <x v="0"/>
    <n v="126738333100"/>
    <n v="34100.5"/>
    <n v="8721053.8200000003"/>
    <x v="0"/>
    <m/>
    <m/>
    <n v="0"/>
    <n v="-350"/>
    <n v="-339.5"/>
    <n v="-210"/>
    <n v="35000"/>
  </r>
  <r>
    <x v="4"/>
    <x v="0"/>
    <n v="126738441012"/>
    <n v="13250.48"/>
    <n v="8734304.3000000007"/>
    <x v="0"/>
    <m/>
    <m/>
    <n v="0"/>
    <n v="-136"/>
    <n v="-131.91999999999999"/>
    <n v="-81.599999999999994"/>
    <n v="13600"/>
  </r>
  <r>
    <x v="4"/>
    <x v="0"/>
    <n v="126738655450"/>
    <n v="13250.48"/>
    <n v="8747554.7799999993"/>
    <x v="0"/>
    <m/>
    <m/>
    <n v="0"/>
    <n v="-136"/>
    <n v="-131.91999999999999"/>
    <n v="-81.599999999999994"/>
    <n v="13600"/>
  </r>
  <r>
    <x v="4"/>
    <x v="98"/>
    <n v="126182237529"/>
    <n v="665.72"/>
    <n v="8748220.5"/>
    <x v="0"/>
    <m/>
    <m/>
    <n v="-10.199999999999999"/>
    <n v="0"/>
    <n v="0"/>
    <n v="-4.08"/>
    <n v="680.00000000000011"/>
  </r>
  <r>
    <x v="4"/>
    <x v="0"/>
    <n v="126738940502"/>
    <n v="3799.77"/>
    <n v="8752020.2699999996"/>
    <x v="0"/>
    <m/>
    <m/>
    <n v="0"/>
    <n v="-39"/>
    <n v="-37.83"/>
    <n v="-23.4"/>
    <n v="3900"/>
  </r>
  <r>
    <x v="4"/>
    <x v="0"/>
    <n v="126182746591"/>
    <n v="23285.77"/>
    <n v="8775306.0399999991"/>
    <x v="0"/>
    <m/>
    <m/>
    <n v="0"/>
    <n v="-239"/>
    <n v="-231.83"/>
    <n v="-143.4"/>
    <n v="23900.000000000004"/>
  </r>
  <r>
    <x v="4"/>
    <x v="0"/>
    <n v="126182861281"/>
    <n v="3799.77"/>
    <n v="8779105.8100000005"/>
    <x v="0"/>
    <m/>
    <m/>
    <n v="0"/>
    <n v="-39"/>
    <n v="-37.83"/>
    <n v="-23.4"/>
    <n v="3900"/>
  </r>
  <r>
    <x v="4"/>
    <x v="0"/>
    <n v="126183222931"/>
    <n v="7989.26"/>
    <n v="8787095.0700000003"/>
    <x v="0"/>
    <m/>
    <m/>
    <n v="0"/>
    <n v="-82"/>
    <n v="-79.540000000000006"/>
    <n v="-49.2"/>
    <n v="8200"/>
  </r>
  <r>
    <x v="4"/>
    <x v="0"/>
    <n v="126183344315"/>
    <n v="61186.04"/>
    <n v="8848281.1099999994"/>
    <x v="0"/>
    <m/>
    <m/>
    <n v="0"/>
    <n v="-628"/>
    <n v="-609.16"/>
    <n v="-376.8"/>
    <n v="62800.000000000007"/>
  </r>
  <r>
    <x v="4"/>
    <x v="0"/>
    <n v="126183314795"/>
    <n v="9060.99"/>
    <n v="8857342.0999999996"/>
    <x v="0"/>
    <m/>
    <m/>
    <n v="0"/>
    <n v="-93"/>
    <n v="-90.21"/>
    <n v="-55.8"/>
    <n v="9299.9999999999982"/>
  </r>
  <r>
    <x v="4"/>
    <x v="0"/>
    <n v="126183517159"/>
    <n v="4189.49"/>
    <n v="8861531.5899999999"/>
    <x v="0"/>
    <m/>
    <m/>
    <n v="0"/>
    <n v="-43"/>
    <n v="-41.71"/>
    <n v="-25.8"/>
    <n v="4300"/>
  </r>
  <r>
    <x v="4"/>
    <x v="0"/>
    <n v="126740106866"/>
    <n v="4871.5"/>
    <n v="8866403.0899999999"/>
    <x v="0"/>
    <m/>
    <m/>
    <n v="0"/>
    <n v="-50"/>
    <n v="-48.5"/>
    <n v="-30"/>
    <n v="5000"/>
  </r>
  <r>
    <x v="4"/>
    <x v="0"/>
    <n v="126183601699"/>
    <n v="3177.65"/>
    <n v="8869580.7400000002"/>
    <x v="0"/>
    <m/>
    <m/>
    <n v="0"/>
    <n v="-35"/>
    <n v="-266.35000000000002"/>
    <n v="-21"/>
    <n v="3500"/>
  </r>
  <r>
    <x v="4"/>
    <x v="0"/>
    <n v="126183676019"/>
    <n v="12568.47"/>
    <n v="8882149.2100000009"/>
    <x v="0"/>
    <m/>
    <m/>
    <n v="0"/>
    <n v="-129"/>
    <n v="-125.13"/>
    <n v="-77.400000000000006"/>
    <n v="12899.999999999998"/>
  </r>
  <r>
    <x v="4"/>
    <x v="0"/>
    <n v="126740392456"/>
    <n v="8184.12"/>
    <n v="8890333.3300000001"/>
    <x v="0"/>
    <m/>
    <m/>
    <n v="0"/>
    <n v="-84"/>
    <n v="-81.48"/>
    <n v="-50.4"/>
    <n v="8399.9999999999982"/>
  </r>
  <r>
    <x v="4"/>
    <x v="0"/>
    <n v="126740494230"/>
    <n v="5350.02"/>
    <n v="8895683.3499999996"/>
    <x v="0"/>
    <m/>
    <m/>
    <n v="0"/>
    <n v="-57"/>
    <n v="-258.77999999999997"/>
    <n v="-34.200000000000003"/>
    <n v="5700"/>
  </r>
  <r>
    <x v="4"/>
    <x v="0"/>
    <n v="126740171940"/>
    <n v="4871.5"/>
    <n v="8900554.8499999996"/>
    <x v="0"/>
    <m/>
    <m/>
    <n v="0"/>
    <n v="-50"/>
    <n v="-48.5"/>
    <n v="-30"/>
    <n v="5000"/>
  </r>
  <r>
    <x v="4"/>
    <x v="0"/>
    <n v="126184382547"/>
    <n v="51053.32"/>
    <n v="8951608.1699999999"/>
    <x v="0"/>
    <m/>
    <m/>
    <n v="0"/>
    <n v="-524"/>
    <n v="-508.28"/>
    <n v="-314.39999999999998"/>
    <n v="52400"/>
  </r>
  <r>
    <x v="4"/>
    <x v="0"/>
    <n v="126740843732"/>
    <n v="9353.2800000000007"/>
    <n v="8960961.4499999993"/>
    <x v="0"/>
    <m/>
    <m/>
    <n v="0"/>
    <n v="-96"/>
    <n v="-93.12"/>
    <n v="-57.6"/>
    <n v="9600.0000000000018"/>
  </r>
  <r>
    <x v="4"/>
    <x v="0"/>
    <n v="126741631900"/>
    <n v="11983.89"/>
    <n v="8972945.3399999999"/>
    <x v="0"/>
    <m/>
    <m/>
    <n v="0"/>
    <n v="-123"/>
    <n v="-119.31"/>
    <n v="-73.8"/>
    <n v="12299.999999999998"/>
  </r>
  <r>
    <x v="4"/>
    <x v="0"/>
    <n v="126185585139"/>
    <n v="23090.91"/>
    <n v="8996036.25"/>
    <x v="0"/>
    <m/>
    <m/>
    <n v="0"/>
    <n v="-237"/>
    <n v="-229.89"/>
    <n v="-142.19999999999999"/>
    <n v="23700"/>
  </r>
  <r>
    <x v="4"/>
    <x v="0"/>
    <n v="126185692955"/>
    <n v="16368.24"/>
    <n v="9012404.4900000002"/>
    <x v="0"/>
    <m/>
    <m/>
    <n v="0"/>
    <n v="-168"/>
    <n v="-162.96"/>
    <n v="-100.8"/>
    <n v="16799.999999999996"/>
  </r>
  <r>
    <x v="4"/>
    <x v="0"/>
    <n v="126185509995"/>
    <n v="22408.9"/>
    <n v="9034813.3900000006"/>
    <x v="0"/>
    <m/>
    <m/>
    <n v="0"/>
    <n v="-230"/>
    <n v="-223.1"/>
    <n v="-138"/>
    <n v="23000"/>
  </r>
  <r>
    <x v="4"/>
    <x v="0"/>
    <n v="126185693425"/>
    <n v="44915.23"/>
    <n v="9079728.6199999992"/>
    <x v="0"/>
    <m/>
    <m/>
    <n v="0"/>
    <n v="-461"/>
    <n v="-447.17"/>
    <n v="-276.60000000000002"/>
    <n v="46100"/>
  </r>
  <r>
    <x v="4"/>
    <x v="0"/>
    <n v="126741893182"/>
    <n v="18302.7"/>
    <n v="9098031.3200000003"/>
    <x v="0"/>
    <m/>
    <m/>
    <n v="0"/>
    <n v="-195"/>
    <n v="-885.3"/>
    <n v="-117"/>
    <n v="19500"/>
  </r>
  <r>
    <x v="4"/>
    <x v="0"/>
    <n v="126185826419"/>
    <n v="7599.54"/>
    <n v="9105630.8599999994"/>
    <x v="0"/>
    <m/>
    <m/>
    <n v="0"/>
    <n v="-78"/>
    <n v="-75.66"/>
    <n v="-46.8"/>
    <n v="7800"/>
  </r>
  <r>
    <x v="3"/>
    <x v="101"/>
    <n v="126288909182"/>
    <n v="-214992.66"/>
    <n v="11599113.380000001"/>
    <x v="1"/>
    <n v="-213710.3976143141"/>
    <n v="-1282.2623856858991"/>
    <n v="0"/>
    <n v="0"/>
    <n v="0"/>
    <n v="-1282.2623856858991"/>
    <n v="-213710.3976143141"/>
  </r>
  <r>
    <x v="4"/>
    <x v="102"/>
    <n v="126770445030"/>
    <n v="-90750"/>
    <n v="9014880.8599999994"/>
    <x v="1"/>
    <n v="-90208.74751491053"/>
    <n v="-541.2524850894697"/>
    <n v="0"/>
    <n v="0"/>
    <n v="0"/>
    <m/>
    <n v="-90750"/>
  </r>
  <r>
    <x v="4"/>
    <x v="0"/>
    <n v="126284532553"/>
    <n v="8124.42"/>
    <n v="7342063.7599999998"/>
    <x v="0"/>
    <m/>
    <m/>
    <n v="0"/>
    <n v="-86"/>
    <n v="-337.98"/>
    <n v="-51.6"/>
    <n v="8600"/>
  </r>
  <r>
    <x v="4"/>
    <x v="0"/>
    <n v="126292935665"/>
    <n v="3684.33"/>
    <n v="7345748.0899999999"/>
    <x v="0"/>
    <m/>
    <m/>
    <n v="0"/>
    <n v="-39"/>
    <n v="-153.27000000000001"/>
    <n v="-23.4"/>
    <n v="3900"/>
  </r>
  <r>
    <x v="4"/>
    <x v="0"/>
    <n v="126295087115"/>
    <n v="8768.7000000000007"/>
    <n v="7354516.79"/>
    <x v="0"/>
    <m/>
    <m/>
    <n v="0"/>
    <n v="-90"/>
    <n v="-87.3"/>
    <n v="-54"/>
    <n v="9000"/>
  </r>
  <r>
    <x v="4"/>
    <x v="0"/>
    <n v="126853170834"/>
    <n v="8502.2999999999993"/>
    <n v="7363019.0899999999"/>
    <x v="0"/>
    <m/>
    <m/>
    <n v="0"/>
    <n v="-90"/>
    <n v="-353.7"/>
    <n v="-54"/>
    <n v="9000"/>
  </r>
  <r>
    <x v="4"/>
    <x v="0"/>
    <n v="126296416437"/>
    <n v="8124.42"/>
    <n v="7371143.5099999998"/>
    <x v="0"/>
    <m/>
    <m/>
    <n v="0"/>
    <n v="-86"/>
    <n v="-337.98"/>
    <n v="-51.6"/>
    <n v="8600"/>
  </r>
  <r>
    <x v="4"/>
    <x v="0"/>
    <n v="126298474467"/>
    <n v="8768.7000000000007"/>
    <n v="7379912.21"/>
    <x v="0"/>
    <m/>
    <m/>
    <n v="0"/>
    <n v="-90"/>
    <n v="-87.3"/>
    <n v="-54"/>
    <n v="9000"/>
  </r>
  <r>
    <x v="4"/>
    <x v="0"/>
    <n v="126298554027"/>
    <n v="8768.7000000000007"/>
    <n v="7388680.9100000001"/>
    <x v="0"/>
    <m/>
    <m/>
    <n v="0"/>
    <n v="-90"/>
    <n v="-87.3"/>
    <n v="-54"/>
    <n v="9000"/>
  </r>
  <r>
    <x v="4"/>
    <x v="0"/>
    <n v="126299319221"/>
    <n v="20612.009999999998"/>
    <n v="7409292.9199999999"/>
    <x v="0"/>
    <m/>
    <m/>
    <n v="0"/>
    <n v="-213"/>
    <n v="-347.19"/>
    <n v="-127.8"/>
    <n v="21299.999999999996"/>
  </r>
  <r>
    <x v="4"/>
    <x v="0"/>
    <n v="126859782450"/>
    <n v="4035.98"/>
    <n v="7413328.9000000004"/>
    <x v="0"/>
    <m/>
    <m/>
    <n v="0"/>
    <n v="-43"/>
    <n v="-195.22"/>
    <n v="-25.8"/>
    <n v="4300"/>
  </r>
  <r>
    <x v="4"/>
    <x v="0"/>
    <n v="126304421967"/>
    <n v="46961.26"/>
    <n v="7460290.1600000001"/>
    <x v="0"/>
    <m/>
    <m/>
    <n v="0"/>
    <n v="-482"/>
    <n v="-467.54"/>
    <n v="-289.2"/>
    <n v="48200"/>
  </r>
  <r>
    <x v="4"/>
    <x v="0"/>
    <n v="126861716336"/>
    <n v="5163.79"/>
    <n v="7465453.9500000002"/>
    <x v="0"/>
    <m/>
    <m/>
    <n v="0"/>
    <n v="-53"/>
    <n v="-51.41"/>
    <n v="-31.8"/>
    <n v="5300"/>
  </r>
  <r>
    <x v="4"/>
    <x v="58"/>
    <n v="126861692506"/>
    <n v="259.43"/>
    <n v="7465713.3799999999"/>
    <x v="0"/>
    <m/>
    <m/>
    <n v="-3.98"/>
    <n v="0"/>
    <n v="0"/>
    <n v="-1.59"/>
    <n v="265"/>
  </r>
  <r>
    <x v="4"/>
    <x v="0"/>
    <n v="126862230908"/>
    <n v="3799.77"/>
    <n v="7469513.1500000004"/>
    <x v="0"/>
    <m/>
    <m/>
    <n v="0"/>
    <n v="-39"/>
    <n v="-37.83"/>
    <n v="-23.4"/>
    <n v="3900"/>
  </r>
  <r>
    <x v="4"/>
    <x v="0"/>
    <n v="126306563085"/>
    <n v="26013.81"/>
    <n v="7495526.96"/>
    <x v="0"/>
    <m/>
    <m/>
    <n v="0"/>
    <n v="-267"/>
    <n v="-258.99"/>
    <n v="-160.19999999999999"/>
    <n v="26700.000000000004"/>
  </r>
  <r>
    <x v="4"/>
    <x v="0"/>
    <n v="126308248317"/>
    <n v="8768.7000000000007"/>
    <n v="7504295.6600000001"/>
    <x v="0"/>
    <m/>
    <m/>
    <n v="0"/>
    <n v="-90"/>
    <n v="-87.3"/>
    <n v="-54"/>
    <n v="9000"/>
  </r>
  <r>
    <x v="4"/>
    <x v="0"/>
    <n v="126865877842"/>
    <n v="33914.730000000003"/>
    <n v="7538210.3899999997"/>
    <x v="0"/>
    <m/>
    <m/>
    <n v="0"/>
    <n v="-359"/>
    <n v="-1410.87"/>
    <n v="-215.4"/>
    <n v="35900.000000000007"/>
  </r>
  <r>
    <x v="4"/>
    <x v="0"/>
    <n v="126309333557"/>
    <n v="44395.78"/>
    <n v="7582606.1699999999"/>
    <x v="0"/>
    <m/>
    <m/>
    <n v="0"/>
    <n v="-473"/>
    <n v="-2147.42"/>
    <n v="-283.8"/>
    <n v="47300"/>
  </r>
  <r>
    <x v="4"/>
    <x v="0"/>
    <n v="126868129818"/>
    <n v="58555.43"/>
    <n v="7641161.5999999996"/>
    <x v="0"/>
    <m/>
    <m/>
    <n v="0"/>
    <n v="-601"/>
    <n v="-582.97"/>
    <n v="-360.6"/>
    <n v="60100"/>
  </r>
  <r>
    <x v="4"/>
    <x v="0"/>
    <n v="126311741457"/>
    <n v="34685.08"/>
    <n v="7675846.6799999997"/>
    <x v="0"/>
    <m/>
    <m/>
    <n v="0"/>
    <n v="-356"/>
    <n v="-345.32"/>
    <n v="-213.6"/>
    <n v="35600"/>
  </r>
  <r>
    <x v="4"/>
    <x v="0"/>
    <n v="126312348037"/>
    <n v="3799.77"/>
    <n v="7679646.4500000002"/>
    <x v="0"/>
    <m/>
    <m/>
    <n v="0"/>
    <n v="-39"/>
    <n v="-37.83"/>
    <n v="-23.4"/>
    <n v="3900"/>
  </r>
  <r>
    <x v="4"/>
    <x v="0"/>
    <n v="126869531676"/>
    <n v="16248.84"/>
    <n v="7695895.29"/>
    <x v="0"/>
    <m/>
    <m/>
    <n v="0"/>
    <n v="-172"/>
    <n v="-675.96"/>
    <n v="-103.2"/>
    <n v="17200"/>
  </r>
  <r>
    <x v="4"/>
    <x v="0"/>
    <n v="126869842594"/>
    <n v="9447"/>
    <n v="7705342.29"/>
    <x v="0"/>
    <m/>
    <m/>
    <n v="0"/>
    <n v="-100"/>
    <n v="-393"/>
    <n v="-60"/>
    <n v="10000"/>
  </r>
  <r>
    <x v="4"/>
    <x v="0"/>
    <n v="126870052406"/>
    <n v="46762.65"/>
    <n v="7752104.9400000004"/>
    <x v="0"/>
    <m/>
    <m/>
    <n v="0"/>
    <n v="-495"/>
    <n v="-1945.35"/>
    <n v="-297"/>
    <n v="49500"/>
  </r>
  <r>
    <x v="4"/>
    <x v="0"/>
    <n v="126871817554"/>
    <n v="16757.96"/>
    <n v="7768862.9000000004"/>
    <x v="0"/>
    <m/>
    <m/>
    <n v="0"/>
    <n v="-172"/>
    <n v="-166.84"/>
    <n v="-103.2"/>
    <n v="17200"/>
  </r>
  <r>
    <x v="4"/>
    <x v="0"/>
    <n v="126314909589"/>
    <n v="4871.5"/>
    <n v="7773734.4000000004"/>
    <x v="0"/>
    <m/>
    <m/>
    <n v="0"/>
    <n v="-50"/>
    <n v="-48.5"/>
    <n v="-30"/>
    <n v="5000"/>
  </r>
  <r>
    <x v="4"/>
    <x v="0"/>
    <n v="126873074156"/>
    <n v="4189.49"/>
    <n v="7777923.8899999997"/>
    <x v="0"/>
    <m/>
    <m/>
    <n v="0"/>
    <n v="-43"/>
    <n v="-41.71"/>
    <n v="-25.8"/>
    <n v="4300"/>
  </r>
  <r>
    <x v="3"/>
    <x v="103"/>
    <n v="125698300455"/>
    <n v="-816942.42"/>
    <n v="13529923.33"/>
    <x v="1"/>
    <n v="-812070"/>
    <n v="-4872.4200000000419"/>
    <n v="0"/>
    <n v="0"/>
    <n v="0"/>
    <n v="-4872.4200000000419"/>
    <n v="-812070"/>
  </r>
  <r>
    <x v="2"/>
    <x v="103"/>
    <n v="126561112907"/>
    <n v="-823539.27"/>
    <n v="10059302.48"/>
    <x v="1"/>
    <n v="-818627.50497017894"/>
    <n v="-4911.7650298210792"/>
    <n v="0"/>
    <n v="0"/>
    <n v="0"/>
    <n v="-4911.7650298210792"/>
    <n v="-818627.50497017894"/>
  </r>
  <r>
    <x v="28"/>
    <x v="0"/>
    <n v="126316225841"/>
    <n v="1851.17"/>
    <n v="7779775.0599999996"/>
    <x v="0"/>
    <m/>
    <m/>
    <n v="0"/>
    <n v="-19"/>
    <n v="-18.43"/>
    <n v="-11.4"/>
    <n v="1900.0000000000002"/>
  </r>
  <r>
    <x v="28"/>
    <x v="104"/>
    <n v="126873295184"/>
    <n v="93"/>
    <n v="7779868.0599999996"/>
    <x v="0"/>
    <m/>
    <m/>
    <n v="-1.43"/>
    <n v="0"/>
    <n v="0"/>
    <n v="-0.56999999999999995"/>
    <n v="95"/>
  </r>
  <r>
    <x v="28"/>
    <x v="0"/>
    <n v="126874886990"/>
    <n v="67734.990000000005"/>
    <n v="7847603.0499999998"/>
    <x v="0"/>
    <m/>
    <m/>
    <n v="0"/>
    <n v="-717"/>
    <n v="-2817.81"/>
    <n v="-430.2"/>
    <n v="71700"/>
  </r>
  <r>
    <x v="28"/>
    <x v="0"/>
    <n v="126875041098"/>
    <n v="14831.79"/>
    <n v="7862434.8399999999"/>
    <x v="0"/>
    <m/>
    <m/>
    <n v="0"/>
    <n v="-157"/>
    <n v="-617.01"/>
    <n v="-94.2"/>
    <n v="15700.000000000002"/>
  </r>
  <r>
    <x v="28"/>
    <x v="0"/>
    <n v="126318205615"/>
    <n v="7696.97"/>
    <n v="7870131.8099999996"/>
    <x v="0"/>
    <m/>
    <m/>
    <n v="0"/>
    <n v="-79"/>
    <n v="-76.63"/>
    <n v="-47.4"/>
    <n v="7900"/>
  </r>
  <r>
    <x v="28"/>
    <x v="0"/>
    <n v="126875172028"/>
    <n v="4871.5"/>
    <n v="7875003.3099999996"/>
    <x v="0"/>
    <m/>
    <m/>
    <n v="0"/>
    <n v="-50"/>
    <n v="-48.5"/>
    <n v="-30"/>
    <n v="5000"/>
  </r>
  <r>
    <x v="28"/>
    <x v="0"/>
    <n v="126876254088"/>
    <n v="4189.49"/>
    <n v="7879192.7999999998"/>
    <x v="0"/>
    <m/>
    <m/>
    <n v="0"/>
    <n v="-43"/>
    <n v="-41.71"/>
    <n v="-25.8"/>
    <n v="4300"/>
  </r>
  <r>
    <x v="28"/>
    <x v="0"/>
    <n v="126876381400"/>
    <n v="6820.1"/>
    <n v="7886012.9000000004"/>
    <x v="0"/>
    <m/>
    <m/>
    <n v="0"/>
    <n v="-70"/>
    <n v="-67.900000000000006"/>
    <n v="-42"/>
    <n v="7000"/>
  </r>
  <r>
    <x v="28"/>
    <x v="0"/>
    <n v="126319844955"/>
    <n v="30105.87"/>
    <n v="7916118.7699999996"/>
    <x v="0"/>
    <m/>
    <m/>
    <n v="0"/>
    <n v="-309"/>
    <n v="-299.73"/>
    <n v="-185.4"/>
    <n v="30900"/>
  </r>
  <r>
    <x v="28"/>
    <x v="0"/>
    <n v="126320141423"/>
    <n v="12958.19"/>
    <n v="7929076.96"/>
    <x v="0"/>
    <m/>
    <m/>
    <n v="0"/>
    <n v="-133"/>
    <n v="-129.01"/>
    <n v="-79.8"/>
    <n v="13300"/>
  </r>
  <r>
    <x v="28"/>
    <x v="0"/>
    <n v="126320288243"/>
    <n v="4189.49"/>
    <n v="7933266.4500000002"/>
    <x v="0"/>
    <m/>
    <m/>
    <n v="0"/>
    <n v="-43"/>
    <n v="-41.71"/>
    <n v="-25.8"/>
    <n v="4300"/>
  </r>
  <r>
    <x v="28"/>
    <x v="0"/>
    <n v="126320241659"/>
    <n v="11128.55"/>
    <n v="7944395"/>
    <x v="0"/>
    <m/>
    <m/>
    <n v="0"/>
    <n v="-115"/>
    <n v="-187.45"/>
    <n v="-69"/>
    <n v="11500"/>
  </r>
  <r>
    <x v="28"/>
    <x v="105"/>
    <n v="126320241673"/>
    <n v="1688.77"/>
    <n v="7946083.7699999996"/>
    <x v="0"/>
    <m/>
    <m/>
    <n v="-25.88"/>
    <n v="0"/>
    <n v="0"/>
    <n v="-10.35"/>
    <n v="1725"/>
  </r>
  <r>
    <x v="28"/>
    <x v="0"/>
    <n v="126877870800"/>
    <n v="9158.42"/>
    <n v="7955242.1900000004"/>
    <x v="0"/>
    <m/>
    <m/>
    <n v="0"/>
    <n v="-94"/>
    <n v="-91.18"/>
    <n v="-56.4"/>
    <n v="9400"/>
  </r>
  <r>
    <x v="28"/>
    <x v="0"/>
    <n v="126878375750"/>
    <n v="224700.84"/>
    <n v="8179943.0300000003"/>
    <x v="0"/>
    <m/>
    <m/>
    <n v="0"/>
    <n v="-2394"/>
    <n v="-10868.76"/>
    <n v="-1436.4"/>
    <n v="239400"/>
  </r>
  <r>
    <x v="28"/>
    <x v="0"/>
    <n v="126321636735"/>
    <n v="41700.04"/>
    <n v="8221643.0700000003"/>
    <x v="0"/>
    <m/>
    <m/>
    <n v="0"/>
    <n v="-428"/>
    <n v="-415.16"/>
    <n v="-256.8"/>
    <n v="42800.000000000007"/>
  </r>
  <r>
    <x v="28"/>
    <x v="0"/>
    <n v="126322107825"/>
    <n v="62728.08"/>
    <n v="8284371.1500000004"/>
    <x v="0"/>
    <m/>
    <m/>
    <n v="0"/>
    <n v="-664"/>
    <n v="-2609.52"/>
    <n v="-398.4"/>
    <n v="66400"/>
  </r>
  <r>
    <x v="28"/>
    <x v="0"/>
    <n v="126879442386"/>
    <n v="43363.32"/>
    <n v="8327734.4699999997"/>
    <x v="0"/>
    <m/>
    <m/>
    <n v="0"/>
    <n v="-462"/>
    <n v="-2097.48"/>
    <n v="-277.2"/>
    <n v="46200"/>
  </r>
  <r>
    <x v="28"/>
    <x v="0"/>
    <n v="126322416275"/>
    <n v="9743"/>
    <n v="8337477.4699999997"/>
    <x v="0"/>
    <m/>
    <m/>
    <n v="0"/>
    <n v="-100"/>
    <n v="-97"/>
    <n v="-60"/>
    <n v="10000"/>
  </r>
  <r>
    <x v="28"/>
    <x v="0"/>
    <n v="126322363921"/>
    <n v="49981.59"/>
    <n v="8387459.0599999996"/>
    <x v="0"/>
    <m/>
    <m/>
    <n v="0"/>
    <n v="-513"/>
    <n v="-497.61"/>
    <n v="-307.8"/>
    <n v="51300"/>
  </r>
  <r>
    <x v="28"/>
    <x v="0"/>
    <n v="126322417111"/>
    <n v="12665.9"/>
    <n v="8400124.9600000009"/>
    <x v="0"/>
    <m/>
    <m/>
    <n v="0"/>
    <n v="-130"/>
    <n v="-126.1"/>
    <n v="-78"/>
    <n v="13000"/>
  </r>
  <r>
    <x v="28"/>
    <x v="0"/>
    <n v="126879711336"/>
    <n v="8502.2999999999993"/>
    <n v="8408627.2599999998"/>
    <x v="0"/>
    <m/>
    <m/>
    <n v="0"/>
    <n v="-90"/>
    <n v="-353.7"/>
    <n v="-54"/>
    <n v="9000"/>
  </r>
  <r>
    <x v="28"/>
    <x v="0"/>
    <n v="126879997894"/>
    <n v="65960.11"/>
    <n v="8474587.3699999992"/>
    <x v="0"/>
    <m/>
    <m/>
    <n v="0"/>
    <n v="-677"/>
    <n v="-656.69"/>
    <n v="-406.2"/>
    <n v="67700"/>
  </r>
  <r>
    <x v="28"/>
    <x v="0"/>
    <n v="126322987383"/>
    <n v="44038.36"/>
    <n v="8518625.7300000004"/>
    <x v="0"/>
    <m/>
    <m/>
    <n v="0"/>
    <n v="-452"/>
    <n v="-438.44"/>
    <n v="-271.2"/>
    <n v="45200"/>
  </r>
  <r>
    <x v="28"/>
    <x v="0"/>
    <n v="126323027433"/>
    <n v="22389.39"/>
    <n v="8541015.1199999992"/>
    <x v="0"/>
    <m/>
    <m/>
    <n v="0"/>
    <n v="-237"/>
    <n v="-931.41"/>
    <n v="-142.19999999999999"/>
    <n v="23700"/>
  </r>
  <r>
    <x v="28"/>
    <x v="0"/>
    <n v="126960677984"/>
    <n v="11903.22"/>
    <n v="8552918.3399999999"/>
    <x v="0"/>
    <m/>
    <m/>
    <n v="0"/>
    <n v="-126"/>
    <n v="-495.18"/>
    <n v="-75.599999999999994"/>
    <n v="12600"/>
  </r>
  <r>
    <x v="28"/>
    <x v="0"/>
    <n v="126410121599"/>
    <n v="5163.79"/>
    <n v="8558082.1300000008"/>
    <x v="0"/>
    <m/>
    <m/>
    <n v="0"/>
    <n v="-53"/>
    <n v="-51.41"/>
    <n v="-31.8"/>
    <n v="5300"/>
  </r>
  <r>
    <x v="28"/>
    <x v="0"/>
    <n v="126410422343"/>
    <n v="4189.49"/>
    <n v="8562271.6199999992"/>
    <x v="0"/>
    <m/>
    <m/>
    <n v="0"/>
    <n v="-43"/>
    <n v="-41.71"/>
    <n v="-25.8"/>
    <n v="4300"/>
  </r>
  <r>
    <x v="28"/>
    <x v="0"/>
    <n v="126412724811"/>
    <n v="7368.66"/>
    <n v="8569640.2799999993"/>
    <x v="0"/>
    <m/>
    <m/>
    <n v="0"/>
    <n v="-78"/>
    <n v="-306.54000000000002"/>
    <n v="-46.8"/>
    <n v="7800"/>
  </r>
  <r>
    <x v="28"/>
    <x v="0"/>
    <n v="126970599066"/>
    <n v="3903.97"/>
    <n v="8573544.25"/>
    <x v="0"/>
    <m/>
    <m/>
    <n v="0"/>
    <n v="-43"/>
    <n v="-327.23"/>
    <n v="-25.8"/>
    <n v="4300"/>
  </r>
  <r>
    <x v="28"/>
    <x v="0"/>
    <n v="126971190364"/>
    <n v="7508.8"/>
    <n v="8581053.0500000007"/>
    <x v="0"/>
    <m/>
    <m/>
    <n v="0"/>
    <n v="-80"/>
    <n v="-363.2"/>
    <n v="-48"/>
    <n v="8000"/>
  </r>
  <r>
    <x v="28"/>
    <x v="0"/>
    <n v="126415952795"/>
    <n v="3799.77"/>
    <n v="8584852.8200000003"/>
    <x v="0"/>
    <m/>
    <m/>
    <n v="0"/>
    <n v="-39"/>
    <n v="-37.83"/>
    <n v="-23.4"/>
    <n v="3900"/>
  </r>
  <r>
    <x v="28"/>
    <x v="0"/>
    <n v="126416100771"/>
    <n v="18095.990000000002"/>
    <n v="8602948.8100000005"/>
    <x v="0"/>
    <m/>
    <m/>
    <n v="0"/>
    <n v="-187"/>
    <n v="-304.81"/>
    <n v="-112.2"/>
    <n v="18700.000000000004"/>
  </r>
  <r>
    <x v="28"/>
    <x v="0"/>
    <n v="126416744717"/>
    <n v="7368.66"/>
    <n v="8610317.4700000007"/>
    <x v="0"/>
    <m/>
    <m/>
    <n v="0"/>
    <n v="-78"/>
    <n v="-306.54000000000002"/>
    <n v="-46.8"/>
    <n v="7800"/>
  </r>
  <r>
    <x v="28"/>
    <x v="0"/>
    <n v="126417189235"/>
    <n v="55548.36"/>
    <n v="8665865.8300000001"/>
    <x v="0"/>
    <m/>
    <m/>
    <n v="0"/>
    <n v="-588"/>
    <n v="-2310.84"/>
    <n v="-352.8"/>
    <n v="58800"/>
  </r>
  <r>
    <x v="28"/>
    <x v="0"/>
    <n v="126417744443"/>
    <n v="17537.400000000001"/>
    <n v="8683403.2300000004"/>
    <x v="0"/>
    <m/>
    <m/>
    <n v="0"/>
    <n v="-180"/>
    <n v="-174.6"/>
    <n v="-108"/>
    <n v="18000"/>
  </r>
  <r>
    <x v="28"/>
    <x v="0"/>
    <n v="126418008273"/>
    <n v="26598.39"/>
    <n v="8710001.6199999992"/>
    <x v="0"/>
    <m/>
    <m/>
    <n v="0"/>
    <n v="-273"/>
    <n v="-264.81"/>
    <n v="-163.80000000000001"/>
    <n v="27300"/>
  </r>
  <r>
    <x v="28"/>
    <x v="106"/>
    <n v="126417976831"/>
    <n v="1336.33"/>
    <n v="8711337.9499999993"/>
    <x v="0"/>
    <m/>
    <m/>
    <n v="-20.48"/>
    <n v="0"/>
    <n v="0"/>
    <n v="-8.19"/>
    <n v="1365"/>
  </r>
  <r>
    <x v="28"/>
    <x v="0"/>
    <n v="126418419939"/>
    <n v="12763.33"/>
    <n v="8724101.2799999993"/>
    <x v="0"/>
    <m/>
    <m/>
    <n v="0"/>
    <n v="-131"/>
    <n v="-127.07"/>
    <n v="-78.599999999999994"/>
    <n v="13100"/>
  </r>
  <r>
    <x v="28"/>
    <x v="107"/>
    <n v="126418469315"/>
    <n v="641.24"/>
    <n v="8724742.5199999996"/>
    <x v="0"/>
    <m/>
    <m/>
    <n v="-9.83"/>
    <n v="0"/>
    <n v="0"/>
    <n v="-3.93"/>
    <n v="655"/>
  </r>
  <r>
    <x v="28"/>
    <x v="0"/>
    <n v="126978302556"/>
    <n v="27377.83"/>
    <n v="8752120.3499999996"/>
    <x v="0"/>
    <m/>
    <m/>
    <n v="0"/>
    <n v="-281"/>
    <n v="-272.57"/>
    <n v="-168.6"/>
    <n v="28100"/>
  </r>
  <r>
    <x v="28"/>
    <x v="0"/>
    <n v="126979157826"/>
    <n v="34292.61"/>
    <n v="8786412.9600000009"/>
    <x v="0"/>
    <m/>
    <m/>
    <n v="0"/>
    <n v="-363"/>
    <n v="-1426.59"/>
    <n v="-217.8"/>
    <n v="36300"/>
  </r>
  <r>
    <x v="28"/>
    <x v="0"/>
    <n v="126421871761"/>
    <n v="8378.98"/>
    <n v="8794791.9399999995"/>
    <x v="0"/>
    <m/>
    <m/>
    <n v="0"/>
    <n v="-86"/>
    <n v="-83.42"/>
    <n v="-51.6"/>
    <n v="8600"/>
  </r>
  <r>
    <x v="28"/>
    <x v="0"/>
    <n v="126980936250"/>
    <n v="20700.12"/>
    <n v="8815492.0600000005"/>
    <x v="0"/>
    <m/>
    <m/>
    <n v="0"/>
    <n v="-228"/>
    <n v="-1735.08"/>
    <n v="-136.80000000000001"/>
    <n v="22799.999999999996"/>
  </r>
  <r>
    <x v="28"/>
    <x v="0"/>
    <n v="126423501303"/>
    <n v="23334.09"/>
    <n v="8838826.1500000004"/>
    <x v="0"/>
    <m/>
    <m/>
    <n v="0"/>
    <n v="-247"/>
    <n v="-970.71"/>
    <n v="-148.19999999999999"/>
    <n v="24700"/>
  </r>
  <r>
    <x v="28"/>
    <x v="0"/>
    <n v="126423667935"/>
    <n v="30142.28"/>
    <n v="8868968.4299999997"/>
    <x v="0"/>
    <m/>
    <m/>
    <n v="0"/>
    <n v="-332"/>
    <n v="-2526.52"/>
    <n v="-199.2"/>
    <n v="33199.999999999993"/>
  </r>
  <r>
    <x v="28"/>
    <x v="0"/>
    <n v="126981776406"/>
    <n v="32875.56"/>
    <n v="8901843.9900000002"/>
    <x v="0"/>
    <m/>
    <m/>
    <n v="0"/>
    <n v="-348"/>
    <n v="-1367.64"/>
    <n v="-208.8"/>
    <n v="34800"/>
  </r>
  <r>
    <x v="28"/>
    <x v="0"/>
    <n v="126981700000"/>
    <n v="71419.320000000007"/>
    <n v="8973263.3100000005"/>
    <x v="0"/>
    <m/>
    <m/>
    <n v="0"/>
    <n v="-756"/>
    <n v="-2971.08"/>
    <n v="-453.6"/>
    <n v="75600.000000000015"/>
  </r>
  <r>
    <x v="28"/>
    <x v="0"/>
    <n v="126424486673"/>
    <n v="10257.620000000001"/>
    <n v="8983520.9299999997"/>
    <x v="0"/>
    <m/>
    <m/>
    <n v="0"/>
    <n v="-106"/>
    <n v="-172.78"/>
    <n v="-63.6"/>
    <n v="10600.000000000002"/>
  </r>
  <r>
    <x v="28"/>
    <x v="0"/>
    <n v="126424804149"/>
    <n v="50955.89"/>
    <n v="9034476.8200000003"/>
    <x v="0"/>
    <m/>
    <m/>
    <n v="0"/>
    <n v="-523"/>
    <n v="-507.31"/>
    <n v="-313.8"/>
    <n v="52300"/>
  </r>
  <r>
    <x v="28"/>
    <x v="0"/>
    <n v="126425131863"/>
    <n v="25317.96"/>
    <n v="9059794.7799999993"/>
    <x v="0"/>
    <m/>
    <m/>
    <n v="0"/>
    <n v="-268"/>
    <n v="-1053.24"/>
    <n v="-160.80000000000001"/>
    <n v="26800"/>
  </r>
  <r>
    <x v="28"/>
    <x v="0"/>
    <n v="126982959770"/>
    <n v="10619.87"/>
    <n v="9070414.6500000004"/>
    <x v="0"/>
    <m/>
    <m/>
    <n v="0"/>
    <n v="-109"/>
    <n v="-105.73"/>
    <n v="-65.400000000000006"/>
    <n v="10900"/>
  </r>
  <r>
    <x v="28"/>
    <x v="0"/>
    <n v="126983145714"/>
    <n v="8378.98"/>
    <n v="9078793.6300000008"/>
    <x v="0"/>
    <m/>
    <m/>
    <n v="0"/>
    <n v="-86"/>
    <n v="-83.42"/>
    <n v="-51.6"/>
    <n v="8600"/>
  </r>
  <r>
    <x v="28"/>
    <x v="0"/>
    <n v="126426033467"/>
    <n v="37218.26"/>
    <n v="9116011.8900000006"/>
    <x v="0"/>
    <m/>
    <m/>
    <n v="0"/>
    <n v="-382"/>
    <n v="-370.54"/>
    <n v="-229.2"/>
    <n v="38200"/>
  </r>
  <r>
    <x v="28"/>
    <x v="108"/>
    <n v="126983513620"/>
    <n v="1869.89"/>
    <n v="9117881.7799999993"/>
    <x v="0"/>
    <m/>
    <m/>
    <n v="-28.65"/>
    <n v="0"/>
    <n v="0"/>
    <n v="-11.46"/>
    <n v="1910.0000000000002"/>
  </r>
  <r>
    <x v="28"/>
    <x v="0"/>
    <n v="126983720944"/>
    <n v="40336.019999999997"/>
    <n v="9158217.8000000007"/>
    <x v="0"/>
    <m/>
    <m/>
    <n v="0"/>
    <n v="-414"/>
    <n v="-401.58"/>
    <n v="-248.4"/>
    <n v="41400"/>
  </r>
  <r>
    <x v="28"/>
    <x v="0"/>
    <n v="126983964624"/>
    <n v="70831.61"/>
    <n v="9229049.4100000001"/>
    <x v="0"/>
    <m/>
    <m/>
    <n v="0"/>
    <n v="-727"/>
    <n v="-705.19"/>
    <n v="-436.2"/>
    <n v="72700"/>
  </r>
  <r>
    <x v="28"/>
    <x v="0"/>
    <n v="126426592653"/>
    <n v="39751.440000000002"/>
    <n v="9268800.8499999996"/>
    <x v="0"/>
    <m/>
    <m/>
    <n v="0"/>
    <n v="-408"/>
    <n v="-395.76"/>
    <n v="-244.8"/>
    <n v="40800.000000000007"/>
  </r>
  <r>
    <x v="28"/>
    <x v="0"/>
    <n v="126426524043"/>
    <n v="27585.24"/>
    <n v="9296386.0899999999"/>
    <x v="0"/>
    <m/>
    <m/>
    <n v="0"/>
    <n v="-292"/>
    <n v="-1147.56"/>
    <n v="-175.2"/>
    <n v="29200.000000000004"/>
  </r>
  <r>
    <x v="28"/>
    <x v="0"/>
    <n v="126984441946"/>
    <n v="20405.52"/>
    <n v="9316791.6099999994"/>
    <x v="0"/>
    <m/>
    <m/>
    <n v="0"/>
    <n v="-216"/>
    <n v="-848.88"/>
    <n v="-129.6"/>
    <n v="21600"/>
  </r>
  <r>
    <x v="28"/>
    <x v="0"/>
    <n v="126984992484"/>
    <n v="32541.62"/>
    <n v="9349333.2300000004"/>
    <x v="0"/>
    <m/>
    <m/>
    <n v="0"/>
    <n v="-334"/>
    <n v="-323.98"/>
    <n v="-200.4"/>
    <n v="33400"/>
  </r>
  <r>
    <x v="28"/>
    <x v="0"/>
    <n v="126984981826"/>
    <n v="30230.400000000001"/>
    <n v="9379563.6300000008"/>
    <x v="0"/>
    <m/>
    <m/>
    <n v="0"/>
    <n v="-320"/>
    <n v="-1257.5999999999999"/>
    <n v="-192"/>
    <n v="32000"/>
  </r>
  <r>
    <x v="28"/>
    <x v="0"/>
    <n v="126427734197"/>
    <n v="7307.25"/>
    <n v="9386870.8800000008"/>
    <x v="0"/>
    <m/>
    <m/>
    <n v="0"/>
    <n v="-75"/>
    <n v="-72.75"/>
    <n v="-45"/>
    <n v="7500"/>
  </r>
  <r>
    <x v="28"/>
    <x v="109"/>
    <n v="126427704535"/>
    <n v="734.25"/>
    <n v="9387605.1300000008"/>
    <x v="0"/>
    <m/>
    <m/>
    <n v="-11.25"/>
    <n v="0"/>
    <n v="0"/>
    <n v="-4.5"/>
    <n v="750"/>
  </r>
  <r>
    <x v="28"/>
    <x v="0"/>
    <n v="126985153914"/>
    <n v="3799.77"/>
    <n v="9391404.9000000004"/>
    <x v="0"/>
    <m/>
    <m/>
    <n v="0"/>
    <n v="-39"/>
    <n v="-37.83"/>
    <n v="-23.4"/>
    <n v="3900"/>
  </r>
  <r>
    <x v="28"/>
    <x v="0"/>
    <n v="126427840519"/>
    <n v="32541.62"/>
    <n v="9423946.5199999996"/>
    <x v="0"/>
    <m/>
    <m/>
    <n v="0"/>
    <n v="-334"/>
    <n v="-323.98"/>
    <n v="-200.4"/>
    <n v="33400"/>
  </r>
  <r>
    <x v="28"/>
    <x v="110"/>
    <n v="126427745647"/>
    <n v="1634.93"/>
    <n v="9425581.4499999993"/>
    <x v="0"/>
    <m/>
    <m/>
    <n v="-25.05"/>
    <n v="0"/>
    <n v="0"/>
    <n v="-10.02"/>
    <n v="1670"/>
  </r>
  <r>
    <x v="28"/>
    <x v="0"/>
    <n v="126428154421"/>
    <n v="9743"/>
    <n v="9435324.4499999993"/>
    <x v="0"/>
    <m/>
    <m/>
    <n v="0"/>
    <n v="-100"/>
    <n v="-97"/>
    <n v="-60"/>
    <n v="10000"/>
  </r>
  <r>
    <x v="28"/>
    <x v="0"/>
    <n v="126428160507"/>
    <n v="37544"/>
    <n v="9472868.4499999993"/>
    <x v="0"/>
    <m/>
    <m/>
    <n v="0"/>
    <n v="-400"/>
    <n v="-1816"/>
    <n v="-240"/>
    <n v="40000"/>
  </r>
  <r>
    <x v="28"/>
    <x v="0"/>
    <n v="126985881488"/>
    <n v="69624.39"/>
    <n v="9542492.8399999999"/>
    <x v="0"/>
    <m/>
    <m/>
    <n v="0"/>
    <n v="-737"/>
    <n v="-2896.41"/>
    <n v="-442.2"/>
    <n v="73700"/>
  </r>
  <r>
    <x v="28"/>
    <x v="0"/>
    <n v="126428591035"/>
    <n v="37221.18"/>
    <n v="9579714.0199999996"/>
    <x v="0"/>
    <m/>
    <m/>
    <n v="0"/>
    <n v="-394"/>
    <n v="-1548.42"/>
    <n v="-236.4"/>
    <n v="39400"/>
  </r>
  <r>
    <x v="28"/>
    <x v="0"/>
    <n v="126986201156"/>
    <n v="35048.370000000003"/>
    <n v="9614762.3900000006"/>
    <x v="0"/>
    <m/>
    <m/>
    <n v="0"/>
    <n v="-371"/>
    <n v="-1458.03"/>
    <n v="-222.6"/>
    <n v="37100"/>
  </r>
  <r>
    <x v="28"/>
    <x v="0"/>
    <n v="126428827067"/>
    <n v="45012.66"/>
    <n v="9659775.0500000007"/>
    <x v="0"/>
    <m/>
    <m/>
    <n v="0"/>
    <n v="-462"/>
    <n v="-448.14"/>
    <n v="-277.2"/>
    <n v="46200"/>
  </r>
  <r>
    <x v="28"/>
    <x v="111"/>
    <n v="126986375372"/>
    <n v="2261.4899999999998"/>
    <n v="9662036.5399999991"/>
    <x v="0"/>
    <m/>
    <m/>
    <n v="-34.65"/>
    <n v="0"/>
    <n v="0"/>
    <n v="-13.86"/>
    <n v="2310"/>
  </r>
  <r>
    <x v="28"/>
    <x v="0"/>
    <n v="126986728354"/>
    <n v="8785.7099999999991"/>
    <n v="9670822.25"/>
    <x v="0"/>
    <m/>
    <m/>
    <n v="0"/>
    <n v="-93"/>
    <n v="-365.49"/>
    <n v="-55.8"/>
    <n v="9299.9999999999982"/>
  </r>
  <r>
    <x v="28"/>
    <x v="0"/>
    <n v="126429190877"/>
    <n v="50320.4"/>
    <n v="9721142.6500000004"/>
    <x v="0"/>
    <m/>
    <m/>
    <n v="0"/>
    <n v="-520"/>
    <n v="-847.6"/>
    <n v="-312"/>
    <n v="52000"/>
  </r>
  <r>
    <x v="28"/>
    <x v="0"/>
    <n v="126986973700"/>
    <n v="10327.58"/>
    <n v="9731470.2300000004"/>
    <x v="0"/>
    <m/>
    <m/>
    <n v="0"/>
    <n v="-106"/>
    <n v="-102.82"/>
    <n v="-63.6"/>
    <n v="10600"/>
  </r>
  <r>
    <x v="28"/>
    <x v="0"/>
    <n v="126987554710"/>
    <n v="25999.22"/>
    <n v="9757469.4499999993"/>
    <x v="0"/>
    <m/>
    <m/>
    <n v="0"/>
    <n v="-277"/>
    <n v="-1257.58"/>
    <n v="-166.2"/>
    <n v="27700.000000000004"/>
  </r>
  <r>
    <x v="1"/>
    <x v="0"/>
    <n v="126430310225"/>
    <n v="21728.1"/>
    <n v="9779197.5500000007"/>
    <x v="0"/>
    <m/>
    <m/>
    <n v="0"/>
    <n v="-230"/>
    <n v="-903.9"/>
    <n v="-138"/>
    <n v="23000"/>
  </r>
  <r>
    <x v="1"/>
    <x v="0"/>
    <n v="126430431329"/>
    <n v="15580.76"/>
    <n v="9794778.3100000005"/>
    <x v="0"/>
    <m/>
    <m/>
    <n v="0"/>
    <n v="-166"/>
    <n v="-753.64"/>
    <n v="-99.6"/>
    <n v="16600"/>
  </r>
  <r>
    <x v="1"/>
    <x v="0"/>
    <n v="126988152896"/>
    <n v="56704.26"/>
    <n v="9851482.5700000003"/>
    <x v="0"/>
    <m/>
    <m/>
    <n v="0"/>
    <n v="-582"/>
    <n v="-564.54"/>
    <n v="-349.2"/>
    <n v="58200"/>
  </r>
  <r>
    <x v="1"/>
    <x v="0"/>
    <n v="126430926107"/>
    <n v="17665.89"/>
    <n v="9869148.4600000009"/>
    <x v="0"/>
    <m/>
    <m/>
    <n v="0"/>
    <n v="-187"/>
    <n v="-734.91"/>
    <n v="-112.2"/>
    <n v="18700"/>
  </r>
  <r>
    <x v="1"/>
    <x v="0"/>
    <n v="126430980121"/>
    <n v="7989.26"/>
    <n v="9877137.7200000007"/>
    <x v="0"/>
    <m/>
    <m/>
    <n v="0"/>
    <n v="-82"/>
    <n v="-79.540000000000006"/>
    <n v="-49.2"/>
    <n v="8200"/>
  </r>
  <r>
    <x v="1"/>
    <x v="0"/>
    <n v="126988634112"/>
    <n v="10793.9"/>
    <n v="9887931.6199999992"/>
    <x v="0"/>
    <m/>
    <m/>
    <n v="0"/>
    <n v="-115"/>
    <n v="-522.1"/>
    <n v="-69"/>
    <n v="11500"/>
  </r>
  <r>
    <x v="1"/>
    <x v="0"/>
    <n v="126431285979"/>
    <n v="52904.49"/>
    <n v="9940836.1099999994"/>
    <x v="0"/>
    <m/>
    <m/>
    <n v="0"/>
    <n v="-543"/>
    <n v="-526.71"/>
    <n v="-325.8"/>
    <n v="54300"/>
  </r>
  <r>
    <x v="1"/>
    <x v="0"/>
    <n v="126431466333"/>
    <n v="68590.720000000001"/>
    <n v="10009426.83"/>
    <x v="0"/>
    <m/>
    <m/>
    <n v="0"/>
    <n v="-704"/>
    <n v="-682.88"/>
    <n v="-422.4"/>
    <n v="70400"/>
  </r>
  <r>
    <x v="1"/>
    <x v="0"/>
    <n v="126432046519"/>
    <n v="9743"/>
    <n v="10019169.83"/>
    <x v="0"/>
    <m/>
    <m/>
    <n v="0"/>
    <n v="-100"/>
    <n v="-97"/>
    <n v="-60"/>
    <n v="10000"/>
  </r>
  <r>
    <x v="1"/>
    <x v="0"/>
    <n v="126432682049"/>
    <n v="11430.87"/>
    <n v="10030600.699999999"/>
    <x v="0"/>
    <m/>
    <m/>
    <n v="0"/>
    <n v="-121"/>
    <n v="-475.53"/>
    <n v="-72.599999999999994"/>
    <n v="12100.000000000002"/>
  </r>
  <r>
    <x v="1"/>
    <x v="0"/>
    <n v="126990295636"/>
    <n v="43161.49"/>
    <n v="10073762.189999999"/>
    <x v="0"/>
    <m/>
    <m/>
    <n v="0"/>
    <n v="-443"/>
    <n v="-429.71"/>
    <n v="-265.8"/>
    <n v="44300"/>
  </r>
  <r>
    <x v="1"/>
    <x v="0"/>
    <n v="126990455038"/>
    <n v="55632.53"/>
    <n v="10129394.720000001"/>
    <x v="0"/>
    <m/>
    <m/>
    <n v="0"/>
    <n v="-571"/>
    <n v="-553.87"/>
    <n v="-342.6"/>
    <n v="57100"/>
  </r>
  <r>
    <x v="1"/>
    <x v="0"/>
    <n v="126990463684"/>
    <n v="78138.86"/>
    <n v="10207533.58"/>
    <x v="0"/>
    <m/>
    <m/>
    <n v="0"/>
    <n v="-802"/>
    <n v="-777.94"/>
    <n v="-481.2"/>
    <n v="80200"/>
  </r>
  <r>
    <x v="1"/>
    <x v="0"/>
    <n v="126433454335"/>
    <n v="97776.45"/>
    <n v="10305310.029999999"/>
    <x v="0"/>
    <m/>
    <m/>
    <n v="0"/>
    <n v="-1035"/>
    <n v="-4067.55"/>
    <n v="-621"/>
    <n v="103500"/>
  </r>
  <r>
    <x v="1"/>
    <x v="0"/>
    <n v="126991162222"/>
    <n v="152672.81"/>
    <n v="10457982.84"/>
    <x v="0"/>
    <m/>
    <m/>
    <n v="0"/>
    <n v="-1567"/>
    <n v="-1519.99"/>
    <n v="-940.2"/>
    <n v="156700"/>
  </r>
  <r>
    <x v="1"/>
    <x v="112"/>
    <n v="126433503641"/>
    <n v="7670.46"/>
    <n v="10465653.300000001"/>
    <x v="0"/>
    <m/>
    <m/>
    <n v="-117.53"/>
    <n v="0"/>
    <n v="0"/>
    <n v="-47.01"/>
    <n v="7835"/>
  </r>
  <r>
    <x v="1"/>
    <x v="0"/>
    <n v="126991147208"/>
    <n v="42674.34"/>
    <n v="10508327.640000001"/>
    <x v="0"/>
    <m/>
    <m/>
    <n v="0"/>
    <n v="-438"/>
    <n v="-424.86"/>
    <n v="-262.8"/>
    <n v="43800"/>
  </r>
  <r>
    <x v="1"/>
    <x v="0"/>
    <n v="126433647229"/>
    <n v="5748.37"/>
    <n v="10514076.01"/>
    <x v="0"/>
    <m/>
    <m/>
    <n v="0"/>
    <n v="-59"/>
    <n v="-57.23"/>
    <n v="-35.4"/>
    <n v="5899.9999999999991"/>
  </r>
  <r>
    <x v="1"/>
    <x v="0"/>
    <n v="126991562026"/>
    <n v="22896.05"/>
    <n v="10536972.060000001"/>
    <x v="0"/>
    <m/>
    <m/>
    <n v="0"/>
    <n v="-235"/>
    <n v="-227.95"/>
    <n v="-141"/>
    <n v="23500"/>
  </r>
  <r>
    <x v="1"/>
    <x v="113"/>
    <n v="126991676568"/>
    <n v="1150.32"/>
    <n v="10538122.380000001"/>
    <x v="0"/>
    <m/>
    <m/>
    <n v="-17.63"/>
    <n v="0"/>
    <n v="0"/>
    <n v="-7.05"/>
    <n v="1175"/>
  </r>
  <r>
    <x v="1"/>
    <x v="0"/>
    <n v="126434616539"/>
    <n v="23239.62"/>
    <n v="10561362"/>
    <x v="0"/>
    <m/>
    <m/>
    <n v="0"/>
    <n v="-246"/>
    <n v="-966.78"/>
    <n v="-147.6"/>
    <n v="24599.999999999996"/>
  </r>
  <r>
    <x v="1"/>
    <x v="0"/>
    <n v="126434588095"/>
    <n v="18705.060000000001"/>
    <n v="10580067.060000001"/>
    <x v="0"/>
    <m/>
    <m/>
    <n v="0"/>
    <n v="-198"/>
    <n v="-778.14"/>
    <n v="-118.8"/>
    <n v="19800"/>
  </r>
  <r>
    <x v="1"/>
    <x v="0"/>
    <n v="126992251400"/>
    <n v="52514.77"/>
    <n v="10632581.83"/>
    <x v="0"/>
    <m/>
    <m/>
    <n v="0"/>
    <n v="-539"/>
    <n v="-522.83000000000004"/>
    <n v="-323.39999999999998"/>
    <n v="53900"/>
  </r>
  <r>
    <x v="1"/>
    <x v="114"/>
    <n v="126992294948"/>
    <n v="2638.4"/>
    <n v="10635220.23"/>
    <x v="0"/>
    <m/>
    <m/>
    <n v="-40.43"/>
    <n v="0"/>
    <n v="0"/>
    <n v="-16.170000000000002"/>
    <n v="2695"/>
  </r>
  <r>
    <x v="1"/>
    <x v="0"/>
    <n v="126992434810"/>
    <n v="33695.74"/>
    <n v="10668915.970000001"/>
    <x v="0"/>
    <m/>
    <m/>
    <n v="0"/>
    <n v="-359"/>
    <n v="-1629.86"/>
    <n v="-215.4"/>
    <n v="35900"/>
  </r>
  <r>
    <x v="1"/>
    <x v="0"/>
    <n v="126992555472"/>
    <n v="8378.98"/>
    <n v="10677294.949999999"/>
    <x v="0"/>
    <m/>
    <m/>
    <n v="0"/>
    <n v="-86"/>
    <n v="-83.42"/>
    <n v="-51.6"/>
    <n v="8600"/>
  </r>
  <r>
    <x v="1"/>
    <x v="0"/>
    <n v="126992591204"/>
    <n v="13640.2"/>
    <n v="10690935.15"/>
    <x v="0"/>
    <m/>
    <m/>
    <n v="0"/>
    <n v="-140"/>
    <n v="-135.80000000000001"/>
    <n v="-84"/>
    <n v="14000"/>
  </r>
  <r>
    <x v="1"/>
    <x v="0"/>
    <n v="126435168221"/>
    <n v="114090.53"/>
    <n v="10805025.68"/>
    <x v="0"/>
    <m/>
    <m/>
    <n v="0"/>
    <n v="-1171"/>
    <n v="-1135.8699999999999"/>
    <n v="-702.6"/>
    <n v="117100"/>
  </r>
  <r>
    <x v="1"/>
    <x v="0"/>
    <n v="126992667842"/>
    <n v="21255.75"/>
    <n v="10826281.43"/>
    <x v="0"/>
    <m/>
    <m/>
    <n v="0"/>
    <n v="-225"/>
    <n v="-884.25"/>
    <n v="-135"/>
    <n v="22500"/>
  </r>
  <r>
    <x v="1"/>
    <x v="0"/>
    <n v="126992767926"/>
    <n v="45499.81"/>
    <n v="10871781.24"/>
    <x v="0"/>
    <m/>
    <m/>
    <n v="0"/>
    <n v="-467"/>
    <n v="-452.99"/>
    <n v="-280.2"/>
    <n v="46699.999999999993"/>
  </r>
  <r>
    <x v="1"/>
    <x v="0"/>
    <n v="126992956554"/>
    <n v="81622.080000000002"/>
    <n v="10953403.32"/>
    <x v="0"/>
    <m/>
    <m/>
    <n v="0"/>
    <n v="-864"/>
    <n v="-3395.52"/>
    <n v="-518.4"/>
    <n v="86400"/>
  </r>
  <r>
    <x v="1"/>
    <x v="0"/>
    <n v="126435878863"/>
    <n v="23428.560000000001"/>
    <n v="10976831.880000001"/>
    <x v="0"/>
    <m/>
    <m/>
    <n v="0"/>
    <n v="-248"/>
    <n v="-974.64"/>
    <n v="-148.80000000000001"/>
    <n v="24800"/>
  </r>
  <r>
    <x v="1"/>
    <x v="0"/>
    <n v="126435881501"/>
    <n v="114285.39"/>
    <n v="11091117.27"/>
    <x v="0"/>
    <m/>
    <m/>
    <n v="0"/>
    <n v="-1173"/>
    <n v="-1137.81"/>
    <n v="-703.8"/>
    <n v="117300"/>
  </r>
  <r>
    <x v="1"/>
    <x v="0"/>
    <n v="126435988375"/>
    <n v="20070.580000000002"/>
    <n v="11111187.85"/>
    <x v="0"/>
    <m/>
    <m/>
    <n v="0"/>
    <n v="-206"/>
    <n v="-199.82"/>
    <n v="-123.6"/>
    <n v="20600"/>
  </r>
  <r>
    <x v="1"/>
    <x v="0"/>
    <n v="126436273079"/>
    <n v="9351.3700000000008"/>
    <n v="11120539.220000001"/>
    <x v="0"/>
    <m/>
    <m/>
    <n v="0"/>
    <n v="-103"/>
    <n v="-783.83"/>
    <n v="-61.8"/>
    <n v="10300"/>
  </r>
  <r>
    <x v="1"/>
    <x v="115"/>
    <n v="126993731584"/>
    <n v="1008.37"/>
    <n v="11121547.59"/>
    <x v="0"/>
    <m/>
    <m/>
    <n v="-15.45"/>
    <n v="0"/>
    <n v="0"/>
    <n v="-6.18"/>
    <n v="1030"/>
  </r>
  <r>
    <x v="1"/>
    <x v="0"/>
    <n v="126993816968"/>
    <n v="8573.84"/>
    <n v="11130121.43"/>
    <x v="0"/>
    <m/>
    <m/>
    <n v="0"/>
    <n v="-88"/>
    <n v="-85.36"/>
    <n v="-52.8"/>
    <n v="8800"/>
  </r>
  <r>
    <x v="1"/>
    <x v="0"/>
    <n v="126993923076"/>
    <n v="25429.23"/>
    <n v="11155550.66"/>
    <x v="0"/>
    <m/>
    <m/>
    <n v="0"/>
    <n v="-261"/>
    <n v="-253.17"/>
    <n v="-156.6"/>
    <n v="26099.999999999996"/>
  </r>
  <r>
    <x v="1"/>
    <x v="0"/>
    <n v="126436481429"/>
    <n v="49407.81"/>
    <n v="11204958.470000001"/>
    <x v="0"/>
    <m/>
    <m/>
    <n v="0"/>
    <n v="-523"/>
    <n v="-2055.39"/>
    <n v="-313.8"/>
    <n v="52300"/>
  </r>
  <r>
    <x v="1"/>
    <x v="0"/>
    <n v="126436687071"/>
    <n v="37997.699999999997"/>
    <n v="11242956.17"/>
    <x v="0"/>
    <m/>
    <m/>
    <n v="0"/>
    <n v="-390"/>
    <n v="-378.3"/>
    <n v="-234"/>
    <n v="39000"/>
  </r>
  <r>
    <x v="1"/>
    <x v="0"/>
    <n v="126436885759"/>
    <n v="18511.7"/>
    <n v="11261467.869999999"/>
    <x v="0"/>
    <m/>
    <m/>
    <n v="0"/>
    <n v="-190"/>
    <n v="-184.3"/>
    <n v="-114"/>
    <n v="19000"/>
  </r>
  <r>
    <x v="1"/>
    <x v="0"/>
    <n v="126437258399"/>
    <n v="18121.98"/>
    <n v="11279589.85"/>
    <x v="0"/>
    <m/>
    <m/>
    <n v="0"/>
    <n v="-186"/>
    <n v="-180.42"/>
    <n v="-111.6"/>
    <n v="18599.999999999996"/>
  </r>
  <r>
    <x v="1"/>
    <x v="0"/>
    <n v="126994713226"/>
    <n v="43258.92"/>
    <n v="11322848.77"/>
    <x v="0"/>
    <m/>
    <m/>
    <n v="0"/>
    <n v="-444"/>
    <n v="-430.68"/>
    <n v="-266.39999999999998"/>
    <n v="44400"/>
  </r>
  <r>
    <x v="1"/>
    <x v="0"/>
    <n v="126994733000"/>
    <n v="18024.55"/>
    <n v="11340873.32"/>
    <x v="0"/>
    <m/>
    <m/>
    <n v="0"/>
    <n v="-185"/>
    <n v="-179.45"/>
    <n v="-111"/>
    <n v="18500"/>
  </r>
  <r>
    <x v="1"/>
    <x v="0"/>
    <n v="126994702036"/>
    <n v="15491.37"/>
    <n v="11356364.689999999"/>
    <x v="0"/>
    <m/>
    <m/>
    <n v="0"/>
    <n v="-159"/>
    <n v="-154.22999999999999"/>
    <n v="-95.4"/>
    <n v="15900"/>
  </r>
  <r>
    <x v="1"/>
    <x v="0"/>
    <n v="126994834838"/>
    <n v="8071.96"/>
    <n v="11364436.65"/>
    <x v="0"/>
    <m/>
    <m/>
    <n v="0"/>
    <n v="-86"/>
    <n v="-390.44"/>
    <n v="-51.6"/>
    <n v="8600"/>
  </r>
  <r>
    <x v="1"/>
    <x v="0"/>
    <n v="126994860808"/>
    <n v="22896.05"/>
    <n v="11387332.699999999"/>
    <x v="0"/>
    <m/>
    <m/>
    <n v="0"/>
    <n v="-235"/>
    <n v="-227.95"/>
    <n v="-141"/>
    <n v="23500"/>
  </r>
  <r>
    <x v="1"/>
    <x v="0"/>
    <n v="126994870920"/>
    <n v="18803.990000000002"/>
    <n v="11406136.689999999"/>
    <x v="0"/>
    <m/>
    <m/>
    <n v="0"/>
    <n v="-193"/>
    <n v="-187.21"/>
    <n v="-115.8"/>
    <n v="19300"/>
  </r>
  <r>
    <x v="1"/>
    <x v="0"/>
    <n v="126995028620"/>
    <n v="33773.879999999997"/>
    <n v="11439910.57"/>
    <x v="0"/>
    <m/>
    <m/>
    <n v="0"/>
    <n v="-372"/>
    <n v="-2830.92"/>
    <n v="-223.2"/>
    <n v="37199.999999999993"/>
  </r>
  <r>
    <x v="1"/>
    <x v="0"/>
    <n v="126498711815"/>
    <n v="8378.98"/>
    <n v="11448289.550000001"/>
    <x v="0"/>
    <m/>
    <m/>
    <n v="0"/>
    <n v="-86"/>
    <n v="-83.42"/>
    <n v="-51.6"/>
    <n v="8600"/>
  </r>
  <r>
    <x v="1"/>
    <x v="0"/>
    <n v="126499013865"/>
    <n v="4974.58"/>
    <n v="11453264.130000001"/>
    <x v="0"/>
    <m/>
    <m/>
    <n v="0"/>
    <n v="-53"/>
    <n v="-240.62"/>
    <n v="-31.8"/>
    <n v="5300"/>
  </r>
  <r>
    <x v="1"/>
    <x v="0"/>
    <n v="127057252498"/>
    <n v="4189.49"/>
    <n v="11457453.619999999"/>
    <x v="0"/>
    <m/>
    <m/>
    <n v="0"/>
    <n v="-43"/>
    <n v="-41.71"/>
    <n v="-25.8"/>
    <n v="4300"/>
  </r>
  <r>
    <x v="1"/>
    <x v="0"/>
    <n v="126501121485"/>
    <n v="6355.3"/>
    <n v="11463808.92"/>
    <x v="0"/>
    <m/>
    <m/>
    <n v="0"/>
    <n v="-70"/>
    <n v="-532.70000000000005"/>
    <n v="-42"/>
    <n v="7000"/>
  </r>
  <r>
    <x v="1"/>
    <x v="0"/>
    <n v="126502326417"/>
    <n v="4384.3500000000004"/>
    <n v="11468193.27"/>
    <x v="0"/>
    <m/>
    <m/>
    <n v="0"/>
    <n v="-45"/>
    <n v="-43.65"/>
    <n v="-27"/>
    <n v="4500"/>
  </r>
  <r>
    <x v="1"/>
    <x v="0"/>
    <n v="127060015374"/>
    <n v="8768.7000000000007"/>
    <n v="11476961.970000001"/>
    <x v="0"/>
    <m/>
    <m/>
    <n v="0"/>
    <n v="-90"/>
    <n v="-87.3"/>
    <n v="-54"/>
    <n v="9000"/>
  </r>
  <r>
    <x v="1"/>
    <x v="0"/>
    <n v="127064546278"/>
    <n v="17704.05"/>
    <n v="11494666.02"/>
    <x v="0"/>
    <m/>
    <m/>
    <n v="0"/>
    <n v="-195"/>
    <n v="-1483.95"/>
    <n v="-117"/>
    <n v="19500"/>
  </r>
  <r>
    <x v="1"/>
    <x v="0"/>
    <n v="126508269011"/>
    <n v="8378.98"/>
    <n v="11503045"/>
    <x v="0"/>
    <m/>
    <m/>
    <n v="0"/>
    <n v="-86"/>
    <n v="-83.42"/>
    <n v="-51.6"/>
    <n v="8600"/>
  </r>
  <r>
    <x v="1"/>
    <x v="0"/>
    <n v="127066369438"/>
    <n v="16547.669999999998"/>
    <n v="11519592.67"/>
    <x v="0"/>
    <m/>
    <m/>
    <n v="0"/>
    <n v="-171"/>
    <n v="-278.73"/>
    <n v="-102.6"/>
    <n v="17099.999999999996"/>
  </r>
  <r>
    <x v="1"/>
    <x v="0"/>
    <n v="126509739927"/>
    <n v="18421.650000000001"/>
    <n v="11538014.32"/>
    <x v="0"/>
    <m/>
    <m/>
    <n v="0"/>
    <n v="-195"/>
    <n v="-766.35"/>
    <n v="-117"/>
    <n v="19500"/>
  </r>
  <r>
    <x v="1"/>
    <x v="0"/>
    <n v="126510073927"/>
    <n v="24656.67"/>
    <n v="11562670.99"/>
    <x v="0"/>
    <m/>
    <m/>
    <n v="0"/>
    <n v="-261"/>
    <n v="-1025.73"/>
    <n v="-156.6"/>
    <n v="26099.999999999996"/>
  </r>
  <r>
    <x v="1"/>
    <x v="0"/>
    <n v="126511461547"/>
    <n v="22896.05"/>
    <n v="11496034.050000001"/>
    <x v="0"/>
    <m/>
    <m/>
    <n v="0"/>
    <n v="-235"/>
    <n v="-227.95"/>
    <n v="-141"/>
    <n v="23500"/>
  </r>
  <r>
    <x v="1"/>
    <x v="0"/>
    <n v="126511948803"/>
    <n v="62744.92"/>
    <n v="11558778.970000001"/>
    <x v="0"/>
    <m/>
    <m/>
    <n v="0"/>
    <n v="-644"/>
    <n v="-624.67999999999995"/>
    <n v="-386.4"/>
    <n v="64400"/>
  </r>
  <r>
    <x v="1"/>
    <x v="0"/>
    <n v="126512641065"/>
    <n v="7794.4"/>
    <n v="11566573.369999999"/>
    <x v="0"/>
    <m/>
    <m/>
    <n v="0"/>
    <n v="-80"/>
    <n v="-77.599999999999994"/>
    <n v="-48"/>
    <n v="8000"/>
  </r>
  <r>
    <x v="1"/>
    <x v="0"/>
    <n v="127070575668"/>
    <n v="25790.31"/>
    <n v="11592363.68"/>
    <x v="0"/>
    <m/>
    <m/>
    <n v="0"/>
    <n v="-273"/>
    <n v="-1072.8900000000001"/>
    <n v="-163.80000000000001"/>
    <n v="27300"/>
  </r>
  <r>
    <x v="1"/>
    <x v="0"/>
    <n v="126514090825"/>
    <n v="14453.91"/>
    <n v="11606817.59"/>
    <x v="0"/>
    <m/>
    <m/>
    <n v="0"/>
    <n v="-153"/>
    <n v="-601.29"/>
    <n v="-91.8"/>
    <n v="15300"/>
  </r>
  <r>
    <x v="1"/>
    <x v="0"/>
    <n v="126515332807"/>
    <n v="9855.2999999999993"/>
    <n v="11616672.890000001"/>
    <x v="0"/>
    <m/>
    <m/>
    <n v="0"/>
    <n v="-105"/>
    <n v="-476.7"/>
    <n v="-63"/>
    <n v="10500"/>
  </r>
  <r>
    <x v="1"/>
    <x v="0"/>
    <n v="127072983012"/>
    <n v="82221.36"/>
    <n v="11698894.25"/>
    <x v="0"/>
    <m/>
    <m/>
    <n v="0"/>
    <n v="-876"/>
    <n v="-3977.04"/>
    <n v="-525.6"/>
    <n v="87600"/>
  </r>
  <r>
    <x v="1"/>
    <x v="0"/>
    <n v="126515369669"/>
    <n v="32611.49"/>
    <n v="11731505.74"/>
    <x v="0"/>
    <m/>
    <m/>
    <n v="0"/>
    <n v="-337"/>
    <n v="-549.30999999999995"/>
    <n v="-202.2"/>
    <n v="33700"/>
  </r>
  <r>
    <x v="1"/>
    <x v="0"/>
    <n v="127073051828"/>
    <n v="10327.58"/>
    <n v="11741833.32"/>
    <x v="0"/>
    <m/>
    <m/>
    <n v="0"/>
    <n v="-106"/>
    <n v="-102.82"/>
    <n v="-63.6"/>
    <n v="10600"/>
  </r>
  <r>
    <x v="1"/>
    <x v="0"/>
    <n v="127073157830"/>
    <n v="57911.62"/>
    <n v="11799744.939999999"/>
    <x v="0"/>
    <m/>
    <m/>
    <n v="0"/>
    <n v="-617"/>
    <n v="-2801.18"/>
    <n v="-370.2"/>
    <n v="61700"/>
  </r>
  <r>
    <x v="1"/>
    <x v="0"/>
    <n v="126517327301"/>
    <n v="6820.1"/>
    <n v="11806565.039999999"/>
    <x v="0"/>
    <m/>
    <m/>
    <n v="0"/>
    <n v="-70"/>
    <n v="-67.900000000000006"/>
    <n v="-42"/>
    <n v="7000"/>
  </r>
  <r>
    <x v="1"/>
    <x v="116"/>
    <n v="126517378719"/>
    <n v="685.3"/>
    <n v="11807250.34"/>
    <x v="0"/>
    <m/>
    <m/>
    <n v="-10.5"/>
    <n v="0"/>
    <n v="0"/>
    <n v="-4.2"/>
    <n v="700"/>
  </r>
  <r>
    <x v="1"/>
    <x v="0"/>
    <n v="127075428606"/>
    <n v="32736.48"/>
    <n v="11839986.82"/>
    <x v="0"/>
    <m/>
    <m/>
    <n v="0"/>
    <n v="-336"/>
    <n v="-325.92"/>
    <n v="-201.6"/>
    <n v="33599.999999999993"/>
  </r>
  <r>
    <x v="1"/>
    <x v="117"/>
    <n v="126517605135"/>
    <n v="1644.72"/>
    <n v="11841631.539999999"/>
    <x v="0"/>
    <m/>
    <m/>
    <n v="-25.2"/>
    <n v="0"/>
    <n v="0"/>
    <n v="-10.08"/>
    <n v="1680"/>
  </r>
  <r>
    <x v="1"/>
    <x v="0"/>
    <n v="127076367736"/>
    <n v="8071.96"/>
    <n v="11849703.5"/>
    <x v="0"/>
    <m/>
    <m/>
    <n v="0"/>
    <n v="-86"/>
    <n v="-390.44"/>
    <n v="-51.6"/>
    <n v="8600"/>
  </r>
  <r>
    <x v="5"/>
    <x v="103"/>
    <n v="126674991801"/>
    <n v="-142819.31"/>
    <n v="8331103.4000000004"/>
    <x v="1"/>
    <n v="-141967.50497017891"/>
    <n v="-851.80502982108737"/>
    <n v="0"/>
    <n v="0"/>
    <n v="0"/>
    <n v="-851.80502982108737"/>
    <n v="-141967.50497017891"/>
  </r>
  <r>
    <x v="7"/>
    <x v="103"/>
    <n v="127934684742"/>
    <n v="-938188.06"/>
    <n v="12780398.560000001"/>
    <x v="1"/>
    <n v="-932592.50497017894"/>
    <n v="-5595.5550298211165"/>
    <n v="0"/>
    <n v="0"/>
    <n v="0"/>
    <n v="-5595.5550298211165"/>
    <n v="-932592.50497017894"/>
  </r>
  <r>
    <x v="19"/>
    <x v="118"/>
    <n v="126403126956"/>
    <n v="-557501.44999999995"/>
    <n v="9680483.1199999992"/>
    <x v="1"/>
    <n v="-554176.39165009931"/>
    <n v="-3325.0583499006461"/>
    <n v="0"/>
    <n v="0"/>
    <n v="0"/>
    <m/>
    <n v="-557501.44999999995"/>
  </r>
  <r>
    <x v="11"/>
    <x v="119"/>
    <n v="124845509146"/>
    <n v="-220026.32"/>
    <n v="8228222.0599999996"/>
    <x v="1"/>
    <n v="-218714.03578528829"/>
    <n v="-1312.284214711719"/>
    <n v="0"/>
    <n v="0"/>
    <n v="0"/>
    <m/>
    <n v="-220026.32"/>
  </r>
  <r>
    <x v="11"/>
    <x v="119"/>
    <n v="124856861194"/>
    <n v="-137020"/>
    <n v="8089881.9000000004"/>
    <x v="1"/>
    <n v="-136202.78330019882"/>
    <n v="-817.21669980118168"/>
    <n v="0"/>
    <n v="0"/>
    <n v="0"/>
    <m/>
    <n v="-137020"/>
  </r>
  <r>
    <x v="8"/>
    <x v="119"/>
    <n v="125778419104"/>
    <n v="-188402.5"/>
    <n v="8200714.4800000004"/>
    <x v="1"/>
    <n v="-187278.82703777336"/>
    <n v="-1123.672962226643"/>
    <n v="0"/>
    <n v="0"/>
    <n v="0"/>
    <m/>
    <n v="-188402.5"/>
  </r>
  <r>
    <x v="8"/>
    <x v="119"/>
    <n v="125778500554"/>
    <n v="-239272.74"/>
    <n v="8390552.6199999992"/>
    <x v="1"/>
    <n v="-237845.66600397613"/>
    <n v="-1427.073996023857"/>
    <n v="0"/>
    <n v="0"/>
    <n v="0"/>
    <m/>
    <n v="-239272.74"/>
  </r>
  <r>
    <x v="4"/>
    <x v="119"/>
    <n v="126237032063"/>
    <n v="-58278"/>
    <n v="8796823.9600000009"/>
    <x v="1"/>
    <n v="-57930.417495029818"/>
    <n v="-347.58250497018162"/>
    <n v="0"/>
    <n v="0"/>
    <n v="0"/>
    <m/>
    <n v="-58278"/>
  </r>
  <r>
    <x v="4"/>
    <x v="119"/>
    <n v="126238042751"/>
    <n v="-197879.97"/>
    <n v="8598594.3200000003"/>
    <x v="1"/>
    <n v="-196699.77137176937"/>
    <n v="-1180.1986282306316"/>
    <n v="0"/>
    <n v="0"/>
    <n v="0"/>
    <m/>
    <n v="-197879.97"/>
  </r>
  <r>
    <x v="4"/>
    <x v="119"/>
    <n v="126793578000"/>
    <n v="-158284.69"/>
    <n v="8856051.6699999999"/>
    <x v="1"/>
    <n v="-157340.64612326043"/>
    <n v="-944.04387673956808"/>
    <n v="0"/>
    <n v="0"/>
    <n v="0"/>
    <m/>
    <n v="-158284.69"/>
  </r>
  <r>
    <x v="24"/>
    <x v="119"/>
    <n v="127161961407"/>
    <n v="-64624.39"/>
    <n v="10077584.58"/>
    <x v="1"/>
    <n v="-64238.956262425447"/>
    <n v="-385.43373757455265"/>
    <n v="0"/>
    <n v="0"/>
    <n v="0"/>
    <m/>
    <n v="-64624.39"/>
  </r>
  <r>
    <x v="24"/>
    <x v="119"/>
    <n v="127162354947"/>
    <n v="-206059.47"/>
    <n v="9871137.3599999994"/>
    <x v="1"/>
    <n v="-204830.48707753478"/>
    <n v="-1228.9829224652203"/>
    <n v="0"/>
    <n v="0"/>
    <n v="0"/>
    <m/>
    <n v="-206059.47"/>
  </r>
  <r>
    <x v="24"/>
    <x v="119"/>
    <n v="127163022479"/>
    <n v="-36365.769999999997"/>
    <n v="9833535.2300000004"/>
    <x v="1"/>
    <n v="-36148.87673956262"/>
    <n v="-216.89326043737674"/>
    <n v="0"/>
    <n v="0"/>
    <n v="0"/>
    <m/>
    <n v="-36365.769999999997"/>
  </r>
  <r>
    <x v="24"/>
    <x v="119"/>
    <n v="127724094526"/>
    <n v="-188107.92"/>
    <n v="10143337.619999999"/>
    <x v="1"/>
    <n v="-186986.00397614314"/>
    <n v="-1121.9160238568729"/>
    <n v="0"/>
    <n v="0"/>
    <n v="0"/>
    <m/>
    <n v="-188107.92"/>
  </r>
  <r>
    <x v="9"/>
    <x v="120"/>
    <n v="124031772669"/>
    <n v="-785165"/>
    <n v="9847411.2300000004"/>
    <x v="1"/>
    <n v="-780482.10735586483"/>
    <n v="-4682.892644135165"/>
    <n v="0"/>
    <n v="0"/>
    <n v="0"/>
    <m/>
    <n v="-785165"/>
  </r>
  <r>
    <x v="16"/>
    <x v="120"/>
    <n v="125494013461"/>
    <n v="-644900"/>
    <n v="10889939.09"/>
    <x v="1"/>
    <n v="-641053.67793240561"/>
    <n v="-3846.3220675943885"/>
    <n v="0"/>
    <n v="0"/>
    <n v="0"/>
    <m/>
    <n v="-644900"/>
  </r>
  <r>
    <x v="2"/>
    <x v="121"/>
    <n v="126554909927"/>
    <n v="-9808.51"/>
    <n v="11839894.99"/>
    <x v="1"/>
    <n v="-9750.0099403578533"/>
    <n v="-58.50005964214688"/>
    <n v="0"/>
    <n v="0"/>
    <n v="0"/>
    <n v="-58.50005964214688"/>
    <n v="-9750.0099403578533"/>
  </r>
  <r>
    <x v="2"/>
    <x v="121"/>
    <n v="126555295449"/>
    <n v="-25753.61"/>
    <n v="11739797.960000001"/>
    <x v="1"/>
    <n v="-25600.009940357853"/>
    <n v="-153.60005964214724"/>
    <n v="0"/>
    <n v="0"/>
    <n v="0"/>
    <n v="-153.60005964214724"/>
    <n v="-25600.009940357853"/>
  </r>
  <r>
    <x v="2"/>
    <x v="121"/>
    <n v="127113049188"/>
    <n v="-74343.42"/>
    <n v="11765551.57"/>
    <x v="1"/>
    <n v="-73900.019880715699"/>
    <n v="-443.40011928429885"/>
    <n v="0"/>
    <n v="0"/>
    <n v="0"/>
    <n v="-443.40011928429885"/>
    <n v="-73900.019880715699"/>
  </r>
  <r>
    <x v="11"/>
    <x v="122"/>
    <n v="124293086141"/>
    <n v="-1226240"/>
    <n v="8477335.4100000001"/>
    <x v="1"/>
    <n v="-1218926.4413518887"/>
    <n v="-7313.5586481112987"/>
    <n v="0"/>
    <n v="0"/>
    <n v="0"/>
    <m/>
    <n v="-1226240"/>
  </r>
  <r>
    <x v="19"/>
    <x v="122"/>
    <n v="125859839609"/>
    <n v="-281880"/>
    <n v="9395258.1099999994"/>
    <x v="1"/>
    <n v="-280198.80715705763"/>
    <n v="-1681.1928429423715"/>
    <n v="0"/>
    <n v="0"/>
    <n v="0"/>
    <m/>
    <n v="-281880"/>
  </r>
  <r>
    <x v="23"/>
    <x v="122"/>
    <n v="127610741100"/>
    <n v="-1267900"/>
    <n v="8245027.79"/>
    <x v="1"/>
    <n v="-1260337.9721669981"/>
    <n v="-7562.027833001921"/>
    <n v="0"/>
    <n v="0"/>
    <n v="0"/>
    <m/>
    <n v="-1267900"/>
  </r>
  <r>
    <x v="10"/>
    <x v="123"/>
    <n v="124169559701"/>
    <n v="-155261.01"/>
    <n v="9277359.2400000002"/>
    <x v="1"/>
    <n v="-154335"/>
    <n v="-926.01000000000931"/>
    <n v="0"/>
    <n v="0"/>
    <n v="0"/>
    <n v="-926.01000000000931"/>
    <n v="-154335"/>
  </r>
  <r>
    <x v="21"/>
    <x v="0"/>
    <n v="126870127477"/>
    <n v="9158.42"/>
    <n v="7575962.4800000004"/>
    <x v="0"/>
    <m/>
    <m/>
    <n v="0"/>
    <n v="-94"/>
    <n v="-91.18"/>
    <n v="-56.4"/>
    <n v="9400"/>
  </r>
  <r>
    <x v="21"/>
    <x v="0"/>
    <n v="126870455355"/>
    <n v="7989.26"/>
    <n v="7583951.7400000002"/>
    <x v="0"/>
    <m/>
    <m/>
    <n v="0"/>
    <n v="-82"/>
    <n v="-79.540000000000006"/>
    <n v="-49.2"/>
    <n v="8200"/>
  </r>
  <r>
    <x v="21"/>
    <x v="0"/>
    <n v="126876188659"/>
    <n v="9645.57"/>
    <n v="7593597.3099999996"/>
    <x v="0"/>
    <m/>
    <m/>
    <n v="0"/>
    <n v="-99"/>
    <n v="-96.03"/>
    <n v="-59.4"/>
    <n v="9900"/>
  </r>
  <r>
    <x v="21"/>
    <x v="0"/>
    <n v="126879032923"/>
    <n v="17050.25"/>
    <n v="7610647.5599999996"/>
    <x v="0"/>
    <m/>
    <m/>
    <n v="0"/>
    <n v="-175"/>
    <n v="-169.75"/>
    <n v="-105"/>
    <n v="17500"/>
  </r>
  <r>
    <x v="21"/>
    <x v="0"/>
    <n v="126879534625"/>
    <n v="37260.54"/>
    <n v="7647908.0999999996"/>
    <x v="0"/>
    <m/>
    <m/>
    <n v="0"/>
    <n v="-396.98"/>
    <n v="-1802.29"/>
    <n v="-238.19"/>
    <n v="39698.000000000007"/>
  </r>
  <r>
    <x v="21"/>
    <x v="0"/>
    <n v="126885640855"/>
    <n v="35103.64"/>
    <n v="7683011.7400000002"/>
    <x v="0"/>
    <m/>
    <m/>
    <n v="0"/>
    <n v="-374"/>
    <n v="-1697.96"/>
    <n v="-224.4"/>
    <n v="37400"/>
  </r>
  <r>
    <x v="21"/>
    <x v="0"/>
    <n v="127446508562"/>
    <n v="32778.26"/>
    <n v="7715790"/>
    <x v="0"/>
    <m/>
    <m/>
    <n v="0"/>
    <n v="-346.97"/>
    <n v="-1363.59"/>
    <n v="-208.18"/>
    <n v="34697"/>
  </r>
  <r>
    <x v="21"/>
    <x v="0"/>
    <n v="126886865607"/>
    <n v="85737.43"/>
    <n v="7801527.4299999997"/>
    <x v="0"/>
    <m/>
    <m/>
    <n v="0"/>
    <n v="-879.99"/>
    <n v="-853.59"/>
    <n v="-527.99"/>
    <n v="87999"/>
  </r>
  <r>
    <x v="21"/>
    <x v="0"/>
    <n v="126887451621"/>
    <n v="30103.919999999998"/>
    <n v="7831631.3499999996"/>
    <x v="0"/>
    <m/>
    <m/>
    <n v="0"/>
    <n v="-308.98"/>
    <n v="-299.70999999999998"/>
    <n v="-185.39"/>
    <n v="30897.999999999996"/>
  </r>
  <r>
    <x v="21"/>
    <x v="0"/>
    <n v="126887615459"/>
    <n v="19484.05"/>
    <n v="7851115.4000000004"/>
    <x v="0"/>
    <m/>
    <m/>
    <n v="0"/>
    <n v="-199.98"/>
    <n v="-193.98"/>
    <n v="-119.99"/>
    <n v="19998"/>
  </r>
  <r>
    <x v="21"/>
    <x v="110"/>
    <n v="127448024726"/>
    <n v="978.02"/>
    <n v="7852093.4199999999"/>
    <x v="0"/>
    <m/>
    <m/>
    <n v="-14.99"/>
    <n v="0"/>
    <n v="0"/>
    <n v="-5.99"/>
    <n v="999"/>
  </r>
  <r>
    <x v="21"/>
    <x v="0"/>
    <n v="127448262384"/>
    <n v="25813.11"/>
    <n v="7877906.5300000003"/>
    <x v="0"/>
    <m/>
    <m/>
    <n v="0"/>
    <n v="-264.94"/>
    <n v="-256.99"/>
    <n v="-158.96"/>
    <n v="26494"/>
  </r>
  <r>
    <x v="21"/>
    <x v="124"/>
    <n v="127448143966"/>
    <n v="2593.37"/>
    <n v="7880499.9000000004"/>
    <x v="0"/>
    <m/>
    <m/>
    <n v="-39.74"/>
    <n v="0"/>
    <n v="0"/>
    <n v="-15.89"/>
    <n v="2648.9999999999995"/>
  </r>
  <r>
    <x v="8"/>
    <x v="123"/>
    <n v="125773059124"/>
    <n v="-114709.15"/>
    <n v="9292816.2899999991"/>
    <x v="1"/>
    <n v="-114025"/>
    <n v="-684.14999999999418"/>
    <n v="0"/>
    <n v="0"/>
    <n v="0"/>
    <n v="-684.14999999999418"/>
    <n v="-114025"/>
  </r>
  <r>
    <x v="8"/>
    <x v="123"/>
    <n v="125773107440"/>
    <n v="-216818.15"/>
    <n v="9075998.1400000006"/>
    <x v="1"/>
    <n v="-215525"/>
    <n v="-1293.1499999999942"/>
    <n v="0"/>
    <n v="0"/>
    <n v="0"/>
    <n v="-1293.1499999999942"/>
    <n v="-215525"/>
  </r>
  <r>
    <x v="22"/>
    <x v="0"/>
    <n v="126890006531"/>
    <n v="25436.06"/>
    <n v="7905935.96"/>
    <x v="0"/>
    <m/>
    <m/>
    <n v="0"/>
    <n v="-271"/>
    <n v="-1230.3399999999999"/>
    <n v="-162.6"/>
    <n v="27100"/>
  </r>
  <r>
    <x v="22"/>
    <x v="0"/>
    <n v="127450599184"/>
    <n v="19096.28"/>
    <n v="7925032.2400000002"/>
    <x v="0"/>
    <m/>
    <m/>
    <n v="0"/>
    <n v="-196"/>
    <n v="-190.12"/>
    <n v="-117.6"/>
    <n v="19599.999999999996"/>
  </r>
  <r>
    <x v="22"/>
    <x v="0"/>
    <n v="127451720802"/>
    <n v="35074.800000000003"/>
    <n v="7960107.04"/>
    <x v="0"/>
    <m/>
    <m/>
    <n v="0"/>
    <n v="-360"/>
    <n v="-349.2"/>
    <n v="-216"/>
    <n v="36000"/>
  </r>
  <r>
    <x v="22"/>
    <x v="0"/>
    <n v="126987851295"/>
    <n v="8447.4"/>
    <n v="7869875.8700000001"/>
    <x v="0"/>
    <m/>
    <m/>
    <n v="0"/>
    <n v="-90"/>
    <n v="-408.6"/>
    <n v="-54"/>
    <n v="9000"/>
  </r>
  <r>
    <x v="22"/>
    <x v="0"/>
    <n v="127551863294"/>
    <n v="38543.760000000002"/>
    <n v="7908419.6299999999"/>
    <x v="0"/>
    <m/>
    <m/>
    <n v="0"/>
    <n v="-408"/>
    <n v="-1603.44"/>
    <n v="-244.8"/>
    <n v="40800.000000000007"/>
  </r>
  <r>
    <x v="22"/>
    <x v="0"/>
    <n v="126992616729"/>
    <n v="4384.3500000000004"/>
    <n v="7912803.9800000004"/>
    <x v="0"/>
    <m/>
    <m/>
    <n v="0"/>
    <n v="-45"/>
    <n v="-43.65"/>
    <n v="-27"/>
    <n v="4500"/>
  </r>
  <r>
    <x v="22"/>
    <x v="0"/>
    <n v="126993096283"/>
    <n v="8768.7000000000007"/>
    <n v="7921572.6799999997"/>
    <x v="0"/>
    <m/>
    <m/>
    <n v="0"/>
    <n v="-90"/>
    <n v="-87.3"/>
    <n v="-54"/>
    <n v="9000"/>
  </r>
  <r>
    <x v="22"/>
    <x v="0"/>
    <n v="126995125095"/>
    <n v="3507.48"/>
    <n v="7925080.1600000001"/>
    <x v="0"/>
    <m/>
    <m/>
    <n v="0"/>
    <n v="-36"/>
    <n v="-34.92"/>
    <n v="-21.6"/>
    <n v="3600"/>
  </r>
  <r>
    <x v="22"/>
    <x v="0"/>
    <n v="127558376292"/>
    <n v="23995.38"/>
    <n v="7949075.54"/>
    <x v="0"/>
    <m/>
    <m/>
    <n v="0"/>
    <n v="-254"/>
    <n v="-998.22"/>
    <n v="-152.4"/>
    <n v="25400.000000000004"/>
  </r>
  <r>
    <x v="22"/>
    <x v="0"/>
    <n v="126997229679"/>
    <n v="5358.65"/>
    <n v="7954434.1900000004"/>
    <x v="0"/>
    <m/>
    <m/>
    <n v="0"/>
    <n v="-55"/>
    <n v="-53.35"/>
    <n v="-33"/>
    <n v="5500"/>
  </r>
  <r>
    <x v="22"/>
    <x v="0"/>
    <n v="127559378722"/>
    <n v="4384.3500000000004"/>
    <n v="7958818.54"/>
    <x v="0"/>
    <m/>
    <m/>
    <n v="0"/>
    <n v="-45"/>
    <n v="-43.65"/>
    <n v="-27"/>
    <n v="4500"/>
  </r>
  <r>
    <x v="22"/>
    <x v="125"/>
    <n v="126998023247"/>
    <n v="440.55"/>
    <n v="7959259.0899999999"/>
    <x v="0"/>
    <m/>
    <m/>
    <n v="-6.75"/>
    <n v="0"/>
    <n v="0"/>
    <n v="-2.7"/>
    <n v="450"/>
  </r>
  <r>
    <x v="22"/>
    <x v="0"/>
    <n v="126998588149"/>
    <n v="17537.400000000001"/>
    <n v="7976796.4900000002"/>
    <x v="0"/>
    <m/>
    <m/>
    <n v="0"/>
    <n v="-180"/>
    <n v="-174.6"/>
    <n v="-108"/>
    <n v="18000"/>
  </r>
  <r>
    <x v="22"/>
    <x v="0"/>
    <n v="127560080358"/>
    <n v="4384.3500000000004"/>
    <n v="7981180.8399999999"/>
    <x v="0"/>
    <m/>
    <m/>
    <n v="0"/>
    <n v="-45"/>
    <n v="-43.65"/>
    <n v="-27"/>
    <n v="4500"/>
  </r>
  <r>
    <x v="22"/>
    <x v="0"/>
    <n v="126999420385"/>
    <n v="8963.56"/>
    <n v="7990144.4000000004"/>
    <x v="0"/>
    <m/>
    <m/>
    <n v="0"/>
    <n v="-92"/>
    <n v="-89.24"/>
    <n v="-55.2"/>
    <n v="9200"/>
  </r>
  <r>
    <x v="22"/>
    <x v="0"/>
    <n v="127000155083"/>
    <n v="8768.7000000000007"/>
    <n v="7998913.0999999996"/>
    <x v="0"/>
    <m/>
    <m/>
    <n v="0"/>
    <n v="-90"/>
    <n v="-87.3"/>
    <n v="-54"/>
    <n v="9000"/>
  </r>
  <r>
    <x v="22"/>
    <x v="0"/>
    <n v="127562689912"/>
    <n v="12081.32"/>
    <n v="8010994.4199999999"/>
    <x v="0"/>
    <m/>
    <m/>
    <n v="0"/>
    <n v="-124"/>
    <n v="-120.28"/>
    <n v="-74.400000000000006"/>
    <n v="12400"/>
  </r>
  <r>
    <x v="22"/>
    <x v="126"/>
    <n v="127562966336"/>
    <n v="1213.96"/>
    <n v="8012208.3799999999"/>
    <x v="0"/>
    <m/>
    <m/>
    <n v="-18.600000000000001"/>
    <n v="0"/>
    <n v="0"/>
    <n v="-7.44"/>
    <n v="1240"/>
  </r>
  <r>
    <x v="22"/>
    <x v="0"/>
    <n v="127562889506"/>
    <n v="75103.649999999994"/>
    <n v="8087312.0300000003"/>
    <x v="0"/>
    <m/>
    <m/>
    <n v="0"/>
    <n v="-795"/>
    <n v="-3124.35"/>
    <n v="-477"/>
    <n v="79500"/>
  </r>
  <r>
    <x v="22"/>
    <x v="0"/>
    <n v="127562995342"/>
    <n v="18678.14"/>
    <n v="8105990.1699999999"/>
    <x v="0"/>
    <m/>
    <m/>
    <n v="0"/>
    <n v="-199"/>
    <n v="-903.46"/>
    <n v="-119.4"/>
    <n v="19900"/>
  </r>
  <r>
    <x v="22"/>
    <x v="0"/>
    <n v="127563396870"/>
    <n v="6820.1"/>
    <n v="8112810.2699999996"/>
    <x v="0"/>
    <m/>
    <m/>
    <n v="0"/>
    <n v="-70"/>
    <n v="-67.900000000000006"/>
    <n v="-42"/>
    <n v="7000"/>
  </r>
  <r>
    <x v="22"/>
    <x v="0"/>
    <n v="127563642228"/>
    <n v="3702.34"/>
    <n v="8116512.6100000003"/>
    <x v="0"/>
    <m/>
    <m/>
    <n v="0"/>
    <n v="-38"/>
    <n v="-36.86"/>
    <n v="-22.8"/>
    <n v="3800.0000000000005"/>
  </r>
  <r>
    <x v="22"/>
    <x v="0"/>
    <n v="127002660243"/>
    <n v="3702.34"/>
    <n v="8120214.9500000002"/>
    <x v="0"/>
    <m/>
    <m/>
    <n v="0"/>
    <n v="-38"/>
    <n v="-36.86"/>
    <n v="-22.8"/>
    <n v="3800.0000000000005"/>
  </r>
  <r>
    <x v="22"/>
    <x v="0"/>
    <n v="127002777527"/>
    <n v="4354.6499999999996"/>
    <n v="8124569.5999999996"/>
    <x v="0"/>
    <m/>
    <m/>
    <n v="0"/>
    <n v="-45"/>
    <n v="-73.349999999999994"/>
    <n v="-27"/>
    <n v="4500"/>
  </r>
  <r>
    <x v="22"/>
    <x v="0"/>
    <n v="127003432415"/>
    <n v="8184.12"/>
    <n v="8132753.7199999997"/>
    <x v="0"/>
    <m/>
    <m/>
    <n v="0"/>
    <n v="-84"/>
    <n v="-81.48"/>
    <n v="-50.4"/>
    <n v="8399.9999999999982"/>
  </r>
  <r>
    <x v="22"/>
    <x v="127"/>
    <n v="127003299949"/>
    <n v="1233.54"/>
    <n v="8133987.2599999998"/>
    <x v="0"/>
    <m/>
    <m/>
    <n v="-18.899999999999999"/>
    <n v="0"/>
    <n v="0"/>
    <n v="-7.56"/>
    <n v="1260"/>
  </r>
  <r>
    <x v="22"/>
    <x v="0"/>
    <n v="127564523660"/>
    <n v="3897.2"/>
    <n v="8137884.46"/>
    <x v="0"/>
    <m/>
    <m/>
    <n v="0"/>
    <n v="-40"/>
    <n v="-38.799999999999997"/>
    <n v="-24"/>
    <n v="4000"/>
  </r>
  <r>
    <x v="22"/>
    <x v="0"/>
    <n v="127564884982"/>
    <n v="127633.3"/>
    <n v="8265517.7599999998"/>
    <x v="0"/>
    <m/>
    <m/>
    <n v="0"/>
    <n v="-1310"/>
    <n v="-1270.7"/>
    <n v="-786"/>
    <n v="131000"/>
  </r>
  <r>
    <x v="22"/>
    <x v="0"/>
    <n v="127003793721"/>
    <n v="4223.7"/>
    <n v="8269741.46"/>
    <x v="0"/>
    <m/>
    <m/>
    <n v="0"/>
    <n v="-45"/>
    <n v="-204.3"/>
    <n v="-27"/>
    <n v="4500"/>
  </r>
  <r>
    <x v="22"/>
    <x v="0"/>
    <n v="127004006243"/>
    <n v="4384.3500000000004"/>
    <n v="8274125.8099999996"/>
    <x v="0"/>
    <m/>
    <m/>
    <n v="0"/>
    <n v="-45"/>
    <n v="-43.65"/>
    <n v="-27"/>
    <n v="4500"/>
  </r>
  <r>
    <x v="22"/>
    <x v="0"/>
    <n v="127004301425"/>
    <n v="3945.91"/>
    <n v="8278071.7199999997"/>
    <x v="0"/>
    <m/>
    <m/>
    <n v="0"/>
    <n v="-40.5"/>
    <n v="-39.29"/>
    <n v="-24.3"/>
    <n v="4050"/>
  </r>
  <r>
    <x v="22"/>
    <x v="0"/>
    <n v="127565988078"/>
    <n v="23772.92"/>
    <n v="8301844.6399999997"/>
    <x v="0"/>
    <m/>
    <m/>
    <n v="0"/>
    <n v="-244"/>
    <n v="-236.68"/>
    <n v="-146.4"/>
    <n v="24400"/>
  </r>
  <r>
    <x v="22"/>
    <x v="0"/>
    <n v="127005216387"/>
    <n v="7978.1"/>
    <n v="8309822.7400000002"/>
    <x v="0"/>
    <m/>
    <m/>
    <n v="0"/>
    <n v="-85"/>
    <n v="-385.9"/>
    <n v="-51"/>
    <n v="8500"/>
  </r>
  <r>
    <x v="22"/>
    <x v="0"/>
    <n v="127005490421"/>
    <n v="4871.5"/>
    <n v="8314694.2400000002"/>
    <x v="0"/>
    <m/>
    <m/>
    <n v="0"/>
    <n v="-50"/>
    <n v="-48.5"/>
    <n v="-30"/>
    <n v="5000"/>
  </r>
  <r>
    <x v="22"/>
    <x v="0"/>
    <n v="127005540781"/>
    <n v="4871.5"/>
    <n v="8319565.7400000002"/>
    <x v="0"/>
    <m/>
    <m/>
    <n v="0"/>
    <n v="-50"/>
    <n v="-48.5"/>
    <n v="-30"/>
    <n v="5000"/>
  </r>
  <r>
    <x v="22"/>
    <x v="0"/>
    <n v="127006095161"/>
    <n v="1753.74"/>
    <n v="8321319.4800000004"/>
    <x v="0"/>
    <m/>
    <m/>
    <n v="0"/>
    <n v="-18"/>
    <n v="-17.46"/>
    <n v="-10.8"/>
    <n v="1800"/>
  </r>
  <r>
    <x v="22"/>
    <x v="128"/>
    <n v="127567163882"/>
    <n v="264.33"/>
    <n v="8321583.8099999996"/>
    <x v="0"/>
    <m/>
    <m/>
    <n v="-4.05"/>
    <n v="0"/>
    <n v="0"/>
    <n v="-1.62"/>
    <n v="270"/>
  </r>
  <r>
    <x v="22"/>
    <x v="0"/>
    <n v="127567646980"/>
    <n v="3507.48"/>
    <n v="8325091.29"/>
    <x v="0"/>
    <m/>
    <m/>
    <n v="0"/>
    <n v="-36"/>
    <n v="-34.92"/>
    <n v="-21.6"/>
    <n v="3600"/>
  </r>
  <r>
    <x v="22"/>
    <x v="0"/>
    <n v="127007093447"/>
    <n v="59042.58"/>
    <n v="8384133.8700000001"/>
    <x v="0"/>
    <m/>
    <m/>
    <n v="0"/>
    <n v="-606"/>
    <n v="-587.82000000000005"/>
    <n v="-363.6"/>
    <n v="60600"/>
  </r>
  <r>
    <x v="22"/>
    <x v="0"/>
    <n v="127007204939"/>
    <n v="4384.3500000000004"/>
    <n v="8388518.2199999997"/>
    <x v="0"/>
    <m/>
    <m/>
    <n v="0"/>
    <n v="-45"/>
    <n v="-43.65"/>
    <n v="-27"/>
    <n v="4500"/>
  </r>
  <r>
    <x v="22"/>
    <x v="0"/>
    <n v="127568624334"/>
    <n v="4062.21"/>
    <n v="8392580.4299999997"/>
    <x v="0"/>
    <m/>
    <m/>
    <n v="0"/>
    <n v="-43"/>
    <n v="-168.99"/>
    <n v="-25.8"/>
    <n v="4300"/>
  </r>
  <r>
    <x v="22"/>
    <x v="0"/>
    <n v="127568666708"/>
    <n v="8768.7000000000007"/>
    <n v="8401349.1300000008"/>
    <x v="0"/>
    <m/>
    <m/>
    <n v="0"/>
    <n v="-90"/>
    <n v="-87.3"/>
    <n v="-54"/>
    <n v="9000"/>
  </r>
  <r>
    <x v="22"/>
    <x v="0"/>
    <n v="127007460091"/>
    <n v="20752.59"/>
    <n v="8422101.7200000007"/>
    <x v="0"/>
    <m/>
    <m/>
    <n v="0"/>
    <n v="-213"/>
    <n v="-206.61"/>
    <n v="-127.8"/>
    <n v="21300"/>
  </r>
  <r>
    <x v="22"/>
    <x v="0"/>
    <n v="127568769746"/>
    <n v="38874.57"/>
    <n v="8460976.2899999991"/>
    <x v="0"/>
    <m/>
    <m/>
    <n v="0"/>
    <n v="-399"/>
    <n v="-387.03"/>
    <n v="-239.4"/>
    <n v="39900"/>
  </r>
  <r>
    <x v="22"/>
    <x v="0"/>
    <n v="127568899816"/>
    <n v="3507.48"/>
    <n v="8464483.7699999996"/>
    <x v="0"/>
    <m/>
    <m/>
    <n v="0"/>
    <n v="-36"/>
    <n v="-34.92"/>
    <n v="-21.6"/>
    <n v="3600"/>
  </r>
  <r>
    <x v="22"/>
    <x v="79"/>
    <n v="127007619411"/>
    <n v="176.22"/>
    <n v="8464659.9900000002"/>
    <x v="0"/>
    <m/>
    <m/>
    <n v="-2.7"/>
    <n v="0"/>
    <n v="0"/>
    <n v="-1.08"/>
    <n v="180"/>
  </r>
  <r>
    <x v="22"/>
    <x v="0"/>
    <n v="127007916917"/>
    <n v="9255.85"/>
    <n v="8473915.8399999999"/>
    <x v="0"/>
    <m/>
    <m/>
    <n v="0"/>
    <n v="-95"/>
    <n v="-92.15"/>
    <n v="-57"/>
    <n v="9500"/>
  </r>
  <r>
    <x v="22"/>
    <x v="0"/>
    <n v="127569343110"/>
    <n v="4384.3500000000004"/>
    <n v="8478300.1899999995"/>
    <x v="0"/>
    <m/>
    <m/>
    <n v="0"/>
    <n v="-45"/>
    <n v="-43.65"/>
    <n v="-27"/>
    <n v="4500"/>
  </r>
  <r>
    <x v="22"/>
    <x v="0"/>
    <n v="127569643602"/>
    <n v="101911.78"/>
    <n v="8580211.9700000007"/>
    <x v="0"/>
    <m/>
    <m/>
    <n v="0"/>
    <n v="-1046"/>
    <n v="-1014.62"/>
    <n v="-627.6"/>
    <n v="104600"/>
  </r>
  <r>
    <x v="22"/>
    <x v="129"/>
    <n v="127569760408"/>
    <n v="10240.34"/>
    <n v="8590452.3100000005"/>
    <x v="0"/>
    <m/>
    <m/>
    <n v="-156.9"/>
    <n v="0"/>
    <n v="0"/>
    <n v="-62.76"/>
    <n v="10460"/>
  </r>
  <r>
    <x v="22"/>
    <x v="0"/>
    <n v="127569711396"/>
    <n v="97868.43"/>
    <n v="8688320.7400000002"/>
    <x v="0"/>
    <m/>
    <m/>
    <n v="0"/>
    <n v="-1004.5"/>
    <n v="-974.37"/>
    <n v="-602.70000000000005"/>
    <n v="100449.99999999999"/>
  </r>
  <r>
    <x v="22"/>
    <x v="0"/>
    <n v="127569878656"/>
    <n v="7891.83"/>
    <n v="8696212.5700000003"/>
    <x v="0"/>
    <m/>
    <m/>
    <n v="0"/>
    <n v="-81"/>
    <n v="-78.569999999999993"/>
    <n v="-48.6"/>
    <n v="8100"/>
  </r>
  <r>
    <x v="22"/>
    <x v="0"/>
    <n v="127008737071"/>
    <n v="30934.02"/>
    <n v="8727146.5899999999"/>
    <x v="0"/>
    <m/>
    <m/>
    <n v="0"/>
    <n v="-317.5"/>
    <n v="-307.98"/>
    <n v="-190.5"/>
    <n v="31750"/>
  </r>
  <r>
    <x v="22"/>
    <x v="0"/>
    <n v="127570168514"/>
    <n v="4384.3500000000004"/>
    <n v="8731530.9399999995"/>
    <x v="0"/>
    <m/>
    <m/>
    <n v="0"/>
    <n v="-45"/>
    <n v="-43.65"/>
    <n v="-27"/>
    <n v="4500"/>
  </r>
  <r>
    <x v="22"/>
    <x v="0"/>
    <n v="127570530222"/>
    <n v="34538.93"/>
    <n v="8766069.8699999992"/>
    <x v="0"/>
    <m/>
    <m/>
    <n v="0"/>
    <n v="-354.5"/>
    <n v="-343.87"/>
    <n v="-212.7"/>
    <n v="35450"/>
  </r>
  <r>
    <x v="3"/>
    <x v="123"/>
    <n v="126284737774"/>
    <n v="-126076.95"/>
    <n v="12176972.050000001"/>
    <x v="1"/>
    <n v="-125325"/>
    <n v="-751.94999999999709"/>
    <n v="0"/>
    <n v="0"/>
    <n v="0"/>
    <n v="-751.94999999999709"/>
    <n v="-125325"/>
  </r>
  <r>
    <x v="3"/>
    <x v="123"/>
    <n v="126285096672"/>
    <n v="-320702.74"/>
    <n v="11856269.310000001"/>
    <x v="1"/>
    <n v="-318790"/>
    <n v="-1912.7399999999907"/>
    <n v="0"/>
    <n v="0"/>
    <n v="0"/>
    <n v="-1912.7399999999907"/>
    <n v="-318790"/>
  </r>
  <r>
    <x v="2"/>
    <x v="123"/>
    <n v="126557190161"/>
    <n v="-150472.45000000001"/>
    <n v="11589325.51"/>
    <x v="1"/>
    <n v="-149575"/>
    <n v="-897.45000000001164"/>
    <n v="0"/>
    <n v="0"/>
    <n v="0"/>
    <n v="-897.45000000001164"/>
    <n v="-149575"/>
  </r>
  <r>
    <x v="2"/>
    <x v="123"/>
    <n v="127115178752"/>
    <n v="-179047.88"/>
    <n v="11410277.630000001"/>
    <x v="1"/>
    <n v="-177980"/>
    <n v="-1067.8800000000047"/>
    <n v="0"/>
    <n v="0"/>
    <n v="0"/>
    <n v="-1067.8800000000047"/>
    <n v="-177980"/>
  </r>
  <r>
    <x v="23"/>
    <x v="0"/>
    <n v="127009741659"/>
    <n v="7404.68"/>
    <n v="8773474.5500000007"/>
    <x v="0"/>
    <m/>
    <m/>
    <n v="0"/>
    <n v="-76"/>
    <n v="-73.72"/>
    <n v="-45.6"/>
    <n v="7600.0000000000009"/>
  </r>
  <r>
    <x v="23"/>
    <x v="0"/>
    <n v="127571110712"/>
    <n v="4384.3500000000004"/>
    <n v="8777858.9000000004"/>
    <x v="0"/>
    <m/>
    <m/>
    <n v="0"/>
    <n v="-45"/>
    <n v="-43.65"/>
    <n v="-27"/>
    <n v="4500"/>
  </r>
  <r>
    <x v="23"/>
    <x v="0"/>
    <n v="127009987447"/>
    <n v="44817.8"/>
    <n v="8822676.6999999993"/>
    <x v="0"/>
    <m/>
    <m/>
    <n v="0"/>
    <n v="-460"/>
    <n v="-446.2"/>
    <n v="-276"/>
    <n v="46000"/>
  </r>
  <r>
    <x v="23"/>
    <x v="0"/>
    <n v="127010232283"/>
    <n v="9743"/>
    <n v="8832419.6999999993"/>
    <x v="0"/>
    <m/>
    <m/>
    <n v="0"/>
    <n v="-100"/>
    <n v="-97"/>
    <n v="-60"/>
    <n v="10000"/>
  </r>
  <r>
    <x v="23"/>
    <x v="0"/>
    <n v="127010025919"/>
    <n v="4354.6499999999996"/>
    <n v="8836774.3499999996"/>
    <x v="0"/>
    <m/>
    <m/>
    <n v="0"/>
    <n v="-45"/>
    <n v="-73.349999999999994"/>
    <n v="-27"/>
    <n v="4500"/>
  </r>
  <r>
    <x v="23"/>
    <x v="0"/>
    <n v="127010211831"/>
    <n v="14906.79"/>
    <n v="8851681.1400000006"/>
    <x v="0"/>
    <m/>
    <m/>
    <n v="0"/>
    <n v="-153"/>
    <n v="-148.41"/>
    <n v="-91.8"/>
    <n v="15300"/>
  </r>
  <r>
    <x v="23"/>
    <x v="0"/>
    <n v="127571538018"/>
    <n v="33773.879999999997"/>
    <n v="8885455.0199999996"/>
    <x v="0"/>
    <m/>
    <m/>
    <n v="0"/>
    <n v="-372"/>
    <n v="-2830.92"/>
    <n v="-223.2"/>
    <n v="37199.999999999993"/>
  </r>
  <r>
    <x v="23"/>
    <x v="0"/>
    <n v="127572103516"/>
    <n v="4286.92"/>
    <n v="8889741.9399999995"/>
    <x v="0"/>
    <m/>
    <m/>
    <n v="0"/>
    <n v="-44"/>
    <n v="-42.68"/>
    <n v="-26.4"/>
    <n v="4400"/>
  </r>
  <r>
    <x v="23"/>
    <x v="130"/>
    <n v="127572204974"/>
    <n v="646.14"/>
    <n v="8890388.0800000001"/>
    <x v="0"/>
    <m/>
    <m/>
    <n v="-9.9"/>
    <n v="0"/>
    <n v="0"/>
    <n v="-3.96"/>
    <n v="660"/>
  </r>
  <r>
    <x v="23"/>
    <x v="0"/>
    <n v="127572308076"/>
    <n v="4384.3500000000004"/>
    <n v="8894772.4299999997"/>
    <x v="0"/>
    <m/>
    <m/>
    <n v="0"/>
    <n v="-45"/>
    <n v="-43.65"/>
    <n v="-27"/>
    <n v="4500"/>
  </r>
  <r>
    <x v="23"/>
    <x v="0"/>
    <n v="127010996009"/>
    <n v="7891.83"/>
    <n v="8902664.2599999998"/>
    <x v="0"/>
    <m/>
    <m/>
    <n v="0"/>
    <n v="-81"/>
    <n v="-78.569999999999993"/>
    <n v="-48.6"/>
    <n v="8100"/>
  </r>
  <r>
    <x v="23"/>
    <x v="0"/>
    <n v="127011203685"/>
    <n v="4384.3500000000004"/>
    <n v="8907048.6099999994"/>
    <x v="0"/>
    <m/>
    <m/>
    <n v="0"/>
    <n v="-45"/>
    <n v="-43.65"/>
    <n v="-27"/>
    <n v="4500"/>
  </r>
  <r>
    <x v="23"/>
    <x v="0"/>
    <n v="127572489702"/>
    <n v="3378.96"/>
    <n v="8910427.5700000003"/>
    <x v="0"/>
    <m/>
    <m/>
    <n v="0"/>
    <n v="-36"/>
    <n v="-163.44"/>
    <n v="-21.6"/>
    <n v="3600"/>
  </r>
  <r>
    <x v="23"/>
    <x v="0"/>
    <n v="127572547690"/>
    <n v="83351.360000000001"/>
    <n v="8993778.9299999997"/>
    <x v="0"/>
    <m/>
    <m/>
    <n v="0"/>
    <n v="-855.5"/>
    <n v="-829.84"/>
    <n v="-513.29999999999995"/>
    <n v="85550"/>
  </r>
  <r>
    <x v="23"/>
    <x v="0"/>
    <n v="127572677794"/>
    <n v="3507.48"/>
    <n v="8997286.4100000001"/>
    <x v="0"/>
    <m/>
    <m/>
    <n v="0"/>
    <n v="-36"/>
    <n v="-34.92"/>
    <n v="-21.6"/>
    <n v="3600"/>
  </r>
  <r>
    <x v="23"/>
    <x v="0"/>
    <n v="127572984226"/>
    <n v="11204.45"/>
    <n v="9008490.8599999994"/>
    <x v="0"/>
    <m/>
    <m/>
    <n v="0"/>
    <n v="-115"/>
    <n v="-111.55"/>
    <n v="-69"/>
    <n v="11500"/>
  </r>
  <r>
    <x v="23"/>
    <x v="0"/>
    <n v="127573121230"/>
    <n v="8502.2999999999993"/>
    <n v="9016993.1600000001"/>
    <x v="0"/>
    <m/>
    <m/>
    <n v="0"/>
    <n v="-90"/>
    <n v="-353.7"/>
    <n v="-54"/>
    <n v="9000"/>
  </r>
  <r>
    <x v="23"/>
    <x v="0"/>
    <n v="127573266632"/>
    <n v="14906.79"/>
    <n v="9031899.9499999993"/>
    <x v="0"/>
    <m/>
    <m/>
    <n v="0"/>
    <n v="-153"/>
    <n v="-148.41"/>
    <n v="-91.8"/>
    <n v="15300"/>
  </r>
  <r>
    <x v="23"/>
    <x v="0"/>
    <n v="127573233874"/>
    <n v="7891.83"/>
    <n v="9039791.7799999993"/>
    <x v="0"/>
    <m/>
    <m/>
    <n v="0"/>
    <n v="-81"/>
    <n v="-78.569999999999993"/>
    <n v="-48.6"/>
    <n v="8100"/>
  </r>
  <r>
    <x v="23"/>
    <x v="0"/>
    <n v="127573340062"/>
    <n v="12568.47"/>
    <n v="9052360.25"/>
    <x v="0"/>
    <m/>
    <m/>
    <n v="0"/>
    <n v="-129"/>
    <n v="-125.13"/>
    <n v="-77.400000000000006"/>
    <n v="12899.999999999998"/>
  </r>
  <r>
    <x v="23"/>
    <x v="0"/>
    <n v="127012562167"/>
    <n v="4384.3500000000004"/>
    <n v="9056744.5999999996"/>
    <x v="0"/>
    <m/>
    <m/>
    <n v="0"/>
    <n v="-45"/>
    <n v="-43.65"/>
    <n v="-27"/>
    <n v="4500"/>
  </r>
  <r>
    <x v="23"/>
    <x v="0"/>
    <n v="127573927294"/>
    <n v="3507.48"/>
    <n v="9060252.0800000001"/>
    <x v="0"/>
    <m/>
    <m/>
    <n v="0"/>
    <n v="-36"/>
    <n v="-34.92"/>
    <n v="-21.6"/>
    <n v="3600"/>
  </r>
  <r>
    <x v="23"/>
    <x v="0"/>
    <n v="127574467208"/>
    <n v="3507.48"/>
    <n v="9063759.5600000005"/>
    <x v="0"/>
    <m/>
    <m/>
    <n v="0"/>
    <n v="-36"/>
    <n v="-34.92"/>
    <n v="-21.6"/>
    <n v="3600"/>
  </r>
  <r>
    <x v="23"/>
    <x v="131"/>
    <n v="127574413546"/>
    <n v="176.22"/>
    <n v="9063935.7799999993"/>
    <x v="0"/>
    <m/>
    <m/>
    <n v="-2.7"/>
    <n v="0"/>
    <n v="0"/>
    <n v="-1.08"/>
    <n v="180"/>
  </r>
  <r>
    <x v="23"/>
    <x v="0"/>
    <n v="127574484086"/>
    <n v="4384.3500000000004"/>
    <n v="9068320.1300000008"/>
    <x v="0"/>
    <m/>
    <m/>
    <n v="0"/>
    <n v="-45"/>
    <n v="-43.65"/>
    <n v="-27"/>
    <n v="4500"/>
  </r>
  <r>
    <x v="23"/>
    <x v="132"/>
    <n v="127574595412"/>
    <n v="440.55"/>
    <n v="9068760.6799999997"/>
    <x v="0"/>
    <m/>
    <m/>
    <n v="-6.75"/>
    <n v="0"/>
    <n v="0"/>
    <n v="-2.7"/>
    <n v="450"/>
  </r>
  <r>
    <x v="23"/>
    <x v="0"/>
    <n v="127574760394"/>
    <n v="10473.719999999999"/>
    <n v="9079234.4000000004"/>
    <x v="0"/>
    <m/>
    <m/>
    <n v="0"/>
    <n v="-107.5"/>
    <n v="-104.28"/>
    <n v="-64.5"/>
    <n v="10750"/>
  </r>
  <r>
    <x v="23"/>
    <x v="0"/>
    <n v="127013820395"/>
    <n v="17537.400000000001"/>
    <n v="9096771.8000000007"/>
    <x v="0"/>
    <m/>
    <m/>
    <n v="0"/>
    <n v="-180"/>
    <n v="-174.6"/>
    <n v="-108"/>
    <n v="18000"/>
  </r>
  <r>
    <x v="23"/>
    <x v="0"/>
    <n v="127575063154"/>
    <n v="28674.23"/>
    <n v="9125446.0299999993"/>
    <x v="0"/>
    <m/>
    <m/>
    <n v="0"/>
    <n v="-305.5"/>
    <n v="-1386.97"/>
    <n v="-183.3"/>
    <n v="30550"/>
  </r>
  <r>
    <x v="23"/>
    <x v="0"/>
    <n v="127575157346"/>
    <n v="4384.3500000000004"/>
    <n v="9129830.3800000008"/>
    <x v="0"/>
    <m/>
    <m/>
    <n v="0"/>
    <n v="-45"/>
    <n v="-43.65"/>
    <n v="-27"/>
    <n v="4500"/>
  </r>
  <r>
    <x v="23"/>
    <x v="0"/>
    <n v="127575113918"/>
    <n v="41407.75"/>
    <n v="9171238.1300000008"/>
    <x v="0"/>
    <m/>
    <m/>
    <n v="0"/>
    <n v="-425"/>
    <n v="-412.25"/>
    <n v="-255"/>
    <n v="42500"/>
  </r>
  <r>
    <x v="23"/>
    <x v="0"/>
    <n v="127013893873"/>
    <n v="14906.79"/>
    <n v="9186144.9199999999"/>
    <x v="0"/>
    <m/>
    <m/>
    <n v="0"/>
    <n v="-153"/>
    <n v="-148.41"/>
    <n v="-91.8"/>
    <n v="15300"/>
  </r>
  <r>
    <x v="23"/>
    <x v="0"/>
    <n v="127014134823"/>
    <n v="3945.91"/>
    <n v="9190090.8300000001"/>
    <x v="0"/>
    <m/>
    <m/>
    <n v="0"/>
    <n v="-40.5"/>
    <n v="-39.29"/>
    <n v="-24.3"/>
    <n v="4050"/>
  </r>
  <r>
    <x v="23"/>
    <x v="0"/>
    <n v="127575489108"/>
    <n v="4871.5"/>
    <n v="9194962.3300000001"/>
    <x v="0"/>
    <m/>
    <m/>
    <n v="0"/>
    <n v="-50"/>
    <n v="-48.5"/>
    <n v="-30"/>
    <n v="5000"/>
  </r>
  <r>
    <x v="23"/>
    <x v="0"/>
    <n v="127575732242"/>
    <n v="37120.83"/>
    <n v="9232083.1600000001"/>
    <x v="0"/>
    <m/>
    <m/>
    <n v="0"/>
    <n v="-381"/>
    <n v="-369.57"/>
    <n v="-228.6"/>
    <n v="38100"/>
  </r>
  <r>
    <x v="23"/>
    <x v="0"/>
    <n v="127575709104"/>
    <n v="8427.69"/>
    <n v="9240510.8499999996"/>
    <x v="0"/>
    <m/>
    <m/>
    <n v="0"/>
    <n v="-86.5"/>
    <n v="-83.91"/>
    <n v="-51.9"/>
    <n v="8650"/>
  </r>
  <r>
    <x v="23"/>
    <x v="0"/>
    <n v="127576498344"/>
    <n v="52368.62"/>
    <n v="9292879.4700000007"/>
    <x v="0"/>
    <m/>
    <m/>
    <n v="0"/>
    <n v="-537.5"/>
    <n v="-521.38"/>
    <n v="-322.5"/>
    <n v="53750"/>
  </r>
  <r>
    <x v="23"/>
    <x v="0"/>
    <n v="127576327400"/>
    <n v="8768.7000000000007"/>
    <n v="9301648.1699999999"/>
    <x v="0"/>
    <m/>
    <m/>
    <n v="0"/>
    <n v="-90"/>
    <n v="-87.3"/>
    <n v="-54"/>
    <n v="9000"/>
  </r>
  <r>
    <x v="23"/>
    <x v="0"/>
    <n v="127576590324"/>
    <n v="3378.96"/>
    <n v="9305027.1300000008"/>
    <x v="0"/>
    <m/>
    <m/>
    <n v="0"/>
    <n v="-36"/>
    <n v="-163.44"/>
    <n v="-21.6"/>
    <n v="3600"/>
  </r>
  <r>
    <x v="23"/>
    <x v="0"/>
    <n v="127576545044"/>
    <n v="6100.9"/>
    <n v="9311128.0299999993"/>
    <x v="0"/>
    <m/>
    <m/>
    <n v="0"/>
    <n v="-65"/>
    <n v="-295.10000000000002"/>
    <n v="-39"/>
    <n v="6500"/>
  </r>
  <r>
    <x v="23"/>
    <x v="0"/>
    <n v="127576557502"/>
    <n v="154767.54999999999"/>
    <n v="9465895.5800000001"/>
    <x v="0"/>
    <m/>
    <m/>
    <n v="0"/>
    <n v="-1588.5"/>
    <n v="-1540.85"/>
    <n v="-953.1"/>
    <n v="158850"/>
  </r>
  <r>
    <x v="23"/>
    <x v="0"/>
    <n v="127015620133"/>
    <n v="13153.05"/>
    <n v="9479048.6300000008"/>
    <x v="0"/>
    <m/>
    <m/>
    <n v="0"/>
    <n v="-135"/>
    <n v="-130.94999999999999"/>
    <n v="-81"/>
    <n v="13500"/>
  </r>
  <r>
    <x v="23"/>
    <x v="0"/>
    <n v="127015403685"/>
    <n v="7014.96"/>
    <n v="9486063.5899999999"/>
    <x v="0"/>
    <m/>
    <m/>
    <n v="0"/>
    <n v="-72"/>
    <n v="-69.84"/>
    <n v="-43.2"/>
    <n v="7200"/>
  </r>
  <r>
    <x v="23"/>
    <x v="0"/>
    <n v="127015646835"/>
    <n v="12276.18"/>
    <n v="9498339.7699999996"/>
    <x v="0"/>
    <m/>
    <m/>
    <n v="0"/>
    <n v="-126"/>
    <n v="-122.22"/>
    <n v="-75.599999999999994"/>
    <n v="12600"/>
  </r>
  <r>
    <x v="23"/>
    <x v="0"/>
    <n v="127576831188"/>
    <n v="4384.3500000000004"/>
    <n v="9502724.1199999992"/>
    <x v="0"/>
    <m/>
    <m/>
    <n v="0"/>
    <n v="-45"/>
    <n v="-43.65"/>
    <n v="-27"/>
    <n v="4500"/>
  </r>
  <r>
    <x v="23"/>
    <x v="0"/>
    <n v="127015860511"/>
    <n v="4384.3500000000004"/>
    <n v="9507108.4700000007"/>
    <x v="0"/>
    <m/>
    <m/>
    <n v="0"/>
    <n v="-45"/>
    <n v="-43.65"/>
    <n v="-27"/>
    <n v="4500"/>
  </r>
  <r>
    <x v="23"/>
    <x v="0"/>
    <n v="127015606063"/>
    <n v="5819.32"/>
    <n v="9512927.7899999991"/>
    <x v="0"/>
    <m/>
    <m/>
    <n v="0"/>
    <n v="-62"/>
    <n v="-281.48"/>
    <n v="-37.200000000000003"/>
    <n v="6199.9999999999991"/>
  </r>
  <r>
    <x v="23"/>
    <x v="0"/>
    <n v="127679194174"/>
    <n v="6355.3"/>
    <n v="8009172.2000000002"/>
    <x v="0"/>
    <m/>
    <m/>
    <n v="0"/>
    <n v="-70"/>
    <n v="-532.70000000000005"/>
    <n v="-42"/>
    <n v="7000"/>
  </r>
  <r>
    <x v="23"/>
    <x v="0"/>
    <n v="127679388200"/>
    <n v="12281.1"/>
    <n v="8021453.2999999998"/>
    <x v="0"/>
    <m/>
    <m/>
    <n v="0"/>
    <n v="-130"/>
    <n v="-510.9"/>
    <n v="-78"/>
    <n v="13000"/>
  </r>
  <r>
    <x v="23"/>
    <x v="0"/>
    <n v="127680169218"/>
    <n v="26692.26"/>
    <n v="8048145.5599999996"/>
    <x v="0"/>
    <m/>
    <m/>
    <n v="0"/>
    <n v="-294"/>
    <n v="-2237.34"/>
    <n v="-176.4"/>
    <n v="29400"/>
  </r>
  <r>
    <x v="23"/>
    <x v="0"/>
    <n v="127680295528"/>
    <n v="12438.23"/>
    <n v="8060583.79"/>
    <x v="0"/>
    <m/>
    <m/>
    <n v="0"/>
    <n v="-137"/>
    <n v="-1042.57"/>
    <n v="-82.2"/>
    <n v="13700"/>
  </r>
  <r>
    <x v="23"/>
    <x v="0"/>
    <n v="127682236964"/>
    <n v="28439.58"/>
    <n v="8089023.3700000001"/>
    <x v="0"/>
    <m/>
    <m/>
    <n v="0"/>
    <n v="-303"/>
    <n v="-1375.62"/>
    <n v="-181.8"/>
    <n v="30300"/>
  </r>
  <r>
    <x v="23"/>
    <x v="0"/>
    <n v="127685431266"/>
    <n v="9158.42"/>
    <n v="8098181.79"/>
    <x v="0"/>
    <m/>
    <m/>
    <n v="0"/>
    <n v="-94"/>
    <n v="-91.18"/>
    <n v="-56.4"/>
    <n v="9400"/>
  </r>
  <r>
    <x v="23"/>
    <x v="0"/>
    <n v="127685463730"/>
    <n v="4251.1499999999996"/>
    <n v="8102432.9400000004"/>
    <x v="0"/>
    <m/>
    <m/>
    <n v="0"/>
    <n v="-45"/>
    <n v="-176.85"/>
    <n v="-27"/>
    <n v="4500"/>
  </r>
  <r>
    <x v="23"/>
    <x v="0"/>
    <n v="127686983606"/>
    <n v="4223.7"/>
    <n v="8106656.6399999997"/>
    <x v="0"/>
    <m/>
    <m/>
    <n v="0"/>
    <n v="-45"/>
    <n v="-204.3"/>
    <n v="-27"/>
    <n v="4500"/>
  </r>
  <r>
    <x v="23"/>
    <x v="0"/>
    <n v="127687107476"/>
    <n v="7794.4"/>
    <n v="8114451.04"/>
    <x v="0"/>
    <m/>
    <m/>
    <n v="0"/>
    <n v="-80"/>
    <n v="-77.599999999999994"/>
    <n v="-48"/>
    <n v="8000"/>
  </r>
  <r>
    <x v="23"/>
    <x v="0"/>
    <n v="127126712461"/>
    <n v="162514.1"/>
    <n v="8276965.1399999997"/>
    <x v="0"/>
    <m/>
    <m/>
    <n v="0"/>
    <n v="-1790"/>
    <n v="-13621.9"/>
    <n v="-1074"/>
    <n v="179000"/>
  </r>
  <r>
    <x v="23"/>
    <x v="0"/>
    <n v="127688724722"/>
    <n v="25412.43"/>
    <n v="8302377.5700000003"/>
    <x v="0"/>
    <m/>
    <m/>
    <n v="0"/>
    <n v="-269"/>
    <n v="-1057.17"/>
    <n v="-161.4"/>
    <n v="26900"/>
  </r>
  <r>
    <x v="23"/>
    <x v="0"/>
    <n v="127127545649"/>
    <n v="59822.02"/>
    <n v="8362199.5899999999"/>
    <x v="0"/>
    <m/>
    <m/>
    <n v="0"/>
    <n v="-614"/>
    <n v="-595.58000000000004"/>
    <n v="-368.4"/>
    <n v="61400"/>
  </r>
  <r>
    <x v="23"/>
    <x v="0"/>
    <n v="127130305985"/>
    <n v="46571.54"/>
    <n v="8408771.1300000008"/>
    <x v="0"/>
    <m/>
    <m/>
    <n v="0"/>
    <n v="-478"/>
    <n v="-463.66"/>
    <n v="-286.8"/>
    <n v="47800.000000000007"/>
  </r>
  <r>
    <x v="23"/>
    <x v="0"/>
    <n v="127691820066"/>
    <n v="28546.99"/>
    <n v="8437318.1199999992"/>
    <x v="0"/>
    <m/>
    <m/>
    <n v="0"/>
    <n v="-293"/>
    <n v="-284.20999999999998"/>
    <n v="-175.8"/>
    <n v="29300"/>
  </r>
  <r>
    <x v="23"/>
    <x v="0"/>
    <n v="127130788563"/>
    <n v="36438.82"/>
    <n v="8473756.9399999995"/>
    <x v="0"/>
    <m/>
    <m/>
    <n v="0"/>
    <n v="-374"/>
    <n v="-362.78"/>
    <n v="-224.4"/>
    <n v="37400"/>
  </r>
  <r>
    <x v="23"/>
    <x v="0"/>
    <n v="127692414538"/>
    <n v="122859.23"/>
    <n v="8596616.1699999999"/>
    <x v="0"/>
    <m/>
    <m/>
    <n v="0"/>
    <n v="-1261"/>
    <n v="-1223.17"/>
    <n v="-756.6"/>
    <n v="126100"/>
  </r>
  <r>
    <x v="23"/>
    <x v="0"/>
    <n v="127692795340"/>
    <n v="24373.26"/>
    <n v="8620989.4299999997"/>
    <x v="0"/>
    <m/>
    <m/>
    <n v="0"/>
    <n v="-258"/>
    <n v="-1013.94"/>
    <n v="-154.80000000000001"/>
    <n v="25799.999999999996"/>
  </r>
  <r>
    <x v="23"/>
    <x v="0"/>
    <n v="127132014539"/>
    <n v="43361.73"/>
    <n v="8664351.1600000001"/>
    <x v="0"/>
    <m/>
    <m/>
    <n v="0"/>
    <n v="-459"/>
    <n v="-1803.87"/>
    <n v="-275.39999999999998"/>
    <n v="45900.000000000007"/>
  </r>
  <r>
    <x v="23"/>
    <x v="0"/>
    <n v="127132281045"/>
    <n v="42771.77"/>
    <n v="8707122.9299999997"/>
    <x v="0"/>
    <m/>
    <m/>
    <n v="0"/>
    <n v="-439"/>
    <n v="-425.83"/>
    <n v="-263.39999999999998"/>
    <n v="43900"/>
  </r>
  <r>
    <x v="23"/>
    <x v="64"/>
    <n v="127132211439"/>
    <n v="2148.9"/>
    <n v="8709271.8300000001"/>
    <x v="0"/>
    <m/>
    <m/>
    <n v="-32.93"/>
    <n v="0"/>
    <n v="0"/>
    <n v="-13.17"/>
    <n v="2195"/>
  </r>
  <r>
    <x v="23"/>
    <x v="0"/>
    <n v="127693996562"/>
    <n v="4223.7"/>
    <n v="8713495.5299999993"/>
    <x v="0"/>
    <m/>
    <m/>
    <n v="0"/>
    <n v="-45"/>
    <n v="-204.3"/>
    <n v="-27"/>
    <n v="4500"/>
  </r>
  <r>
    <x v="23"/>
    <x v="0"/>
    <n v="127694077596"/>
    <n v="4384.3500000000004"/>
    <n v="8717879.8800000008"/>
    <x v="0"/>
    <m/>
    <m/>
    <n v="0"/>
    <n v="-45"/>
    <n v="-43.65"/>
    <n v="-27"/>
    <n v="4500"/>
  </r>
  <r>
    <x v="23"/>
    <x v="0"/>
    <n v="127694163582"/>
    <n v="31080.17"/>
    <n v="8748960.0500000007"/>
    <x v="0"/>
    <m/>
    <m/>
    <n v="0"/>
    <n v="-319"/>
    <n v="-309.43"/>
    <n v="-191.4"/>
    <n v="31900"/>
  </r>
  <r>
    <x v="23"/>
    <x v="133"/>
    <n v="127694197476"/>
    <n v="3123.01"/>
    <n v="8752083.0600000005"/>
    <x v="0"/>
    <m/>
    <m/>
    <n v="-47.85"/>
    <n v="0"/>
    <n v="0"/>
    <n v="-19.14"/>
    <n v="3190"/>
  </r>
  <r>
    <x v="23"/>
    <x v="0"/>
    <n v="127694198004"/>
    <n v="25818.95"/>
    <n v="8777902.0099999998"/>
    <x v="0"/>
    <m/>
    <m/>
    <n v="0"/>
    <n v="-265"/>
    <n v="-257.05"/>
    <n v="-159"/>
    <n v="26500"/>
  </r>
  <r>
    <x v="23"/>
    <x v="134"/>
    <n v="127132666919"/>
    <n v="1297.17"/>
    <n v="8779199.1799999997"/>
    <x v="0"/>
    <m/>
    <m/>
    <n v="-19.88"/>
    <n v="0"/>
    <n v="0"/>
    <n v="-7.95"/>
    <n v="1325.0000000000002"/>
  </r>
  <r>
    <x v="23"/>
    <x v="0"/>
    <n v="127696845350"/>
    <n v="30787.88"/>
    <n v="8809987.0600000005"/>
    <x v="0"/>
    <m/>
    <m/>
    <n v="0"/>
    <n v="-316"/>
    <n v="-306.52"/>
    <n v="-189.6"/>
    <n v="31600"/>
  </r>
  <r>
    <x v="23"/>
    <x v="51"/>
    <n v="127696927036"/>
    <n v="1546.82"/>
    <n v="8811533.8800000008"/>
    <x v="0"/>
    <m/>
    <m/>
    <n v="-23.7"/>
    <n v="0"/>
    <n v="0"/>
    <n v="-9.48"/>
    <n v="1580"/>
  </r>
  <r>
    <x v="23"/>
    <x v="0"/>
    <n v="127697127812"/>
    <n v="159790.39999999999"/>
    <n v="8971324.2799999993"/>
    <x v="0"/>
    <m/>
    <m/>
    <n v="0"/>
    <n v="-1760"/>
    <n v="-13393.6"/>
    <n v="-1056"/>
    <n v="176000"/>
  </r>
  <r>
    <x v="23"/>
    <x v="0"/>
    <n v="127135874547"/>
    <n v="51864.03"/>
    <n v="9023188.3100000005"/>
    <x v="0"/>
    <m/>
    <m/>
    <n v="0"/>
    <n v="-549"/>
    <n v="-2157.5700000000002"/>
    <n v="-329.4"/>
    <n v="54900"/>
  </r>
  <r>
    <x v="23"/>
    <x v="0"/>
    <n v="127135739949"/>
    <n v="34490.22"/>
    <n v="9057678.5299999993"/>
    <x v="0"/>
    <m/>
    <m/>
    <n v="0"/>
    <n v="-354"/>
    <n v="-343.38"/>
    <n v="-212.4"/>
    <n v="35400"/>
  </r>
  <r>
    <x v="23"/>
    <x v="135"/>
    <n v="127135807619"/>
    <n v="1732.83"/>
    <n v="9059411.3599999994"/>
    <x v="0"/>
    <m/>
    <m/>
    <n v="-26.55"/>
    <n v="0"/>
    <n v="0"/>
    <n v="-10.62"/>
    <n v="1769.9999999999998"/>
  </r>
  <r>
    <x v="23"/>
    <x v="0"/>
    <n v="127697846676"/>
    <n v="14711.93"/>
    <n v="9074123.2899999991"/>
    <x v="0"/>
    <m/>
    <m/>
    <n v="0"/>
    <n v="-151"/>
    <n v="-146.47"/>
    <n v="-90.6"/>
    <n v="15100"/>
  </r>
  <r>
    <x v="23"/>
    <x v="0"/>
    <n v="127698564448"/>
    <n v="13153.05"/>
    <n v="9087276.3399999999"/>
    <x v="0"/>
    <m/>
    <m/>
    <n v="0"/>
    <n v="-135"/>
    <n v="-130.94999999999999"/>
    <n v="-81"/>
    <n v="13500"/>
  </r>
  <r>
    <x v="23"/>
    <x v="0"/>
    <n v="127137102327"/>
    <n v="37693.53"/>
    <n v="9124969.8699999992"/>
    <x v="0"/>
    <m/>
    <m/>
    <n v="0"/>
    <n v="-399"/>
    <n v="-1568.07"/>
    <n v="-239.4"/>
    <n v="39900"/>
  </r>
  <r>
    <x v="23"/>
    <x v="0"/>
    <n v="127137188773"/>
    <n v="11711.91"/>
    <n v="9136681.7799999993"/>
    <x v="0"/>
    <m/>
    <m/>
    <n v="0"/>
    <n v="-129"/>
    <n v="-981.69"/>
    <n v="-77.400000000000006"/>
    <n v="12900"/>
  </r>
  <r>
    <x v="23"/>
    <x v="0"/>
    <n v="127699173378"/>
    <n v="15289.66"/>
    <n v="9151971.4399999995"/>
    <x v="0"/>
    <m/>
    <m/>
    <n v="0"/>
    <n v="-158"/>
    <n v="-257.54000000000002"/>
    <n v="-94.8"/>
    <n v="15800"/>
  </r>
  <r>
    <x v="23"/>
    <x v="0"/>
    <n v="127699484268"/>
    <n v="37976.94"/>
    <n v="9189948.3800000008"/>
    <x v="0"/>
    <m/>
    <m/>
    <n v="0"/>
    <n v="-402"/>
    <n v="-1579.86"/>
    <n v="-241.2"/>
    <n v="40200"/>
  </r>
  <r>
    <x v="23"/>
    <x v="0"/>
    <n v="127138460989"/>
    <n v="39771.870000000003"/>
    <n v="9229720.25"/>
    <x v="0"/>
    <m/>
    <m/>
    <n v="0"/>
    <n v="-421"/>
    <n v="-1654.53"/>
    <n v="-252.6"/>
    <n v="42100"/>
  </r>
  <r>
    <x v="23"/>
    <x v="0"/>
    <n v="127138622917"/>
    <n v="4035.98"/>
    <n v="9233756.2300000004"/>
    <x v="0"/>
    <m/>
    <m/>
    <n v="0"/>
    <n v="-43"/>
    <n v="-195.22"/>
    <n v="-25.8"/>
    <n v="4300"/>
  </r>
  <r>
    <x v="23"/>
    <x v="0"/>
    <n v="127138754811"/>
    <n v="43843.5"/>
    <n v="9277599.7300000004"/>
    <x v="0"/>
    <m/>
    <m/>
    <n v="0"/>
    <n v="-450"/>
    <n v="-436.5"/>
    <n v="-270"/>
    <n v="45000"/>
  </r>
  <r>
    <x v="23"/>
    <x v="0"/>
    <n v="127138858083"/>
    <n v="28157.27"/>
    <n v="9305757"/>
    <x v="0"/>
    <m/>
    <m/>
    <n v="0"/>
    <n v="-289"/>
    <n v="-280.33"/>
    <n v="-173.4"/>
    <n v="28900.000000000004"/>
  </r>
  <r>
    <x v="26"/>
    <x v="123"/>
    <n v="127493738443"/>
    <n v="-209826.45"/>
    <n v="11864920.189999999"/>
    <x v="1"/>
    <n v="-208575"/>
    <n v="-1251.4500000000116"/>
    <n v="0"/>
    <n v="0"/>
    <n v="0"/>
    <n v="-1251.4500000000116"/>
    <n v="-208575"/>
  </r>
  <r>
    <x v="26"/>
    <x v="123"/>
    <n v="128057195334"/>
    <n v="-182649.36"/>
    <n v="12074746.640000001"/>
    <x v="1"/>
    <n v="-181559.99999999997"/>
    <n v="-1089.3600000000151"/>
    <n v="0"/>
    <n v="0"/>
    <n v="0"/>
    <n v="-1089.3600000000151"/>
    <n v="-181559.99999999997"/>
  </r>
  <r>
    <x v="2"/>
    <x v="136"/>
    <n v="126569211701"/>
    <n v="-5000"/>
    <n v="9497026.7799999993"/>
    <x v="1"/>
    <n v="-4970.1789264413519"/>
    <n v="-29.821073558648095"/>
    <n v="0"/>
    <n v="0"/>
    <n v="0"/>
    <m/>
    <n v="-5000"/>
  </r>
  <r>
    <x v="4"/>
    <x v="137"/>
    <n v="126250049639"/>
    <n v="-397247.6"/>
    <n v="7556748.5"/>
    <x v="1"/>
    <n v="-394878.33001988067"/>
    <n v="-2369.2699801193085"/>
    <n v="0"/>
    <n v="0"/>
    <n v="0"/>
    <m/>
    <n v="-397247.6"/>
  </r>
  <r>
    <x v="0"/>
    <x v="138"/>
    <n v="124459001098"/>
    <n v="-238065.88"/>
    <n v="12213413.91"/>
    <x v="1"/>
    <n v="-236646.00397614314"/>
    <n v="-1419.8760238568648"/>
    <n v="0"/>
    <n v="0"/>
    <n v="0"/>
    <n v="-1419.8760238568648"/>
    <n v="-236646.00397614314"/>
  </r>
  <r>
    <x v="13"/>
    <x v="138"/>
    <n v="125365649906"/>
    <n v="-90268.38"/>
    <n v="10939680.449999999"/>
    <x v="1"/>
    <n v="-89730"/>
    <n v="-538.38000000000466"/>
    <n v="0"/>
    <n v="0"/>
    <n v="0"/>
    <n v="-538.38000000000466"/>
    <n v="-89730"/>
  </r>
  <r>
    <x v="19"/>
    <x v="138"/>
    <n v="126387313180"/>
    <n v="-169621.66"/>
    <n v="11293927.189999999"/>
    <x v="1"/>
    <n v="-168610"/>
    <n v="-1011.6600000000035"/>
    <n v="0"/>
    <n v="0"/>
    <n v="0"/>
    <n v="-1011.6600000000035"/>
    <n v="-168610"/>
  </r>
  <r>
    <x v="2"/>
    <x v="138"/>
    <n v="126562288511"/>
    <n v="-69896.88"/>
    <n v="9989405.5999999996"/>
    <x v="1"/>
    <n v="-69480"/>
    <n v="-416.88000000000466"/>
    <n v="0"/>
    <n v="0"/>
    <n v="0"/>
    <n v="-416.88000000000466"/>
    <n v="-69480"/>
  </r>
  <r>
    <x v="24"/>
    <x v="0"/>
    <n v="127702181460"/>
    <n v="7160.98"/>
    <n v="9312917.9800000004"/>
    <x v="0"/>
    <m/>
    <m/>
    <n v="0"/>
    <n v="-74"/>
    <n v="-120.62"/>
    <n v="-44.4"/>
    <n v="7399.9999999999991"/>
  </r>
  <r>
    <x v="24"/>
    <x v="0"/>
    <n v="127702622786"/>
    <n v="223504.42"/>
    <n v="9536422.4000000004"/>
    <x v="0"/>
    <m/>
    <m/>
    <n v="0"/>
    <n v="-2294"/>
    <n v="-2225.1799999999998"/>
    <n v="-1376.4"/>
    <n v="229400"/>
  </r>
  <r>
    <x v="24"/>
    <x v="0"/>
    <n v="127702629144"/>
    <n v="4871.5"/>
    <n v="9541293.9000000004"/>
    <x v="0"/>
    <m/>
    <m/>
    <n v="0"/>
    <n v="-50"/>
    <n v="-48.5"/>
    <n v="-30"/>
    <n v="5000"/>
  </r>
  <r>
    <x v="24"/>
    <x v="0"/>
    <n v="127141531181"/>
    <n v="2143.46"/>
    <n v="9543437.3599999994"/>
    <x v="0"/>
    <m/>
    <m/>
    <n v="0"/>
    <n v="-22"/>
    <n v="-21.34"/>
    <n v="-13.2"/>
    <n v="2200"/>
  </r>
  <r>
    <x v="24"/>
    <x v="0"/>
    <n v="127141616145"/>
    <n v="4871.5"/>
    <n v="9548308.8599999994"/>
    <x v="0"/>
    <m/>
    <m/>
    <n v="0"/>
    <n v="-50"/>
    <n v="-48.5"/>
    <n v="-30"/>
    <n v="5000"/>
  </r>
  <r>
    <x v="24"/>
    <x v="0"/>
    <n v="127141798509"/>
    <n v="22408.9"/>
    <n v="9570717.7599999998"/>
    <x v="0"/>
    <m/>
    <m/>
    <n v="0"/>
    <n v="-230"/>
    <n v="-223.1"/>
    <n v="-138"/>
    <n v="23000"/>
  </r>
  <r>
    <x v="24"/>
    <x v="0"/>
    <n v="127703776340"/>
    <n v="118059.4"/>
    <n v="9688777.1600000001"/>
    <x v="0"/>
    <m/>
    <m/>
    <n v="0"/>
    <n v="-1220"/>
    <n v="-1988.6"/>
    <n v="-732"/>
    <n v="122000"/>
  </r>
  <r>
    <x v="24"/>
    <x v="0"/>
    <n v="127141989725"/>
    <n v="18121.98"/>
    <n v="9706899.1400000006"/>
    <x v="0"/>
    <m/>
    <m/>
    <n v="0"/>
    <n v="-186"/>
    <n v="-180.42"/>
    <n v="-111.6"/>
    <n v="18599.999999999996"/>
  </r>
  <r>
    <x v="24"/>
    <x v="0"/>
    <n v="127142199177"/>
    <n v="37353.22"/>
    <n v="9744252.3599999994"/>
    <x v="0"/>
    <m/>
    <m/>
    <n v="0"/>
    <n v="-386"/>
    <n v="-629.17999999999995"/>
    <n v="-231.6"/>
    <n v="38600"/>
  </r>
  <r>
    <x v="24"/>
    <x v="0"/>
    <n v="127142183777"/>
    <n v="8573.84"/>
    <n v="9752826.1999999993"/>
    <x v="0"/>
    <m/>
    <m/>
    <n v="0"/>
    <n v="-88"/>
    <n v="-85.36"/>
    <n v="-52.8"/>
    <n v="8800"/>
  </r>
  <r>
    <x v="24"/>
    <x v="0"/>
    <n v="127142483797"/>
    <n v="40920.6"/>
    <n v="9793746.8000000007"/>
    <x v="0"/>
    <m/>
    <m/>
    <n v="0"/>
    <n v="-420"/>
    <n v="-407.4"/>
    <n v="-252"/>
    <n v="42000"/>
  </r>
  <r>
    <x v="24"/>
    <x v="0"/>
    <n v="127704640858"/>
    <n v="12483.33"/>
    <n v="9806230.1300000008"/>
    <x v="0"/>
    <m/>
    <m/>
    <n v="0"/>
    <n v="-129"/>
    <n v="-210.27"/>
    <n v="-77.400000000000006"/>
    <n v="12900"/>
  </r>
  <r>
    <x v="24"/>
    <x v="139"/>
    <n v="127142975449"/>
    <n v="1894.36"/>
    <n v="9808124.4900000002"/>
    <x v="0"/>
    <m/>
    <m/>
    <n v="-29.03"/>
    <n v="0"/>
    <n v="0"/>
    <n v="-11.61"/>
    <n v="1934.9999999999998"/>
  </r>
  <r>
    <x v="24"/>
    <x v="0"/>
    <n v="127704837868"/>
    <n v="37221.18"/>
    <n v="9845345.6699999999"/>
    <x v="0"/>
    <m/>
    <m/>
    <n v="0"/>
    <n v="-394"/>
    <n v="-1548.42"/>
    <n v="-236.4"/>
    <n v="39400"/>
  </r>
  <r>
    <x v="24"/>
    <x v="140"/>
    <n v="127143653663"/>
    <n v="9236.86"/>
    <n v="9854582.5299999993"/>
    <x v="0"/>
    <m/>
    <m/>
    <n v="-141.53"/>
    <n v="0"/>
    <n v="0"/>
    <n v="-56.61"/>
    <n v="9435.0000000000018"/>
  </r>
  <r>
    <x v="24"/>
    <x v="0"/>
    <n v="127705296188"/>
    <n v="61283.47"/>
    <n v="9915866"/>
    <x v="0"/>
    <m/>
    <m/>
    <n v="0"/>
    <n v="-629"/>
    <n v="-610.13"/>
    <n v="-377.4"/>
    <n v="62900"/>
  </r>
  <r>
    <x v="24"/>
    <x v="0"/>
    <n v="127705207416"/>
    <n v="9743"/>
    <n v="9925609"/>
    <x v="0"/>
    <m/>
    <m/>
    <n v="0"/>
    <n v="-100"/>
    <n v="-97"/>
    <n v="-60"/>
    <n v="10000"/>
  </r>
  <r>
    <x v="24"/>
    <x v="0"/>
    <n v="127143767515"/>
    <n v="6040.66"/>
    <n v="9931649.6600000001"/>
    <x v="0"/>
    <m/>
    <m/>
    <n v="0"/>
    <n v="-62"/>
    <n v="-60.14"/>
    <n v="-37.200000000000003"/>
    <n v="6200"/>
  </r>
  <r>
    <x v="24"/>
    <x v="0"/>
    <n v="127705564586"/>
    <n v="26843.96"/>
    <n v="9958493.6199999992"/>
    <x v="0"/>
    <m/>
    <m/>
    <n v="0"/>
    <n v="-286"/>
    <n v="-1298.44"/>
    <n v="-171.6"/>
    <n v="28599.999999999996"/>
  </r>
  <r>
    <x v="24"/>
    <x v="0"/>
    <n v="127143969217"/>
    <n v="26843.96"/>
    <n v="9985337.5800000001"/>
    <x v="0"/>
    <m/>
    <m/>
    <n v="0"/>
    <n v="-286"/>
    <n v="-1298.44"/>
    <n v="-171.6"/>
    <n v="28599.999999999996"/>
  </r>
  <r>
    <x v="24"/>
    <x v="0"/>
    <n v="127144387259"/>
    <n v="15393.94"/>
    <n v="10000731.52"/>
    <x v="0"/>
    <m/>
    <m/>
    <n v="0"/>
    <n v="-158"/>
    <n v="-153.26"/>
    <n v="-94.8"/>
    <n v="15800"/>
  </r>
  <r>
    <x v="24"/>
    <x v="0"/>
    <n v="127144478587"/>
    <n v="54365.94"/>
    <n v="10055097.460000001"/>
    <x v="0"/>
    <m/>
    <m/>
    <n v="0"/>
    <n v="-558"/>
    <n v="-541.26"/>
    <n v="-334.8"/>
    <n v="55800.000000000007"/>
  </r>
  <r>
    <x v="24"/>
    <x v="141"/>
    <n v="127144500403"/>
    <n v="2731.41"/>
    <n v="10057828.869999999"/>
    <x v="0"/>
    <m/>
    <m/>
    <n v="-41.85"/>
    <n v="0"/>
    <n v="0"/>
    <n v="-16.739999999999998"/>
    <n v="2789.9999999999995"/>
  </r>
  <r>
    <x v="24"/>
    <x v="0"/>
    <n v="127144733153"/>
    <n v="10522.44"/>
    <n v="10068351.310000001"/>
    <x v="0"/>
    <m/>
    <m/>
    <n v="0"/>
    <n v="-108"/>
    <n v="-104.76"/>
    <n v="-64.8"/>
    <n v="10800"/>
  </r>
  <r>
    <x v="24"/>
    <x v="0"/>
    <n v="127145169313"/>
    <n v="10035.290000000001"/>
    <n v="10078386.6"/>
    <x v="0"/>
    <m/>
    <m/>
    <n v="0"/>
    <n v="-103"/>
    <n v="-99.91"/>
    <n v="-61.8"/>
    <n v="10300"/>
  </r>
  <r>
    <x v="24"/>
    <x v="142"/>
    <n v="127145157389"/>
    <n v="504.18"/>
    <n v="10078890.779999999"/>
    <x v="0"/>
    <m/>
    <m/>
    <n v="-7.73"/>
    <n v="0"/>
    <n v="0"/>
    <n v="-3.09"/>
    <n v="515"/>
  </r>
  <r>
    <x v="24"/>
    <x v="0"/>
    <n v="127145306205"/>
    <n v="26186.94"/>
    <n v="10105077.720000001"/>
    <x v="0"/>
    <m/>
    <m/>
    <n v="0"/>
    <n v="-279"/>
    <n v="-1266.6600000000001"/>
    <n v="-167.4"/>
    <n v="27900"/>
  </r>
  <r>
    <x v="24"/>
    <x v="0"/>
    <n v="127145410663"/>
    <n v="127723.44"/>
    <n v="10232801.16"/>
    <x v="0"/>
    <m/>
    <m/>
    <n v="0"/>
    <n v="-1352"/>
    <n v="-5313.36"/>
    <n v="-811.2"/>
    <n v="135200"/>
  </r>
  <r>
    <x v="24"/>
    <x v="0"/>
    <n v="127707143532"/>
    <n v="28689.64"/>
    <n v="10261490.800000001"/>
    <x v="0"/>
    <m/>
    <m/>
    <n v="0"/>
    <n v="-316"/>
    <n v="-2404.7600000000002"/>
    <n v="-189.6"/>
    <n v="31600"/>
  </r>
  <r>
    <x v="24"/>
    <x v="0"/>
    <n v="127707316320"/>
    <n v="28644.42"/>
    <n v="10290135.220000001"/>
    <x v="0"/>
    <m/>
    <m/>
    <n v="0"/>
    <n v="-294"/>
    <n v="-285.18"/>
    <n v="-176.4"/>
    <n v="29400"/>
  </r>
  <r>
    <x v="24"/>
    <x v="0"/>
    <n v="127707273290"/>
    <n v="41310.32"/>
    <n v="10331445.539999999"/>
    <x v="0"/>
    <m/>
    <m/>
    <n v="0"/>
    <n v="-424"/>
    <n v="-411.28"/>
    <n v="-254.4"/>
    <n v="42400"/>
  </r>
  <r>
    <x v="24"/>
    <x v="0"/>
    <n v="127220230833"/>
    <n v="4993.45"/>
    <n v="9838310.4900000002"/>
    <x v="0"/>
    <m/>
    <m/>
    <n v="0"/>
    <n v="-55"/>
    <n v="-418.55"/>
    <n v="-33"/>
    <n v="5500"/>
  </r>
  <r>
    <x v="24"/>
    <x v="0"/>
    <n v="127785471812"/>
    <n v="13153.05"/>
    <n v="9851463.5399999991"/>
    <x v="0"/>
    <m/>
    <m/>
    <n v="0"/>
    <n v="-135"/>
    <n v="-130.94999999999999"/>
    <n v="-81"/>
    <n v="13500"/>
  </r>
  <r>
    <x v="24"/>
    <x v="143"/>
    <n v="127785493518"/>
    <n v="660.82"/>
    <n v="9852124.3599999994"/>
    <x v="0"/>
    <m/>
    <m/>
    <n v="-10.130000000000001"/>
    <n v="0"/>
    <n v="0"/>
    <n v="-4.05"/>
    <n v="675"/>
  </r>
  <r>
    <x v="24"/>
    <x v="0"/>
    <n v="127787969538"/>
    <n v="7321.08"/>
    <n v="9859445.4399999995"/>
    <x v="0"/>
    <m/>
    <m/>
    <n v="0"/>
    <n v="-78"/>
    <n v="-354.12"/>
    <n v="-46.8"/>
    <n v="7800"/>
  </r>
  <r>
    <x v="24"/>
    <x v="0"/>
    <n v="127788429684"/>
    <n v="15588.8"/>
    <n v="9875034.2400000002"/>
    <x v="0"/>
    <m/>
    <m/>
    <n v="0"/>
    <n v="-160"/>
    <n v="-155.19999999999999"/>
    <n v="-96"/>
    <n v="16000"/>
  </r>
  <r>
    <x v="24"/>
    <x v="144"/>
    <n v="127226319261"/>
    <n v="783.2"/>
    <n v="9875817.4399999995"/>
    <x v="0"/>
    <m/>
    <m/>
    <n v="-12"/>
    <n v="0"/>
    <n v="0"/>
    <n v="-4.8"/>
    <n v="800"/>
  </r>
  <r>
    <x v="24"/>
    <x v="0"/>
    <n v="127789821032"/>
    <n v="8029.95"/>
    <n v="9883847.3900000006"/>
    <x v="0"/>
    <m/>
    <m/>
    <n v="0"/>
    <n v="-85"/>
    <n v="-334.05"/>
    <n v="-51"/>
    <n v="8500"/>
  </r>
  <r>
    <x v="24"/>
    <x v="0"/>
    <n v="127228416533"/>
    <n v="24552.36"/>
    <n v="9908399.75"/>
    <x v="0"/>
    <m/>
    <m/>
    <n v="0"/>
    <n v="-252"/>
    <n v="-244.44"/>
    <n v="-151.19999999999999"/>
    <n v="25200"/>
  </r>
  <r>
    <x v="24"/>
    <x v="0"/>
    <n v="127228393663"/>
    <n v="9158.42"/>
    <n v="9917558.1699999999"/>
    <x v="0"/>
    <m/>
    <m/>
    <n v="0"/>
    <n v="-94"/>
    <n v="-91.18"/>
    <n v="-56.4"/>
    <n v="9400"/>
  </r>
  <r>
    <x v="24"/>
    <x v="0"/>
    <n v="127229216263"/>
    <n v="16075.95"/>
    <n v="9933634.1199999992"/>
    <x v="0"/>
    <m/>
    <m/>
    <n v="0"/>
    <n v="-165"/>
    <n v="-160.05000000000001"/>
    <n v="-99"/>
    <n v="16500"/>
  </r>
  <r>
    <x v="24"/>
    <x v="0"/>
    <n v="127791466702"/>
    <n v="10619.87"/>
    <n v="9944253.9900000002"/>
    <x v="0"/>
    <m/>
    <m/>
    <n v="0"/>
    <n v="-109"/>
    <n v="-105.73"/>
    <n v="-65.400000000000006"/>
    <n v="10900"/>
  </r>
  <r>
    <x v="24"/>
    <x v="0"/>
    <n v="127792154848"/>
    <n v="8502.2999999999993"/>
    <n v="9952756.2899999991"/>
    <x v="0"/>
    <m/>
    <m/>
    <n v="0"/>
    <n v="-90"/>
    <n v="-353.7"/>
    <n v="-54"/>
    <n v="9000"/>
  </r>
  <r>
    <x v="24"/>
    <x v="0"/>
    <n v="127231821275"/>
    <n v="4579.21"/>
    <n v="9957335.5"/>
    <x v="0"/>
    <m/>
    <m/>
    <n v="0"/>
    <n v="-47"/>
    <n v="-45.59"/>
    <n v="-28.2"/>
    <n v="4700"/>
  </r>
  <r>
    <x v="24"/>
    <x v="0"/>
    <n v="127794328414"/>
    <n v="12373.61"/>
    <n v="9969709.1099999994"/>
    <x v="0"/>
    <m/>
    <m/>
    <n v="0"/>
    <n v="-127"/>
    <n v="-123.19"/>
    <n v="-76.2"/>
    <n v="12700.000000000002"/>
  </r>
  <r>
    <x v="24"/>
    <x v="0"/>
    <n v="127794377100"/>
    <n v="28689.64"/>
    <n v="9998398.75"/>
    <x v="0"/>
    <m/>
    <m/>
    <n v="0"/>
    <n v="-316"/>
    <n v="-2404.7600000000002"/>
    <n v="-189.6"/>
    <n v="31600"/>
  </r>
  <r>
    <x v="24"/>
    <x v="0"/>
    <n v="127233151759"/>
    <n v="5358.65"/>
    <n v="10003757.4"/>
    <x v="0"/>
    <m/>
    <m/>
    <n v="0"/>
    <n v="-55"/>
    <n v="-53.35"/>
    <n v="-33"/>
    <n v="5500"/>
  </r>
  <r>
    <x v="24"/>
    <x v="0"/>
    <n v="127233936785"/>
    <n v="8502.2999999999993"/>
    <n v="10012259.699999999"/>
    <x v="0"/>
    <m/>
    <m/>
    <n v="0"/>
    <n v="-90"/>
    <n v="-353.7"/>
    <n v="-54"/>
    <n v="9000"/>
  </r>
  <r>
    <x v="24"/>
    <x v="0"/>
    <n v="127234256045"/>
    <n v="5350.02"/>
    <n v="10017609.720000001"/>
    <x v="0"/>
    <m/>
    <m/>
    <n v="0"/>
    <n v="-57"/>
    <n v="-258.77999999999997"/>
    <n v="-34.200000000000003"/>
    <n v="5700"/>
  </r>
  <r>
    <x v="24"/>
    <x v="0"/>
    <n v="127796618374"/>
    <n v="7209.82"/>
    <n v="10024819.539999999"/>
    <x v="0"/>
    <m/>
    <m/>
    <n v="0"/>
    <n v="-74"/>
    <n v="-71.78"/>
    <n v="-44.4"/>
    <n v="7399.9999999999991"/>
  </r>
  <r>
    <x v="24"/>
    <x v="0"/>
    <n v="127234704203"/>
    <n v="26695.82"/>
    <n v="10051515.359999999"/>
    <x v="0"/>
    <m/>
    <m/>
    <n v="0"/>
    <n v="-274"/>
    <n v="-265.77999999999997"/>
    <n v="-164.4"/>
    <n v="27400"/>
  </r>
  <r>
    <x v="24"/>
    <x v="145"/>
    <n v="127234688415"/>
    <n v="2682.46"/>
    <n v="10054197.82"/>
    <x v="0"/>
    <m/>
    <m/>
    <n v="-41.1"/>
    <n v="0"/>
    <n v="0"/>
    <n v="-16.440000000000001"/>
    <n v="2740"/>
  </r>
  <r>
    <x v="24"/>
    <x v="0"/>
    <n v="127799026568"/>
    <n v="8378.98"/>
    <n v="10062576.800000001"/>
    <x v="0"/>
    <m/>
    <m/>
    <n v="0"/>
    <n v="-86"/>
    <n v="-83.42"/>
    <n v="-51.6"/>
    <n v="8600"/>
  </r>
  <r>
    <x v="24"/>
    <x v="0"/>
    <n v="127238351915"/>
    <n v="33126.199999999997"/>
    <n v="10095703"/>
    <x v="0"/>
    <m/>
    <m/>
    <n v="0"/>
    <n v="-340"/>
    <n v="-329.8"/>
    <n v="-204"/>
    <n v="34000"/>
  </r>
  <r>
    <x v="24"/>
    <x v="0"/>
    <n v="127238466519"/>
    <n v="30868.6"/>
    <n v="10126571.6"/>
    <x v="0"/>
    <m/>
    <m/>
    <n v="0"/>
    <n v="-340"/>
    <n v="-2587.4"/>
    <n v="-204"/>
    <n v="34000"/>
  </r>
  <r>
    <x v="24"/>
    <x v="0"/>
    <n v="127800943318"/>
    <n v="36633.68"/>
    <n v="10163205.279999999"/>
    <x v="0"/>
    <m/>
    <m/>
    <n v="0"/>
    <n v="-376"/>
    <n v="-364.72"/>
    <n v="-225.6"/>
    <n v="37600"/>
  </r>
  <r>
    <x v="24"/>
    <x v="0"/>
    <n v="127239227751"/>
    <n v="21917.040000000001"/>
    <n v="10185122.32"/>
    <x v="0"/>
    <m/>
    <m/>
    <n v="0"/>
    <n v="-232"/>
    <n v="-911.76"/>
    <n v="-139.19999999999999"/>
    <n v="23200"/>
  </r>
  <r>
    <x v="24"/>
    <x v="0"/>
    <n v="127239351455"/>
    <n v="22214.04"/>
    <n v="10207336.359999999"/>
    <x v="0"/>
    <m/>
    <m/>
    <n v="0"/>
    <n v="-228"/>
    <n v="-221.16"/>
    <n v="-136.80000000000001"/>
    <n v="22800"/>
  </r>
  <r>
    <x v="24"/>
    <x v="0"/>
    <n v="127239518551"/>
    <n v="22788.29"/>
    <n v="10230124.65"/>
    <x v="0"/>
    <m/>
    <m/>
    <n v="0"/>
    <n v="-251"/>
    <n v="-1910.11"/>
    <n v="-150.6"/>
    <n v="25100"/>
  </r>
  <r>
    <x v="24"/>
    <x v="0"/>
    <n v="127239890865"/>
    <n v="29234.38"/>
    <n v="10259359.029999999"/>
    <x v="0"/>
    <m/>
    <m/>
    <n v="0"/>
    <n v="-322"/>
    <n v="-2450.42"/>
    <n v="-193.2"/>
    <n v="32200.000000000004"/>
  </r>
  <r>
    <x v="24"/>
    <x v="0"/>
    <n v="127802564664"/>
    <n v="7172.41"/>
    <n v="10266531.439999999"/>
    <x v="0"/>
    <m/>
    <m/>
    <n v="0"/>
    <n v="-79"/>
    <n v="-601.19000000000005"/>
    <n v="-47.4"/>
    <n v="7900"/>
  </r>
  <r>
    <x v="24"/>
    <x v="0"/>
    <n v="127803309066"/>
    <n v="72195.63"/>
    <n v="10338727.07"/>
    <x v="0"/>
    <m/>
    <m/>
    <n v="0"/>
    <n v="-741"/>
    <n v="-718.77"/>
    <n v="-444.6"/>
    <n v="74100.000000000015"/>
  </r>
  <r>
    <x v="24"/>
    <x v="0"/>
    <n v="127241451265"/>
    <n v="14419.64"/>
    <n v="10353146.710000001"/>
    <x v="0"/>
    <m/>
    <m/>
    <n v="0"/>
    <n v="-148"/>
    <n v="-143.56"/>
    <n v="-88.8"/>
    <n v="14799.999999999998"/>
  </r>
  <r>
    <x v="24"/>
    <x v="146"/>
    <n v="127803560186"/>
    <n v="724.46"/>
    <n v="10353871.17"/>
    <x v="0"/>
    <m/>
    <m/>
    <n v="-11.1"/>
    <n v="0"/>
    <n v="0"/>
    <n v="-4.4400000000000004"/>
    <n v="740.00000000000011"/>
  </r>
  <r>
    <x v="24"/>
    <x v="0"/>
    <n v="127803525440"/>
    <n v="8281.5499999999993"/>
    <n v="10362152.720000001"/>
    <x v="0"/>
    <m/>
    <m/>
    <n v="0"/>
    <n v="-85"/>
    <n v="-82.45"/>
    <n v="-51"/>
    <n v="8500"/>
  </r>
  <r>
    <x v="24"/>
    <x v="147"/>
    <n v="127803499794"/>
    <n v="416.07"/>
    <n v="10362568.789999999"/>
    <x v="0"/>
    <m/>
    <m/>
    <n v="-6.38"/>
    <n v="0"/>
    <n v="0"/>
    <n v="-2.5499999999999998"/>
    <n v="425"/>
  </r>
  <r>
    <x v="24"/>
    <x v="0"/>
    <n v="127242722135"/>
    <n v="13347.91"/>
    <n v="10375916.699999999"/>
    <x v="0"/>
    <m/>
    <m/>
    <n v="0"/>
    <n v="-137"/>
    <n v="-132.88999999999999"/>
    <n v="-82.2"/>
    <n v="13700"/>
  </r>
  <r>
    <x v="24"/>
    <x v="0"/>
    <n v="127242782269"/>
    <n v="35709.660000000003"/>
    <n v="10411626.359999999"/>
    <x v="0"/>
    <m/>
    <m/>
    <n v="0"/>
    <n v="-378"/>
    <n v="-1485.54"/>
    <n v="-226.8"/>
    <n v="37800.000000000007"/>
  </r>
  <r>
    <x v="24"/>
    <x v="0"/>
    <n v="127804919688"/>
    <n v="4384.3500000000004"/>
    <n v="10416010.710000001"/>
    <x v="0"/>
    <m/>
    <m/>
    <n v="0"/>
    <n v="-45"/>
    <n v="-43.65"/>
    <n v="-27"/>
    <n v="4500"/>
  </r>
  <r>
    <x v="24"/>
    <x v="148"/>
    <n v="127242751977"/>
    <n v="220.27"/>
    <n v="10416230.98"/>
    <x v="0"/>
    <m/>
    <m/>
    <n v="-3.38"/>
    <n v="0"/>
    <n v="0"/>
    <n v="-1.35"/>
    <n v="225"/>
  </r>
  <r>
    <x v="24"/>
    <x v="0"/>
    <n v="127242950363"/>
    <n v="35951.67"/>
    <n v="10452182.65"/>
    <x v="0"/>
    <m/>
    <m/>
    <n v="0"/>
    <n v="-369"/>
    <n v="-357.93"/>
    <n v="-221.4"/>
    <n v="36900"/>
  </r>
  <r>
    <x v="24"/>
    <x v="0"/>
    <n v="127243294621"/>
    <n v="50468.74"/>
    <n v="10502651.390000001"/>
    <x v="0"/>
    <m/>
    <m/>
    <n v="0"/>
    <n v="-518"/>
    <n v="-502.46"/>
    <n v="-310.8"/>
    <n v="51800"/>
  </r>
  <r>
    <x v="24"/>
    <x v="0"/>
    <n v="127243983795"/>
    <n v="17364.099999999999"/>
    <n v="10520015.49"/>
    <x v="0"/>
    <m/>
    <m/>
    <n v="0"/>
    <n v="-185"/>
    <n v="-839.9"/>
    <n v="-111"/>
    <n v="18500"/>
  </r>
  <r>
    <x v="24"/>
    <x v="0"/>
    <n v="127806240328"/>
    <n v="7463.13"/>
    <n v="10527478.619999999"/>
    <x v="0"/>
    <m/>
    <m/>
    <n v="0"/>
    <n v="-79"/>
    <n v="-310.47000000000003"/>
    <n v="-47.4"/>
    <n v="7900"/>
  </r>
  <r>
    <x v="24"/>
    <x v="0"/>
    <n v="127806286920"/>
    <n v="10327.58"/>
    <n v="10537806.199999999"/>
    <x v="0"/>
    <m/>
    <m/>
    <n v="0"/>
    <n v="-106"/>
    <n v="-102.82"/>
    <n v="-63.6"/>
    <n v="10600"/>
  </r>
  <r>
    <x v="24"/>
    <x v="0"/>
    <n v="127806313302"/>
    <n v="27774.18"/>
    <n v="10565580.380000001"/>
    <x v="0"/>
    <m/>
    <m/>
    <n v="0"/>
    <n v="-294"/>
    <n v="-1155.42"/>
    <n v="-176.4"/>
    <n v="29400"/>
  </r>
  <r>
    <x v="24"/>
    <x v="0"/>
    <n v="127244912805"/>
    <n v="9255.85"/>
    <n v="10574836.23"/>
    <x v="0"/>
    <m/>
    <m/>
    <n v="0"/>
    <n v="-95"/>
    <n v="-92.15"/>
    <n v="-57"/>
    <n v="9500"/>
  </r>
  <r>
    <x v="24"/>
    <x v="0"/>
    <n v="127807055040"/>
    <n v="35611.360000000001"/>
    <n v="10610447.59"/>
    <x v="0"/>
    <m/>
    <m/>
    <n v="0"/>
    <n v="-368"/>
    <n v="-599.84"/>
    <n v="-220.8"/>
    <n v="36800"/>
  </r>
  <r>
    <x v="24"/>
    <x v="0"/>
    <n v="127807178114"/>
    <n v="122372.08"/>
    <n v="10732819.67"/>
    <x v="0"/>
    <m/>
    <m/>
    <n v="0"/>
    <n v="-1256"/>
    <n v="-1218.32"/>
    <n v="-753.6"/>
    <n v="125600.00000000001"/>
  </r>
  <r>
    <x v="24"/>
    <x v="0"/>
    <n v="127245029875"/>
    <n v="10522.44"/>
    <n v="10743342.109999999"/>
    <x v="0"/>
    <m/>
    <m/>
    <n v="0"/>
    <n v="-108"/>
    <n v="-104.76"/>
    <n v="-64.8"/>
    <n v="10800"/>
  </r>
  <r>
    <x v="24"/>
    <x v="0"/>
    <n v="127807303014"/>
    <n v="45485.79"/>
    <n v="10788827.9"/>
    <x v="0"/>
    <m/>
    <m/>
    <n v="0"/>
    <n v="-501"/>
    <n v="-3812.61"/>
    <n v="-300.60000000000002"/>
    <n v="50100"/>
  </r>
  <r>
    <x v="24"/>
    <x v="0"/>
    <n v="127807371108"/>
    <n v="9949.16"/>
    <n v="10798777.060000001"/>
    <x v="0"/>
    <m/>
    <m/>
    <n v="0"/>
    <n v="-106"/>
    <n v="-481.24"/>
    <n v="-63.6"/>
    <n v="10600"/>
  </r>
  <r>
    <x v="29"/>
    <x v="0"/>
    <n v="127245659321"/>
    <n v="11204.45"/>
    <n v="10809981.51"/>
    <x v="0"/>
    <m/>
    <m/>
    <n v="0"/>
    <n v="-115"/>
    <n v="-111.55"/>
    <n v="-69"/>
    <n v="11500"/>
  </r>
  <r>
    <x v="29"/>
    <x v="0"/>
    <n v="127807611922"/>
    <n v="38777.14"/>
    <n v="10848758.65"/>
    <x v="0"/>
    <m/>
    <m/>
    <n v="0"/>
    <n v="-398"/>
    <n v="-386.06"/>
    <n v="-238.8"/>
    <n v="39800"/>
  </r>
  <r>
    <x v="29"/>
    <x v="0"/>
    <n v="127246033175"/>
    <n v="8124.42"/>
    <n v="10856883.07"/>
    <x v="0"/>
    <m/>
    <m/>
    <n v="0"/>
    <n v="-86"/>
    <n v="-337.98"/>
    <n v="-51.6"/>
    <n v="8600"/>
  </r>
  <r>
    <x v="29"/>
    <x v="0"/>
    <n v="127808394028"/>
    <n v="59237.440000000002"/>
    <n v="10916120.51"/>
    <x v="0"/>
    <m/>
    <m/>
    <n v="0"/>
    <n v="-608"/>
    <n v="-589.76"/>
    <n v="-364.8"/>
    <n v="60800.000000000007"/>
  </r>
  <r>
    <x v="29"/>
    <x v="0"/>
    <n v="127246970897"/>
    <n v="55563.48"/>
    <n v="10971683.99"/>
    <x v="0"/>
    <m/>
    <m/>
    <n v="0"/>
    <n v="-612"/>
    <n v="-4657.32"/>
    <n v="-367.2"/>
    <n v="61200"/>
  </r>
  <r>
    <x v="29"/>
    <x v="0"/>
    <n v="127246949555"/>
    <n v="70207.28"/>
    <n v="11041891.27"/>
    <x v="0"/>
    <m/>
    <m/>
    <n v="0"/>
    <n v="-748"/>
    <n v="-3395.92"/>
    <n v="-448.8"/>
    <n v="74800"/>
  </r>
  <r>
    <x v="29"/>
    <x v="0"/>
    <n v="127247017257"/>
    <n v="11903.22"/>
    <n v="11053794.49"/>
    <x v="0"/>
    <m/>
    <m/>
    <n v="0"/>
    <n v="-126"/>
    <n v="-495.18"/>
    <n v="-75.599999999999994"/>
    <n v="12600"/>
  </r>
  <r>
    <x v="29"/>
    <x v="0"/>
    <n v="127247172953"/>
    <n v="4871.5"/>
    <n v="11058665.99"/>
    <x v="0"/>
    <m/>
    <m/>
    <n v="0"/>
    <n v="-50"/>
    <n v="-48.5"/>
    <n v="-30"/>
    <n v="5000"/>
  </r>
  <r>
    <x v="29"/>
    <x v="0"/>
    <n v="127809109126"/>
    <n v="43926.48"/>
    <n v="11102592.470000001"/>
    <x v="0"/>
    <m/>
    <m/>
    <n v="0"/>
    <n v="-468"/>
    <n v="-2124.7199999999998"/>
    <n v="-280.8"/>
    <n v="46800.000000000007"/>
  </r>
  <r>
    <x v="29"/>
    <x v="0"/>
    <n v="127809918652"/>
    <n v="65845.59"/>
    <n v="11168438.060000001"/>
    <x v="0"/>
    <m/>
    <m/>
    <n v="0"/>
    <n v="-697"/>
    <n v="-2739.21"/>
    <n v="-418.2"/>
    <n v="69700"/>
  </r>
  <r>
    <x v="29"/>
    <x v="0"/>
    <n v="127810129960"/>
    <n v="4384.3500000000004"/>
    <n v="11172822.41"/>
    <x v="0"/>
    <m/>
    <m/>
    <n v="0"/>
    <n v="-45"/>
    <n v="-43.65"/>
    <n v="-27"/>
    <n v="4500"/>
  </r>
  <r>
    <x v="29"/>
    <x v="0"/>
    <n v="127248087839"/>
    <n v="10327.58"/>
    <n v="11183149.99"/>
    <x v="0"/>
    <m/>
    <m/>
    <n v="0"/>
    <n v="-106"/>
    <n v="-102.82"/>
    <n v="-63.6"/>
    <n v="10600"/>
  </r>
  <r>
    <x v="29"/>
    <x v="0"/>
    <n v="127810283682"/>
    <n v="6722.67"/>
    <n v="11189872.66"/>
    <x v="0"/>
    <m/>
    <m/>
    <n v="0"/>
    <n v="-69"/>
    <n v="-66.930000000000007"/>
    <n v="-41.4"/>
    <n v="6900"/>
  </r>
  <r>
    <x v="29"/>
    <x v="0"/>
    <n v="127810531122"/>
    <n v="6820.1"/>
    <n v="11196692.76"/>
    <x v="0"/>
    <m/>
    <m/>
    <n v="0"/>
    <n v="-70"/>
    <n v="-67.900000000000006"/>
    <n v="-42"/>
    <n v="7000"/>
  </r>
  <r>
    <x v="29"/>
    <x v="0"/>
    <n v="127248587365"/>
    <n v="21350.22"/>
    <n v="11218042.98"/>
    <x v="0"/>
    <m/>
    <m/>
    <n v="0"/>
    <n v="-226"/>
    <n v="-888.18"/>
    <n v="-135.6"/>
    <n v="22600"/>
  </r>
  <r>
    <x v="29"/>
    <x v="0"/>
    <n v="127810660446"/>
    <n v="11009.59"/>
    <n v="11229052.57"/>
    <x v="0"/>
    <m/>
    <m/>
    <n v="0"/>
    <n v="-113"/>
    <n v="-109.61"/>
    <n v="-67.8"/>
    <n v="11300"/>
  </r>
  <r>
    <x v="29"/>
    <x v="0"/>
    <n v="127810601972"/>
    <n v="17537.400000000001"/>
    <n v="11246589.970000001"/>
    <x v="0"/>
    <m/>
    <m/>
    <n v="0"/>
    <n v="-180"/>
    <n v="-174.6"/>
    <n v="-108"/>
    <n v="18000"/>
  </r>
  <r>
    <x v="29"/>
    <x v="149"/>
    <n v="127810671348"/>
    <n v="1762.2"/>
    <n v="11248352.17"/>
    <x v="0"/>
    <m/>
    <m/>
    <n v="-27"/>
    <n v="0"/>
    <n v="0"/>
    <n v="-10.8"/>
    <n v="1800"/>
  </r>
  <r>
    <x v="29"/>
    <x v="0"/>
    <n v="127248792915"/>
    <n v="13131.33"/>
    <n v="11261483.5"/>
    <x v="0"/>
    <m/>
    <m/>
    <n v="0"/>
    <n v="-139"/>
    <n v="-546.27"/>
    <n v="-83.4"/>
    <n v="13900"/>
  </r>
  <r>
    <x v="29"/>
    <x v="0"/>
    <n v="127810724012"/>
    <n v="8974.65"/>
    <n v="11270458.15"/>
    <x v="0"/>
    <m/>
    <m/>
    <n v="0"/>
    <n v="-95"/>
    <n v="-373.35"/>
    <n v="-57"/>
    <n v="9500"/>
  </r>
  <r>
    <x v="29"/>
    <x v="0"/>
    <n v="127248897113"/>
    <n v="36511.54"/>
    <n v="11306969.689999999"/>
    <x v="0"/>
    <m/>
    <m/>
    <n v="0"/>
    <n v="-389"/>
    <n v="-1766.06"/>
    <n v="-233.4"/>
    <n v="38900"/>
  </r>
  <r>
    <x v="29"/>
    <x v="0"/>
    <n v="127248937077"/>
    <n v="112434.22"/>
    <n v="11419403.91"/>
    <x v="0"/>
    <m/>
    <m/>
    <n v="0"/>
    <n v="-1154"/>
    <n v="-1119.3800000000001"/>
    <n v="-692.4"/>
    <n v="115400"/>
  </r>
  <r>
    <x v="29"/>
    <x v="0"/>
    <n v="127811071464"/>
    <n v="23188.34"/>
    <n v="11442592.25"/>
    <x v="0"/>
    <m/>
    <m/>
    <n v="0"/>
    <n v="-238"/>
    <n v="-230.86"/>
    <n v="-142.80000000000001"/>
    <n v="23800"/>
  </r>
  <r>
    <x v="29"/>
    <x v="0"/>
    <n v="127811111728"/>
    <n v="8916.7000000000007"/>
    <n v="11451508.949999999"/>
    <x v="0"/>
    <m/>
    <m/>
    <n v="0"/>
    <n v="-95"/>
    <n v="-431.3"/>
    <n v="-57"/>
    <n v="9500"/>
  </r>
  <r>
    <x v="29"/>
    <x v="0"/>
    <n v="127811226742"/>
    <n v="9255.85"/>
    <n v="11460764.800000001"/>
    <x v="0"/>
    <m/>
    <m/>
    <n v="0"/>
    <n v="-95"/>
    <n v="-92.15"/>
    <n v="-57"/>
    <n v="9500"/>
  </r>
  <r>
    <x v="29"/>
    <x v="0"/>
    <n v="127811499056"/>
    <n v="9743"/>
    <n v="11470507.800000001"/>
    <x v="0"/>
    <m/>
    <m/>
    <n v="0"/>
    <n v="-100"/>
    <n v="-97"/>
    <n v="-60"/>
    <n v="10000"/>
  </r>
  <r>
    <x v="29"/>
    <x v="0"/>
    <n v="127250134163"/>
    <n v="216474.49"/>
    <n v="11686982.289999999"/>
    <x v="0"/>
    <m/>
    <m/>
    <n v="0"/>
    <n v="-2237"/>
    <n v="-3646.31"/>
    <n v="-1342.2"/>
    <n v="223700"/>
  </r>
  <r>
    <x v="29"/>
    <x v="0"/>
    <n v="127812138404"/>
    <n v="22506.33"/>
    <n v="11709488.619999999"/>
    <x v="0"/>
    <m/>
    <m/>
    <n v="0"/>
    <n v="-231"/>
    <n v="-224.07"/>
    <n v="-138.6"/>
    <n v="23100"/>
  </r>
  <r>
    <x v="29"/>
    <x v="150"/>
    <n v="127250089189"/>
    <n v="1130.74"/>
    <n v="11710619.359999999"/>
    <x v="0"/>
    <m/>
    <m/>
    <n v="-17.329999999999998"/>
    <n v="0"/>
    <n v="0"/>
    <n v="-6.93"/>
    <n v="1155"/>
  </r>
  <r>
    <x v="29"/>
    <x v="0"/>
    <n v="127250308065"/>
    <n v="16050.06"/>
    <n v="11726669.42"/>
    <x v="0"/>
    <m/>
    <m/>
    <n v="0"/>
    <n v="-171"/>
    <n v="-776.34"/>
    <n v="-102.6"/>
    <n v="17099.999999999996"/>
  </r>
  <r>
    <x v="29"/>
    <x v="0"/>
    <n v="127812503352"/>
    <n v="4411.42"/>
    <n v="11731080.84"/>
    <x v="0"/>
    <m/>
    <m/>
    <n v="0"/>
    <n v="-47"/>
    <n v="-213.38"/>
    <n v="-28.2"/>
    <n v="4700"/>
  </r>
  <r>
    <x v="29"/>
    <x v="0"/>
    <n v="127812707210"/>
    <n v="19486"/>
    <n v="11750566.84"/>
    <x v="0"/>
    <m/>
    <m/>
    <n v="0"/>
    <n v="-200"/>
    <n v="-194"/>
    <n v="-120"/>
    <n v="20000"/>
  </r>
  <r>
    <x v="29"/>
    <x v="0"/>
    <n v="127812796320"/>
    <n v="5163.79"/>
    <n v="11755730.630000001"/>
    <x v="0"/>
    <m/>
    <m/>
    <n v="0"/>
    <n v="-53"/>
    <n v="-51.41"/>
    <n v="-31.8"/>
    <n v="5300"/>
  </r>
  <r>
    <x v="29"/>
    <x v="0"/>
    <n v="127251212637"/>
    <n v="4579.21"/>
    <n v="11760309.84"/>
    <x v="0"/>
    <m/>
    <m/>
    <n v="0"/>
    <n v="-47"/>
    <n v="-45.59"/>
    <n v="-28.2"/>
    <n v="4700"/>
  </r>
  <r>
    <x v="29"/>
    <x v="0"/>
    <n v="127813504204"/>
    <n v="19778.29"/>
    <n v="11780088.130000001"/>
    <x v="0"/>
    <m/>
    <m/>
    <n v="0"/>
    <n v="-203"/>
    <n v="-196.91"/>
    <n v="-121.8"/>
    <n v="20300"/>
  </r>
  <r>
    <x v="29"/>
    <x v="0"/>
    <n v="127813395904"/>
    <n v="8281.5499999999993"/>
    <n v="11788369.68"/>
    <x v="0"/>
    <m/>
    <m/>
    <n v="0"/>
    <n v="-85"/>
    <n v="-82.45"/>
    <n v="-51"/>
    <n v="8500"/>
  </r>
  <r>
    <x v="29"/>
    <x v="151"/>
    <n v="127813504838"/>
    <n v="832.15"/>
    <n v="11789201.83"/>
    <x v="0"/>
    <m/>
    <m/>
    <n v="-12.75"/>
    <n v="0"/>
    <n v="0"/>
    <n v="-5.0999999999999996"/>
    <n v="850"/>
  </r>
  <r>
    <x v="29"/>
    <x v="0"/>
    <n v="127251614945"/>
    <n v="20850.02"/>
    <n v="11810051.85"/>
    <x v="0"/>
    <m/>
    <m/>
    <n v="0"/>
    <n v="-214"/>
    <n v="-207.58"/>
    <n v="-128.4"/>
    <n v="21400.000000000004"/>
  </r>
  <r>
    <x v="29"/>
    <x v="0"/>
    <n v="127251757799"/>
    <n v="14127.35"/>
    <n v="11824179.199999999"/>
    <x v="0"/>
    <m/>
    <m/>
    <n v="0"/>
    <n v="-145"/>
    <n v="-140.65"/>
    <n v="-87"/>
    <n v="14500"/>
  </r>
  <r>
    <x v="29"/>
    <x v="0"/>
    <n v="127813895138"/>
    <n v="22214.04"/>
    <n v="11846393.24"/>
    <x v="0"/>
    <m/>
    <m/>
    <n v="0"/>
    <n v="-228"/>
    <n v="-221.16"/>
    <n v="-136.80000000000001"/>
    <n v="22800"/>
  </r>
  <r>
    <x v="29"/>
    <x v="0"/>
    <n v="127813946890"/>
    <n v="112125.65"/>
    <n v="11958518.890000001"/>
    <x v="0"/>
    <m/>
    <m/>
    <n v="0"/>
    <n v="-1235"/>
    <n v="-9398.35"/>
    <n v="-741"/>
    <n v="123500"/>
  </r>
  <r>
    <x v="29"/>
    <x v="152"/>
    <n v="127251920723"/>
    <n v="12090.65"/>
    <n v="11970609.539999999"/>
    <x v="0"/>
    <m/>
    <m/>
    <n v="-185.25"/>
    <n v="0"/>
    <n v="0"/>
    <n v="-74.099999999999994"/>
    <n v="12350"/>
  </r>
  <r>
    <x v="29"/>
    <x v="0"/>
    <n v="127813968884"/>
    <n v="18121.98"/>
    <n v="11988731.52"/>
    <x v="0"/>
    <m/>
    <m/>
    <n v="0"/>
    <n v="-186"/>
    <n v="-180.42"/>
    <n v="-111.6"/>
    <n v="18599.999999999996"/>
  </r>
  <r>
    <x v="29"/>
    <x v="0"/>
    <n v="127814011646"/>
    <n v="10912.16"/>
    <n v="11999643.68"/>
    <x v="0"/>
    <m/>
    <m/>
    <n v="0"/>
    <n v="-112"/>
    <n v="-108.64"/>
    <n v="-67.2"/>
    <n v="11200"/>
  </r>
  <r>
    <x v="29"/>
    <x v="0"/>
    <n v="127814092122"/>
    <n v="12958.19"/>
    <n v="12012601.869999999"/>
    <x v="0"/>
    <m/>
    <m/>
    <n v="0"/>
    <n v="-133"/>
    <n v="-129.01"/>
    <n v="-79.8"/>
    <n v="13300"/>
  </r>
  <r>
    <x v="29"/>
    <x v="0"/>
    <n v="127252116403"/>
    <n v="4579.21"/>
    <n v="12017181.08"/>
    <x v="0"/>
    <m/>
    <m/>
    <n v="0"/>
    <n v="-47"/>
    <n v="-45.59"/>
    <n v="-28.2"/>
    <n v="4700"/>
  </r>
  <r>
    <x v="29"/>
    <x v="0"/>
    <n v="127252236479"/>
    <n v="22879.08"/>
    <n v="12040060.16"/>
    <x v="0"/>
    <m/>
    <m/>
    <n v="0"/>
    <n v="-252"/>
    <n v="-1917.72"/>
    <n v="-151.19999999999999"/>
    <n v="25200.000000000004"/>
  </r>
  <r>
    <x v="29"/>
    <x v="0"/>
    <n v="127814176098"/>
    <n v="19680.86"/>
    <n v="12059741.02"/>
    <x v="0"/>
    <m/>
    <m/>
    <n v="0"/>
    <n v="-202"/>
    <n v="-195.94"/>
    <n v="-121.2"/>
    <n v="20200"/>
  </r>
  <r>
    <x v="29"/>
    <x v="153"/>
    <n v="127252239517"/>
    <n v="988.79"/>
    <n v="12060729.810000001"/>
    <x v="0"/>
    <m/>
    <m/>
    <n v="-15.15"/>
    <n v="0"/>
    <n v="0"/>
    <n v="-6.06"/>
    <n v="1009.9999999999999"/>
  </r>
  <r>
    <x v="29"/>
    <x v="0"/>
    <n v="127814289146"/>
    <n v="14526.4"/>
    <n v="12075256.210000001"/>
    <x v="0"/>
    <m/>
    <m/>
    <n v="0"/>
    <n v="-160"/>
    <n v="-1217.5999999999999"/>
    <n v="-96"/>
    <n v="16000"/>
  </r>
  <r>
    <x v="29"/>
    <x v="1"/>
    <n v="127252261571"/>
    <n v="783.2"/>
    <n v="12076039.41"/>
    <x v="0"/>
    <m/>
    <m/>
    <n v="-12"/>
    <n v="0"/>
    <n v="0"/>
    <n v="-4.8"/>
    <n v="800"/>
  </r>
  <r>
    <x v="29"/>
    <x v="0"/>
    <n v="127870626052"/>
    <n v="9158.42"/>
    <n v="12085197.83"/>
    <x v="0"/>
    <m/>
    <m/>
    <n v="0"/>
    <n v="-94"/>
    <n v="-91.18"/>
    <n v="-56.4"/>
    <n v="9400"/>
  </r>
  <r>
    <x v="29"/>
    <x v="0"/>
    <n v="127873552906"/>
    <n v="9158.42"/>
    <n v="12094356.25"/>
    <x v="0"/>
    <m/>
    <m/>
    <n v="0"/>
    <n v="-94"/>
    <n v="-91.18"/>
    <n v="-56.4"/>
    <n v="9400"/>
  </r>
  <r>
    <x v="29"/>
    <x v="0"/>
    <n v="127876039514"/>
    <n v="7404.68"/>
    <n v="12101760.93"/>
    <x v="0"/>
    <m/>
    <m/>
    <n v="0"/>
    <n v="-76"/>
    <n v="-73.72"/>
    <n v="-45.6"/>
    <n v="7600.0000000000009"/>
  </r>
  <r>
    <x v="29"/>
    <x v="154"/>
    <n v="127876057264"/>
    <n v="372.02"/>
    <n v="12102132.949999999"/>
    <x v="0"/>
    <m/>
    <m/>
    <n v="-5.7"/>
    <n v="0"/>
    <n v="0"/>
    <n v="-2.2799999999999998"/>
    <n v="379.99999999999994"/>
  </r>
  <r>
    <x v="29"/>
    <x v="0"/>
    <n v="127315514443"/>
    <n v="6757.92"/>
    <n v="12108890.869999999"/>
    <x v="0"/>
    <m/>
    <m/>
    <n v="0"/>
    <n v="-72"/>
    <n v="-326.88"/>
    <n v="-43.2"/>
    <n v="7200"/>
  </r>
  <r>
    <x v="29"/>
    <x v="0"/>
    <n v="127878828956"/>
    <n v="3897.2"/>
    <n v="12112788.07"/>
    <x v="0"/>
    <m/>
    <m/>
    <n v="0"/>
    <n v="-40"/>
    <n v="-38.799999999999997"/>
    <n v="-24"/>
    <n v="4000"/>
  </r>
  <r>
    <x v="29"/>
    <x v="0"/>
    <n v="127317375181"/>
    <n v="1997.38"/>
    <n v="12114785.449999999"/>
    <x v="0"/>
    <m/>
    <m/>
    <n v="0"/>
    <n v="-22"/>
    <n v="-167.42"/>
    <n v="-13.2"/>
    <n v="2200"/>
  </r>
  <r>
    <x v="29"/>
    <x v="0"/>
    <n v="127880430416"/>
    <n v="13698.15"/>
    <n v="12128483.6"/>
    <x v="0"/>
    <m/>
    <m/>
    <n v="0"/>
    <n v="-145"/>
    <n v="-569.85"/>
    <n v="-87"/>
    <n v="14500"/>
  </r>
  <r>
    <x v="29"/>
    <x v="0"/>
    <n v="127317995411"/>
    <n v="12858.82"/>
    <n v="12141342.42"/>
    <x v="0"/>
    <m/>
    <m/>
    <n v="0"/>
    <n v="-137"/>
    <n v="-621.98"/>
    <n v="-82.2"/>
    <n v="13700"/>
  </r>
  <r>
    <x v="29"/>
    <x v="0"/>
    <n v="127880854096"/>
    <n v="40159.550000000003"/>
    <n v="12181501.970000001"/>
    <x v="0"/>
    <m/>
    <m/>
    <n v="0"/>
    <n v="-415"/>
    <n v="-676.45"/>
    <n v="-249"/>
    <n v="41500"/>
  </r>
  <r>
    <x v="29"/>
    <x v="0"/>
    <n v="127881631044"/>
    <n v="7014.96"/>
    <n v="12188516.93"/>
    <x v="0"/>
    <m/>
    <m/>
    <n v="0"/>
    <n v="-72"/>
    <n v="-69.84"/>
    <n v="-43.2"/>
    <n v="7200"/>
  </r>
  <r>
    <x v="29"/>
    <x v="0"/>
    <n v="127319553663"/>
    <n v="31504.13"/>
    <n v="12220021.060000001"/>
    <x v="0"/>
    <m/>
    <m/>
    <n v="0"/>
    <n v="-347"/>
    <n v="-2640.67"/>
    <n v="-208.2"/>
    <n v="34700"/>
  </r>
  <r>
    <x v="29"/>
    <x v="0"/>
    <n v="127319914109"/>
    <n v="44873.25"/>
    <n v="12264894.310000001"/>
    <x v="0"/>
    <m/>
    <m/>
    <n v="0"/>
    <n v="-475"/>
    <n v="-1866.75"/>
    <n v="-285"/>
    <n v="47500"/>
  </r>
  <r>
    <x v="29"/>
    <x v="0"/>
    <n v="127321523307"/>
    <n v="60460.800000000003"/>
    <n v="12325355.109999999"/>
    <x v="0"/>
    <m/>
    <m/>
    <n v="0"/>
    <n v="-640"/>
    <n v="-2515.1999999999998"/>
    <n v="-384"/>
    <n v="64000"/>
  </r>
  <r>
    <x v="29"/>
    <x v="0"/>
    <n v="127321838171"/>
    <n v="8768.7000000000007"/>
    <n v="12334123.810000001"/>
    <x v="0"/>
    <m/>
    <m/>
    <n v="0"/>
    <n v="-90"/>
    <n v="-87.3"/>
    <n v="-54"/>
    <n v="9000"/>
  </r>
  <r>
    <x v="29"/>
    <x v="0"/>
    <n v="127886300768"/>
    <n v="5163.79"/>
    <n v="12339287.6"/>
    <x v="0"/>
    <m/>
    <m/>
    <n v="0"/>
    <n v="-53"/>
    <n v="-51.41"/>
    <n v="-31.8"/>
    <n v="5300"/>
  </r>
  <r>
    <x v="29"/>
    <x v="155"/>
    <n v="127323985443"/>
    <n v="259.43"/>
    <n v="12339547.029999999"/>
    <x v="0"/>
    <m/>
    <m/>
    <n v="-3.98"/>
    <n v="0"/>
    <n v="0"/>
    <n v="-1.59"/>
    <n v="265"/>
  </r>
  <r>
    <x v="29"/>
    <x v="0"/>
    <n v="127886596694"/>
    <n v="17147.68"/>
    <n v="12356694.710000001"/>
    <x v="0"/>
    <m/>
    <m/>
    <n v="0"/>
    <n v="-176"/>
    <n v="-170.72"/>
    <n v="-105.6"/>
    <n v="17600"/>
  </r>
  <r>
    <x v="29"/>
    <x v="0"/>
    <n v="127886777148"/>
    <n v="72780.210000000006"/>
    <n v="12429474.92"/>
    <x v="0"/>
    <m/>
    <m/>
    <n v="0"/>
    <n v="-747"/>
    <n v="-724.59"/>
    <n v="-448.2"/>
    <n v="74700"/>
  </r>
  <r>
    <x v="29"/>
    <x v="0"/>
    <n v="127324806483"/>
    <n v="26013.81"/>
    <n v="12455488.73"/>
    <x v="0"/>
    <m/>
    <m/>
    <n v="0"/>
    <n v="-267"/>
    <n v="-258.99"/>
    <n v="-160.19999999999999"/>
    <n v="26700.000000000004"/>
  </r>
  <r>
    <x v="29"/>
    <x v="156"/>
    <n v="127887318326"/>
    <n v="1306.96"/>
    <n v="12456795.689999999"/>
    <x v="0"/>
    <m/>
    <m/>
    <n v="-20.03"/>
    <n v="0"/>
    <n v="0"/>
    <n v="-8.01"/>
    <n v="1335"/>
  </r>
  <r>
    <x v="29"/>
    <x v="0"/>
    <n v="127887369754"/>
    <n v="22606.71"/>
    <n v="12479402.4"/>
    <x v="0"/>
    <m/>
    <m/>
    <n v="0"/>
    <n v="-249"/>
    <n v="-1894.89"/>
    <n v="-149.4"/>
    <n v="24900"/>
  </r>
  <r>
    <x v="29"/>
    <x v="0"/>
    <n v="127887531604"/>
    <n v="45694.67"/>
    <n v="12525097.07"/>
    <x v="0"/>
    <m/>
    <m/>
    <n v="0"/>
    <n v="-469"/>
    <n v="-454.93"/>
    <n v="-281.39999999999998"/>
    <n v="46900"/>
  </r>
  <r>
    <x v="29"/>
    <x v="0"/>
    <n v="127327134359"/>
    <n v="4579.21"/>
    <n v="12529676.279999999"/>
    <x v="0"/>
    <m/>
    <m/>
    <n v="0"/>
    <n v="-47"/>
    <n v="-45.59"/>
    <n v="-28.2"/>
    <n v="4700"/>
  </r>
  <r>
    <x v="29"/>
    <x v="0"/>
    <n v="127890550192"/>
    <n v="5358.65"/>
    <n v="12535034.93"/>
    <x v="0"/>
    <m/>
    <m/>
    <n v="0"/>
    <n v="-55"/>
    <n v="-53.35"/>
    <n v="-33"/>
    <n v="5500"/>
  </r>
  <r>
    <x v="29"/>
    <x v="0"/>
    <n v="127328690661"/>
    <n v="25136.94"/>
    <n v="12560171.869999999"/>
    <x v="0"/>
    <m/>
    <m/>
    <n v="0"/>
    <n v="-258"/>
    <n v="-250.26"/>
    <n v="-154.80000000000001"/>
    <n v="25799.999999999996"/>
  </r>
  <r>
    <x v="29"/>
    <x v="0"/>
    <n v="127891287160"/>
    <n v="29758.05"/>
    <n v="12589929.92"/>
    <x v="0"/>
    <m/>
    <m/>
    <n v="0"/>
    <n v="-315"/>
    <n v="-1237.95"/>
    <n v="-189"/>
    <n v="31500"/>
  </r>
  <r>
    <x v="29"/>
    <x v="0"/>
    <n v="127328855521"/>
    <n v="30868.6"/>
    <n v="12620798.52"/>
    <x v="0"/>
    <m/>
    <m/>
    <n v="0"/>
    <n v="-340"/>
    <n v="-2587.4"/>
    <n v="-204"/>
    <n v="34000"/>
  </r>
  <r>
    <x v="29"/>
    <x v="0"/>
    <n v="127329293865"/>
    <n v="35237.31"/>
    <n v="12656035.83"/>
    <x v="0"/>
    <m/>
    <m/>
    <n v="0"/>
    <n v="-373"/>
    <n v="-1465.89"/>
    <n v="-223.8"/>
    <n v="37300"/>
  </r>
  <r>
    <x v="29"/>
    <x v="0"/>
    <n v="127891727240"/>
    <n v="33321.06"/>
    <n v="12689356.890000001"/>
    <x v="0"/>
    <m/>
    <m/>
    <n v="0"/>
    <n v="-342"/>
    <n v="-331.74"/>
    <n v="-205.2"/>
    <n v="34199.999999999993"/>
  </r>
  <r>
    <x v="29"/>
    <x v="0"/>
    <n v="127329483271"/>
    <n v="39677.4"/>
    <n v="12729034.289999999"/>
    <x v="0"/>
    <m/>
    <m/>
    <n v="0"/>
    <n v="-420"/>
    <n v="-1650.6"/>
    <n v="-252"/>
    <n v="42000"/>
  </r>
  <r>
    <x v="29"/>
    <x v="0"/>
    <n v="127891938390"/>
    <n v="32249.33"/>
    <n v="12761283.619999999"/>
    <x v="0"/>
    <m/>
    <m/>
    <n v="0"/>
    <n v="-331"/>
    <n v="-321.07"/>
    <n v="-198.6"/>
    <n v="33100"/>
  </r>
  <r>
    <x v="29"/>
    <x v="0"/>
    <n v="127329669179"/>
    <n v="26783.05"/>
    <n v="12788066.67"/>
    <x v="0"/>
    <m/>
    <m/>
    <n v="0"/>
    <n v="-295"/>
    <n v="-2244.9499999999998"/>
    <n v="-177"/>
    <n v="29500"/>
  </r>
  <r>
    <x v="29"/>
    <x v="0"/>
    <n v="127330733001"/>
    <n v="35464.519999999997"/>
    <n v="12823531.189999999"/>
    <x v="0"/>
    <m/>
    <m/>
    <n v="0"/>
    <n v="-364"/>
    <n v="-353.08"/>
    <n v="-218.4"/>
    <n v="36400"/>
  </r>
  <r>
    <x v="29"/>
    <x v="0"/>
    <n v="127893248554"/>
    <n v="22105.98"/>
    <n v="12845637.17"/>
    <x v="0"/>
    <m/>
    <m/>
    <n v="0"/>
    <n v="-234"/>
    <n v="-919.62"/>
    <n v="-140.4"/>
    <n v="23400"/>
  </r>
  <r>
    <x v="29"/>
    <x v="0"/>
    <n v="127330998645"/>
    <n v="37485.699999999997"/>
    <n v="12883122.869999999"/>
    <x v="0"/>
    <m/>
    <m/>
    <n v="0"/>
    <n v="-396.8"/>
    <n v="-1559.42"/>
    <n v="-238.08"/>
    <n v="39680"/>
  </r>
  <r>
    <x v="29"/>
    <x v="0"/>
    <n v="127331234613"/>
    <n v="35074.800000000003"/>
    <n v="12918197.67"/>
    <x v="0"/>
    <m/>
    <m/>
    <n v="0"/>
    <n v="-360"/>
    <n v="-349.2"/>
    <n v="-216"/>
    <n v="36000"/>
  </r>
  <r>
    <x v="29"/>
    <x v="157"/>
    <n v="127331112049"/>
    <n v="3524.4"/>
    <n v="12921722.07"/>
    <x v="0"/>
    <m/>
    <m/>
    <n v="-54"/>
    <n v="0"/>
    <n v="0"/>
    <n v="-21.6"/>
    <n v="3600"/>
  </r>
  <r>
    <x v="29"/>
    <x v="0"/>
    <n v="127331380259"/>
    <n v="34197.93"/>
    <n v="12955920"/>
    <x v="0"/>
    <m/>
    <m/>
    <n v="0"/>
    <n v="-351"/>
    <n v="-340.47"/>
    <n v="-210.6"/>
    <n v="35100"/>
  </r>
  <r>
    <x v="29"/>
    <x v="0"/>
    <n v="127331363373"/>
    <n v="73169.929999999993"/>
    <n v="13029089.93"/>
    <x v="0"/>
    <m/>
    <m/>
    <n v="0"/>
    <n v="-751"/>
    <n v="-728.47"/>
    <n v="-450.6"/>
    <n v="75100"/>
  </r>
  <r>
    <x v="29"/>
    <x v="158"/>
    <n v="127331388995"/>
    <n v="7352.29"/>
    <n v="13036442.220000001"/>
    <x v="0"/>
    <m/>
    <m/>
    <n v="-112.65"/>
    <n v="0"/>
    <n v="0"/>
    <n v="-45.06"/>
    <n v="7510"/>
  </r>
  <r>
    <x v="29"/>
    <x v="0"/>
    <n v="127331361971"/>
    <n v="31413.34"/>
    <n v="13067855.560000001"/>
    <x v="0"/>
    <m/>
    <m/>
    <n v="0"/>
    <n v="-346"/>
    <n v="-2633.06"/>
    <n v="-207.6"/>
    <n v="34600"/>
  </r>
  <r>
    <x v="29"/>
    <x v="0"/>
    <n v="127894050264"/>
    <n v="51443.040000000001"/>
    <n v="13119298.6"/>
    <x v="0"/>
    <m/>
    <m/>
    <n v="0"/>
    <n v="-528"/>
    <n v="-512.16"/>
    <n v="-316.8"/>
    <n v="52800.000000000007"/>
  </r>
  <r>
    <x v="26"/>
    <x v="138"/>
    <n v="128058002836"/>
    <n v="-216466.05"/>
    <n v="11648454.140000001"/>
    <x v="1"/>
    <n v="-215175"/>
    <n v="-1291.0499999999884"/>
    <n v="0"/>
    <n v="0"/>
    <n v="0"/>
    <n v="-1291.0499999999884"/>
    <n v="-215175"/>
  </r>
  <r>
    <x v="9"/>
    <x v="159"/>
    <n v="124618927966"/>
    <n v="-84294.94"/>
    <n v="9758405.3000000007"/>
    <x v="1"/>
    <n v="-83792.186878727633"/>
    <n v="-502.75312127236975"/>
    <n v="0"/>
    <n v="0"/>
    <n v="0"/>
    <m/>
    <n v="-84294.94"/>
  </r>
  <r>
    <x v="9"/>
    <x v="159"/>
    <n v="124624594370"/>
    <n v="-215724.16"/>
    <n v="9542175.3699999992"/>
    <x v="1"/>
    <n v="-214437.53479125249"/>
    <n v="-1286.625208747515"/>
    <n v="0"/>
    <n v="0"/>
    <n v="0"/>
    <m/>
    <n v="-215724.16"/>
  </r>
  <r>
    <x v="7"/>
    <x v="0"/>
    <n v="127894055512"/>
    <n v="9743"/>
    <n v="13129041.6"/>
    <x v="0"/>
    <m/>
    <m/>
    <n v="0"/>
    <n v="-100"/>
    <n v="-97"/>
    <n v="-60"/>
    <n v="10000"/>
  </r>
  <r>
    <x v="7"/>
    <x v="0"/>
    <n v="127894447792"/>
    <n v="8029.95"/>
    <n v="13137071.550000001"/>
    <x v="0"/>
    <m/>
    <m/>
    <n v="0"/>
    <n v="-85"/>
    <n v="-334.05"/>
    <n v="-51"/>
    <n v="8500"/>
  </r>
  <r>
    <x v="7"/>
    <x v="0"/>
    <n v="127894737706"/>
    <n v="23578.06"/>
    <n v="13160649.609999999"/>
    <x v="0"/>
    <m/>
    <m/>
    <n v="0"/>
    <n v="-242"/>
    <n v="-234.74"/>
    <n v="-145.19999999999999"/>
    <n v="24200.000000000004"/>
  </r>
  <r>
    <x v="7"/>
    <x v="0"/>
    <n v="127332392351"/>
    <n v="95509.17"/>
    <n v="13256158.779999999"/>
    <x v="0"/>
    <m/>
    <m/>
    <n v="0"/>
    <n v="-1011"/>
    <n v="-3973.23"/>
    <n v="-606.6"/>
    <n v="101100"/>
  </r>
  <r>
    <x v="7"/>
    <x v="0"/>
    <n v="127894833394"/>
    <n v="26403.53"/>
    <n v="13282562.310000001"/>
    <x v="0"/>
    <m/>
    <m/>
    <n v="0"/>
    <n v="-271"/>
    <n v="-262.87"/>
    <n v="-162.6"/>
    <n v="27099.999999999996"/>
  </r>
  <r>
    <x v="7"/>
    <x v="0"/>
    <n v="127332484489"/>
    <n v="25317.96"/>
    <n v="13307880.27"/>
    <x v="0"/>
    <m/>
    <m/>
    <n v="0"/>
    <n v="-268"/>
    <n v="-1053.24"/>
    <n v="-160.80000000000001"/>
    <n v="26800"/>
  </r>
  <r>
    <x v="7"/>
    <x v="0"/>
    <n v="127894879810"/>
    <n v="48325.279999999999"/>
    <n v="13356205.550000001"/>
    <x v="0"/>
    <m/>
    <m/>
    <n v="0"/>
    <n v="-496"/>
    <n v="-481.12"/>
    <n v="-297.60000000000002"/>
    <n v="49600"/>
  </r>
  <r>
    <x v="7"/>
    <x v="0"/>
    <n v="127332445685"/>
    <n v="62539.14"/>
    <n v="13418744.689999999"/>
    <x v="0"/>
    <m/>
    <m/>
    <n v="0"/>
    <n v="-662"/>
    <n v="-2601.66"/>
    <n v="-397.2"/>
    <n v="66200"/>
  </r>
  <r>
    <x v="7"/>
    <x v="0"/>
    <n v="127895243454"/>
    <n v="9447"/>
    <n v="13428191.689999999"/>
    <x v="0"/>
    <m/>
    <m/>
    <n v="0"/>
    <n v="-100"/>
    <n v="-393"/>
    <n v="-60"/>
    <n v="10000"/>
  </r>
  <r>
    <x v="7"/>
    <x v="0"/>
    <n v="127895360758"/>
    <n v="30593.02"/>
    <n v="13458784.710000001"/>
    <x v="0"/>
    <m/>
    <m/>
    <n v="0"/>
    <n v="-314"/>
    <n v="-304.58"/>
    <n v="-188.4"/>
    <n v="31400.000000000004"/>
  </r>
  <r>
    <x v="7"/>
    <x v="0"/>
    <n v="127895269884"/>
    <n v="83417.009999999995"/>
    <n v="13542201.720000001"/>
    <x v="0"/>
    <m/>
    <m/>
    <n v="0"/>
    <n v="-883"/>
    <n v="-3470.19"/>
    <n v="-529.79999999999995"/>
    <n v="88300"/>
  </r>
  <r>
    <x v="7"/>
    <x v="0"/>
    <n v="127333073127"/>
    <n v="27767.55"/>
    <n v="13569969.27"/>
    <x v="0"/>
    <m/>
    <m/>
    <n v="0"/>
    <n v="-285"/>
    <n v="-276.45"/>
    <n v="-171"/>
    <n v="28500"/>
  </r>
  <r>
    <x v="7"/>
    <x v="0"/>
    <n v="127895917768"/>
    <n v="10064.08"/>
    <n v="13580033.35"/>
    <x v="0"/>
    <m/>
    <m/>
    <n v="0"/>
    <n v="-104"/>
    <n v="-169.52"/>
    <n v="-62.4"/>
    <n v="10400"/>
  </r>
  <r>
    <x v="7"/>
    <x v="0"/>
    <n v="127334214297"/>
    <n v="37705.410000000003"/>
    <n v="13617738.76"/>
    <x v="0"/>
    <m/>
    <m/>
    <n v="0"/>
    <n v="-387"/>
    <n v="-375.39"/>
    <n v="-232.2"/>
    <n v="38700"/>
  </r>
  <r>
    <x v="7"/>
    <x v="0"/>
    <n v="127334292265"/>
    <n v="48032.99"/>
    <n v="13665771.75"/>
    <x v="0"/>
    <m/>
    <m/>
    <n v="0"/>
    <n v="-493"/>
    <n v="-478.21"/>
    <n v="-295.8"/>
    <n v="49300"/>
  </r>
  <r>
    <x v="7"/>
    <x v="160"/>
    <n v="127896570932"/>
    <n v="2413.23"/>
    <n v="13668184.98"/>
    <x v="0"/>
    <m/>
    <m/>
    <n v="-36.979999999999997"/>
    <n v="0"/>
    <n v="0"/>
    <n v="-14.79"/>
    <n v="2465"/>
  </r>
  <r>
    <x v="7"/>
    <x v="0"/>
    <n v="127334832777"/>
    <n v="19156.689999999999"/>
    <n v="13687341.67"/>
    <x v="0"/>
    <m/>
    <m/>
    <n v="0"/>
    <n v="-211"/>
    <n v="-1605.71"/>
    <n v="-126.6"/>
    <n v="21099.999999999996"/>
  </r>
  <r>
    <x v="7"/>
    <x v="0"/>
    <n v="127897506320"/>
    <n v="9447"/>
    <n v="13696788.67"/>
    <x v="0"/>
    <m/>
    <m/>
    <n v="0"/>
    <n v="-100"/>
    <n v="-393"/>
    <n v="-60"/>
    <n v="10000"/>
  </r>
  <r>
    <x v="7"/>
    <x v="0"/>
    <n v="127898260894"/>
    <n v="8768.7000000000007"/>
    <n v="13705557.369999999"/>
    <x v="0"/>
    <m/>
    <m/>
    <n v="0"/>
    <n v="-90"/>
    <n v="-87.3"/>
    <n v="-54"/>
    <n v="9000"/>
  </r>
  <r>
    <x v="7"/>
    <x v="161"/>
    <n v="127335749687"/>
    <n v="440.55"/>
    <n v="13705997.92"/>
    <x v="0"/>
    <m/>
    <m/>
    <n v="-6.75"/>
    <n v="0"/>
    <n v="0"/>
    <n v="-2.7"/>
    <n v="450"/>
  </r>
  <r>
    <x v="7"/>
    <x v="0"/>
    <n v="127898519072"/>
    <n v="22896.05"/>
    <n v="13728893.970000001"/>
    <x v="0"/>
    <m/>
    <m/>
    <n v="0"/>
    <n v="-235"/>
    <n v="-227.95"/>
    <n v="-141"/>
    <n v="23500"/>
  </r>
  <r>
    <x v="7"/>
    <x v="0"/>
    <n v="127898594082"/>
    <n v="36049.1"/>
    <n v="13764943.07"/>
    <x v="0"/>
    <m/>
    <m/>
    <n v="0"/>
    <n v="-370"/>
    <n v="-358.9"/>
    <n v="-222"/>
    <n v="37000"/>
  </r>
  <r>
    <x v="10"/>
    <x v="159"/>
    <n v="124167213727"/>
    <n v="-107615.09"/>
    <n v="9433265.9399999995"/>
    <x v="1"/>
    <n v="-106973.25049701789"/>
    <n v="-641.8395029821113"/>
    <n v="0"/>
    <n v="0"/>
    <n v="0"/>
    <m/>
    <n v="-107615.09"/>
  </r>
  <r>
    <x v="8"/>
    <x v="159"/>
    <n v="125232161173"/>
    <n v="-450508.26"/>
    <n v="7715635.3499999996"/>
    <x v="1"/>
    <n v="-447821.33200795227"/>
    <n v="-2686.927992047742"/>
    <n v="0"/>
    <n v="0"/>
    <n v="0"/>
    <m/>
    <n v="-450508.26"/>
  </r>
  <r>
    <x v="8"/>
    <x v="159"/>
    <n v="125232960111"/>
    <n v="-33241"/>
    <n v="8166343.0599999996"/>
    <x v="1"/>
    <n v="-33042.743538767398"/>
    <n v="-198.25646123260231"/>
    <n v="0"/>
    <n v="0"/>
    <n v="0"/>
    <m/>
    <n v="-33241"/>
  </r>
  <r>
    <x v="20"/>
    <x v="159"/>
    <n v="126550128384"/>
    <n v="-119660.83"/>
    <n v="9071279.9800000004"/>
    <x v="1"/>
    <n v="-118947.14711729622"/>
    <n v="-713.68288270378252"/>
    <n v="0"/>
    <n v="0"/>
    <n v="0"/>
    <m/>
    <n v="-119660.83"/>
  </r>
  <r>
    <x v="22"/>
    <x v="159"/>
    <n v="126932959003"/>
    <n v="-98090.03"/>
    <n v="7862017.0099999998"/>
    <x v="1"/>
    <n v="-97505"/>
    <n v="-585.02999999999884"/>
    <n v="0"/>
    <n v="0"/>
    <n v="0"/>
    <m/>
    <n v="-98090.03"/>
  </r>
  <r>
    <x v="3"/>
    <x v="162"/>
    <n v="125738338007"/>
    <n v="-113156"/>
    <n v="11485957.380000001"/>
    <x v="1"/>
    <n v="-112481.11332007952"/>
    <n v="-674.88667992048431"/>
    <n v="0"/>
    <n v="0"/>
    <n v="0"/>
    <m/>
    <n v="-113156"/>
  </r>
  <r>
    <x v="19"/>
    <x v="162"/>
    <n v="126401610954"/>
    <n v="-1049644.75"/>
    <n v="10244282.439999999"/>
    <x v="1"/>
    <n v="-1043384.4433399602"/>
    <n v="-6260.3066600398161"/>
    <n v="0"/>
    <n v="0"/>
    <n v="0"/>
    <m/>
    <n v="-1049644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1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168" firstHeaderRow="1" firstDataRow="2" firstDataCol="1"/>
  <pivotFields count="13">
    <pivotField showAll="0">
      <items count="31">
        <item x="0"/>
        <item x="9"/>
        <item x="10"/>
        <item x="11"/>
        <item x="12"/>
        <item x="17"/>
        <item x="18"/>
        <item x="13"/>
        <item x="14"/>
        <item x="15"/>
        <item x="8"/>
        <item x="6"/>
        <item x="16"/>
        <item x="25"/>
        <item x="3"/>
        <item x="19"/>
        <item x="20"/>
        <item x="27"/>
        <item x="4"/>
        <item x="28"/>
        <item x="1"/>
        <item x="2"/>
        <item x="5"/>
        <item x="21"/>
        <item x="22"/>
        <item x="23"/>
        <item x="24"/>
        <item x="29"/>
        <item x="7"/>
        <item x="26"/>
        <item t="default"/>
      </items>
    </pivotField>
    <pivotField axis="axisRow" showAll="0">
      <items count="164">
        <item x="2"/>
        <item x="3"/>
        <item x="4"/>
        <item x="5"/>
        <item x="6"/>
        <item x="7"/>
        <item x="8"/>
        <item x="9"/>
        <item x="0"/>
        <item x="31"/>
        <item x="61"/>
        <item x="84"/>
        <item x="85"/>
        <item x="86"/>
        <item x="87"/>
        <item x="88"/>
        <item x="89"/>
        <item x="90"/>
        <item x="91"/>
        <item x="92"/>
        <item x="93"/>
        <item x="94"/>
        <item x="99"/>
        <item x="100"/>
        <item x="101"/>
        <item x="102"/>
        <item x="103"/>
        <item x="118"/>
        <item x="119"/>
        <item x="120"/>
        <item x="121"/>
        <item x="122"/>
        <item x="123"/>
        <item x="136"/>
        <item x="137"/>
        <item x="138"/>
        <item x="159"/>
        <item x="162"/>
        <item x="67"/>
        <item x="134"/>
        <item x="39"/>
        <item x="16"/>
        <item x="43"/>
        <item x="40"/>
        <item x="107"/>
        <item x="151"/>
        <item x="110"/>
        <item x="70"/>
        <item x="62"/>
        <item x="21"/>
        <item x="132"/>
        <item x="97"/>
        <item x="13"/>
        <item x="128"/>
        <item x="161"/>
        <item x="155"/>
        <item x="27"/>
        <item x="37"/>
        <item x="65"/>
        <item x="72"/>
        <item x="19"/>
        <item x="78"/>
        <item x="104"/>
        <item x="50"/>
        <item x="80"/>
        <item x="76"/>
        <item x="66"/>
        <item x="148"/>
        <item x="49"/>
        <item x="116"/>
        <item x="68"/>
        <item x="41"/>
        <item x="154"/>
        <item x="140"/>
        <item x="79"/>
        <item x="81"/>
        <item x="144"/>
        <item x="11"/>
        <item x="69"/>
        <item x="157"/>
        <item x="143"/>
        <item x="10"/>
        <item x="53"/>
        <item x="36"/>
        <item x="38"/>
        <item x="108"/>
        <item x="146"/>
        <item x="22"/>
        <item x="1"/>
        <item x="63"/>
        <item x="46"/>
        <item x="74"/>
        <item x="83"/>
        <item x="127"/>
        <item x="26"/>
        <item x="54"/>
        <item x="98"/>
        <item x="29"/>
        <item x="117"/>
        <item x="153"/>
        <item x="133"/>
        <item x="152"/>
        <item x="33"/>
        <item x="105"/>
        <item x="15"/>
        <item x="158"/>
        <item x="47"/>
        <item x="135"/>
        <item x="56"/>
        <item x="25"/>
        <item x="113"/>
        <item x="145"/>
        <item x="59"/>
        <item x="73"/>
        <item x="125"/>
        <item x="42"/>
        <item x="58"/>
        <item x="28"/>
        <item x="48"/>
        <item x="149"/>
        <item x="23"/>
        <item x="71"/>
        <item x="20"/>
        <item x="55"/>
        <item x="96"/>
        <item x="142"/>
        <item x="51"/>
        <item x="131"/>
        <item x="18"/>
        <item x="35"/>
        <item x="17"/>
        <item x="139"/>
        <item x="112"/>
        <item x="106"/>
        <item x="141"/>
        <item x="114"/>
        <item x="124"/>
        <item x="77"/>
        <item x="57"/>
        <item x="14"/>
        <item x="156"/>
        <item x="150"/>
        <item x="45"/>
        <item x="126"/>
        <item x="130"/>
        <item x="60"/>
        <item x="30"/>
        <item x="115"/>
        <item x="109"/>
        <item x="95"/>
        <item x="147"/>
        <item x="111"/>
        <item x="129"/>
        <item x="160"/>
        <item x="75"/>
        <item x="44"/>
        <item x="12"/>
        <item x="24"/>
        <item x="32"/>
        <item x="52"/>
        <item x="34"/>
        <item x="82"/>
        <item x="64"/>
        <item t="default"/>
      </items>
    </pivotField>
    <pivotField numFmtId="1" showAll="0"/>
    <pivotField showAll="0"/>
    <pivotField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numFmtId="43" showAll="0"/>
    <pivotField numFmtId="43" showAll="0"/>
    <pivotField numFmtId="43" showAll="0"/>
    <pivotField showAll="0"/>
    <pivotField dataField="1" numFmtId="43" showAll="0"/>
  </pivotFields>
  <rowFields count="1">
    <field x="1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MOV TOTAL" fld="12" baseField="0" baseItem="0"/>
  </dataFields>
  <formats count="24">
    <format dxfId="60">
      <pivotArea collapsedLevelsAreSubtotals="1" fieldPosition="0">
        <references count="1">
          <reference field="1" count="2">
            <x v="8"/>
            <x v="9"/>
          </reference>
        </references>
      </pivotArea>
    </format>
    <format dxfId="59">
      <pivotArea dataOnly="0" labelOnly="1" fieldPosition="0">
        <references count="1">
          <reference field="1" count="2">
            <x v="8"/>
            <x v="9"/>
          </reference>
        </references>
      </pivotArea>
    </format>
    <format dxfId="58">
      <pivotArea collapsedLevelsAreSubtotals="1" fieldPosition="0">
        <references count="1">
          <reference field="1" count="125"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</reference>
        </references>
      </pivotArea>
    </format>
    <format dxfId="57">
      <pivotArea dataOnly="0" labelOnly="1" fieldPosition="0">
        <references count="1">
          <reference field="1" count="50"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</reference>
        </references>
      </pivotArea>
    </format>
    <format dxfId="56">
      <pivotArea dataOnly="0" labelOnly="1" fieldPosition="0">
        <references count="1">
          <reference field="1" count="50"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55">
      <pivotArea dataOnly="0" labelOnly="1" fieldPosition="0">
        <references count="1">
          <reference field="1" count="25"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</reference>
        </references>
      </pivotArea>
    </format>
    <format dxfId="54">
      <pivotArea collapsedLevelsAreSubtotals="1" fieldPosition="0">
        <references count="1">
          <reference field="1" count="1">
            <x v="12"/>
          </reference>
        </references>
      </pivotArea>
    </format>
    <format dxfId="53">
      <pivotArea dataOnly="0" labelOnly="1" fieldPosition="0">
        <references count="1">
          <reference field="1" count="1">
            <x v="12"/>
          </reference>
        </references>
      </pivotArea>
    </format>
    <format dxfId="52">
      <pivotArea collapsedLevelsAreSubtotals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51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50">
      <pivotArea collapsedLevelsAreSubtotals="1" fieldPosition="0">
        <references count="1">
          <reference field="1" count="2">
            <x v="6"/>
            <x v="7"/>
          </reference>
        </references>
      </pivotArea>
    </format>
    <format dxfId="49">
      <pivotArea dataOnly="0" labelOnly="1" fieldPosition="0">
        <references count="1">
          <reference field="1" count="2">
            <x v="6"/>
            <x v="7"/>
          </reference>
        </references>
      </pivotArea>
    </format>
    <format dxfId="48">
      <pivotArea collapsedLevelsAreSubtotals="1" fieldPosition="0">
        <references count="1">
          <reference field="1" count="1">
            <x v="33"/>
          </reference>
        </references>
      </pivotArea>
    </format>
    <format dxfId="47">
      <pivotArea dataOnly="0" labelOnly="1" fieldPosition="0">
        <references count="1">
          <reference field="1" count="1">
            <x v="33"/>
          </reference>
        </references>
      </pivotArea>
    </format>
    <format dxfId="46">
      <pivotArea collapsedLevelsAreSubtotals="1" fieldPosition="0">
        <references count="1">
          <reference field="1" count="2">
            <x v="10"/>
            <x v="11"/>
          </reference>
        </references>
      </pivotArea>
    </format>
    <format dxfId="45">
      <pivotArea dataOnly="0" labelOnly="1" fieldPosition="0">
        <references count="1">
          <reference field="1" count="2">
            <x v="10"/>
            <x v="11"/>
          </reference>
        </references>
      </pivotArea>
    </format>
    <format dxfId="44">
      <pivotArea collapsedLevelsAreSubtotals="1" fieldPosition="0">
        <references count="1">
          <reference field="1" count="7">
            <x v="13"/>
            <x v="14"/>
            <x v="15"/>
            <x v="16"/>
            <x v="17"/>
            <x v="18"/>
            <x v="19"/>
          </reference>
        </references>
      </pivotArea>
    </format>
    <format dxfId="43">
      <pivotArea dataOnly="0" labelOnly="1" fieldPosition="0">
        <references count="1">
          <reference field="1" count="7">
            <x v="13"/>
            <x v="14"/>
            <x v="15"/>
            <x v="16"/>
            <x v="17"/>
            <x v="18"/>
            <x v="19"/>
          </reference>
        </references>
      </pivotArea>
    </format>
    <format dxfId="42">
      <pivotArea collapsedLevelsAreSubtotals="1" fieldPosition="0">
        <references count="1">
          <reference field="1" count="12"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41">
      <pivotArea dataOnly="0" labelOnly="1" fieldPosition="0">
        <references count="1">
          <reference field="1" count="12"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40">
      <pivotArea collapsedLevelsAreSubtotals="1" fieldPosition="0">
        <references count="1">
          <reference field="1" count="4">
            <x v="34"/>
            <x v="35"/>
            <x v="36"/>
            <x v="37"/>
          </reference>
        </references>
      </pivotArea>
    </format>
    <format dxfId="39">
      <pivotArea dataOnly="0" labelOnly="1" fieldPosition="0">
        <references count="1">
          <reference field="1" count="4">
            <x v="34"/>
            <x v="35"/>
            <x v="36"/>
            <x v="37"/>
          </reference>
        </references>
      </pivotArea>
    </format>
    <format dxfId="38">
      <pivotArea collapsedLevelsAreSubtotals="1" fieldPosition="0">
        <references count="1">
          <reference field="1" count="1">
            <x v="20"/>
          </reference>
        </references>
      </pivotArea>
    </format>
    <format dxfId="37">
      <pivotArea dataOnly="0" labelOnly="1" fieldPosition="0">
        <references count="1">
          <reference field="1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5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67" firstHeaderRow="1" firstDataRow="1" firstDataCol="1"/>
  <pivotFields count="5"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164">
        <item x="121"/>
        <item x="99"/>
        <item x="108"/>
        <item x="126"/>
        <item x="76"/>
        <item x="162"/>
        <item x="68"/>
        <item x="4"/>
        <item x="0"/>
        <item x="40"/>
        <item x="13"/>
        <item x="5"/>
        <item x="30"/>
        <item x="18"/>
        <item x="7"/>
        <item x="8"/>
        <item x="29"/>
        <item x="59"/>
        <item x="69"/>
        <item x="3"/>
        <item x="57"/>
        <item x="136"/>
        <item x="9"/>
        <item x="58"/>
        <item x="2"/>
        <item x="106"/>
        <item x="98"/>
        <item x="101"/>
        <item x="19"/>
        <item x="10"/>
        <item x="124"/>
        <item x="17"/>
        <item x="12"/>
        <item x="125"/>
        <item x="107"/>
        <item x="6"/>
        <item x="11"/>
        <item x="100"/>
        <item x="81"/>
        <item x="138"/>
        <item x="48"/>
        <item x="23"/>
        <item x="52"/>
        <item x="49"/>
        <item x="112"/>
        <item x="152"/>
        <item x="115"/>
        <item x="84"/>
        <item x="75"/>
        <item x="28"/>
        <item x="135"/>
        <item x="104"/>
        <item x="20"/>
        <item x="131"/>
        <item x="161"/>
        <item x="156"/>
        <item x="36"/>
        <item x="46"/>
        <item x="79"/>
        <item x="86"/>
        <item x="26"/>
        <item x="92"/>
        <item x="109"/>
        <item x="62"/>
        <item x="94"/>
        <item x="90"/>
        <item x="80"/>
        <item x="149"/>
        <item x="61"/>
        <item x="122"/>
        <item x="82"/>
        <item x="50"/>
        <item x="155"/>
        <item x="141"/>
        <item x="93"/>
        <item x="95"/>
        <item x="145"/>
        <item x="15"/>
        <item x="83"/>
        <item x="158"/>
        <item x="144"/>
        <item x="14"/>
        <item x="65"/>
        <item x="45"/>
        <item x="47"/>
        <item x="113"/>
        <item x="147"/>
        <item x="31"/>
        <item x="1"/>
        <item x="77"/>
        <item x="55"/>
        <item x="88"/>
        <item x="97"/>
        <item x="130"/>
        <item x="35"/>
        <item x="66"/>
        <item x="105"/>
        <item x="38"/>
        <item x="123"/>
        <item x="154"/>
        <item x="137"/>
        <item x="153"/>
        <item x="42"/>
        <item x="110"/>
        <item x="22"/>
        <item x="159"/>
        <item x="56"/>
        <item x="139"/>
        <item x="70"/>
        <item x="34"/>
        <item x="118"/>
        <item x="146"/>
        <item x="73"/>
        <item x="87"/>
        <item x="128"/>
        <item x="51"/>
        <item x="72"/>
        <item x="37"/>
        <item x="60"/>
        <item x="150"/>
        <item x="32"/>
        <item x="85"/>
        <item x="27"/>
        <item x="67"/>
        <item x="103"/>
        <item x="143"/>
        <item x="63"/>
        <item x="134"/>
        <item x="25"/>
        <item x="44"/>
        <item x="24"/>
        <item x="140"/>
        <item x="117"/>
        <item x="111"/>
        <item x="142"/>
        <item x="119"/>
        <item x="127"/>
        <item x="91"/>
        <item x="71"/>
        <item x="21"/>
        <item x="157"/>
        <item x="151"/>
        <item x="54"/>
        <item x="129"/>
        <item x="133"/>
        <item x="74"/>
        <item x="39"/>
        <item x="120"/>
        <item x="114"/>
        <item x="102"/>
        <item x="148"/>
        <item x="116"/>
        <item x="132"/>
        <item x="160"/>
        <item x="89"/>
        <item x="53"/>
        <item x="16"/>
        <item x="33"/>
        <item x="41"/>
        <item x="64"/>
        <item x="43"/>
        <item x="96"/>
        <item x="78"/>
        <item t="default"/>
      </items>
    </pivotField>
    <pivotField showAll="0"/>
    <pivotField dataField="1" showAll="0"/>
    <pivotField showAll="0"/>
  </pivotFields>
  <rowFields count="1">
    <field x="1"/>
  </rowFields>
  <rowItems count="1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 t="grand">
      <x/>
    </i>
  </rowItems>
  <colItems count="1">
    <i/>
  </colItems>
  <dataFields count="1">
    <dataField name="Suma de TRANSACTION_NET_AMOUNT" fld="3" baseField="0" baseItem="0"/>
  </dataFields>
  <formats count="3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1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0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9">
      <pivotArea dataOnly="0" labelOnly="1" fieldPosition="0">
        <references count="1">
          <reference field="1" count="1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</reference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collapsedLevelsAreSubtotals="1" fieldPosition="0">
        <references count="1">
          <reference field="1" count="2">
            <x v="8"/>
            <x v="9"/>
          </reference>
        </references>
      </pivotArea>
    </format>
    <format dxfId="25">
      <pivotArea dataOnly="0" labelOnly="1" fieldPosition="0">
        <references count="1">
          <reference field="1" count="2">
            <x v="8"/>
            <x v="9"/>
          </reference>
        </references>
      </pivotArea>
    </format>
    <format dxfId="24">
      <pivotArea collapsedLevelsAreSubtotals="1" fieldPosition="0">
        <references count="1">
          <reference field="1" count="2">
            <x v="10"/>
            <x v="11"/>
          </reference>
        </references>
      </pivotArea>
    </format>
    <format dxfId="23">
      <pivotArea dataOnly="0" labelOnly="1" fieldPosition="0">
        <references count="1">
          <reference field="1" count="2">
            <x v="10"/>
            <x v="11"/>
          </reference>
        </references>
      </pivotArea>
    </format>
    <format dxfId="22">
      <pivotArea collapsedLevelsAreSubtotals="1" fieldPosition="0">
        <references count="1">
          <reference field="1" count="125"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</reference>
        </references>
      </pivotArea>
    </format>
    <format dxfId="21">
      <pivotArea dataOnly="0" labelOnly="1" fieldPosition="0">
        <references count="1">
          <reference field="1" count="50"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</reference>
        </references>
      </pivotArea>
    </format>
    <format dxfId="20">
      <pivotArea dataOnly="0" labelOnly="1" fieldPosition="0">
        <references count="1">
          <reference field="1" count="50"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</reference>
        </references>
      </pivotArea>
    </format>
    <format dxfId="19">
      <pivotArea dataOnly="0" labelOnly="1" fieldPosition="0">
        <references count="1">
          <reference field="1" count="25"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</reference>
        </references>
      </pivotArea>
    </format>
    <format dxfId="18">
      <pivotArea dataOnly="0" labelOnly="1" fieldPosition="0">
        <references count="1">
          <reference field="1" count="6">
            <x v="14"/>
            <x v="15"/>
            <x v="16"/>
            <x v="17"/>
            <x v="18"/>
            <x v="19"/>
          </reference>
        </references>
      </pivotArea>
    </format>
    <format dxfId="17">
      <pivotArea collapsedLevelsAreSubtotals="1" fieldPosition="0">
        <references count="1">
          <reference field="1" count="17"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16">
      <pivotArea dataOnly="0" labelOnly="1" fieldPosition="0">
        <references count="1">
          <reference field="1" count="17"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  <format dxfId="15">
      <pivotArea collapsedLevelsAreSubtotals="1" fieldPosition="0">
        <references count="1">
          <reference field="1" count="6">
            <x v="14"/>
            <x v="15"/>
            <x v="16"/>
            <x v="17"/>
            <x v="18"/>
            <x v="19"/>
          </reference>
        </references>
      </pivotArea>
    </format>
    <format dxfId="14">
      <pivotArea dataOnly="0" labelOnly="1" fieldPosition="0">
        <references count="1">
          <reference field="1" count="6">
            <x v="14"/>
            <x v="15"/>
            <x v="16"/>
            <x v="17"/>
            <x v="18"/>
            <x v="19"/>
          </reference>
        </references>
      </pivotArea>
    </format>
    <format dxfId="13">
      <pivotArea collapsedLevelsAreSubtotals="1" fieldPosition="0">
        <references count="1">
          <reference field="1" count="1">
            <x v="12"/>
          </reference>
        </references>
      </pivotArea>
    </format>
    <format dxfId="12">
      <pivotArea dataOnly="0" labelOnly="1" fieldPosition="0">
        <references count="1">
          <reference field="1" count="1">
            <x v="12"/>
          </reference>
        </references>
      </pivotArea>
    </format>
    <format dxfId="11">
      <pivotArea collapsedLevelsAreSubtotals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10">
      <pivotArea dataOnly="0" labelOnly="1" fieldPosition="0">
        <references count="1">
          <reference field="1" count="6">
            <x v="0"/>
            <x v="1"/>
            <x v="2"/>
            <x v="3"/>
            <x v="4"/>
            <x v="5"/>
          </reference>
        </references>
      </pivotArea>
    </format>
    <format dxfId="9">
      <pivotArea collapsedLevelsAreSubtotals="1" fieldPosition="0">
        <references count="1">
          <reference field="1" count="2">
            <x v="6"/>
            <x v="7"/>
          </reference>
        </references>
      </pivotArea>
    </format>
    <format dxfId="8">
      <pivotArea dataOnly="0" labelOnly="1" fieldPosition="0">
        <references count="1">
          <reference field="1" count="2">
            <x v="6"/>
            <x v="7"/>
          </reference>
        </references>
      </pivotArea>
    </format>
    <format dxfId="7">
      <pivotArea collapsedLevelsAreSubtotals="1" fieldPosition="0">
        <references count="1">
          <reference field="1" count="1">
            <x v="13"/>
          </reference>
        </references>
      </pivotArea>
    </format>
    <format dxfId="6">
      <pivotArea dataOnly="0" labelOnly="1" fieldPosition="0">
        <references count="1">
          <reference field="1" count="1">
            <x v="13"/>
          </reference>
        </references>
      </pivotArea>
    </format>
    <format dxfId="5">
      <pivotArea collapsedLevelsAreSubtotals="1" fieldPosition="0">
        <references count="1">
          <reference field="1" count="1">
            <x v="20"/>
          </reference>
        </references>
      </pivotArea>
    </format>
    <format dxfId="4">
      <pivotArea collapsedLevelsAreSubtotals="1" fieldPosition="0">
        <references count="1">
          <reference field="1" count="1">
            <x v="20"/>
          </reference>
        </references>
      </pivotArea>
    </format>
    <format dxfId="3">
      <pivotArea collapsedLevelsAreSubtotals="1" fieldPosition="0">
        <references count="1">
          <reference field="1" count="1">
            <x v="20"/>
          </reference>
        </references>
      </pivotArea>
    </format>
    <format dxfId="2">
      <pivotArea dataOnly="0" labelOnly="1" fieldPosition="0">
        <references count="1">
          <reference field="1" count="1">
            <x v="20"/>
          </reference>
        </references>
      </pivotArea>
    </format>
    <format dxfId="1">
      <pivotArea collapsedLevelsAreSubtotals="1" fieldPosition="0">
        <references count="1">
          <reference field="1" count="1">
            <x v="33"/>
          </reference>
        </references>
      </pivotArea>
    </format>
    <format dxfId="0">
      <pivotArea dataOnly="0" labelOnly="1" fieldPosition="0">
        <references count="1">
          <reference field="1" count="1">
            <x v="3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om.ar/reporting/activity/detail?id=49796750176" TargetMode="External"/><Relationship Id="rId170" Type="http://schemas.openxmlformats.org/officeDocument/2006/relationships/hyperlink" Target="https://www.mercadolibre.com.ar/reporting/activity/detail?id=49896598761" TargetMode="External"/><Relationship Id="rId268" Type="http://schemas.openxmlformats.org/officeDocument/2006/relationships/hyperlink" Target="https://www.mercadolibre.com.ar/reporting/activity/detail?id=50083207873" TargetMode="External"/><Relationship Id="rId475" Type="http://schemas.openxmlformats.org/officeDocument/2006/relationships/hyperlink" Target="https://www.mercadolibre.com.ar/reporting/activity/detail?id=50226815504" TargetMode="External"/><Relationship Id="rId682" Type="http://schemas.openxmlformats.org/officeDocument/2006/relationships/hyperlink" Target="https://www.mercadolibre.com.ar/reporting/activity/detail?id=50538015988" TargetMode="External"/><Relationship Id="rId128" Type="http://schemas.openxmlformats.org/officeDocument/2006/relationships/hyperlink" Target="https://www.mercadolibre.com.ar/reporting/activity/detail?id=49889847997" TargetMode="External"/><Relationship Id="rId335" Type="http://schemas.openxmlformats.org/officeDocument/2006/relationships/hyperlink" Target="https://www.mercadolibre.com.ar/reporting/activity/detail?id=50135245674" TargetMode="External"/><Relationship Id="rId542" Type="http://schemas.openxmlformats.org/officeDocument/2006/relationships/hyperlink" Target="https://www.mercadolibre.com.ar/reporting/activity/detail?id=50408214771" TargetMode="External"/><Relationship Id="rId987" Type="http://schemas.openxmlformats.org/officeDocument/2006/relationships/hyperlink" Target="https://www.mercadolibre.com.ar/reporting/activity/detail?id=50840183861" TargetMode="External"/><Relationship Id="rId1172" Type="http://schemas.openxmlformats.org/officeDocument/2006/relationships/hyperlink" Target="https://www.mercadolibre.com.ar/reporting/activity/detail?id=51120591358" TargetMode="External"/><Relationship Id="rId402" Type="http://schemas.openxmlformats.org/officeDocument/2006/relationships/hyperlink" Target="https://www.mercadolibre.com.ar/reporting/activity/detail?id=50182263478" TargetMode="External"/><Relationship Id="rId847" Type="http://schemas.openxmlformats.org/officeDocument/2006/relationships/hyperlink" Target="https://www.mercadolibre.com.ar/reporting/activity/detail?id=50752788734" TargetMode="External"/><Relationship Id="rId1032" Type="http://schemas.openxmlformats.org/officeDocument/2006/relationships/hyperlink" Target="https://www.mercadolibre.com.ar/reporting/activity/detail?id=50875240818" TargetMode="External"/><Relationship Id="rId707" Type="http://schemas.openxmlformats.org/officeDocument/2006/relationships/hyperlink" Target="https://www.mercadolibre.com.ar/reporting/activity/detail?id=50540535271" TargetMode="External"/><Relationship Id="rId914" Type="http://schemas.openxmlformats.org/officeDocument/2006/relationships/hyperlink" Target="https://www.mercadolibre.com.ar/reporting/activity/detail?id=50798197681" TargetMode="External"/><Relationship Id="rId43" Type="http://schemas.openxmlformats.org/officeDocument/2006/relationships/hyperlink" Target="https://www.mercadolibre.com.ar/reporting/activity/detail?id=49841488902" TargetMode="External"/><Relationship Id="rId192" Type="http://schemas.openxmlformats.org/officeDocument/2006/relationships/hyperlink" Target="https://www.mercadolibre.com.ar/reporting/activity/detail?id=49898186582" TargetMode="External"/><Relationship Id="rId497" Type="http://schemas.openxmlformats.org/officeDocument/2006/relationships/hyperlink" Target="https://www.mercadolibre.com.ar/reporting/activity/detail?id=50257425639" TargetMode="External"/><Relationship Id="rId357" Type="http://schemas.openxmlformats.org/officeDocument/2006/relationships/hyperlink" Target="https://www.mercadolibre.com.ar/reporting/activity/detail?id=50178058497" TargetMode="External"/><Relationship Id="rId1194" Type="http://schemas.openxmlformats.org/officeDocument/2006/relationships/hyperlink" Target="https://www.mercadolibre.com.ar/reporting/activity/detail?id=51127105765" TargetMode="External"/><Relationship Id="rId217" Type="http://schemas.openxmlformats.org/officeDocument/2006/relationships/hyperlink" Target="https://www.mercadolibre.com.ar/reporting/activity/detail?id=49932082018" TargetMode="External"/><Relationship Id="rId564" Type="http://schemas.openxmlformats.org/officeDocument/2006/relationships/hyperlink" Target="https://www.mercadolibre.com.ar/reporting/activity/detail?id=50449565152" TargetMode="External"/><Relationship Id="rId771" Type="http://schemas.openxmlformats.org/officeDocument/2006/relationships/hyperlink" Target="https://www.mercadolibre.com.ar/reporting/activity/detail?id=50576194404" TargetMode="External"/><Relationship Id="rId869" Type="http://schemas.openxmlformats.org/officeDocument/2006/relationships/hyperlink" Target="https://www.mercadolibre.com.ar/reporting/activity/detail?id=50788586787" TargetMode="External"/><Relationship Id="rId424" Type="http://schemas.openxmlformats.org/officeDocument/2006/relationships/hyperlink" Target="https://www.mercadolibre.com.ar/reporting/activity/detail?id=50218728346" TargetMode="External"/><Relationship Id="rId631" Type="http://schemas.openxmlformats.org/officeDocument/2006/relationships/hyperlink" Target="https://www.mercadolibre.com.ar/reporting/activity/detail?id=50486682221" TargetMode="External"/><Relationship Id="rId729" Type="http://schemas.openxmlformats.org/officeDocument/2006/relationships/hyperlink" Target="https://www.mercadolibre.com.ar/reporting/activity/detail?id=50542501326" TargetMode="External"/><Relationship Id="rId1054" Type="http://schemas.openxmlformats.org/officeDocument/2006/relationships/hyperlink" Target="https://www.mercadolibre.com.ar/reporting/activity/detail?id=50877347543" TargetMode="External"/><Relationship Id="rId1261" Type="http://schemas.openxmlformats.org/officeDocument/2006/relationships/hyperlink" Target="https://www.mercadolibre.com.ar/reporting/activity/detail?id=51176155120" TargetMode="External"/><Relationship Id="rId936" Type="http://schemas.openxmlformats.org/officeDocument/2006/relationships/hyperlink" Target="https://www.mercadolibre.com.ar/reporting/activity/detail?id=50833855402" TargetMode="External"/><Relationship Id="rId1121" Type="http://schemas.openxmlformats.org/officeDocument/2006/relationships/hyperlink" Target="https://www.mercadolibre.com.ar/reporting/activity/detail?id=51075495766" TargetMode="External"/><Relationship Id="rId1219" Type="http://schemas.openxmlformats.org/officeDocument/2006/relationships/hyperlink" Target="https://www.mercadolibre.com.ar/reporting/activity/detail?id=51130234001" TargetMode="External"/><Relationship Id="rId65" Type="http://schemas.openxmlformats.org/officeDocument/2006/relationships/hyperlink" Target="https://www.mercadolibre.com.ar/reporting/activity/detail?id=49845951211" TargetMode="External"/><Relationship Id="rId281" Type="http://schemas.openxmlformats.org/officeDocument/2006/relationships/hyperlink" Target="https://www.mercadolibre.com.ar/reporting/activity/detail?id=50126412281" TargetMode="External"/><Relationship Id="rId141" Type="http://schemas.openxmlformats.org/officeDocument/2006/relationships/hyperlink" Target="https://www.mercadolibre.com.ar/reporting/activity/detail?id=49894187355" TargetMode="External"/><Relationship Id="rId379" Type="http://schemas.openxmlformats.org/officeDocument/2006/relationships/hyperlink" Target="https://www.mercadolibre.com.ar/reporting/activity/detail?id=50180155253" TargetMode="External"/><Relationship Id="rId586" Type="http://schemas.openxmlformats.org/officeDocument/2006/relationships/hyperlink" Target="https://www.mercadolibre.com.ar/reporting/activity/detail?id=50451784736" TargetMode="External"/><Relationship Id="rId793" Type="http://schemas.openxmlformats.org/officeDocument/2006/relationships/hyperlink" Target="https://www.mercadolibre.com.ar/reporting/activity/detail?id=50744568271" TargetMode="External"/><Relationship Id="rId7" Type="http://schemas.openxmlformats.org/officeDocument/2006/relationships/hyperlink" Target="https://www.mercadolibre.com.ar/reporting/activity/detail?id=49795561390" TargetMode="External"/><Relationship Id="rId239" Type="http://schemas.openxmlformats.org/officeDocument/2006/relationships/hyperlink" Target="https://www.mercadolibre.com.ar/reporting/activity/detail?id=50073594765" TargetMode="External"/><Relationship Id="rId446" Type="http://schemas.openxmlformats.org/officeDocument/2006/relationships/hyperlink" Target="https://www.mercadolibre.com.ar/reporting/activity/detail?id=50224697619" TargetMode="External"/><Relationship Id="rId653" Type="http://schemas.openxmlformats.org/officeDocument/2006/relationships/hyperlink" Target="https://www.mercadolibre.com.ar/reporting/activity/detail?id=50498219422" TargetMode="External"/><Relationship Id="rId1076" Type="http://schemas.openxmlformats.org/officeDocument/2006/relationships/hyperlink" Target="https://www.mercadolibre.com.ar/reporting/activity/detail?id=51025888777" TargetMode="External"/><Relationship Id="rId1283" Type="http://schemas.openxmlformats.org/officeDocument/2006/relationships/hyperlink" Target="https://www.mercadolibre.com.ar/reporting/activity/detail?id=49741443221" TargetMode="External"/><Relationship Id="rId306" Type="http://schemas.openxmlformats.org/officeDocument/2006/relationships/hyperlink" Target="https://www.mercadolibre.com.ar/reporting/activity/detail?id=50132008272" TargetMode="External"/><Relationship Id="rId860" Type="http://schemas.openxmlformats.org/officeDocument/2006/relationships/hyperlink" Target="https://www.mercadolibre.com.ar/reporting/activity/detail?id=50753190760" TargetMode="External"/><Relationship Id="rId958" Type="http://schemas.openxmlformats.org/officeDocument/2006/relationships/hyperlink" Target="https://www.mercadolibre.com.ar/reporting/activity/detail?id=50837890636" TargetMode="External"/><Relationship Id="rId1143" Type="http://schemas.openxmlformats.org/officeDocument/2006/relationships/hyperlink" Target="https://www.mercadolibre.com.ar/reporting/activity/detail?id=51077115042" TargetMode="External"/><Relationship Id="rId87" Type="http://schemas.openxmlformats.org/officeDocument/2006/relationships/hyperlink" Target="https://www.mercadolibre.com.ar/reporting/activity/detail?id=49848685789" TargetMode="External"/><Relationship Id="rId513" Type="http://schemas.openxmlformats.org/officeDocument/2006/relationships/hyperlink" Target="https://www.mercadolibre.com.ar/reporting/activity/detail?id=50263029166" TargetMode="External"/><Relationship Id="rId720" Type="http://schemas.openxmlformats.org/officeDocument/2006/relationships/hyperlink" Target="https://www.mercadolibre.com.ar/reporting/activity/detail?id=50541705493" TargetMode="External"/><Relationship Id="rId818" Type="http://schemas.openxmlformats.org/officeDocument/2006/relationships/hyperlink" Target="https://www.mercadolibre.com.ar/reporting/activity/detail?id=50749869636" TargetMode="External"/><Relationship Id="rId1003" Type="http://schemas.openxmlformats.org/officeDocument/2006/relationships/hyperlink" Target="https://www.mercadolibre.com.ar/reporting/activity/detail?id=50841346716" TargetMode="External"/><Relationship Id="rId1210" Type="http://schemas.openxmlformats.org/officeDocument/2006/relationships/hyperlink" Target="https://www.mercadolibre.com.ar/reporting/activity/detail?id=51128617031" TargetMode="External"/><Relationship Id="rId1308" Type="http://schemas.openxmlformats.org/officeDocument/2006/relationships/hyperlink" Target="https://www.mercadolibre.com.ar/reporting/activity/detail?id=49791732778" TargetMode="External"/><Relationship Id="rId14" Type="http://schemas.openxmlformats.org/officeDocument/2006/relationships/hyperlink" Target="https://www.mercadolibre.com.ar/reporting/activity/detail?id=49796082117" TargetMode="External"/><Relationship Id="rId163" Type="http://schemas.openxmlformats.org/officeDocument/2006/relationships/hyperlink" Target="https://www.mercadolibre.com.ar/reporting/activity/detail?id=49896096853" TargetMode="External"/><Relationship Id="rId370" Type="http://schemas.openxmlformats.org/officeDocument/2006/relationships/hyperlink" Target="https://www.mercadolibre.com.ar/reporting/activity/detail?id=50179702662" TargetMode="External"/><Relationship Id="rId230" Type="http://schemas.openxmlformats.org/officeDocument/2006/relationships/hyperlink" Target="https://www.mercadolibre.com.ar/reporting/activity/detail?id=49934584851" TargetMode="External"/><Relationship Id="rId468" Type="http://schemas.openxmlformats.org/officeDocument/2006/relationships/hyperlink" Target="https://www.mercadolibre.com.ar/reporting/activity/detail?id=50226595620" TargetMode="External"/><Relationship Id="rId675" Type="http://schemas.openxmlformats.org/officeDocument/2006/relationships/hyperlink" Target="https://www.mercadolibre.com.ar/reporting/activity/detail?id=50536001278" TargetMode="External"/><Relationship Id="rId882" Type="http://schemas.openxmlformats.org/officeDocument/2006/relationships/hyperlink" Target="https://www.mercadolibre.com.ar/reporting/activity/detail?id=50793019212" TargetMode="External"/><Relationship Id="rId1098" Type="http://schemas.openxmlformats.org/officeDocument/2006/relationships/hyperlink" Target="https://www.mercadolibre.com.ar/reporting/activity/detail?id=51073043510" TargetMode="External"/><Relationship Id="rId328" Type="http://schemas.openxmlformats.org/officeDocument/2006/relationships/hyperlink" Target="https://www.mercadolibre.com.ar/reporting/activity/detail?id=50134719257" TargetMode="External"/><Relationship Id="rId535" Type="http://schemas.openxmlformats.org/officeDocument/2006/relationships/hyperlink" Target="https://www.mercadolibre.com.ar/reporting/activity/detail?id=50406323288" TargetMode="External"/><Relationship Id="rId742" Type="http://schemas.openxmlformats.org/officeDocument/2006/relationships/hyperlink" Target="https://www.mercadolibre.com.ar/reporting/activity/detail?id=50543385936" TargetMode="External"/><Relationship Id="rId1165" Type="http://schemas.openxmlformats.org/officeDocument/2006/relationships/hyperlink" Target="https://www.mercadolibre.com.ar/reporting/activity/detail?id=51115802717" TargetMode="External"/><Relationship Id="rId602" Type="http://schemas.openxmlformats.org/officeDocument/2006/relationships/hyperlink" Target="https://www.mercadolibre.com.ar/reporting/activity/detail?id=50453005695" TargetMode="External"/><Relationship Id="rId1025" Type="http://schemas.openxmlformats.org/officeDocument/2006/relationships/hyperlink" Target="https://www.mercadolibre.com.ar/reporting/activity/detail?id=50873477593" TargetMode="External"/><Relationship Id="rId1232" Type="http://schemas.openxmlformats.org/officeDocument/2006/relationships/hyperlink" Target="https://www.mercadolibre.com.ar/reporting/activity/detail?id=51131782197" TargetMode="External"/><Relationship Id="rId907" Type="http://schemas.openxmlformats.org/officeDocument/2006/relationships/hyperlink" Target="https://www.mercadolibre.com.ar/reporting/activity/detail?id=50797400633" TargetMode="External"/><Relationship Id="rId36" Type="http://schemas.openxmlformats.org/officeDocument/2006/relationships/hyperlink" Target="https://www.mercadolibre.com.ar/reporting/activity/detail?id=49833943702" TargetMode="External"/><Relationship Id="rId185" Type="http://schemas.openxmlformats.org/officeDocument/2006/relationships/hyperlink" Target="https://www.mercadolibre.com.ar/reporting/activity/detail?id=49897665405" TargetMode="External"/><Relationship Id="rId392" Type="http://schemas.openxmlformats.org/officeDocument/2006/relationships/hyperlink" Target="https://www.mercadolibre.com.ar/reporting/activity/detail?id=50181569561" TargetMode="External"/><Relationship Id="rId697" Type="http://schemas.openxmlformats.org/officeDocument/2006/relationships/hyperlink" Target="https://www.mercadolibre.com.ar/reporting/activity/detail?id=50539893940" TargetMode="External"/><Relationship Id="rId252" Type="http://schemas.openxmlformats.org/officeDocument/2006/relationships/hyperlink" Target="https://www.mercadolibre.com.ar/reporting/activity/detail?id=50081117742" TargetMode="External"/><Relationship Id="rId1187" Type="http://schemas.openxmlformats.org/officeDocument/2006/relationships/hyperlink" Target="https://www.mercadolibre.com.ar/reporting/activity/detail?id=51126607365" TargetMode="External"/><Relationship Id="rId112" Type="http://schemas.openxmlformats.org/officeDocument/2006/relationships/hyperlink" Target="https://www.mercadolibre.com.ar/reporting/activity/detail?id=49850423047" TargetMode="External"/><Relationship Id="rId557" Type="http://schemas.openxmlformats.org/officeDocument/2006/relationships/hyperlink" Target="https://www.mercadolibre.com.ar/reporting/activity/detail?id=50448002398" TargetMode="External"/><Relationship Id="rId764" Type="http://schemas.openxmlformats.org/officeDocument/2006/relationships/hyperlink" Target="https://www.mercadolibre.com.ar/reporting/activity/detail?id=50574197719" TargetMode="External"/><Relationship Id="rId971" Type="http://schemas.openxmlformats.org/officeDocument/2006/relationships/hyperlink" Target="https://www.mercadolibre.com.ar/reporting/activity/detail?id=50839243678" TargetMode="External"/><Relationship Id="rId417" Type="http://schemas.openxmlformats.org/officeDocument/2006/relationships/hyperlink" Target="https://www.mercadolibre.com.ar/reporting/activity/detail?id=50183321514" TargetMode="External"/><Relationship Id="rId624" Type="http://schemas.openxmlformats.org/officeDocument/2006/relationships/hyperlink" Target="https://www.mercadolibre.com.ar/reporting/activity/detail?id=50454442686" TargetMode="External"/><Relationship Id="rId831" Type="http://schemas.openxmlformats.org/officeDocument/2006/relationships/hyperlink" Target="https://www.mercadolibre.com.ar/reporting/activity/detail?id=50751507658" TargetMode="External"/><Relationship Id="rId1047" Type="http://schemas.openxmlformats.org/officeDocument/2006/relationships/hyperlink" Target="https://www.mercadolibre.com.ar/reporting/activity/detail?id=50876678518" TargetMode="External"/><Relationship Id="rId1254" Type="http://schemas.openxmlformats.org/officeDocument/2006/relationships/hyperlink" Target="https://www.mercadolibre.com.ar/reporting/activity/detail?id=51174667059" TargetMode="External"/><Relationship Id="rId929" Type="http://schemas.openxmlformats.org/officeDocument/2006/relationships/hyperlink" Target="https://www.mercadolibre.com.ar/reporting/activity/detail?id=50830839383" TargetMode="External"/><Relationship Id="rId1114" Type="http://schemas.openxmlformats.org/officeDocument/2006/relationships/hyperlink" Target="https://www.mercadolibre.com.ar/reporting/activity/detail?id=51075078022" TargetMode="External"/><Relationship Id="rId1321" Type="http://schemas.openxmlformats.org/officeDocument/2006/relationships/hyperlink" Target="https://www.mercadolibre.com.ar/reporting/activity/detail?id=49793841462" TargetMode="External"/><Relationship Id="rId58" Type="http://schemas.openxmlformats.org/officeDocument/2006/relationships/hyperlink" Target="https://www.mercadolibre.com.ar/reporting/activity/detail?id=49844474121" TargetMode="External"/><Relationship Id="rId274" Type="http://schemas.openxmlformats.org/officeDocument/2006/relationships/hyperlink" Target="https://www.mercadolibre.com.ar/reporting/activity/detail?id=50085695033" TargetMode="External"/><Relationship Id="rId481" Type="http://schemas.openxmlformats.org/officeDocument/2006/relationships/hyperlink" Target="https://www.mercadolibre.com.ar/reporting/activity/detail?id=50227398587" TargetMode="External"/><Relationship Id="rId134" Type="http://schemas.openxmlformats.org/officeDocument/2006/relationships/hyperlink" Target="https://www.mercadolibre.com.ar/reporting/activity/detail?id=49892900646" TargetMode="External"/><Relationship Id="rId579" Type="http://schemas.openxmlformats.org/officeDocument/2006/relationships/hyperlink" Target="https://www.mercadolibre.com.ar/reporting/activity/detail?id=50451092489" TargetMode="External"/><Relationship Id="rId786" Type="http://schemas.openxmlformats.org/officeDocument/2006/relationships/hyperlink" Target="https://www.mercadolibre.com.ar/reporting/activity/detail?id=50707122228" TargetMode="External"/><Relationship Id="rId993" Type="http://schemas.openxmlformats.org/officeDocument/2006/relationships/hyperlink" Target="https://www.mercadolibre.com.ar/reporting/activity/detail?id=50840693813" TargetMode="External"/><Relationship Id="rId341" Type="http://schemas.openxmlformats.org/officeDocument/2006/relationships/hyperlink" Target="https://www.mercadolibre.com.ar/reporting/activity/detail?id=50135454425" TargetMode="External"/><Relationship Id="rId439" Type="http://schemas.openxmlformats.org/officeDocument/2006/relationships/hyperlink" Target="https://www.mercadolibre.com.ar/reporting/activity/detail?id=50223618278" TargetMode="External"/><Relationship Id="rId646" Type="http://schemas.openxmlformats.org/officeDocument/2006/relationships/hyperlink" Target="https://www.mercadolibre.com.ar/reporting/activity/detail?id=50496200996" TargetMode="External"/><Relationship Id="rId1069" Type="http://schemas.openxmlformats.org/officeDocument/2006/relationships/hyperlink" Target="https://www.mercadolibre.com.ar/reporting/activity/detail?id=51024212327" TargetMode="External"/><Relationship Id="rId1276" Type="http://schemas.openxmlformats.org/officeDocument/2006/relationships/hyperlink" Target="https://www.mercadolibre.com.ar/reporting/activity/detail?id=51177567681" TargetMode="External"/><Relationship Id="rId201" Type="http://schemas.openxmlformats.org/officeDocument/2006/relationships/hyperlink" Target="https://www.mercadolibre.com.ar/reporting/activity/detail?id=49899096349" TargetMode="External"/><Relationship Id="rId506" Type="http://schemas.openxmlformats.org/officeDocument/2006/relationships/hyperlink" Target="https://www.mercadolibre.com.ar/reporting/activity/detail?id=50261885434" TargetMode="External"/><Relationship Id="rId853" Type="http://schemas.openxmlformats.org/officeDocument/2006/relationships/hyperlink" Target="https://www.mercadolibre.com.ar/reporting/activity/detail?id=50752968136" TargetMode="External"/><Relationship Id="rId1136" Type="http://schemas.openxmlformats.org/officeDocument/2006/relationships/hyperlink" Target="https://www.mercadolibre.com.ar/reporting/activity/detail?id=51076716350" TargetMode="External"/><Relationship Id="rId713" Type="http://schemas.openxmlformats.org/officeDocument/2006/relationships/hyperlink" Target="https://www.mercadolibre.com.ar/reporting/activity/detail?id=50541092486" TargetMode="External"/><Relationship Id="rId920" Type="http://schemas.openxmlformats.org/officeDocument/2006/relationships/hyperlink" Target="https://www.mercadolibre.com.ar/reporting/activity/detail?id=50798600238" TargetMode="External"/><Relationship Id="rId1203" Type="http://schemas.openxmlformats.org/officeDocument/2006/relationships/hyperlink" Target="https://www.mercadolibre.com.ar/reporting/activity/detail?id=51127913011" TargetMode="External"/><Relationship Id="rId296" Type="http://schemas.openxmlformats.org/officeDocument/2006/relationships/hyperlink" Target="https://www.mercadolibre.com.ar/reporting/activity/detail?id=50129862397" TargetMode="External"/><Relationship Id="rId156" Type="http://schemas.openxmlformats.org/officeDocument/2006/relationships/hyperlink" Target="https://www.mercadolibre.com.ar/reporting/activity/detail?id=49895309161" TargetMode="External"/><Relationship Id="rId363" Type="http://schemas.openxmlformats.org/officeDocument/2006/relationships/hyperlink" Target="https://www.mercadolibre.com.ar/reporting/activity/detail?id=50179058109" TargetMode="External"/><Relationship Id="rId570" Type="http://schemas.openxmlformats.org/officeDocument/2006/relationships/hyperlink" Target="https://www.mercadolibre.com.ar/reporting/activity/detail?id=50450056149" TargetMode="External"/><Relationship Id="rId223" Type="http://schemas.openxmlformats.org/officeDocument/2006/relationships/hyperlink" Target="https://www.mercadolibre.com.ar/reporting/activity/detail?id=49933848994" TargetMode="External"/><Relationship Id="rId430" Type="http://schemas.openxmlformats.org/officeDocument/2006/relationships/hyperlink" Target="https://www.mercadolibre.com.ar/reporting/activity/detail?id=50220825345" TargetMode="External"/><Relationship Id="rId668" Type="http://schemas.openxmlformats.org/officeDocument/2006/relationships/hyperlink" Target="https://www.mercadolibre.com.ar/reporting/activity/detail?id=50500548323" TargetMode="External"/><Relationship Id="rId875" Type="http://schemas.openxmlformats.org/officeDocument/2006/relationships/hyperlink" Target="https://www.mercadolibre.com.ar/reporting/activity/detail?id=50791210484" TargetMode="External"/><Relationship Id="rId1060" Type="http://schemas.openxmlformats.org/officeDocument/2006/relationships/hyperlink" Target="https://www.mercadolibre.com.ar/reporting/activity/detail?id=51020088068" TargetMode="External"/><Relationship Id="rId1298" Type="http://schemas.openxmlformats.org/officeDocument/2006/relationships/hyperlink" Target="https://www.mercadolibre.com.ar/reporting/activity/detail?id=49749107436" TargetMode="External"/><Relationship Id="rId528" Type="http://schemas.openxmlformats.org/officeDocument/2006/relationships/hyperlink" Target="https://www.mercadolibre.com.ar/reporting/activity/detail?id=50403435183" TargetMode="External"/><Relationship Id="rId735" Type="http://schemas.openxmlformats.org/officeDocument/2006/relationships/hyperlink" Target="https://www.mercadolibre.com.ar/reporting/activity/detail?id=50542879052" TargetMode="External"/><Relationship Id="rId942" Type="http://schemas.openxmlformats.org/officeDocument/2006/relationships/hyperlink" Target="https://www.mercadolibre.com.ar/reporting/activity/detail?id=50834750499" TargetMode="External"/><Relationship Id="rId1158" Type="http://schemas.openxmlformats.org/officeDocument/2006/relationships/hyperlink" Target="https://www.mercadolibre.com.ar/reporting/activity/detail?id=51078123640" TargetMode="External"/><Relationship Id="rId1018" Type="http://schemas.openxmlformats.org/officeDocument/2006/relationships/hyperlink" Target="https://www.mercadolibre.com.ar/reporting/activity/detail?id=50871994530" TargetMode="External"/><Relationship Id="rId1225" Type="http://schemas.openxmlformats.org/officeDocument/2006/relationships/hyperlink" Target="https://www.mercadolibre.com.ar/reporting/activity/detail?id=51130776120" TargetMode="External"/><Relationship Id="rId71" Type="http://schemas.openxmlformats.org/officeDocument/2006/relationships/hyperlink" Target="https://www.mercadolibre.com.ar/reporting/activity/detail?id=49846590300" TargetMode="External"/><Relationship Id="rId802" Type="http://schemas.openxmlformats.org/officeDocument/2006/relationships/hyperlink" Target="https://www.mercadolibre.com.ar/reporting/activity/detail?id=50747902185" TargetMode="External"/><Relationship Id="rId29" Type="http://schemas.openxmlformats.org/officeDocument/2006/relationships/hyperlink" Target="https://www.mercadolibre.com.ar/reporting/activity/detail?id=49797605975" TargetMode="External"/><Relationship Id="rId178" Type="http://schemas.openxmlformats.org/officeDocument/2006/relationships/hyperlink" Target="https://www.mercadolibre.com.ar/reporting/activity/detail?id=49896979768" TargetMode="External"/><Relationship Id="rId385" Type="http://schemas.openxmlformats.org/officeDocument/2006/relationships/hyperlink" Target="https://www.mercadolibre.com.ar/reporting/activity/detail?id=50180566560" TargetMode="External"/><Relationship Id="rId592" Type="http://schemas.openxmlformats.org/officeDocument/2006/relationships/hyperlink" Target="https://www.mercadolibre.com.ar/reporting/activity/detail?id=50452374820" TargetMode="External"/><Relationship Id="rId245" Type="http://schemas.openxmlformats.org/officeDocument/2006/relationships/hyperlink" Target="https://www.mercadolibre.com.ar/reporting/activity/detail?id=50077591694" TargetMode="External"/><Relationship Id="rId452" Type="http://schemas.openxmlformats.org/officeDocument/2006/relationships/hyperlink" Target="https://www.mercadolibre.com.ar/reporting/activity/detail?id=50225288423" TargetMode="External"/><Relationship Id="rId897" Type="http://schemas.openxmlformats.org/officeDocument/2006/relationships/hyperlink" Target="https://www.mercadolibre.com.ar/reporting/activity/detail?id=50795426542" TargetMode="External"/><Relationship Id="rId1082" Type="http://schemas.openxmlformats.org/officeDocument/2006/relationships/hyperlink" Target="https://www.mercadolibre.com.ar/reporting/activity/detail?id=51068461860" TargetMode="External"/><Relationship Id="rId105" Type="http://schemas.openxmlformats.org/officeDocument/2006/relationships/hyperlink" Target="https://www.mercadolibre.com.ar/reporting/activity/detail?id=49850057242" TargetMode="External"/><Relationship Id="rId312" Type="http://schemas.openxmlformats.org/officeDocument/2006/relationships/hyperlink" Target="https://www.mercadolibre.com.ar/reporting/activity/detail?id=50132718934" TargetMode="External"/><Relationship Id="rId757" Type="http://schemas.openxmlformats.org/officeDocument/2006/relationships/hyperlink" Target="https://www.mercadolibre.com.ar/reporting/activity/detail?id=50570765075" TargetMode="External"/><Relationship Id="rId964" Type="http://schemas.openxmlformats.org/officeDocument/2006/relationships/hyperlink" Target="https://www.mercadolibre.com.ar/reporting/activity/detail?id=50838547638" TargetMode="External"/><Relationship Id="rId93" Type="http://schemas.openxmlformats.org/officeDocument/2006/relationships/hyperlink" Target="https://www.mercadolibre.com.ar/reporting/activity/detail?id=49849096333" TargetMode="External"/><Relationship Id="rId617" Type="http://schemas.openxmlformats.org/officeDocument/2006/relationships/hyperlink" Target="https://www.mercadolibre.com.ar/reporting/activity/detail?id=50454050753" TargetMode="External"/><Relationship Id="rId824" Type="http://schemas.openxmlformats.org/officeDocument/2006/relationships/hyperlink" Target="https://www.mercadolibre.com.ar/reporting/activity/detail?id=50750433828" TargetMode="External"/><Relationship Id="rId1247" Type="http://schemas.openxmlformats.org/officeDocument/2006/relationships/hyperlink" Target="https://www.mercadolibre.com.ar/reporting/activity/detail?id=51174058771" TargetMode="External"/><Relationship Id="rId1107" Type="http://schemas.openxmlformats.org/officeDocument/2006/relationships/hyperlink" Target="https://www.mercadolibre.com.ar/reporting/activity/detail?id=51074220836" TargetMode="External"/><Relationship Id="rId1314" Type="http://schemas.openxmlformats.org/officeDocument/2006/relationships/hyperlink" Target="https://www.mercadolibre.com.ar/reporting/activity/detail?id=49792917465" TargetMode="External"/><Relationship Id="rId20" Type="http://schemas.openxmlformats.org/officeDocument/2006/relationships/hyperlink" Target="https://www.mercadolibre.com.ar/reporting/activity/detail?id=49796683596" TargetMode="External"/><Relationship Id="rId267" Type="http://schemas.openxmlformats.org/officeDocument/2006/relationships/hyperlink" Target="https://www.mercadolibre.com.ar/reporting/activity/detail?id=50083055414" TargetMode="External"/><Relationship Id="rId474" Type="http://schemas.openxmlformats.org/officeDocument/2006/relationships/hyperlink" Target="https://www.mercadolibre.com.ar/reporting/activity/detail?id=50226812629" TargetMode="External"/><Relationship Id="rId127" Type="http://schemas.openxmlformats.org/officeDocument/2006/relationships/hyperlink" Target="https://www.mercadolibre.com.ar/reporting/activity/detail?id=49888518478" TargetMode="External"/><Relationship Id="rId681" Type="http://schemas.openxmlformats.org/officeDocument/2006/relationships/hyperlink" Target="https://www.mercadolibre.com.ar/reporting/activity/detail?id=50537686450" TargetMode="External"/><Relationship Id="rId779" Type="http://schemas.openxmlformats.org/officeDocument/2006/relationships/hyperlink" Target="https://www.mercadolibre.com.ar/reporting/activity/detail?id=50702580063" TargetMode="External"/><Relationship Id="rId986" Type="http://schemas.openxmlformats.org/officeDocument/2006/relationships/hyperlink" Target="https://www.mercadolibre.com.ar/reporting/activity/detail?id=50840060799" TargetMode="External"/><Relationship Id="rId334" Type="http://schemas.openxmlformats.org/officeDocument/2006/relationships/hyperlink" Target="https://www.mercadolibre.com.ar/reporting/activity/detail?id=50135181090" TargetMode="External"/><Relationship Id="rId541" Type="http://schemas.openxmlformats.org/officeDocument/2006/relationships/hyperlink" Target="https://www.mercadolibre.com.ar/reporting/activity/detail?id=50407524208" TargetMode="External"/><Relationship Id="rId639" Type="http://schemas.openxmlformats.org/officeDocument/2006/relationships/hyperlink" Target="https://www.mercadolibre.com.ar/reporting/activity/detail?id=50493502721" TargetMode="External"/><Relationship Id="rId1171" Type="http://schemas.openxmlformats.org/officeDocument/2006/relationships/hyperlink" Target="https://www.mercadolibre.com.ar/reporting/activity/detail?id=51120584180" TargetMode="External"/><Relationship Id="rId1269" Type="http://schemas.openxmlformats.org/officeDocument/2006/relationships/hyperlink" Target="https://www.mercadolibre.com.ar/reporting/activity/detail?id=51177294982" TargetMode="External"/><Relationship Id="rId401" Type="http://schemas.openxmlformats.org/officeDocument/2006/relationships/hyperlink" Target="https://www.mercadolibre.com.ar/reporting/activity/detail?id=50182183700" TargetMode="External"/><Relationship Id="rId846" Type="http://schemas.openxmlformats.org/officeDocument/2006/relationships/hyperlink" Target="https://www.mercadolibre.com.ar/reporting/activity/detail?id=50752723305" TargetMode="External"/><Relationship Id="rId1031" Type="http://schemas.openxmlformats.org/officeDocument/2006/relationships/hyperlink" Target="https://www.mercadolibre.com.ar/reporting/activity/detail?id=50875231557" TargetMode="External"/><Relationship Id="rId1129" Type="http://schemas.openxmlformats.org/officeDocument/2006/relationships/hyperlink" Target="https://www.mercadolibre.com.ar/reporting/activity/detail?id=51076097235" TargetMode="External"/><Relationship Id="rId706" Type="http://schemas.openxmlformats.org/officeDocument/2006/relationships/hyperlink" Target="https://www.mercadolibre.com.ar/reporting/activity/detail?id=50540476886" TargetMode="External"/><Relationship Id="rId913" Type="http://schemas.openxmlformats.org/officeDocument/2006/relationships/hyperlink" Target="https://www.mercadolibre.com.ar/reporting/activity/detail?id=50798096935" TargetMode="External"/><Relationship Id="rId42" Type="http://schemas.openxmlformats.org/officeDocument/2006/relationships/hyperlink" Target="https://www.mercadolibre.com.ar/reporting/activity/detail?id=49841416398" TargetMode="External"/><Relationship Id="rId191" Type="http://schemas.openxmlformats.org/officeDocument/2006/relationships/hyperlink" Target="https://www.mercadolibre.com.ar/reporting/activity/detail?id=49898144499" TargetMode="External"/><Relationship Id="rId289" Type="http://schemas.openxmlformats.org/officeDocument/2006/relationships/hyperlink" Target="https://www.mercadolibre.com.ar/reporting/activity/detail?id=50128399376" TargetMode="External"/><Relationship Id="rId496" Type="http://schemas.openxmlformats.org/officeDocument/2006/relationships/hyperlink" Target="https://www.mercadolibre.com.ar/reporting/activity/detail?id=50257002417" TargetMode="External"/><Relationship Id="rId149" Type="http://schemas.openxmlformats.org/officeDocument/2006/relationships/hyperlink" Target="https://www.mercadolibre.com.ar/reporting/activity/detail?id=49895032680" TargetMode="External"/><Relationship Id="rId356" Type="http://schemas.openxmlformats.org/officeDocument/2006/relationships/hyperlink" Target="https://www.mercadolibre.com.ar/reporting/activity/detail?id=50177817003" TargetMode="External"/><Relationship Id="rId563" Type="http://schemas.openxmlformats.org/officeDocument/2006/relationships/hyperlink" Target="https://www.mercadolibre.com.ar/reporting/activity/detail?id=50449449778" TargetMode="External"/><Relationship Id="rId770" Type="http://schemas.openxmlformats.org/officeDocument/2006/relationships/hyperlink" Target="https://www.mercadolibre.com.ar/reporting/activity/detail?id=50576182606" TargetMode="External"/><Relationship Id="rId1193" Type="http://schemas.openxmlformats.org/officeDocument/2006/relationships/hyperlink" Target="https://www.mercadolibre.com.ar/reporting/activity/detail?id=51126970482" TargetMode="External"/><Relationship Id="rId216" Type="http://schemas.openxmlformats.org/officeDocument/2006/relationships/hyperlink" Target="https://www.mercadolibre.com.ar/reporting/activity/detail?id=49931393319" TargetMode="External"/><Relationship Id="rId423" Type="http://schemas.openxmlformats.org/officeDocument/2006/relationships/hyperlink" Target="https://www.mercadolibre.com.ar/reporting/activity/detail?id=50218663206" TargetMode="External"/><Relationship Id="rId868" Type="http://schemas.openxmlformats.org/officeDocument/2006/relationships/hyperlink" Target="https://www.mercadolibre.com.ar/reporting/activity/detail?id=50788497189" TargetMode="External"/><Relationship Id="rId1053" Type="http://schemas.openxmlformats.org/officeDocument/2006/relationships/hyperlink" Target="https://www.mercadolibre.com.ar/reporting/activity/detail?id=50877294721" TargetMode="External"/><Relationship Id="rId1260" Type="http://schemas.openxmlformats.org/officeDocument/2006/relationships/hyperlink" Target="https://www.mercadolibre.com.ar/reporting/activity/detail?id=51175813085" TargetMode="External"/><Relationship Id="rId630" Type="http://schemas.openxmlformats.org/officeDocument/2006/relationships/hyperlink" Target="https://www.mercadolibre.com.ar/reporting/activity/detail?id=50454534824" TargetMode="External"/><Relationship Id="rId728" Type="http://schemas.openxmlformats.org/officeDocument/2006/relationships/hyperlink" Target="https://www.mercadolibre.com.ar/reporting/activity/detail?id=50542322178" TargetMode="External"/><Relationship Id="rId935" Type="http://schemas.openxmlformats.org/officeDocument/2006/relationships/hyperlink" Target="https://www.mercadolibre.com.ar/reporting/activity/detail?id=50833240386" TargetMode="External"/><Relationship Id="rId64" Type="http://schemas.openxmlformats.org/officeDocument/2006/relationships/hyperlink" Target="https://www.mercadolibre.com.ar/reporting/activity/detail?id=49845852744" TargetMode="External"/><Relationship Id="rId1120" Type="http://schemas.openxmlformats.org/officeDocument/2006/relationships/hyperlink" Target="https://www.mercadolibre.com.ar/reporting/activity/detail?id=51075465472" TargetMode="External"/><Relationship Id="rId1218" Type="http://schemas.openxmlformats.org/officeDocument/2006/relationships/hyperlink" Target="https://www.mercadolibre.com.ar/reporting/activity/detail?id=51130231328" TargetMode="External"/><Relationship Id="rId280" Type="http://schemas.openxmlformats.org/officeDocument/2006/relationships/hyperlink" Target="https://www.mercadolibre.com.ar/reporting/activity/detail?id=50126141239" TargetMode="External"/><Relationship Id="rId140" Type="http://schemas.openxmlformats.org/officeDocument/2006/relationships/hyperlink" Target="https://www.mercadolibre.com.ar/reporting/activity/detail?id=49893927473" TargetMode="External"/><Relationship Id="rId378" Type="http://schemas.openxmlformats.org/officeDocument/2006/relationships/hyperlink" Target="https://www.mercadolibre.com.ar/reporting/activity/detail?id=50180079515" TargetMode="External"/><Relationship Id="rId585" Type="http://schemas.openxmlformats.org/officeDocument/2006/relationships/hyperlink" Target="https://www.mercadolibre.com.ar/reporting/activity/detail?id=50451766973" TargetMode="External"/><Relationship Id="rId792" Type="http://schemas.openxmlformats.org/officeDocument/2006/relationships/hyperlink" Target="https://www.mercadolibre.com.ar/reporting/activity/detail?id=50743955977" TargetMode="External"/><Relationship Id="rId6" Type="http://schemas.openxmlformats.org/officeDocument/2006/relationships/hyperlink" Target="https://www.mercadolibre.com.ar/reporting/activity/detail?id=49795343672" TargetMode="External"/><Relationship Id="rId238" Type="http://schemas.openxmlformats.org/officeDocument/2006/relationships/hyperlink" Target="https://www.mercadolibre.com.ar/reporting/activity/detail?id=49937603430" TargetMode="External"/><Relationship Id="rId445" Type="http://schemas.openxmlformats.org/officeDocument/2006/relationships/hyperlink" Target="https://www.mercadolibre.com.ar/reporting/activity/detail?id=50224386372" TargetMode="External"/><Relationship Id="rId652" Type="http://schemas.openxmlformats.org/officeDocument/2006/relationships/hyperlink" Target="https://www.mercadolibre.com.ar/reporting/activity/detail?id=50497596452" TargetMode="External"/><Relationship Id="rId1075" Type="http://schemas.openxmlformats.org/officeDocument/2006/relationships/hyperlink" Target="https://www.mercadolibre.com.ar/reporting/activity/detail?id=51025769014" TargetMode="External"/><Relationship Id="rId1282" Type="http://schemas.openxmlformats.org/officeDocument/2006/relationships/hyperlink" Target="https://www.mercadolibre.com.ar/reporting/activity/detail?id=49612282830" TargetMode="External"/><Relationship Id="rId291" Type="http://schemas.openxmlformats.org/officeDocument/2006/relationships/hyperlink" Target="https://www.mercadolibre.com.ar/reporting/activity/detail?id=50128738792" TargetMode="External"/><Relationship Id="rId305" Type="http://schemas.openxmlformats.org/officeDocument/2006/relationships/hyperlink" Target="https://www.mercadolibre.com.ar/reporting/activity/detail?id=50131703468" TargetMode="External"/><Relationship Id="rId512" Type="http://schemas.openxmlformats.org/officeDocument/2006/relationships/hyperlink" Target="https://www.mercadolibre.com.ar/reporting/activity/detail?id=50262943919" TargetMode="External"/><Relationship Id="rId957" Type="http://schemas.openxmlformats.org/officeDocument/2006/relationships/hyperlink" Target="https://www.mercadolibre.com.ar/reporting/activity/detail?id=50837779653" TargetMode="External"/><Relationship Id="rId1142" Type="http://schemas.openxmlformats.org/officeDocument/2006/relationships/hyperlink" Target="https://www.mercadolibre.com.ar/reporting/activity/detail?id=51077036011" TargetMode="External"/><Relationship Id="rId86" Type="http://schemas.openxmlformats.org/officeDocument/2006/relationships/hyperlink" Target="https://www.mercadolibre.com.ar/reporting/activity/detail?id=49848596542" TargetMode="External"/><Relationship Id="rId151" Type="http://schemas.openxmlformats.org/officeDocument/2006/relationships/hyperlink" Target="https://www.mercadolibre.com.ar/reporting/activity/detail?id=49895161368" TargetMode="External"/><Relationship Id="rId389" Type="http://schemas.openxmlformats.org/officeDocument/2006/relationships/hyperlink" Target="https://www.mercadolibre.com.ar/reporting/activity/detail?id=50181144437" TargetMode="External"/><Relationship Id="rId596" Type="http://schemas.openxmlformats.org/officeDocument/2006/relationships/hyperlink" Target="https://www.mercadolibre.com.ar/reporting/activity/detail?id=50452611068" TargetMode="External"/><Relationship Id="rId817" Type="http://schemas.openxmlformats.org/officeDocument/2006/relationships/hyperlink" Target="https://www.mercadolibre.com.ar/reporting/activity/detail?id=50749710937" TargetMode="External"/><Relationship Id="rId1002" Type="http://schemas.openxmlformats.org/officeDocument/2006/relationships/hyperlink" Target="https://www.mercadolibre.com.ar/reporting/activity/detail?id=50841278981" TargetMode="External"/><Relationship Id="rId249" Type="http://schemas.openxmlformats.org/officeDocument/2006/relationships/hyperlink" Target="https://www.mercadolibre.com.ar/reporting/activity/detail?id=50079969315" TargetMode="External"/><Relationship Id="rId456" Type="http://schemas.openxmlformats.org/officeDocument/2006/relationships/hyperlink" Target="https://www.mercadolibre.com.ar/reporting/activity/detail?id=50225550053" TargetMode="External"/><Relationship Id="rId663" Type="http://schemas.openxmlformats.org/officeDocument/2006/relationships/hyperlink" Target="https://www.mercadolibre.com.ar/reporting/activity/detail?id=50500168813" TargetMode="External"/><Relationship Id="rId870" Type="http://schemas.openxmlformats.org/officeDocument/2006/relationships/hyperlink" Target="https://www.mercadolibre.com.ar/reporting/activity/detail?id=50788876826" TargetMode="External"/><Relationship Id="rId1086" Type="http://schemas.openxmlformats.org/officeDocument/2006/relationships/hyperlink" Target="https://www.mercadolibre.com.ar/reporting/activity/detail?id=51071698369" TargetMode="External"/><Relationship Id="rId1293" Type="http://schemas.openxmlformats.org/officeDocument/2006/relationships/hyperlink" Target="https://www.mercadolibre.com.ar/reporting/activity/detail?id=49747941888" TargetMode="External"/><Relationship Id="rId1307" Type="http://schemas.openxmlformats.org/officeDocument/2006/relationships/hyperlink" Target="https://www.mercadolibre.com.ar/reporting/activity/detail?id=49790790742" TargetMode="External"/><Relationship Id="rId13" Type="http://schemas.openxmlformats.org/officeDocument/2006/relationships/hyperlink" Target="https://www.mercadolibre.com.ar/reporting/activity/detail?id=49796024358" TargetMode="External"/><Relationship Id="rId109" Type="http://schemas.openxmlformats.org/officeDocument/2006/relationships/hyperlink" Target="https://www.mercadolibre.com.ar/reporting/activity/detail?id=49850365454" TargetMode="External"/><Relationship Id="rId316" Type="http://schemas.openxmlformats.org/officeDocument/2006/relationships/hyperlink" Target="https://www.mercadolibre.com.ar/reporting/activity/detail?id=50133389348" TargetMode="External"/><Relationship Id="rId523" Type="http://schemas.openxmlformats.org/officeDocument/2006/relationships/hyperlink" Target="https://www.mercadolibre.com.ar/reporting/activity/detail?id=50264578799" TargetMode="External"/><Relationship Id="rId968" Type="http://schemas.openxmlformats.org/officeDocument/2006/relationships/hyperlink" Target="https://www.mercadolibre.com.ar/reporting/activity/detail?id=50838788650" TargetMode="External"/><Relationship Id="rId1153" Type="http://schemas.openxmlformats.org/officeDocument/2006/relationships/hyperlink" Target="https://www.mercadolibre.com.ar/reporting/activity/detail?id=51077855664" TargetMode="External"/><Relationship Id="rId97" Type="http://schemas.openxmlformats.org/officeDocument/2006/relationships/hyperlink" Target="https://www.mercadolibre.com.ar/reporting/activity/detail?id=49849378827" TargetMode="External"/><Relationship Id="rId730" Type="http://schemas.openxmlformats.org/officeDocument/2006/relationships/hyperlink" Target="https://www.mercadolibre.com.ar/reporting/activity/detail?id=50542671473" TargetMode="External"/><Relationship Id="rId828" Type="http://schemas.openxmlformats.org/officeDocument/2006/relationships/hyperlink" Target="https://www.mercadolibre.com.ar/reporting/activity/detail?id=50750899352" TargetMode="External"/><Relationship Id="rId1013" Type="http://schemas.openxmlformats.org/officeDocument/2006/relationships/hyperlink" Target="https://www.mercadolibre.com.ar/reporting/activity/detail?id=50870621588" TargetMode="External"/><Relationship Id="rId162" Type="http://schemas.openxmlformats.org/officeDocument/2006/relationships/hyperlink" Target="https://www.mercadolibre.com.ar/reporting/activity/detail?id=49895994573" TargetMode="External"/><Relationship Id="rId467" Type="http://schemas.openxmlformats.org/officeDocument/2006/relationships/hyperlink" Target="https://www.mercadolibre.com.ar/reporting/activity/detail?id=50226591323" TargetMode="External"/><Relationship Id="rId1097" Type="http://schemas.openxmlformats.org/officeDocument/2006/relationships/hyperlink" Target="https://www.mercadolibre.com.ar/reporting/activity/detail?id=51072976223" TargetMode="External"/><Relationship Id="rId1220" Type="http://schemas.openxmlformats.org/officeDocument/2006/relationships/hyperlink" Target="https://www.mercadolibre.com.ar/reporting/activity/detail?id=51130250652" TargetMode="External"/><Relationship Id="rId1318" Type="http://schemas.openxmlformats.org/officeDocument/2006/relationships/hyperlink" Target="https://www.mercadolibre.com.ar/reporting/activity/detail?id=49793609477" TargetMode="External"/><Relationship Id="rId674" Type="http://schemas.openxmlformats.org/officeDocument/2006/relationships/hyperlink" Target="https://www.mercadolibre.com.ar/reporting/activity/detail?id=50535236729" TargetMode="External"/><Relationship Id="rId881" Type="http://schemas.openxmlformats.org/officeDocument/2006/relationships/hyperlink" Target="https://www.mercadolibre.com.ar/reporting/activity/detail?id=50792956263" TargetMode="External"/><Relationship Id="rId979" Type="http://schemas.openxmlformats.org/officeDocument/2006/relationships/hyperlink" Target="https://www.mercadolibre.com.ar/reporting/activity/detail?id=50839858711" TargetMode="External"/><Relationship Id="rId24" Type="http://schemas.openxmlformats.org/officeDocument/2006/relationships/hyperlink" Target="https://www.mercadolibre.com.ar/reporting/activity/detail?id=49797290210" TargetMode="External"/><Relationship Id="rId327" Type="http://schemas.openxmlformats.org/officeDocument/2006/relationships/hyperlink" Target="https://www.mercadolibre.com.ar/reporting/activity/detail?id=50134553562" TargetMode="External"/><Relationship Id="rId534" Type="http://schemas.openxmlformats.org/officeDocument/2006/relationships/hyperlink" Target="https://www.mercadolibre.com.ar/reporting/activity/detail?id=50406192140" TargetMode="External"/><Relationship Id="rId741" Type="http://schemas.openxmlformats.org/officeDocument/2006/relationships/hyperlink" Target="https://www.mercadolibre.com.ar/reporting/activity/detail?id=50543359099" TargetMode="External"/><Relationship Id="rId839" Type="http://schemas.openxmlformats.org/officeDocument/2006/relationships/hyperlink" Target="https://www.mercadolibre.com.ar/reporting/activity/detail?id=50752189330" TargetMode="External"/><Relationship Id="rId1164" Type="http://schemas.openxmlformats.org/officeDocument/2006/relationships/hyperlink" Target="https://www.mercadolibre.com.ar/reporting/activity/detail?id=51078309863" TargetMode="External"/><Relationship Id="rId173" Type="http://schemas.openxmlformats.org/officeDocument/2006/relationships/hyperlink" Target="https://www.mercadolibre.com.ar/reporting/activity/detail?id=49896756582" TargetMode="External"/><Relationship Id="rId380" Type="http://schemas.openxmlformats.org/officeDocument/2006/relationships/hyperlink" Target="https://www.mercadolibre.com.ar/reporting/activity/detail?id=50180402691" TargetMode="External"/><Relationship Id="rId601" Type="http://schemas.openxmlformats.org/officeDocument/2006/relationships/hyperlink" Target="https://www.mercadolibre.com.ar/reporting/activity/detail?id=50452971197" TargetMode="External"/><Relationship Id="rId1024" Type="http://schemas.openxmlformats.org/officeDocument/2006/relationships/hyperlink" Target="https://www.mercadolibre.com.ar/reporting/activity/detail?id=50873415799" TargetMode="External"/><Relationship Id="rId1231" Type="http://schemas.openxmlformats.org/officeDocument/2006/relationships/hyperlink" Target="https://www.mercadolibre.com.ar/reporting/activity/detail?id=51131768298" TargetMode="External"/><Relationship Id="rId240" Type="http://schemas.openxmlformats.org/officeDocument/2006/relationships/hyperlink" Target="https://www.mercadolibre.com.ar/reporting/activity/detail?id=50074231307" TargetMode="External"/><Relationship Id="rId478" Type="http://schemas.openxmlformats.org/officeDocument/2006/relationships/hyperlink" Target="https://www.mercadolibre.com.ar/reporting/activity/detail?id=50227024349" TargetMode="External"/><Relationship Id="rId685" Type="http://schemas.openxmlformats.org/officeDocument/2006/relationships/hyperlink" Target="https://www.mercadolibre.com.ar/reporting/activity/detail?id=50538720211" TargetMode="External"/><Relationship Id="rId892" Type="http://schemas.openxmlformats.org/officeDocument/2006/relationships/hyperlink" Target="https://www.mercadolibre.com.ar/reporting/activity/detail?id=50794879306" TargetMode="External"/><Relationship Id="rId906" Type="http://schemas.openxmlformats.org/officeDocument/2006/relationships/hyperlink" Target="https://www.mercadolibre.com.ar/reporting/activity/detail?id=50797215601" TargetMode="External"/><Relationship Id="rId1329" Type="http://schemas.openxmlformats.org/officeDocument/2006/relationships/hyperlink" Target="https://www.mercadolibre.com.ar/reporting/activity/detail?id=49794552129" TargetMode="External"/><Relationship Id="rId35" Type="http://schemas.openxmlformats.org/officeDocument/2006/relationships/hyperlink" Target="https://www.mercadolibre.com.ar/reporting/activity/detail?id=49797749246" TargetMode="External"/><Relationship Id="rId100" Type="http://schemas.openxmlformats.org/officeDocument/2006/relationships/hyperlink" Target="https://www.mercadolibre.com.ar/reporting/activity/detail?id=49849648013" TargetMode="External"/><Relationship Id="rId338" Type="http://schemas.openxmlformats.org/officeDocument/2006/relationships/hyperlink" Target="https://www.mercadolibre.com.ar/reporting/activity/detail?id=50135369881" TargetMode="External"/><Relationship Id="rId545" Type="http://schemas.openxmlformats.org/officeDocument/2006/relationships/hyperlink" Target="https://www.mercadolibre.com.ar/reporting/activity/detail?id=50408974603" TargetMode="External"/><Relationship Id="rId752" Type="http://schemas.openxmlformats.org/officeDocument/2006/relationships/hyperlink" Target="https://www.mercadolibre.com.ar/reporting/activity/detail?id=50543826145" TargetMode="External"/><Relationship Id="rId1175" Type="http://schemas.openxmlformats.org/officeDocument/2006/relationships/hyperlink" Target="https://www.mercadolibre.com.ar/reporting/activity/detail?id=51122618011" TargetMode="External"/><Relationship Id="rId184" Type="http://schemas.openxmlformats.org/officeDocument/2006/relationships/hyperlink" Target="https://www.mercadolibre.com.ar/reporting/activity/detail?id=49897478233" TargetMode="External"/><Relationship Id="rId391" Type="http://schemas.openxmlformats.org/officeDocument/2006/relationships/hyperlink" Target="https://www.mercadolibre.com.ar/reporting/activity/detail?id=50181458350" TargetMode="External"/><Relationship Id="rId405" Type="http://schemas.openxmlformats.org/officeDocument/2006/relationships/hyperlink" Target="https://www.mercadolibre.com.ar/reporting/activity/detail?id=50182411537" TargetMode="External"/><Relationship Id="rId612" Type="http://schemas.openxmlformats.org/officeDocument/2006/relationships/hyperlink" Target="https://www.mercadolibre.com.ar/reporting/activity/detail?id=50453693716" TargetMode="External"/><Relationship Id="rId1035" Type="http://schemas.openxmlformats.org/officeDocument/2006/relationships/hyperlink" Target="https://www.mercadolibre.com.ar/reporting/activity/detail?id=50875864405" TargetMode="External"/><Relationship Id="rId1242" Type="http://schemas.openxmlformats.org/officeDocument/2006/relationships/hyperlink" Target="https://www.mercadolibre.com.ar/reporting/activity/detail?id=51172508651" TargetMode="External"/><Relationship Id="rId251" Type="http://schemas.openxmlformats.org/officeDocument/2006/relationships/hyperlink" Target="https://www.mercadolibre.com.ar/reporting/activity/detail?id=50081030178" TargetMode="External"/><Relationship Id="rId489" Type="http://schemas.openxmlformats.org/officeDocument/2006/relationships/hyperlink" Target="https://www.mercadolibre.com.ar/reporting/activity/detail?id=50227867847" TargetMode="External"/><Relationship Id="rId696" Type="http://schemas.openxmlformats.org/officeDocument/2006/relationships/hyperlink" Target="https://www.mercadolibre.com.ar/reporting/activity/detail?id=50539711791" TargetMode="External"/><Relationship Id="rId917" Type="http://schemas.openxmlformats.org/officeDocument/2006/relationships/hyperlink" Target="https://www.mercadolibre.com.ar/reporting/activity/detail?id=50798320658" TargetMode="External"/><Relationship Id="rId1102" Type="http://schemas.openxmlformats.org/officeDocument/2006/relationships/hyperlink" Target="https://www.mercadolibre.com.ar/reporting/activity/detail?id=51073905240" TargetMode="External"/><Relationship Id="rId46" Type="http://schemas.openxmlformats.org/officeDocument/2006/relationships/hyperlink" Target="https://www.mercadolibre.com.ar/reporting/activity/detail?id=49842410705" TargetMode="External"/><Relationship Id="rId349" Type="http://schemas.openxmlformats.org/officeDocument/2006/relationships/hyperlink" Target="https://www.mercadolibre.com.ar/reporting/activity/detail?id=50176790888" TargetMode="External"/><Relationship Id="rId556" Type="http://schemas.openxmlformats.org/officeDocument/2006/relationships/hyperlink" Target="https://www.mercadolibre.com.ar/reporting/activity/detail?id=50447890784" TargetMode="External"/><Relationship Id="rId763" Type="http://schemas.openxmlformats.org/officeDocument/2006/relationships/hyperlink" Target="https://www.mercadolibre.com.ar/reporting/activity/detail?id=50574068184" TargetMode="External"/><Relationship Id="rId1186" Type="http://schemas.openxmlformats.org/officeDocument/2006/relationships/hyperlink" Target="https://www.mercadolibre.com.ar/reporting/activity/detail?id=51126503699" TargetMode="External"/><Relationship Id="rId111" Type="http://schemas.openxmlformats.org/officeDocument/2006/relationships/hyperlink" Target="https://www.mercadolibre.com.ar/reporting/activity/detail?id=49850413623" TargetMode="External"/><Relationship Id="rId195" Type="http://schemas.openxmlformats.org/officeDocument/2006/relationships/hyperlink" Target="https://www.mercadolibre.com.ar/reporting/activity/detail?id=49898367851" TargetMode="External"/><Relationship Id="rId209" Type="http://schemas.openxmlformats.org/officeDocument/2006/relationships/hyperlink" Target="https://www.mercadolibre.com.ar/reporting/activity/detail?id=49899628474" TargetMode="External"/><Relationship Id="rId416" Type="http://schemas.openxmlformats.org/officeDocument/2006/relationships/hyperlink" Target="https://www.mercadolibre.com.ar/reporting/activity/detail?id=50183317408" TargetMode="External"/><Relationship Id="rId970" Type="http://schemas.openxmlformats.org/officeDocument/2006/relationships/hyperlink" Target="https://www.mercadolibre.com.ar/reporting/activity/detail?id=50839060330" TargetMode="External"/><Relationship Id="rId1046" Type="http://schemas.openxmlformats.org/officeDocument/2006/relationships/hyperlink" Target="https://www.mercadolibre.com.ar/reporting/activity/detail?id=50876525914" TargetMode="External"/><Relationship Id="rId1253" Type="http://schemas.openxmlformats.org/officeDocument/2006/relationships/hyperlink" Target="https://www.mercadolibre.com.ar/reporting/activity/detail?id=51174474689" TargetMode="External"/><Relationship Id="rId623" Type="http://schemas.openxmlformats.org/officeDocument/2006/relationships/hyperlink" Target="https://www.mercadolibre.com.ar/reporting/activity/detail?id=50454275691" TargetMode="External"/><Relationship Id="rId830" Type="http://schemas.openxmlformats.org/officeDocument/2006/relationships/hyperlink" Target="https://www.mercadolibre.com.ar/reporting/activity/detail?id=50751297937" TargetMode="External"/><Relationship Id="rId928" Type="http://schemas.openxmlformats.org/officeDocument/2006/relationships/hyperlink" Target="https://www.mercadolibre.com.ar/reporting/activity/detail?id=50829638268" TargetMode="External"/><Relationship Id="rId57" Type="http://schemas.openxmlformats.org/officeDocument/2006/relationships/hyperlink" Target="https://www.mercadolibre.com.ar/reporting/activity/detail?id=49844418444" TargetMode="External"/><Relationship Id="rId262" Type="http://schemas.openxmlformats.org/officeDocument/2006/relationships/hyperlink" Target="https://www.mercadolibre.com.ar/reporting/activity/detail?id=50082114725" TargetMode="External"/><Relationship Id="rId567" Type="http://schemas.openxmlformats.org/officeDocument/2006/relationships/hyperlink" Target="https://www.mercadolibre.com.ar/reporting/activity/detail?id=50449742746" TargetMode="External"/><Relationship Id="rId1113" Type="http://schemas.openxmlformats.org/officeDocument/2006/relationships/hyperlink" Target="https://www.mercadolibre.com.ar/reporting/activity/detail?id=51074996784" TargetMode="External"/><Relationship Id="rId1197" Type="http://schemas.openxmlformats.org/officeDocument/2006/relationships/hyperlink" Target="https://www.mercadolibre.com.ar/reporting/activity/detail?id=51127319691" TargetMode="External"/><Relationship Id="rId1320" Type="http://schemas.openxmlformats.org/officeDocument/2006/relationships/hyperlink" Target="https://www.mercadolibre.com.ar/reporting/activity/detail?id=49793799379" TargetMode="External"/><Relationship Id="rId122" Type="http://schemas.openxmlformats.org/officeDocument/2006/relationships/hyperlink" Target="https://www.mercadolibre.com.ar/reporting/activity/detail?id=49851471205" TargetMode="External"/><Relationship Id="rId774" Type="http://schemas.openxmlformats.org/officeDocument/2006/relationships/hyperlink" Target="https://www.mercadolibre.com.ar/reporting/activity/detail?id=50576278262" TargetMode="External"/><Relationship Id="rId981" Type="http://schemas.openxmlformats.org/officeDocument/2006/relationships/hyperlink" Target="https://www.mercadolibre.com.ar/reporting/activity/detail?id=50839893733" TargetMode="External"/><Relationship Id="rId1057" Type="http://schemas.openxmlformats.org/officeDocument/2006/relationships/hyperlink" Target="https://www.mercadolibre.com.ar/reporting/activity/detail?id=51014460439" TargetMode="External"/><Relationship Id="rId427" Type="http://schemas.openxmlformats.org/officeDocument/2006/relationships/hyperlink" Target="https://www.mercadolibre.com.ar/reporting/activity/detail?id=50220044354" TargetMode="External"/><Relationship Id="rId634" Type="http://schemas.openxmlformats.org/officeDocument/2006/relationships/hyperlink" Target="https://www.mercadolibre.com.ar/reporting/activity/detail?id=50490675382" TargetMode="External"/><Relationship Id="rId841" Type="http://schemas.openxmlformats.org/officeDocument/2006/relationships/hyperlink" Target="https://www.mercadolibre.com.ar/reporting/activity/detail?id=50752335527" TargetMode="External"/><Relationship Id="rId1264" Type="http://schemas.openxmlformats.org/officeDocument/2006/relationships/hyperlink" Target="https://www.mercadolibre.com.ar/reporting/activity/detail?id=51176784627" TargetMode="External"/><Relationship Id="rId273" Type="http://schemas.openxmlformats.org/officeDocument/2006/relationships/hyperlink" Target="https://www.mercadolibre.com.ar/reporting/activity/detail?id=50085476679" TargetMode="External"/><Relationship Id="rId480" Type="http://schemas.openxmlformats.org/officeDocument/2006/relationships/hyperlink" Target="https://www.mercadolibre.com.ar/reporting/activity/detail?id=50227342961" TargetMode="External"/><Relationship Id="rId701" Type="http://schemas.openxmlformats.org/officeDocument/2006/relationships/hyperlink" Target="https://www.mercadolibre.com.ar/reporting/activity/detail?id=50540124755" TargetMode="External"/><Relationship Id="rId939" Type="http://schemas.openxmlformats.org/officeDocument/2006/relationships/hyperlink" Target="https://www.mercadolibre.com.ar/reporting/activity/detail?id=50834264265" TargetMode="External"/><Relationship Id="rId1124" Type="http://schemas.openxmlformats.org/officeDocument/2006/relationships/hyperlink" Target="https://www.mercadolibre.com.ar/reporting/activity/detail?id=51075756052" TargetMode="External"/><Relationship Id="rId1331" Type="http://schemas.openxmlformats.org/officeDocument/2006/relationships/hyperlink" Target="https://www.mercadolibre.com.ar/reporting/activity/detail?id=49794659850" TargetMode="External"/><Relationship Id="rId68" Type="http://schemas.openxmlformats.org/officeDocument/2006/relationships/hyperlink" Target="https://www.mercadolibre.com.ar/reporting/activity/detail?id=49846367719" TargetMode="External"/><Relationship Id="rId133" Type="http://schemas.openxmlformats.org/officeDocument/2006/relationships/hyperlink" Target="https://www.mercadolibre.com.ar/reporting/activity/detail?id=49892250652" TargetMode="External"/><Relationship Id="rId340" Type="http://schemas.openxmlformats.org/officeDocument/2006/relationships/hyperlink" Target="https://www.mercadolibre.com.ar/reporting/activity/detail?id=50135405693" TargetMode="External"/><Relationship Id="rId578" Type="http://schemas.openxmlformats.org/officeDocument/2006/relationships/hyperlink" Target="https://www.mercadolibre.com.ar/reporting/activity/detail?id=50450743161" TargetMode="External"/><Relationship Id="rId785" Type="http://schemas.openxmlformats.org/officeDocument/2006/relationships/hyperlink" Target="https://www.mercadolibre.com.ar/reporting/activity/detail?id=50707097104" TargetMode="External"/><Relationship Id="rId992" Type="http://schemas.openxmlformats.org/officeDocument/2006/relationships/hyperlink" Target="https://www.mercadolibre.com.ar/reporting/activity/detail?id=50840688617" TargetMode="External"/><Relationship Id="rId200" Type="http://schemas.openxmlformats.org/officeDocument/2006/relationships/hyperlink" Target="https://www.mercadolibre.com.ar/reporting/activity/detail?id=49899053776" TargetMode="External"/><Relationship Id="rId438" Type="http://schemas.openxmlformats.org/officeDocument/2006/relationships/hyperlink" Target="https://www.mercadolibre.com.ar/reporting/activity/detail?id=50223571707" TargetMode="External"/><Relationship Id="rId645" Type="http://schemas.openxmlformats.org/officeDocument/2006/relationships/hyperlink" Target="https://www.mercadolibre.com.ar/reporting/activity/detail?id=50496190488" TargetMode="External"/><Relationship Id="rId852" Type="http://schemas.openxmlformats.org/officeDocument/2006/relationships/hyperlink" Target="https://www.mercadolibre.com.ar/reporting/activity/detail?id=50752946394" TargetMode="External"/><Relationship Id="rId1068" Type="http://schemas.openxmlformats.org/officeDocument/2006/relationships/hyperlink" Target="https://www.mercadolibre.com.ar/reporting/activity/detail?id=51023567216" TargetMode="External"/><Relationship Id="rId1275" Type="http://schemas.openxmlformats.org/officeDocument/2006/relationships/hyperlink" Target="https://www.mercadolibre.com.ar/reporting/activity/detail?id=51177519735" TargetMode="External"/><Relationship Id="rId284" Type="http://schemas.openxmlformats.org/officeDocument/2006/relationships/hyperlink" Target="https://www.mercadolibre.com.ar/reporting/activity/detail?id=50127700804" TargetMode="External"/><Relationship Id="rId491" Type="http://schemas.openxmlformats.org/officeDocument/2006/relationships/hyperlink" Target="https://www.mercadolibre.com.ar/reporting/activity/detail?id=50227931842" TargetMode="External"/><Relationship Id="rId505" Type="http://schemas.openxmlformats.org/officeDocument/2006/relationships/hyperlink" Target="https://www.mercadolibre.com.ar/reporting/activity/detail?id=50261878450" TargetMode="External"/><Relationship Id="rId712" Type="http://schemas.openxmlformats.org/officeDocument/2006/relationships/hyperlink" Target="https://www.mercadolibre.com.ar/reporting/activity/detail?id=50541031600" TargetMode="External"/><Relationship Id="rId1135" Type="http://schemas.openxmlformats.org/officeDocument/2006/relationships/hyperlink" Target="https://www.mercadolibre.com.ar/reporting/activity/detail?id=51076548535" TargetMode="External"/><Relationship Id="rId79" Type="http://schemas.openxmlformats.org/officeDocument/2006/relationships/hyperlink" Target="https://www.mercadolibre.com.ar/reporting/activity/detail?id=49847552631" TargetMode="External"/><Relationship Id="rId144" Type="http://schemas.openxmlformats.org/officeDocument/2006/relationships/hyperlink" Target="https://www.mercadolibre.com.ar/reporting/activity/detail?id=49894596587" TargetMode="External"/><Relationship Id="rId589" Type="http://schemas.openxmlformats.org/officeDocument/2006/relationships/hyperlink" Target="https://www.mercadolibre.com.ar/reporting/activity/detail?id=50452274527" TargetMode="External"/><Relationship Id="rId796" Type="http://schemas.openxmlformats.org/officeDocument/2006/relationships/hyperlink" Target="https://www.mercadolibre.com.ar/reporting/activity/detail?id=50746256180" TargetMode="External"/><Relationship Id="rId1202" Type="http://schemas.openxmlformats.org/officeDocument/2006/relationships/hyperlink" Target="https://www.mercadolibre.com.ar/reporting/activity/detail?id=51127765400" TargetMode="External"/><Relationship Id="rId351" Type="http://schemas.openxmlformats.org/officeDocument/2006/relationships/hyperlink" Target="https://www.mercadolibre.com.ar/reporting/activity/detail?id=50177100358" TargetMode="External"/><Relationship Id="rId449" Type="http://schemas.openxmlformats.org/officeDocument/2006/relationships/hyperlink" Target="https://www.mercadolibre.com.ar/reporting/activity/detail?id=50224879781" TargetMode="External"/><Relationship Id="rId656" Type="http://schemas.openxmlformats.org/officeDocument/2006/relationships/hyperlink" Target="https://www.mercadolibre.com.ar/reporting/activity/detail?id=50498857990" TargetMode="External"/><Relationship Id="rId863" Type="http://schemas.openxmlformats.org/officeDocument/2006/relationships/hyperlink" Target="https://www.mercadolibre.com.ar/reporting/activity/detail?id=50753276740" TargetMode="External"/><Relationship Id="rId1079" Type="http://schemas.openxmlformats.org/officeDocument/2006/relationships/hyperlink" Target="https://www.mercadolibre.com.ar/reporting/activity/detail?id=51067161325" TargetMode="External"/><Relationship Id="rId1286" Type="http://schemas.openxmlformats.org/officeDocument/2006/relationships/hyperlink" Target="https://www.mercadolibre.com.ar/reporting/activity/detail?id=49743952761" TargetMode="External"/><Relationship Id="rId211" Type="http://schemas.openxmlformats.org/officeDocument/2006/relationships/hyperlink" Target="https://www.mercadolibre.com.ar/reporting/activity/detail?id=49899673969" TargetMode="External"/><Relationship Id="rId295" Type="http://schemas.openxmlformats.org/officeDocument/2006/relationships/hyperlink" Target="https://www.mercadolibre.com.ar/reporting/activity/detail?id=50129738980" TargetMode="External"/><Relationship Id="rId309" Type="http://schemas.openxmlformats.org/officeDocument/2006/relationships/hyperlink" Target="https://www.mercadolibre.com.ar/reporting/activity/detail?id=50132550742" TargetMode="External"/><Relationship Id="rId516" Type="http://schemas.openxmlformats.org/officeDocument/2006/relationships/hyperlink" Target="https://www.mercadolibre.com.ar/reporting/activity/detail?id=50263276182" TargetMode="External"/><Relationship Id="rId1146" Type="http://schemas.openxmlformats.org/officeDocument/2006/relationships/hyperlink" Target="https://www.mercadolibre.com.ar/reporting/activity/detail?id=51077332779" TargetMode="External"/><Relationship Id="rId723" Type="http://schemas.openxmlformats.org/officeDocument/2006/relationships/hyperlink" Target="https://www.mercadolibre.com.ar/reporting/activity/detail?id=50542044200" TargetMode="External"/><Relationship Id="rId930" Type="http://schemas.openxmlformats.org/officeDocument/2006/relationships/hyperlink" Target="https://www.mercadolibre.com.ar/reporting/activity/detail?id=50831702221" TargetMode="External"/><Relationship Id="rId1006" Type="http://schemas.openxmlformats.org/officeDocument/2006/relationships/hyperlink" Target="https://www.mercadolibre.com.ar/reporting/activity/detail?id=50866418190" TargetMode="External"/><Relationship Id="rId155" Type="http://schemas.openxmlformats.org/officeDocument/2006/relationships/hyperlink" Target="https://www.mercadolibre.com.ar/reporting/activity/detail?id=49895299461" TargetMode="External"/><Relationship Id="rId362" Type="http://schemas.openxmlformats.org/officeDocument/2006/relationships/hyperlink" Target="https://www.mercadolibre.com.ar/reporting/activity/detail?id=50179005370" TargetMode="External"/><Relationship Id="rId1213" Type="http://schemas.openxmlformats.org/officeDocument/2006/relationships/hyperlink" Target="https://www.mercadolibre.com.ar/reporting/activity/detail?id=51128905560" TargetMode="External"/><Relationship Id="rId1297" Type="http://schemas.openxmlformats.org/officeDocument/2006/relationships/hyperlink" Target="https://www.mercadolibre.com.ar/reporting/activity/detail?id=49748310844" TargetMode="External"/><Relationship Id="rId222" Type="http://schemas.openxmlformats.org/officeDocument/2006/relationships/hyperlink" Target="https://www.mercadolibre.com.ar/reporting/activity/detail?id=49933836105" TargetMode="External"/><Relationship Id="rId667" Type="http://schemas.openxmlformats.org/officeDocument/2006/relationships/hyperlink" Target="https://www.mercadolibre.com.ar/reporting/activity/detail?id=50500371836" TargetMode="External"/><Relationship Id="rId874" Type="http://schemas.openxmlformats.org/officeDocument/2006/relationships/hyperlink" Target="https://www.mercadolibre.com.ar/reporting/activity/detail?id=50790730923" TargetMode="External"/><Relationship Id="rId17" Type="http://schemas.openxmlformats.org/officeDocument/2006/relationships/hyperlink" Target="https://www.mercadolibre.com.ar/reporting/activity/detail?id=49796386856" TargetMode="External"/><Relationship Id="rId527" Type="http://schemas.openxmlformats.org/officeDocument/2006/relationships/hyperlink" Target="https://www.mercadolibre.com.ar/reporting/activity/detail?id=50402189338" TargetMode="External"/><Relationship Id="rId734" Type="http://schemas.openxmlformats.org/officeDocument/2006/relationships/hyperlink" Target="https://www.mercadolibre.com.ar/reporting/activity/detail?id=50542859687" TargetMode="External"/><Relationship Id="rId941" Type="http://schemas.openxmlformats.org/officeDocument/2006/relationships/hyperlink" Target="https://www.mercadolibre.com.ar/reporting/activity/detail?id=50834710777" TargetMode="External"/><Relationship Id="rId1157" Type="http://schemas.openxmlformats.org/officeDocument/2006/relationships/hyperlink" Target="https://www.mercadolibre.com.ar/reporting/activity/detail?id=51078091018" TargetMode="External"/><Relationship Id="rId70" Type="http://schemas.openxmlformats.org/officeDocument/2006/relationships/hyperlink" Target="https://www.mercadolibre.com.ar/reporting/activity/detail?id=49846544940" TargetMode="External"/><Relationship Id="rId166" Type="http://schemas.openxmlformats.org/officeDocument/2006/relationships/hyperlink" Target="https://www.mercadolibre.com.ar/reporting/activity/detail?id=49896369718" TargetMode="External"/><Relationship Id="rId373" Type="http://schemas.openxmlformats.org/officeDocument/2006/relationships/hyperlink" Target="https://www.mercadolibre.com.ar/reporting/activity/detail?id=50179921169" TargetMode="External"/><Relationship Id="rId580" Type="http://schemas.openxmlformats.org/officeDocument/2006/relationships/hyperlink" Target="https://www.mercadolibre.com.ar/reporting/activity/detail?id=50451148819" TargetMode="External"/><Relationship Id="rId801" Type="http://schemas.openxmlformats.org/officeDocument/2006/relationships/hyperlink" Target="https://www.mercadolibre.com.ar/reporting/activity/detail?id=50747877442" TargetMode="External"/><Relationship Id="rId1017" Type="http://schemas.openxmlformats.org/officeDocument/2006/relationships/hyperlink" Target="https://www.mercadolibre.com.ar/reporting/activity/detail?id=50871358948" TargetMode="External"/><Relationship Id="rId1224" Type="http://schemas.openxmlformats.org/officeDocument/2006/relationships/hyperlink" Target="https://www.mercadolibre.com.ar/reporting/activity/detail?id=51130642321" TargetMode="External"/><Relationship Id="rId1" Type="http://schemas.openxmlformats.org/officeDocument/2006/relationships/hyperlink" Target="https://www.mercadolibre.com.ar/reporting/activity/detail?id=49794885923" TargetMode="External"/><Relationship Id="rId233" Type="http://schemas.openxmlformats.org/officeDocument/2006/relationships/hyperlink" Target="https://www.mercadolibre.com.ar/reporting/activity/detail?id=49936774392" TargetMode="External"/><Relationship Id="rId440" Type="http://schemas.openxmlformats.org/officeDocument/2006/relationships/hyperlink" Target="https://www.mercadolibre.com.ar/reporting/activity/detail?id=50223888134" TargetMode="External"/><Relationship Id="rId678" Type="http://schemas.openxmlformats.org/officeDocument/2006/relationships/hyperlink" Target="https://www.mercadolibre.com.ar/reporting/activity/detail?id=50536466672" TargetMode="External"/><Relationship Id="rId885" Type="http://schemas.openxmlformats.org/officeDocument/2006/relationships/hyperlink" Target="https://www.mercadolibre.com.ar/reporting/activity/detail?id=50793537338" TargetMode="External"/><Relationship Id="rId1070" Type="http://schemas.openxmlformats.org/officeDocument/2006/relationships/hyperlink" Target="https://www.mercadolibre.com.ar/reporting/activity/detail?id=51024243433" TargetMode="External"/><Relationship Id="rId28" Type="http://schemas.openxmlformats.org/officeDocument/2006/relationships/hyperlink" Target="https://www.mercadolibre.com.ar/reporting/activity/detail?id=49797457846" TargetMode="External"/><Relationship Id="rId300" Type="http://schemas.openxmlformats.org/officeDocument/2006/relationships/hyperlink" Target="https://www.mercadolibre.com.ar/reporting/activity/detail?id=50130796132" TargetMode="External"/><Relationship Id="rId538" Type="http://schemas.openxmlformats.org/officeDocument/2006/relationships/hyperlink" Target="https://www.mercadolibre.com.ar/reporting/activity/detail?id=50406949865" TargetMode="External"/><Relationship Id="rId745" Type="http://schemas.openxmlformats.org/officeDocument/2006/relationships/hyperlink" Target="https://www.mercadolibre.com.ar/reporting/activity/detail?id=50543501140" TargetMode="External"/><Relationship Id="rId952" Type="http://schemas.openxmlformats.org/officeDocument/2006/relationships/hyperlink" Target="https://www.mercadolibre.com.ar/reporting/activity/detail?id=50837250505" TargetMode="External"/><Relationship Id="rId1168" Type="http://schemas.openxmlformats.org/officeDocument/2006/relationships/hyperlink" Target="https://www.mercadolibre.com.ar/reporting/activity/detail?id=51119357105" TargetMode="External"/><Relationship Id="rId81" Type="http://schemas.openxmlformats.org/officeDocument/2006/relationships/hyperlink" Target="https://www.mercadolibre.com.ar/reporting/activity/detail?id=49847602968" TargetMode="External"/><Relationship Id="rId177" Type="http://schemas.openxmlformats.org/officeDocument/2006/relationships/hyperlink" Target="https://www.mercadolibre.com.ar/reporting/activity/detail?id=49896905625" TargetMode="External"/><Relationship Id="rId384" Type="http://schemas.openxmlformats.org/officeDocument/2006/relationships/hyperlink" Target="https://www.mercadolibre.com.ar/reporting/activity/detail?id=50180499332" TargetMode="External"/><Relationship Id="rId591" Type="http://schemas.openxmlformats.org/officeDocument/2006/relationships/hyperlink" Target="https://www.mercadolibre.com.ar/reporting/activity/detail?id=50452354586" TargetMode="External"/><Relationship Id="rId605" Type="http://schemas.openxmlformats.org/officeDocument/2006/relationships/hyperlink" Target="https://www.mercadolibre.com.ar/reporting/activity/detail?id=50453089901" TargetMode="External"/><Relationship Id="rId812" Type="http://schemas.openxmlformats.org/officeDocument/2006/relationships/hyperlink" Target="https://www.mercadolibre.com.ar/reporting/activity/detail?id=50748784002" TargetMode="External"/><Relationship Id="rId1028" Type="http://schemas.openxmlformats.org/officeDocument/2006/relationships/hyperlink" Target="https://www.mercadolibre.com.ar/reporting/activity/detail?id=50874981761" TargetMode="External"/><Relationship Id="rId1235" Type="http://schemas.openxmlformats.org/officeDocument/2006/relationships/hyperlink" Target="https://www.mercadolibre.com.ar/reporting/activity/detail?id=51168891318" TargetMode="External"/><Relationship Id="rId244" Type="http://schemas.openxmlformats.org/officeDocument/2006/relationships/hyperlink" Target="https://www.mercadolibre.com.ar/reporting/activity/detail?id=50077466196" TargetMode="External"/><Relationship Id="rId689" Type="http://schemas.openxmlformats.org/officeDocument/2006/relationships/hyperlink" Target="https://www.mercadolibre.com.ar/reporting/activity/detail?id=50539078382" TargetMode="External"/><Relationship Id="rId896" Type="http://schemas.openxmlformats.org/officeDocument/2006/relationships/hyperlink" Target="https://www.mercadolibre.com.ar/reporting/activity/detail?id=50795363566" TargetMode="External"/><Relationship Id="rId1081" Type="http://schemas.openxmlformats.org/officeDocument/2006/relationships/hyperlink" Target="https://www.mercadolibre.com.ar/reporting/activity/detail?id=51068449111" TargetMode="External"/><Relationship Id="rId1302" Type="http://schemas.openxmlformats.org/officeDocument/2006/relationships/hyperlink" Target="https://www.mercadolibre.com.ar/reporting/activity/detail?id=49787552619" TargetMode="External"/><Relationship Id="rId39" Type="http://schemas.openxmlformats.org/officeDocument/2006/relationships/hyperlink" Target="https://www.mercadolibre.com.ar/reporting/activity/detail?id=49838547071" TargetMode="External"/><Relationship Id="rId451" Type="http://schemas.openxmlformats.org/officeDocument/2006/relationships/hyperlink" Target="https://www.mercadolibre.com.ar/reporting/activity/detail?id=50225249814" TargetMode="External"/><Relationship Id="rId549" Type="http://schemas.openxmlformats.org/officeDocument/2006/relationships/hyperlink" Target="https://www.mercadolibre.com.ar/reporting/activity/detail?id=50446330017" TargetMode="External"/><Relationship Id="rId756" Type="http://schemas.openxmlformats.org/officeDocument/2006/relationships/hyperlink" Target="https://www.mercadolibre.com.ar/reporting/activity/detail?id=50570085796" TargetMode="External"/><Relationship Id="rId1179" Type="http://schemas.openxmlformats.org/officeDocument/2006/relationships/hyperlink" Target="https://www.mercadolibre.com.ar/reporting/activity/detail?id=51123658020" TargetMode="External"/><Relationship Id="rId104" Type="http://schemas.openxmlformats.org/officeDocument/2006/relationships/hyperlink" Target="https://www.mercadolibre.com.ar/reporting/activity/detail?id=49849930588" TargetMode="External"/><Relationship Id="rId188" Type="http://schemas.openxmlformats.org/officeDocument/2006/relationships/hyperlink" Target="https://www.mercadolibre.com.ar/reporting/activity/detail?id=49897826060" TargetMode="External"/><Relationship Id="rId311" Type="http://schemas.openxmlformats.org/officeDocument/2006/relationships/hyperlink" Target="https://www.mercadolibre.com.ar/reporting/activity/detail?id=50132665466" TargetMode="External"/><Relationship Id="rId395" Type="http://schemas.openxmlformats.org/officeDocument/2006/relationships/hyperlink" Target="https://www.mercadolibre.com.ar/reporting/activity/detail?id=50181736520" TargetMode="External"/><Relationship Id="rId409" Type="http://schemas.openxmlformats.org/officeDocument/2006/relationships/hyperlink" Target="https://www.mercadolibre.com.ar/reporting/activity/detail?id=50182703760" TargetMode="External"/><Relationship Id="rId963" Type="http://schemas.openxmlformats.org/officeDocument/2006/relationships/hyperlink" Target="https://www.mercadolibre.com.ar/reporting/activity/detail?id=50838539063" TargetMode="External"/><Relationship Id="rId1039" Type="http://schemas.openxmlformats.org/officeDocument/2006/relationships/hyperlink" Target="https://www.mercadolibre.com.ar/reporting/activity/detail?id=50876008260" TargetMode="External"/><Relationship Id="rId1246" Type="http://schemas.openxmlformats.org/officeDocument/2006/relationships/hyperlink" Target="https://www.mercadolibre.com.ar/reporting/activity/detail?id=51173754140" TargetMode="External"/><Relationship Id="rId92" Type="http://schemas.openxmlformats.org/officeDocument/2006/relationships/hyperlink" Target="https://www.mercadolibre.com.ar/reporting/activity/detail?id=49849014306" TargetMode="External"/><Relationship Id="rId616" Type="http://schemas.openxmlformats.org/officeDocument/2006/relationships/hyperlink" Target="https://www.mercadolibre.com.ar/reporting/activity/detail?id=50453880388" TargetMode="External"/><Relationship Id="rId823" Type="http://schemas.openxmlformats.org/officeDocument/2006/relationships/hyperlink" Target="https://www.mercadolibre.com.ar/reporting/activity/detail?id=50750366071" TargetMode="External"/><Relationship Id="rId255" Type="http://schemas.openxmlformats.org/officeDocument/2006/relationships/hyperlink" Target="https://www.mercadolibre.com.ar/reporting/activity/detail?id=50081656537" TargetMode="External"/><Relationship Id="rId462" Type="http://schemas.openxmlformats.org/officeDocument/2006/relationships/hyperlink" Target="https://www.mercadolibre.com.ar/reporting/activity/detail?id=50225868439" TargetMode="External"/><Relationship Id="rId1092" Type="http://schemas.openxmlformats.org/officeDocument/2006/relationships/hyperlink" Target="https://www.mercadolibre.com.ar/reporting/activity/detail?id=51072515266" TargetMode="External"/><Relationship Id="rId1106" Type="http://schemas.openxmlformats.org/officeDocument/2006/relationships/hyperlink" Target="https://www.mercadolibre.com.ar/reporting/activity/detail?id=51074215056" TargetMode="External"/><Relationship Id="rId1313" Type="http://schemas.openxmlformats.org/officeDocument/2006/relationships/hyperlink" Target="https://www.mercadolibre.com.ar/reporting/activity/detail?id=49792760846" TargetMode="External"/><Relationship Id="rId115" Type="http://schemas.openxmlformats.org/officeDocument/2006/relationships/hyperlink" Target="https://www.mercadolibre.com.ar/reporting/activity/detail?id=49850531623" TargetMode="External"/><Relationship Id="rId322" Type="http://schemas.openxmlformats.org/officeDocument/2006/relationships/hyperlink" Target="https://www.mercadolibre.com.ar/reporting/activity/detail?id=50134294457" TargetMode="External"/><Relationship Id="rId767" Type="http://schemas.openxmlformats.org/officeDocument/2006/relationships/hyperlink" Target="https://www.mercadolibre.com.ar/reporting/activity/detail?id=50575178932" TargetMode="External"/><Relationship Id="rId974" Type="http://schemas.openxmlformats.org/officeDocument/2006/relationships/hyperlink" Target="https://www.mercadolibre.com.ar/reporting/activity/detail?id=50839316508" TargetMode="External"/><Relationship Id="rId199" Type="http://schemas.openxmlformats.org/officeDocument/2006/relationships/hyperlink" Target="https://www.mercadolibre.com.ar/reporting/activity/detail?id=49898941827" TargetMode="External"/><Relationship Id="rId627" Type="http://schemas.openxmlformats.org/officeDocument/2006/relationships/hyperlink" Target="https://www.mercadolibre.com.ar/reporting/activity/detail?id=50454491666" TargetMode="External"/><Relationship Id="rId834" Type="http://schemas.openxmlformats.org/officeDocument/2006/relationships/hyperlink" Target="https://www.mercadolibre.com.ar/reporting/activity/detail?id=50751885038" TargetMode="External"/><Relationship Id="rId1257" Type="http://schemas.openxmlformats.org/officeDocument/2006/relationships/hyperlink" Target="https://www.mercadolibre.com.ar/reporting/activity/detail?id=51175354970" TargetMode="External"/><Relationship Id="rId266" Type="http://schemas.openxmlformats.org/officeDocument/2006/relationships/hyperlink" Target="https://www.mercadolibre.com.ar/reporting/activity/detail?id=50082874780" TargetMode="External"/><Relationship Id="rId473" Type="http://schemas.openxmlformats.org/officeDocument/2006/relationships/hyperlink" Target="https://www.mercadolibre.com.ar/reporting/activity/detail?id=50226805859" TargetMode="External"/><Relationship Id="rId680" Type="http://schemas.openxmlformats.org/officeDocument/2006/relationships/hyperlink" Target="https://www.mercadolibre.com.ar/reporting/activity/detail?id=50536904887" TargetMode="External"/><Relationship Id="rId901" Type="http://schemas.openxmlformats.org/officeDocument/2006/relationships/hyperlink" Target="https://www.mercadolibre.com.ar/reporting/activity/detail?id=50796011597" TargetMode="External"/><Relationship Id="rId1117" Type="http://schemas.openxmlformats.org/officeDocument/2006/relationships/hyperlink" Target="https://www.mercadolibre.com.ar/reporting/activity/detail?id=51075281569" TargetMode="External"/><Relationship Id="rId1324" Type="http://schemas.openxmlformats.org/officeDocument/2006/relationships/hyperlink" Target="https://www.mercadolibre.com.ar/reporting/activity/detail?id=49794040978" TargetMode="External"/><Relationship Id="rId30" Type="http://schemas.openxmlformats.org/officeDocument/2006/relationships/hyperlink" Target="https://www.mercadolibre.com.ar/reporting/activity/detail?id=49797617263" TargetMode="External"/><Relationship Id="rId126" Type="http://schemas.openxmlformats.org/officeDocument/2006/relationships/hyperlink" Target="https://www.mercadolibre.com.ar/reporting/activity/detail?id=49886003859" TargetMode="External"/><Relationship Id="rId333" Type="http://schemas.openxmlformats.org/officeDocument/2006/relationships/hyperlink" Target="https://www.mercadolibre.com.ar/reporting/activity/detail?id=50135127283" TargetMode="External"/><Relationship Id="rId540" Type="http://schemas.openxmlformats.org/officeDocument/2006/relationships/hyperlink" Target="https://www.mercadolibre.com.ar/reporting/activity/detail?id=50407412737" TargetMode="External"/><Relationship Id="rId778" Type="http://schemas.openxmlformats.org/officeDocument/2006/relationships/hyperlink" Target="https://www.mercadolibre.com.ar/reporting/activity/detail?id=50700427125" TargetMode="External"/><Relationship Id="rId985" Type="http://schemas.openxmlformats.org/officeDocument/2006/relationships/hyperlink" Target="https://www.mercadolibre.com.ar/reporting/activity/detail?id=50840057233" TargetMode="External"/><Relationship Id="rId1170" Type="http://schemas.openxmlformats.org/officeDocument/2006/relationships/hyperlink" Target="https://www.mercadolibre.com.ar/reporting/activity/detail?id=51120089039" TargetMode="External"/><Relationship Id="rId638" Type="http://schemas.openxmlformats.org/officeDocument/2006/relationships/hyperlink" Target="https://www.mercadolibre.com.ar/reporting/activity/detail?id=50493385503" TargetMode="External"/><Relationship Id="rId845" Type="http://schemas.openxmlformats.org/officeDocument/2006/relationships/hyperlink" Target="https://www.mercadolibre.com.ar/reporting/activity/detail?id=50752572893" TargetMode="External"/><Relationship Id="rId1030" Type="http://schemas.openxmlformats.org/officeDocument/2006/relationships/hyperlink" Target="https://www.mercadolibre.com.ar/reporting/activity/detail?id=50875173864" TargetMode="External"/><Relationship Id="rId1268" Type="http://schemas.openxmlformats.org/officeDocument/2006/relationships/hyperlink" Target="https://www.mercadolibre.com.ar/reporting/activity/detail?id=51177198017" TargetMode="External"/><Relationship Id="rId277" Type="http://schemas.openxmlformats.org/officeDocument/2006/relationships/hyperlink" Target="https://www.mercadolibre.com.ar/reporting/activity/detail?id=50085905987" TargetMode="External"/><Relationship Id="rId400" Type="http://schemas.openxmlformats.org/officeDocument/2006/relationships/hyperlink" Target="https://www.mercadolibre.com.ar/reporting/activity/detail?id=50181964852" TargetMode="External"/><Relationship Id="rId484" Type="http://schemas.openxmlformats.org/officeDocument/2006/relationships/hyperlink" Target="https://www.mercadolibre.com.ar/reporting/activity/detail?id=50227636905" TargetMode="External"/><Relationship Id="rId705" Type="http://schemas.openxmlformats.org/officeDocument/2006/relationships/hyperlink" Target="https://www.mercadolibre.com.ar/reporting/activity/detail?id=50540445203" TargetMode="External"/><Relationship Id="rId1128" Type="http://schemas.openxmlformats.org/officeDocument/2006/relationships/hyperlink" Target="https://www.mercadolibre.com.ar/reporting/activity/detail?id=51076067301" TargetMode="External"/><Relationship Id="rId137" Type="http://schemas.openxmlformats.org/officeDocument/2006/relationships/hyperlink" Target="https://www.mercadolibre.com.ar/reporting/activity/detail?id=49893345075" TargetMode="External"/><Relationship Id="rId344" Type="http://schemas.openxmlformats.org/officeDocument/2006/relationships/hyperlink" Target="https://www.mercadolibre.com.ar/reporting/activity/detail?id=50172332407" TargetMode="External"/><Relationship Id="rId691" Type="http://schemas.openxmlformats.org/officeDocument/2006/relationships/hyperlink" Target="https://www.mercadolibre.com.ar/reporting/activity/detail?id=50539387902" TargetMode="External"/><Relationship Id="rId789" Type="http://schemas.openxmlformats.org/officeDocument/2006/relationships/hyperlink" Target="https://www.mercadolibre.com.ar/reporting/activity/detail?id=50708351421" TargetMode="External"/><Relationship Id="rId912" Type="http://schemas.openxmlformats.org/officeDocument/2006/relationships/hyperlink" Target="https://www.mercadolibre.com.ar/reporting/activity/detail?id=50797892959" TargetMode="External"/><Relationship Id="rId996" Type="http://schemas.openxmlformats.org/officeDocument/2006/relationships/hyperlink" Target="https://www.mercadolibre.com.ar/reporting/activity/detail?id=50841135823" TargetMode="External"/><Relationship Id="rId41" Type="http://schemas.openxmlformats.org/officeDocument/2006/relationships/hyperlink" Target="https://www.mercadolibre.com.ar/reporting/activity/detail?id=49840995571" TargetMode="External"/><Relationship Id="rId551" Type="http://schemas.openxmlformats.org/officeDocument/2006/relationships/hyperlink" Target="https://www.mercadolibre.com.ar/reporting/activity/detail?id=50446514656" TargetMode="External"/><Relationship Id="rId649" Type="http://schemas.openxmlformats.org/officeDocument/2006/relationships/hyperlink" Target="https://www.mercadolibre.com.ar/reporting/activity/detail?id=50497061310" TargetMode="External"/><Relationship Id="rId856" Type="http://schemas.openxmlformats.org/officeDocument/2006/relationships/hyperlink" Target="https://www.mercadolibre.com.ar/reporting/activity/detail?id=50753037693" TargetMode="External"/><Relationship Id="rId1181" Type="http://schemas.openxmlformats.org/officeDocument/2006/relationships/hyperlink" Target="https://www.mercadolibre.com.ar/reporting/activity/detail?id=51124686808" TargetMode="External"/><Relationship Id="rId1279" Type="http://schemas.openxmlformats.org/officeDocument/2006/relationships/hyperlink" Target="https://www.mercadolibre.com.ar/reporting/activity/detail?id=49610079372" TargetMode="External"/><Relationship Id="rId190" Type="http://schemas.openxmlformats.org/officeDocument/2006/relationships/hyperlink" Target="https://www.mercadolibre.com.ar/reporting/activity/detail?id=49898095541" TargetMode="External"/><Relationship Id="rId204" Type="http://schemas.openxmlformats.org/officeDocument/2006/relationships/hyperlink" Target="https://www.mercadolibre.com.ar/reporting/activity/detail?id=49899448552" TargetMode="External"/><Relationship Id="rId288" Type="http://schemas.openxmlformats.org/officeDocument/2006/relationships/hyperlink" Target="https://www.mercadolibre.com.ar/reporting/activity/detail?id=50128282066" TargetMode="External"/><Relationship Id="rId411" Type="http://schemas.openxmlformats.org/officeDocument/2006/relationships/hyperlink" Target="https://www.mercadolibre.com.ar/reporting/activity/detail?id=50182940803" TargetMode="External"/><Relationship Id="rId509" Type="http://schemas.openxmlformats.org/officeDocument/2006/relationships/hyperlink" Target="https://www.mercadolibre.com.ar/reporting/activity/detail?id=50262350887" TargetMode="External"/><Relationship Id="rId1041" Type="http://schemas.openxmlformats.org/officeDocument/2006/relationships/hyperlink" Target="https://www.mercadolibre.com.ar/reporting/activity/detail?id=50876170515" TargetMode="External"/><Relationship Id="rId1139" Type="http://schemas.openxmlformats.org/officeDocument/2006/relationships/hyperlink" Target="https://www.mercadolibre.com.ar/reporting/activity/detail?id=51076813741" TargetMode="External"/><Relationship Id="rId495" Type="http://schemas.openxmlformats.org/officeDocument/2006/relationships/hyperlink" Target="https://www.mercadolibre.com.ar/reporting/activity/detail?id=50256955501" TargetMode="External"/><Relationship Id="rId716" Type="http://schemas.openxmlformats.org/officeDocument/2006/relationships/hyperlink" Target="https://www.mercadolibre.com.ar/reporting/activity/detail?id=50541283420" TargetMode="External"/><Relationship Id="rId923" Type="http://schemas.openxmlformats.org/officeDocument/2006/relationships/hyperlink" Target="https://www.mercadolibre.com.ar/reporting/activity/detail?id=50798994291" TargetMode="External"/><Relationship Id="rId52" Type="http://schemas.openxmlformats.org/officeDocument/2006/relationships/hyperlink" Target="https://www.mercadolibre.com.ar/reporting/activity/detail?id=49843022734" TargetMode="External"/><Relationship Id="rId148" Type="http://schemas.openxmlformats.org/officeDocument/2006/relationships/hyperlink" Target="https://www.mercadolibre.com.ar/reporting/activity/detail?id=49894869720" TargetMode="External"/><Relationship Id="rId355" Type="http://schemas.openxmlformats.org/officeDocument/2006/relationships/hyperlink" Target="https://www.mercadolibre.com.ar/reporting/activity/detail?id=50177691271" TargetMode="External"/><Relationship Id="rId562" Type="http://schemas.openxmlformats.org/officeDocument/2006/relationships/hyperlink" Target="https://www.mercadolibre.com.ar/reporting/activity/detail?id=50449201972" TargetMode="External"/><Relationship Id="rId1192" Type="http://schemas.openxmlformats.org/officeDocument/2006/relationships/hyperlink" Target="https://www.mercadolibre.com.ar/reporting/activity/detail?id=51126933405" TargetMode="External"/><Relationship Id="rId1206" Type="http://schemas.openxmlformats.org/officeDocument/2006/relationships/hyperlink" Target="https://www.mercadolibre.com.ar/reporting/activity/detail?id=51128078480" TargetMode="External"/><Relationship Id="rId215" Type="http://schemas.openxmlformats.org/officeDocument/2006/relationships/hyperlink" Target="https://www.mercadolibre.com.ar/reporting/activity/detail?id=49931230529" TargetMode="External"/><Relationship Id="rId422" Type="http://schemas.openxmlformats.org/officeDocument/2006/relationships/hyperlink" Target="https://www.mercadolibre.com.ar/reporting/activity/detail?id=50217878332" TargetMode="External"/><Relationship Id="rId867" Type="http://schemas.openxmlformats.org/officeDocument/2006/relationships/hyperlink" Target="https://www.mercadolibre.com.ar/reporting/activity/detail?id=50753370812" TargetMode="External"/><Relationship Id="rId1052" Type="http://schemas.openxmlformats.org/officeDocument/2006/relationships/hyperlink" Target="https://www.mercadolibre.com.ar/reporting/activity/detail?id=50877098014" TargetMode="External"/><Relationship Id="rId299" Type="http://schemas.openxmlformats.org/officeDocument/2006/relationships/hyperlink" Target="https://www.mercadolibre.com.ar/reporting/activity/detail?id=50130722482" TargetMode="External"/><Relationship Id="rId727" Type="http://schemas.openxmlformats.org/officeDocument/2006/relationships/hyperlink" Target="https://www.mercadolibre.com.ar/reporting/activity/detail?id=50542317841" TargetMode="External"/><Relationship Id="rId934" Type="http://schemas.openxmlformats.org/officeDocument/2006/relationships/hyperlink" Target="https://www.mercadolibre.com.ar/reporting/activity/detail?id=50832609206" TargetMode="External"/><Relationship Id="rId63" Type="http://schemas.openxmlformats.org/officeDocument/2006/relationships/hyperlink" Target="https://www.mercadolibre.com.ar/reporting/activity/detail?id=49845790724" TargetMode="External"/><Relationship Id="rId159" Type="http://schemas.openxmlformats.org/officeDocument/2006/relationships/hyperlink" Target="https://www.mercadolibre.com.ar/reporting/activity/detail?id=49895745285" TargetMode="External"/><Relationship Id="rId366" Type="http://schemas.openxmlformats.org/officeDocument/2006/relationships/hyperlink" Target="https://www.mercadolibre.com.ar/reporting/activity/detail?id=50179268934" TargetMode="External"/><Relationship Id="rId573" Type="http://schemas.openxmlformats.org/officeDocument/2006/relationships/hyperlink" Target="https://www.mercadolibre.com.ar/reporting/activity/detail?id=50450311312" TargetMode="External"/><Relationship Id="rId780" Type="http://schemas.openxmlformats.org/officeDocument/2006/relationships/hyperlink" Target="https://www.mercadolibre.com.ar/reporting/activity/detail?id=50703547585" TargetMode="External"/><Relationship Id="rId1217" Type="http://schemas.openxmlformats.org/officeDocument/2006/relationships/hyperlink" Target="https://www.mercadolibre.com.ar/reporting/activity/detail?id=51130227965" TargetMode="External"/><Relationship Id="rId226" Type="http://schemas.openxmlformats.org/officeDocument/2006/relationships/hyperlink" Target="https://www.mercadolibre.com.ar/reporting/activity/detail?id=49934264149" TargetMode="External"/><Relationship Id="rId433" Type="http://schemas.openxmlformats.org/officeDocument/2006/relationships/hyperlink" Target="https://www.mercadolibre.com.ar/reporting/activity/detail?id=50221843251" TargetMode="External"/><Relationship Id="rId878" Type="http://schemas.openxmlformats.org/officeDocument/2006/relationships/hyperlink" Target="https://www.mercadolibre.com.ar/reporting/activity/detail?id=50791788169" TargetMode="External"/><Relationship Id="rId1063" Type="http://schemas.openxmlformats.org/officeDocument/2006/relationships/hyperlink" Target="https://www.mercadolibre.com.ar/reporting/activity/detail?id=51022393777" TargetMode="External"/><Relationship Id="rId1270" Type="http://schemas.openxmlformats.org/officeDocument/2006/relationships/hyperlink" Target="https://www.mercadolibre.com.ar/reporting/activity/detail?id=51177308402" TargetMode="External"/><Relationship Id="rId640" Type="http://schemas.openxmlformats.org/officeDocument/2006/relationships/hyperlink" Target="https://www.mercadolibre.com.ar/reporting/activity/detail?id=50494041051" TargetMode="External"/><Relationship Id="rId738" Type="http://schemas.openxmlformats.org/officeDocument/2006/relationships/hyperlink" Target="https://www.mercadolibre.com.ar/reporting/activity/detail?id=50543222160" TargetMode="External"/><Relationship Id="rId945" Type="http://schemas.openxmlformats.org/officeDocument/2006/relationships/hyperlink" Target="https://www.mercadolibre.com.ar/reporting/activity/detail?id=50836326936" TargetMode="External"/><Relationship Id="rId74" Type="http://schemas.openxmlformats.org/officeDocument/2006/relationships/hyperlink" Target="https://www.mercadolibre.com.ar/reporting/activity/detail?id=49847014711" TargetMode="External"/><Relationship Id="rId377" Type="http://schemas.openxmlformats.org/officeDocument/2006/relationships/hyperlink" Target="https://www.mercadolibre.com.ar/reporting/activity/detail?id=50180037076" TargetMode="External"/><Relationship Id="rId500" Type="http://schemas.openxmlformats.org/officeDocument/2006/relationships/hyperlink" Target="https://www.mercadolibre.com.ar/reporting/activity/detail?id=50260386350" TargetMode="External"/><Relationship Id="rId584" Type="http://schemas.openxmlformats.org/officeDocument/2006/relationships/hyperlink" Target="https://www.mercadolibre.com.ar/reporting/activity/detail?id=50451672315" TargetMode="External"/><Relationship Id="rId805" Type="http://schemas.openxmlformats.org/officeDocument/2006/relationships/hyperlink" Target="https://www.mercadolibre.com.ar/reporting/activity/detail?id=50748200206" TargetMode="External"/><Relationship Id="rId1130" Type="http://schemas.openxmlformats.org/officeDocument/2006/relationships/hyperlink" Target="https://www.mercadolibre.com.ar/reporting/activity/detail?id=51076184214" TargetMode="External"/><Relationship Id="rId1228" Type="http://schemas.openxmlformats.org/officeDocument/2006/relationships/hyperlink" Target="https://www.mercadolibre.com.ar/reporting/activity/detail?id=51130855135" TargetMode="External"/><Relationship Id="rId5" Type="http://schemas.openxmlformats.org/officeDocument/2006/relationships/hyperlink" Target="https://www.mercadolibre.com.ar/reporting/activity/detail?id=49795204416" TargetMode="External"/><Relationship Id="rId237" Type="http://schemas.openxmlformats.org/officeDocument/2006/relationships/hyperlink" Target="https://www.mercadolibre.com.ar/reporting/activity/detail?id=49937523080" TargetMode="External"/><Relationship Id="rId791" Type="http://schemas.openxmlformats.org/officeDocument/2006/relationships/hyperlink" Target="https://www.mercadolibre.com.ar/reporting/activity/detail?id=50742891645" TargetMode="External"/><Relationship Id="rId889" Type="http://schemas.openxmlformats.org/officeDocument/2006/relationships/hyperlink" Target="https://www.mercadolibre.com.ar/reporting/activity/detail?id=50793735554" TargetMode="External"/><Relationship Id="rId1074" Type="http://schemas.openxmlformats.org/officeDocument/2006/relationships/hyperlink" Target="https://www.mercadolibre.com.ar/reporting/activity/detail?id=51025630028" TargetMode="External"/><Relationship Id="rId444" Type="http://schemas.openxmlformats.org/officeDocument/2006/relationships/hyperlink" Target="https://www.mercadolibre.com.ar/reporting/activity/detail?id=50224113928" TargetMode="External"/><Relationship Id="rId651" Type="http://schemas.openxmlformats.org/officeDocument/2006/relationships/hyperlink" Target="https://www.mercadolibre.com.ar/reporting/activity/detail?id=50497460352" TargetMode="External"/><Relationship Id="rId749" Type="http://schemas.openxmlformats.org/officeDocument/2006/relationships/hyperlink" Target="https://www.mercadolibre.com.ar/reporting/activity/detail?id=50543750396" TargetMode="External"/><Relationship Id="rId1281" Type="http://schemas.openxmlformats.org/officeDocument/2006/relationships/hyperlink" Target="https://www.mercadolibre.com.ar/reporting/activity/detail?id=49612277820" TargetMode="External"/><Relationship Id="rId290" Type="http://schemas.openxmlformats.org/officeDocument/2006/relationships/hyperlink" Target="https://www.mercadolibre.com.ar/reporting/activity/detail?id=50128504937" TargetMode="External"/><Relationship Id="rId304" Type="http://schemas.openxmlformats.org/officeDocument/2006/relationships/hyperlink" Target="https://www.mercadolibre.com.ar/reporting/activity/detail?id=50131671330" TargetMode="External"/><Relationship Id="rId388" Type="http://schemas.openxmlformats.org/officeDocument/2006/relationships/hyperlink" Target="https://www.mercadolibre.com.ar/reporting/activity/detail?id=50180892841" TargetMode="External"/><Relationship Id="rId511" Type="http://schemas.openxmlformats.org/officeDocument/2006/relationships/hyperlink" Target="https://www.mercadolibre.com.ar/reporting/activity/detail?id=50262824476" TargetMode="External"/><Relationship Id="rId609" Type="http://schemas.openxmlformats.org/officeDocument/2006/relationships/hyperlink" Target="https://www.mercadolibre.com.ar/reporting/activity/detail?id=50453537456" TargetMode="External"/><Relationship Id="rId956" Type="http://schemas.openxmlformats.org/officeDocument/2006/relationships/hyperlink" Target="https://www.mercadolibre.com.ar/reporting/activity/detail?id=50837765198" TargetMode="External"/><Relationship Id="rId1141" Type="http://schemas.openxmlformats.org/officeDocument/2006/relationships/hyperlink" Target="https://www.mercadolibre.com.ar/reporting/activity/detail?id=51076984733" TargetMode="External"/><Relationship Id="rId1239" Type="http://schemas.openxmlformats.org/officeDocument/2006/relationships/hyperlink" Target="https://www.mercadolibre.com.ar/reporting/activity/detail?id=51171216332" TargetMode="External"/><Relationship Id="rId85" Type="http://schemas.openxmlformats.org/officeDocument/2006/relationships/hyperlink" Target="https://www.mercadolibre.com.ar/reporting/activity/detail?id=49847873539" TargetMode="External"/><Relationship Id="rId150" Type="http://schemas.openxmlformats.org/officeDocument/2006/relationships/hyperlink" Target="https://www.mercadolibre.com.ar/reporting/activity/detail?id=49895081324" TargetMode="External"/><Relationship Id="rId595" Type="http://schemas.openxmlformats.org/officeDocument/2006/relationships/hyperlink" Target="https://www.mercadolibre.com.ar/reporting/activity/detail?id=50452518569" TargetMode="External"/><Relationship Id="rId816" Type="http://schemas.openxmlformats.org/officeDocument/2006/relationships/hyperlink" Target="https://www.mercadolibre.com.ar/reporting/activity/detail?id=50749466881" TargetMode="External"/><Relationship Id="rId1001" Type="http://schemas.openxmlformats.org/officeDocument/2006/relationships/hyperlink" Target="https://www.mercadolibre.com.ar/reporting/activity/detail?id=50841276887" TargetMode="External"/><Relationship Id="rId248" Type="http://schemas.openxmlformats.org/officeDocument/2006/relationships/hyperlink" Target="https://www.mercadolibre.com.ar/reporting/activity/detail?id=50079956572" TargetMode="External"/><Relationship Id="rId455" Type="http://schemas.openxmlformats.org/officeDocument/2006/relationships/hyperlink" Target="https://www.mercadolibre.com.ar/reporting/activity/detail?id=50225492275" TargetMode="External"/><Relationship Id="rId662" Type="http://schemas.openxmlformats.org/officeDocument/2006/relationships/hyperlink" Target="https://www.mercadolibre.com.ar/reporting/activity/detail?id=50499727134" TargetMode="External"/><Relationship Id="rId1085" Type="http://schemas.openxmlformats.org/officeDocument/2006/relationships/hyperlink" Target="https://www.mercadolibre.com.ar/reporting/activity/detail?id=51071274580" TargetMode="External"/><Relationship Id="rId1292" Type="http://schemas.openxmlformats.org/officeDocument/2006/relationships/hyperlink" Target="https://www.mercadolibre.com.ar/reporting/activity/detail?id=49747760355" TargetMode="External"/><Relationship Id="rId1306" Type="http://schemas.openxmlformats.org/officeDocument/2006/relationships/hyperlink" Target="https://www.mercadolibre.com.ar/reporting/activity/detail?id=49790399712" TargetMode="External"/><Relationship Id="rId12" Type="http://schemas.openxmlformats.org/officeDocument/2006/relationships/hyperlink" Target="https://www.mercadolibre.com.ar/reporting/activity/detail?id=49796021886" TargetMode="External"/><Relationship Id="rId108" Type="http://schemas.openxmlformats.org/officeDocument/2006/relationships/hyperlink" Target="https://www.mercadolibre.com.ar/reporting/activity/detail?id=49850240653" TargetMode="External"/><Relationship Id="rId315" Type="http://schemas.openxmlformats.org/officeDocument/2006/relationships/hyperlink" Target="https://www.mercadolibre.com.ar/reporting/activity/detail?id=50132935249" TargetMode="External"/><Relationship Id="rId522" Type="http://schemas.openxmlformats.org/officeDocument/2006/relationships/hyperlink" Target="https://www.mercadolibre.com.ar/reporting/activity/detail?id=50264159381" TargetMode="External"/><Relationship Id="rId967" Type="http://schemas.openxmlformats.org/officeDocument/2006/relationships/hyperlink" Target="https://www.mercadolibre.com.ar/reporting/activity/detail?id=50838681267" TargetMode="External"/><Relationship Id="rId1152" Type="http://schemas.openxmlformats.org/officeDocument/2006/relationships/hyperlink" Target="https://www.mercadolibre.com.ar/reporting/activity/detail?id=51077723573" TargetMode="External"/><Relationship Id="rId96" Type="http://schemas.openxmlformats.org/officeDocument/2006/relationships/hyperlink" Target="https://www.mercadolibre.com.ar/reporting/activity/detail?id=49849290187" TargetMode="External"/><Relationship Id="rId161" Type="http://schemas.openxmlformats.org/officeDocument/2006/relationships/hyperlink" Target="https://www.mercadolibre.com.ar/reporting/activity/detail?id=49895960691" TargetMode="External"/><Relationship Id="rId399" Type="http://schemas.openxmlformats.org/officeDocument/2006/relationships/hyperlink" Target="https://www.mercadolibre.com.ar/reporting/activity/detail?id=50181930262" TargetMode="External"/><Relationship Id="rId827" Type="http://schemas.openxmlformats.org/officeDocument/2006/relationships/hyperlink" Target="https://www.mercadolibre.com.ar/reporting/activity/detail?id=50750746459" TargetMode="External"/><Relationship Id="rId1012" Type="http://schemas.openxmlformats.org/officeDocument/2006/relationships/hyperlink" Target="https://www.mercadolibre.com.ar/reporting/activity/detail?id=50870575649" TargetMode="External"/><Relationship Id="rId259" Type="http://schemas.openxmlformats.org/officeDocument/2006/relationships/hyperlink" Target="https://www.mercadolibre.com.ar/reporting/activity/detail?id=50081783097" TargetMode="External"/><Relationship Id="rId466" Type="http://schemas.openxmlformats.org/officeDocument/2006/relationships/hyperlink" Target="https://www.mercadolibre.com.ar/reporting/activity/detail?id=50226493670" TargetMode="External"/><Relationship Id="rId673" Type="http://schemas.openxmlformats.org/officeDocument/2006/relationships/hyperlink" Target="https://www.mercadolibre.com.ar/reporting/activity/detail?id=50535038747" TargetMode="External"/><Relationship Id="rId880" Type="http://schemas.openxmlformats.org/officeDocument/2006/relationships/hyperlink" Target="https://www.mercadolibre.com.ar/reporting/activity/detail?id=50792909171" TargetMode="External"/><Relationship Id="rId1096" Type="http://schemas.openxmlformats.org/officeDocument/2006/relationships/hyperlink" Target="https://www.mercadolibre.com.ar/reporting/activity/detail?id=51072893244" TargetMode="External"/><Relationship Id="rId1317" Type="http://schemas.openxmlformats.org/officeDocument/2006/relationships/hyperlink" Target="https://www.mercadolibre.com.ar/reporting/activity/detail?id=49793444127" TargetMode="External"/><Relationship Id="rId23" Type="http://schemas.openxmlformats.org/officeDocument/2006/relationships/hyperlink" Target="https://www.mercadolibre.com.ar/reporting/activity/detail?id=49797105852" TargetMode="External"/><Relationship Id="rId119" Type="http://schemas.openxmlformats.org/officeDocument/2006/relationships/hyperlink" Target="https://www.mercadolibre.com.ar/reporting/activity/detail?id=49850979831" TargetMode="External"/><Relationship Id="rId326" Type="http://schemas.openxmlformats.org/officeDocument/2006/relationships/hyperlink" Target="https://www.mercadolibre.com.ar/reporting/activity/detail?id=50134474605" TargetMode="External"/><Relationship Id="rId533" Type="http://schemas.openxmlformats.org/officeDocument/2006/relationships/hyperlink" Target="https://www.mercadolibre.com.ar/reporting/activity/detail?id=50406179643" TargetMode="External"/><Relationship Id="rId978" Type="http://schemas.openxmlformats.org/officeDocument/2006/relationships/hyperlink" Target="https://www.mercadolibre.com.ar/reporting/activity/detail?id=50839726369" TargetMode="External"/><Relationship Id="rId1163" Type="http://schemas.openxmlformats.org/officeDocument/2006/relationships/hyperlink" Target="https://www.mercadolibre.com.ar/reporting/activity/detail?id=51078296179" TargetMode="External"/><Relationship Id="rId740" Type="http://schemas.openxmlformats.org/officeDocument/2006/relationships/hyperlink" Target="https://www.mercadolibre.com.ar/reporting/activity/detail?id=50543230164" TargetMode="External"/><Relationship Id="rId838" Type="http://schemas.openxmlformats.org/officeDocument/2006/relationships/hyperlink" Target="https://www.mercadolibre.com.ar/reporting/activity/detail?id=50752105837" TargetMode="External"/><Relationship Id="rId1023" Type="http://schemas.openxmlformats.org/officeDocument/2006/relationships/hyperlink" Target="https://www.mercadolibre.com.ar/reporting/activity/detail?id=50873311521" TargetMode="External"/><Relationship Id="rId172" Type="http://schemas.openxmlformats.org/officeDocument/2006/relationships/hyperlink" Target="https://www.mercadolibre.com.ar/reporting/activity/detail?id=49896715895" TargetMode="External"/><Relationship Id="rId477" Type="http://schemas.openxmlformats.org/officeDocument/2006/relationships/hyperlink" Target="https://www.mercadolibre.com.ar/reporting/activity/detail?id=50227016953" TargetMode="External"/><Relationship Id="rId600" Type="http://schemas.openxmlformats.org/officeDocument/2006/relationships/hyperlink" Target="https://www.mercadolibre.com.ar/reporting/activity/detail?id=50452964622" TargetMode="External"/><Relationship Id="rId684" Type="http://schemas.openxmlformats.org/officeDocument/2006/relationships/hyperlink" Target="https://www.mercadolibre.com.ar/reporting/activity/detail?id=50538669149" TargetMode="External"/><Relationship Id="rId1230" Type="http://schemas.openxmlformats.org/officeDocument/2006/relationships/hyperlink" Target="https://www.mercadolibre.com.ar/reporting/activity/detail?id=51131575493" TargetMode="External"/><Relationship Id="rId1328" Type="http://schemas.openxmlformats.org/officeDocument/2006/relationships/hyperlink" Target="https://www.mercadolibre.com.ar/reporting/activity/detail?id=49794316920" TargetMode="External"/><Relationship Id="rId337" Type="http://schemas.openxmlformats.org/officeDocument/2006/relationships/hyperlink" Target="https://www.mercadolibre.com.ar/reporting/activity/detail?id=50135349763" TargetMode="External"/><Relationship Id="rId891" Type="http://schemas.openxmlformats.org/officeDocument/2006/relationships/hyperlink" Target="https://www.mercadolibre.com.ar/reporting/activity/detail?id=50794711564" TargetMode="External"/><Relationship Id="rId905" Type="http://schemas.openxmlformats.org/officeDocument/2006/relationships/hyperlink" Target="https://www.mercadolibre.com.ar/reporting/activity/detail?id=50796983880" TargetMode="External"/><Relationship Id="rId989" Type="http://schemas.openxmlformats.org/officeDocument/2006/relationships/hyperlink" Target="https://www.mercadolibre.com.ar/reporting/activity/detail?id=50840449472" TargetMode="External"/><Relationship Id="rId34" Type="http://schemas.openxmlformats.org/officeDocument/2006/relationships/hyperlink" Target="https://www.mercadolibre.com.ar/reporting/activity/detail?id=49797696374" TargetMode="External"/><Relationship Id="rId544" Type="http://schemas.openxmlformats.org/officeDocument/2006/relationships/hyperlink" Target="https://www.mercadolibre.com.ar/reporting/activity/detail?id=50408946511" TargetMode="External"/><Relationship Id="rId751" Type="http://schemas.openxmlformats.org/officeDocument/2006/relationships/hyperlink" Target="https://www.mercadolibre.com.ar/reporting/activity/detail?id=50543809566" TargetMode="External"/><Relationship Id="rId849" Type="http://schemas.openxmlformats.org/officeDocument/2006/relationships/hyperlink" Target="https://www.mercadolibre.com.ar/reporting/activity/detail?id=50752871980" TargetMode="External"/><Relationship Id="rId1174" Type="http://schemas.openxmlformats.org/officeDocument/2006/relationships/hyperlink" Target="https://www.mercadolibre.com.ar/reporting/activity/detail?id=51120671162" TargetMode="External"/><Relationship Id="rId183" Type="http://schemas.openxmlformats.org/officeDocument/2006/relationships/hyperlink" Target="https://www.mercadolibre.com.ar/reporting/activity/detail?id=49897442072" TargetMode="External"/><Relationship Id="rId390" Type="http://schemas.openxmlformats.org/officeDocument/2006/relationships/hyperlink" Target="https://www.mercadolibre.com.ar/reporting/activity/detail?id=50181252628" TargetMode="External"/><Relationship Id="rId404" Type="http://schemas.openxmlformats.org/officeDocument/2006/relationships/hyperlink" Target="https://www.mercadolibre.com.ar/reporting/activity/detail?id=50182404225" TargetMode="External"/><Relationship Id="rId611" Type="http://schemas.openxmlformats.org/officeDocument/2006/relationships/hyperlink" Target="https://www.mercadolibre.com.ar/reporting/activity/detail?id=50453648215" TargetMode="External"/><Relationship Id="rId1034" Type="http://schemas.openxmlformats.org/officeDocument/2006/relationships/hyperlink" Target="https://www.mercadolibre.com.ar/reporting/activity/detail?id=50875766495" TargetMode="External"/><Relationship Id="rId1241" Type="http://schemas.openxmlformats.org/officeDocument/2006/relationships/hyperlink" Target="https://www.mercadolibre.com.ar/reporting/activity/detail?id=51171805799" TargetMode="External"/><Relationship Id="rId250" Type="http://schemas.openxmlformats.org/officeDocument/2006/relationships/hyperlink" Target="https://www.mercadolibre.com.ar/reporting/activity/detail?id=50080026508" TargetMode="External"/><Relationship Id="rId488" Type="http://schemas.openxmlformats.org/officeDocument/2006/relationships/hyperlink" Target="https://www.mercadolibre.com.ar/reporting/activity/detail?id=50227821843" TargetMode="External"/><Relationship Id="rId695" Type="http://schemas.openxmlformats.org/officeDocument/2006/relationships/hyperlink" Target="https://www.mercadolibre.com.ar/reporting/activity/detail?id=50539699614" TargetMode="External"/><Relationship Id="rId709" Type="http://schemas.openxmlformats.org/officeDocument/2006/relationships/hyperlink" Target="https://www.mercadolibre.com.ar/reporting/activity/detail?id=50540647708" TargetMode="External"/><Relationship Id="rId916" Type="http://schemas.openxmlformats.org/officeDocument/2006/relationships/hyperlink" Target="https://www.mercadolibre.com.ar/reporting/activity/detail?id=50798259980" TargetMode="External"/><Relationship Id="rId1101" Type="http://schemas.openxmlformats.org/officeDocument/2006/relationships/hyperlink" Target="https://www.mercadolibre.com.ar/reporting/activity/detail?id=51073486283" TargetMode="External"/><Relationship Id="rId45" Type="http://schemas.openxmlformats.org/officeDocument/2006/relationships/hyperlink" Target="https://www.mercadolibre.com.ar/reporting/activity/detail?id=49842178869" TargetMode="External"/><Relationship Id="rId110" Type="http://schemas.openxmlformats.org/officeDocument/2006/relationships/hyperlink" Target="https://www.mercadolibre.com.ar/reporting/activity/detail?id=49850369941" TargetMode="External"/><Relationship Id="rId348" Type="http://schemas.openxmlformats.org/officeDocument/2006/relationships/hyperlink" Target="https://www.mercadolibre.com.ar/reporting/activity/detail?id=50176128952" TargetMode="External"/><Relationship Id="rId555" Type="http://schemas.openxmlformats.org/officeDocument/2006/relationships/hyperlink" Target="https://www.mercadolibre.com.ar/reporting/activity/detail?id=50447708467" TargetMode="External"/><Relationship Id="rId762" Type="http://schemas.openxmlformats.org/officeDocument/2006/relationships/hyperlink" Target="https://www.mercadolibre.com.ar/reporting/activity/detail?id=50573617802" TargetMode="External"/><Relationship Id="rId1185" Type="http://schemas.openxmlformats.org/officeDocument/2006/relationships/hyperlink" Target="https://www.mercadolibre.com.ar/reporting/activity/detail?id=51126221396" TargetMode="External"/><Relationship Id="rId194" Type="http://schemas.openxmlformats.org/officeDocument/2006/relationships/hyperlink" Target="https://www.mercadolibre.com.ar/reporting/activity/detail?id=49898333648" TargetMode="External"/><Relationship Id="rId208" Type="http://schemas.openxmlformats.org/officeDocument/2006/relationships/hyperlink" Target="https://www.mercadolibre.com.ar/reporting/activity/detail?id=49899607461" TargetMode="External"/><Relationship Id="rId415" Type="http://schemas.openxmlformats.org/officeDocument/2006/relationships/hyperlink" Target="https://www.mercadolibre.com.ar/reporting/activity/detail?id=50183261228" TargetMode="External"/><Relationship Id="rId622" Type="http://schemas.openxmlformats.org/officeDocument/2006/relationships/hyperlink" Target="https://www.mercadolibre.com.ar/reporting/activity/detail?id=50454185102" TargetMode="External"/><Relationship Id="rId1045" Type="http://schemas.openxmlformats.org/officeDocument/2006/relationships/hyperlink" Target="https://www.mercadolibre.com.ar/reporting/activity/detail?id=50876507249" TargetMode="External"/><Relationship Id="rId1252" Type="http://schemas.openxmlformats.org/officeDocument/2006/relationships/hyperlink" Target="https://www.mercadolibre.com.ar/reporting/activity/detail?id=51174461923" TargetMode="External"/><Relationship Id="rId261" Type="http://schemas.openxmlformats.org/officeDocument/2006/relationships/hyperlink" Target="https://www.mercadolibre.com.ar/reporting/activity/detail?id=50082087699" TargetMode="External"/><Relationship Id="rId499" Type="http://schemas.openxmlformats.org/officeDocument/2006/relationships/hyperlink" Target="https://www.mercadolibre.com.ar/reporting/activity/detail?id=50258303431" TargetMode="External"/><Relationship Id="rId927" Type="http://schemas.openxmlformats.org/officeDocument/2006/relationships/hyperlink" Target="https://www.mercadolibre.com.ar/reporting/activity/detail?id=50799171045" TargetMode="External"/><Relationship Id="rId1112" Type="http://schemas.openxmlformats.org/officeDocument/2006/relationships/hyperlink" Target="https://www.mercadolibre.com.ar/reporting/activity/detail?id=51074929612" TargetMode="External"/><Relationship Id="rId56" Type="http://schemas.openxmlformats.org/officeDocument/2006/relationships/hyperlink" Target="https://www.mercadolibre.com.ar/reporting/activity/detail?id=49844364577" TargetMode="External"/><Relationship Id="rId359" Type="http://schemas.openxmlformats.org/officeDocument/2006/relationships/hyperlink" Target="https://www.mercadolibre.com.ar/reporting/activity/detail?id=50178328585" TargetMode="External"/><Relationship Id="rId566" Type="http://schemas.openxmlformats.org/officeDocument/2006/relationships/hyperlink" Target="https://www.mercadolibre.com.ar/reporting/activity/detail?id=50449714852" TargetMode="External"/><Relationship Id="rId773" Type="http://schemas.openxmlformats.org/officeDocument/2006/relationships/hyperlink" Target="https://www.mercadolibre.com.ar/reporting/activity/detail?id=50576239916" TargetMode="External"/><Relationship Id="rId1196" Type="http://schemas.openxmlformats.org/officeDocument/2006/relationships/hyperlink" Target="https://www.mercadolibre.com.ar/reporting/activity/detail?id=51127262411" TargetMode="External"/><Relationship Id="rId121" Type="http://schemas.openxmlformats.org/officeDocument/2006/relationships/hyperlink" Target="https://www.mercadolibre.com.ar/reporting/activity/detail?id=49851409560" TargetMode="External"/><Relationship Id="rId219" Type="http://schemas.openxmlformats.org/officeDocument/2006/relationships/hyperlink" Target="https://www.mercadolibre.com.ar/reporting/activity/detail?id=49933072865" TargetMode="External"/><Relationship Id="rId426" Type="http://schemas.openxmlformats.org/officeDocument/2006/relationships/hyperlink" Target="https://www.mercadolibre.com.ar/reporting/activity/detail?id=50219739397" TargetMode="External"/><Relationship Id="rId633" Type="http://schemas.openxmlformats.org/officeDocument/2006/relationships/hyperlink" Target="https://www.mercadolibre.com.ar/reporting/activity/detail?id=50490573052" TargetMode="External"/><Relationship Id="rId980" Type="http://schemas.openxmlformats.org/officeDocument/2006/relationships/hyperlink" Target="https://www.mercadolibre.com.ar/reporting/activity/detail?id=50839867683" TargetMode="External"/><Relationship Id="rId1056" Type="http://schemas.openxmlformats.org/officeDocument/2006/relationships/hyperlink" Target="https://www.mercadolibre.com.ar/reporting/activity/detail?id=50877604500" TargetMode="External"/><Relationship Id="rId1263" Type="http://schemas.openxmlformats.org/officeDocument/2006/relationships/hyperlink" Target="https://www.mercadolibre.com.ar/reporting/activity/detail?id=51176679097" TargetMode="External"/><Relationship Id="rId840" Type="http://schemas.openxmlformats.org/officeDocument/2006/relationships/hyperlink" Target="https://www.mercadolibre.com.ar/reporting/activity/detail?id=50752252411" TargetMode="External"/><Relationship Id="rId938" Type="http://schemas.openxmlformats.org/officeDocument/2006/relationships/hyperlink" Target="https://www.mercadolibre.com.ar/reporting/activity/detail?id=50834010918" TargetMode="External"/><Relationship Id="rId67" Type="http://schemas.openxmlformats.org/officeDocument/2006/relationships/hyperlink" Target="https://www.mercadolibre.com.ar/reporting/activity/detail?id=49846297717" TargetMode="External"/><Relationship Id="rId272" Type="http://schemas.openxmlformats.org/officeDocument/2006/relationships/hyperlink" Target="https://www.mercadolibre.com.ar/reporting/activity/detail?id=50085312080" TargetMode="External"/><Relationship Id="rId577" Type="http://schemas.openxmlformats.org/officeDocument/2006/relationships/hyperlink" Target="https://www.mercadolibre.com.ar/reporting/activity/detail?id=50450604069" TargetMode="External"/><Relationship Id="rId700" Type="http://schemas.openxmlformats.org/officeDocument/2006/relationships/hyperlink" Target="https://www.mercadolibre.com.ar/reporting/activity/detail?id=50540071996" TargetMode="External"/><Relationship Id="rId1123" Type="http://schemas.openxmlformats.org/officeDocument/2006/relationships/hyperlink" Target="https://www.mercadolibre.com.ar/reporting/activity/detail?id=51075722797" TargetMode="External"/><Relationship Id="rId1330" Type="http://schemas.openxmlformats.org/officeDocument/2006/relationships/hyperlink" Target="https://www.mercadolibre.com.ar/reporting/activity/detail?id=49794617036" TargetMode="External"/><Relationship Id="rId132" Type="http://schemas.openxmlformats.org/officeDocument/2006/relationships/hyperlink" Target="https://www.mercadolibre.com.ar/reporting/activity/detail?id=49891225626" TargetMode="External"/><Relationship Id="rId784" Type="http://schemas.openxmlformats.org/officeDocument/2006/relationships/hyperlink" Target="https://www.mercadolibre.com.ar/reporting/activity/detail?id=50706864300" TargetMode="External"/><Relationship Id="rId991" Type="http://schemas.openxmlformats.org/officeDocument/2006/relationships/hyperlink" Target="https://www.mercadolibre.com.ar/reporting/activity/detail?id=50840584028" TargetMode="External"/><Relationship Id="rId1067" Type="http://schemas.openxmlformats.org/officeDocument/2006/relationships/hyperlink" Target="https://www.mercadolibre.com.ar/reporting/activity/detail?id=51023319638" TargetMode="External"/><Relationship Id="rId437" Type="http://schemas.openxmlformats.org/officeDocument/2006/relationships/hyperlink" Target="https://www.mercadolibre.com.ar/reporting/activity/detail?id=50223115513" TargetMode="External"/><Relationship Id="rId644" Type="http://schemas.openxmlformats.org/officeDocument/2006/relationships/hyperlink" Target="https://www.mercadolibre.com.ar/reporting/activity/detail?id=50495933730" TargetMode="External"/><Relationship Id="rId851" Type="http://schemas.openxmlformats.org/officeDocument/2006/relationships/hyperlink" Target="https://www.mercadolibre.com.ar/reporting/activity/detail?id=50752910216" TargetMode="External"/><Relationship Id="rId1274" Type="http://schemas.openxmlformats.org/officeDocument/2006/relationships/hyperlink" Target="https://www.mercadolibre.com.ar/reporting/activity/detail?id=51177515427" TargetMode="External"/><Relationship Id="rId283" Type="http://schemas.openxmlformats.org/officeDocument/2006/relationships/hyperlink" Target="https://www.mercadolibre.com.ar/reporting/activity/detail?id=50127646313" TargetMode="External"/><Relationship Id="rId490" Type="http://schemas.openxmlformats.org/officeDocument/2006/relationships/hyperlink" Target="https://www.mercadolibre.com.ar/reporting/activity/detail?id=50227889973" TargetMode="External"/><Relationship Id="rId504" Type="http://schemas.openxmlformats.org/officeDocument/2006/relationships/hyperlink" Target="https://www.mercadolibre.com.ar/reporting/activity/detail?id=50261725989" TargetMode="External"/><Relationship Id="rId711" Type="http://schemas.openxmlformats.org/officeDocument/2006/relationships/hyperlink" Target="https://www.mercadolibre.com.ar/reporting/activity/detail?id=50540955150" TargetMode="External"/><Relationship Id="rId949" Type="http://schemas.openxmlformats.org/officeDocument/2006/relationships/hyperlink" Target="https://www.mercadolibre.com.ar/reporting/activity/detail?id=50836675534" TargetMode="External"/><Relationship Id="rId1134" Type="http://schemas.openxmlformats.org/officeDocument/2006/relationships/hyperlink" Target="https://www.mercadolibre.com.ar/reporting/activity/detail?id=51076504649" TargetMode="External"/><Relationship Id="rId78" Type="http://schemas.openxmlformats.org/officeDocument/2006/relationships/hyperlink" Target="https://www.mercadolibre.com.ar/reporting/activity/detail?id=49847531948" TargetMode="External"/><Relationship Id="rId143" Type="http://schemas.openxmlformats.org/officeDocument/2006/relationships/hyperlink" Target="https://www.mercadolibre.com.ar/reporting/activity/detail?id=49894520493" TargetMode="External"/><Relationship Id="rId350" Type="http://schemas.openxmlformats.org/officeDocument/2006/relationships/hyperlink" Target="https://www.mercadolibre.com.ar/reporting/activity/detail?id=50176792306" TargetMode="External"/><Relationship Id="rId588" Type="http://schemas.openxmlformats.org/officeDocument/2006/relationships/hyperlink" Target="https://www.mercadolibre.com.ar/reporting/activity/detail?id=50452177151" TargetMode="External"/><Relationship Id="rId795" Type="http://schemas.openxmlformats.org/officeDocument/2006/relationships/hyperlink" Target="https://www.mercadolibre.com.ar/reporting/activity/detail?id=50745530386" TargetMode="External"/><Relationship Id="rId809" Type="http://schemas.openxmlformats.org/officeDocument/2006/relationships/hyperlink" Target="https://www.mercadolibre.com.ar/reporting/activity/detail?id=50748695105" TargetMode="External"/><Relationship Id="rId1201" Type="http://schemas.openxmlformats.org/officeDocument/2006/relationships/hyperlink" Target="https://www.mercadolibre.com.ar/reporting/activity/detail?id=51127652000" TargetMode="External"/><Relationship Id="rId9" Type="http://schemas.openxmlformats.org/officeDocument/2006/relationships/hyperlink" Target="https://www.mercadolibre.com.ar/reporting/activity/detail?id=49795806680" TargetMode="External"/><Relationship Id="rId210" Type="http://schemas.openxmlformats.org/officeDocument/2006/relationships/hyperlink" Target="https://www.mercadolibre.com.ar/reporting/activity/detail?id=49899660875" TargetMode="External"/><Relationship Id="rId448" Type="http://schemas.openxmlformats.org/officeDocument/2006/relationships/hyperlink" Target="https://www.mercadolibre.com.ar/reporting/activity/detail?id=50224858846" TargetMode="External"/><Relationship Id="rId655" Type="http://schemas.openxmlformats.org/officeDocument/2006/relationships/hyperlink" Target="https://www.mercadolibre.com.ar/reporting/activity/detail?id=50498383903" TargetMode="External"/><Relationship Id="rId862" Type="http://schemas.openxmlformats.org/officeDocument/2006/relationships/hyperlink" Target="https://www.mercadolibre.com.ar/reporting/activity/detail?id=50753241261" TargetMode="External"/><Relationship Id="rId1078" Type="http://schemas.openxmlformats.org/officeDocument/2006/relationships/hyperlink" Target="https://www.mercadolibre.com.ar/reporting/activity/detail?id=51065013549" TargetMode="External"/><Relationship Id="rId1285" Type="http://schemas.openxmlformats.org/officeDocument/2006/relationships/hyperlink" Target="https://www.mercadolibre.com.ar/reporting/activity/detail?id=49742712870" TargetMode="External"/><Relationship Id="rId294" Type="http://schemas.openxmlformats.org/officeDocument/2006/relationships/hyperlink" Target="https://www.mercadolibre.com.ar/reporting/activity/detail?id=50129507104" TargetMode="External"/><Relationship Id="rId308" Type="http://schemas.openxmlformats.org/officeDocument/2006/relationships/hyperlink" Target="https://www.mercadolibre.com.ar/reporting/activity/detail?id=50132427769" TargetMode="External"/><Relationship Id="rId515" Type="http://schemas.openxmlformats.org/officeDocument/2006/relationships/hyperlink" Target="https://www.mercadolibre.com.ar/reporting/activity/detail?id=50263182813" TargetMode="External"/><Relationship Id="rId722" Type="http://schemas.openxmlformats.org/officeDocument/2006/relationships/hyperlink" Target="https://www.mercadolibre.com.ar/reporting/activity/detail?id=50541997748" TargetMode="External"/><Relationship Id="rId1145" Type="http://schemas.openxmlformats.org/officeDocument/2006/relationships/hyperlink" Target="https://www.mercadolibre.com.ar/reporting/activity/detail?id=51077288637" TargetMode="External"/><Relationship Id="rId89" Type="http://schemas.openxmlformats.org/officeDocument/2006/relationships/hyperlink" Target="https://www.mercadolibre.com.ar/reporting/activity/detail?id=49848860026" TargetMode="External"/><Relationship Id="rId154" Type="http://schemas.openxmlformats.org/officeDocument/2006/relationships/hyperlink" Target="https://www.mercadolibre.com.ar/reporting/activity/detail?id=49895266079" TargetMode="External"/><Relationship Id="rId361" Type="http://schemas.openxmlformats.org/officeDocument/2006/relationships/hyperlink" Target="https://www.mercadolibre.com.ar/reporting/activity/detail?id=50178972479" TargetMode="External"/><Relationship Id="rId599" Type="http://schemas.openxmlformats.org/officeDocument/2006/relationships/hyperlink" Target="https://www.mercadolibre.com.ar/reporting/activity/detail?id=50452904666" TargetMode="External"/><Relationship Id="rId1005" Type="http://schemas.openxmlformats.org/officeDocument/2006/relationships/hyperlink" Target="https://www.mercadolibre.com.ar/reporting/activity/detail?id=50841392002" TargetMode="External"/><Relationship Id="rId1212" Type="http://schemas.openxmlformats.org/officeDocument/2006/relationships/hyperlink" Target="https://www.mercadolibre.com.ar/reporting/activity/detail?id=51128870602" TargetMode="External"/><Relationship Id="rId459" Type="http://schemas.openxmlformats.org/officeDocument/2006/relationships/hyperlink" Target="https://www.mercadolibre.com.ar/reporting/activity/detail?id=50225687385" TargetMode="External"/><Relationship Id="rId666" Type="http://schemas.openxmlformats.org/officeDocument/2006/relationships/hyperlink" Target="https://www.mercadolibre.com.ar/reporting/activity/detail?id=50500316420" TargetMode="External"/><Relationship Id="rId873" Type="http://schemas.openxmlformats.org/officeDocument/2006/relationships/hyperlink" Target="https://www.mercadolibre.com.ar/reporting/activity/detail?id=50790702989" TargetMode="External"/><Relationship Id="rId1089" Type="http://schemas.openxmlformats.org/officeDocument/2006/relationships/hyperlink" Target="https://www.mercadolibre.com.ar/reporting/activity/detail?id=51072099422" TargetMode="External"/><Relationship Id="rId1296" Type="http://schemas.openxmlformats.org/officeDocument/2006/relationships/hyperlink" Target="https://www.mercadolibre.com.ar/reporting/activity/detail?id=49748222229" TargetMode="External"/><Relationship Id="rId16" Type="http://schemas.openxmlformats.org/officeDocument/2006/relationships/hyperlink" Target="https://www.mercadolibre.com.ar/reporting/activity/detail?id=49796347465" TargetMode="External"/><Relationship Id="rId221" Type="http://schemas.openxmlformats.org/officeDocument/2006/relationships/hyperlink" Target="https://www.mercadolibre.com.ar/reporting/activity/detail?id=49933550780" TargetMode="External"/><Relationship Id="rId319" Type="http://schemas.openxmlformats.org/officeDocument/2006/relationships/hyperlink" Target="https://www.mercadolibre.com.ar/reporting/activity/detail?id=50133934074" TargetMode="External"/><Relationship Id="rId526" Type="http://schemas.openxmlformats.org/officeDocument/2006/relationships/hyperlink" Target="https://www.mercadolibre.com.ar/reporting/activity/detail?id=50402093785" TargetMode="External"/><Relationship Id="rId1156" Type="http://schemas.openxmlformats.org/officeDocument/2006/relationships/hyperlink" Target="https://www.mercadolibre.com.ar/reporting/activity/detail?id=51077969805" TargetMode="External"/><Relationship Id="rId733" Type="http://schemas.openxmlformats.org/officeDocument/2006/relationships/hyperlink" Target="https://www.mercadolibre.com.ar/reporting/activity/detail?id=50542794908" TargetMode="External"/><Relationship Id="rId940" Type="http://schemas.openxmlformats.org/officeDocument/2006/relationships/hyperlink" Target="https://www.mercadolibre.com.ar/reporting/activity/detail?id=50834574801" TargetMode="External"/><Relationship Id="rId1016" Type="http://schemas.openxmlformats.org/officeDocument/2006/relationships/hyperlink" Target="https://www.mercadolibre.com.ar/reporting/activity/detail?id=50871230387" TargetMode="External"/><Relationship Id="rId165" Type="http://schemas.openxmlformats.org/officeDocument/2006/relationships/hyperlink" Target="https://www.mercadolibre.com.ar/reporting/activity/detail?id=49896321589" TargetMode="External"/><Relationship Id="rId372" Type="http://schemas.openxmlformats.org/officeDocument/2006/relationships/hyperlink" Target="https://www.mercadolibre.com.ar/reporting/activity/detail?id=50179796783" TargetMode="External"/><Relationship Id="rId677" Type="http://schemas.openxmlformats.org/officeDocument/2006/relationships/hyperlink" Target="https://www.mercadolibre.com.ar/reporting/activity/detail?id=50536300261" TargetMode="External"/><Relationship Id="rId800" Type="http://schemas.openxmlformats.org/officeDocument/2006/relationships/hyperlink" Target="https://www.mercadolibre.com.ar/reporting/activity/detail?id=50746996451" TargetMode="External"/><Relationship Id="rId1223" Type="http://schemas.openxmlformats.org/officeDocument/2006/relationships/hyperlink" Target="https://www.mercadolibre.com.ar/reporting/activity/detail?id=51130636170" TargetMode="External"/><Relationship Id="rId232" Type="http://schemas.openxmlformats.org/officeDocument/2006/relationships/hyperlink" Target="https://www.mercadolibre.com.ar/reporting/activity/detail?id=49935407556" TargetMode="External"/><Relationship Id="rId884" Type="http://schemas.openxmlformats.org/officeDocument/2006/relationships/hyperlink" Target="https://www.mercadolibre.com.ar/reporting/activity/detail?id=50793210463" TargetMode="External"/><Relationship Id="rId27" Type="http://schemas.openxmlformats.org/officeDocument/2006/relationships/hyperlink" Target="https://www.mercadolibre.com.ar/reporting/activity/detail?id=49797438203" TargetMode="External"/><Relationship Id="rId537" Type="http://schemas.openxmlformats.org/officeDocument/2006/relationships/hyperlink" Target="https://www.mercadolibre.com.ar/reporting/activity/detail?id=50406633524" TargetMode="External"/><Relationship Id="rId744" Type="http://schemas.openxmlformats.org/officeDocument/2006/relationships/hyperlink" Target="https://www.mercadolibre.com.ar/reporting/activity/detail?id=50543446009" TargetMode="External"/><Relationship Id="rId951" Type="http://schemas.openxmlformats.org/officeDocument/2006/relationships/hyperlink" Target="https://www.mercadolibre.com.ar/reporting/activity/detail?id=50837180555" TargetMode="External"/><Relationship Id="rId1167" Type="http://schemas.openxmlformats.org/officeDocument/2006/relationships/hyperlink" Target="https://www.mercadolibre.com.ar/reporting/activity/detail?id=51119071969" TargetMode="External"/><Relationship Id="rId80" Type="http://schemas.openxmlformats.org/officeDocument/2006/relationships/hyperlink" Target="https://www.mercadolibre.com.ar/reporting/activity/detail?id=49847559003" TargetMode="External"/><Relationship Id="rId176" Type="http://schemas.openxmlformats.org/officeDocument/2006/relationships/hyperlink" Target="https://www.mercadolibre.com.ar/reporting/activity/detail?id=49896857129" TargetMode="External"/><Relationship Id="rId383" Type="http://schemas.openxmlformats.org/officeDocument/2006/relationships/hyperlink" Target="https://www.mercadolibre.com.ar/reporting/activity/detail?id=50180475327" TargetMode="External"/><Relationship Id="rId590" Type="http://schemas.openxmlformats.org/officeDocument/2006/relationships/hyperlink" Target="https://www.mercadolibre.com.ar/reporting/activity/detail?id=50452296309" TargetMode="External"/><Relationship Id="rId604" Type="http://schemas.openxmlformats.org/officeDocument/2006/relationships/hyperlink" Target="https://www.mercadolibre.com.ar/reporting/activity/detail?id=50453033533" TargetMode="External"/><Relationship Id="rId811" Type="http://schemas.openxmlformats.org/officeDocument/2006/relationships/hyperlink" Target="https://www.mercadolibre.com.ar/reporting/activity/detail?id=50748775752" TargetMode="External"/><Relationship Id="rId1027" Type="http://schemas.openxmlformats.org/officeDocument/2006/relationships/hyperlink" Target="https://www.mercadolibre.com.ar/reporting/activity/detail?id=50874681504" TargetMode="External"/><Relationship Id="rId1234" Type="http://schemas.openxmlformats.org/officeDocument/2006/relationships/hyperlink" Target="https://www.mercadolibre.com.ar/reporting/activity/detail?id=51168475299" TargetMode="External"/><Relationship Id="rId243" Type="http://schemas.openxmlformats.org/officeDocument/2006/relationships/hyperlink" Target="https://www.mercadolibre.com.ar/reporting/activity/detail?id=50076168552" TargetMode="External"/><Relationship Id="rId450" Type="http://schemas.openxmlformats.org/officeDocument/2006/relationships/hyperlink" Target="https://www.mercadolibre.com.ar/reporting/activity/detail?id=50224904868" TargetMode="External"/><Relationship Id="rId688" Type="http://schemas.openxmlformats.org/officeDocument/2006/relationships/hyperlink" Target="https://www.mercadolibre.com.ar/reporting/activity/detail?id=50538978676" TargetMode="External"/><Relationship Id="rId895" Type="http://schemas.openxmlformats.org/officeDocument/2006/relationships/hyperlink" Target="https://www.mercadolibre.com.ar/reporting/activity/detail?id=50795091501" TargetMode="External"/><Relationship Id="rId909" Type="http://schemas.openxmlformats.org/officeDocument/2006/relationships/hyperlink" Target="https://www.mercadolibre.com.ar/reporting/activity/detail?id=50797537039" TargetMode="External"/><Relationship Id="rId1080" Type="http://schemas.openxmlformats.org/officeDocument/2006/relationships/hyperlink" Target="https://www.mercadolibre.com.ar/reporting/activity/detail?id=51067798581" TargetMode="External"/><Relationship Id="rId1301" Type="http://schemas.openxmlformats.org/officeDocument/2006/relationships/hyperlink" Target="https://www.mercadolibre.com.ar/reporting/activity/detail?id=49786243802" TargetMode="External"/><Relationship Id="rId38" Type="http://schemas.openxmlformats.org/officeDocument/2006/relationships/hyperlink" Target="https://www.mercadolibre.com.ar/reporting/activity/detail?id=49836977186" TargetMode="External"/><Relationship Id="rId103" Type="http://schemas.openxmlformats.org/officeDocument/2006/relationships/hyperlink" Target="https://www.mercadolibre.com.ar/reporting/activity/detail?id=49849807622" TargetMode="External"/><Relationship Id="rId310" Type="http://schemas.openxmlformats.org/officeDocument/2006/relationships/hyperlink" Target="https://www.mercadolibre.com.ar/reporting/activity/detail?id=50132624558" TargetMode="External"/><Relationship Id="rId548" Type="http://schemas.openxmlformats.org/officeDocument/2006/relationships/hyperlink" Target="https://www.mercadolibre.com.ar/reporting/activity/detail?id=50444907926" TargetMode="External"/><Relationship Id="rId755" Type="http://schemas.openxmlformats.org/officeDocument/2006/relationships/hyperlink" Target="https://www.mercadolibre.com.ar/reporting/activity/detail?id=50569945605" TargetMode="External"/><Relationship Id="rId962" Type="http://schemas.openxmlformats.org/officeDocument/2006/relationships/hyperlink" Target="https://www.mercadolibre.com.ar/reporting/activity/detail?id=50838254000" TargetMode="External"/><Relationship Id="rId1178" Type="http://schemas.openxmlformats.org/officeDocument/2006/relationships/hyperlink" Target="https://www.mercadolibre.com.ar/reporting/activity/detail?id=51123360340" TargetMode="External"/><Relationship Id="rId91" Type="http://schemas.openxmlformats.org/officeDocument/2006/relationships/hyperlink" Target="https://www.mercadolibre.com.ar/reporting/activity/detail?id=49848941544" TargetMode="External"/><Relationship Id="rId187" Type="http://schemas.openxmlformats.org/officeDocument/2006/relationships/hyperlink" Target="https://www.mercadolibre.com.ar/reporting/activity/detail?id=49897806760" TargetMode="External"/><Relationship Id="rId394" Type="http://schemas.openxmlformats.org/officeDocument/2006/relationships/hyperlink" Target="https://www.mercadolibre.com.ar/reporting/activity/detail?id=50181683503" TargetMode="External"/><Relationship Id="rId408" Type="http://schemas.openxmlformats.org/officeDocument/2006/relationships/hyperlink" Target="https://www.mercadolibre.com.ar/reporting/activity/detail?id=50182616158" TargetMode="External"/><Relationship Id="rId615" Type="http://schemas.openxmlformats.org/officeDocument/2006/relationships/hyperlink" Target="https://www.mercadolibre.com.ar/reporting/activity/detail?id=50453863489" TargetMode="External"/><Relationship Id="rId822" Type="http://schemas.openxmlformats.org/officeDocument/2006/relationships/hyperlink" Target="https://www.mercadolibre.com.ar/reporting/activity/detail?id=50750363046" TargetMode="External"/><Relationship Id="rId1038" Type="http://schemas.openxmlformats.org/officeDocument/2006/relationships/hyperlink" Target="https://www.mercadolibre.com.ar/reporting/activity/detail?id=50875983199" TargetMode="External"/><Relationship Id="rId1245" Type="http://schemas.openxmlformats.org/officeDocument/2006/relationships/hyperlink" Target="https://www.mercadolibre.com.ar/reporting/activity/detail?id=51173532611" TargetMode="External"/><Relationship Id="rId254" Type="http://schemas.openxmlformats.org/officeDocument/2006/relationships/hyperlink" Target="https://www.mercadolibre.com.ar/reporting/activity/detail?id=50081528537" TargetMode="External"/><Relationship Id="rId699" Type="http://schemas.openxmlformats.org/officeDocument/2006/relationships/hyperlink" Target="https://www.mercadolibre.com.ar/reporting/activity/detail?id=50540015702" TargetMode="External"/><Relationship Id="rId1091" Type="http://schemas.openxmlformats.org/officeDocument/2006/relationships/hyperlink" Target="https://www.mercadolibre.com.ar/reporting/activity/detail?id=51072236357" TargetMode="External"/><Relationship Id="rId1105" Type="http://schemas.openxmlformats.org/officeDocument/2006/relationships/hyperlink" Target="https://www.mercadolibre.com.ar/reporting/activity/detail?id=51074051714" TargetMode="External"/><Relationship Id="rId1312" Type="http://schemas.openxmlformats.org/officeDocument/2006/relationships/hyperlink" Target="https://www.mercadolibre.com.ar/reporting/activity/detail?id=49792700266" TargetMode="External"/><Relationship Id="rId49" Type="http://schemas.openxmlformats.org/officeDocument/2006/relationships/hyperlink" Target="https://www.mercadolibre.com.ar/reporting/activity/detail?id=49842554449" TargetMode="External"/><Relationship Id="rId114" Type="http://schemas.openxmlformats.org/officeDocument/2006/relationships/hyperlink" Target="https://www.mercadolibre.com.ar/reporting/activity/detail?id=49850516195" TargetMode="External"/><Relationship Id="rId461" Type="http://schemas.openxmlformats.org/officeDocument/2006/relationships/hyperlink" Target="https://www.mercadolibre.com.ar/reporting/activity/detail?id=50225848587" TargetMode="External"/><Relationship Id="rId559" Type="http://schemas.openxmlformats.org/officeDocument/2006/relationships/hyperlink" Target="https://www.mercadolibre.com.ar/reporting/activity/detail?id=50448471181" TargetMode="External"/><Relationship Id="rId766" Type="http://schemas.openxmlformats.org/officeDocument/2006/relationships/hyperlink" Target="https://www.mercadolibre.com.ar/reporting/activity/detail?id=50574911987" TargetMode="External"/><Relationship Id="rId1189" Type="http://schemas.openxmlformats.org/officeDocument/2006/relationships/hyperlink" Target="https://www.mercadolibre.com.ar/reporting/activity/detail?id=51126696572" TargetMode="External"/><Relationship Id="rId198" Type="http://schemas.openxmlformats.org/officeDocument/2006/relationships/hyperlink" Target="https://www.mercadolibre.com.ar/reporting/activity/detail?id=49898908672" TargetMode="External"/><Relationship Id="rId321" Type="http://schemas.openxmlformats.org/officeDocument/2006/relationships/hyperlink" Target="https://www.mercadolibre.com.ar/reporting/activity/detail?id=50134123578" TargetMode="External"/><Relationship Id="rId419" Type="http://schemas.openxmlformats.org/officeDocument/2006/relationships/hyperlink" Target="https://www.mercadolibre.com.ar/reporting/activity/detail?id=50183539328" TargetMode="External"/><Relationship Id="rId626" Type="http://schemas.openxmlformats.org/officeDocument/2006/relationships/hyperlink" Target="https://www.mercadolibre.com.ar/reporting/activity/detail?id=50454478687" TargetMode="External"/><Relationship Id="rId973" Type="http://schemas.openxmlformats.org/officeDocument/2006/relationships/hyperlink" Target="https://www.mercadolibre.com.ar/reporting/activity/detail?id=50839311794" TargetMode="External"/><Relationship Id="rId1049" Type="http://schemas.openxmlformats.org/officeDocument/2006/relationships/hyperlink" Target="https://www.mercadolibre.com.ar/reporting/activity/detail?id=50876714781" TargetMode="External"/><Relationship Id="rId1256" Type="http://schemas.openxmlformats.org/officeDocument/2006/relationships/hyperlink" Target="https://www.mercadolibre.com.ar/reporting/activity/detail?id=51174886542" TargetMode="External"/><Relationship Id="rId833" Type="http://schemas.openxmlformats.org/officeDocument/2006/relationships/hyperlink" Target="https://www.mercadolibre.com.ar/reporting/activity/detail?id=50751690452" TargetMode="External"/><Relationship Id="rId1116" Type="http://schemas.openxmlformats.org/officeDocument/2006/relationships/hyperlink" Target="https://www.mercadolibre.com.ar/reporting/activity/detail?id=51075232500" TargetMode="External"/><Relationship Id="rId265" Type="http://schemas.openxmlformats.org/officeDocument/2006/relationships/hyperlink" Target="https://www.mercadolibre.com.ar/reporting/activity/detail?id=50082661141" TargetMode="External"/><Relationship Id="rId472" Type="http://schemas.openxmlformats.org/officeDocument/2006/relationships/hyperlink" Target="https://www.mercadolibre.com.ar/reporting/activity/detail?id=50226801209" TargetMode="External"/><Relationship Id="rId900" Type="http://schemas.openxmlformats.org/officeDocument/2006/relationships/hyperlink" Target="https://www.mercadolibre.com.ar/reporting/activity/detail?id=50795966251" TargetMode="External"/><Relationship Id="rId1323" Type="http://schemas.openxmlformats.org/officeDocument/2006/relationships/hyperlink" Target="https://www.mercadolibre.com.ar/reporting/activity/detail?id=49793991063" TargetMode="External"/><Relationship Id="rId125" Type="http://schemas.openxmlformats.org/officeDocument/2006/relationships/hyperlink" Target="https://www.mercadolibre.com.ar/reporting/activity/detail?id=49851633803" TargetMode="External"/><Relationship Id="rId332" Type="http://schemas.openxmlformats.org/officeDocument/2006/relationships/hyperlink" Target="https://www.mercadolibre.com.ar/reporting/activity/detail?id=50135086369" TargetMode="External"/><Relationship Id="rId777" Type="http://schemas.openxmlformats.org/officeDocument/2006/relationships/hyperlink" Target="https://www.mercadolibre.com.ar/reporting/activity/detail?id=50577513254" TargetMode="External"/><Relationship Id="rId984" Type="http://schemas.openxmlformats.org/officeDocument/2006/relationships/hyperlink" Target="https://www.mercadolibre.com.ar/reporting/activity/detail?id=50840000488" TargetMode="External"/><Relationship Id="rId637" Type="http://schemas.openxmlformats.org/officeDocument/2006/relationships/hyperlink" Target="https://www.mercadolibre.com.ar/reporting/activity/detail?id=50493344756" TargetMode="External"/><Relationship Id="rId844" Type="http://schemas.openxmlformats.org/officeDocument/2006/relationships/hyperlink" Target="https://www.mercadolibre.com.ar/reporting/activity/detail?id=50752453047" TargetMode="External"/><Relationship Id="rId1267" Type="http://schemas.openxmlformats.org/officeDocument/2006/relationships/hyperlink" Target="https://www.mercadolibre.com.ar/reporting/activity/detail?id=51176923634" TargetMode="External"/><Relationship Id="rId276" Type="http://schemas.openxmlformats.org/officeDocument/2006/relationships/hyperlink" Target="https://www.mercadolibre.com.ar/reporting/activity/detail?id=50085830603" TargetMode="External"/><Relationship Id="rId483" Type="http://schemas.openxmlformats.org/officeDocument/2006/relationships/hyperlink" Target="https://www.mercadolibre.com.ar/reporting/activity/detail?id=50227624541" TargetMode="External"/><Relationship Id="rId690" Type="http://schemas.openxmlformats.org/officeDocument/2006/relationships/hyperlink" Target="https://www.mercadolibre.com.ar/reporting/activity/detail?id=50539257483" TargetMode="External"/><Relationship Id="rId704" Type="http://schemas.openxmlformats.org/officeDocument/2006/relationships/hyperlink" Target="https://www.mercadolibre.com.ar/reporting/activity/detail?id=50540350265" TargetMode="External"/><Relationship Id="rId911" Type="http://schemas.openxmlformats.org/officeDocument/2006/relationships/hyperlink" Target="https://www.mercadolibre.com.ar/reporting/activity/detail?id=50797699351" TargetMode="External"/><Relationship Id="rId1127" Type="http://schemas.openxmlformats.org/officeDocument/2006/relationships/hyperlink" Target="https://www.mercadolibre.com.ar/reporting/activity/detail?id=51075994138" TargetMode="External"/><Relationship Id="rId40" Type="http://schemas.openxmlformats.org/officeDocument/2006/relationships/hyperlink" Target="https://www.mercadolibre.com.ar/reporting/activity/detail?id=49840048271" TargetMode="External"/><Relationship Id="rId136" Type="http://schemas.openxmlformats.org/officeDocument/2006/relationships/hyperlink" Target="https://www.mercadolibre.com.ar/reporting/activity/detail?id=49893284546" TargetMode="External"/><Relationship Id="rId343" Type="http://schemas.openxmlformats.org/officeDocument/2006/relationships/hyperlink" Target="https://www.mercadolibre.com.ar/reporting/activity/detail?id=50172153943" TargetMode="External"/><Relationship Id="rId550" Type="http://schemas.openxmlformats.org/officeDocument/2006/relationships/hyperlink" Target="https://www.mercadolibre.com.ar/reporting/activity/detail?id=50446474359" TargetMode="External"/><Relationship Id="rId788" Type="http://schemas.openxmlformats.org/officeDocument/2006/relationships/hyperlink" Target="https://www.mercadolibre.com.ar/reporting/activity/detail?id=50708237136" TargetMode="External"/><Relationship Id="rId995" Type="http://schemas.openxmlformats.org/officeDocument/2006/relationships/hyperlink" Target="https://www.mercadolibre.com.ar/reporting/activity/detail?id=50841033884" TargetMode="External"/><Relationship Id="rId1180" Type="http://schemas.openxmlformats.org/officeDocument/2006/relationships/hyperlink" Target="https://www.mercadolibre.com.ar/reporting/activity/detail?id=51124603360" TargetMode="External"/><Relationship Id="rId203" Type="http://schemas.openxmlformats.org/officeDocument/2006/relationships/hyperlink" Target="https://www.mercadolibre.com.ar/reporting/activity/detail?id=49899375022" TargetMode="External"/><Relationship Id="rId648" Type="http://schemas.openxmlformats.org/officeDocument/2006/relationships/hyperlink" Target="https://www.mercadolibre.com.ar/reporting/activity/detail?id=50496373610" TargetMode="External"/><Relationship Id="rId855" Type="http://schemas.openxmlformats.org/officeDocument/2006/relationships/hyperlink" Target="https://www.mercadolibre.com.ar/reporting/activity/detail?id=50752994346" TargetMode="External"/><Relationship Id="rId1040" Type="http://schemas.openxmlformats.org/officeDocument/2006/relationships/hyperlink" Target="https://www.mercadolibre.com.ar/reporting/activity/detail?id=50876120513" TargetMode="External"/><Relationship Id="rId1278" Type="http://schemas.openxmlformats.org/officeDocument/2006/relationships/hyperlink" Target="https://www.mercadolibre.com.ar/reporting/activity/detail?id=49609761273" TargetMode="External"/><Relationship Id="rId287" Type="http://schemas.openxmlformats.org/officeDocument/2006/relationships/hyperlink" Target="https://www.mercadolibre.com.ar/reporting/activity/detail?id=50128207508" TargetMode="External"/><Relationship Id="rId410" Type="http://schemas.openxmlformats.org/officeDocument/2006/relationships/hyperlink" Target="https://www.mercadolibre.com.ar/reporting/activity/detail?id=50182717280" TargetMode="External"/><Relationship Id="rId494" Type="http://schemas.openxmlformats.org/officeDocument/2006/relationships/hyperlink" Target="https://www.mercadolibre.com.ar/reporting/activity/detail?id=50255411185" TargetMode="External"/><Relationship Id="rId508" Type="http://schemas.openxmlformats.org/officeDocument/2006/relationships/hyperlink" Target="https://www.mercadolibre.com.ar/reporting/activity/detail?id=50262252141" TargetMode="External"/><Relationship Id="rId715" Type="http://schemas.openxmlformats.org/officeDocument/2006/relationships/hyperlink" Target="https://www.mercadolibre.com.ar/reporting/activity/detail?id=50541262545" TargetMode="External"/><Relationship Id="rId922" Type="http://schemas.openxmlformats.org/officeDocument/2006/relationships/hyperlink" Target="https://www.mercadolibre.com.ar/reporting/activity/detail?id=50798949376" TargetMode="External"/><Relationship Id="rId1138" Type="http://schemas.openxmlformats.org/officeDocument/2006/relationships/hyperlink" Target="https://www.mercadolibre.com.ar/reporting/activity/detail?id=51076766921" TargetMode="External"/><Relationship Id="rId147" Type="http://schemas.openxmlformats.org/officeDocument/2006/relationships/hyperlink" Target="https://www.mercadolibre.com.ar/reporting/activity/detail?id=49894830954" TargetMode="External"/><Relationship Id="rId354" Type="http://schemas.openxmlformats.org/officeDocument/2006/relationships/hyperlink" Target="https://www.mercadolibre.com.ar/reporting/activity/detail?id=50177527381" TargetMode="External"/><Relationship Id="rId799" Type="http://schemas.openxmlformats.org/officeDocument/2006/relationships/hyperlink" Target="https://www.mercadolibre.com.ar/reporting/activity/detail?id=50746744380" TargetMode="External"/><Relationship Id="rId1191" Type="http://schemas.openxmlformats.org/officeDocument/2006/relationships/hyperlink" Target="https://www.mercadolibre.com.ar/reporting/activity/detail?id=51126907213" TargetMode="External"/><Relationship Id="rId1205" Type="http://schemas.openxmlformats.org/officeDocument/2006/relationships/hyperlink" Target="https://www.mercadolibre.com.ar/reporting/activity/detail?id=51128072843" TargetMode="External"/><Relationship Id="rId51" Type="http://schemas.openxmlformats.org/officeDocument/2006/relationships/hyperlink" Target="https://www.mercadolibre.com.ar/reporting/activity/detail?id=49842754168" TargetMode="External"/><Relationship Id="rId561" Type="http://schemas.openxmlformats.org/officeDocument/2006/relationships/hyperlink" Target="https://www.mercadolibre.com.ar/reporting/activity/detail?id=50449151061" TargetMode="External"/><Relationship Id="rId659" Type="http://schemas.openxmlformats.org/officeDocument/2006/relationships/hyperlink" Target="https://www.mercadolibre.com.ar/reporting/activity/detail?id=50499272572" TargetMode="External"/><Relationship Id="rId866" Type="http://schemas.openxmlformats.org/officeDocument/2006/relationships/hyperlink" Target="https://www.mercadolibre.com.ar/reporting/activity/detail?id=50753356346" TargetMode="External"/><Relationship Id="rId1289" Type="http://schemas.openxmlformats.org/officeDocument/2006/relationships/hyperlink" Target="https://www.mercadolibre.com.ar/reporting/activity/detail?id=49745428791" TargetMode="External"/><Relationship Id="rId214" Type="http://schemas.openxmlformats.org/officeDocument/2006/relationships/hyperlink" Target="https://www.mercadolibre.com.ar/reporting/activity/detail?id=49930476909" TargetMode="External"/><Relationship Id="rId298" Type="http://schemas.openxmlformats.org/officeDocument/2006/relationships/hyperlink" Target="https://www.mercadolibre.com.ar/reporting/activity/detail?id=50130691101" TargetMode="External"/><Relationship Id="rId421" Type="http://schemas.openxmlformats.org/officeDocument/2006/relationships/hyperlink" Target="https://www.mercadolibre.com.ar/reporting/activity/detail?id=50216416499" TargetMode="External"/><Relationship Id="rId519" Type="http://schemas.openxmlformats.org/officeDocument/2006/relationships/hyperlink" Target="https://www.mercadolibre.com.ar/reporting/activity/detail?id=50263774162" TargetMode="External"/><Relationship Id="rId1051" Type="http://schemas.openxmlformats.org/officeDocument/2006/relationships/hyperlink" Target="https://www.mercadolibre.com.ar/reporting/activity/detail?id=50876913758" TargetMode="External"/><Relationship Id="rId1149" Type="http://schemas.openxmlformats.org/officeDocument/2006/relationships/hyperlink" Target="https://www.mercadolibre.com.ar/reporting/activity/detail?id=51077624113" TargetMode="External"/><Relationship Id="rId158" Type="http://schemas.openxmlformats.org/officeDocument/2006/relationships/hyperlink" Target="https://www.mercadolibre.com.ar/reporting/activity/detail?id=49895613567" TargetMode="External"/><Relationship Id="rId726" Type="http://schemas.openxmlformats.org/officeDocument/2006/relationships/hyperlink" Target="https://www.mercadolibre.com.ar/reporting/activity/detail?id=50542282850" TargetMode="External"/><Relationship Id="rId933" Type="http://schemas.openxmlformats.org/officeDocument/2006/relationships/hyperlink" Target="https://www.mercadolibre.com.ar/reporting/activity/detail?id=50832587466" TargetMode="External"/><Relationship Id="rId1009" Type="http://schemas.openxmlformats.org/officeDocument/2006/relationships/hyperlink" Target="https://www.mercadolibre.com.ar/reporting/activity/detail?id=50869607403" TargetMode="External"/><Relationship Id="rId62" Type="http://schemas.openxmlformats.org/officeDocument/2006/relationships/hyperlink" Target="https://www.mercadolibre.com.ar/reporting/activity/detail?id=49845731915" TargetMode="External"/><Relationship Id="rId365" Type="http://schemas.openxmlformats.org/officeDocument/2006/relationships/hyperlink" Target="https://www.mercadolibre.com.ar/reporting/activity/detail?id=50179153257" TargetMode="External"/><Relationship Id="rId572" Type="http://schemas.openxmlformats.org/officeDocument/2006/relationships/hyperlink" Target="https://www.mercadolibre.com.ar/reporting/activity/detail?id=50450236333" TargetMode="External"/><Relationship Id="rId1216" Type="http://schemas.openxmlformats.org/officeDocument/2006/relationships/hyperlink" Target="https://www.mercadolibre.com.ar/reporting/activity/detail?id=51130055042" TargetMode="External"/><Relationship Id="rId225" Type="http://schemas.openxmlformats.org/officeDocument/2006/relationships/hyperlink" Target="https://www.mercadolibre.com.ar/reporting/activity/detail?id=49934009792" TargetMode="External"/><Relationship Id="rId432" Type="http://schemas.openxmlformats.org/officeDocument/2006/relationships/hyperlink" Target="https://www.mercadolibre.com.ar/reporting/activity/detail?id=50221663307" TargetMode="External"/><Relationship Id="rId877" Type="http://schemas.openxmlformats.org/officeDocument/2006/relationships/hyperlink" Target="https://www.mercadolibre.com.ar/reporting/activity/detail?id=50791610170" TargetMode="External"/><Relationship Id="rId1062" Type="http://schemas.openxmlformats.org/officeDocument/2006/relationships/hyperlink" Target="https://www.mercadolibre.com.ar/reporting/activity/detail?id=51021737062" TargetMode="External"/><Relationship Id="rId737" Type="http://schemas.openxmlformats.org/officeDocument/2006/relationships/hyperlink" Target="https://www.mercadolibre.com.ar/reporting/activity/detail?id=50543006179" TargetMode="External"/><Relationship Id="rId944" Type="http://schemas.openxmlformats.org/officeDocument/2006/relationships/hyperlink" Target="https://www.mercadolibre.com.ar/reporting/activity/detail?id=50836159999" TargetMode="External"/><Relationship Id="rId73" Type="http://schemas.openxmlformats.org/officeDocument/2006/relationships/hyperlink" Target="https://www.mercadolibre.com.ar/reporting/activity/detail?id=49846964703" TargetMode="External"/><Relationship Id="rId169" Type="http://schemas.openxmlformats.org/officeDocument/2006/relationships/hyperlink" Target="https://www.mercadolibre.com.ar/reporting/activity/detail?id=49896511820" TargetMode="External"/><Relationship Id="rId376" Type="http://schemas.openxmlformats.org/officeDocument/2006/relationships/hyperlink" Target="https://www.mercadolibre.com.ar/reporting/activity/detail?id=50180000277" TargetMode="External"/><Relationship Id="rId583" Type="http://schemas.openxmlformats.org/officeDocument/2006/relationships/hyperlink" Target="https://www.mercadolibre.com.ar/reporting/activity/detail?id=50451592669" TargetMode="External"/><Relationship Id="rId790" Type="http://schemas.openxmlformats.org/officeDocument/2006/relationships/hyperlink" Target="https://www.mercadolibre.com.ar/reporting/activity/detail?id=50708704141" TargetMode="External"/><Relationship Id="rId804" Type="http://schemas.openxmlformats.org/officeDocument/2006/relationships/hyperlink" Target="https://www.mercadolibre.com.ar/reporting/activity/detail?id=50748093131" TargetMode="External"/><Relationship Id="rId1227" Type="http://schemas.openxmlformats.org/officeDocument/2006/relationships/hyperlink" Target="https://www.mercadolibre.com.ar/reporting/activity/detail?id=51130835626" TargetMode="External"/><Relationship Id="rId4" Type="http://schemas.openxmlformats.org/officeDocument/2006/relationships/hyperlink" Target="https://www.mercadolibre.com.ar/reporting/activity/detail?id=49795072667" TargetMode="External"/><Relationship Id="rId236" Type="http://schemas.openxmlformats.org/officeDocument/2006/relationships/hyperlink" Target="https://www.mercadolibre.com.ar/reporting/activity/detail?id=49937076849" TargetMode="External"/><Relationship Id="rId443" Type="http://schemas.openxmlformats.org/officeDocument/2006/relationships/hyperlink" Target="https://www.mercadolibre.com.ar/reporting/activity/detail?id=50223987172" TargetMode="External"/><Relationship Id="rId650" Type="http://schemas.openxmlformats.org/officeDocument/2006/relationships/hyperlink" Target="https://www.mercadolibre.com.ar/reporting/activity/detail?id=50497079832" TargetMode="External"/><Relationship Id="rId888" Type="http://schemas.openxmlformats.org/officeDocument/2006/relationships/hyperlink" Target="https://www.mercadolibre.com.ar/reporting/activity/detail?id=50793729589" TargetMode="External"/><Relationship Id="rId1073" Type="http://schemas.openxmlformats.org/officeDocument/2006/relationships/hyperlink" Target="https://www.mercadolibre.com.ar/reporting/activity/detail?id=51025508118" TargetMode="External"/><Relationship Id="rId1280" Type="http://schemas.openxmlformats.org/officeDocument/2006/relationships/hyperlink" Target="https://www.mercadolibre.com.ar/reporting/activity/detail?id=49610393075" TargetMode="External"/><Relationship Id="rId303" Type="http://schemas.openxmlformats.org/officeDocument/2006/relationships/hyperlink" Target="https://www.mercadolibre.com.ar/reporting/activity/detail?id=50131222438" TargetMode="External"/><Relationship Id="rId748" Type="http://schemas.openxmlformats.org/officeDocument/2006/relationships/hyperlink" Target="https://www.mercadolibre.com.ar/reporting/activity/detail?id=50543726274" TargetMode="External"/><Relationship Id="rId955" Type="http://schemas.openxmlformats.org/officeDocument/2006/relationships/hyperlink" Target="https://www.mercadolibre.com.ar/reporting/activity/detail?id=50837736263" TargetMode="External"/><Relationship Id="rId1140" Type="http://schemas.openxmlformats.org/officeDocument/2006/relationships/hyperlink" Target="https://www.mercadolibre.com.ar/reporting/activity/detail?id=51076951050" TargetMode="External"/><Relationship Id="rId84" Type="http://schemas.openxmlformats.org/officeDocument/2006/relationships/hyperlink" Target="https://www.mercadolibre.com.ar/reporting/activity/detail?id=49847806709" TargetMode="External"/><Relationship Id="rId387" Type="http://schemas.openxmlformats.org/officeDocument/2006/relationships/hyperlink" Target="https://www.mercadolibre.com.ar/reporting/activity/detail?id=50180807642" TargetMode="External"/><Relationship Id="rId510" Type="http://schemas.openxmlformats.org/officeDocument/2006/relationships/hyperlink" Target="https://www.mercadolibre.com.ar/reporting/activity/detail?id=50262650830" TargetMode="External"/><Relationship Id="rId594" Type="http://schemas.openxmlformats.org/officeDocument/2006/relationships/hyperlink" Target="https://www.mercadolibre.com.ar/reporting/activity/detail?id=50452428893" TargetMode="External"/><Relationship Id="rId608" Type="http://schemas.openxmlformats.org/officeDocument/2006/relationships/hyperlink" Target="https://www.mercadolibre.com.ar/reporting/activity/detail?id=50453448245" TargetMode="External"/><Relationship Id="rId815" Type="http://schemas.openxmlformats.org/officeDocument/2006/relationships/hyperlink" Target="https://www.mercadolibre.com.ar/reporting/activity/detail?id=50749302133" TargetMode="External"/><Relationship Id="rId1238" Type="http://schemas.openxmlformats.org/officeDocument/2006/relationships/hyperlink" Target="https://www.mercadolibre.com.ar/reporting/activity/detail?id=51170441653" TargetMode="External"/><Relationship Id="rId247" Type="http://schemas.openxmlformats.org/officeDocument/2006/relationships/hyperlink" Target="https://www.mercadolibre.com.ar/reporting/activity/detail?id=50079384164" TargetMode="External"/><Relationship Id="rId899" Type="http://schemas.openxmlformats.org/officeDocument/2006/relationships/hyperlink" Target="https://www.mercadolibre.com.ar/reporting/activity/detail?id=50795644090" TargetMode="External"/><Relationship Id="rId1000" Type="http://schemas.openxmlformats.org/officeDocument/2006/relationships/hyperlink" Target="https://www.mercadolibre.com.ar/reporting/activity/detail?id=50841226718" TargetMode="External"/><Relationship Id="rId1084" Type="http://schemas.openxmlformats.org/officeDocument/2006/relationships/hyperlink" Target="https://www.mercadolibre.com.ar/reporting/activity/detail?id=51070854546" TargetMode="External"/><Relationship Id="rId1305" Type="http://schemas.openxmlformats.org/officeDocument/2006/relationships/hyperlink" Target="https://www.mercadolibre.com.ar/reporting/activity/detail?id=49790136945" TargetMode="External"/><Relationship Id="rId107" Type="http://schemas.openxmlformats.org/officeDocument/2006/relationships/hyperlink" Target="https://www.mercadolibre.com.ar/reporting/activity/detail?id=49850206724" TargetMode="External"/><Relationship Id="rId454" Type="http://schemas.openxmlformats.org/officeDocument/2006/relationships/hyperlink" Target="https://www.mercadolibre.com.ar/reporting/activity/detail?id=50225410368" TargetMode="External"/><Relationship Id="rId661" Type="http://schemas.openxmlformats.org/officeDocument/2006/relationships/hyperlink" Target="https://www.mercadolibre.com.ar/reporting/activity/detail?id=50499514818" TargetMode="External"/><Relationship Id="rId759" Type="http://schemas.openxmlformats.org/officeDocument/2006/relationships/hyperlink" Target="https://www.mercadolibre.com.ar/reporting/activity/detail?id=50571187762" TargetMode="External"/><Relationship Id="rId966" Type="http://schemas.openxmlformats.org/officeDocument/2006/relationships/hyperlink" Target="https://www.mercadolibre.com.ar/reporting/activity/detail?id=50838645587" TargetMode="External"/><Relationship Id="rId1291" Type="http://schemas.openxmlformats.org/officeDocument/2006/relationships/hyperlink" Target="https://www.mercadolibre.com.ar/reporting/activity/detail?id=49747656688" TargetMode="External"/><Relationship Id="rId11" Type="http://schemas.openxmlformats.org/officeDocument/2006/relationships/hyperlink" Target="https://www.mercadolibre.com.ar/reporting/activity/detail?id=49795926945" TargetMode="External"/><Relationship Id="rId314" Type="http://schemas.openxmlformats.org/officeDocument/2006/relationships/hyperlink" Target="https://www.mercadolibre.com.ar/reporting/activity/detail?id=50132778314" TargetMode="External"/><Relationship Id="rId398" Type="http://schemas.openxmlformats.org/officeDocument/2006/relationships/hyperlink" Target="https://www.mercadolibre.com.ar/reporting/activity/detail?id=50181884463" TargetMode="External"/><Relationship Id="rId521" Type="http://schemas.openxmlformats.org/officeDocument/2006/relationships/hyperlink" Target="https://www.mercadolibre.com.ar/reporting/activity/detail?id=50263929748" TargetMode="External"/><Relationship Id="rId619" Type="http://schemas.openxmlformats.org/officeDocument/2006/relationships/hyperlink" Target="https://www.mercadolibre.com.ar/reporting/activity/detail?id=50454130418" TargetMode="External"/><Relationship Id="rId1151" Type="http://schemas.openxmlformats.org/officeDocument/2006/relationships/hyperlink" Target="https://www.mercadolibre.com.ar/reporting/activity/detail?id=51077706194" TargetMode="External"/><Relationship Id="rId1249" Type="http://schemas.openxmlformats.org/officeDocument/2006/relationships/hyperlink" Target="https://www.mercadolibre.com.ar/reporting/activity/detail?id=51174147316" TargetMode="External"/><Relationship Id="rId95" Type="http://schemas.openxmlformats.org/officeDocument/2006/relationships/hyperlink" Target="https://www.mercadolibre.com.ar/reporting/activity/detail?id=49849260114" TargetMode="External"/><Relationship Id="rId160" Type="http://schemas.openxmlformats.org/officeDocument/2006/relationships/hyperlink" Target="https://www.mercadolibre.com.ar/reporting/activity/detail?id=49895930652" TargetMode="External"/><Relationship Id="rId826" Type="http://schemas.openxmlformats.org/officeDocument/2006/relationships/hyperlink" Target="https://www.mercadolibre.com.ar/reporting/activity/detail?id=50750700534" TargetMode="External"/><Relationship Id="rId1011" Type="http://schemas.openxmlformats.org/officeDocument/2006/relationships/hyperlink" Target="https://www.mercadolibre.com.ar/reporting/activity/detail?id=50870346662" TargetMode="External"/><Relationship Id="rId1109" Type="http://schemas.openxmlformats.org/officeDocument/2006/relationships/hyperlink" Target="https://www.mercadolibre.com.ar/reporting/activity/detail?id=51074498467" TargetMode="External"/><Relationship Id="rId258" Type="http://schemas.openxmlformats.org/officeDocument/2006/relationships/hyperlink" Target="https://www.mercadolibre.com.ar/reporting/activity/detail?id=50081744295" TargetMode="External"/><Relationship Id="rId465" Type="http://schemas.openxmlformats.org/officeDocument/2006/relationships/hyperlink" Target="https://www.mercadolibre.com.ar/reporting/activity/detail?id=50226486409" TargetMode="External"/><Relationship Id="rId672" Type="http://schemas.openxmlformats.org/officeDocument/2006/relationships/hyperlink" Target="https://www.mercadolibre.com.ar/reporting/activity/detail?id=50534892359" TargetMode="External"/><Relationship Id="rId1095" Type="http://schemas.openxmlformats.org/officeDocument/2006/relationships/hyperlink" Target="https://www.mercadolibre.com.ar/reporting/activity/detail?id=51072713993" TargetMode="External"/><Relationship Id="rId1316" Type="http://schemas.openxmlformats.org/officeDocument/2006/relationships/hyperlink" Target="https://www.mercadolibre.com.ar/reporting/activity/detail?id=49793375258" TargetMode="External"/><Relationship Id="rId22" Type="http://schemas.openxmlformats.org/officeDocument/2006/relationships/hyperlink" Target="https://www.mercadolibre.com.ar/reporting/activity/detail?id=49797055646" TargetMode="External"/><Relationship Id="rId118" Type="http://schemas.openxmlformats.org/officeDocument/2006/relationships/hyperlink" Target="https://www.mercadolibre.com.ar/reporting/activity/detail?id=49850868815" TargetMode="External"/><Relationship Id="rId325" Type="http://schemas.openxmlformats.org/officeDocument/2006/relationships/hyperlink" Target="https://www.mercadolibre.com.ar/reporting/activity/detail?id=50134362528" TargetMode="External"/><Relationship Id="rId532" Type="http://schemas.openxmlformats.org/officeDocument/2006/relationships/hyperlink" Target="https://www.mercadolibre.com.ar/reporting/activity/detail?id=50405579971" TargetMode="External"/><Relationship Id="rId977" Type="http://schemas.openxmlformats.org/officeDocument/2006/relationships/hyperlink" Target="https://www.mercadolibre.com.ar/reporting/activity/detail?id=50839697923" TargetMode="External"/><Relationship Id="rId1162" Type="http://schemas.openxmlformats.org/officeDocument/2006/relationships/hyperlink" Target="https://www.mercadolibre.com.ar/reporting/activity/detail?id=51078245780" TargetMode="External"/><Relationship Id="rId171" Type="http://schemas.openxmlformats.org/officeDocument/2006/relationships/hyperlink" Target="https://www.mercadolibre.com.ar/reporting/activity/detail?id=49896613611" TargetMode="External"/><Relationship Id="rId837" Type="http://schemas.openxmlformats.org/officeDocument/2006/relationships/hyperlink" Target="https://www.mercadolibre.com.ar/reporting/activity/detail?id=50752057197" TargetMode="External"/><Relationship Id="rId1022" Type="http://schemas.openxmlformats.org/officeDocument/2006/relationships/hyperlink" Target="https://www.mercadolibre.com.ar/reporting/activity/detail?id=50873175162" TargetMode="External"/><Relationship Id="rId269" Type="http://schemas.openxmlformats.org/officeDocument/2006/relationships/hyperlink" Target="https://www.mercadolibre.com.ar/reporting/activity/detail?id=50083261917" TargetMode="External"/><Relationship Id="rId476" Type="http://schemas.openxmlformats.org/officeDocument/2006/relationships/hyperlink" Target="https://www.mercadolibre.com.ar/reporting/activity/detail?id=50226839263" TargetMode="External"/><Relationship Id="rId683" Type="http://schemas.openxmlformats.org/officeDocument/2006/relationships/hyperlink" Target="https://www.mercadolibre.com.ar/reporting/activity/detail?id=50538597881" TargetMode="External"/><Relationship Id="rId890" Type="http://schemas.openxmlformats.org/officeDocument/2006/relationships/hyperlink" Target="https://www.mercadolibre.com.ar/reporting/activity/detail?id=50793753371" TargetMode="External"/><Relationship Id="rId904" Type="http://schemas.openxmlformats.org/officeDocument/2006/relationships/hyperlink" Target="https://www.mercadolibre.com.ar/reporting/activity/detail?id=50796979791" TargetMode="External"/><Relationship Id="rId1327" Type="http://schemas.openxmlformats.org/officeDocument/2006/relationships/hyperlink" Target="https://www.mercadolibre.com.ar/reporting/activity/detail?id=49794283775" TargetMode="External"/><Relationship Id="rId33" Type="http://schemas.openxmlformats.org/officeDocument/2006/relationships/hyperlink" Target="https://www.mercadolibre.com.ar/reporting/activity/detail?id=49797693011" TargetMode="External"/><Relationship Id="rId129" Type="http://schemas.openxmlformats.org/officeDocument/2006/relationships/hyperlink" Target="https://www.mercadolibre.com.ar/reporting/activity/detail?id=49890411938" TargetMode="External"/><Relationship Id="rId336" Type="http://schemas.openxmlformats.org/officeDocument/2006/relationships/hyperlink" Target="https://www.mercadolibre.com.ar/reporting/activity/detail?id=50135338635" TargetMode="External"/><Relationship Id="rId543" Type="http://schemas.openxmlformats.org/officeDocument/2006/relationships/hyperlink" Target="https://www.mercadolibre.com.ar/reporting/activity/detail?id=50408406727" TargetMode="External"/><Relationship Id="rId988" Type="http://schemas.openxmlformats.org/officeDocument/2006/relationships/hyperlink" Target="https://www.mercadolibre.com.ar/reporting/activity/detail?id=50840433523" TargetMode="External"/><Relationship Id="rId1173" Type="http://schemas.openxmlformats.org/officeDocument/2006/relationships/hyperlink" Target="https://www.mercadolibre.com.ar/reporting/activity/detail?id=51120624090" TargetMode="External"/><Relationship Id="rId182" Type="http://schemas.openxmlformats.org/officeDocument/2006/relationships/hyperlink" Target="https://www.mercadolibre.com.ar/reporting/activity/detail?id=49897337641" TargetMode="External"/><Relationship Id="rId403" Type="http://schemas.openxmlformats.org/officeDocument/2006/relationships/hyperlink" Target="https://www.mercadolibre.com.ar/reporting/activity/detail?id=50182397999" TargetMode="External"/><Relationship Id="rId750" Type="http://schemas.openxmlformats.org/officeDocument/2006/relationships/hyperlink" Target="https://www.mercadolibre.com.ar/reporting/activity/detail?id=50543795363" TargetMode="External"/><Relationship Id="rId848" Type="http://schemas.openxmlformats.org/officeDocument/2006/relationships/hyperlink" Target="https://www.mercadolibre.com.ar/reporting/activity/detail?id=50752815807" TargetMode="External"/><Relationship Id="rId1033" Type="http://schemas.openxmlformats.org/officeDocument/2006/relationships/hyperlink" Target="https://www.mercadolibre.com.ar/reporting/activity/detail?id=50875291176" TargetMode="External"/><Relationship Id="rId487" Type="http://schemas.openxmlformats.org/officeDocument/2006/relationships/hyperlink" Target="https://www.mercadolibre.com.ar/reporting/activity/detail?id=50227815198" TargetMode="External"/><Relationship Id="rId610" Type="http://schemas.openxmlformats.org/officeDocument/2006/relationships/hyperlink" Target="https://www.mercadolibre.com.ar/reporting/activity/detail?id=50453557878" TargetMode="External"/><Relationship Id="rId694" Type="http://schemas.openxmlformats.org/officeDocument/2006/relationships/hyperlink" Target="https://www.mercadolibre.com.ar/reporting/activity/detail?id=50539673256" TargetMode="External"/><Relationship Id="rId708" Type="http://schemas.openxmlformats.org/officeDocument/2006/relationships/hyperlink" Target="https://www.mercadolibre.com.ar/reporting/activity/detail?id=50540627621" TargetMode="External"/><Relationship Id="rId915" Type="http://schemas.openxmlformats.org/officeDocument/2006/relationships/hyperlink" Target="https://www.mercadolibre.com.ar/reporting/activity/detail?id=50798223620" TargetMode="External"/><Relationship Id="rId1240" Type="http://schemas.openxmlformats.org/officeDocument/2006/relationships/hyperlink" Target="https://www.mercadolibre.com.ar/reporting/activity/detail?id=51171289766" TargetMode="External"/><Relationship Id="rId347" Type="http://schemas.openxmlformats.org/officeDocument/2006/relationships/hyperlink" Target="https://www.mercadolibre.com.ar/reporting/activity/detail?id=50173677411" TargetMode="External"/><Relationship Id="rId999" Type="http://schemas.openxmlformats.org/officeDocument/2006/relationships/hyperlink" Target="https://www.mercadolibre.com.ar/reporting/activity/detail?id=50841222871" TargetMode="External"/><Relationship Id="rId1100" Type="http://schemas.openxmlformats.org/officeDocument/2006/relationships/hyperlink" Target="https://www.mercadolibre.com.ar/reporting/activity/detail?id=51073369185" TargetMode="External"/><Relationship Id="rId1184" Type="http://schemas.openxmlformats.org/officeDocument/2006/relationships/hyperlink" Target="https://www.mercadolibre.com.ar/reporting/activity/detail?id=51125967663" TargetMode="External"/><Relationship Id="rId44" Type="http://schemas.openxmlformats.org/officeDocument/2006/relationships/hyperlink" Target="https://www.mercadolibre.com.ar/reporting/activity/detail?id=49841719788" TargetMode="External"/><Relationship Id="rId554" Type="http://schemas.openxmlformats.org/officeDocument/2006/relationships/hyperlink" Target="https://www.mercadolibre.com.ar/reporting/activity/detail?id=50447566059" TargetMode="External"/><Relationship Id="rId761" Type="http://schemas.openxmlformats.org/officeDocument/2006/relationships/hyperlink" Target="https://www.mercadolibre.com.ar/reporting/activity/detail?id=50573489007" TargetMode="External"/><Relationship Id="rId859" Type="http://schemas.openxmlformats.org/officeDocument/2006/relationships/hyperlink" Target="https://www.mercadolibre.com.ar/reporting/activity/detail?id=50753188354" TargetMode="External"/><Relationship Id="rId193" Type="http://schemas.openxmlformats.org/officeDocument/2006/relationships/hyperlink" Target="https://www.mercadolibre.com.ar/reporting/activity/detail?id=49898294371" TargetMode="External"/><Relationship Id="rId207" Type="http://schemas.openxmlformats.org/officeDocument/2006/relationships/hyperlink" Target="https://www.mercadolibre.com.ar/reporting/activity/detail?id=49899597716" TargetMode="External"/><Relationship Id="rId414" Type="http://schemas.openxmlformats.org/officeDocument/2006/relationships/hyperlink" Target="https://www.mercadolibre.com.ar/reporting/activity/detail?id=50183214009" TargetMode="External"/><Relationship Id="rId498" Type="http://schemas.openxmlformats.org/officeDocument/2006/relationships/hyperlink" Target="https://www.mercadolibre.com.ar/reporting/activity/detail?id=50257928774" TargetMode="External"/><Relationship Id="rId621" Type="http://schemas.openxmlformats.org/officeDocument/2006/relationships/hyperlink" Target="https://www.mercadolibre.com.ar/reporting/activity/detail?id=50454151079" TargetMode="External"/><Relationship Id="rId1044" Type="http://schemas.openxmlformats.org/officeDocument/2006/relationships/hyperlink" Target="https://www.mercadolibre.com.ar/reporting/activity/detail?id=50876466227" TargetMode="External"/><Relationship Id="rId1251" Type="http://schemas.openxmlformats.org/officeDocument/2006/relationships/hyperlink" Target="https://www.mercadolibre.com.ar/reporting/activity/detail?id=51174418104" TargetMode="External"/><Relationship Id="rId260" Type="http://schemas.openxmlformats.org/officeDocument/2006/relationships/hyperlink" Target="https://www.mercadolibre.com.ar/reporting/activity/detail?id=50081901556" TargetMode="External"/><Relationship Id="rId719" Type="http://schemas.openxmlformats.org/officeDocument/2006/relationships/hyperlink" Target="https://www.mercadolibre.com.ar/reporting/activity/detail?id=50541462476" TargetMode="External"/><Relationship Id="rId926" Type="http://schemas.openxmlformats.org/officeDocument/2006/relationships/hyperlink" Target="https://www.mercadolibre.com.ar/reporting/activity/detail?id=50799162551" TargetMode="External"/><Relationship Id="rId1111" Type="http://schemas.openxmlformats.org/officeDocument/2006/relationships/hyperlink" Target="https://www.mercadolibre.com.ar/reporting/activity/detail?id=51074769774" TargetMode="External"/><Relationship Id="rId55" Type="http://schemas.openxmlformats.org/officeDocument/2006/relationships/hyperlink" Target="https://www.mercadolibre.com.ar/reporting/activity/detail?id=49844074171" TargetMode="External"/><Relationship Id="rId120" Type="http://schemas.openxmlformats.org/officeDocument/2006/relationships/hyperlink" Target="https://www.mercadolibre.com.ar/reporting/activity/detail?id=49851178072" TargetMode="External"/><Relationship Id="rId358" Type="http://schemas.openxmlformats.org/officeDocument/2006/relationships/hyperlink" Target="https://www.mercadolibre.com.ar/reporting/activity/detail?id=50178192971" TargetMode="External"/><Relationship Id="rId565" Type="http://schemas.openxmlformats.org/officeDocument/2006/relationships/hyperlink" Target="https://www.mercadolibre.com.ar/reporting/activity/detail?id=50449714691" TargetMode="External"/><Relationship Id="rId772" Type="http://schemas.openxmlformats.org/officeDocument/2006/relationships/hyperlink" Target="https://www.mercadolibre.com.ar/reporting/activity/detail?id=50576212794" TargetMode="External"/><Relationship Id="rId1195" Type="http://schemas.openxmlformats.org/officeDocument/2006/relationships/hyperlink" Target="https://www.mercadolibre.com.ar/reporting/activity/detail?id=51127168512" TargetMode="External"/><Relationship Id="rId1209" Type="http://schemas.openxmlformats.org/officeDocument/2006/relationships/hyperlink" Target="https://www.mercadolibre.com.ar/reporting/activity/detail?id=51128554369" TargetMode="External"/><Relationship Id="rId218" Type="http://schemas.openxmlformats.org/officeDocument/2006/relationships/hyperlink" Target="https://www.mercadolibre.com.ar/reporting/activity/detail?id=49932782845" TargetMode="External"/><Relationship Id="rId425" Type="http://schemas.openxmlformats.org/officeDocument/2006/relationships/hyperlink" Target="https://www.mercadolibre.com.ar/reporting/activity/detail?id=50218877482" TargetMode="External"/><Relationship Id="rId632" Type="http://schemas.openxmlformats.org/officeDocument/2006/relationships/hyperlink" Target="https://www.mercadolibre.com.ar/reporting/activity/detail?id=50489536754" TargetMode="External"/><Relationship Id="rId1055" Type="http://schemas.openxmlformats.org/officeDocument/2006/relationships/hyperlink" Target="https://www.mercadolibre.com.ar/reporting/activity/detail?id=50877528537" TargetMode="External"/><Relationship Id="rId1262" Type="http://schemas.openxmlformats.org/officeDocument/2006/relationships/hyperlink" Target="https://www.mercadolibre.com.ar/reporting/activity/detail?id=51176554216" TargetMode="External"/><Relationship Id="rId271" Type="http://schemas.openxmlformats.org/officeDocument/2006/relationships/hyperlink" Target="https://www.mercadolibre.com.ar/reporting/activity/detail?id=50083986446" TargetMode="External"/><Relationship Id="rId937" Type="http://schemas.openxmlformats.org/officeDocument/2006/relationships/hyperlink" Target="https://www.mercadolibre.com.ar/reporting/activity/detail?id=50833984715" TargetMode="External"/><Relationship Id="rId1122" Type="http://schemas.openxmlformats.org/officeDocument/2006/relationships/hyperlink" Target="https://www.mercadolibre.com.ar/reporting/activity/detail?id=51075694431" TargetMode="External"/><Relationship Id="rId66" Type="http://schemas.openxmlformats.org/officeDocument/2006/relationships/hyperlink" Target="https://www.mercadolibre.com.ar/reporting/activity/detail?id=49846077996" TargetMode="External"/><Relationship Id="rId131" Type="http://schemas.openxmlformats.org/officeDocument/2006/relationships/hyperlink" Target="https://www.mercadolibre.com.ar/reporting/activity/detail?id=49891073143" TargetMode="External"/><Relationship Id="rId369" Type="http://schemas.openxmlformats.org/officeDocument/2006/relationships/hyperlink" Target="https://www.mercadolibre.com.ar/reporting/activity/detail?id=50179682784" TargetMode="External"/><Relationship Id="rId576" Type="http://schemas.openxmlformats.org/officeDocument/2006/relationships/hyperlink" Target="https://www.mercadolibre.com.ar/reporting/activity/detail?id=50450399522" TargetMode="External"/><Relationship Id="rId783" Type="http://schemas.openxmlformats.org/officeDocument/2006/relationships/hyperlink" Target="https://www.mercadolibre.com.ar/reporting/activity/detail?id=50706409773" TargetMode="External"/><Relationship Id="rId990" Type="http://schemas.openxmlformats.org/officeDocument/2006/relationships/hyperlink" Target="https://www.mercadolibre.com.ar/reporting/activity/detail?id=50840563815" TargetMode="External"/><Relationship Id="rId229" Type="http://schemas.openxmlformats.org/officeDocument/2006/relationships/hyperlink" Target="https://www.mercadolibre.com.ar/reporting/activity/detail?id=49934556844" TargetMode="External"/><Relationship Id="rId436" Type="http://schemas.openxmlformats.org/officeDocument/2006/relationships/hyperlink" Target="https://www.mercadolibre.com.ar/reporting/activity/detail?id=50222984588" TargetMode="External"/><Relationship Id="rId643" Type="http://schemas.openxmlformats.org/officeDocument/2006/relationships/hyperlink" Target="https://www.mercadolibre.com.ar/reporting/activity/detail?id=50495682966" TargetMode="External"/><Relationship Id="rId1066" Type="http://schemas.openxmlformats.org/officeDocument/2006/relationships/hyperlink" Target="https://www.mercadolibre.com.ar/reporting/activity/detail?id=51022961871" TargetMode="External"/><Relationship Id="rId1273" Type="http://schemas.openxmlformats.org/officeDocument/2006/relationships/hyperlink" Target="https://www.mercadolibre.com.ar/reporting/activity/detail?id=51177465134" TargetMode="External"/><Relationship Id="rId850" Type="http://schemas.openxmlformats.org/officeDocument/2006/relationships/hyperlink" Target="https://www.mercadolibre.com.ar/reporting/activity/detail?id=50752907426" TargetMode="External"/><Relationship Id="rId948" Type="http://schemas.openxmlformats.org/officeDocument/2006/relationships/hyperlink" Target="https://www.mercadolibre.com.ar/reporting/activity/detail?id=50836545155" TargetMode="External"/><Relationship Id="rId1133" Type="http://schemas.openxmlformats.org/officeDocument/2006/relationships/hyperlink" Target="https://www.mercadolibre.com.ar/reporting/activity/detail?id=51076415056" TargetMode="External"/><Relationship Id="rId77" Type="http://schemas.openxmlformats.org/officeDocument/2006/relationships/hyperlink" Target="https://www.mercadolibre.com.ar/reporting/activity/detail?id=49847493080" TargetMode="External"/><Relationship Id="rId282" Type="http://schemas.openxmlformats.org/officeDocument/2006/relationships/hyperlink" Target="https://www.mercadolibre.com.ar/reporting/activity/detail?id=50127482825" TargetMode="External"/><Relationship Id="rId503" Type="http://schemas.openxmlformats.org/officeDocument/2006/relationships/hyperlink" Target="https://www.mercadolibre.com.ar/reporting/activity/detail?id=50261535649" TargetMode="External"/><Relationship Id="rId587" Type="http://schemas.openxmlformats.org/officeDocument/2006/relationships/hyperlink" Target="https://www.mercadolibre.com.ar/reporting/activity/detail?id=50451813332" TargetMode="External"/><Relationship Id="rId710" Type="http://schemas.openxmlformats.org/officeDocument/2006/relationships/hyperlink" Target="https://www.mercadolibre.com.ar/reporting/activity/detail?id=50540751871" TargetMode="External"/><Relationship Id="rId808" Type="http://schemas.openxmlformats.org/officeDocument/2006/relationships/hyperlink" Target="https://www.mercadolibre.com.ar/reporting/activity/detail?id=50748585377" TargetMode="External"/><Relationship Id="rId8" Type="http://schemas.openxmlformats.org/officeDocument/2006/relationships/hyperlink" Target="https://www.mercadolibre.com.ar/reporting/activity/detail?id=49795804083" TargetMode="External"/><Relationship Id="rId142" Type="http://schemas.openxmlformats.org/officeDocument/2006/relationships/hyperlink" Target="https://www.mercadolibre.com.ar/reporting/activity/detail?id=49894406162" TargetMode="External"/><Relationship Id="rId447" Type="http://schemas.openxmlformats.org/officeDocument/2006/relationships/hyperlink" Target="https://www.mercadolibre.com.ar/reporting/activity/detail?id=50224816298" TargetMode="External"/><Relationship Id="rId794" Type="http://schemas.openxmlformats.org/officeDocument/2006/relationships/hyperlink" Target="https://www.mercadolibre.com.ar/reporting/activity/detail?id=50744736248" TargetMode="External"/><Relationship Id="rId1077" Type="http://schemas.openxmlformats.org/officeDocument/2006/relationships/hyperlink" Target="https://www.mercadolibre.com.ar/reporting/activity/detail?id=51026805316" TargetMode="External"/><Relationship Id="rId1200" Type="http://schemas.openxmlformats.org/officeDocument/2006/relationships/hyperlink" Target="https://www.mercadolibre.com.ar/reporting/activity/detail?id=51127624405" TargetMode="External"/><Relationship Id="rId654" Type="http://schemas.openxmlformats.org/officeDocument/2006/relationships/hyperlink" Target="https://www.mercadolibre.com.ar/reporting/activity/detail?id=50498314463" TargetMode="External"/><Relationship Id="rId861" Type="http://schemas.openxmlformats.org/officeDocument/2006/relationships/hyperlink" Target="https://www.mercadolibre.com.ar/reporting/activity/detail?id=50753226504" TargetMode="External"/><Relationship Id="rId959" Type="http://schemas.openxmlformats.org/officeDocument/2006/relationships/hyperlink" Target="https://www.mercadolibre.com.ar/reporting/activity/detail?id=50838149483" TargetMode="External"/><Relationship Id="rId1284" Type="http://schemas.openxmlformats.org/officeDocument/2006/relationships/hyperlink" Target="https://www.mercadolibre.com.ar/reporting/activity/detail?id=49741444732" TargetMode="External"/><Relationship Id="rId293" Type="http://schemas.openxmlformats.org/officeDocument/2006/relationships/hyperlink" Target="https://www.mercadolibre.com.ar/reporting/activity/detail?id=50129295618" TargetMode="External"/><Relationship Id="rId307" Type="http://schemas.openxmlformats.org/officeDocument/2006/relationships/hyperlink" Target="https://www.mercadolibre.com.ar/reporting/activity/detail?id=50132288773" TargetMode="External"/><Relationship Id="rId514" Type="http://schemas.openxmlformats.org/officeDocument/2006/relationships/hyperlink" Target="https://www.mercadolibre.com.ar/reporting/activity/detail?id=50263172852" TargetMode="External"/><Relationship Id="rId721" Type="http://schemas.openxmlformats.org/officeDocument/2006/relationships/hyperlink" Target="https://www.mercadolibre.com.ar/reporting/activity/detail?id=50541933396" TargetMode="External"/><Relationship Id="rId1144" Type="http://schemas.openxmlformats.org/officeDocument/2006/relationships/hyperlink" Target="https://www.mercadolibre.com.ar/reporting/activity/detail?id=51077204394" TargetMode="External"/><Relationship Id="rId88" Type="http://schemas.openxmlformats.org/officeDocument/2006/relationships/hyperlink" Target="https://www.mercadolibre.com.ar/reporting/activity/detail?id=49848727645" TargetMode="External"/><Relationship Id="rId153" Type="http://schemas.openxmlformats.org/officeDocument/2006/relationships/hyperlink" Target="https://www.mercadolibre.com.ar/reporting/activity/detail?id=49895257613" TargetMode="External"/><Relationship Id="rId360" Type="http://schemas.openxmlformats.org/officeDocument/2006/relationships/hyperlink" Target="https://www.mercadolibre.com.ar/reporting/activity/detail?id=50178439921" TargetMode="External"/><Relationship Id="rId598" Type="http://schemas.openxmlformats.org/officeDocument/2006/relationships/hyperlink" Target="https://www.mercadolibre.com.ar/reporting/activity/detail?id=50452720304" TargetMode="External"/><Relationship Id="rId819" Type="http://schemas.openxmlformats.org/officeDocument/2006/relationships/hyperlink" Target="https://www.mercadolibre.com.ar/reporting/activity/detail?id=50750108883" TargetMode="External"/><Relationship Id="rId1004" Type="http://schemas.openxmlformats.org/officeDocument/2006/relationships/hyperlink" Target="https://www.mercadolibre.com.ar/reporting/activity/detail?id=50841383097" TargetMode="External"/><Relationship Id="rId1211" Type="http://schemas.openxmlformats.org/officeDocument/2006/relationships/hyperlink" Target="https://www.mercadolibre.com.ar/reporting/activity/detail?id=51128695368" TargetMode="External"/><Relationship Id="rId220" Type="http://schemas.openxmlformats.org/officeDocument/2006/relationships/hyperlink" Target="https://www.mercadolibre.com.ar/reporting/activity/detail?id=49933310388" TargetMode="External"/><Relationship Id="rId458" Type="http://schemas.openxmlformats.org/officeDocument/2006/relationships/hyperlink" Target="https://www.mercadolibre.com.ar/reporting/activity/detail?id=50225620108" TargetMode="External"/><Relationship Id="rId665" Type="http://schemas.openxmlformats.org/officeDocument/2006/relationships/hyperlink" Target="https://www.mercadolibre.com.ar/reporting/activity/detail?id=50500292352" TargetMode="External"/><Relationship Id="rId872" Type="http://schemas.openxmlformats.org/officeDocument/2006/relationships/hyperlink" Target="https://www.mercadolibre.com.ar/reporting/activity/detail?id=50789595294" TargetMode="External"/><Relationship Id="rId1088" Type="http://schemas.openxmlformats.org/officeDocument/2006/relationships/hyperlink" Target="https://www.mercadolibre.com.ar/reporting/activity/detail?id=51071924758" TargetMode="External"/><Relationship Id="rId1295" Type="http://schemas.openxmlformats.org/officeDocument/2006/relationships/hyperlink" Target="https://www.mercadolibre.com.ar/reporting/activity/detail?id=49748216398" TargetMode="External"/><Relationship Id="rId1309" Type="http://schemas.openxmlformats.org/officeDocument/2006/relationships/hyperlink" Target="https://www.mercadolibre.com.ar/reporting/activity/detail?id=49792033523" TargetMode="External"/><Relationship Id="rId15" Type="http://schemas.openxmlformats.org/officeDocument/2006/relationships/hyperlink" Target="https://www.mercadolibre.com.ar/reporting/activity/detail?id=49796236955" TargetMode="External"/><Relationship Id="rId318" Type="http://schemas.openxmlformats.org/officeDocument/2006/relationships/hyperlink" Target="https://www.mercadolibre.com.ar/reporting/activity/detail?id=50133581196" TargetMode="External"/><Relationship Id="rId525" Type="http://schemas.openxmlformats.org/officeDocument/2006/relationships/hyperlink" Target="https://www.mercadolibre.com.ar/reporting/activity/detail?id=50264719215" TargetMode="External"/><Relationship Id="rId732" Type="http://schemas.openxmlformats.org/officeDocument/2006/relationships/hyperlink" Target="https://www.mercadolibre.com.ar/reporting/activity/detail?id=50542730046" TargetMode="External"/><Relationship Id="rId1155" Type="http://schemas.openxmlformats.org/officeDocument/2006/relationships/hyperlink" Target="https://www.mercadolibre.com.ar/reporting/activity/detail?id=51077901558" TargetMode="External"/><Relationship Id="rId99" Type="http://schemas.openxmlformats.org/officeDocument/2006/relationships/hyperlink" Target="https://www.mercadolibre.com.ar/reporting/activity/detail?id=49849575996" TargetMode="External"/><Relationship Id="rId164" Type="http://schemas.openxmlformats.org/officeDocument/2006/relationships/hyperlink" Target="https://www.mercadolibre.com.ar/reporting/activity/detail?id=49896314529" TargetMode="External"/><Relationship Id="rId371" Type="http://schemas.openxmlformats.org/officeDocument/2006/relationships/hyperlink" Target="https://www.mercadolibre.com.ar/reporting/activity/detail?id=50179753440" TargetMode="External"/><Relationship Id="rId1015" Type="http://schemas.openxmlformats.org/officeDocument/2006/relationships/hyperlink" Target="https://www.mercadolibre.com.ar/reporting/activity/detail?id=50871119642" TargetMode="External"/><Relationship Id="rId1222" Type="http://schemas.openxmlformats.org/officeDocument/2006/relationships/hyperlink" Target="https://www.mercadolibre.com.ar/reporting/activity/detail?id=51130628116" TargetMode="External"/><Relationship Id="rId469" Type="http://schemas.openxmlformats.org/officeDocument/2006/relationships/hyperlink" Target="https://www.mercadolibre.com.ar/reporting/activity/detail?id=50226646154" TargetMode="External"/><Relationship Id="rId676" Type="http://schemas.openxmlformats.org/officeDocument/2006/relationships/hyperlink" Target="https://www.mercadolibre.com.ar/reporting/activity/detail?id=50536062462" TargetMode="External"/><Relationship Id="rId883" Type="http://schemas.openxmlformats.org/officeDocument/2006/relationships/hyperlink" Target="https://www.mercadolibre.com.ar/reporting/activity/detail?id=50793060158" TargetMode="External"/><Relationship Id="rId1099" Type="http://schemas.openxmlformats.org/officeDocument/2006/relationships/hyperlink" Target="https://www.mercadolibre.com.ar/reporting/activity/detail?id=51073144177" TargetMode="External"/><Relationship Id="rId26" Type="http://schemas.openxmlformats.org/officeDocument/2006/relationships/hyperlink" Target="https://www.mercadolibre.com.ar/reporting/activity/detail?id=49797404505" TargetMode="External"/><Relationship Id="rId231" Type="http://schemas.openxmlformats.org/officeDocument/2006/relationships/hyperlink" Target="https://www.mercadolibre.com.ar/reporting/activity/detail?id=49935375045" TargetMode="External"/><Relationship Id="rId329" Type="http://schemas.openxmlformats.org/officeDocument/2006/relationships/hyperlink" Target="https://www.mercadolibre.com.ar/reporting/activity/detail?id=50134802932" TargetMode="External"/><Relationship Id="rId536" Type="http://schemas.openxmlformats.org/officeDocument/2006/relationships/hyperlink" Target="https://www.mercadolibre.com.ar/reporting/activity/detail?id=50406547398" TargetMode="External"/><Relationship Id="rId1166" Type="http://schemas.openxmlformats.org/officeDocument/2006/relationships/hyperlink" Target="https://www.mercadolibre.com.ar/reporting/activity/detail?id=51118134676" TargetMode="External"/><Relationship Id="rId175" Type="http://schemas.openxmlformats.org/officeDocument/2006/relationships/hyperlink" Target="https://www.mercadolibre.com.ar/reporting/activity/detail?id=49896848304" TargetMode="External"/><Relationship Id="rId743" Type="http://schemas.openxmlformats.org/officeDocument/2006/relationships/hyperlink" Target="https://www.mercadolibre.com.ar/reporting/activity/detail?id=50543416925" TargetMode="External"/><Relationship Id="rId950" Type="http://schemas.openxmlformats.org/officeDocument/2006/relationships/hyperlink" Target="https://www.mercadolibre.com.ar/reporting/activity/detail?id=50836883502" TargetMode="External"/><Relationship Id="rId1026" Type="http://schemas.openxmlformats.org/officeDocument/2006/relationships/hyperlink" Target="https://www.mercadolibre.com.ar/reporting/activity/detail?id=50874260062" TargetMode="External"/><Relationship Id="rId382" Type="http://schemas.openxmlformats.org/officeDocument/2006/relationships/hyperlink" Target="https://www.mercadolibre.com.ar/reporting/activity/detail?id=50180468291" TargetMode="External"/><Relationship Id="rId603" Type="http://schemas.openxmlformats.org/officeDocument/2006/relationships/hyperlink" Target="https://www.mercadolibre.com.ar/reporting/activity/detail?id=50453015689" TargetMode="External"/><Relationship Id="rId687" Type="http://schemas.openxmlformats.org/officeDocument/2006/relationships/hyperlink" Target="https://www.mercadolibre.com.ar/reporting/activity/detail?id=50538924536" TargetMode="External"/><Relationship Id="rId810" Type="http://schemas.openxmlformats.org/officeDocument/2006/relationships/hyperlink" Target="https://www.mercadolibre.com.ar/reporting/activity/detail?id=50748732988" TargetMode="External"/><Relationship Id="rId908" Type="http://schemas.openxmlformats.org/officeDocument/2006/relationships/hyperlink" Target="https://www.mercadolibre.com.ar/reporting/activity/detail?id=50797447645" TargetMode="External"/><Relationship Id="rId1233" Type="http://schemas.openxmlformats.org/officeDocument/2006/relationships/hyperlink" Target="https://www.mercadolibre.com.ar/reporting/activity/detail?id=51166842128" TargetMode="External"/><Relationship Id="rId242" Type="http://schemas.openxmlformats.org/officeDocument/2006/relationships/hyperlink" Target="https://www.mercadolibre.com.ar/reporting/activity/detail?id=50075239767" TargetMode="External"/><Relationship Id="rId894" Type="http://schemas.openxmlformats.org/officeDocument/2006/relationships/hyperlink" Target="https://www.mercadolibre.com.ar/reporting/activity/detail?id=50794980033" TargetMode="External"/><Relationship Id="rId1177" Type="http://schemas.openxmlformats.org/officeDocument/2006/relationships/hyperlink" Target="https://www.mercadolibre.com.ar/reporting/activity/detail?id=51123295230" TargetMode="External"/><Relationship Id="rId1300" Type="http://schemas.openxmlformats.org/officeDocument/2006/relationships/hyperlink" Target="https://www.mercadolibre.com.ar/reporting/activity/detail?id=49785797411" TargetMode="External"/><Relationship Id="rId37" Type="http://schemas.openxmlformats.org/officeDocument/2006/relationships/hyperlink" Target="https://www.mercadolibre.com.ar/reporting/activity/detail?id=49836765214" TargetMode="External"/><Relationship Id="rId102" Type="http://schemas.openxmlformats.org/officeDocument/2006/relationships/hyperlink" Target="https://www.mercadolibre.com.ar/reporting/activity/detail?id=49849706829" TargetMode="External"/><Relationship Id="rId547" Type="http://schemas.openxmlformats.org/officeDocument/2006/relationships/hyperlink" Target="https://www.mercadolibre.com.ar/reporting/activity/detail?id=50444145317" TargetMode="External"/><Relationship Id="rId754" Type="http://schemas.openxmlformats.org/officeDocument/2006/relationships/hyperlink" Target="https://www.mercadolibre.com.ar/reporting/activity/detail?id=50569790971" TargetMode="External"/><Relationship Id="rId961" Type="http://schemas.openxmlformats.org/officeDocument/2006/relationships/hyperlink" Target="https://www.mercadolibre.com.ar/reporting/activity/detail?id=50838250034" TargetMode="External"/><Relationship Id="rId90" Type="http://schemas.openxmlformats.org/officeDocument/2006/relationships/hyperlink" Target="https://www.mercadolibre.com.ar/reporting/activity/detail?id=49848929993" TargetMode="External"/><Relationship Id="rId186" Type="http://schemas.openxmlformats.org/officeDocument/2006/relationships/hyperlink" Target="https://www.mercadolibre.com.ar/reporting/activity/detail?id=49897717345" TargetMode="External"/><Relationship Id="rId393" Type="http://schemas.openxmlformats.org/officeDocument/2006/relationships/hyperlink" Target="https://www.mercadolibre.com.ar/reporting/activity/detail?id=50181636032" TargetMode="External"/><Relationship Id="rId407" Type="http://schemas.openxmlformats.org/officeDocument/2006/relationships/hyperlink" Target="https://www.mercadolibre.com.ar/reporting/activity/detail?id=50182612956" TargetMode="External"/><Relationship Id="rId614" Type="http://schemas.openxmlformats.org/officeDocument/2006/relationships/hyperlink" Target="https://www.mercadolibre.com.ar/reporting/activity/detail?id=50453799173" TargetMode="External"/><Relationship Id="rId821" Type="http://schemas.openxmlformats.org/officeDocument/2006/relationships/hyperlink" Target="https://www.mercadolibre.com.ar/reporting/activity/detail?id=50750244518" TargetMode="External"/><Relationship Id="rId1037" Type="http://schemas.openxmlformats.org/officeDocument/2006/relationships/hyperlink" Target="https://www.mercadolibre.com.ar/reporting/activity/detail?id=50875976745" TargetMode="External"/><Relationship Id="rId1244" Type="http://schemas.openxmlformats.org/officeDocument/2006/relationships/hyperlink" Target="https://www.mercadolibre.com.ar/reporting/activity/detail?id=51173491473" TargetMode="External"/><Relationship Id="rId253" Type="http://schemas.openxmlformats.org/officeDocument/2006/relationships/hyperlink" Target="https://www.mercadolibre.com.ar/reporting/activity/detail?id=50081127603" TargetMode="External"/><Relationship Id="rId460" Type="http://schemas.openxmlformats.org/officeDocument/2006/relationships/hyperlink" Target="https://www.mercadolibre.com.ar/reporting/activity/detail?id=50225795364" TargetMode="External"/><Relationship Id="rId698" Type="http://schemas.openxmlformats.org/officeDocument/2006/relationships/hyperlink" Target="https://www.mercadolibre.com.ar/reporting/activity/detail?id=50540014082" TargetMode="External"/><Relationship Id="rId919" Type="http://schemas.openxmlformats.org/officeDocument/2006/relationships/hyperlink" Target="https://www.mercadolibre.com.ar/reporting/activity/detail?id=50798553730" TargetMode="External"/><Relationship Id="rId1090" Type="http://schemas.openxmlformats.org/officeDocument/2006/relationships/hyperlink" Target="https://www.mercadolibre.com.ar/reporting/activity/detail?id=51072196991" TargetMode="External"/><Relationship Id="rId1104" Type="http://schemas.openxmlformats.org/officeDocument/2006/relationships/hyperlink" Target="https://www.mercadolibre.com.ar/reporting/activity/detail?id=51074044454" TargetMode="External"/><Relationship Id="rId1311" Type="http://schemas.openxmlformats.org/officeDocument/2006/relationships/hyperlink" Target="https://www.mercadolibre.com.ar/reporting/activity/detail?id=49792637855" TargetMode="External"/><Relationship Id="rId48" Type="http://schemas.openxmlformats.org/officeDocument/2006/relationships/hyperlink" Target="https://www.mercadolibre.com.ar/reporting/activity/detail?id=49842481746" TargetMode="External"/><Relationship Id="rId113" Type="http://schemas.openxmlformats.org/officeDocument/2006/relationships/hyperlink" Target="https://www.mercadolibre.com.ar/reporting/activity/detail?id=49850505374" TargetMode="External"/><Relationship Id="rId320" Type="http://schemas.openxmlformats.org/officeDocument/2006/relationships/hyperlink" Target="https://www.mercadolibre.com.ar/reporting/activity/detail?id=50133996260" TargetMode="External"/><Relationship Id="rId558" Type="http://schemas.openxmlformats.org/officeDocument/2006/relationships/hyperlink" Target="https://www.mercadolibre.com.ar/reporting/activity/detail?id=50448035415" TargetMode="External"/><Relationship Id="rId765" Type="http://schemas.openxmlformats.org/officeDocument/2006/relationships/hyperlink" Target="https://www.mercadolibre.com.ar/reporting/activity/detail?id=50574715323" TargetMode="External"/><Relationship Id="rId972" Type="http://schemas.openxmlformats.org/officeDocument/2006/relationships/hyperlink" Target="https://www.mercadolibre.com.ar/reporting/activity/detail?id=50839250205" TargetMode="External"/><Relationship Id="rId1188" Type="http://schemas.openxmlformats.org/officeDocument/2006/relationships/hyperlink" Target="https://www.mercadolibre.com.ar/reporting/activity/detail?id=51126644221" TargetMode="External"/><Relationship Id="rId197" Type="http://schemas.openxmlformats.org/officeDocument/2006/relationships/hyperlink" Target="https://www.mercadolibre.com.ar/reporting/activity/detail?id=49898711005" TargetMode="External"/><Relationship Id="rId418" Type="http://schemas.openxmlformats.org/officeDocument/2006/relationships/hyperlink" Target="https://www.mercadolibre.com.ar/reporting/activity/detail?id=50183523795" TargetMode="External"/><Relationship Id="rId625" Type="http://schemas.openxmlformats.org/officeDocument/2006/relationships/hyperlink" Target="https://www.mercadolibre.com.ar/reporting/activity/detail?id=50454443928" TargetMode="External"/><Relationship Id="rId832" Type="http://schemas.openxmlformats.org/officeDocument/2006/relationships/hyperlink" Target="https://www.mercadolibre.com.ar/reporting/activity/detail?id=50751567701" TargetMode="External"/><Relationship Id="rId1048" Type="http://schemas.openxmlformats.org/officeDocument/2006/relationships/hyperlink" Target="https://www.mercadolibre.com.ar/reporting/activity/detail?id=50876682031" TargetMode="External"/><Relationship Id="rId1255" Type="http://schemas.openxmlformats.org/officeDocument/2006/relationships/hyperlink" Target="https://www.mercadolibre.com.ar/reporting/activity/detail?id=51174706774" TargetMode="External"/><Relationship Id="rId264" Type="http://schemas.openxmlformats.org/officeDocument/2006/relationships/hyperlink" Target="https://www.mercadolibre.com.ar/reporting/activity/detail?id=50082519344" TargetMode="External"/><Relationship Id="rId471" Type="http://schemas.openxmlformats.org/officeDocument/2006/relationships/hyperlink" Target="https://www.mercadolibre.com.ar/reporting/activity/detail?id=50226787422" TargetMode="External"/><Relationship Id="rId1115" Type="http://schemas.openxmlformats.org/officeDocument/2006/relationships/hyperlink" Target="https://www.mercadolibre.com.ar/reporting/activity/detail?id=51075195068" TargetMode="External"/><Relationship Id="rId1322" Type="http://schemas.openxmlformats.org/officeDocument/2006/relationships/hyperlink" Target="https://www.mercadolibre.com.ar/reporting/activity/detail?id=49793859601" TargetMode="External"/><Relationship Id="rId59" Type="http://schemas.openxmlformats.org/officeDocument/2006/relationships/hyperlink" Target="https://www.mercadolibre.com.ar/reporting/activity/detail?id=49844778088" TargetMode="External"/><Relationship Id="rId124" Type="http://schemas.openxmlformats.org/officeDocument/2006/relationships/hyperlink" Target="https://www.mercadolibre.com.ar/reporting/activity/detail?id=49851618166" TargetMode="External"/><Relationship Id="rId569" Type="http://schemas.openxmlformats.org/officeDocument/2006/relationships/hyperlink" Target="https://www.mercadolibre.com.ar/reporting/activity/detail?id=50449951185" TargetMode="External"/><Relationship Id="rId776" Type="http://schemas.openxmlformats.org/officeDocument/2006/relationships/hyperlink" Target="https://www.mercadolibre.com.ar/reporting/activity/detail?id=50577105262" TargetMode="External"/><Relationship Id="rId983" Type="http://schemas.openxmlformats.org/officeDocument/2006/relationships/hyperlink" Target="https://www.mercadolibre.com.ar/reporting/activity/detail?id=50839958419" TargetMode="External"/><Relationship Id="rId1199" Type="http://schemas.openxmlformats.org/officeDocument/2006/relationships/hyperlink" Target="https://www.mercadolibre.com.ar/reporting/activity/detail?id=51127618751" TargetMode="External"/><Relationship Id="rId331" Type="http://schemas.openxmlformats.org/officeDocument/2006/relationships/hyperlink" Target="https://www.mercadolibre.com.ar/reporting/activity/detail?id=50135069868" TargetMode="External"/><Relationship Id="rId429" Type="http://schemas.openxmlformats.org/officeDocument/2006/relationships/hyperlink" Target="https://www.mercadolibre.com.ar/reporting/activity/detail?id=50220666165" TargetMode="External"/><Relationship Id="rId636" Type="http://schemas.openxmlformats.org/officeDocument/2006/relationships/hyperlink" Target="https://www.mercadolibre.com.ar/reporting/activity/detail?id=50492691883" TargetMode="External"/><Relationship Id="rId1059" Type="http://schemas.openxmlformats.org/officeDocument/2006/relationships/hyperlink" Target="https://www.mercadolibre.com.ar/reporting/activity/detail?id=51019339506" TargetMode="External"/><Relationship Id="rId1266" Type="http://schemas.openxmlformats.org/officeDocument/2006/relationships/hyperlink" Target="https://www.mercadolibre.com.ar/reporting/activity/detail?id=51176849893" TargetMode="External"/><Relationship Id="rId843" Type="http://schemas.openxmlformats.org/officeDocument/2006/relationships/hyperlink" Target="https://www.mercadolibre.com.ar/reporting/activity/detail?id=50752436204" TargetMode="External"/><Relationship Id="rId1126" Type="http://schemas.openxmlformats.org/officeDocument/2006/relationships/hyperlink" Target="https://www.mercadolibre.com.ar/reporting/activity/detail?id=51075972722" TargetMode="External"/><Relationship Id="rId275" Type="http://schemas.openxmlformats.org/officeDocument/2006/relationships/hyperlink" Target="https://www.mercadolibre.com.ar/reporting/activity/detail?id=50085721660" TargetMode="External"/><Relationship Id="rId482" Type="http://schemas.openxmlformats.org/officeDocument/2006/relationships/hyperlink" Target="https://www.mercadolibre.com.ar/reporting/activity/detail?id=50227610263" TargetMode="External"/><Relationship Id="rId703" Type="http://schemas.openxmlformats.org/officeDocument/2006/relationships/hyperlink" Target="https://www.mercadolibre.com.ar/reporting/activity/detail?id=50540245944" TargetMode="External"/><Relationship Id="rId910" Type="http://schemas.openxmlformats.org/officeDocument/2006/relationships/hyperlink" Target="https://www.mercadolibre.com.ar/reporting/activity/detail?id=50797563237" TargetMode="External"/><Relationship Id="rId135" Type="http://schemas.openxmlformats.org/officeDocument/2006/relationships/hyperlink" Target="https://www.mercadolibre.com.ar/reporting/activity/detail?id=49892964014" TargetMode="External"/><Relationship Id="rId342" Type="http://schemas.openxmlformats.org/officeDocument/2006/relationships/hyperlink" Target="https://www.mercadolibre.com.ar/reporting/activity/detail?id=50170234745" TargetMode="External"/><Relationship Id="rId787" Type="http://schemas.openxmlformats.org/officeDocument/2006/relationships/hyperlink" Target="https://www.mercadolibre.com.ar/reporting/activity/detail?id=50707263748" TargetMode="External"/><Relationship Id="rId994" Type="http://schemas.openxmlformats.org/officeDocument/2006/relationships/hyperlink" Target="https://www.mercadolibre.com.ar/reporting/activity/detail?id=50840935414" TargetMode="External"/><Relationship Id="rId202" Type="http://schemas.openxmlformats.org/officeDocument/2006/relationships/hyperlink" Target="https://www.mercadolibre.com.ar/reporting/activity/detail?id=49899121092" TargetMode="External"/><Relationship Id="rId647" Type="http://schemas.openxmlformats.org/officeDocument/2006/relationships/hyperlink" Target="https://www.mercadolibre.com.ar/reporting/activity/detail?id=50496325337" TargetMode="External"/><Relationship Id="rId854" Type="http://schemas.openxmlformats.org/officeDocument/2006/relationships/hyperlink" Target="https://www.mercadolibre.com.ar/reporting/activity/detail?id=50752975063" TargetMode="External"/><Relationship Id="rId1277" Type="http://schemas.openxmlformats.org/officeDocument/2006/relationships/hyperlink" Target="https://www.mercadolibre.com.ar/reporting/activity/detail?id=49609389445" TargetMode="External"/><Relationship Id="rId286" Type="http://schemas.openxmlformats.org/officeDocument/2006/relationships/hyperlink" Target="https://www.mercadolibre.com.ar/reporting/activity/detail?id=50127959976" TargetMode="External"/><Relationship Id="rId493" Type="http://schemas.openxmlformats.org/officeDocument/2006/relationships/hyperlink" Target="https://www.mercadolibre.com.ar/reporting/activity/detail?id=50254766240" TargetMode="External"/><Relationship Id="rId507" Type="http://schemas.openxmlformats.org/officeDocument/2006/relationships/hyperlink" Target="https://www.mercadolibre.com.ar/reporting/activity/detail?id=50262046496" TargetMode="External"/><Relationship Id="rId714" Type="http://schemas.openxmlformats.org/officeDocument/2006/relationships/hyperlink" Target="https://www.mercadolibre.com.ar/reporting/activity/detail?id=50541153141" TargetMode="External"/><Relationship Id="rId921" Type="http://schemas.openxmlformats.org/officeDocument/2006/relationships/hyperlink" Target="https://www.mercadolibre.com.ar/reporting/activity/detail?id=50798750407" TargetMode="External"/><Relationship Id="rId1137" Type="http://schemas.openxmlformats.org/officeDocument/2006/relationships/hyperlink" Target="https://www.mercadolibre.com.ar/reporting/activity/detail?id=51076756213" TargetMode="External"/><Relationship Id="rId50" Type="http://schemas.openxmlformats.org/officeDocument/2006/relationships/hyperlink" Target="https://www.mercadolibre.com.ar/reporting/activity/detail?id=49842686145" TargetMode="External"/><Relationship Id="rId146" Type="http://schemas.openxmlformats.org/officeDocument/2006/relationships/hyperlink" Target="https://www.mercadolibre.com.ar/reporting/activity/detail?id=49894662121" TargetMode="External"/><Relationship Id="rId353" Type="http://schemas.openxmlformats.org/officeDocument/2006/relationships/hyperlink" Target="https://www.mercadolibre.com.ar/reporting/activity/detail?id=50177485718" TargetMode="External"/><Relationship Id="rId560" Type="http://schemas.openxmlformats.org/officeDocument/2006/relationships/hyperlink" Target="https://www.mercadolibre.com.ar/reporting/activity/detail?id=50448810213" TargetMode="External"/><Relationship Id="rId798" Type="http://schemas.openxmlformats.org/officeDocument/2006/relationships/hyperlink" Target="https://www.mercadolibre.com.ar/reporting/activity/detail?id=50746560743" TargetMode="External"/><Relationship Id="rId1190" Type="http://schemas.openxmlformats.org/officeDocument/2006/relationships/hyperlink" Target="https://www.mercadolibre.com.ar/reporting/activity/detail?id=51126836071" TargetMode="External"/><Relationship Id="rId1204" Type="http://schemas.openxmlformats.org/officeDocument/2006/relationships/hyperlink" Target="https://www.mercadolibre.com.ar/reporting/activity/detail?id=51127936813" TargetMode="External"/><Relationship Id="rId213" Type="http://schemas.openxmlformats.org/officeDocument/2006/relationships/hyperlink" Target="https://www.mercadolibre.com.ar/reporting/activity/detail?id=49929417247" TargetMode="External"/><Relationship Id="rId420" Type="http://schemas.openxmlformats.org/officeDocument/2006/relationships/hyperlink" Target="https://www.mercadolibre.com.ar/reporting/activity/detail?id=50215476964" TargetMode="External"/><Relationship Id="rId658" Type="http://schemas.openxmlformats.org/officeDocument/2006/relationships/hyperlink" Target="https://www.mercadolibre.com.ar/reporting/activity/detail?id=50499241838" TargetMode="External"/><Relationship Id="rId865" Type="http://schemas.openxmlformats.org/officeDocument/2006/relationships/hyperlink" Target="https://www.mercadolibre.com.ar/reporting/activity/detail?id=50753329933" TargetMode="External"/><Relationship Id="rId1050" Type="http://schemas.openxmlformats.org/officeDocument/2006/relationships/hyperlink" Target="https://www.mercadolibre.com.ar/reporting/activity/detail?id=50876730075" TargetMode="External"/><Relationship Id="rId1288" Type="http://schemas.openxmlformats.org/officeDocument/2006/relationships/hyperlink" Target="https://www.mercadolibre.com.ar/reporting/activity/detail?id=49744572482" TargetMode="External"/><Relationship Id="rId297" Type="http://schemas.openxmlformats.org/officeDocument/2006/relationships/hyperlink" Target="https://www.mercadolibre.com.ar/reporting/activity/detail?id=50130162418" TargetMode="External"/><Relationship Id="rId518" Type="http://schemas.openxmlformats.org/officeDocument/2006/relationships/hyperlink" Target="https://www.mercadolibre.com.ar/reporting/activity/detail?id=50263750975" TargetMode="External"/><Relationship Id="rId725" Type="http://schemas.openxmlformats.org/officeDocument/2006/relationships/hyperlink" Target="https://www.mercadolibre.com.ar/reporting/activity/detail?id=50542202209" TargetMode="External"/><Relationship Id="rId932" Type="http://schemas.openxmlformats.org/officeDocument/2006/relationships/hyperlink" Target="https://www.mercadolibre.com.ar/reporting/activity/detail?id=50832402028" TargetMode="External"/><Relationship Id="rId1148" Type="http://schemas.openxmlformats.org/officeDocument/2006/relationships/hyperlink" Target="https://www.mercadolibre.com.ar/reporting/activity/detail?id=51077496713" TargetMode="External"/><Relationship Id="rId157" Type="http://schemas.openxmlformats.org/officeDocument/2006/relationships/hyperlink" Target="https://www.mercadolibre.com.ar/reporting/activity/detail?id=49895550426" TargetMode="External"/><Relationship Id="rId364" Type="http://schemas.openxmlformats.org/officeDocument/2006/relationships/hyperlink" Target="https://www.mercadolibre.com.ar/reporting/activity/detail?id=50179062573" TargetMode="External"/><Relationship Id="rId1008" Type="http://schemas.openxmlformats.org/officeDocument/2006/relationships/hyperlink" Target="https://www.mercadolibre.com.ar/reporting/activity/detail?id=50868792785" TargetMode="External"/><Relationship Id="rId1215" Type="http://schemas.openxmlformats.org/officeDocument/2006/relationships/hyperlink" Target="https://www.mercadolibre.com.ar/reporting/activity/detail?id=51129484447" TargetMode="External"/><Relationship Id="rId61" Type="http://schemas.openxmlformats.org/officeDocument/2006/relationships/hyperlink" Target="https://www.mercadolibre.com.ar/reporting/activity/detail?id=49845415536" TargetMode="External"/><Relationship Id="rId571" Type="http://schemas.openxmlformats.org/officeDocument/2006/relationships/hyperlink" Target="https://www.mercadolibre.com.ar/reporting/activity/detail?id=50450183829" TargetMode="External"/><Relationship Id="rId669" Type="http://schemas.openxmlformats.org/officeDocument/2006/relationships/hyperlink" Target="https://www.mercadolibre.com.ar/reporting/activity/detail?id=50500553954" TargetMode="External"/><Relationship Id="rId876" Type="http://schemas.openxmlformats.org/officeDocument/2006/relationships/hyperlink" Target="https://www.mercadolibre.com.ar/reporting/activity/detail?id=50791255993" TargetMode="External"/><Relationship Id="rId1299" Type="http://schemas.openxmlformats.org/officeDocument/2006/relationships/hyperlink" Target="https://www.mercadolibre.com.ar/reporting/activity/detail?id=49785711056" TargetMode="External"/><Relationship Id="rId19" Type="http://schemas.openxmlformats.org/officeDocument/2006/relationships/hyperlink" Target="https://www.mercadolibre.com.ar/reporting/activity/detail?id=49796620694" TargetMode="External"/><Relationship Id="rId224" Type="http://schemas.openxmlformats.org/officeDocument/2006/relationships/hyperlink" Target="https://www.mercadolibre.com.ar/reporting/activity/detail?id=49933956006" TargetMode="External"/><Relationship Id="rId431" Type="http://schemas.openxmlformats.org/officeDocument/2006/relationships/hyperlink" Target="https://www.mercadolibre.com.ar/reporting/activity/detail?id=50221304357" TargetMode="External"/><Relationship Id="rId529" Type="http://schemas.openxmlformats.org/officeDocument/2006/relationships/hyperlink" Target="https://www.mercadolibre.com.ar/reporting/activity/detail?id=50404210808" TargetMode="External"/><Relationship Id="rId736" Type="http://schemas.openxmlformats.org/officeDocument/2006/relationships/hyperlink" Target="https://www.mercadolibre.com.ar/reporting/activity/detail?id=50542921240" TargetMode="External"/><Relationship Id="rId1061" Type="http://schemas.openxmlformats.org/officeDocument/2006/relationships/hyperlink" Target="https://www.mercadolibre.com.ar/reporting/activity/detail?id=51020539495" TargetMode="External"/><Relationship Id="rId1159" Type="http://schemas.openxmlformats.org/officeDocument/2006/relationships/hyperlink" Target="https://www.mercadolibre.com.ar/reporting/activity/detail?id=51078125776" TargetMode="External"/><Relationship Id="rId168" Type="http://schemas.openxmlformats.org/officeDocument/2006/relationships/hyperlink" Target="https://www.mercadolibre.com.ar/reporting/activity/detail?id=49896478960" TargetMode="External"/><Relationship Id="rId943" Type="http://schemas.openxmlformats.org/officeDocument/2006/relationships/hyperlink" Target="https://www.mercadolibre.com.ar/reporting/activity/detail?id=50834817144" TargetMode="External"/><Relationship Id="rId1019" Type="http://schemas.openxmlformats.org/officeDocument/2006/relationships/hyperlink" Target="https://www.mercadolibre.com.ar/reporting/activity/detail?id=50872081506" TargetMode="External"/><Relationship Id="rId72" Type="http://schemas.openxmlformats.org/officeDocument/2006/relationships/hyperlink" Target="https://www.mercadolibre.com.ar/reporting/activity/detail?id=49846898442" TargetMode="External"/><Relationship Id="rId375" Type="http://schemas.openxmlformats.org/officeDocument/2006/relationships/hyperlink" Target="https://www.mercadolibre.com.ar/reporting/activity/detail?id=50179990259" TargetMode="External"/><Relationship Id="rId582" Type="http://schemas.openxmlformats.org/officeDocument/2006/relationships/hyperlink" Target="https://www.mercadolibre.com.ar/reporting/activity/detail?id=50451393426" TargetMode="External"/><Relationship Id="rId803" Type="http://schemas.openxmlformats.org/officeDocument/2006/relationships/hyperlink" Target="https://www.mercadolibre.com.ar/reporting/activity/detail?id=50747929849" TargetMode="External"/><Relationship Id="rId1226" Type="http://schemas.openxmlformats.org/officeDocument/2006/relationships/hyperlink" Target="https://www.mercadolibre.com.ar/reporting/activity/detail?id=51130793305" TargetMode="External"/><Relationship Id="rId3" Type="http://schemas.openxmlformats.org/officeDocument/2006/relationships/hyperlink" Target="https://www.mercadolibre.com.ar/reporting/activity/detail?id=49794920915" TargetMode="External"/><Relationship Id="rId235" Type="http://schemas.openxmlformats.org/officeDocument/2006/relationships/hyperlink" Target="https://www.mercadolibre.com.ar/reporting/activity/detail?id=49936922497" TargetMode="External"/><Relationship Id="rId442" Type="http://schemas.openxmlformats.org/officeDocument/2006/relationships/hyperlink" Target="https://www.mercadolibre.com.ar/reporting/activity/detail?id=50223960197" TargetMode="External"/><Relationship Id="rId887" Type="http://schemas.openxmlformats.org/officeDocument/2006/relationships/hyperlink" Target="https://www.mercadolibre.com.ar/reporting/activity/detail?id=50793658440" TargetMode="External"/><Relationship Id="rId1072" Type="http://schemas.openxmlformats.org/officeDocument/2006/relationships/hyperlink" Target="https://www.mercadolibre.com.ar/reporting/activity/detail?id=51024686385" TargetMode="External"/><Relationship Id="rId302" Type="http://schemas.openxmlformats.org/officeDocument/2006/relationships/hyperlink" Target="https://www.mercadolibre.com.ar/reporting/activity/detail?id=50130994152" TargetMode="External"/><Relationship Id="rId747" Type="http://schemas.openxmlformats.org/officeDocument/2006/relationships/hyperlink" Target="https://www.mercadolibre.com.ar/reporting/activity/detail?id=50543721495" TargetMode="External"/><Relationship Id="rId954" Type="http://schemas.openxmlformats.org/officeDocument/2006/relationships/hyperlink" Target="https://www.mercadolibre.com.ar/reporting/activity/detail?id=50837707314" TargetMode="External"/><Relationship Id="rId83" Type="http://schemas.openxmlformats.org/officeDocument/2006/relationships/hyperlink" Target="https://www.mercadolibre.com.ar/reporting/activity/detail?id=49847755260" TargetMode="External"/><Relationship Id="rId179" Type="http://schemas.openxmlformats.org/officeDocument/2006/relationships/hyperlink" Target="https://www.mercadolibre.com.ar/reporting/activity/detail?id=49897019109" TargetMode="External"/><Relationship Id="rId386" Type="http://schemas.openxmlformats.org/officeDocument/2006/relationships/hyperlink" Target="https://www.mercadolibre.com.ar/reporting/activity/detail?id=50180714131" TargetMode="External"/><Relationship Id="rId593" Type="http://schemas.openxmlformats.org/officeDocument/2006/relationships/hyperlink" Target="https://www.mercadolibre.com.ar/reporting/activity/detail?id=50452408852" TargetMode="External"/><Relationship Id="rId607" Type="http://schemas.openxmlformats.org/officeDocument/2006/relationships/hyperlink" Target="https://www.mercadolibre.com.ar/reporting/activity/detail?id=50453228205" TargetMode="External"/><Relationship Id="rId814" Type="http://schemas.openxmlformats.org/officeDocument/2006/relationships/hyperlink" Target="https://www.mercadolibre.com.ar/reporting/activity/detail?id=50749200442" TargetMode="External"/><Relationship Id="rId1237" Type="http://schemas.openxmlformats.org/officeDocument/2006/relationships/hyperlink" Target="https://www.mercadolibre.com.ar/reporting/activity/detail?id=51169745206" TargetMode="External"/><Relationship Id="rId246" Type="http://schemas.openxmlformats.org/officeDocument/2006/relationships/hyperlink" Target="https://www.mercadolibre.com.ar/reporting/activity/detail?id=50078449483" TargetMode="External"/><Relationship Id="rId453" Type="http://schemas.openxmlformats.org/officeDocument/2006/relationships/hyperlink" Target="https://www.mercadolibre.com.ar/reporting/activity/detail?id=50225353968" TargetMode="External"/><Relationship Id="rId660" Type="http://schemas.openxmlformats.org/officeDocument/2006/relationships/hyperlink" Target="https://www.mercadolibre.com.ar/reporting/activity/detail?id=50499303197" TargetMode="External"/><Relationship Id="rId898" Type="http://schemas.openxmlformats.org/officeDocument/2006/relationships/hyperlink" Target="https://www.mercadolibre.com.ar/reporting/activity/detail?id=50795609280" TargetMode="External"/><Relationship Id="rId1083" Type="http://schemas.openxmlformats.org/officeDocument/2006/relationships/hyperlink" Target="https://www.mercadolibre.com.ar/reporting/activity/detail?id=51070698024" TargetMode="External"/><Relationship Id="rId1290" Type="http://schemas.openxmlformats.org/officeDocument/2006/relationships/hyperlink" Target="https://www.mercadolibre.com.ar/reporting/activity/detail?id=49747029216" TargetMode="External"/><Relationship Id="rId1304" Type="http://schemas.openxmlformats.org/officeDocument/2006/relationships/hyperlink" Target="https://www.mercadolibre.com.ar/reporting/activity/detail?id=49788389786" TargetMode="External"/><Relationship Id="rId106" Type="http://schemas.openxmlformats.org/officeDocument/2006/relationships/hyperlink" Target="https://www.mercadolibre.com.ar/reporting/activity/detail?id=49850191158" TargetMode="External"/><Relationship Id="rId313" Type="http://schemas.openxmlformats.org/officeDocument/2006/relationships/hyperlink" Target="https://www.mercadolibre.com.ar/reporting/activity/detail?id=50132745158" TargetMode="External"/><Relationship Id="rId758" Type="http://schemas.openxmlformats.org/officeDocument/2006/relationships/hyperlink" Target="https://www.mercadolibre.com.ar/reporting/activity/detail?id=50571120354" TargetMode="External"/><Relationship Id="rId965" Type="http://schemas.openxmlformats.org/officeDocument/2006/relationships/hyperlink" Target="https://www.mercadolibre.com.ar/reporting/activity/detail?id=50838561031" TargetMode="External"/><Relationship Id="rId1150" Type="http://schemas.openxmlformats.org/officeDocument/2006/relationships/hyperlink" Target="https://www.mercadolibre.com.ar/reporting/activity/detail?id=51077657699" TargetMode="External"/><Relationship Id="rId10" Type="http://schemas.openxmlformats.org/officeDocument/2006/relationships/hyperlink" Target="https://www.mercadolibre.com.ar/reporting/activity/detail?id=49795823203" TargetMode="External"/><Relationship Id="rId94" Type="http://schemas.openxmlformats.org/officeDocument/2006/relationships/hyperlink" Target="https://www.mercadolibre.com.ar/reporting/activity/detail?id=49849179810" TargetMode="External"/><Relationship Id="rId397" Type="http://schemas.openxmlformats.org/officeDocument/2006/relationships/hyperlink" Target="https://www.mercadolibre.com.ar/reporting/activity/detail?id=50181836981" TargetMode="External"/><Relationship Id="rId520" Type="http://schemas.openxmlformats.org/officeDocument/2006/relationships/hyperlink" Target="https://www.mercadolibre.com.ar/reporting/activity/detail?id=50263831529" TargetMode="External"/><Relationship Id="rId618" Type="http://schemas.openxmlformats.org/officeDocument/2006/relationships/hyperlink" Target="https://www.mercadolibre.com.ar/reporting/activity/detail?id=50454100557" TargetMode="External"/><Relationship Id="rId825" Type="http://schemas.openxmlformats.org/officeDocument/2006/relationships/hyperlink" Target="https://www.mercadolibre.com.ar/reporting/activity/detail?id=50750522676" TargetMode="External"/><Relationship Id="rId1248" Type="http://schemas.openxmlformats.org/officeDocument/2006/relationships/hyperlink" Target="https://www.mercadolibre.com.ar/reporting/activity/detail?id=51174129733" TargetMode="External"/><Relationship Id="rId257" Type="http://schemas.openxmlformats.org/officeDocument/2006/relationships/hyperlink" Target="https://www.mercadolibre.com.ar/reporting/activity/detail?id=50081712034" TargetMode="External"/><Relationship Id="rId464" Type="http://schemas.openxmlformats.org/officeDocument/2006/relationships/hyperlink" Target="https://www.mercadolibre.com.ar/reporting/activity/detail?id=50226144930" TargetMode="External"/><Relationship Id="rId1010" Type="http://schemas.openxmlformats.org/officeDocument/2006/relationships/hyperlink" Target="https://www.mercadolibre.com.ar/reporting/activity/detail?id=50869980584" TargetMode="External"/><Relationship Id="rId1094" Type="http://schemas.openxmlformats.org/officeDocument/2006/relationships/hyperlink" Target="https://www.mercadolibre.com.ar/reporting/activity/detail?id=51072586350" TargetMode="External"/><Relationship Id="rId1108" Type="http://schemas.openxmlformats.org/officeDocument/2006/relationships/hyperlink" Target="https://www.mercadolibre.com.ar/reporting/activity/detail?id=51074283341" TargetMode="External"/><Relationship Id="rId1315" Type="http://schemas.openxmlformats.org/officeDocument/2006/relationships/hyperlink" Target="https://www.mercadolibre.com.ar/reporting/activity/detail?id=49793044524" TargetMode="External"/><Relationship Id="rId117" Type="http://schemas.openxmlformats.org/officeDocument/2006/relationships/hyperlink" Target="https://www.mercadolibre.com.ar/reporting/activity/detail?id=49850833260" TargetMode="External"/><Relationship Id="rId671" Type="http://schemas.openxmlformats.org/officeDocument/2006/relationships/hyperlink" Target="https://www.mercadolibre.com.ar/reporting/activity/detail?id=50534099124" TargetMode="External"/><Relationship Id="rId769" Type="http://schemas.openxmlformats.org/officeDocument/2006/relationships/hyperlink" Target="https://www.mercadolibre.com.ar/reporting/activity/detail?id=50575727301" TargetMode="External"/><Relationship Id="rId976" Type="http://schemas.openxmlformats.org/officeDocument/2006/relationships/hyperlink" Target="https://www.mercadolibre.com.ar/reporting/activity/detail?id=50839567259" TargetMode="External"/><Relationship Id="rId324" Type="http://schemas.openxmlformats.org/officeDocument/2006/relationships/hyperlink" Target="https://www.mercadolibre.com.ar/reporting/activity/detail?id=50134332223" TargetMode="External"/><Relationship Id="rId531" Type="http://schemas.openxmlformats.org/officeDocument/2006/relationships/hyperlink" Target="https://www.mercadolibre.com.ar/reporting/activity/detail?id=50405512416" TargetMode="External"/><Relationship Id="rId629" Type="http://schemas.openxmlformats.org/officeDocument/2006/relationships/hyperlink" Target="https://www.mercadolibre.com.ar/reporting/activity/detail?id=50454507088" TargetMode="External"/><Relationship Id="rId1161" Type="http://schemas.openxmlformats.org/officeDocument/2006/relationships/hyperlink" Target="https://www.mercadolibre.com.ar/reporting/activity/detail?id=51078215402" TargetMode="External"/><Relationship Id="rId1259" Type="http://schemas.openxmlformats.org/officeDocument/2006/relationships/hyperlink" Target="https://www.mercadolibre.com.ar/reporting/activity/detail?id=51175803289" TargetMode="External"/><Relationship Id="rId836" Type="http://schemas.openxmlformats.org/officeDocument/2006/relationships/hyperlink" Target="https://www.mercadolibre.com.ar/reporting/activity/detail?id=50752049759" TargetMode="External"/><Relationship Id="rId1021" Type="http://schemas.openxmlformats.org/officeDocument/2006/relationships/hyperlink" Target="https://www.mercadolibre.com.ar/reporting/activity/detail?id=50873083812" TargetMode="External"/><Relationship Id="rId1119" Type="http://schemas.openxmlformats.org/officeDocument/2006/relationships/hyperlink" Target="https://www.mercadolibre.com.ar/reporting/activity/detail?id=51075386088" TargetMode="External"/><Relationship Id="rId903" Type="http://schemas.openxmlformats.org/officeDocument/2006/relationships/hyperlink" Target="https://www.mercadolibre.com.ar/reporting/activity/detail?id=50796828800" TargetMode="External"/><Relationship Id="rId1326" Type="http://schemas.openxmlformats.org/officeDocument/2006/relationships/hyperlink" Target="https://www.mercadolibre.com.ar/reporting/activity/detail?id=49794139898" TargetMode="External"/><Relationship Id="rId32" Type="http://schemas.openxmlformats.org/officeDocument/2006/relationships/hyperlink" Target="https://www.mercadolibre.com.ar/reporting/activity/detail?id=49797633318" TargetMode="External"/><Relationship Id="rId181" Type="http://schemas.openxmlformats.org/officeDocument/2006/relationships/hyperlink" Target="https://www.mercadolibre.com.ar/reporting/activity/detail?id=49897248604" TargetMode="External"/><Relationship Id="rId279" Type="http://schemas.openxmlformats.org/officeDocument/2006/relationships/hyperlink" Target="https://www.mercadolibre.com.ar/reporting/activity/detail?id=50125872524" TargetMode="External"/><Relationship Id="rId486" Type="http://schemas.openxmlformats.org/officeDocument/2006/relationships/hyperlink" Target="https://www.mercadolibre.com.ar/reporting/activity/detail?id=50227723186" TargetMode="External"/><Relationship Id="rId693" Type="http://schemas.openxmlformats.org/officeDocument/2006/relationships/hyperlink" Target="https://www.mercadolibre.com.ar/reporting/activity/detail?id=50539597088" TargetMode="External"/><Relationship Id="rId139" Type="http://schemas.openxmlformats.org/officeDocument/2006/relationships/hyperlink" Target="https://www.mercadolibre.com.ar/reporting/activity/detail?id=49893800980" TargetMode="External"/><Relationship Id="rId346" Type="http://schemas.openxmlformats.org/officeDocument/2006/relationships/hyperlink" Target="https://www.mercadolibre.com.ar/reporting/activity/detail?id=50173522562" TargetMode="External"/><Relationship Id="rId553" Type="http://schemas.openxmlformats.org/officeDocument/2006/relationships/hyperlink" Target="https://www.mercadolibre.com.ar/reporting/activity/detail?id=50447029736" TargetMode="External"/><Relationship Id="rId760" Type="http://schemas.openxmlformats.org/officeDocument/2006/relationships/hyperlink" Target="https://www.mercadolibre.com.ar/reporting/activity/detail?id=50572916804" TargetMode="External"/><Relationship Id="rId998" Type="http://schemas.openxmlformats.org/officeDocument/2006/relationships/hyperlink" Target="https://www.mercadolibre.com.ar/reporting/activity/detail?id=50841190798" TargetMode="External"/><Relationship Id="rId1183" Type="http://schemas.openxmlformats.org/officeDocument/2006/relationships/hyperlink" Target="https://www.mercadolibre.com.ar/reporting/activity/detail?id=51124939066" TargetMode="External"/><Relationship Id="rId206" Type="http://schemas.openxmlformats.org/officeDocument/2006/relationships/hyperlink" Target="https://www.mercadolibre.com.ar/reporting/activity/detail?id=49899554862" TargetMode="External"/><Relationship Id="rId413" Type="http://schemas.openxmlformats.org/officeDocument/2006/relationships/hyperlink" Target="https://www.mercadolibre.com.ar/reporting/activity/detail?id=50183113994" TargetMode="External"/><Relationship Id="rId858" Type="http://schemas.openxmlformats.org/officeDocument/2006/relationships/hyperlink" Target="https://www.mercadolibre.com.ar/reporting/activity/detail?id=50753162858" TargetMode="External"/><Relationship Id="rId1043" Type="http://schemas.openxmlformats.org/officeDocument/2006/relationships/hyperlink" Target="https://www.mercadolibre.com.ar/reporting/activity/detail?id=50876450572" TargetMode="External"/><Relationship Id="rId620" Type="http://schemas.openxmlformats.org/officeDocument/2006/relationships/hyperlink" Target="https://www.mercadolibre.com.ar/reporting/activity/detail?id=50454146244" TargetMode="External"/><Relationship Id="rId718" Type="http://schemas.openxmlformats.org/officeDocument/2006/relationships/hyperlink" Target="https://www.mercadolibre.com.ar/reporting/activity/detail?id=50541440162" TargetMode="External"/><Relationship Id="rId925" Type="http://schemas.openxmlformats.org/officeDocument/2006/relationships/hyperlink" Target="https://www.mercadolibre.com.ar/reporting/activity/detail?id=50799149437" TargetMode="External"/><Relationship Id="rId1250" Type="http://schemas.openxmlformats.org/officeDocument/2006/relationships/hyperlink" Target="https://www.mercadolibre.com.ar/reporting/activity/detail?id=51174333256" TargetMode="External"/><Relationship Id="rId1110" Type="http://schemas.openxmlformats.org/officeDocument/2006/relationships/hyperlink" Target="https://www.mercadolibre.com.ar/reporting/activity/detail?id=51074740234" TargetMode="External"/><Relationship Id="rId1208" Type="http://schemas.openxmlformats.org/officeDocument/2006/relationships/hyperlink" Target="https://www.mercadolibre.com.ar/reporting/activity/detail?id=51128286206" TargetMode="External"/><Relationship Id="rId54" Type="http://schemas.openxmlformats.org/officeDocument/2006/relationships/hyperlink" Target="https://www.mercadolibre.com.ar/reporting/activity/detail?id=49843520018" TargetMode="External"/><Relationship Id="rId270" Type="http://schemas.openxmlformats.org/officeDocument/2006/relationships/hyperlink" Target="https://www.mercadolibre.com.ar/reporting/activity/detail?id=50083265764" TargetMode="External"/><Relationship Id="rId130" Type="http://schemas.openxmlformats.org/officeDocument/2006/relationships/hyperlink" Target="https://www.mercadolibre.com.ar/reporting/activity/detail?id=49890803630" TargetMode="External"/><Relationship Id="rId368" Type="http://schemas.openxmlformats.org/officeDocument/2006/relationships/hyperlink" Target="https://www.mercadolibre.com.ar/reporting/activity/detail?id=50179678027" TargetMode="External"/><Relationship Id="rId575" Type="http://schemas.openxmlformats.org/officeDocument/2006/relationships/hyperlink" Target="https://www.mercadolibre.com.ar/reporting/activity/detail?id=50450383144" TargetMode="External"/><Relationship Id="rId782" Type="http://schemas.openxmlformats.org/officeDocument/2006/relationships/hyperlink" Target="https://www.mercadolibre.com.ar/reporting/activity/detail?id=50706296052" TargetMode="External"/><Relationship Id="rId228" Type="http://schemas.openxmlformats.org/officeDocument/2006/relationships/hyperlink" Target="https://www.mercadolibre.com.ar/reporting/activity/detail?id=49934460793" TargetMode="External"/><Relationship Id="rId435" Type="http://schemas.openxmlformats.org/officeDocument/2006/relationships/hyperlink" Target="https://www.mercadolibre.com.ar/reporting/activity/detail?id=50222755145" TargetMode="External"/><Relationship Id="rId642" Type="http://schemas.openxmlformats.org/officeDocument/2006/relationships/hyperlink" Target="https://www.mercadolibre.com.ar/reporting/activity/detail?id=50495042765" TargetMode="External"/><Relationship Id="rId1065" Type="http://schemas.openxmlformats.org/officeDocument/2006/relationships/hyperlink" Target="https://www.mercadolibre.com.ar/reporting/activity/detail?id=51022869175" TargetMode="External"/><Relationship Id="rId1272" Type="http://schemas.openxmlformats.org/officeDocument/2006/relationships/hyperlink" Target="https://www.mercadolibre.com.ar/reporting/activity/detail?id=51177429153" TargetMode="External"/><Relationship Id="rId502" Type="http://schemas.openxmlformats.org/officeDocument/2006/relationships/hyperlink" Target="https://www.mercadolibre.com.ar/reporting/activity/detail?id=50261066936" TargetMode="External"/><Relationship Id="rId947" Type="http://schemas.openxmlformats.org/officeDocument/2006/relationships/hyperlink" Target="https://www.mercadolibre.com.ar/reporting/activity/detail?id=50836500605" TargetMode="External"/><Relationship Id="rId1132" Type="http://schemas.openxmlformats.org/officeDocument/2006/relationships/hyperlink" Target="https://www.mercadolibre.com.ar/reporting/activity/detail?id=51076333606" TargetMode="External"/><Relationship Id="rId76" Type="http://schemas.openxmlformats.org/officeDocument/2006/relationships/hyperlink" Target="https://www.mercadolibre.com.ar/reporting/activity/detail?id=49847310857" TargetMode="External"/><Relationship Id="rId807" Type="http://schemas.openxmlformats.org/officeDocument/2006/relationships/hyperlink" Target="https://www.mercadolibre.com.ar/reporting/activity/detail?id=50748386198" TargetMode="External"/><Relationship Id="rId292" Type="http://schemas.openxmlformats.org/officeDocument/2006/relationships/hyperlink" Target="https://www.mercadolibre.com.ar/reporting/activity/detail?id=50128900202" TargetMode="External"/><Relationship Id="rId597" Type="http://schemas.openxmlformats.org/officeDocument/2006/relationships/hyperlink" Target="https://www.mercadolibre.com.ar/reporting/activity/detail?id=50452648496" TargetMode="External"/><Relationship Id="rId152" Type="http://schemas.openxmlformats.org/officeDocument/2006/relationships/hyperlink" Target="https://www.mercadolibre.com.ar/reporting/activity/detail?id=49895181470" TargetMode="External"/><Relationship Id="rId457" Type="http://schemas.openxmlformats.org/officeDocument/2006/relationships/hyperlink" Target="https://www.mercadolibre.com.ar/reporting/activity/detail?id=50225581839" TargetMode="External"/><Relationship Id="rId1087" Type="http://schemas.openxmlformats.org/officeDocument/2006/relationships/hyperlink" Target="https://www.mercadolibre.com.ar/reporting/activity/detail?id=51071840848" TargetMode="External"/><Relationship Id="rId1294" Type="http://schemas.openxmlformats.org/officeDocument/2006/relationships/hyperlink" Target="https://www.mercadolibre.com.ar/reporting/activity/detail?id=49748001102" TargetMode="External"/><Relationship Id="rId664" Type="http://schemas.openxmlformats.org/officeDocument/2006/relationships/hyperlink" Target="https://www.mercadolibre.com.ar/reporting/activity/detail?id=50500239812" TargetMode="External"/><Relationship Id="rId871" Type="http://schemas.openxmlformats.org/officeDocument/2006/relationships/hyperlink" Target="https://www.mercadolibre.com.ar/reporting/activity/detail?id=50788957507" TargetMode="External"/><Relationship Id="rId969" Type="http://schemas.openxmlformats.org/officeDocument/2006/relationships/hyperlink" Target="https://www.mercadolibre.com.ar/reporting/activity/detail?id=50838932331" TargetMode="External"/><Relationship Id="rId317" Type="http://schemas.openxmlformats.org/officeDocument/2006/relationships/hyperlink" Target="https://www.mercadolibre.com.ar/reporting/activity/detail?id=50133575867" TargetMode="External"/><Relationship Id="rId524" Type="http://schemas.openxmlformats.org/officeDocument/2006/relationships/hyperlink" Target="https://www.mercadolibre.com.ar/reporting/activity/detail?id=50264646209" TargetMode="External"/><Relationship Id="rId731" Type="http://schemas.openxmlformats.org/officeDocument/2006/relationships/hyperlink" Target="https://www.mercadolibre.com.ar/reporting/activity/detail?id=50542693084" TargetMode="External"/><Relationship Id="rId1154" Type="http://schemas.openxmlformats.org/officeDocument/2006/relationships/hyperlink" Target="https://www.mercadolibre.com.ar/reporting/activity/detail?id=51077884630" TargetMode="External"/><Relationship Id="rId98" Type="http://schemas.openxmlformats.org/officeDocument/2006/relationships/hyperlink" Target="https://www.mercadolibre.com.ar/reporting/activity/detail?id=49849522987" TargetMode="External"/><Relationship Id="rId829" Type="http://schemas.openxmlformats.org/officeDocument/2006/relationships/hyperlink" Target="https://www.mercadolibre.com.ar/reporting/activity/detail?id=50751045854" TargetMode="External"/><Relationship Id="rId1014" Type="http://schemas.openxmlformats.org/officeDocument/2006/relationships/hyperlink" Target="https://www.mercadolibre.com.ar/reporting/activity/detail?id=50870815280" TargetMode="External"/><Relationship Id="rId1221" Type="http://schemas.openxmlformats.org/officeDocument/2006/relationships/hyperlink" Target="https://www.mercadolibre.com.ar/reporting/activity/detail?id=51130512087" TargetMode="External"/><Relationship Id="rId1319" Type="http://schemas.openxmlformats.org/officeDocument/2006/relationships/hyperlink" Target="https://www.mercadolibre.com.ar/reporting/activity/detail?id=49793689456" TargetMode="External"/><Relationship Id="rId25" Type="http://schemas.openxmlformats.org/officeDocument/2006/relationships/hyperlink" Target="https://www.mercadolibre.com.ar/reporting/activity/detail?id=49797292898" TargetMode="External"/><Relationship Id="rId174" Type="http://schemas.openxmlformats.org/officeDocument/2006/relationships/hyperlink" Target="https://www.mercadolibre.com.ar/reporting/activity/detail?id=49896810984" TargetMode="External"/><Relationship Id="rId381" Type="http://schemas.openxmlformats.org/officeDocument/2006/relationships/hyperlink" Target="https://www.mercadolibre.com.ar/reporting/activity/detail?id=50180430461" TargetMode="External"/><Relationship Id="rId241" Type="http://schemas.openxmlformats.org/officeDocument/2006/relationships/hyperlink" Target="https://www.mercadolibre.com.ar/reporting/activity/detail?id=50075117438" TargetMode="External"/><Relationship Id="rId479" Type="http://schemas.openxmlformats.org/officeDocument/2006/relationships/hyperlink" Target="https://www.mercadolibre.com.ar/reporting/activity/detail?id=50227328557" TargetMode="External"/><Relationship Id="rId686" Type="http://schemas.openxmlformats.org/officeDocument/2006/relationships/hyperlink" Target="https://www.mercadolibre.com.ar/reporting/activity/detail?id=50538892358" TargetMode="External"/><Relationship Id="rId893" Type="http://schemas.openxmlformats.org/officeDocument/2006/relationships/hyperlink" Target="https://www.mercadolibre.com.ar/reporting/activity/detail?id=50794951103" TargetMode="External"/><Relationship Id="rId339" Type="http://schemas.openxmlformats.org/officeDocument/2006/relationships/hyperlink" Target="https://www.mercadolibre.com.ar/reporting/activity/detail?id=50135383844" TargetMode="External"/><Relationship Id="rId546" Type="http://schemas.openxmlformats.org/officeDocument/2006/relationships/hyperlink" Target="https://www.mercadolibre.com.ar/reporting/activity/detail?id=50409111894" TargetMode="External"/><Relationship Id="rId753" Type="http://schemas.openxmlformats.org/officeDocument/2006/relationships/hyperlink" Target="https://www.mercadolibre.com.ar/reporting/activity/detail?id=50543896618" TargetMode="External"/><Relationship Id="rId1176" Type="http://schemas.openxmlformats.org/officeDocument/2006/relationships/hyperlink" Target="https://www.mercadolibre.com.ar/reporting/activity/detail?id=51122972630" TargetMode="External"/><Relationship Id="rId101" Type="http://schemas.openxmlformats.org/officeDocument/2006/relationships/hyperlink" Target="https://www.mercadolibre.com.ar/reporting/activity/detail?id=49849700260" TargetMode="External"/><Relationship Id="rId406" Type="http://schemas.openxmlformats.org/officeDocument/2006/relationships/hyperlink" Target="https://www.mercadolibre.com.ar/reporting/activity/detail?id=50182586463" TargetMode="External"/><Relationship Id="rId960" Type="http://schemas.openxmlformats.org/officeDocument/2006/relationships/hyperlink" Target="https://www.mercadolibre.com.ar/reporting/activity/detail?id=50838204116" TargetMode="External"/><Relationship Id="rId1036" Type="http://schemas.openxmlformats.org/officeDocument/2006/relationships/hyperlink" Target="https://www.mercadolibre.com.ar/reporting/activity/detail?id=50875928411" TargetMode="External"/><Relationship Id="rId1243" Type="http://schemas.openxmlformats.org/officeDocument/2006/relationships/hyperlink" Target="https://www.mercadolibre.com.ar/reporting/activity/detail?id=51173438949" TargetMode="External"/><Relationship Id="rId613" Type="http://schemas.openxmlformats.org/officeDocument/2006/relationships/hyperlink" Target="https://www.mercadolibre.com.ar/reporting/activity/detail?id=50453713240" TargetMode="External"/><Relationship Id="rId820" Type="http://schemas.openxmlformats.org/officeDocument/2006/relationships/hyperlink" Target="https://www.mercadolibre.com.ar/reporting/activity/detail?id=50750133601" TargetMode="External"/><Relationship Id="rId918" Type="http://schemas.openxmlformats.org/officeDocument/2006/relationships/hyperlink" Target="https://www.mercadolibre.com.ar/reporting/activity/detail?id=50798328979" TargetMode="External"/><Relationship Id="rId1103" Type="http://schemas.openxmlformats.org/officeDocument/2006/relationships/hyperlink" Target="https://www.mercadolibre.com.ar/reporting/activity/detail?id=51073958760" TargetMode="External"/><Relationship Id="rId1310" Type="http://schemas.openxmlformats.org/officeDocument/2006/relationships/hyperlink" Target="https://www.mercadolibre.com.ar/reporting/activity/detail?id=49792081287" TargetMode="External"/><Relationship Id="rId47" Type="http://schemas.openxmlformats.org/officeDocument/2006/relationships/hyperlink" Target="https://www.mercadolibre.com.ar/reporting/activity/detail?id=49842418140" TargetMode="External"/><Relationship Id="rId196" Type="http://schemas.openxmlformats.org/officeDocument/2006/relationships/hyperlink" Target="https://www.mercadolibre.com.ar/reporting/activity/detail?id=49898692135" TargetMode="External"/><Relationship Id="rId263" Type="http://schemas.openxmlformats.org/officeDocument/2006/relationships/hyperlink" Target="https://www.mercadolibre.com.ar/reporting/activity/detail?id=50082367260" TargetMode="External"/><Relationship Id="rId470" Type="http://schemas.openxmlformats.org/officeDocument/2006/relationships/hyperlink" Target="https://www.mercadolibre.com.ar/reporting/activity/detail?id=50226685520" TargetMode="External"/><Relationship Id="rId123" Type="http://schemas.openxmlformats.org/officeDocument/2006/relationships/hyperlink" Target="https://www.mercadolibre.com.ar/reporting/activity/detail?id=49851504964" TargetMode="External"/><Relationship Id="rId330" Type="http://schemas.openxmlformats.org/officeDocument/2006/relationships/hyperlink" Target="https://www.mercadolibre.com.ar/reporting/activity/detail?id=50134806278" TargetMode="External"/><Relationship Id="rId568" Type="http://schemas.openxmlformats.org/officeDocument/2006/relationships/hyperlink" Target="https://www.mercadolibre.com.ar/reporting/activity/detail?id=50449901972" TargetMode="External"/><Relationship Id="rId775" Type="http://schemas.openxmlformats.org/officeDocument/2006/relationships/hyperlink" Target="https://www.mercadolibre.com.ar/reporting/activity/detail?id=50576979673" TargetMode="External"/><Relationship Id="rId982" Type="http://schemas.openxmlformats.org/officeDocument/2006/relationships/hyperlink" Target="https://www.mercadolibre.com.ar/reporting/activity/detail?id=50839949999" TargetMode="External"/><Relationship Id="rId1198" Type="http://schemas.openxmlformats.org/officeDocument/2006/relationships/hyperlink" Target="https://www.mercadolibre.com.ar/reporting/activity/detail?id=51127463794" TargetMode="External"/><Relationship Id="rId428" Type="http://schemas.openxmlformats.org/officeDocument/2006/relationships/hyperlink" Target="https://www.mercadolibre.com.ar/reporting/activity/detail?id=50220280960" TargetMode="External"/><Relationship Id="rId635" Type="http://schemas.openxmlformats.org/officeDocument/2006/relationships/hyperlink" Target="https://www.mercadolibre.com.ar/reporting/activity/detail?id=50491665963" TargetMode="External"/><Relationship Id="rId842" Type="http://schemas.openxmlformats.org/officeDocument/2006/relationships/hyperlink" Target="https://www.mercadolibre.com.ar/reporting/activity/detail?id=50752350340" TargetMode="External"/><Relationship Id="rId1058" Type="http://schemas.openxmlformats.org/officeDocument/2006/relationships/hyperlink" Target="https://www.mercadolibre.com.ar/reporting/activity/detail?id=51018944973" TargetMode="External"/><Relationship Id="rId1265" Type="http://schemas.openxmlformats.org/officeDocument/2006/relationships/hyperlink" Target="https://www.mercadolibre.com.ar/reporting/activity/detail?id=51176815682" TargetMode="External"/><Relationship Id="rId702" Type="http://schemas.openxmlformats.org/officeDocument/2006/relationships/hyperlink" Target="https://www.mercadolibre.com.ar/reporting/activity/detail?id=50540131160" TargetMode="External"/><Relationship Id="rId1125" Type="http://schemas.openxmlformats.org/officeDocument/2006/relationships/hyperlink" Target="https://www.mercadolibre.com.ar/reporting/activity/detail?id=51075823571" TargetMode="External"/><Relationship Id="rId69" Type="http://schemas.openxmlformats.org/officeDocument/2006/relationships/hyperlink" Target="https://www.mercadolibre.com.ar/reporting/activity/detail?id=49846422962" TargetMode="External"/><Relationship Id="rId285" Type="http://schemas.openxmlformats.org/officeDocument/2006/relationships/hyperlink" Target="https://www.mercadolibre.com.ar/reporting/activity/detail?id=50127870388" TargetMode="External"/><Relationship Id="rId492" Type="http://schemas.openxmlformats.org/officeDocument/2006/relationships/hyperlink" Target="https://www.mercadolibre.com.ar/reporting/activity/detail?id=50228008614" TargetMode="External"/><Relationship Id="rId797" Type="http://schemas.openxmlformats.org/officeDocument/2006/relationships/hyperlink" Target="https://www.mercadolibre.com.ar/reporting/activity/detail?id=50746296538" TargetMode="External"/><Relationship Id="rId145" Type="http://schemas.openxmlformats.org/officeDocument/2006/relationships/hyperlink" Target="https://www.mercadolibre.com.ar/reporting/activity/detail?id=49894630521" TargetMode="External"/><Relationship Id="rId352" Type="http://schemas.openxmlformats.org/officeDocument/2006/relationships/hyperlink" Target="https://www.mercadolibre.com.ar/reporting/activity/detail?id=50177178843" TargetMode="External"/><Relationship Id="rId1287" Type="http://schemas.openxmlformats.org/officeDocument/2006/relationships/hyperlink" Target="https://www.mercadolibre.com.ar/reporting/activity/detail?id=49744545380" TargetMode="External"/><Relationship Id="rId212" Type="http://schemas.openxmlformats.org/officeDocument/2006/relationships/hyperlink" Target="https://www.mercadolibre.com.ar/reporting/activity/detail?id=49899675401" TargetMode="External"/><Relationship Id="rId657" Type="http://schemas.openxmlformats.org/officeDocument/2006/relationships/hyperlink" Target="https://www.mercadolibre.com.ar/reporting/activity/detail?id=50499085507" TargetMode="External"/><Relationship Id="rId864" Type="http://schemas.openxmlformats.org/officeDocument/2006/relationships/hyperlink" Target="https://www.mercadolibre.com.ar/reporting/activity/detail?id=50753306916" TargetMode="External"/><Relationship Id="rId517" Type="http://schemas.openxmlformats.org/officeDocument/2006/relationships/hyperlink" Target="https://www.mercadolibre.com.ar/reporting/activity/detail?id=50263671100" TargetMode="External"/><Relationship Id="rId724" Type="http://schemas.openxmlformats.org/officeDocument/2006/relationships/hyperlink" Target="https://www.mercadolibre.com.ar/reporting/activity/detail?id=50542057276" TargetMode="External"/><Relationship Id="rId931" Type="http://schemas.openxmlformats.org/officeDocument/2006/relationships/hyperlink" Target="https://www.mercadolibre.com.ar/reporting/activity/detail?id=50831905476" TargetMode="External"/><Relationship Id="rId1147" Type="http://schemas.openxmlformats.org/officeDocument/2006/relationships/hyperlink" Target="https://www.mercadolibre.com.ar/reporting/activity/detail?id=51077435770" TargetMode="External"/><Relationship Id="rId60" Type="http://schemas.openxmlformats.org/officeDocument/2006/relationships/hyperlink" Target="https://www.mercadolibre.com.ar/reporting/activity/detail?id=49845044690" TargetMode="External"/><Relationship Id="rId1007" Type="http://schemas.openxmlformats.org/officeDocument/2006/relationships/hyperlink" Target="https://www.mercadolibre.com.ar/reporting/activity/detail?id=50867675313" TargetMode="External"/><Relationship Id="rId1214" Type="http://schemas.openxmlformats.org/officeDocument/2006/relationships/hyperlink" Target="https://www.mercadolibre.com.ar/reporting/activity/detail?id=51129180621" TargetMode="External"/><Relationship Id="rId18" Type="http://schemas.openxmlformats.org/officeDocument/2006/relationships/hyperlink" Target="https://www.mercadolibre.com.ar/reporting/activity/detail?id=49796439850" TargetMode="External"/><Relationship Id="rId167" Type="http://schemas.openxmlformats.org/officeDocument/2006/relationships/hyperlink" Target="https://www.mercadolibre.com.ar/reporting/activity/detail?id=49896428418" TargetMode="External"/><Relationship Id="rId374" Type="http://schemas.openxmlformats.org/officeDocument/2006/relationships/hyperlink" Target="https://www.mercadolibre.com.ar/reporting/activity/detail?id=50179984451" TargetMode="External"/><Relationship Id="rId581" Type="http://schemas.openxmlformats.org/officeDocument/2006/relationships/hyperlink" Target="https://www.mercadolibre.com.ar/reporting/activity/detail?id=50451225428" TargetMode="External"/><Relationship Id="rId234" Type="http://schemas.openxmlformats.org/officeDocument/2006/relationships/hyperlink" Target="https://www.mercadolibre.com.ar/reporting/activity/detail?id=49936922424" TargetMode="External"/><Relationship Id="rId679" Type="http://schemas.openxmlformats.org/officeDocument/2006/relationships/hyperlink" Target="https://www.mercadolibre.com.ar/reporting/activity/detail?id=50536718538" TargetMode="External"/><Relationship Id="rId886" Type="http://schemas.openxmlformats.org/officeDocument/2006/relationships/hyperlink" Target="https://www.mercadolibre.com.ar/reporting/activity/detail?id=50793601620" TargetMode="External"/><Relationship Id="rId2" Type="http://schemas.openxmlformats.org/officeDocument/2006/relationships/hyperlink" Target="https://www.mercadolibre.com.ar/reporting/activity/detail?id=49794893171" TargetMode="External"/><Relationship Id="rId441" Type="http://schemas.openxmlformats.org/officeDocument/2006/relationships/hyperlink" Target="https://www.mercadolibre.com.ar/reporting/activity/detail?id=50223941751" TargetMode="External"/><Relationship Id="rId539" Type="http://schemas.openxmlformats.org/officeDocument/2006/relationships/hyperlink" Target="https://www.mercadolibre.com.ar/reporting/activity/detail?id=50407344619" TargetMode="External"/><Relationship Id="rId746" Type="http://schemas.openxmlformats.org/officeDocument/2006/relationships/hyperlink" Target="https://www.mercadolibre.com.ar/reporting/activity/detail?id=50543602993" TargetMode="External"/><Relationship Id="rId1071" Type="http://schemas.openxmlformats.org/officeDocument/2006/relationships/hyperlink" Target="https://www.mercadolibre.com.ar/reporting/activity/detail?id=51024399946" TargetMode="External"/><Relationship Id="rId1169" Type="http://schemas.openxmlformats.org/officeDocument/2006/relationships/hyperlink" Target="https://www.mercadolibre.com.ar/reporting/activity/detail?id=51119504805" TargetMode="External"/><Relationship Id="rId301" Type="http://schemas.openxmlformats.org/officeDocument/2006/relationships/hyperlink" Target="https://www.mercadolibre.com.ar/reporting/activity/detail?id=50130841942" TargetMode="External"/><Relationship Id="rId953" Type="http://schemas.openxmlformats.org/officeDocument/2006/relationships/hyperlink" Target="https://www.mercadolibre.com.ar/reporting/activity/detail?id=50837286348" TargetMode="External"/><Relationship Id="rId1029" Type="http://schemas.openxmlformats.org/officeDocument/2006/relationships/hyperlink" Target="https://www.mercadolibre.com.ar/reporting/activity/detail?id=50875009859" TargetMode="External"/><Relationship Id="rId1236" Type="http://schemas.openxmlformats.org/officeDocument/2006/relationships/hyperlink" Target="https://www.mercadolibre.com.ar/reporting/activity/detail?id=51169037106" TargetMode="External"/><Relationship Id="rId82" Type="http://schemas.openxmlformats.org/officeDocument/2006/relationships/hyperlink" Target="https://www.mercadolibre.com.ar/reporting/activity/detail?id=49847690566" TargetMode="External"/><Relationship Id="rId606" Type="http://schemas.openxmlformats.org/officeDocument/2006/relationships/hyperlink" Target="https://www.mercadolibre.com.ar/reporting/activity/detail?id=50453223608" TargetMode="External"/><Relationship Id="rId813" Type="http://schemas.openxmlformats.org/officeDocument/2006/relationships/hyperlink" Target="https://www.mercadolibre.com.ar/reporting/activity/detail?id=50748991236" TargetMode="External"/><Relationship Id="rId1303" Type="http://schemas.openxmlformats.org/officeDocument/2006/relationships/hyperlink" Target="https://www.mercadolibre.com.ar/reporting/activity/detail?id=49787756190" TargetMode="External"/><Relationship Id="rId189" Type="http://schemas.openxmlformats.org/officeDocument/2006/relationships/hyperlink" Target="https://www.mercadolibre.com.ar/reporting/activity/detail?id=49897837292" TargetMode="External"/><Relationship Id="rId396" Type="http://schemas.openxmlformats.org/officeDocument/2006/relationships/hyperlink" Target="https://www.mercadolibre.com.ar/reporting/activity/detail?id=50181753852" TargetMode="External"/><Relationship Id="rId256" Type="http://schemas.openxmlformats.org/officeDocument/2006/relationships/hyperlink" Target="https://www.mercadolibre.com.ar/reporting/activity/detail?id=50081677694" TargetMode="External"/><Relationship Id="rId463" Type="http://schemas.openxmlformats.org/officeDocument/2006/relationships/hyperlink" Target="https://www.mercadolibre.com.ar/reporting/activity/detail?id=50226106867" TargetMode="External"/><Relationship Id="rId670" Type="http://schemas.openxmlformats.org/officeDocument/2006/relationships/hyperlink" Target="https://www.mercadolibre.com.ar/reporting/activity/detail?id=50531648506" TargetMode="External"/><Relationship Id="rId1093" Type="http://schemas.openxmlformats.org/officeDocument/2006/relationships/hyperlink" Target="https://www.mercadolibre.com.ar/reporting/activity/detail?id=51072555831" TargetMode="External"/><Relationship Id="rId116" Type="http://schemas.openxmlformats.org/officeDocument/2006/relationships/hyperlink" Target="https://www.mercadolibre.com.ar/reporting/activity/detail?id=49850806682" TargetMode="External"/><Relationship Id="rId323" Type="http://schemas.openxmlformats.org/officeDocument/2006/relationships/hyperlink" Target="https://www.mercadolibre.com.ar/reporting/activity/detail?id=50134303667" TargetMode="External"/><Relationship Id="rId530" Type="http://schemas.openxmlformats.org/officeDocument/2006/relationships/hyperlink" Target="https://www.mercadolibre.com.ar/reporting/activity/detail?id=50404963399" TargetMode="External"/><Relationship Id="rId768" Type="http://schemas.openxmlformats.org/officeDocument/2006/relationships/hyperlink" Target="https://www.mercadolibre.com.ar/reporting/activity/detail?id=50575274627" TargetMode="External"/><Relationship Id="rId975" Type="http://schemas.openxmlformats.org/officeDocument/2006/relationships/hyperlink" Target="https://www.mercadolibre.com.ar/reporting/activity/detail?id=50839335551" TargetMode="External"/><Relationship Id="rId1160" Type="http://schemas.openxmlformats.org/officeDocument/2006/relationships/hyperlink" Target="https://www.mercadolibre.com.ar/reporting/activity/detail?id=51078187330" TargetMode="External"/><Relationship Id="rId628" Type="http://schemas.openxmlformats.org/officeDocument/2006/relationships/hyperlink" Target="https://www.mercadolibre.com.ar/reporting/activity/detail?id=50454494296" TargetMode="External"/><Relationship Id="rId835" Type="http://schemas.openxmlformats.org/officeDocument/2006/relationships/hyperlink" Target="https://www.mercadolibre.com.ar/reporting/activity/detail?id=50751993496" TargetMode="External"/><Relationship Id="rId1258" Type="http://schemas.openxmlformats.org/officeDocument/2006/relationships/hyperlink" Target="https://www.mercadolibre.com.ar/reporting/activity/detail?id=51175427367" TargetMode="External"/><Relationship Id="rId1020" Type="http://schemas.openxmlformats.org/officeDocument/2006/relationships/hyperlink" Target="https://www.mercadolibre.com.ar/reporting/activity/detail?id=50872996938" TargetMode="External"/><Relationship Id="rId1118" Type="http://schemas.openxmlformats.org/officeDocument/2006/relationships/hyperlink" Target="https://www.mercadolibre.com.ar/reporting/activity/detail?id=51075365368" TargetMode="External"/><Relationship Id="rId1325" Type="http://schemas.openxmlformats.org/officeDocument/2006/relationships/hyperlink" Target="https://www.mercadolibre.com.ar/reporting/activity/detail?id=49794116789" TargetMode="External"/><Relationship Id="rId902" Type="http://schemas.openxmlformats.org/officeDocument/2006/relationships/hyperlink" Target="https://www.mercadolibre.com.ar/reporting/activity/detail?id=50796165946" TargetMode="External"/><Relationship Id="rId31" Type="http://schemas.openxmlformats.org/officeDocument/2006/relationships/hyperlink" Target="https://www.mercadolibre.com.ar/reporting/activity/detail?id=49797627400" TargetMode="External"/><Relationship Id="rId180" Type="http://schemas.openxmlformats.org/officeDocument/2006/relationships/hyperlink" Target="https://www.mercadolibre.com.ar/reporting/activity/detail?id=49897234549" TargetMode="External"/><Relationship Id="rId278" Type="http://schemas.openxmlformats.org/officeDocument/2006/relationships/hyperlink" Target="https://www.mercadolibre.com.ar/reporting/activity/detail?id=50086005555" TargetMode="External"/><Relationship Id="rId485" Type="http://schemas.openxmlformats.org/officeDocument/2006/relationships/hyperlink" Target="https://www.mercadolibre.com.ar/reporting/activity/detail?id=50227692515" TargetMode="External"/><Relationship Id="rId692" Type="http://schemas.openxmlformats.org/officeDocument/2006/relationships/hyperlink" Target="https://www.mercadolibre.com.ar/reporting/activity/detail?id=50539523037" TargetMode="External"/><Relationship Id="rId138" Type="http://schemas.openxmlformats.org/officeDocument/2006/relationships/hyperlink" Target="https://www.mercadolibre.com.ar/reporting/activity/detail?id=49893428573" TargetMode="External"/><Relationship Id="rId345" Type="http://schemas.openxmlformats.org/officeDocument/2006/relationships/hyperlink" Target="https://www.mercadolibre.com.ar/reporting/activity/detail?id=50173492652" TargetMode="External"/><Relationship Id="rId552" Type="http://schemas.openxmlformats.org/officeDocument/2006/relationships/hyperlink" Target="https://www.mercadolibre.com.ar/reporting/activity/detail?id=50446758699" TargetMode="External"/><Relationship Id="rId997" Type="http://schemas.openxmlformats.org/officeDocument/2006/relationships/hyperlink" Target="https://www.mercadolibre.com.ar/reporting/activity/detail?id=50841189629" TargetMode="External"/><Relationship Id="rId1182" Type="http://schemas.openxmlformats.org/officeDocument/2006/relationships/hyperlink" Target="https://www.mercadolibre.com.ar/reporting/activity/detail?id=51124884034" TargetMode="External"/><Relationship Id="rId205" Type="http://schemas.openxmlformats.org/officeDocument/2006/relationships/hyperlink" Target="https://www.mercadolibre.com.ar/reporting/activity/detail?id=49899454425" TargetMode="External"/><Relationship Id="rId412" Type="http://schemas.openxmlformats.org/officeDocument/2006/relationships/hyperlink" Target="https://www.mercadolibre.com.ar/reporting/activity/detail?id=50183107224" TargetMode="External"/><Relationship Id="rId857" Type="http://schemas.openxmlformats.org/officeDocument/2006/relationships/hyperlink" Target="https://www.mercadolibre.com.ar/reporting/activity/detail?id=50753058949" TargetMode="External"/><Relationship Id="rId1042" Type="http://schemas.openxmlformats.org/officeDocument/2006/relationships/hyperlink" Target="https://www.mercadolibre.com.ar/reporting/activity/detail?id=50876335129" TargetMode="External"/><Relationship Id="rId717" Type="http://schemas.openxmlformats.org/officeDocument/2006/relationships/hyperlink" Target="https://www.mercadolibre.com.ar/reporting/activity/detail?id=50541337948" TargetMode="External"/><Relationship Id="rId924" Type="http://schemas.openxmlformats.org/officeDocument/2006/relationships/hyperlink" Target="https://www.mercadolibre.com.ar/reporting/activity/detail?id=50799064101" TargetMode="External"/><Relationship Id="rId53" Type="http://schemas.openxmlformats.org/officeDocument/2006/relationships/hyperlink" Target="https://www.mercadolibre.com.ar/reporting/activity/detail?id=49843455243" TargetMode="External"/><Relationship Id="rId1207" Type="http://schemas.openxmlformats.org/officeDocument/2006/relationships/hyperlink" Target="https://www.mercadolibre.com.ar/reporting/activity/detail?id=51128228251" TargetMode="External"/><Relationship Id="rId367" Type="http://schemas.openxmlformats.org/officeDocument/2006/relationships/hyperlink" Target="https://www.mercadolibre.com.ar/reporting/activity/detail?id=50179333472" TargetMode="External"/><Relationship Id="rId574" Type="http://schemas.openxmlformats.org/officeDocument/2006/relationships/hyperlink" Target="https://www.mercadolibre.com.ar/reporting/activity/detail?id=50450349686" TargetMode="External"/><Relationship Id="rId227" Type="http://schemas.openxmlformats.org/officeDocument/2006/relationships/hyperlink" Target="https://www.mercadolibre.com.ar/reporting/activity/detail?id=49934400194" TargetMode="External"/><Relationship Id="rId781" Type="http://schemas.openxmlformats.org/officeDocument/2006/relationships/hyperlink" Target="https://www.mercadolibre.com.ar/reporting/activity/detail?id=50703754452" TargetMode="External"/><Relationship Id="rId879" Type="http://schemas.openxmlformats.org/officeDocument/2006/relationships/hyperlink" Target="https://www.mercadolibre.com.ar/reporting/activity/detail?id=50791952788" TargetMode="External"/><Relationship Id="rId434" Type="http://schemas.openxmlformats.org/officeDocument/2006/relationships/hyperlink" Target="https://www.mercadolibre.com.ar/reporting/activity/detail?id=50222457171" TargetMode="External"/><Relationship Id="rId641" Type="http://schemas.openxmlformats.org/officeDocument/2006/relationships/hyperlink" Target="https://www.mercadolibre.com.ar/reporting/activity/detail?id=50494893441" TargetMode="External"/><Relationship Id="rId739" Type="http://schemas.openxmlformats.org/officeDocument/2006/relationships/hyperlink" Target="https://www.mercadolibre.com.ar/reporting/activity/detail?id=50543225135" TargetMode="External"/><Relationship Id="rId1064" Type="http://schemas.openxmlformats.org/officeDocument/2006/relationships/hyperlink" Target="https://www.mercadolibre.com.ar/reporting/activity/detail?id=51022672306" TargetMode="External"/><Relationship Id="rId1271" Type="http://schemas.openxmlformats.org/officeDocument/2006/relationships/hyperlink" Target="https://www.mercadolibre.com.ar/reporting/activity/detail?id=51177398066" TargetMode="External"/><Relationship Id="rId501" Type="http://schemas.openxmlformats.org/officeDocument/2006/relationships/hyperlink" Target="https://www.mercadolibre.com.ar/reporting/activity/detail?id=50260837242" TargetMode="External"/><Relationship Id="rId946" Type="http://schemas.openxmlformats.org/officeDocument/2006/relationships/hyperlink" Target="https://www.mercadolibre.com.ar/reporting/activity/detail?id=50836494393" TargetMode="External"/><Relationship Id="rId1131" Type="http://schemas.openxmlformats.org/officeDocument/2006/relationships/hyperlink" Target="https://www.mercadolibre.com.ar/reporting/activity/detail?id=51076271763" TargetMode="External"/><Relationship Id="rId1229" Type="http://schemas.openxmlformats.org/officeDocument/2006/relationships/hyperlink" Target="https://www.mercadolibre.com.ar/reporting/activity/detail?id=51131461603" TargetMode="External"/><Relationship Id="rId75" Type="http://schemas.openxmlformats.org/officeDocument/2006/relationships/hyperlink" Target="https://www.mercadolibre.com.ar/reporting/activity/detail?id=49847122305" TargetMode="External"/><Relationship Id="rId806" Type="http://schemas.openxmlformats.org/officeDocument/2006/relationships/hyperlink" Target="https://www.mercadolibre.com.ar/reporting/activity/detail?id=50748240847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pago.com.ar/banking/mov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R1586"/>
  <sheetViews>
    <sheetView zoomScale="85" zoomScaleNormal="85" workbookViewId="0">
      <pane xSplit="2" ySplit="4" topLeftCell="C5" activePane="bottomRight" state="frozen"/>
      <selection activeCell="B1542" sqref="B1542"/>
      <selection pane="topRight" activeCell="B1542" sqref="B1542"/>
      <selection pane="bottomLeft" activeCell="B1542" sqref="B1542"/>
      <selection pane="bottomRight" activeCell="M828" sqref="M828"/>
    </sheetView>
  </sheetViews>
  <sheetFormatPr baseColWidth="10" defaultColWidth="9.140625" defaultRowHeight="15"/>
  <cols>
    <col min="1" max="1" width="17.7109375" customWidth="1"/>
    <col min="2" max="2" width="35" customWidth="1"/>
    <col min="3" max="3" width="20.5703125" customWidth="1"/>
    <col min="4" max="4" width="26" style="4" customWidth="1"/>
    <col min="5" max="5" width="28.5703125" style="4" hidden="1" customWidth="1"/>
    <col min="6" max="6" width="17.5703125" bestFit="1" customWidth="1"/>
    <col min="7" max="7" width="14.85546875" style="4" customWidth="1"/>
    <col min="8" max="8" width="12" style="4" customWidth="1"/>
    <col min="9" max="9" width="13.7109375" style="4" customWidth="1"/>
    <col min="10" max="10" width="16.5703125" style="4" bestFit="1" customWidth="1"/>
    <col min="11" max="12" width="11.5703125" style="4" bestFit="1" customWidth="1"/>
    <col min="13" max="13" width="15.28515625" style="4" bestFit="1" customWidth="1"/>
    <col min="14" max="14" width="9.140625" style="4"/>
    <col min="15" max="15" width="29.28515625" bestFit="1" customWidth="1"/>
    <col min="17" max="17" width="12.85546875" bestFit="1" customWidth="1"/>
    <col min="18" max="18" width="13.140625" bestFit="1" customWidth="1"/>
  </cols>
  <sheetData>
    <row r="1" spans="1:18">
      <c r="A1" s="1" t="s">
        <v>0</v>
      </c>
      <c r="B1" s="1" t="s">
        <v>1</v>
      </c>
      <c r="C1" s="1" t="s">
        <v>2</v>
      </c>
      <c r="D1" s="4" t="s">
        <v>3</v>
      </c>
    </row>
    <row r="2" spans="1:18">
      <c r="A2" s="3">
        <v>12889777.09</v>
      </c>
      <c r="B2" s="3">
        <v>32094654.579999998</v>
      </c>
      <c r="C2" s="3">
        <v>-34101823.159999996</v>
      </c>
      <c r="D2" s="111">
        <v>10882608.51</v>
      </c>
    </row>
    <row r="3" spans="1:18">
      <c r="A3" s="1" t="s">
        <v>8</v>
      </c>
    </row>
    <row r="4" spans="1:18">
      <c r="A4" s="1" t="s">
        <v>9</v>
      </c>
      <c r="B4" s="1" t="s">
        <v>10</v>
      </c>
      <c r="C4" s="91" t="s">
        <v>11</v>
      </c>
      <c r="D4" s="4" t="s">
        <v>12</v>
      </c>
      <c r="E4" s="4" t="s">
        <v>13</v>
      </c>
      <c r="F4" s="4" t="s">
        <v>2729</v>
      </c>
      <c r="G4" s="4" t="s">
        <v>2730</v>
      </c>
      <c r="H4" s="4" t="s">
        <v>2731</v>
      </c>
      <c r="I4" s="4" t="s">
        <v>2744</v>
      </c>
      <c r="J4" s="4" t="s">
        <v>2745</v>
      </c>
      <c r="K4" s="4" t="s">
        <v>2746</v>
      </c>
      <c r="L4" s="4" t="s">
        <v>2747</v>
      </c>
      <c r="M4" s="121" t="s">
        <v>2748</v>
      </c>
      <c r="O4" s="4" t="s">
        <v>2749</v>
      </c>
    </row>
    <row r="5" spans="1:18" hidden="1">
      <c r="A5" s="1" t="s">
        <v>14</v>
      </c>
      <c r="B5" s="1" t="s">
        <v>15</v>
      </c>
      <c r="C5" s="91">
        <v>123864040285</v>
      </c>
      <c r="D5" s="3">
        <v>14614.5</v>
      </c>
      <c r="E5" s="3">
        <v>12904391.59</v>
      </c>
      <c r="F5" s="35" t="s">
        <v>2750</v>
      </c>
      <c r="G5" s="35"/>
      <c r="H5" s="35"/>
      <c r="I5" s="27">
        <f>-IFERROR(VLOOKUP(C5,SIRCUPA!$A$21:$H$155,8,0),0)</f>
        <v>0</v>
      </c>
      <c r="J5" s="88">
        <f>-IFERROR(VLOOKUP(C5,SIRTAC!$A$16:$H$1288,8,0),0)</f>
        <v>-150</v>
      </c>
      <c r="K5" s="88">
        <f>-IFERROR(VLOOKUP(C5,Gastos!$A$9:$J$1281,10,0),0)</f>
        <v>-145.5</v>
      </c>
      <c r="L5" s="87">
        <v>-90</v>
      </c>
      <c r="M5" s="122">
        <f>+D5-I5-J5-K5-L5</f>
        <v>15000</v>
      </c>
      <c r="N5" s="35"/>
      <c r="P5">
        <f>+L5/0.006</f>
        <v>-15000</v>
      </c>
      <c r="Q5" s="66">
        <f>+M5+P5</f>
        <v>0</v>
      </c>
    </row>
    <row r="6" spans="1:18" hidden="1">
      <c r="A6" s="1" t="s">
        <v>14</v>
      </c>
      <c r="B6" s="1" t="s">
        <v>15</v>
      </c>
      <c r="C6" s="91">
        <v>123868184561</v>
      </c>
      <c r="D6" s="3">
        <v>9743</v>
      </c>
      <c r="E6" s="3">
        <v>12967685.609999999</v>
      </c>
      <c r="F6" s="35" t="s">
        <v>2750</v>
      </c>
      <c r="G6" s="35"/>
      <c r="H6" s="35"/>
      <c r="I6" s="27">
        <f>-IFERROR(VLOOKUP(C6,SIRCUPA!$A$21:$H$155,8,0),0)</f>
        <v>0</v>
      </c>
      <c r="J6" s="88">
        <f>-IFERROR(VLOOKUP(C6,SIRTAC!$A$16:$H$1288,8,0),0)</f>
        <v>-100</v>
      </c>
      <c r="K6" s="88">
        <f>-IFERROR(VLOOKUP(C6,Gastos!$A$9:$J$1281,10,0),0)</f>
        <v>-97</v>
      </c>
      <c r="L6" s="87">
        <f>-IFERROR(VLOOKUP(C6,IDC!$A$25:$H$1532,8,0),0)</f>
        <v>-60</v>
      </c>
      <c r="M6" s="122">
        <f t="shared" ref="M6:M7" si="0">+D6-I6-J6-K6-L6</f>
        <v>10000</v>
      </c>
      <c r="N6" s="35"/>
      <c r="P6" s="35">
        <f t="shared" ref="P6:P10" si="1">+L6/0.006</f>
        <v>-10000</v>
      </c>
      <c r="Q6" s="66">
        <f t="shared" ref="Q6:Q11" si="2">+M6+P6</f>
        <v>0</v>
      </c>
    </row>
    <row r="7" spans="1:18" hidden="1">
      <c r="A7" s="1" t="s">
        <v>14</v>
      </c>
      <c r="B7" s="1" t="s">
        <v>15</v>
      </c>
      <c r="C7" s="91">
        <v>123868170745</v>
      </c>
      <c r="D7" s="3">
        <v>13153.05</v>
      </c>
      <c r="E7" s="3">
        <v>12980838.66</v>
      </c>
      <c r="F7" s="35" t="s">
        <v>2750</v>
      </c>
      <c r="G7" s="35"/>
      <c r="H7" s="35"/>
      <c r="I7" s="27">
        <f>-IFERROR(VLOOKUP(C7,SIRCUPA!$A$21:$H$155,8,0),0)</f>
        <v>0</v>
      </c>
      <c r="J7" s="88">
        <f>-IFERROR(VLOOKUP(C7,SIRTAC!$A$16:$H$1288,8,0),0)</f>
        <v>-135</v>
      </c>
      <c r="K7" s="88">
        <f>-IFERROR(VLOOKUP(C7,Gastos!$A$9:$J$1281,10,0),0)</f>
        <v>-130.94999999999999</v>
      </c>
      <c r="L7" s="87">
        <f>-IFERROR(VLOOKUP(C7,IDC!$A$25:$H$1532,8,0),0)</f>
        <v>-81</v>
      </c>
      <c r="M7" s="122">
        <f t="shared" si="0"/>
        <v>13500</v>
      </c>
      <c r="N7" s="35"/>
      <c r="P7" s="35">
        <f t="shared" si="1"/>
        <v>-13500</v>
      </c>
      <c r="Q7" s="66">
        <f t="shared" si="2"/>
        <v>0</v>
      </c>
    </row>
    <row r="8" spans="1:18" hidden="1">
      <c r="A8" s="1" t="s">
        <v>14</v>
      </c>
      <c r="B8" s="1" t="s">
        <v>15</v>
      </c>
      <c r="C8" s="91">
        <v>123864645949</v>
      </c>
      <c r="D8" s="3">
        <v>17050.25</v>
      </c>
      <c r="E8" s="3">
        <v>12921441.84</v>
      </c>
      <c r="F8" s="35" t="s">
        <v>2750</v>
      </c>
      <c r="G8" s="35"/>
      <c r="H8" s="35"/>
      <c r="I8" s="27">
        <f>-IFERROR(VLOOKUP(C8,SIRCUPA!$A$21:$H$155,8,0),0)</f>
        <v>0</v>
      </c>
      <c r="J8" s="88">
        <f>-IFERROR(VLOOKUP(C8,SIRTAC!$A$16:$H$1288,8,0),0)</f>
        <v>-175</v>
      </c>
      <c r="K8" s="88">
        <f>-IFERROR(VLOOKUP(C8,Gastos!$A$9:$J$1281,10,0),0)</f>
        <v>-169.75</v>
      </c>
      <c r="L8" s="87">
        <v>-105</v>
      </c>
      <c r="M8" s="122">
        <f>+D8-I8-J8-K8-L8</f>
        <v>17500</v>
      </c>
      <c r="N8" s="35"/>
      <c r="P8" s="35">
        <f t="shared" si="1"/>
        <v>-17500</v>
      </c>
      <c r="Q8" s="66">
        <f t="shared" si="2"/>
        <v>0</v>
      </c>
    </row>
    <row r="9" spans="1:18" hidden="1">
      <c r="A9" s="1" t="s">
        <v>14</v>
      </c>
      <c r="B9" s="1" t="s">
        <v>15</v>
      </c>
      <c r="C9" s="91">
        <v>124407346652</v>
      </c>
      <c r="D9" s="3">
        <v>11984.28</v>
      </c>
      <c r="E9" s="3">
        <v>12933426.119999999</v>
      </c>
      <c r="F9" s="35" t="s">
        <v>2750</v>
      </c>
      <c r="G9"/>
      <c r="H9"/>
      <c r="I9" s="27">
        <f>-IFERROR(VLOOKUP(C9,SIRCUPA!$A$21:$H$155,8,0),0)</f>
        <v>0</v>
      </c>
      <c r="J9" s="88">
        <f>-IFERROR(VLOOKUP(C9,SIRTAC!$A$16:$H$1288,8,0),0)</f>
        <v>-132</v>
      </c>
      <c r="K9" s="88">
        <f>-IFERROR(VLOOKUP(C9,Gastos!$A$9:$J$1281,10,0),0)</f>
        <v>-1004.52</v>
      </c>
      <c r="L9" s="87">
        <v>-79.2</v>
      </c>
      <c r="M9" s="122">
        <f>+D9-I9-J9-K9-L9</f>
        <v>13200.000000000002</v>
      </c>
      <c r="N9"/>
      <c r="P9" s="35">
        <f t="shared" si="1"/>
        <v>-13200</v>
      </c>
      <c r="Q9" s="66">
        <f t="shared" si="2"/>
        <v>0</v>
      </c>
    </row>
    <row r="10" spans="1:18" hidden="1">
      <c r="A10" s="1" t="s">
        <v>14</v>
      </c>
      <c r="B10" s="1" t="s">
        <v>19</v>
      </c>
      <c r="C10" s="91">
        <v>123865265509</v>
      </c>
      <c r="D10" s="2">
        <v>646.14</v>
      </c>
      <c r="E10" s="3">
        <v>12934072.26</v>
      </c>
      <c r="F10" s="2" t="s">
        <v>2750</v>
      </c>
      <c r="G10"/>
      <c r="H10"/>
      <c r="I10" s="27">
        <f>-IFERROR(VLOOKUP(C10,SIRCUPA!$A$21:$H$155,8,0),0)</f>
        <v>-9.9</v>
      </c>
      <c r="J10" s="88">
        <f>-IFERROR(VLOOKUP(C10,SIRTAC!$A$16:$H$1288,8,0),0)</f>
        <v>0</v>
      </c>
      <c r="K10" s="88">
        <f>-IFERROR(VLOOKUP(C10,Gastos!$A$9:$J$1281,10,0),0)</f>
        <v>0</v>
      </c>
      <c r="L10" s="87">
        <v>-3.96</v>
      </c>
      <c r="M10" s="122">
        <f>+D10-I10-J10-K10-L10</f>
        <v>660</v>
      </c>
      <c r="N10"/>
      <c r="P10" s="35">
        <f t="shared" si="1"/>
        <v>-660</v>
      </c>
      <c r="Q10" s="66">
        <f t="shared" si="2"/>
        <v>0</v>
      </c>
    </row>
    <row r="11" spans="1:18" hidden="1">
      <c r="A11" s="1" t="s">
        <v>14</v>
      </c>
      <c r="B11" s="1" t="s">
        <v>15</v>
      </c>
      <c r="C11" s="91">
        <v>124407749182</v>
      </c>
      <c r="D11" s="3">
        <v>23870.35</v>
      </c>
      <c r="E11" s="3">
        <v>12957942.609999999</v>
      </c>
      <c r="F11" s="35" t="s">
        <v>2750</v>
      </c>
      <c r="G11"/>
      <c r="H11"/>
      <c r="I11" s="103">
        <f>-IFERROR(VLOOKUP(C11,SIRCUPA!$A$21:$H$155,8,0),0)</f>
        <v>0</v>
      </c>
      <c r="J11" s="104">
        <f>-IFERROR(VLOOKUP(C11,SIRTAC!$A$16:$H$1288,8,0),0)</f>
        <v>-245</v>
      </c>
      <c r="K11" s="104">
        <f>-IFERROR(VLOOKUP(C11,Gastos!$A$9:$J$1281,10,0),0)</f>
        <v>-237.65</v>
      </c>
      <c r="L11" s="104">
        <v>-147</v>
      </c>
      <c r="M11" s="122">
        <f>+D11-I11-J11-K11-L11</f>
        <v>24500</v>
      </c>
      <c r="N11"/>
      <c r="P11" s="35">
        <f>+J11/0.01</f>
        <v>-24500</v>
      </c>
      <c r="Q11" s="66">
        <f t="shared" si="2"/>
        <v>0</v>
      </c>
    </row>
    <row r="12" spans="1:18" hidden="1">
      <c r="A12" s="35" t="s">
        <v>1198</v>
      </c>
      <c r="B12" s="35" t="s">
        <v>1263</v>
      </c>
      <c r="C12" s="91">
        <v>127068860180</v>
      </c>
      <c r="D12" s="34">
        <v>-89532.99</v>
      </c>
      <c r="E12" s="4">
        <v>11473138</v>
      </c>
      <c r="F12" s="35" t="s">
        <v>2751</v>
      </c>
      <c r="G12" s="4">
        <f t="shared" ref="G12:G20" si="3">+D12/1.006</f>
        <v>-88998.99602385686</v>
      </c>
      <c r="H12" s="4">
        <f t="shared" ref="H12:H20" si="4">+D12-G12</f>
        <v>-533.99397614314512</v>
      </c>
      <c r="I12" s="27">
        <f>-IFERROR(VLOOKUP(C12,SIRCUPA!$A$21:$H$155,8,0),0)</f>
        <v>0</v>
      </c>
      <c r="J12" s="88">
        <f>-IFERROR(VLOOKUP(C12,SIRTAC!$A$16:$H$1288,8,0),0)</f>
        <v>0</v>
      </c>
      <c r="K12" s="88">
        <f>-IFERROR(VLOOKUP(C12,Gastos!$A$9:$J$1281,10,0),0)</f>
        <v>0</v>
      </c>
      <c r="L12" s="87">
        <f>+D12-G12</f>
        <v>-533.99397614314512</v>
      </c>
      <c r="M12" s="121">
        <f>+D12-I12-J12-K12-L12</f>
        <v>-88998.99602385686</v>
      </c>
      <c r="O12" s="35" t="s">
        <v>1740</v>
      </c>
      <c r="P12" s="35"/>
      <c r="Q12" s="35">
        <f>+L12/0.006</f>
        <v>-88998.996023857515</v>
      </c>
      <c r="R12" s="66">
        <f>+M12-Q12</f>
        <v>6.5483618527650833E-10</v>
      </c>
    </row>
    <row r="13" spans="1:18" hidden="1">
      <c r="A13" s="35" t="s">
        <v>1282</v>
      </c>
      <c r="B13" s="35" t="s">
        <v>1263</v>
      </c>
      <c r="C13" s="91">
        <v>127126561178</v>
      </c>
      <c r="D13" s="34">
        <v>-89532.99</v>
      </c>
      <c r="E13" s="4">
        <v>9722452.4499999993</v>
      </c>
      <c r="F13" s="35" t="s">
        <v>2751</v>
      </c>
      <c r="G13" s="4">
        <f t="shared" si="3"/>
        <v>-88998.99602385686</v>
      </c>
      <c r="H13" s="4">
        <f t="shared" si="4"/>
        <v>-533.99397614314512</v>
      </c>
      <c r="I13" s="27">
        <f>-IFERROR(VLOOKUP(C13,SIRCUPA!$A$21:$H$155,8,0),0)</f>
        <v>0</v>
      </c>
      <c r="J13" s="88">
        <f>-IFERROR(VLOOKUP(C13,SIRTAC!$A$16:$H$1288,8,0),0)</f>
        <v>0</v>
      </c>
      <c r="K13" s="88">
        <f>-IFERROR(VLOOKUP(C13,Gastos!$A$9:$J$1281,10,0),0)</f>
        <v>0</v>
      </c>
      <c r="L13" s="87">
        <f>+D13-G13</f>
        <v>-533.99397614314512</v>
      </c>
      <c r="M13" s="121">
        <f t="shared" ref="M13:M20" si="5">+D13-I13-J13-K13-L13</f>
        <v>-88998.99602385686</v>
      </c>
      <c r="O13" s="35" t="s">
        <v>1740</v>
      </c>
      <c r="P13" s="35"/>
      <c r="Q13" s="35">
        <f t="shared" ref="Q13:Q20" si="6">+L13/0.006</f>
        <v>-88998.996023857515</v>
      </c>
      <c r="R13" s="66">
        <f t="shared" ref="R13:R31" si="7">+M13-Q13</f>
        <v>6.5483618527650833E-10</v>
      </c>
    </row>
    <row r="14" spans="1:18" hidden="1">
      <c r="A14" s="35" t="s">
        <v>903</v>
      </c>
      <c r="B14" s="35" t="s">
        <v>920</v>
      </c>
      <c r="C14" s="91">
        <v>125728344293</v>
      </c>
      <c r="D14" s="3">
        <v>-103632.08</v>
      </c>
      <c r="E14" s="3">
        <v>12303049</v>
      </c>
      <c r="F14" s="35" t="s">
        <v>2751</v>
      </c>
      <c r="G14" s="4">
        <f t="shared" si="3"/>
        <v>-103013.99602385686</v>
      </c>
      <c r="H14" s="4">
        <f t="shared" si="4"/>
        <v>-618.08397614314163</v>
      </c>
      <c r="I14" s="27">
        <f>-IFERROR(VLOOKUP(C14,SIRCUPA!$A$21:$H$155,8,0),0)</f>
        <v>0</v>
      </c>
      <c r="J14" s="88">
        <f>-IFERROR(VLOOKUP(C14,SIRTAC!$A$16:$H$1288,8,0),0)</f>
        <v>0</v>
      </c>
      <c r="K14" s="88">
        <f>-IFERROR(VLOOKUP(C14,Gastos!$A$9:$J$1281,10,0),0)</f>
        <v>0</v>
      </c>
      <c r="L14" s="87">
        <f>-IFERROR(VLOOKUP(C14,IDC!$A$25:$H$1532,8,0),0)</f>
        <v>-618.08000000000004</v>
      </c>
      <c r="M14" s="121">
        <f t="shared" si="5"/>
        <v>-103014</v>
      </c>
      <c r="O14" s="35" t="s">
        <v>1743</v>
      </c>
      <c r="Q14" s="35">
        <f t="shared" si="6"/>
        <v>-103013.33333333334</v>
      </c>
      <c r="R14" s="66">
        <f t="shared" si="7"/>
        <v>-0.66666666665696539</v>
      </c>
    </row>
    <row r="15" spans="1:18" hidden="1">
      <c r="A15" s="35" t="s">
        <v>1030</v>
      </c>
      <c r="B15" s="35" t="s">
        <v>1083</v>
      </c>
      <c r="C15" s="91">
        <v>126810642450</v>
      </c>
      <c r="D15" s="3">
        <v>-220425.67</v>
      </c>
      <c r="E15" s="3">
        <v>7333939.3399999999</v>
      </c>
      <c r="F15" s="35" t="s">
        <v>2751</v>
      </c>
      <c r="G15" s="4">
        <f t="shared" si="3"/>
        <v>-219111.00397614314</v>
      </c>
      <c r="H15" s="4">
        <f t="shared" si="4"/>
        <v>-1314.6660238568729</v>
      </c>
      <c r="I15" s="27">
        <f>-IFERROR(VLOOKUP(C15,SIRCUPA!$A$21:$H$155,8,0),0)</f>
        <v>0</v>
      </c>
      <c r="J15" s="88">
        <f>-IFERROR(VLOOKUP(C15,SIRTAC!$A$16:$H$1288,8,0),0)</f>
        <v>0</v>
      </c>
      <c r="K15" s="88">
        <f>-IFERROR(VLOOKUP(C15,Gastos!$A$9:$J$1281,10,0),0)</f>
        <v>0</v>
      </c>
      <c r="L15" s="87">
        <f>+D15-G15</f>
        <v>-1314.6660238568729</v>
      </c>
      <c r="M15" s="121">
        <f t="shared" si="5"/>
        <v>-219111.00397614314</v>
      </c>
      <c r="O15" s="35" t="s">
        <v>1739</v>
      </c>
      <c r="P15" s="35"/>
      <c r="Q15" s="35">
        <f t="shared" si="6"/>
        <v>-219111.0039761455</v>
      </c>
      <c r="R15" s="66">
        <f t="shared" si="7"/>
        <v>2.35741026699543E-9</v>
      </c>
    </row>
    <row r="16" spans="1:18" hidden="1">
      <c r="A16" s="35" t="s">
        <v>1282</v>
      </c>
      <c r="B16" s="35" t="s">
        <v>1083</v>
      </c>
      <c r="C16" s="91">
        <v>127126683578</v>
      </c>
      <c r="D16" s="3">
        <v>-220425.67</v>
      </c>
      <c r="E16" s="3">
        <v>9502026.7799999993</v>
      </c>
      <c r="F16" s="35" t="s">
        <v>2751</v>
      </c>
      <c r="G16" s="4">
        <f t="shared" si="3"/>
        <v>-219111.00397614314</v>
      </c>
      <c r="H16" s="4">
        <f t="shared" si="4"/>
        <v>-1314.6660238568729</v>
      </c>
      <c r="I16" s="27">
        <f>-IFERROR(VLOOKUP(C16,SIRCUPA!$A$21:$H$155,8,0),0)</f>
        <v>0</v>
      </c>
      <c r="J16" s="88">
        <f>-IFERROR(VLOOKUP(C16,SIRTAC!$A$16:$H$1288,8,0),0)</f>
        <v>0</v>
      </c>
      <c r="K16" s="88">
        <f>-IFERROR(VLOOKUP(C16,Gastos!$A$9:$J$1281,10,0),0)</f>
        <v>0</v>
      </c>
      <c r="L16" s="87">
        <f>+D16-G16</f>
        <v>-1314.6660238568729</v>
      </c>
      <c r="M16" s="121">
        <f t="shared" si="5"/>
        <v>-219111.00397614314</v>
      </c>
      <c r="O16" s="35" t="s">
        <v>1739</v>
      </c>
      <c r="Q16" s="35">
        <f t="shared" si="6"/>
        <v>-219111.0039761455</v>
      </c>
      <c r="R16" s="66">
        <f t="shared" si="7"/>
        <v>2.35741026699543E-9</v>
      </c>
    </row>
    <row r="17" spans="1:18" hidden="1">
      <c r="A17" s="35" t="s">
        <v>1299</v>
      </c>
      <c r="B17" s="35" t="s">
        <v>1301</v>
      </c>
      <c r="C17" s="91">
        <v>126684826955</v>
      </c>
      <c r="D17" s="3">
        <v>-251359.76</v>
      </c>
      <c r="E17" s="3">
        <v>8079743.6399999997</v>
      </c>
      <c r="F17" s="35" t="s">
        <v>2751</v>
      </c>
      <c r="G17" s="4">
        <f t="shared" si="3"/>
        <v>-249860.59642147119</v>
      </c>
      <c r="H17" s="4">
        <f t="shared" si="4"/>
        <v>-1499.1635785288236</v>
      </c>
      <c r="I17" s="27">
        <f>-IFERROR(VLOOKUP(C17,SIRCUPA!$A$21:$H$155,8,0),0)</f>
        <v>0</v>
      </c>
      <c r="J17" s="88">
        <f>-IFERROR(VLOOKUP(C17,SIRTAC!$A$16:$H$1288,8,0),0)</f>
        <v>0</v>
      </c>
      <c r="K17" s="88">
        <f>-IFERROR(VLOOKUP(C17,Gastos!$A$9:$J$1281,10,0),0)</f>
        <v>0</v>
      </c>
      <c r="L17" s="87">
        <f>+D17-G17</f>
        <v>-1499.1635785288236</v>
      </c>
      <c r="M17" s="121">
        <f t="shared" si="5"/>
        <v>-249860.59642147119</v>
      </c>
      <c r="O17" s="35" t="s">
        <v>1741</v>
      </c>
      <c r="Q17" s="35">
        <f t="shared" si="6"/>
        <v>-249860.59642147057</v>
      </c>
      <c r="R17" s="66">
        <f t="shared" si="7"/>
        <v>-6.1118043959140778E-10</v>
      </c>
    </row>
    <row r="18" spans="1:18" s="59" customFormat="1" hidden="1">
      <c r="A18" s="35" t="s">
        <v>619</v>
      </c>
      <c r="B18" s="35" t="s">
        <v>660</v>
      </c>
      <c r="C18" s="91">
        <v>125395601971</v>
      </c>
      <c r="D18" s="3">
        <v>-37225.019999999997</v>
      </c>
      <c r="E18" s="3">
        <v>9178413.6500000004</v>
      </c>
      <c r="F18" s="35" t="s">
        <v>2751</v>
      </c>
      <c r="G18" s="4">
        <f t="shared" si="3"/>
        <v>-37003.00198807157</v>
      </c>
      <c r="H18" s="4">
        <f t="shared" si="4"/>
        <v>-222.01801192842686</v>
      </c>
      <c r="I18" s="27">
        <f>-IFERROR(VLOOKUP(C18,SIRCUPA!$A$21:$H$155,8,0),0)</f>
        <v>0</v>
      </c>
      <c r="J18" s="88">
        <f>-IFERROR(VLOOKUP(C18,SIRTAC!$A$16:$H$1288,8,0),0)</f>
        <v>0</v>
      </c>
      <c r="K18" s="88">
        <f>-IFERROR(VLOOKUP(C18,Gastos!$A$9:$J$1281,10,0),0)</f>
        <v>0</v>
      </c>
      <c r="L18" s="87">
        <f>+D18-G18</f>
        <v>-222.01801192842686</v>
      </c>
      <c r="M18" s="121">
        <f t="shared" si="5"/>
        <v>-37003.00198807157</v>
      </c>
      <c r="N18" s="4"/>
      <c r="O18" s="35" t="s">
        <v>1738</v>
      </c>
      <c r="Q18" s="35">
        <f t="shared" si="6"/>
        <v>-37003.001988071141</v>
      </c>
      <c r="R18" s="66">
        <f t="shared" si="7"/>
        <v>-4.2928149923682213E-10</v>
      </c>
    </row>
    <row r="19" spans="1:18" s="59" customFormat="1" hidden="1">
      <c r="A19" s="35" t="s">
        <v>1683</v>
      </c>
      <c r="B19" s="35" t="s">
        <v>1710</v>
      </c>
      <c r="C19" s="91">
        <v>127373245459</v>
      </c>
      <c r="D19" s="3">
        <v>-259931.29</v>
      </c>
      <c r="E19" s="3">
        <v>12520467.27</v>
      </c>
      <c r="F19" s="35" t="s">
        <v>2751</v>
      </c>
      <c r="G19" s="4">
        <f t="shared" si="3"/>
        <v>-258381.00397614314</v>
      </c>
      <c r="H19" s="4">
        <f t="shared" si="4"/>
        <v>-1550.2860238568683</v>
      </c>
      <c r="I19" s="27">
        <f>-IFERROR(VLOOKUP(C19,SIRCUPA!$A$21:$H$155,8,0),0)</f>
        <v>0</v>
      </c>
      <c r="J19" s="88">
        <f>-IFERROR(VLOOKUP(C19,SIRTAC!$A$16:$H$1288,8,0),0)</f>
        <v>0</v>
      </c>
      <c r="K19" s="88">
        <f>-IFERROR(VLOOKUP(C19,Gastos!$A$9:$J$1281,10,0),0)</f>
        <v>0</v>
      </c>
      <c r="L19" s="87">
        <f>-IFERROR(VLOOKUP(C19,IDC!$A$25:$H$1532,8,0),0)</f>
        <v>-1550.29</v>
      </c>
      <c r="M19" s="121">
        <f t="shared" si="5"/>
        <v>-258381</v>
      </c>
      <c r="N19" s="4"/>
      <c r="O19" s="35" t="s">
        <v>1742</v>
      </c>
      <c r="Q19" s="35">
        <f t="shared" si="6"/>
        <v>-258381.66666666666</v>
      </c>
      <c r="R19" s="66">
        <f t="shared" si="7"/>
        <v>0.66666666665696539</v>
      </c>
    </row>
    <row r="20" spans="1:18" hidden="1">
      <c r="A20" s="35" t="s">
        <v>529</v>
      </c>
      <c r="B20" s="35" t="s">
        <v>553</v>
      </c>
      <c r="C20" s="91">
        <v>2350344890</v>
      </c>
      <c r="D20" s="3">
        <v>-25262.46</v>
      </c>
      <c r="E20" s="3">
        <v>9407525.4399999995</v>
      </c>
      <c r="F20" s="35" t="s">
        <v>2751</v>
      </c>
      <c r="G20" s="4">
        <f t="shared" si="3"/>
        <v>-25111.789264413517</v>
      </c>
      <c r="H20" s="4">
        <f t="shared" si="4"/>
        <v>-150.6707355864819</v>
      </c>
      <c r="I20" s="27">
        <f>-IFERROR(VLOOKUP(C20,SIRCUPA!$A$21:$H$155,8,0),0)</f>
        <v>0</v>
      </c>
      <c r="J20" s="88">
        <f>-IFERROR(VLOOKUP(C20,SIRTAC!$A$16:$H$1288,8,0),0)</f>
        <v>0</v>
      </c>
      <c r="K20" s="88">
        <f>-IFERROR(VLOOKUP(C20,Gastos!$A$9:$J$1281,10,0),0)</f>
        <v>0</v>
      </c>
      <c r="L20" s="87">
        <f>+D20-G20</f>
        <v>-150.6707355864819</v>
      </c>
      <c r="M20" s="121">
        <f t="shared" si="5"/>
        <v>-25111.789264413517</v>
      </c>
      <c r="O20" s="35"/>
      <c r="Q20" s="35">
        <f t="shared" si="6"/>
        <v>-25111.789264413648</v>
      </c>
      <c r="R20" s="66">
        <f t="shared" si="7"/>
        <v>1.3096723705530167E-10</v>
      </c>
    </row>
    <row r="21" spans="1:18" s="59" customFormat="1" hidden="1">
      <c r="A21" s="59" t="s">
        <v>14</v>
      </c>
      <c r="B21" s="59" t="s">
        <v>28</v>
      </c>
      <c r="C21" s="112">
        <v>124446003662</v>
      </c>
      <c r="D21" s="63">
        <v>-550.29</v>
      </c>
      <c r="E21" s="3">
        <v>12726786.939999999</v>
      </c>
      <c r="F21" s="63" t="s">
        <v>2747</v>
      </c>
      <c r="G21" s="65">
        <f t="shared" ref="G21:G31" si="8">+D21/0.006</f>
        <v>-91714.999999999985</v>
      </c>
      <c r="H21" s="65"/>
      <c r="I21" s="108">
        <f>-IFERROR(VLOOKUP(C21,SIRCUPA!$A$21:$H$155,8,0),0)</f>
        <v>0</v>
      </c>
      <c r="J21" s="108">
        <f>-IFERROR(VLOOKUP(C21,SIRTAC!$A$16:$H$1288,8,0),0)</f>
        <v>0</v>
      </c>
      <c r="K21" s="108">
        <f>-IFERROR(VLOOKUP(C21,Gastos!$A$9:$J$1281,10,0),0)</f>
        <v>0</v>
      </c>
      <c r="L21" s="65">
        <f>-IFERROR(VLOOKUP(C21,IDC!$A$25:$H$1532,8,0),0)</f>
        <v>-550.29</v>
      </c>
      <c r="M21" s="123">
        <f>+D21</f>
        <v>-550.29</v>
      </c>
      <c r="N21" s="65"/>
      <c r="Q21" s="66">
        <f>+L21</f>
        <v>-550.29</v>
      </c>
      <c r="R21" s="66">
        <f t="shared" si="7"/>
        <v>0</v>
      </c>
    </row>
    <row r="22" spans="1:18" s="59" customFormat="1" hidden="1">
      <c r="A22" s="59" t="s">
        <v>14</v>
      </c>
      <c r="B22" s="59" t="s">
        <v>28</v>
      </c>
      <c r="C22" s="112">
        <v>124454118654</v>
      </c>
      <c r="D22" s="64">
        <v>-1641.99</v>
      </c>
      <c r="E22" s="3">
        <v>12451479.789999999</v>
      </c>
      <c r="F22" s="63" t="s">
        <v>2747</v>
      </c>
      <c r="G22" s="65">
        <f t="shared" si="8"/>
        <v>-273665</v>
      </c>
      <c r="H22" s="65"/>
      <c r="I22" s="108">
        <f>-IFERROR(VLOOKUP(C22,SIRCUPA!$A$21:$H$155,8,0),0)</f>
        <v>0</v>
      </c>
      <c r="J22" s="108">
        <f>-IFERROR(VLOOKUP(C22,SIRTAC!$A$16:$H$1288,8,0),0)</f>
        <v>0</v>
      </c>
      <c r="K22" s="108">
        <f>-IFERROR(VLOOKUP(C22,Gastos!$A$9:$J$1281,10,0),0)</f>
        <v>0</v>
      </c>
      <c r="L22" s="65">
        <f>-IFERROR(VLOOKUP(C22,IDC!$A$25:$H$1532,8,0),0)</f>
        <v>-1641.99</v>
      </c>
      <c r="M22" s="123">
        <f t="shared" ref="M22:M31" si="9">+D22</f>
        <v>-1641.99</v>
      </c>
      <c r="N22" s="65"/>
      <c r="Q22" s="66">
        <f t="shared" ref="Q22:Q31" si="10">+L22</f>
        <v>-1641.99</v>
      </c>
      <c r="R22" s="66">
        <f t="shared" si="7"/>
        <v>0</v>
      </c>
    </row>
    <row r="23" spans="1:18" s="59" customFormat="1" hidden="1">
      <c r="A23" s="59" t="s">
        <v>14</v>
      </c>
      <c r="B23" s="59" t="s">
        <v>28</v>
      </c>
      <c r="C23" s="112">
        <v>124489977054</v>
      </c>
      <c r="D23" s="64">
        <v>-1012.07</v>
      </c>
      <c r="E23" s="3">
        <v>12043724.09</v>
      </c>
      <c r="F23" s="63" t="s">
        <v>2747</v>
      </c>
      <c r="G23" s="65">
        <f t="shared" si="8"/>
        <v>-168678.33333333334</v>
      </c>
      <c r="H23" s="65"/>
      <c r="I23" s="108">
        <f>-IFERROR(VLOOKUP(C23,SIRCUPA!$A$21:$H$155,8,0),0)</f>
        <v>0</v>
      </c>
      <c r="J23" s="108">
        <f>-IFERROR(VLOOKUP(C23,SIRTAC!$A$16:$H$1288,8,0),0)</f>
        <v>0</v>
      </c>
      <c r="K23" s="108">
        <f>-IFERROR(VLOOKUP(C23,Gastos!$A$9:$J$1281,10,0),0)</f>
        <v>0</v>
      </c>
      <c r="L23" s="65">
        <f>-IFERROR(VLOOKUP(C23,IDC!$A$25:$H$1532,8,0),0)</f>
        <v>-1012.07</v>
      </c>
      <c r="M23" s="123">
        <f t="shared" si="9"/>
        <v>-1012.07</v>
      </c>
      <c r="N23" s="65"/>
      <c r="Q23" s="66">
        <f t="shared" si="10"/>
        <v>-1012.07</v>
      </c>
      <c r="R23" s="66">
        <f t="shared" si="7"/>
        <v>0</v>
      </c>
    </row>
    <row r="24" spans="1:18" s="59" customFormat="1" hidden="1">
      <c r="A24" s="59" t="s">
        <v>35</v>
      </c>
      <c r="B24" s="59" t="s">
        <v>28</v>
      </c>
      <c r="C24" s="112">
        <v>124014458903</v>
      </c>
      <c r="D24" s="64">
        <v>-5892.5</v>
      </c>
      <c r="E24" s="3">
        <v>11055747.49</v>
      </c>
      <c r="F24" s="63" t="s">
        <v>2747</v>
      </c>
      <c r="G24" s="65">
        <f t="shared" si="8"/>
        <v>-982083.33333333326</v>
      </c>
      <c r="H24" s="65"/>
      <c r="I24" s="108">
        <f>-IFERROR(VLOOKUP(C24,SIRCUPA!$A$21:$H$155,8,0),0)</f>
        <v>0</v>
      </c>
      <c r="J24" s="108">
        <f>-IFERROR(VLOOKUP(C24,SIRTAC!$A$16:$H$1288,8,0),0)</f>
        <v>0</v>
      </c>
      <c r="K24" s="108">
        <f>-IFERROR(VLOOKUP(C24,Gastos!$A$9:$J$1281,10,0),0)</f>
        <v>0</v>
      </c>
      <c r="L24" s="65">
        <f>-IFERROR(VLOOKUP(C24,IDC!$A$25:$H$1532,8,0),0)</f>
        <v>-5892.5</v>
      </c>
      <c r="M24" s="123">
        <f t="shared" si="9"/>
        <v>-5892.5</v>
      </c>
      <c r="N24" s="65"/>
      <c r="Q24" s="66">
        <f t="shared" si="10"/>
        <v>-5892.5</v>
      </c>
      <c r="R24" s="66">
        <f t="shared" si="7"/>
        <v>0</v>
      </c>
    </row>
    <row r="25" spans="1:18" hidden="1">
      <c r="A25" s="59" t="s">
        <v>35</v>
      </c>
      <c r="B25" s="59" t="s">
        <v>28</v>
      </c>
      <c r="C25" s="112">
        <v>124031772669</v>
      </c>
      <c r="D25" s="64">
        <v>-4710.99</v>
      </c>
      <c r="E25" s="3">
        <v>9842700.2400000002</v>
      </c>
      <c r="F25" s="63" t="s">
        <v>2747</v>
      </c>
      <c r="G25" s="65">
        <f t="shared" si="8"/>
        <v>-785165</v>
      </c>
      <c r="H25" s="65"/>
      <c r="I25" s="108">
        <f>-IFERROR(VLOOKUP(C25,SIRCUPA!$A$21:$H$155,8,0),0)</f>
        <v>0</v>
      </c>
      <c r="J25" s="108">
        <f>-IFERROR(VLOOKUP(C25,SIRTAC!$A$16:$H$1288,8,0),0)</f>
        <v>0</v>
      </c>
      <c r="K25" s="108">
        <f>-IFERROR(VLOOKUP(C25,Gastos!$A$9:$J$1281,10,0),0)</f>
        <v>0</v>
      </c>
      <c r="L25" s="65">
        <f>-IFERROR(VLOOKUP(C25,IDC!$A$25:$H$1532,8,0),0)</f>
        <v>-4710.99</v>
      </c>
      <c r="M25" s="123">
        <f t="shared" si="9"/>
        <v>-4710.99</v>
      </c>
      <c r="N25" s="65"/>
      <c r="O25" s="59"/>
      <c r="Q25" s="66">
        <f t="shared" si="10"/>
        <v>-4710.99</v>
      </c>
      <c r="R25" s="66">
        <f t="shared" si="7"/>
        <v>0</v>
      </c>
    </row>
    <row r="26" spans="1:18" s="59" customFormat="1" hidden="1">
      <c r="A26" s="59" t="s">
        <v>35</v>
      </c>
      <c r="B26" s="59" t="s">
        <v>28</v>
      </c>
      <c r="C26" s="112">
        <v>124618927966</v>
      </c>
      <c r="D26" s="63">
        <v>-505.77</v>
      </c>
      <c r="E26" s="3">
        <v>9757899.5299999993</v>
      </c>
      <c r="F26" s="63" t="s">
        <v>2747</v>
      </c>
      <c r="G26" s="65">
        <f t="shared" si="8"/>
        <v>-84295</v>
      </c>
      <c r="H26" s="65"/>
      <c r="I26" s="108">
        <f>-IFERROR(VLOOKUP(C26,SIRCUPA!$A$21:$H$155,8,0),0)</f>
        <v>0</v>
      </c>
      <c r="J26" s="108">
        <f>-IFERROR(VLOOKUP(C26,SIRTAC!$A$16:$H$1288,8,0),0)</f>
        <v>0</v>
      </c>
      <c r="K26" s="108">
        <f>-IFERROR(VLOOKUP(C26,Gastos!$A$9:$J$1281,10,0),0)</f>
        <v>0</v>
      </c>
      <c r="L26" s="65">
        <f>-IFERROR(VLOOKUP(C26,IDC!$A$25:$H$1532,8,0),0)</f>
        <v>-505.77</v>
      </c>
      <c r="M26" s="123">
        <f t="shared" si="9"/>
        <v>-505.77</v>
      </c>
      <c r="N26" s="65"/>
      <c r="Q26" s="66">
        <f t="shared" si="10"/>
        <v>-505.77</v>
      </c>
      <c r="R26" s="66">
        <f t="shared" si="7"/>
        <v>0</v>
      </c>
    </row>
    <row r="27" spans="1:18" s="59" customFormat="1" hidden="1">
      <c r="A27" s="59" t="s">
        <v>35</v>
      </c>
      <c r="B27" s="59" t="s">
        <v>28</v>
      </c>
      <c r="C27" s="112">
        <v>124624594370</v>
      </c>
      <c r="D27" s="64">
        <v>-1294.3399999999999</v>
      </c>
      <c r="E27" s="3">
        <v>9540881.0299999993</v>
      </c>
      <c r="F27" s="63" t="s">
        <v>2747</v>
      </c>
      <c r="G27" s="65">
        <f t="shared" si="8"/>
        <v>-215723.33333333331</v>
      </c>
      <c r="H27" s="65"/>
      <c r="I27" s="108">
        <f>-IFERROR(VLOOKUP(C27,SIRCUPA!$A$21:$H$155,8,0),0)</f>
        <v>0</v>
      </c>
      <c r="J27" s="108">
        <f>-IFERROR(VLOOKUP(C27,SIRTAC!$A$16:$H$1288,8,0),0)</f>
        <v>0</v>
      </c>
      <c r="K27" s="108">
        <f>-IFERROR(VLOOKUP(C27,Gastos!$A$9:$J$1281,10,0),0)</f>
        <v>0</v>
      </c>
      <c r="L27" s="65">
        <f>-IFERROR(VLOOKUP(C27,IDC!$A$25:$H$1532,8,0),0)</f>
        <v>-1294.3399999999999</v>
      </c>
      <c r="M27" s="123">
        <f t="shared" si="9"/>
        <v>-1294.3399999999999</v>
      </c>
      <c r="N27" s="65"/>
      <c r="Q27" s="66">
        <f t="shared" si="10"/>
        <v>-1294.3399999999999</v>
      </c>
      <c r="R27" s="66">
        <f t="shared" si="7"/>
        <v>0</v>
      </c>
    </row>
    <row r="28" spans="1:18" hidden="1">
      <c r="A28" s="59" t="s">
        <v>45</v>
      </c>
      <c r="B28" s="59" t="s">
        <v>28</v>
      </c>
      <c r="C28" s="112">
        <v>124167213727</v>
      </c>
      <c r="D28" s="63">
        <v>-645.69000000000005</v>
      </c>
      <c r="E28" s="3">
        <v>9432620.25</v>
      </c>
      <c r="F28" s="63" t="s">
        <v>2747</v>
      </c>
      <c r="G28" s="65">
        <f t="shared" si="8"/>
        <v>-107615</v>
      </c>
      <c r="H28" s="65"/>
      <c r="I28" s="108">
        <f>-IFERROR(VLOOKUP(C28,SIRCUPA!$A$21:$H$155,8,0),0)</f>
        <v>0</v>
      </c>
      <c r="J28" s="108">
        <f>-IFERROR(VLOOKUP(C28,SIRTAC!$A$16:$H$1288,8,0),0)</f>
        <v>0</v>
      </c>
      <c r="K28" s="108">
        <f>-IFERROR(VLOOKUP(C28,Gastos!$A$9:$J$1281,10,0),0)</f>
        <v>0</v>
      </c>
      <c r="L28" s="65">
        <f>-IFERROR(VLOOKUP(C28,IDC!$A$25:$H$1532,8,0),0)</f>
        <v>-645.69000000000005</v>
      </c>
      <c r="M28" s="123">
        <f t="shared" si="9"/>
        <v>-645.69000000000005</v>
      </c>
      <c r="N28" s="65"/>
      <c r="O28" s="59"/>
      <c r="Q28" s="66">
        <f t="shared" si="10"/>
        <v>-645.69000000000005</v>
      </c>
      <c r="R28" s="66">
        <f t="shared" si="7"/>
        <v>0</v>
      </c>
    </row>
    <row r="29" spans="1:18" s="59" customFormat="1" hidden="1">
      <c r="A29" s="59" t="s">
        <v>45</v>
      </c>
      <c r="B29" s="59" t="s">
        <v>28</v>
      </c>
      <c r="C29" s="112">
        <v>124761516066</v>
      </c>
      <c r="D29" s="64">
        <v>-1262.06</v>
      </c>
      <c r="E29" s="3">
        <v>9065753.8900000006</v>
      </c>
      <c r="F29" s="63" t="s">
        <v>2747</v>
      </c>
      <c r="G29" s="65">
        <f t="shared" si="8"/>
        <v>-210343.33333333331</v>
      </c>
      <c r="H29" s="65"/>
      <c r="I29" s="108">
        <f>-IFERROR(VLOOKUP(C29,SIRCUPA!$A$21:$H$155,8,0),0)</f>
        <v>0</v>
      </c>
      <c r="J29" s="108">
        <f>-IFERROR(VLOOKUP(C29,SIRTAC!$A$16:$H$1288,8,0),0)</f>
        <v>0</v>
      </c>
      <c r="K29" s="108">
        <f>-IFERROR(VLOOKUP(C29,Gastos!$A$9:$J$1281,10,0),0)</f>
        <v>0</v>
      </c>
      <c r="L29" s="65">
        <f>-IFERROR(VLOOKUP(C29,IDC!$A$25:$H$1532,8,0),0)</f>
        <v>-1262.06</v>
      </c>
      <c r="M29" s="123">
        <f t="shared" si="9"/>
        <v>-1262.06</v>
      </c>
      <c r="N29" s="65"/>
      <c r="Q29" s="66">
        <f t="shared" si="10"/>
        <v>-1262.06</v>
      </c>
      <c r="R29" s="66">
        <f t="shared" si="7"/>
        <v>0</v>
      </c>
    </row>
    <row r="30" spans="1:18" s="59" customFormat="1" hidden="1">
      <c r="A30" s="59" t="s">
        <v>45</v>
      </c>
      <c r="B30" s="59" t="s">
        <v>28</v>
      </c>
      <c r="C30" s="112">
        <v>124774089426</v>
      </c>
      <c r="D30" s="63">
        <v>-271.44</v>
      </c>
      <c r="E30" s="3">
        <v>9020242.8399999999</v>
      </c>
      <c r="F30" s="63" t="s">
        <v>2747</v>
      </c>
      <c r="G30" s="65">
        <f t="shared" si="8"/>
        <v>-45240</v>
      </c>
      <c r="H30" s="65"/>
      <c r="I30" s="108">
        <f>-IFERROR(VLOOKUP(C30,SIRCUPA!$A$21:$H$155,8,0),0)</f>
        <v>0</v>
      </c>
      <c r="J30" s="108">
        <f>-IFERROR(VLOOKUP(C30,SIRTAC!$A$16:$H$1288,8,0),0)</f>
        <v>0</v>
      </c>
      <c r="K30" s="108">
        <f>-IFERROR(VLOOKUP(C30,Gastos!$A$9:$J$1281,10,0),0)</f>
        <v>0</v>
      </c>
      <c r="L30" s="65">
        <f>-IFERROR(VLOOKUP(C30,IDC!$A$25:$H$1532,8,0),0)</f>
        <v>-271.44</v>
      </c>
      <c r="M30" s="123">
        <f t="shared" si="9"/>
        <v>-271.44</v>
      </c>
      <c r="N30" s="65"/>
      <c r="Q30" s="66">
        <f t="shared" si="10"/>
        <v>-271.44</v>
      </c>
      <c r="R30" s="66">
        <f t="shared" si="7"/>
        <v>0</v>
      </c>
    </row>
    <row r="31" spans="1:18" s="59" customFormat="1" hidden="1">
      <c r="A31" s="59" t="s">
        <v>65</v>
      </c>
      <c r="B31" s="59" t="s">
        <v>28</v>
      </c>
      <c r="C31" s="112">
        <v>124293086141</v>
      </c>
      <c r="D31" s="64">
        <v>-7357.44</v>
      </c>
      <c r="E31" s="3">
        <v>8469977.9700000007</v>
      </c>
      <c r="F31" s="63" t="s">
        <v>2747</v>
      </c>
      <c r="G31" s="65">
        <f t="shared" si="8"/>
        <v>-1226240</v>
      </c>
      <c r="H31" s="65"/>
      <c r="I31" s="108">
        <f>-IFERROR(VLOOKUP(C31,SIRCUPA!$A$21:$H$155,8,0),0)</f>
        <v>0</v>
      </c>
      <c r="J31" s="108">
        <f>-IFERROR(VLOOKUP(C31,SIRTAC!$A$16:$H$1288,8,0),0)</f>
        <v>0</v>
      </c>
      <c r="K31" s="108">
        <f>-IFERROR(VLOOKUP(C31,Gastos!$A$9:$J$1281,10,0),0)</f>
        <v>0</v>
      </c>
      <c r="L31" s="65">
        <f>-IFERROR(VLOOKUP(C31,IDC!$A$25:$H$1532,8,0),0)</f>
        <v>-7357.44</v>
      </c>
      <c r="M31" s="123">
        <f t="shared" si="9"/>
        <v>-7357.44</v>
      </c>
      <c r="N31" s="65"/>
      <c r="Q31" s="66">
        <f t="shared" si="10"/>
        <v>-7357.44</v>
      </c>
      <c r="R31" s="66">
        <f t="shared" si="7"/>
        <v>0</v>
      </c>
    </row>
    <row r="32" spans="1:18" s="59" customFormat="1" hidden="1">
      <c r="A32" s="35" t="s">
        <v>45</v>
      </c>
      <c r="B32" s="35" t="s">
        <v>15</v>
      </c>
      <c r="C32" s="91">
        <v>124234497707</v>
      </c>
      <c r="D32" s="3">
        <v>4774.07</v>
      </c>
      <c r="E32" s="3">
        <v>9025016.9100000001</v>
      </c>
      <c r="F32" s="35" t="s">
        <v>2750</v>
      </c>
      <c r="G32" s="35"/>
      <c r="H32" s="35"/>
      <c r="I32" s="27">
        <f>-IFERROR(VLOOKUP(C32,SIRCUPA!$A$21:$H$155,8,0),0)</f>
        <v>0</v>
      </c>
      <c r="J32" s="88">
        <f>-IFERROR(VLOOKUP(C32,SIRTAC!$A$16:$H$1288,8,0),0)</f>
        <v>-49</v>
      </c>
      <c r="K32" s="88">
        <f>-IFERROR(VLOOKUP(C32,Gastos!$A$9:$J$1281,10,0),0)</f>
        <v>-47.53</v>
      </c>
      <c r="L32" s="87">
        <f>-IFERROR(VLOOKUP(C32,IDC!$A$25:$H$1532,8,0),0)</f>
        <v>-29.4</v>
      </c>
      <c r="M32" s="122">
        <f t="shared" ref="M32:M43" si="11">+D32-I32-J32-K32-L32</f>
        <v>4899.9999999999991</v>
      </c>
      <c r="N32" s="35"/>
      <c r="O32" s="35"/>
      <c r="P32" s="35">
        <f t="shared" ref="P32:P43" si="12">+L32/0.006</f>
        <v>-4900</v>
      </c>
      <c r="Q32" s="66">
        <f t="shared" ref="Q32:Q43" si="13">+M32+P32</f>
        <v>0</v>
      </c>
    </row>
    <row r="33" spans="1:18" s="59" customFormat="1" hidden="1">
      <c r="A33" s="35" t="s">
        <v>45</v>
      </c>
      <c r="B33" s="35" t="s">
        <v>15</v>
      </c>
      <c r="C33" s="91">
        <v>124781182650</v>
      </c>
      <c r="D33" s="3">
        <v>8071.96</v>
      </c>
      <c r="E33" s="3">
        <v>9033088.8699999992</v>
      </c>
      <c r="F33" s="35" t="s">
        <v>2750</v>
      </c>
      <c r="G33" s="35"/>
      <c r="H33" s="35"/>
      <c r="I33" s="27">
        <f>-IFERROR(VLOOKUP(C33,SIRCUPA!$A$21:$H$155,8,0),0)</f>
        <v>0</v>
      </c>
      <c r="J33" s="88">
        <f>-IFERROR(VLOOKUP(C33,SIRTAC!$A$16:$H$1288,8,0),0)</f>
        <v>-86</v>
      </c>
      <c r="K33" s="88">
        <f>-IFERROR(VLOOKUP(C33,Gastos!$A$9:$J$1281,10,0),0)</f>
        <v>-390.44</v>
      </c>
      <c r="L33" s="87">
        <f>-IFERROR(VLOOKUP(C33,IDC!$A$25:$H$1532,8,0),0)</f>
        <v>-51.6</v>
      </c>
      <c r="M33" s="122">
        <f t="shared" si="11"/>
        <v>8600</v>
      </c>
      <c r="N33" s="35"/>
      <c r="O33" s="35"/>
      <c r="P33" s="35">
        <f t="shared" si="12"/>
        <v>-8600</v>
      </c>
      <c r="Q33" s="66">
        <f t="shared" si="13"/>
        <v>0</v>
      </c>
    </row>
    <row r="34" spans="1:18" s="59" customFormat="1" hidden="1">
      <c r="A34" s="35" t="s">
        <v>45</v>
      </c>
      <c r="B34" s="35" t="s">
        <v>15</v>
      </c>
      <c r="C34" s="91">
        <v>124236889607</v>
      </c>
      <c r="D34" s="3">
        <v>28546.99</v>
      </c>
      <c r="E34" s="3">
        <v>9061635.8599999994</v>
      </c>
      <c r="F34" s="35" t="s">
        <v>2750</v>
      </c>
      <c r="G34" s="35"/>
      <c r="H34" s="35"/>
      <c r="I34" s="27">
        <f>-IFERROR(VLOOKUP(C34,SIRCUPA!$A$21:$H$155,8,0),0)</f>
        <v>0</v>
      </c>
      <c r="J34" s="88">
        <f>-IFERROR(VLOOKUP(C34,SIRTAC!$A$16:$H$1288,8,0),0)</f>
        <v>-293</v>
      </c>
      <c r="K34" s="88">
        <f>-IFERROR(VLOOKUP(C34,Gastos!$A$9:$J$1281,10,0),0)</f>
        <v>-284.20999999999998</v>
      </c>
      <c r="L34" s="87">
        <f>-IFERROR(VLOOKUP(C34,IDC!$A$25:$H$1532,8,0),0)</f>
        <v>-175.8</v>
      </c>
      <c r="M34" s="122">
        <f t="shared" si="11"/>
        <v>29300</v>
      </c>
      <c r="N34" s="35"/>
      <c r="O34" s="35"/>
      <c r="P34" s="35">
        <f t="shared" si="12"/>
        <v>-29300</v>
      </c>
      <c r="Q34" s="66">
        <f t="shared" si="13"/>
        <v>0</v>
      </c>
    </row>
    <row r="35" spans="1:18" hidden="1">
      <c r="A35" s="35" t="s">
        <v>45</v>
      </c>
      <c r="B35" s="35" t="s">
        <v>55</v>
      </c>
      <c r="C35" s="91">
        <v>124236877691</v>
      </c>
      <c r="D35" s="3">
        <v>1434.23</v>
      </c>
      <c r="E35" s="3">
        <v>9063070.0899999999</v>
      </c>
      <c r="F35" s="2" t="s">
        <v>2750</v>
      </c>
      <c r="G35" s="35"/>
      <c r="H35" s="35"/>
      <c r="I35" s="27">
        <f>-IFERROR(VLOOKUP(C35,SIRCUPA!$A$21:$H$155,8,0),0)</f>
        <v>-21.98</v>
      </c>
      <c r="J35" s="88">
        <f>-IFERROR(VLOOKUP(C35,SIRTAC!$A$16:$H$1288,8,0),0)</f>
        <v>0</v>
      </c>
      <c r="K35" s="88">
        <f>-IFERROR(VLOOKUP(C35,Gastos!$A$9:$J$1281,10,0),0)</f>
        <v>0</v>
      </c>
      <c r="L35" s="87">
        <f>-IFERROR(VLOOKUP(C35,IDC!$A$25:$H$1532,8,0),0)</f>
        <v>-8.7899999999999991</v>
      </c>
      <c r="M35" s="122">
        <f t="shared" si="11"/>
        <v>1465</v>
      </c>
      <c r="N35" s="35"/>
      <c r="O35" s="35"/>
      <c r="P35" s="35">
        <f t="shared" si="12"/>
        <v>-1464.9999999999998</v>
      </c>
      <c r="Q35" s="66">
        <f t="shared" si="13"/>
        <v>0</v>
      </c>
    </row>
    <row r="36" spans="1:18" hidden="1">
      <c r="A36" s="1" t="s">
        <v>45</v>
      </c>
      <c r="B36" s="1" t="s">
        <v>15</v>
      </c>
      <c r="C36" s="91">
        <v>124784681512</v>
      </c>
      <c r="D36" s="3">
        <v>28144.9</v>
      </c>
      <c r="E36" s="3">
        <v>9091214.9900000002</v>
      </c>
      <c r="F36" s="35" t="s">
        <v>2750</v>
      </c>
      <c r="G36"/>
      <c r="H36"/>
      <c r="I36" s="27">
        <f>-IFERROR(VLOOKUP(C36,SIRCUPA!$A$21:$H$155,8,0),0)</f>
        <v>0</v>
      </c>
      <c r="J36" s="88">
        <f>-IFERROR(VLOOKUP(C36,SIRTAC!$A$16:$H$1288,8,0),0)</f>
        <v>-310</v>
      </c>
      <c r="K36" s="88">
        <f>-IFERROR(VLOOKUP(C36,Gastos!$A$9:$J$1281,10,0),0)</f>
        <v>-2359.1</v>
      </c>
      <c r="L36" s="87">
        <f>-IFERROR(VLOOKUP(C36,IDC!$A$25:$H$1532,8,0),0)</f>
        <v>-186</v>
      </c>
      <c r="M36" s="122">
        <f t="shared" si="11"/>
        <v>31000</v>
      </c>
      <c r="N36"/>
      <c r="P36" s="35">
        <f t="shared" si="12"/>
        <v>-31000</v>
      </c>
      <c r="Q36" s="66">
        <f t="shared" si="13"/>
        <v>0</v>
      </c>
    </row>
    <row r="37" spans="1:18" hidden="1">
      <c r="A37" s="1" t="s">
        <v>45</v>
      </c>
      <c r="B37" s="1" t="s">
        <v>15</v>
      </c>
      <c r="C37" s="91">
        <v>124788106000</v>
      </c>
      <c r="D37" s="3">
        <v>5006.91</v>
      </c>
      <c r="E37" s="3">
        <v>9096221.9000000004</v>
      </c>
      <c r="F37" s="35" t="s">
        <v>2750</v>
      </c>
      <c r="G37"/>
      <c r="H37"/>
      <c r="I37" s="27">
        <f>-IFERROR(VLOOKUP(C37,SIRCUPA!$A$21:$H$155,8,0),0)</f>
        <v>0</v>
      </c>
      <c r="J37" s="88">
        <f>-IFERROR(VLOOKUP(C37,SIRTAC!$A$16:$H$1288,8,0),0)</f>
        <v>-53</v>
      </c>
      <c r="K37" s="88">
        <f>-IFERROR(VLOOKUP(C37,Gastos!$A$9:$J$1281,10,0),0)</f>
        <v>-208.29</v>
      </c>
      <c r="L37" s="87">
        <f>-IFERROR(VLOOKUP(C37,IDC!$A$25:$H$1532,8,0),0)</f>
        <v>-31.8</v>
      </c>
      <c r="M37" s="122">
        <f t="shared" si="11"/>
        <v>5300</v>
      </c>
      <c r="N37"/>
      <c r="P37" s="35">
        <f t="shared" si="12"/>
        <v>-5300</v>
      </c>
      <c r="Q37" s="66">
        <f t="shared" si="13"/>
        <v>0</v>
      </c>
    </row>
    <row r="38" spans="1:18" hidden="1">
      <c r="A38" s="1" t="s">
        <v>45</v>
      </c>
      <c r="B38" s="1" t="s">
        <v>15</v>
      </c>
      <c r="C38" s="91">
        <v>124245392201</v>
      </c>
      <c r="D38" s="3">
        <v>33223.629999999997</v>
      </c>
      <c r="E38" s="3">
        <v>9129445.5299999993</v>
      </c>
      <c r="F38" s="35" t="s">
        <v>2750</v>
      </c>
      <c r="G38"/>
      <c r="H38"/>
      <c r="I38" s="27">
        <f>-IFERROR(VLOOKUP(C38,SIRCUPA!$A$21:$H$155,8,0),0)</f>
        <v>0</v>
      </c>
      <c r="J38" s="88">
        <f>-IFERROR(VLOOKUP(C38,SIRTAC!$A$16:$H$1288,8,0),0)</f>
        <v>-341</v>
      </c>
      <c r="K38" s="88">
        <f>-IFERROR(VLOOKUP(C38,Gastos!$A$9:$J$1281,10,0),0)</f>
        <v>-330.77</v>
      </c>
      <c r="L38" s="87">
        <f>-IFERROR(VLOOKUP(C38,IDC!$A$25:$H$1532,8,0),0)</f>
        <v>-204.6</v>
      </c>
      <c r="M38" s="122">
        <f t="shared" si="11"/>
        <v>34099.999999999993</v>
      </c>
      <c r="N38"/>
      <c r="P38" s="35">
        <f t="shared" si="12"/>
        <v>-34100</v>
      </c>
      <c r="Q38" s="66">
        <f t="shared" si="13"/>
        <v>0</v>
      </c>
    </row>
    <row r="39" spans="1:18" hidden="1">
      <c r="A39" s="1" t="s">
        <v>45</v>
      </c>
      <c r="B39" s="1" t="s">
        <v>15</v>
      </c>
      <c r="C39" s="91">
        <v>124245389515</v>
      </c>
      <c r="D39" s="3">
        <v>44817.8</v>
      </c>
      <c r="E39" s="3">
        <v>9174263.3300000001</v>
      </c>
      <c r="F39" s="35" t="s">
        <v>2750</v>
      </c>
      <c r="G39"/>
      <c r="H39"/>
      <c r="I39" s="27">
        <f>-IFERROR(VLOOKUP(C39,SIRCUPA!$A$21:$H$155,8,0),0)</f>
        <v>0</v>
      </c>
      <c r="J39" s="88">
        <f>-IFERROR(VLOOKUP(C39,SIRTAC!$A$16:$H$1288,8,0),0)</f>
        <v>-460</v>
      </c>
      <c r="K39" s="88">
        <f>-IFERROR(VLOOKUP(C39,Gastos!$A$9:$J$1281,10,0),0)</f>
        <v>-446.2</v>
      </c>
      <c r="L39" s="87">
        <f>-IFERROR(VLOOKUP(C39,IDC!$A$25:$H$1532,8,0),0)</f>
        <v>-276</v>
      </c>
      <c r="M39" s="122">
        <f t="shared" si="11"/>
        <v>46000</v>
      </c>
      <c r="N39"/>
      <c r="P39" s="35">
        <f t="shared" si="12"/>
        <v>-46000</v>
      </c>
      <c r="Q39" s="66">
        <f t="shared" si="13"/>
        <v>0</v>
      </c>
    </row>
    <row r="40" spans="1:18" hidden="1">
      <c r="A40" s="1" t="s">
        <v>45</v>
      </c>
      <c r="B40" s="1" t="s">
        <v>15</v>
      </c>
      <c r="C40" s="91">
        <v>124247706111</v>
      </c>
      <c r="D40" s="3">
        <v>11983.89</v>
      </c>
      <c r="E40" s="3">
        <v>9186247.2200000007</v>
      </c>
      <c r="F40" s="35" t="s">
        <v>2750</v>
      </c>
      <c r="G40"/>
      <c r="H40"/>
      <c r="I40" s="27">
        <f>-IFERROR(VLOOKUP(C40,SIRCUPA!$A$21:$H$155,8,0),0)</f>
        <v>0</v>
      </c>
      <c r="J40" s="88">
        <f>-IFERROR(VLOOKUP(C40,SIRTAC!$A$16:$H$1288,8,0),0)</f>
        <v>-123</v>
      </c>
      <c r="K40" s="88">
        <f>-IFERROR(VLOOKUP(C40,Gastos!$A$9:$J$1281,10,0),0)</f>
        <v>-119.31</v>
      </c>
      <c r="L40" s="87">
        <f>-IFERROR(VLOOKUP(C40,IDC!$A$25:$H$1532,8,0),0)</f>
        <v>-73.8</v>
      </c>
      <c r="M40" s="122">
        <f t="shared" si="11"/>
        <v>12299.999999999998</v>
      </c>
      <c r="N40"/>
      <c r="P40" s="35">
        <f t="shared" si="12"/>
        <v>-12300</v>
      </c>
      <c r="Q40" s="66">
        <f t="shared" si="13"/>
        <v>0</v>
      </c>
    </row>
    <row r="41" spans="1:18" hidden="1">
      <c r="A41" s="1" t="s">
        <v>45</v>
      </c>
      <c r="B41" s="1" t="s">
        <v>15</v>
      </c>
      <c r="C41" s="91">
        <v>124795296394</v>
      </c>
      <c r="D41" s="3">
        <v>19485.03</v>
      </c>
      <c r="E41" s="3">
        <v>9205732.25</v>
      </c>
      <c r="F41" s="35" t="s">
        <v>2750</v>
      </c>
      <c r="G41"/>
      <c r="H41"/>
      <c r="I41" s="27">
        <f>-IFERROR(VLOOKUP(C41,SIRCUPA!$A$21:$H$155,8,0),0)</f>
        <v>0</v>
      </c>
      <c r="J41" s="88">
        <f>-IFERROR(VLOOKUP(C41,SIRTAC!$A$16:$H$1288,8,0),0)</f>
        <v>-199.99</v>
      </c>
      <c r="K41" s="88">
        <f>-IFERROR(VLOOKUP(C41,Gastos!$A$9:$J$1281,10,0),0)</f>
        <v>-193.99</v>
      </c>
      <c r="L41" s="87">
        <f>-IFERROR(VLOOKUP(C41,IDC!$A$25:$H$1532,8,0),0)</f>
        <v>-119.99</v>
      </c>
      <c r="M41" s="122">
        <f t="shared" si="11"/>
        <v>19999.000000000004</v>
      </c>
      <c r="N41"/>
      <c r="P41" s="35">
        <f t="shared" si="12"/>
        <v>-19998.333333333332</v>
      </c>
      <c r="Q41" s="66">
        <f t="shared" si="13"/>
        <v>0.66666666667151731</v>
      </c>
    </row>
    <row r="42" spans="1:18" hidden="1">
      <c r="A42" s="1" t="s">
        <v>45</v>
      </c>
      <c r="B42" s="1" t="s">
        <v>15</v>
      </c>
      <c r="C42" s="91">
        <v>124251168101</v>
      </c>
      <c r="D42" s="3">
        <v>58356.67</v>
      </c>
      <c r="E42" s="3">
        <v>9264088.9199999999</v>
      </c>
      <c r="F42" s="35" t="s">
        <v>2750</v>
      </c>
      <c r="G42"/>
      <c r="H42"/>
      <c r="I42" s="27">
        <f>-IFERROR(VLOOKUP(C42,SIRCUPA!$A$21:$H$155,8,0),0)</f>
        <v>0</v>
      </c>
      <c r="J42" s="88">
        <f>-IFERROR(VLOOKUP(C42,SIRTAC!$A$16:$H$1288,8,0),0)</f>
        <v>-598.96</v>
      </c>
      <c r="K42" s="88">
        <f>-IFERROR(VLOOKUP(C42,Gastos!$A$9:$J$1281,10,0),0)</f>
        <v>-580.99</v>
      </c>
      <c r="L42" s="87">
        <f>-IFERROR(VLOOKUP(C42,IDC!$A$25:$H$1532,8,0),0)</f>
        <v>-359.38</v>
      </c>
      <c r="M42" s="122">
        <f t="shared" si="11"/>
        <v>59895.999999999993</v>
      </c>
      <c r="N42"/>
      <c r="P42" s="35">
        <f t="shared" si="12"/>
        <v>-59896.666666666664</v>
      </c>
      <c r="Q42" s="66">
        <f t="shared" si="13"/>
        <v>-0.66666666667151731</v>
      </c>
    </row>
    <row r="43" spans="1:18" hidden="1">
      <c r="A43" s="1" t="s">
        <v>45</v>
      </c>
      <c r="B43" s="1" t="s">
        <v>15</v>
      </c>
      <c r="C43" s="91">
        <v>124251556927</v>
      </c>
      <c r="D43" s="3">
        <v>69175.3</v>
      </c>
      <c r="E43" s="3">
        <v>9333264.2200000007</v>
      </c>
      <c r="F43" s="35" t="s">
        <v>2750</v>
      </c>
      <c r="G43"/>
      <c r="H43"/>
      <c r="I43" s="27">
        <f>-IFERROR(VLOOKUP(C43,SIRCUPA!$A$21:$H$155,8,0),0)</f>
        <v>0</v>
      </c>
      <c r="J43" s="88">
        <f>-IFERROR(VLOOKUP(C43,SIRTAC!$A$16:$H$1288,8,0),0)</f>
        <v>-710</v>
      </c>
      <c r="K43" s="88">
        <f>-IFERROR(VLOOKUP(C43,Gastos!$A$9:$J$1281,10,0),0)</f>
        <v>-688.7</v>
      </c>
      <c r="L43" s="87">
        <f>-IFERROR(VLOOKUP(C43,IDC!$A$25:$H$1532,8,0),0)</f>
        <v>-426</v>
      </c>
      <c r="M43" s="122">
        <f t="shared" si="11"/>
        <v>71000</v>
      </c>
      <c r="N43"/>
      <c r="P43" s="35">
        <f t="shared" si="12"/>
        <v>-71000</v>
      </c>
      <c r="Q43" s="66">
        <f t="shared" si="13"/>
        <v>0</v>
      </c>
    </row>
    <row r="44" spans="1:18" hidden="1">
      <c r="A44" s="59" t="s">
        <v>65</v>
      </c>
      <c r="B44" s="59" t="s">
        <v>28</v>
      </c>
      <c r="C44" s="112">
        <v>124845509146</v>
      </c>
      <c r="D44" s="64">
        <v>-1320.16</v>
      </c>
      <c r="E44" s="3">
        <v>8226901.9000000004</v>
      </c>
      <c r="F44" s="63" t="s">
        <v>2747</v>
      </c>
      <c r="G44" s="65">
        <f t="shared" ref="G44:G50" si="14">+D44/0.006</f>
        <v>-220026.66666666669</v>
      </c>
      <c r="H44" s="65"/>
      <c r="I44" s="108">
        <f>-IFERROR(VLOOKUP(C44,SIRCUPA!$A$21:$H$155,8,0),0)</f>
        <v>0</v>
      </c>
      <c r="J44" s="108">
        <f>-IFERROR(VLOOKUP(C44,SIRTAC!$A$16:$H$1288,8,0),0)</f>
        <v>0</v>
      </c>
      <c r="K44" s="108">
        <f>-IFERROR(VLOOKUP(C44,Gastos!$A$9:$J$1281,10,0),0)</f>
        <v>0</v>
      </c>
      <c r="L44" s="65">
        <f>-IFERROR(VLOOKUP(C44,IDC!$A$25:$H$1532,8,0),0)</f>
        <v>-1320.16</v>
      </c>
      <c r="M44" s="123">
        <f t="shared" ref="M44:M50" si="15">+D44</f>
        <v>-1320.16</v>
      </c>
      <c r="N44" s="65"/>
      <c r="O44" s="59"/>
      <c r="Q44" s="66">
        <f t="shared" ref="Q44:Q50" si="16">+L44</f>
        <v>-1320.16</v>
      </c>
      <c r="R44" s="66">
        <f t="shared" ref="R44:R50" si="17">+M44-Q44</f>
        <v>0</v>
      </c>
    </row>
    <row r="45" spans="1:18" hidden="1">
      <c r="A45" s="59" t="s">
        <v>65</v>
      </c>
      <c r="B45" s="59" t="s">
        <v>28</v>
      </c>
      <c r="C45" s="112">
        <v>124856861194</v>
      </c>
      <c r="D45" s="63">
        <v>-822.12</v>
      </c>
      <c r="E45" s="3">
        <v>8089059.7800000003</v>
      </c>
      <c r="F45" s="63" t="s">
        <v>2747</v>
      </c>
      <c r="G45" s="65">
        <f t="shared" si="14"/>
        <v>-137020</v>
      </c>
      <c r="H45" s="65"/>
      <c r="I45" s="108">
        <f>-IFERROR(VLOOKUP(C45,SIRCUPA!$A$21:$H$155,8,0),0)</f>
        <v>0</v>
      </c>
      <c r="J45" s="108">
        <f>-IFERROR(VLOOKUP(C45,SIRTAC!$A$16:$H$1288,8,0),0)</f>
        <v>0</v>
      </c>
      <c r="K45" s="108">
        <f>-IFERROR(VLOOKUP(C45,Gastos!$A$9:$J$1281,10,0),0)</f>
        <v>0</v>
      </c>
      <c r="L45" s="65">
        <f>-IFERROR(VLOOKUP(C45,IDC!$A$25:$H$1532,8,0),0)</f>
        <v>-822.12</v>
      </c>
      <c r="M45" s="123">
        <f t="shared" si="15"/>
        <v>-822.12</v>
      </c>
      <c r="N45" s="65"/>
      <c r="O45" s="59"/>
      <c r="Q45" s="66">
        <f t="shared" si="16"/>
        <v>-822.12</v>
      </c>
      <c r="R45" s="66">
        <f t="shared" si="17"/>
        <v>0</v>
      </c>
    </row>
    <row r="46" spans="1:18" hidden="1">
      <c r="A46" s="59" t="s">
        <v>132</v>
      </c>
      <c r="B46" s="59" t="s">
        <v>28</v>
      </c>
      <c r="C46" s="112">
        <v>124420739261</v>
      </c>
      <c r="D46" s="64">
        <v>-2599.61</v>
      </c>
      <c r="E46" s="3">
        <v>9176818.8800000008</v>
      </c>
      <c r="F46" s="63" t="s">
        <v>2747</v>
      </c>
      <c r="G46" s="65">
        <f t="shared" si="14"/>
        <v>-433268.33333333337</v>
      </c>
      <c r="H46" s="65"/>
      <c r="I46" s="108">
        <f>-IFERROR(VLOOKUP(C46,SIRCUPA!$A$21:$H$155,8,0),0)</f>
        <v>0</v>
      </c>
      <c r="J46" s="108">
        <f>-IFERROR(VLOOKUP(C46,SIRTAC!$A$16:$H$1288,8,0),0)</f>
        <v>0</v>
      </c>
      <c r="K46" s="108">
        <f>-IFERROR(VLOOKUP(C46,Gastos!$A$9:$J$1281,10,0),0)</f>
        <v>0</v>
      </c>
      <c r="L46" s="65">
        <f>-IFERROR(VLOOKUP(C46,IDC!$A$25:$H$1532,8,0),0)</f>
        <v>-2599.61</v>
      </c>
      <c r="M46" s="123">
        <f t="shared" si="15"/>
        <v>-2599.61</v>
      </c>
      <c r="N46" s="65"/>
      <c r="O46" s="59"/>
      <c r="Q46" s="66">
        <f t="shared" si="16"/>
        <v>-2599.61</v>
      </c>
      <c r="R46" s="66">
        <f t="shared" si="17"/>
        <v>0</v>
      </c>
    </row>
    <row r="47" spans="1:18" hidden="1">
      <c r="A47" s="59" t="s">
        <v>466</v>
      </c>
      <c r="B47" s="59" t="s">
        <v>28</v>
      </c>
      <c r="C47" s="112">
        <v>125360500974</v>
      </c>
      <c r="D47" s="64">
        <v>-1623.75</v>
      </c>
      <c r="E47" s="3">
        <v>12021864.83</v>
      </c>
      <c r="F47" s="63" t="s">
        <v>2747</v>
      </c>
      <c r="G47" s="65">
        <f t="shared" si="14"/>
        <v>-270625</v>
      </c>
      <c r="H47" s="65"/>
      <c r="I47" s="108">
        <f>-IFERROR(VLOOKUP(C47,SIRCUPA!$A$21:$H$155,8,0),0)</f>
        <v>0</v>
      </c>
      <c r="J47" s="108">
        <f>-IFERROR(VLOOKUP(C47,SIRTAC!$A$16:$H$1288,8,0),0)</f>
        <v>0</v>
      </c>
      <c r="K47" s="108">
        <f>-IFERROR(VLOOKUP(C47,Gastos!$A$9:$J$1281,10,0),0)</f>
        <v>0</v>
      </c>
      <c r="L47" s="65">
        <f>-IFERROR(VLOOKUP(C47,IDC!$A$25:$H$1532,8,0),0)</f>
        <v>-1623.75</v>
      </c>
      <c r="M47" s="123">
        <f t="shared" si="15"/>
        <v>-1623.75</v>
      </c>
      <c r="N47" s="65"/>
      <c r="O47" s="59"/>
      <c r="Q47" s="66">
        <f t="shared" si="16"/>
        <v>-1623.75</v>
      </c>
      <c r="R47" s="66">
        <f t="shared" si="17"/>
        <v>0</v>
      </c>
    </row>
    <row r="48" spans="1:18" hidden="1">
      <c r="A48" s="59" t="s">
        <v>466</v>
      </c>
      <c r="B48" s="59" t="s">
        <v>28</v>
      </c>
      <c r="C48" s="112">
        <v>125385837094</v>
      </c>
      <c r="D48" s="64">
        <v>-1571.04</v>
      </c>
      <c r="E48" s="3">
        <v>10676268.800000001</v>
      </c>
      <c r="F48" s="63" t="s">
        <v>2747</v>
      </c>
      <c r="G48" s="65">
        <f t="shared" si="14"/>
        <v>-261840</v>
      </c>
      <c r="H48" s="65"/>
      <c r="I48" s="108">
        <f>-IFERROR(VLOOKUP(C48,SIRCUPA!$A$21:$H$155,8,0),0)</f>
        <v>0</v>
      </c>
      <c r="J48" s="108">
        <f>-IFERROR(VLOOKUP(C48,SIRTAC!$A$16:$H$1288,8,0),0)</f>
        <v>0</v>
      </c>
      <c r="K48" s="108">
        <f>-IFERROR(VLOOKUP(C48,Gastos!$A$9:$J$1281,10,0),0)</f>
        <v>0</v>
      </c>
      <c r="L48" s="65">
        <f>-IFERROR(VLOOKUP(C48,IDC!$A$25:$H$1532,8,0),0)</f>
        <v>-1571.04</v>
      </c>
      <c r="M48" s="123">
        <f t="shared" si="15"/>
        <v>-1571.04</v>
      </c>
      <c r="N48" s="65"/>
      <c r="O48" s="59"/>
      <c r="Q48" s="66">
        <f t="shared" si="16"/>
        <v>-1571.04</v>
      </c>
      <c r="R48" s="66">
        <f t="shared" si="17"/>
        <v>0</v>
      </c>
    </row>
    <row r="49" spans="1:18" hidden="1">
      <c r="A49" s="59" t="s">
        <v>466</v>
      </c>
      <c r="B49" s="59" t="s">
        <v>28</v>
      </c>
      <c r="C49" s="112">
        <v>125391966586</v>
      </c>
      <c r="D49" s="63">
        <v>-570.35</v>
      </c>
      <c r="E49" s="3">
        <v>10580640.08</v>
      </c>
      <c r="F49" s="63" t="s">
        <v>2747</v>
      </c>
      <c r="G49" s="65">
        <f t="shared" si="14"/>
        <v>-95058.333333333328</v>
      </c>
      <c r="H49" s="65"/>
      <c r="I49" s="108">
        <f>-IFERROR(VLOOKUP(C49,SIRCUPA!$A$21:$H$155,8,0),0)</f>
        <v>0</v>
      </c>
      <c r="J49" s="108">
        <f>-IFERROR(VLOOKUP(C49,SIRTAC!$A$16:$H$1288,8,0),0)</f>
        <v>0</v>
      </c>
      <c r="K49" s="108">
        <f>-IFERROR(VLOOKUP(C49,Gastos!$A$9:$J$1281,10,0),0)</f>
        <v>0</v>
      </c>
      <c r="L49" s="65">
        <f>-IFERROR(VLOOKUP(C49,IDC!$A$25:$H$1532,8,0),0)</f>
        <v>-570.35</v>
      </c>
      <c r="M49" s="123">
        <f t="shared" si="15"/>
        <v>-570.35</v>
      </c>
      <c r="N49" s="65"/>
      <c r="O49" s="59"/>
      <c r="Q49" s="66">
        <f t="shared" si="16"/>
        <v>-570.35</v>
      </c>
      <c r="R49" s="66">
        <f t="shared" si="17"/>
        <v>0</v>
      </c>
    </row>
    <row r="50" spans="1:18" hidden="1">
      <c r="A50" s="59" t="s">
        <v>485</v>
      </c>
      <c r="B50" s="59" t="s">
        <v>28</v>
      </c>
      <c r="C50" s="112">
        <v>125490840846</v>
      </c>
      <c r="D50" s="63">
        <v>-935.78</v>
      </c>
      <c r="E50" s="3">
        <v>8562238.6199999992</v>
      </c>
      <c r="F50" s="63" t="s">
        <v>2747</v>
      </c>
      <c r="G50" s="65">
        <f t="shared" si="14"/>
        <v>-155963.33333333331</v>
      </c>
      <c r="H50" s="65"/>
      <c r="I50" s="108">
        <f>-IFERROR(VLOOKUP(C50,SIRCUPA!$A$21:$H$155,8,0),0)</f>
        <v>0</v>
      </c>
      <c r="J50" s="108">
        <f>-IFERROR(VLOOKUP(C50,SIRTAC!$A$16:$H$1288,8,0),0)</f>
        <v>0</v>
      </c>
      <c r="K50" s="108">
        <f>-IFERROR(VLOOKUP(C50,Gastos!$A$9:$J$1281,10,0),0)</f>
        <v>0</v>
      </c>
      <c r="L50" s="65">
        <f>-IFERROR(VLOOKUP(C50,IDC!$A$25:$H$1532,8,0),0)</f>
        <v>-935.78</v>
      </c>
      <c r="M50" s="123">
        <f t="shared" si="15"/>
        <v>-935.78</v>
      </c>
      <c r="N50" s="65"/>
      <c r="O50" s="59"/>
      <c r="Q50" s="66">
        <f t="shared" si="16"/>
        <v>-935.78</v>
      </c>
      <c r="R50" s="66">
        <f t="shared" si="17"/>
        <v>0</v>
      </c>
    </row>
    <row r="51" spans="1:18" hidden="1">
      <c r="A51" s="1" t="s">
        <v>65</v>
      </c>
      <c r="B51" s="1" t="s">
        <v>15</v>
      </c>
      <c r="C51" s="91">
        <v>124797073790</v>
      </c>
      <c r="D51" s="3">
        <v>55729.96</v>
      </c>
      <c r="E51" s="3">
        <v>9388994.1799999997</v>
      </c>
      <c r="F51" s="35" t="s">
        <v>2750</v>
      </c>
      <c r="G51"/>
      <c r="H51"/>
      <c r="I51" s="27">
        <f>-IFERROR(VLOOKUP(C51,SIRCUPA!$A$21:$H$155,8,0),0)</f>
        <v>0</v>
      </c>
      <c r="J51" s="88">
        <f>-IFERROR(VLOOKUP(C51,SIRTAC!$A$16:$H$1288,8,0),0)</f>
        <v>-572</v>
      </c>
      <c r="K51" s="88">
        <f>-IFERROR(VLOOKUP(C51,Gastos!$A$9:$J$1281,10,0),0)</f>
        <v>-554.84</v>
      </c>
      <c r="L51" s="87">
        <f>-IFERROR(VLOOKUP(C51,IDC!$A$25:$H$1532,8,0),0)</f>
        <v>-343.2</v>
      </c>
      <c r="M51" s="122">
        <f t="shared" ref="M51:M82" si="18">+D51-I51-J51-K51-L51</f>
        <v>57199.999999999993</v>
      </c>
      <c r="N51"/>
      <c r="P51" s="35">
        <f t="shared" ref="P51:P103" si="19">+L51/0.006</f>
        <v>-57200</v>
      </c>
      <c r="Q51" s="66">
        <f t="shared" ref="Q51:Q103" si="20">+M51+P51</f>
        <v>0</v>
      </c>
    </row>
    <row r="52" spans="1:18" hidden="1">
      <c r="A52" s="1" t="s">
        <v>65</v>
      </c>
      <c r="B52" s="1" t="s">
        <v>15</v>
      </c>
      <c r="C52" s="91">
        <v>124797394520</v>
      </c>
      <c r="D52" s="3">
        <v>35756.81</v>
      </c>
      <c r="E52" s="3">
        <v>9424750.9900000002</v>
      </c>
      <c r="F52" s="35" t="s">
        <v>2750</v>
      </c>
      <c r="G52"/>
      <c r="H52"/>
      <c r="I52" s="27">
        <f>-IFERROR(VLOOKUP(C52,SIRCUPA!$A$21:$H$155,8,0),0)</f>
        <v>0</v>
      </c>
      <c r="J52" s="88">
        <f>-IFERROR(VLOOKUP(C52,SIRTAC!$A$16:$H$1288,8,0),0)</f>
        <v>-367</v>
      </c>
      <c r="K52" s="88">
        <f>-IFERROR(VLOOKUP(C52,Gastos!$A$9:$J$1281,10,0),0)</f>
        <v>-355.99</v>
      </c>
      <c r="L52" s="87">
        <f>-IFERROR(VLOOKUP(C52,IDC!$A$25:$H$1532,8,0),0)</f>
        <v>-220.2</v>
      </c>
      <c r="M52" s="122">
        <f t="shared" si="18"/>
        <v>36699.999999999993</v>
      </c>
      <c r="N52"/>
      <c r="P52" s="35">
        <f t="shared" si="19"/>
        <v>-36700</v>
      </c>
      <c r="Q52" s="66">
        <f t="shared" si="20"/>
        <v>0</v>
      </c>
    </row>
    <row r="53" spans="1:18" hidden="1">
      <c r="A53" s="1" t="s">
        <v>65</v>
      </c>
      <c r="B53" s="1" t="s">
        <v>68</v>
      </c>
      <c r="C53" s="91">
        <v>124253070499</v>
      </c>
      <c r="D53" s="3">
        <v>1796.46</v>
      </c>
      <c r="E53" s="3">
        <v>9426547.4499999993</v>
      </c>
      <c r="F53" s="2" t="s">
        <v>2750</v>
      </c>
      <c r="G53"/>
      <c r="H53"/>
      <c r="I53" s="27">
        <f>-IFERROR(VLOOKUP(C53,SIRCUPA!$A$21:$H$155,8,0),0)</f>
        <v>-27.53</v>
      </c>
      <c r="J53" s="88">
        <f>-IFERROR(VLOOKUP(C53,SIRTAC!$A$16:$H$1288,8,0),0)</f>
        <v>0</v>
      </c>
      <c r="K53" s="88">
        <f>-IFERROR(VLOOKUP(C53,Gastos!$A$9:$J$1281,10,0),0)</f>
        <v>0</v>
      </c>
      <c r="L53" s="87">
        <f>-IFERROR(VLOOKUP(C53,IDC!$A$25:$H$1532,8,0),0)</f>
        <v>-11.01</v>
      </c>
      <c r="M53" s="122">
        <f t="shared" si="18"/>
        <v>1835</v>
      </c>
      <c r="N53"/>
      <c r="P53" s="35">
        <f t="shared" si="19"/>
        <v>-1835</v>
      </c>
      <c r="Q53" s="66">
        <f t="shared" si="20"/>
        <v>0</v>
      </c>
    </row>
    <row r="54" spans="1:18" hidden="1">
      <c r="A54" s="1" t="s">
        <v>65</v>
      </c>
      <c r="B54" s="1" t="s">
        <v>15</v>
      </c>
      <c r="C54" s="91">
        <v>124797743380</v>
      </c>
      <c r="D54" s="3">
        <v>138720.76</v>
      </c>
      <c r="E54" s="3">
        <v>9565268.2100000009</v>
      </c>
      <c r="F54" s="35" t="s">
        <v>2750</v>
      </c>
      <c r="G54"/>
      <c r="H54"/>
      <c r="I54" s="27">
        <f>-IFERROR(VLOOKUP(C54,SIRCUPA!$A$21:$H$155,8,0),0)</f>
        <v>0</v>
      </c>
      <c r="J54" s="88">
        <f>-IFERROR(VLOOKUP(C54,SIRTAC!$A$16:$H$1288,8,0),0)</f>
        <v>-1527.93</v>
      </c>
      <c r="K54" s="88">
        <f>-IFERROR(VLOOKUP(C54,Gastos!$A$9:$J$1281,10,0),0)</f>
        <v>-11627.55</v>
      </c>
      <c r="L54" s="87">
        <f>-IFERROR(VLOOKUP(C54,IDC!$A$25:$H$1532,8,0),0)</f>
        <v>-916.76</v>
      </c>
      <c r="M54" s="122">
        <f t="shared" si="18"/>
        <v>152793</v>
      </c>
      <c r="N54"/>
      <c r="P54" s="35">
        <f t="shared" si="19"/>
        <v>-152793.33333333334</v>
      </c>
      <c r="Q54" s="66">
        <f t="shared" si="20"/>
        <v>-0.33333333334303461</v>
      </c>
    </row>
    <row r="55" spans="1:18" hidden="1">
      <c r="A55" s="1" t="s">
        <v>65</v>
      </c>
      <c r="B55" s="1" t="s">
        <v>15</v>
      </c>
      <c r="C55" s="91">
        <v>124797908608</v>
      </c>
      <c r="D55" s="3">
        <v>14072.45</v>
      </c>
      <c r="E55" s="3">
        <v>9579340.6600000001</v>
      </c>
      <c r="F55" s="35" t="s">
        <v>2750</v>
      </c>
      <c r="G55"/>
      <c r="H55"/>
      <c r="I55" s="27">
        <f>-IFERROR(VLOOKUP(C55,SIRCUPA!$A$21:$H$155,8,0),0)</f>
        <v>0</v>
      </c>
      <c r="J55" s="88">
        <f>-IFERROR(VLOOKUP(C55,SIRTAC!$A$16:$H$1288,8,0),0)</f>
        <v>-155</v>
      </c>
      <c r="K55" s="88">
        <f>-IFERROR(VLOOKUP(C55,Gastos!$A$9:$J$1281,10,0),0)</f>
        <v>-1179.55</v>
      </c>
      <c r="L55" s="87">
        <f>-IFERROR(VLOOKUP(C55,IDC!$A$25:$H$1532,8,0),0)</f>
        <v>-93</v>
      </c>
      <c r="M55" s="122">
        <f t="shared" si="18"/>
        <v>15500</v>
      </c>
      <c r="N55"/>
      <c r="P55" s="35">
        <f t="shared" si="19"/>
        <v>-15500</v>
      </c>
      <c r="Q55" s="66">
        <f t="shared" si="20"/>
        <v>0</v>
      </c>
    </row>
    <row r="56" spans="1:18" hidden="1">
      <c r="A56" s="1" t="s">
        <v>65</v>
      </c>
      <c r="B56" s="1" t="s">
        <v>15</v>
      </c>
      <c r="C56" s="91">
        <v>124253989611</v>
      </c>
      <c r="D56" s="3">
        <v>20362.87</v>
      </c>
      <c r="E56" s="3">
        <v>9599703.5299999993</v>
      </c>
      <c r="F56" s="35" t="s">
        <v>2750</v>
      </c>
      <c r="G56"/>
      <c r="H56"/>
      <c r="I56" s="27">
        <f>-IFERROR(VLOOKUP(C56,SIRCUPA!$A$21:$H$155,8,0),0)</f>
        <v>0</v>
      </c>
      <c r="J56" s="88">
        <f>-IFERROR(VLOOKUP(C56,SIRTAC!$A$16:$H$1288,8,0),0)</f>
        <v>-209</v>
      </c>
      <c r="K56" s="88">
        <f>-IFERROR(VLOOKUP(C56,Gastos!$A$9:$J$1281,10,0),0)</f>
        <v>-202.73</v>
      </c>
      <c r="L56" s="87">
        <f>-IFERROR(VLOOKUP(C56,IDC!$A$25:$H$1532,8,0),0)</f>
        <v>-125.4</v>
      </c>
      <c r="M56" s="122">
        <f t="shared" si="18"/>
        <v>20900</v>
      </c>
      <c r="N56"/>
      <c r="P56" s="35">
        <f t="shared" si="19"/>
        <v>-20900</v>
      </c>
      <c r="Q56" s="66">
        <f t="shared" si="20"/>
        <v>0</v>
      </c>
    </row>
    <row r="57" spans="1:18" hidden="1">
      <c r="A57" s="1" t="s">
        <v>65</v>
      </c>
      <c r="B57" s="1" t="s">
        <v>15</v>
      </c>
      <c r="C57" s="91">
        <v>124798439032</v>
      </c>
      <c r="D57" s="3">
        <v>27475.26</v>
      </c>
      <c r="E57" s="3">
        <v>9627178.7899999991</v>
      </c>
      <c r="F57" s="35" t="s">
        <v>2750</v>
      </c>
      <c r="G57"/>
      <c r="H57"/>
      <c r="I57" s="27">
        <f>-IFERROR(VLOOKUP(C57,SIRCUPA!$A$21:$H$155,8,0),0)</f>
        <v>0</v>
      </c>
      <c r="J57" s="88">
        <f>-IFERROR(VLOOKUP(C57,SIRTAC!$A$16:$H$1288,8,0),0)</f>
        <v>-282</v>
      </c>
      <c r="K57" s="88">
        <f>-IFERROR(VLOOKUP(C57,Gastos!$A$9:$J$1281,10,0),0)</f>
        <v>-273.54000000000002</v>
      </c>
      <c r="L57" s="87">
        <f>-IFERROR(VLOOKUP(C57,IDC!$A$25:$H$1532,8,0),0)</f>
        <v>-169.2</v>
      </c>
      <c r="M57" s="122">
        <f t="shared" si="18"/>
        <v>28200</v>
      </c>
      <c r="N57"/>
      <c r="P57" s="35">
        <f t="shared" si="19"/>
        <v>-28199.999999999996</v>
      </c>
      <c r="Q57" s="66">
        <f t="shared" si="20"/>
        <v>0</v>
      </c>
    </row>
    <row r="58" spans="1:18" hidden="1">
      <c r="A58" s="1" t="s">
        <v>65</v>
      </c>
      <c r="B58" s="1" t="s">
        <v>74</v>
      </c>
      <c r="C58" s="91">
        <v>124254045511</v>
      </c>
      <c r="D58" s="3">
        <v>1380.39</v>
      </c>
      <c r="E58" s="3">
        <v>9628559.1799999997</v>
      </c>
      <c r="F58" s="2" t="s">
        <v>2750</v>
      </c>
      <c r="G58"/>
      <c r="H58"/>
      <c r="I58" s="27">
        <f>-IFERROR(VLOOKUP(C58,SIRCUPA!$A$21:$H$155,8,0),0)</f>
        <v>-21.15</v>
      </c>
      <c r="J58" s="88">
        <f>-IFERROR(VLOOKUP(C58,SIRTAC!$A$16:$H$1288,8,0),0)</f>
        <v>0</v>
      </c>
      <c r="K58" s="88">
        <f>-IFERROR(VLOOKUP(C58,Gastos!$A$9:$J$1281,10,0),0)</f>
        <v>0</v>
      </c>
      <c r="L58" s="87">
        <f>-IFERROR(VLOOKUP(C58,IDC!$A$25:$H$1532,8,0),0)</f>
        <v>-8.4600000000000009</v>
      </c>
      <c r="M58" s="122">
        <f t="shared" si="18"/>
        <v>1410.0000000000002</v>
      </c>
      <c r="N58"/>
      <c r="P58" s="35">
        <f t="shared" si="19"/>
        <v>-1410</v>
      </c>
      <c r="Q58" s="66">
        <f t="shared" si="20"/>
        <v>0</v>
      </c>
    </row>
    <row r="59" spans="1:18" s="59" customFormat="1" hidden="1">
      <c r="A59" s="35" t="s">
        <v>65</v>
      </c>
      <c r="B59" s="35" t="s">
        <v>15</v>
      </c>
      <c r="C59" s="91">
        <v>124798706468</v>
      </c>
      <c r="D59" s="3">
        <v>9548.14</v>
      </c>
      <c r="E59" s="3">
        <v>9638107.3200000003</v>
      </c>
      <c r="F59" s="35" t="s">
        <v>2750</v>
      </c>
      <c r="G59" s="35"/>
      <c r="H59" s="35"/>
      <c r="I59" s="27">
        <f>-IFERROR(VLOOKUP(C59,SIRCUPA!$A$21:$H$155,8,0),0)</f>
        <v>0</v>
      </c>
      <c r="J59" s="88">
        <f>-IFERROR(VLOOKUP(C59,SIRTAC!$A$16:$H$1288,8,0),0)</f>
        <v>-98</v>
      </c>
      <c r="K59" s="88">
        <f>-IFERROR(VLOOKUP(C59,Gastos!$A$9:$J$1281,10,0),0)</f>
        <v>-95.06</v>
      </c>
      <c r="L59" s="87">
        <f>-IFERROR(VLOOKUP(C59,IDC!$A$25:$H$1532,8,0),0)</f>
        <v>-58.8</v>
      </c>
      <c r="M59" s="122">
        <f t="shared" si="18"/>
        <v>9799.9999999999982</v>
      </c>
      <c r="N59" s="35"/>
      <c r="O59" s="35"/>
      <c r="P59" s="35">
        <f t="shared" si="19"/>
        <v>-9800</v>
      </c>
      <c r="Q59" s="66">
        <f t="shared" si="20"/>
        <v>0</v>
      </c>
    </row>
    <row r="60" spans="1:18" s="59" customFormat="1" hidden="1">
      <c r="A60" s="35" t="s">
        <v>65</v>
      </c>
      <c r="B60" s="35" t="s">
        <v>15</v>
      </c>
      <c r="C60" s="91">
        <v>124800062204</v>
      </c>
      <c r="D60" s="3">
        <v>45984.04</v>
      </c>
      <c r="E60" s="3">
        <v>9684091.3599999994</v>
      </c>
      <c r="F60" s="35" t="s">
        <v>2750</v>
      </c>
      <c r="G60" s="35"/>
      <c r="H60" s="35"/>
      <c r="I60" s="27">
        <f>-IFERROR(VLOOKUP(C60,SIRCUPA!$A$21:$H$155,8,0),0)</f>
        <v>0</v>
      </c>
      <c r="J60" s="88">
        <f>-IFERROR(VLOOKUP(C60,SIRTAC!$A$16:$H$1288,8,0),0)</f>
        <v>-471.97</v>
      </c>
      <c r="K60" s="88">
        <f>-IFERROR(VLOOKUP(C60,Gastos!$A$9:$J$1281,10,0),0)</f>
        <v>-457.81</v>
      </c>
      <c r="L60" s="87">
        <f>-IFERROR(VLOOKUP(C60,IDC!$A$25:$H$1532,8,0),0)</f>
        <v>-283.18</v>
      </c>
      <c r="M60" s="122">
        <f t="shared" si="18"/>
        <v>47197</v>
      </c>
      <c r="N60" s="35"/>
      <c r="O60" s="35"/>
      <c r="P60" s="35">
        <f t="shared" si="19"/>
        <v>-47196.666666666664</v>
      </c>
      <c r="Q60" s="66">
        <f t="shared" si="20"/>
        <v>0.33333333333575865</v>
      </c>
    </row>
    <row r="61" spans="1:18" hidden="1">
      <c r="A61" s="35" t="s">
        <v>65</v>
      </c>
      <c r="B61" s="35" t="s">
        <v>15</v>
      </c>
      <c r="C61" s="91">
        <v>124256095479</v>
      </c>
      <c r="D61" s="3">
        <v>19484.05</v>
      </c>
      <c r="E61" s="3">
        <v>9703575.4100000001</v>
      </c>
      <c r="F61" s="35" t="s">
        <v>2750</v>
      </c>
      <c r="G61" s="35"/>
      <c r="H61" s="35"/>
      <c r="I61" s="27">
        <f>-IFERROR(VLOOKUP(C61,SIRCUPA!$A$21:$H$155,8,0),0)</f>
        <v>0</v>
      </c>
      <c r="J61" s="88">
        <f>-IFERROR(VLOOKUP(C61,SIRTAC!$A$16:$H$1288,8,0),0)</f>
        <v>-199.98</v>
      </c>
      <c r="K61" s="88">
        <f>-IFERROR(VLOOKUP(C61,Gastos!$A$9:$J$1281,10,0),0)</f>
        <v>-193.98</v>
      </c>
      <c r="L61" s="87">
        <f>-IFERROR(VLOOKUP(C61,IDC!$A$25:$H$1532,8,0),0)</f>
        <v>-119.99</v>
      </c>
      <c r="M61" s="122">
        <f t="shared" si="18"/>
        <v>19998</v>
      </c>
      <c r="N61" s="35"/>
      <c r="O61" s="35"/>
      <c r="P61" s="35">
        <f t="shared" si="19"/>
        <v>-19998.333333333332</v>
      </c>
      <c r="Q61" s="66">
        <f t="shared" si="20"/>
        <v>-0.33333333333212067</v>
      </c>
    </row>
    <row r="62" spans="1:18" s="59" customFormat="1" hidden="1">
      <c r="A62" s="35" t="s">
        <v>65</v>
      </c>
      <c r="B62" s="35" t="s">
        <v>15</v>
      </c>
      <c r="C62" s="91">
        <v>124907529624</v>
      </c>
      <c r="D62" s="3">
        <v>15491.37</v>
      </c>
      <c r="E62" s="3">
        <v>8104551.1500000004</v>
      </c>
      <c r="F62" s="35" t="s">
        <v>2750</v>
      </c>
      <c r="G62" s="35"/>
      <c r="H62" s="35"/>
      <c r="I62" s="27">
        <f>-IFERROR(VLOOKUP(C62,SIRCUPA!$A$21:$H$155,8,0),0)</f>
        <v>0</v>
      </c>
      <c r="J62" s="88">
        <f>-IFERROR(VLOOKUP(C62,SIRTAC!$A$16:$H$1288,8,0),0)</f>
        <v>-159</v>
      </c>
      <c r="K62" s="88">
        <f>-IFERROR(VLOOKUP(C62,Gastos!$A$9:$J$1281,10,0),0)</f>
        <v>-154.22999999999999</v>
      </c>
      <c r="L62" s="87">
        <f>-IFERROR(VLOOKUP(C62,IDC!$A$25:$H$1532,8,0),0)</f>
        <v>-95.4</v>
      </c>
      <c r="M62" s="122">
        <f t="shared" si="18"/>
        <v>15900</v>
      </c>
      <c r="N62" s="35"/>
      <c r="O62" s="35"/>
      <c r="P62" s="35">
        <f t="shared" si="19"/>
        <v>-15900</v>
      </c>
      <c r="Q62" s="66">
        <f t="shared" si="20"/>
        <v>0</v>
      </c>
    </row>
    <row r="63" spans="1:18" s="59" customFormat="1" hidden="1">
      <c r="A63" s="35" t="s">
        <v>65</v>
      </c>
      <c r="B63" s="35" t="s">
        <v>15</v>
      </c>
      <c r="C63" s="91">
        <v>124362593953</v>
      </c>
      <c r="D63" s="3">
        <v>4189.49</v>
      </c>
      <c r="E63" s="3">
        <v>8108740.6399999997</v>
      </c>
      <c r="F63" s="35" t="s">
        <v>2750</v>
      </c>
      <c r="G63" s="35"/>
      <c r="H63" s="35"/>
      <c r="I63" s="27">
        <f>-IFERROR(VLOOKUP(C63,SIRCUPA!$A$21:$H$155,8,0),0)</f>
        <v>0</v>
      </c>
      <c r="J63" s="88">
        <f>-IFERROR(VLOOKUP(C63,SIRTAC!$A$16:$H$1288,8,0),0)</f>
        <v>-43</v>
      </c>
      <c r="K63" s="88">
        <f>-IFERROR(VLOOKUP(C63,Gastos!$A$9:$J$1281,10,0),0)</f>
        <v>-41.71</v>
      </c>
      <c r="L63" s="87">
        <f>-IFERROR(VLOOKUP(C63,IDC!$A$25:$H$1532,8,0),0)</f>
        <v>-25.8</v>
      </c>
      <c r="M63" s="122">
        <f t="shared" si="18"/>
        <v>4300</v>
      </c>
      <c r="N63" s="35"/>
      <c r="O63" s="35"/>
      <c r="P63" s="35">
        <f t="shared" si="19"/>
        <v>-4300</v>
      </c>
      <c r="Q63" s="66">
        <f t="shared" si="20"/>
        <v>0</v>
      </c>
    </row>
    <row r="64" spans="1:18" s="59" customFormat="1" hidden="1">
      <c r="A64" s="35" t="s">
        <v>65</v>
      </c>
      <c r="B64" s="35" t="s">
        <v>88</v>
      </c>
      <c r="C64" s="91">
        <v>124362828291</v>
      </c>
      <c r="D64" s="2">
        <v>210.48</v>
      </c>
      <c r="E64" s="3">
        <v>8108951.1200000001</v>
      </c>
      <c r="F64" s="2" t="s">
        <v>2750</v>
      </c>
      <c r="G64" s="35"/>
      <c r="H64" s="35"/>
      <c r="I64" s="27">
        <f>-IFERROR(VLOOKUP(C64,SIRCUPA!$A$21:$H$155,8,0),0)</f>
        <v>-3.23</v>
      </c>
      <c r="J64" s="88">
        <f>-IFERROR(VLOOKUP(C64,SIRTAC!$A$16:$H$1288,8,0),0)</f>
        <v>0</v>
      </c>
      <c r="K64" s="88">
        <f>-IFERROR(VLOOKUP(C64,Gastos!$A$9:$J$1281,10,0),0)</f>
        <v>0</v>
      </c>
      <c r="L64" s="87">
        <f>-IFERROR(VLOOKUP(C64,IDC!$A$25:$H$1532,8,0),0)</f>
        <v>-1.29</v>
      </c>
      <c r="M64" s="122">
        <f t="shared" si="18"/>
        <v>214.99999999999997</v>
      </c>
      <c r="N64" s="35"/>
      <c r="O64" s="35"/>
      <c r="P64" s="35">
        <f t="shared" si="19"/>
        <v>-215</v>
      </c>
      <c r="Q64" s="66">
        <f t="shared" si="20"/>
        <v>0</v>
      </c>
    </row>
    <row r="65" spans="1:17" s="59" customFormat="1" hidden="1">
      <c r="A65" s="35" t="s">
        <v>65</v>
      </c>
      <c r="B65" s="35" t="s">
        <v>15</v>
      </c>
      <c r="C65" s="91">
        <v>124908939322</v>
      </c>
      <c r="D65" s="3">
        <v>4189.49</v>
      </c>
      <c r="E65" s="3">
        <v>8113140.6100000003</v>
      </c>
      <c r="F65" s="35" t="s">
        <v>2750</v>
      </c>
      <c r="G65" s="35"/>
      <c r="H65" s="35"/>
      <c r="I65" s="27">
        <f>-IFERROR(VLOOKUP(C65,SIRCUPA!$A$21:$H$155,8,0),0)</f>
        <v>0</v>
      </c>
      <c r="J65" s="88">
        <f>-IFERROR(VLOOKUP(C65,SIRTAC!$A$16:$H$1288,8,0),0)</f>
        <v>-43</v>
      </c>
      <c r="K65" s="88">
        <f>-IFERROR(VLOOKUP(C65,Gastos!$A$9:$J$1281,10,0),0)</f>
        <v>-41.71</v>
      </c>
      <c r="L65" s="87">
        <f>-IFERROR(VLOOKUP(C65,IDC!$A$25:$H$1532,8,0),0)</f>
        <v>-25.8</v>
      </c>
      <c r="M65" s="122">
        <f t="shared" si="18"/>
        <v>4300</v>
      </c>
      <c r="N65" s="35"/>
      <c r="O65" s="35"/>
      <c r="P65" s="35">
        <f t="shared" si="19"/>
        <v>-4300</v>
      </c>
      <c r="Q65" s="66">
        <f t="shared" si="20"/>
        <v>0</v>
      </c>
    </row>
    <row r="66" spans="1:17" hidden="1">
      <c r="A66" s="1" t="s">
        <v>65</v>
      </c>
      <c r="B66" s="1" t="s">
        <v>15</v>
      </c>
      <c r="C66" s="91">
        <v>124909134908</v>
      </c>
      <c r="D66" s="3">
        <v>7599.54</v>
      </c>
      <c r="E66" s="3">
        <v>8120740.1500000004</v>
      </c>
      <c r="F66" s="35" t="s">
        <v>2750</v>
      </c>
      <c r="G66"/>
      <c r="H66"/>
      <c r="I66" s="27">
        <f>-IFERROR(VLOOKUP(C66,SIRCUPA!$A$21:$H$155,8,0),0)</f>
        <v>0</v>
      </c>
      <c r="J66" s="88">
        <f>-IFERROR(VLOOKUP(C66,SIRTAC!$A$16:$H$1288,8,0),0)</f>
        <v>-78</v>
      </c>
      <c r="K66" s="88">
        <f>-IFERROR(VLOOKUP(C66,Gastos!$A$9:$J$1281,10,0),0)</f>
        <v>-75.66</v>
      </c>
      <c r="L66" s="87">
        <f>-IFERROR(VLOOKUP(C66,IDC!$A$25:$H$1532,8,0),0)</f>
        <v>-46.8</v>
      </c>
      <c r="M66" s="122">
        <f t="shared" si="18"/>
        <v>7800</v>
      </c>
      <c r="N66"/>
      <c r="P66" s="35">
        <f t="shared" si="19"/>
        <v>-7799.9999999999991</v>
      </c>
      <c r="Q66" s="66">
        <f t="shared" si="20"/>
        <v>0</v>
      </c>
    </row>
    <row r="67" spans="1:17" hidden="1">
      <c r="A67" s="1" t="s">
        <v>65</v>
      </c>
      <c r="B67" s="1" t="s">
        <v>92</v>
      </c>
      <c r="C67" s="91">
        <v>124909138878</v>
      </c>
      <c r="D67" s="2">
        <v>381.81</v>
      </c>
      <c r="E67" s="3">
        <v>8121121.96</v>
      </c>
      <c r="F67" s="2" t="s">
        <v>2750</v>
      </c>
      <c r="G67"/>
      <c r="H67"/>
      <c r="I67" s="27">
        <f>-IFERROR(VLOOKUP(C67,SIRCUPA!$A$21:$H$155,8,0),0)</f>
        <v>-5.85</v>
      </c>
      <c r="J67" s="88">
        <f>-IFERROR(VLOOKUP(C67,SIRTAC!$A$16:$H$1288,8,0),0)</f>
        <v>0</v>
      </c>
      <c r="K67" s="88">
        <f>-IFERROR(VLOOKUP(C67,Gastos!$A$9:$J$1281,10,0),0)</f>
        <v>0</v>
      </c>
      <c r="L67" s="87">
        <f>-IFERROR(VLOOKUP(C67,IDC!$A$25:$H$1532,8,0),0)</f>
        <v>-2.34</v>
      </c>
      <c r="M67" s="122">
        <f t="shared" si="18"/>
        <v>390</v>
      </c>
      <c r="N67"/>
      <c r="P67" s="35">
        <f t="shared" si="19"/>
        <v>-389.99999999999994</v>
      </c>
      <c r="Q67" s="66">
        <f t="shared" si="20"/>
        <v>0</v>
      </c>
    </row>
    <row r="68" spans="1:17" hidden="1">
      <c r="A68" s="1" t="s">
        <v>65</v>
      </c>
      <c r="B68" s="1" t="s">
        <v>15</v>
      </c>
      <c r="C68" s="91">
        <v>124912912486</v>
      </c>
      <c r="D68" s="3">
        <v>29229</v>
      </c>
      <c r="E68" s="3">
        <v>8150350.96</v>
      </c>
      <c r="F68" s="35" t="s">
        <v>2750</v>
      </c>
      <c r="G68"/>
      <c r="H68"/>
      <c r="I68" s="27">
        <f>-IFERROR(VLOOKUP(C68,SIRCUPA!$A$21:$H$155,8,0),0)</f>
        <v>0</v>
      </c>
      <c r="J68" s="88">
        <f>-IFERROR(VLOOKUP(C68,SIRTAC!$A$16:$H$1288,8,0),0)</f>
        <v>-300</v>
      </c>
      <c r="K68" s="88">
        <f>-IFERROR(VLOOKUP(C68,Gastos!$A$9:$J$1281,10,0),0)</f>
        <v>-291</v>
      </c>
      <c r="L68" s="87">
        <f>-IFERROR(VLOOKUP(C68,IDC!$A$25:$H$1532,8,0),0)</f>
        <v>-180</v>
      </c>
      <c r="M68" s="122">
        <f t="shared" si="18"/>
        <v>30000</v>
      </c>
      <c r="N68"/>
      <c r="P68" s="35">
        <f t="shared" si="19"/>
        <v>-30000</v>
      </c>
      <c r="Q68" s="66">
        <f t="shared" si="20"/>
        <v>0</v>
      </c>
    </row>
    <row r="69" spans="1:17" hidden="1">
      <c r="A69" s="1" t="s">
        <v>65</v>
      </c>
      <c r="B69" s="1" t="s">
        <v>15</v>
      </c>
      <c r="C69" s="91">
        <v>124368294535</v>
      </c>
      <c r="D69" s="3">
        <v>4062.21</v>
      </c>
      <c r="E69" s="3">
        <v>8154413.1699999999</v>
      </c>
      <c r="F69" s="35" t="s">
        <v>2750</v>
      </c>
      <c r="G69"/>
      <c r="H69"/>
      <c r="I69" s="27">
        <f>-IFERROR(VLOOKUP(C69,SIRCUPA!$A$21:$H$155,8,0),0)</f>
        <v>0</v>
      </c>
      <c r="J69" s="88">
        <f>-IFERROR(VLOOKUP(C69,SIRTAC!$A$16:$H$1288,8,0),0)</f>
        <v>-43</v>
      </c>
      <c r="K69" s="88">
        <f>-IFERROR(VLOOKUP(C69,Gastos!$A$9:$J$1281,10,0),0)</f>
        <v>-168.99</v>
      </c>
      <c r="L69" s="87">
        <f>-IFERROR(VLOOKUP(C69,IDC!$A$25:$H$1532,8,0),0)</f>
        <v>-25.8</v>
      </c>
      <c r="M69" s="122">
        <f t="shared" si="18"/>
        <v>4300</v>
      </c>
      <c r="N69"/>
      <c r="P69" s="35">
        <f t="shared" si="19"/>
        <v>-4300</v>
      </c>
      <c r="Q69" s="66">
        <f t="shared" si="20"/>
        <v>0</v>
      </c>
    </row>
    <row r="70" spans="1:17" hidden="1">
      <c r="A70" s="1" t="s">
        <v>65</v>
      </c>
      <c r="B70" s="1" t="s">
        <v>15</v>
      </c>
      <c r="C70" s="91">
        <v>124370030581</v>
      </c>
      <c r="D70" s="3">
        <v>106101.27</v>
      </c>
      <c r="E70" s="3">
        <v>8260514.4400000004</v>
      </c>
      <c r="F70" s="35" t="s">
        <v>2750</v>
      </c>
      <c r="G70"/>
      <c r="H70"/>
      <c r="I70" s="27">
        <f>-IFERROR(VLOOKUP(C70,SIRCUPA!$A$21:$H$155,8,0),0)</f>
        <v>0</v>
      </c>
      <c r="J70" s="88">
        <f>-IFERROR(VLOOKUP(C70,SIRTAC!$A$16:$H$1288,8,0),0)</f>
        <v>-1089</v>
      </c>
      <c r="K70" s="88">
        <f>-IFERROR(VLOOKUP(C70,Gastos!$A$9:$J$1281,10,0),0)</f>
        <v>-1056.33</v>
      </c>
      <c r="L70" s="87">
        <f>-IFERROR(VLOOKUP(C70,IDC!$A$25:$H$1532,8,0),0)</f>
        <v>-653.4</v>
      </c>
      <c r="M70" s="122">
        <f t="shared" si="18"/>
        <v>108900</v>
      </c>
      <c r="N70"/>
      <c r="P70" s="35">
        <f t="shared" si="19"/>
        <v>-108900</v>
      </c>
      <c r="Q70" s="66">
        <f t="shared" si="20"/>
        <v>0</v>
      </c>
    </row>
    <row r="71" spans="1:17" hidden="1">
      <c r="A71" s="1" t="s">
        <v>65</v>
      </c>
      <c r="B71" s="1" t="s">
        <v>15</v>
      </c>
      <c r="C71" s="91">
        <v>124919880508</v>
      </c>
      <c r="D71" s="3">
        <v>23188.34</v>
      </c>
      <c r="E71" s="3">
        <v>8283702.7800000003</v>
      </c>
      <c r="F71" s="35" t="s">
        <v>2750</v>
      </c>
      <c r="G71"/>
      <c r="H71"/>
      <c r="I71" s="27">
        <f>-IFERROR(VLOOKUP(C71,SIRCUPA!$A$21:$H$155,8,0),0)</f>
        <v>0</v>
      </c>
      <c r="J71" s="88">
        <f>-IFERROR(VLOOKUP(C71,SIRTAC!$A$16:$H$1288,8,0),0)</f>
        <v>-238</v>
      </c>
      <c r="K71" s="88">
        <f>-IFERROR(VLOOKUP(C71,Gastos!$A$9:$J$1281,10,0),0)</f>
        <v>-230.86</v>
      </c>
      <c r="L71" s="87">
        <f>-IFERROR(VLOOKUP(C71,IDC!$A$25:$H$1532,8,0),0)</f>
        <v>-142.80000000000001</v>
      </c>
      <c r="M71" s="122">
        <f t="shared" si="18"/>
        <v>23800</v>
      </c>
      <c r="N71"/>
      <c r="P71" s="35">
        <f t="shared" si="19"/>
        <v>-23800</v>
      </c>
      <c r="Q71" s="66">
        <f t="shared" si="20"/>
        <v>0</v>
      </c>
    </row>
    <row r="72" spans="1:17" hidden="1">
      <c r="A72" s="1" t="s">
        <v>65</v>
      </c>
      <c r="B72" s="1" t="s">
        <v>15</v>
      </c>
      <c r="C72" s="91">
        <v>124375560999</v>
      </c>
      <c r="D72" s="3">
        <v>4062.21</v>
      </c>
      <c r="E72" s="3">
        <v>8287764.9900000002</v>
      </c>
      <c r="F72" s="35" t="s">
        <v>2750</v>
      </c>
      <c r="G72"/>
      <c r="H72"/>
      <c r="I72" s="27">
        <f>-IFERROR(VLOOKUP(C72,SIRCUPA!$A$21:$H$155,8,0),0)</f>
        <v>0</v>
      </c>
      <c r="J72" s="88">
        <f>-IFERROR(VLOOKUP(C72,SIRTAC!$A$16:$H$1288,8,0),0)</f>
        <v>-43</v>
      </c>
      <c r="K72" s="88">
        <f>-IFERROR(VLOOKUP(C72,Gastos!$A$9:$J$1281,10,0),0)</f>
        <v>-168.99</v>
      </c>
      <c r="L72" s="87">
        <f>-IFERROR(VLOOKUP(C72,IDC!$A$25:$H$1532,8,0),0)</f>
        <v>-25.8</v>
      </c>
      <c r="M72" s="122">
        <f t="shared" si="18"/>
        <v>4300</v>
      </c>
      <c r="N72"/>
      <c r="P72" s="35">
        <f t="shared" si="19"/>
        <v>-4300</v>
      </c>
      <c r="Q72" s="66">
        <f t="shared" si="20"/>
        <v>0</v>
      </c>
    </row>
    <row r="73" spans="1:17" hidden="1">
      <c r="A73" s="1" t="s">
        <v>65</v>
      </c>
      <c r="B73" s="1" t="s">
        <v>15</v>
      </c>
      <c r="C73" s="91">
        <v>124921656040</v>
      </c>
      <c r="D73" s="3">
        <v>37356.28</v>
      </c>
      <c r="E73" s="3">
        <v>8325121.2699999996</v>
      </c>
      <c r="F73" s="35" t="s">
        <v>2750</v>
      </c>
      <c r="G73"/>
      <c r="H73"/>
      <c r="I73" s="27">
        <f>-IFERROR(VLOOKUP(C73,SIRCUPA!$A$21:$H$155,8,0),0)</f>
        <v>0</v>
      </c>
      <c r="J73" s="88">
        <f>-IFERROR(VLOOKUP(C73,SIRTAC!$A$16:$H$1288,8,0),0)</f>
        <v>-398</v>
      </c>
      <c r="K73" s="88">
        <f>-IFERROR(VLOOKUP(C73,Gastos!$A$9:$J$1281,10,0),0)</f>
        <v>-1806.92</v>
      </c>
      <c r="L73" s="87">
        <f>-IFERROR(VLOOKUP(C73,IDC!$A$25:$H$1532,8,0),0)</f>
        <v>-238.8</v>
      </c>
      <c r="M73" s="122">
        <f t="shared" si="18"/>
        <v>39800</v>
      </c>
      <c r="N73"/>
      <c r="P73" s="35">
        <f t="shared" si="19"/>
        <v>-39800</v>
      </c>
      <c r="Q73" s="66">
        <f t="shared" si="20"/>
        <v>0</v>
      </c>
    </row>
    <row r="74" spans="1:17" hidden="1">
      <c r="A74" s="1" t="s">
        <v>65</v>
      </c>
      <c r="B74" s="1" t="s">
        <v>15</v>
      </c>
      <c r="C74" s="91">
        <v>124379045323</v>
      </c>
      <c r="D74" s="3">
        <v>3799.77</v>
      </c>
      <c r="E74" s="3">
        <v>8328921.04</v>
      </c>
      <c r="F74" s="35" t="s">
        <v>2750</v>
      </c>
      <c r="G74"/>
      <c r="H74"/>
      <c r="I74" s="27">
        <f>-IFERROR(VLOOKUP(C74,SIRCUPA!$A$21:$H$155,8,0),0)</f>
        <v>0</v>
      </c>
      <c r="J74" s="88">
        <f>-IFERROR(VLOOKUP(C74,SIRTAC!$A$16:$H$1288,8,0),0)</f>
        <v>-39</v>
      </c>
      <c r="K74" s="88">
        <f>-IFERROR(VLOOKUP(C74,Gastos!$A$9:$J$1281,10,0),0)</f>
        <v>-37.83</v>
      </c>
      <c r="L74" s="87">
        <f>-IFERROR(VLOOKUP(C74,IDC!$A$25:$H$1532,8,0),0)</f>
        <v>-23.4</v>
      </c>
      <c r="M74" s="122">
        <f t="shared" si="18"/>
        <v>3900</v>
      </c>
      <c r="N74"/>
      <c r="P74" s="35">
        <f t="shared" si="19"/>
        <v>-3899.9999999999995</v>
      </c>
      <c r="Q74" s="66">
        <f t="shared" si="20"/>
        <v>0</v>
      </c>
    </row>
    <row r="75" spans="1:17" hidden="1">
      <c r="A75" s="1" t="s">
        <v>65</v>
      </c>
      <c r="B75" s="1" t="s">
        <v>15</v>
      </c>
      <c r="C75" s="91">
        <v>124924939738</v>
      </c>
      <c r="D75" s="3">
        <v>8378.98</v>
      </c>
      <c r="E75" s="3">
        <v>8337300.0199999996</v>
      </c>
      <c r="F75" s="35" t="s">
        <v>2750</v>
      </c>
      <c r="G75"/>
      <c r="H75"/>
      <c r="I75" s="27">
        <f>-IFERROR(VLOOKUP(C75,SIRCUPA!$A$21:$H$155,8,0),0)</f>
        <v>0</v>
      </c>
      <c r="J75" s="88">
        <f>-IFERROR(VLOOKUP(C75,SIRTAC!$A$16:$H$1288,8,0),0)</f>
        <v>-86</v>
      </c>
      <c r="K75" s="88">
        <f>-IFERROR(VLOOKUP(C75,Gastos!$A$9:$J$1281,10,0),0)</f>
        <v>-83.42</v>
      </c>
      <c r="L75" s="87">
        <f>-IFERROR(VLOOKUP(C75,IDC!$A$25:$H$1532,8,0),0)</f>
        <v>-51.6</v>
      </c>
      <c r="M75" s="122">
        <f t="shared" si="18"/>
        <v>8600</v>
      </c>
      <c r="N75"/>
      <c r="P75" s="35">
        <f t="shared" si="19"/>
        <v>-8600</v>
      </c>
      <c r="Q75" s="66">
        <f t="shared" si="20"/>
        <v>0</v>
      </c>
    </row>
    <row r="76" spans="1:17" hidden="1">
      <c r="A76" s="1" t="s">
        <v>65</v>
      </c>
      <c r="B76" s="1" t="s">
        <v>15</v>
      </c>
      <c r="C76" s="91">
        <v>124379914851</v>
      </c>
      <c r="D76" s="3">
        <v>4189.49</v>
      </c>
      <c r="E76" s="3">
        <v>8341489.5099999998</v>
      </c>
      <c r="F76" s="35" t="s">
        <v>2750</v>
      </c>
      <c r="G76"/>
      <c r="H76"/>
      <c r="I76" s="27">
        <f>-IFERROR(VLOOKUP(C76,SIRCUPA!$A$21:$H$155,8,0),0)</f>
        <v>0</v>
      </c>
      <c r="J76" s="88">
        <f>-IFERROR(VLOOKUP(C76,SIRTAC!$A$16:$H$1288,8,0),0)</f>
        <v>-43</v>
      </c>
      <c r="K76" s="88">
        <f>-IFERROR(VLOOKUP(C76,Gastos!$A$9:$J$1281,10,0),0)</f>
        <v>-41.71</v>
      </c>
      <c r="L76" s="87">
        <f>-IFERROR(VLOOKUP(C76,IDC!$A$25:$H$1532,8,0),0)</f>
        <v>-25.8</v>
      </c>
      <c r="M76" s="122">
        <f t="shared" si="18"/>
        <v>4300</v>
      </c>
      <c r="N76"/>
      <c r="P76" s="35">
        <f t="shared" si="19"/>
        <v>-4300</v>
      </c>
      <c r="Q76" s="66">
        <f t="shared" si="20"/>
        <v>0</v>
      </c>
    </row>
    <row r="77" spans="1:17" hidden="1">
      <c r="A77" s="1" t="s">
        <v>65</v>
      </c>
      <c r="B77" s="1" t="s">
        <v>15</v>
      </c>
      <c r="C77" s="91">
        <v>124926524640</v>
      </c>
      <c r="D77" s="3">
        <v>79795.17</v>
      </c>
      <c r="E77" s="3">
        <v>8421284.6799999997</v>
      </c>
      <c r="F77" s="35" t="s">
        <v>2750</v>
      </c>
      <c r="G77"/>
      <c r="H77"/>
      <c r="I77" s="27">
        <f>-IFERROR(VLOOKUP(C77,SIRCUPA!$A$21:$H$155,8,0),0)</f>
        <v>0</v>
      </c>
      <c r="J77" s="88">
        <f>-IFERROR(VLOOKUP(C77,SIRTAC!$A$16:$H$1288,8,0),0)</f>
        <v>-819</v>
      </c>
      <c r="K77" s="88">
        <f>-IFERROR(VLOOKUP(C77,Gastos!$A$9:$J$1281,10,0),0)</f>
        <v>-794.43</v>
      </c>
      <c r="L77" s="87">
        <f>-IFERROR(VLOOKUP(C77,IDC!$A$25:$H$1532,8,0),0)</f>
        <v>-491.4</v>
      </c>
      <c r="M77" s="122">
        <f t="shared" si="18"/>
        <v>81899.999999999985</v>
      </c>
      <c r="N77"/>
      <c r="P77" s="35">
        <f t="shared" si="19"/>
        <v>-81900</v>
      </c>
      <c r="Q77" s="66">
        <f t="shared" si="20"/>
        <v>0</v>
      </c>
    </row>
    <row r="78" spans="1:17" hidden="1">
      <c r="A78" s="1" t="s">
        <v>65</v>
      </c>
      <c r="B78" s="1" t="s">
        <v>15</v>
      </c>
      <c r="C78" s="91">
        <v>124926603568</v>
      </c>
      <c r="D78" s="3">
        <v>13542.77</v>
      </c>
      <c r="E78" s="3">
        <v>8434827.4499999993</v>
      </c>
      <c r="F78" s="35" t="s">
        <v>2750</v>
      </c>
      <c r="G78"/>
      <c r="H78"/>
      <c r="I78" s="27">
        <f>-IFERROR(VLOOKUP(C78,SIRCUPA!$A$21:$H$155,8,0),0)</f>
        <v>0</v>
      </c>
      <c r="J78" s="88">
        <f>-IFERROR(VLOOKUP(C78,SIRTAC!$A$16:$H$1288,8,0),0)</f>
        <v>-139</v>
      </c>
      <c r="K78" s="88">
        <f>-IFERROR(VLOOKUP(C78,Gastos!$A$9:$J$1281,10,0),0)</f>
        <v>-134.83000000000001</v>
      </c>
      <c r="L78" s="87">
        <f>-IFERROR(VLOOKUP(C78,IDC!$A$25:$H$1532,8,0),0)</f>
        <v>-83.4</v>
      </c>
      <c r="M78" s="122">
        <f t="shared" si="18"/>
        <v>13900</v>
      </c>
      <c r="N78"/>
      <c r="P78" s="35">
        <f t="shared" si="19"/>
        <v>-13900</v>
      </c>
      <c r="Q78" s="66">
        <f t="shared" si="20"/>
        <v>0</v>
      </c>
    </row>
    <row r="79" spans="1:17" hidden="1">
      <c r="A79" s="1" t="s">
        <v>65</v>
      </c>
      <c r="B79" s="1" t="s">
        <v>15</v>
      </c>
      <c r="C79" s="91">
        <v>124926894128</v>
      </c>
      <c r="D79" s="3">
        <v>3410.05</v>
      </c>
      <c r="E79" s="3">
        <v>8438237.5</v>
      </c>
      <c r="F79" s="35" t="s">
        <v>2750</v>
      </c>
      <c r="G79"/>
      <c r="H79"/>
      <c r="I79" s="27">
        <f>-IFERROR(VLOOKUP(C79,SIRCUPA!$A$21:$H$155,8,0),0)</f>
        <v>0</v>
      </c>
      <c r="J79" s="88">
        <f>-IFERROR(VLOOKUP(C79,SIRTAC!$A$16:$H$1288,8,0),0)</f>
        <v>-35</v>
      </c>
      <c r="K79" s="88">
        <f>-IFERROR(VLOOKUP(C79,Gastos!$A$9:$J$1281,10,0),0)</f>
        <v>-33.950000000000003</v>
      </c>
      <c r="L79" s="87">
        <f>-IFERROR(VLOOKUP(C79,IDC!$A$25:$H$1532,8,0),0)</f>
        <v>-21</v>
      </c>
      <c r="M79" s="122">
        <f t="shared" si="18"/>
        <v>3500</v>
      </c>
      <c r="N79"/>
      <c r="P79" s="35">
        <f t="shared" si="19"/>
        <v>-3500</v>
      </c>
      <c r="Q79" s="66">
        <f t="shared" si="20"/>
        <v>0</v>
      </c>
    </row>
    <row r="80" spans="1:17" hidden="1">
      <c r="A80" s="1" t="s">
        <v>65</v>
      </c>
      <c r="B80" s="1" t="s">
        <v>106</v>
      </c>
      <c r="C80" s="91">
        <v>124926882200</v>
      </c>
      <c r="D80" s="2">
        <v>171.32</v>
      </c>
      <c r="E80" s="3">
        <v>8438408.8200000003</v>
      </c>
      <c r="F80" s="2" t="s">
        <v>2750</v>
      </c>
      <c r="G80"/>
      <c r="H80"/>
      <c r="I80" s="27">
        <f>-IFERROR(VLOOKUP(C80,SIRCUPA!$A$21:$H$155,8,0),0)</f>
        <v>-2.63</v>
      </c>
      <c r="J80" s="88">
        <f>-IFERROR(VLOOKUP(C80,SIRTAC!$A$16:$H$1288,8,0),0)</f>
        <v>0</v>
      </c>
      <c r="K80" s="88">
        <f>-IFERROR(VLOOKUP(C80,Gastos!$A$9:$J$1281,10,0),0)</f>
        <v>0</v>
      </c>
      <c r="L80" s="87">
        <f>-IFERROR(VLOOKUP(C80,IDC!$A$25:$H$1532,8,0),0)</f>
        <v>-1.05</v>
      </c>
      <c r="M80" s="122">
        <f t="shared" si="18"/>
        <v>175</v>
      </c>
      <c r="N80"/>
      <c r="P80" s="35">
        <f t="shared" si="19"/>
        <v>-175</v>
      </c>
      <c r="Q80" s="66">
        <f t="shared" si="20"/>
        <v>0</v>
      </c>
    </row>
    <row r="81" spans="1:17" hidden="1">
      <c r="A81" s="1" t="s">
        <v>65</v>
      </c>
      <c r="B81" s="1" t="s">
        <v>15</v>
      </c>
      <c r="C81" s="91">
        <v>124382131027</v>
      </c>
      <c r="D81" s="3">
        <v>27377.83</v>
      </c>
      <c r="E81" s="3">
        <v>8465786.6500000004</v>
      </c>
      <c r="F81" s="35" t="s">
        <v>2750</v>
      </c>
      <c r="G81"/>
      <c r="H81"/>
      <c r="I81" s="27">
        <f>-IFERROR(VLOOKUP(C81,SIRCUPA!$A$21:$H$155,8,0),0)</f>
        <v>0</v>
      </c>
      <c r="J81" s="88">
        <f>-IFERROR(VLOOKUP(C81,SIRTAC!$A$16:$H$1288,8,0),0)</f>
        <v>-281</v>
      </c>
      <c r="K81" s="88">
        <f>-IFERROR(VLOOKUP(C81,Gastos!$A$9:$J$1281,10,0),0)</f>
        <v>-272.57</v>
      </c>
      <c r="L81" s="87">
        <f>-IFERROR(VLOOKUP(C81,IDC!$A$25:$H$1532,8,0),0)</f>
        <v>-168.6</v>
      </c>
      <c r="M81" s="122">
        <f t="shared" si="18"/>
        <v>28100</v>
      </c>
      <c r="N81"/>
      <c r="P81" s="35">
        <f t="shared" si="19"/>
        <v>-28100</v>
      </c>
      <c r="Q81" s="66">
        <f t="shared" si="20"/>
        <v>0</v>
      </c>
    </row>
    <row r="82" spans="1:17" hidden="1">
      <c r="A82" s="1" t="s">
        <v>65</v>
      </c>
      <c r="B82" s="1" t="s">
        <v>109</v>
      </c>
      <c r="C82" s="91">
        <v>124382023949</v>
      </c>
      <c r="D82" s="3">
        <v>4126.4799999999996</v>
      </c>
      <c r="E82" s="3">
        <v>8469913.1300000008</v>
      </c>
      <c r="F82" s="2" t="s">
        <v>2750</v>
      </c>
      <c r="G82"/>
      <c r="H82"/>
      <c r="I82" s="27">
        <f>-IFERROR(VLOOKUP(C82,SIRCUPA!$A$21:$H$155,8,0),0)</f>
        <v>-63.23</v>
      </c>
      <c r="J82" s="88">
        <f>-IFERROR(VLOOKUP(C82,SIRTAC!$A$16:$H$1288,8,0),0)</f>
        <v>0</v>
      </c>
      <c r="K82" s="88">
        <f>-IFERROR(VLOOKUP(C82,Gastos!$A$9:$J$1281,10,0),0)</f>
        <v>0</v>
      </c>
      <c r="L82" s="87">
        <f>-IFERROR(VLOOKUP(C82,IDC!$A$25:$H$1532,8,0),0)</f>
        <v>-25.29</v>
      </c>
      <c r="M82" s="122">
        <f t="shared" si="18"/>
        <v>4214.9999999999991</v>
      </c>
      <c r="N82"/>
      <c r="P82" s="35">
        <f t="shared" si="19"/>
        <v>-4215</v>
      </c>
      <c r="Q82" s="66">
        <f t="shared" si="20"/>
        <v>0</v>
      </c>
    </row>
    <row r="83" spans="1:17" hidden="1">
      <c r="A83" s="1" t="s">
        <v>65</v>
      </c>
      <c r="B83" s="1" t="s">
        <v>15</v>
      </c>
      <c r="C83" s="91">
        <v>124382333979</v>
      </c>
      <c r="D83" s="3">
        <v>12568.47</v>
      </c>
      <c r="E83" s="3">
        <v>8482481.5999999996</v>
      </c>
      <c r="F83" s="35" t="s">
        <v>2750</v>
      </c>
      <c r="G83"/>
      <c r="H83"/>
      <c r="I83" s="27">
        <f>-IFERROR(VLOOKUP(C83,SIRCUPA!$A$21:$H$155,8,0),0)</f>
        <v>0</v>
      </c>
      <c r="J83" s="88">
        <f>-IFERROR(VLOOKUP(C83,SIRTAC!$A$16:$H$1288,8,0),0)</f>
        <v>-129</v>
      </c>
      <c r="K83" s="88">
        <f>-IFERROR(VLOOKUP(C83,Gastos!$A$9:$J$1281,10,0),0)</f>
        <v>-125.13</v>
      </c>
      <c r="L83" s="87">
        <f>-IFERROR(VLOOKUP(C83,IDC!$A$25:$H$1532,8,0),0)</f>
        <v>-77.400000000000006</v>
      </c>
      <c r="M83" s="122">
        <f t="shared" ref="M83:M103" si="21">+D83-I83-J83-K83-L83</f>
        <v>12899.999999999998</v>
      </c>
      <c r="N83"/>
      <c r="P83" s="35">
        <f t="shared" si="19"/>
        <v>-12900</v>
      </c>
      <c r="Q83" s="66">
        <f t="shared" si="20"/>
        <v>0</v>
      </c>
    </row>
    <row r="84" spans="1:17" hidden="1">
      <c r="A84" s="1" t="s">
        <v>65</v>
      </c>
      <c r="B84" s="1" t="s">
        <v>15</v>
      </c>
      <c r="C84" s="91">
        <v>124383268861</v>
      </c>
      <c r="D84" s="3">
        <v>4189.49</v>
      </c>
      <c r="E84" s="3">
        <v>8486671.0899999999</v>
      </c>
      <c r="F84" s="35" t="s">
        <v>2750</v>
      </c>
      <c r="G84"/>
      <c r="H84"/>
      <c r="I84" s="27">
        <f>-IFERROR(VLOOKUP(C84,SIRCUPA!$A$21:$H$155,8,0),0)</f>
        <v>0</v>
      </c>
      <c r="J84" s="88">
        <f>-IFERROR(VLOOKUP(C84,SIRTAC!$A$16:$H$1288,8,0),0)</f>
        <v>-43</v>
      </c>
      <c r="K84" s="88">
        <f>-IFERROR(VLOOKUP(C84,Gastos!$A$9:$J$1281,10,0),0)</f>
        <v>-41.71</v>
      </c>
      <c r="L84" s="87">
        <f>-IFERROR(VLOOKUP(C84,IDC!$A$25:$H$1532,8,0),0)</f>
        <v>-25.8</v>
      </c>
      <c r="M84" s="122">
        <f t="shared" si="21"/>
        <v>4300</v>
      </c>
      <c r="N84"/>
      <c r="P84" s="35">
        <f t="shared" si="19"/>
        <v>-4300</v>
      </c>
      <c r="Q84" s="66">
        <f t="shared" si="20"/>
        <v>0</v>
      </c>
    </row>
    <row r="85" spans="1:17" hidden="1">
      <c r="A85" s="1" t="s">
        <v>65</v>
      </c>
      <c r="B85" s="1" t="s">
        <v>15</v>
      </c>
      <c r="C85" s="91">
        <v>124383275693</v>
      </c>
      <c r="D85" s="3">
        <v>9060.99</v>
      </c>
      <c r="E85" s="3">
        <v>8495732.0800000001</v>
      </c>
      <c r="F85" s="35" t="s">
        <v>2750</v>
      </c>
      <c r="G85"/>
      <c r="H85"/>
      <c r="I85" s="27">
        <f>-IFERROR(VLOOKUP(C85,SIRCUPA!$A$21:$H$155,8,0),0)</f>
        <v>0</v>
      </c>
      <c r="J85" s="88">
        <f>-IFERROR(VLOOKUP(C85,SIRTAC!$A$16:$H$1288,8,0),0)</f>
        <v>-93</v>
      </c>
      <c r="K85" s="88">
        <f>-IFERROR(VLOOKUP(C85,Gastos!$A$9:$J$1281,10,0),0)</f>
        <v>-90.21</v>
      </c>
      <c r="L85" s="87">
        <f>-IFERROR(VLOOKUP(C85,IDC!$A$25:$H$1532,8,0),0)</f>
        <v>-55.8</v>
      </c>
      <c r="M85" s="122">
        <f t="shared" si="21"/>
        <v>9299.9999999999982</v>
      </c>
      <c r="N85"/>
      <c r="P85" s="35">
        <f t="shared" si="19"/>
        <v>-9300</v>
      </c>
      <c r="Q85" s="66">
        <f t="shared" si="20"/>
        <v>0</v>
      </c>
    </row>
    <row r="86" spans="1:17" hidden="1">
      <c r="A86" s="1" t="s">
        <v>65</v>
      </c>
      <c r="B86" s="1" t="s">
        <v>15</v>
      </c>
      <c r="C86" s="91">
        <v>124928647796</v>
      </c>
      <c r="D86" s="3">
        <v>12568.47</v>
      </c>
      <c r="E86" s="3">
        <v>8508300.5500000007</v>
      </c>
      <c r="F86" s="35" t="s">
        <v>2750</v>
      </c>
      <c r="G86"/>
      <c r="H86"/>
      <c r="I86" s="27">
        <f>-IFERROR(VLOOKUP(C86,SIRCUPA!$A$21:$H$155,8,0),0)</f>
        <v>0</v>
      </c>
      <c r="J86" s="88">
        <f>-IFERROR(VLOOKUP(C86,SIRTAC!$A$16:$H$1288,8,0),0)</f>
        <v>-129</v>
      </c>
      <c r="K86" s="88">
        <f>-IFERROR(VLOOKUP(C86,Gastos!$A$9:$J$1281,10,0),0)</f>
        <v>-125.13</v>
      </c>
      <c r="L86" s="87">
        <f>-IFERROR(VLOOKUP(C86,IDC!$A$25:$H$1532,8,0),0)</f>
        <v>-77.400000000000006</v>
      </c>
      <c r="M86" s="122">
        <f t="shared" si="21"/>
        <v>12899.999999999998</v>
      </c>
      <c r="N86"/>
      <c r="P86" s="35">
        <f t="shared" si="19"/>
        <v>-12900</v>
      </c>
      <c r="Q86" s="66">
        <f t="shared" si="20"/>
        <v>0</v>
      </c>
    </row>
    <row r="87" spans="1:17" hidden="1">
      <c r="A87" s="1" t="s">
        <v>65</v>
      </c>
      <c r="B87" s="1" t="s">
        <v>15</v>
      </c>
      <c r="C87" s="91">
        <v>124929160694</v>
      </c>
      <c r="D87" s="3">
        <v>32139.66</v>
      </c>
      <c r="E87" s="3">
        <v>8540440.2100000009</v>
      </c>
      <c r="F87" s="35" t="s">
        <v>2750</v>
      </c>
      <c r="G87"/>
      <c r="H87"/>
      <c r="I87" s="27">
        <f>-IFERROR(VLOOKUP(C87,SIRCUPA!$A$21:$H$155,8,0),0)</f>
        <v>0</v>
      </c>
      <c r="J87" s="88">
        <f>-IFERROR(VLOOKUP(C87,SIRTAC!$A$16:$H$1288,8,0),0)</f>
        <v>-354</v>
      </c>
      <c r="K87" s="88">
        <f>-IFERROR(VLOOKUP(C87,Gastos!$A$9:$J$1281,10,0),0)</f>
        <v>-2693.94</v>
      </c>
      <c r="L87" s="87">
        <f>-IFERROR(VLOOKUP(C87,IDC!$A$25:$H$1532,8,0),0)</f>
        <v>-212.4</v>
      </c>
      <c r="M87" s="122">
        <f t="shared" si="21"/>
        <v>35400</v>
      </c>
      <c r="N87"/>
      <c r="P87" s="35">
        <f t="shared" si="19"/>
        <v>-35400</v>
      </c>
      <c r="Q87" s="66">
        <f t="shared" si="20"/>
        <v>0</v>
      </c>
    </row>
    <row r="88" spans="1:17" hidden="1">
      <c r="A88" s="1" t="s">
        <v>65</v>
      </c>
      <c r="B88" s="1" t="s">
        <v>15</v>
      </c>
      <c r="C88" s="91">
        <v>124929201672</v>
      </c>
      <c r="D88" s="3">
        <v>12568.47</v>
      </c>
      <c r="E88" s="3">
        <v>8553008.6799999997</v>
      </c>
      <c r="F88" s="35" t="s">
        <v>2750</v>
      </c>
      <c r="G88"/>
      <c r="H88"/>
      <c r="I88" s="27">
        <f>-IFERROR(VLOOKUP(C88,SIRCUPA!$A$21:$H$155,8,0),0)</f>
        <v>0</v>
      </c>
      <c r="J88" s="88">
        <f>-IFERROR(VLOOKUP(C88,SIRTAC!$A$16:$H$1288,8,0),0)</f>
        <v>-129</v>
      </c>
      <c r="K88" s="88">
        <f>-IFERROR(VLOOKUP(C88,Gastos!$A$9:$J$1281,10,0),0)</f>
        <v>-125.13</v>
      </c>
      <c r="L88" s="87">
        <f>-IFERROR(VLOOKUP(C88,IDC!$A$25:$H$1532,8,0),0)</f>
        <v>-77.400000000000006</v>
      </c>
      <c r="M88" s="122">
        <f t="shared" si="21"/>
        <v>12899.999999999998</v>
      </c>
      <c r="N88"/>
      <c r="P88" s="35">
        <f t="shared" si="19"/>
        <v>-12900</v>
      </c>
      <c r="Q88" s="66">
        <f t="shared" si="20"/>
        <v>0</v>
      </c>
    </row>
    <row r="89" spans="1:17" hidden="1">
      <c r="A89" s="1" t="s">
        <v>65</v>
      </c>
      <c r="B89" s="1" t="s">
        <v>15</v>
      </c>
      <c r="C89" s="91">
        <v>124929525256</v>
      </c>
      <c r="D89" s="3">
        <v>3410.05</v>
      </c>
      <c r="E89" s="3">
        <v>8556418.7300000004</v>
      </c>
      <c r="F89" s="35" t="s">
        <v>2750</v>
      </c>
      <c r="G89"/>
      <c r="H89"/>
      <c r="I89" s="27">
        <f>-IFERROR(VLOOKUP(C89,SIRCUPA!$A$21:$H$155,8,0),0)</f>
        <v>0</v>
      </c>
      <c r="J89" s="88">
        <f>-IFERROR(VLOOKUP(C89,SIRTAC!$A$16:$H$1288,8,0),0)</f>
        <v>-35</v>
      </c>
      <c r="K89" s="88">
        <f>-IFERROR(VLOOKUP(C89,Gastos!$A$9:$J$1281,10,0),0)</f>
        <v>-33.950000000000003</v>
      </c>
      <c r="L89" s="87">
        <f>-IFERROR(VLOOKUP(C89,IDC!$A$25:$H$1532,8,0),0)</f>
        <v>-21</v>
      </c>
      <c r="M89" s="122">
        <f t="shared" si="21"/>
        <v>3500</v>
      </c>
      <c r="N89"/>
      <c r="P89" s="35">
        <f t="shared" si="19"/>
        <v>-3500</v>
      </c>
      <c r="Q89" s="66">
        <f t="shared" si="20"/>
        <v>0</v>
      </c>
    </row>
    <row r="90" spans="1:17" hidden="1">
      <c r="A90" s="1" t="s">
        <v>65</v>
      </c>
      <c r="B90" s="1" t="s">
        <v>15</v>
      </c>
      <c r="C90" s="91">
        <v>124929549560</v>
      </c>
      <c r="D90" s="3">
        <v>13250.48</v>
      </c>
      <c r="E90" s="3">
        <v>8569669.2100000009</v>
      </c>
      <c r="F90" s="35" t="s">
        <v>2750</v>
      </c>
      <c r="G90"/>
      <c r="H90"/>
      <c r="I90" s="27">
        <f>-IFERROR(VLOOKUP(C90,SIRCUPA!$A$21:$H$155,8,0),0)</f>
        <v>0</v>
      </c>
      <c r="J90" s="88">
        <f>-IFERROR(VLOOKUP(C90,SIRTAC!$A$16:$H$1288,8,0),0)</f>
        <v>-136</v>
      </c>
      <c r="K90" s="88">
        <f>-IFERROR(VLOOKUP(C90,Gastos!$A$9:$J$1281,10,0),0)</f>
        <v>-131.91999999999999</v>
      </c>
      <c r="L90" s="87">
        <f>-IFERROR(VLOOKUP(C90,IDC!$A$25:$H$1532,8,0),0)</f>
        <v>-81.599999999999994</v>
      </c>
      <c r="M90" s="122">
        <f t="shared" si="21"/>
        <v>13600</v>
      </c>
      <c r="N90"/>
      <c r="P90" s="35">
        <f t="shared" si="19"/>
        <v>-13599.999999999998</v>
      </c>
      <c r="Q90" s="66">
        <f t="shared" si="20"/>
        <v>0</v>
      </c>
    </row>
    <row r="91" spans="1:17" hidden="1">
      <c r="A91" s="1" t="s">
        <v>65</v>
      </c>
      <c r="B91" s="1" t="s">
        <v>15</v>
      </c>
      <c r="C91" s="91">
        <v>124384575133</v>
      </c>
      <c r="D91" s="3">
        <v>10619.87</v>
      </c>
      <c r="E91" s="3">
        <v>8580289.0800000001</v>
      </c>
      <c r="F91" s="35" t="s">
        <v>2750</v>
      </c>
      <c r="G91"/>
      <c r="H91"/>
      <c r="I91" s="27">
        <f>-IFERROR(VLOOKUP(C91,SIRCUPA!$A$21:$H$155,8,0),0)</f>
        <v>0</v>
      </c>
      <c r="J91" s="88">
        <f>-IFERROR(VLOOKUP(C91,SIRTAC!$A$16:$H$1288,8,0),0)</f>
        <v>-109</v>
      </c>
      <c r="K91" s="88">
        <f>-IFERROR(VLOOKUP(C91,Gastos!$A$9:$J$1281,10,0),0)</f>
        <v>-105.73</v>
      </c>
      <c r="L91" s="87">
        <f>-IFERROR(VLOOKUP(C91,IDC!$A$25:$H$1532,8,0),0)</f>
        <v>-65.400000000000006</v>
      </c>
      <c r="M91" s="122">
        <f t="shared" si="21"/>
        <v>10900</v>
      </c>
      <c r="N91"/>
      <c r="P91" s="35">
        <f t="shared" si="19"/>
        <v>-10900</v>
      </c>
      <c r="Q91" s="66">
        <f t="shared" si="20"/>
        <v>0</v>
      </c>
    </row>
    <row r="92" spans="1:17" hidden="1">
      <c r="A92" s="1" t="s">
        <v>65</v>
      </c>
      <c r="B92" s="1" t="s">
        <v>15</v>
      </c>
      <c r="C92" s="91">
        <v>124929877616</v>
      </c>
      <c r="D92" s="3">
        <v>3799.77</v>
      </c>
      <c r="E92" s="3">
        <v>8584088.8499999996</v>
      </c>
      <c r="F92" s="35" t="s">
        <v>2750</v>
      </c>
      <c r="G92"/>
      <c r="H92"/>
      <c r="I92" s="27">
        <f>-IFERROR(VLOOKUP(C92,SIRCUPA!$A$21:$H$155,8,0),0)</f>
        <v>0</v>
      </c>
      <c r="J92" s="88">
        <f>-IFERROR(VLOOKUP(C92,SIRTAC!$A$16:$H$1288,8,0),0)</f>
        <v>-39</v>
      </c>
      <c r="K92" s="88">
        <f>-IFERROR(VLOOKUP(C92,Gastos!$A$9:$J$1281,10,0),0)</f>
        <v>-37.83</v>
      </c>
      <c r="L92" s="87">
        <f>-IFERROR(VLOOKUP(C92,IDC!$A$25:$H$1532,8,0),0)</f>
        <v>-23.4</v>
      </c>
      <c r="M92" s="122">
        <f t="shared" si="21"/>
        <v>3900</v>
      </c>
      <c r="N92"/>
      <c r="P92" s="35">
        <f t="shared" si="19"/>
        <v>-3899.9999999999995</v>
      </c>
      <c r="Q92" s="66">
        <f t="shared" si="20"/>
        <v>0</v>
      </c>
    </row>
    <row r="93" spans="1:17" hidden="1">
      <c r="A93" s="1" t="s">
        <v>65</v>
      </c>
      <c r="B93" s="1" t="s">
        <v>15</v>
      </c>
      <c r="C93" s="91">
        <v>124929957960</v>
      </c>
      <c r="D93" s="3">
        <v>4189.49</v>
      </c>
      <c r="E93" s="3">
        <v>8588278.3399999999</v>
      </c>
      <c r="F93" s="35" t="s">
        <v>2750</v>
      </c>
      <c r="G93"/>
      <c r="H93"/>
      <c r="I93" s="27">
        <f>-IFERROR(VLOOKUP(C93,SIRCUPA!$A$21:$H$155,8,0),0)</f>
        <v>0</v>
      </c>
      <c r="J93" s="88">
        <f>-IFERROR(VLOOKUP(C93,SIRTAC!$A$16:$H$1288,8,0),0)</f>
        <v>-43</v>
      </c>
      <c r="K93" s="88">
        <f>-IFERROR(VLOOKUP(C93,Gastos!$A$9:$J$1281,10,0),0)</f>
        <v>-41.71</v>
      </c>
      <c r="L93" s="87">
        <f>-IFERROR(VLOOKUP(C93,IDC!$A$25:$H$1532,8,0),0)</f>
        <v>-25.8</v>
      </c>
      <c r="M93" s="122">
        <f t="shared" si="21"/>
        <v>4300</v>
      </c>
      <c r="N93"/>
      <c r="P93" s="35">
        <f t="shared" si="19"/>
        <v>-4300</v>
      </c>
      <c r="Q93" s="66">
        <f t="shared" si="20"/>
        <v>0</v>
      </c>
    </row>
    <row r="94" spans="1:17" hidden="1">
      <c r="A94" s="1" t="s">
        <v>65</v>
      </c>
      <c r="B94" s="1" t="s">
        <v>15</v>
      </c>
      <c r="C94" s="91">
        <v>124385248819</v>
      </c>
      <c r="D94" s="3">
        <v>3799.77</v>
      </c>
      <c r="E94" s="3">
        <v>8592078.1099999994</v>
      </c>
      <c r="F94" s="35" t="s">
        <v>2750</v>
      </c>
      <c r="G94"/>
      <c r="H94"/>
      <c r="I94" s="27">
        <f>-IFERROR(VLOOKUP(C94,SIRCUPA!$A$21:$H$155,8,0),0)</f>
        <v>0</v>
      </c>
      <c r="J94" s="88">
        <f>-IFERROR(VLOOKUP(C94,SIRTAC!$A$16:$H$1288,8,0),0)</f>
        <v>-39</v>
      </c>
      <c r="K94" s="88">
        <f>-IFERROR(VLOOKUP(C94,Gastos!$A$9:$J$1281,10,0),0)</f>
        <v>-37.83</v>
      </c>
      <c r="L94" s="87">
        <f>-IFERROR(VLOOKUP(C94,IDC!$A$25:$H$1532,8,0),0)</f>
        <v>-23.4</v>
      </c>
      <c r="M94" s="122">
        <f t="shared" si="21"/>
        <v>3900</v>
      </c>
      <c r="N94"/>
      <c r="P94" s="35">
        <f t="shared" si="19"/>
        <v>-3899.9999999999995</v>
      </c>
      <c r="Q94" s="66">
        <f t="shared" si="20"/>
        <v>0</v>
      </c>
    </row>
    <row r="95" spans="1:17" hidden="1">
      <c r="A95" s="1" t="s">
        <v>65</v>
      </c>
      <c r="B95" s="1" t="s">
        <v>15</v>
      </c>
      <c r="C95" s="91">
        <v>124930281670</v>
      </c>
      <c r="D95" s="3">
        <v>8071.96</v>
      </c>
      <c r="E95" s="3">
        <v>8600150.0700000003</v>
      </c>
      <c r="F95" s="35" t="s">
        <v>2750</v>
      </c>
      <c r="G95"/>
      <c r="H95"/>
      <c r="I95" s="27">
        <f>-IFERROR(VLOOKUP(C95,SIRCUPA!$A$21:$H$155,8,0),0)</f>
        <v>0</v>
      </c>
      <c r="J95" s="88">
        <f>-IFERROR(VLOOKUP(C95,SIRTAC!$A$16:$H$1288,8,0),0)</f>
        <v>-86</v>
      </c>
      <c r="K95" s="88">
        <f>-IFERROR(VLOOKUP(C95,Gastos!$A$9:$J$1281,10,0),0)</f>
        <v>-390.44</v>
      </c>
      <c r="L95" s="87">
        <f>-IFERROR(VLOOKUP(C95,IDC!$A$25:$H$1532,8,0),0)</f>
        <v>-51.6</v>
      </c>
      <c r="M95" s="122">
        <f t="shared" si="21"/>
        <v>8600</v>
      </c>
      <c r="N95"/>
      <c r="P95" s="35">
        <f t="shared" si="19"/>
        <v>-8600</v>
      </c>
      <c r="Q95" s="66">
        <f t="shared" si="20"/>
        <v>0</v>
      </c>
    </row>
    <row r="96" spans="1:17" hidden="1">
      <c r="A96" s="1" t="s">
        <v>65</v>
      </c>
      <c r="B96" s="1" t="s">
        <v>15</v>
      </c>
      <c r="C96" s="91">
        <v>124385652341</v>
      </c>
      <c r="D96" s="3">
        <v>13932.49</v>
      </c>
      <c r="E96" s="3">
        <v>8614082.5600000005</v>
      </c>
      <c r="F96" s="35" t="s">
        <v>2750</v>
      </c>
      <c r="G96"/>
      <c r="H96"/>
      <c r="I96" s="27">
        <f>-IFERROR(VLOOKUP(C96,SIRCUPA!$A$21:$H$155,8,0),0)</f>
        <v>0</v>
      </c>
      <c r="J96" s="88">
        <f>-IFERROR(VLOOKUP(C96,SIRTAC!$A$16:$H$1288,8,0),0)</f>
        <v>-143</v>
      </c>
      <c r="K96" s="88">
        <f>-IFERROR(VLOOKUP(C96,Gastos!$A$9:$J$1281,10,0),0)</f>
        <v>-138.71</v>
      </c>
      <c r="L96" s="87">
        <f>-IFERROR(VLOOKUP(C96,IDC!$A$25:$H$1532,8,0),0)</f>
        <v>-85.8</v>
      </c>
      <c r="M96" s="122">
        <f t="shared" si="21"/>
        <v>14299.999999999998</v>
      </c>
      <c r="N96"/>
      <c r="P96" s="35">
        <f t="shared" si="19"/>
        <v>-14300</v>
      </c>
      <c r="Q96" s="66">
        <f t="shared" si="20"/>
        <v>0</v>
      </c>
    </row>
    <row r="97" spans="1:18" hidden="1">
      <c r="A97" s="1" t="s">
        <v>65</v>
      </c>
      <c r="B97" s="1" t="s">
        <v>15</v>
      </c>
      <c r="C97" s="91">
        <v>124930920538</v>
      </c>
      <c r="D97" s="3">
        <v>20311.05</v>
      </c>
      <c r="E97" s="3">
        <v>8634393.6099999994</v>
      </c>
      <c r="F97" s="35" t="s">
        <v>2750</v>
      </c>
      <c r="G97"/>
      <c r="H97"/>
      <c r="I97" s="27">
        <f>-IFERROR(VLOOKUP(C97,SIRCUPA!$A$21:$H$155,8,0),0)</f>
        <v>0</v>
      </c>
      <c r="J97" s="88">
        <f>-IFERROR(VLOOKUP(C97,SIRTAC!$A$16:$H$1288,8,0),0)</f>
        <v>-215</v>
      </c>
      <c r="K97" s="88">
        <f>-IFERROR(VLOOKUP(C97,Gastos!$A$9:$J$1281,10,0),0)</f>
        <v>-844.95</v>
      </c>
      <c r="L97" s="87">
        <f>-IFERROR(VLOOKUP(C97,IDC!$A$25:$H$1532,8,0),0)</f>
        <v>-129</v>
      </c>
      <c r="M97" s="122">
        <f t="shared" si="21"/>
        <v>21500</v>
      </c>
      <c r="N97"/>
      <c r="P97" s="35">
        <f t="shared" si="19"/>
        <v>-21500</v>
      </c>
      <c r="Q97" s="66">
        <f t="shared" si="20"/>
        <v>0</v>
      </c>
    </row>
    <row r="98" spans="1:18" hidden="1">
      <c r="A98" s="1" t="s">
        <v>65</v>
      </c>
      <c r="B98" s="1" t="s">
        <v>15</v>
      </c>
      <c r="C98" s="91">
        <v>124385743585</v>
      </c>
      <c r="D98" s="3">
        <v>3799.77</v>
      </c>
      <c r="E98" s="3">
        <v>8638193.3800000008</v>
      </c>
      <c r="F98" s="35" t="s">
        <v>2750</v>
      </c>
      <c r="G98"/>
      <c r="H98"/>
      <c r="I98" s="27">
        <f>-IFERROR(VLOOKUP(C98,SIRCUPA!$A$21:$H$155,8,0),0)</f>
        <v>0</v>
      </c>
      <c r="J98" s="88">
        <f>-IFERROR(VLOOKUP(C98,SIRTAC!$A$16:$H$1288,8,0),0)</f>
        <v>-39</v>
      </c>
      <c r="K98" s="88">
        <f>-IFERROR(VLOOKUP(C98,Gastos!$A$9:$J$1281,10,0),0)</f>
        <v>-37.83</v>
      </c>
      <c r="L98" s="87">
        <f>-IFERROR(VLOOKUP(C98,IDC!$A$25:$H$1532,8,0),0)</f>
        <v>-23.4</v>
      </c>
      <c r="M98" s="122">
        <f t="shared" si="21"/>
        <v>3900</v>
      </c>
      <c r="N98"/>
      <c r="P98" s="35">
        <f t="shared" si="19"/>
        <v>-3899.9999999999995</v>
      </c>
      <c r="Q98" s="66">
        <f t="shared" si="20"/>
        <v>0</v>
      </c>
    </row>
    <row r="99" spans="1:18" hidden="1">
      <c r="A99" s="1" t="s">
        <v>65</v>
      </c>
      <c r="B99" s="1" t="s">
        <v>15</v>
      </c>
      <c r="C99" s="91">
        <v>124386234575</v>
      </c>
      <c r="D99" s="3">
        <v>12470.04</v>
      </c>
      <c r="E99" s="3">
        <v>8650663.4199999999</v>
      </c>
      <c r="F99" s="35" t="s">
        <v>2750</v>
      </c>
      <c r="G99"/>
      <c r="H99"/>
      <c r="I99" s="27">
        <f>-IFERROR(VLOOKUP(C99,SIRCUPA!$A$21:$H$155,8,0),0)</f>
        <v>0</v>
      </c>
      <c r="J99" s="88">
        <f>-IFERROR(VLOOKUP(C99,SIRTAC!$A$16:$H$1288,8,0),0)</f>
        <v>-132</v>
      </c>
      <c r="K99" s="88">
        <f>-IFERROR(VLOOKUP(C99,Gastos!$A$9:$J$1281,10,0),0)</f>
        <v>-518.76</v>
      </c>
      <c r="L99" s="87">
        <f>-IFERROR(VLOOKUP(C99,IDC!$A$25:$H$1532,8,0),0)</f>
        <v>-79.2</v>
      </c>
      <c r="M99" s="122">
        <f t="shared" si="21"/>
        <v>13200.000000000002</v>
      </c>
      <c r="N99"/>
      <c r="P99" s="35">
        <f t="shared" si="19"/>
        <v>-13200</v>
      </c>
      <c r="Q99" s="66">
        <f t="shared" si="20"/>
        <v>0</v>
      </c>
    </row>
    <row r="100" spans="1:18" hidden="1">
      <c r="A100" s="1" t="s">
        <v>65</v>
      </c>
      <c r="B100" s="1" t="s">
        <v>15</v>
      </c>
      <c r="C100" s="91">
        <v>124386117715</v>
      </c>
      <c r="D100" s="3">
        <v>18414.27</v>
      </c>
      <c r="E100" s="3">
        <v>8669077.6899999995</v>
      </c>
      <c r="F100" s="35" t="s">
        <v>2750</v>
      </c>
      <c r="G100"/>
      <c r="H100"/>
      <c r="I100" s="27">
        <f>-IFERROR(VLOOKUP(C100,SIRCUPA!$A$21:$H$155,8,0),0)</f>
        <v>0</v>
      </c>
      <c r="J100" s="88">
        <f>-IFERROR(VLOOKUP(C100,SIRTAC!$A$16:$H$1288,8,0),0)</f>
        <v>-189</v>
      </c>
      <c r="K100" s="88">
        <f>-IFERROR(VLOOKUP(C100,Gastos!$A$9:$J$1281,10,0),0)</f>
        <v>-183.33</v>
      </c>
      <c r="L100" s="87">
        <f>-IFERROR(VLOOKUP(C100,IDC!$A$25:$H$1532,8,0),0)</f>
        <v>-113.4</v>
      </c>
      <c r="M100" s="122">
        <f t="shared" si="21"/>
        <v>18900.000000000004</v>
      </c>
      <c r="N100"/>
      <c r="P100" s="35">
        <f t="shared" si="19"/>
        <v>-18900</v>
      </c>
      <c r="Q100" s="66">
        <f t="shared" si="20"/>
        <v>0</v>
      </c>
    </row>
    <row r="101" spans="1:18" hidden="1">
      <c r="A101" s="1" t="s">
        <v>65</v>
      </c>
      <c r="B101" s="1" t="s">
        <v>15</v>
      </c>
      <c r="C101" s="91">
        <v>124931688378</v>
      </c>
      <c r="D101" s="3">
        <v>9353.2800000000007</v>
      </c>
      <c r="E101" s="3">
        <v>8678430.9700000007</v>
      </c>
      <c r="F101" s="35" t="s">
        <v>2750</v>
      </c>
      <c r="G101"/>
      <c r="H101"/>
      <c r="I101" s="27">
        <f>-IFERROR(VLOOKUP(C101,SIRCUPA!$A$21:$H$155,8,0),0)</f>
        <v>0</v>
      </c>
      <c r="J101" s="88">
        <f>-IFERROR(VLOOKUP(C101,SIRTAC!$A$16:$H$1288,8,0),0)</f>
        <v>-96</v>
      </c>
      <c r="K101" s="88">
        <f>-IFERROR(VLOOKUP(C101,Gastos!$A$9:$J$1281,10,0),0)</f>
        <v>-93.12</v>
      </c>
      <c r="L101" s="87">
        <f>-IFERROR(VLOOKUP(C101,IDC!$A$25:$H$1532,8,0),0)</f>
        <v>-57.6</v>
      </c>
      <c r="M101" s="122">
        <f t="shared" si="21"/>
        <v>9600.0000000000018</v>
      </c>
      <c r="N101"/>
      <c r="P101" s="35">
        <f t="shared" si="19"/>
        <v>-9600</v>
      </c>
      <c r="Q101" s="66">
        <f t="shared" si="20"/>
        <v>0</v>
      </c>
    </row>
    <row r="102" spans="1:18" hidden="1">
      <c r="A102" s="1" t="s">
        <v>65</v>
      </c>
      <c r="B102" s="1" t="s">
        <v>15</v>
      </c>
      <c r="C102" s="91">
        <v>124931738646</v>
      </c>
      <c r="D102" s="3">
        <v>3799.77</v>
      </c>
      <c r="E102" s="3">
        <v>8682230.7400000002</v>
      </c>
      <c r="F102" s="35" t="s">
        <v>2750</v>
      </c>
      <c r="G102"/>
      <c r="H102"/>
      <c r="I102" s="27">
        <f>-IFERROR(VLOOKUP(C102,SIRCUPA!$A$21:$H$155,8,0),0)</f>
        <v>0</v>
      </c>
      <c r="J102" s="88">
        <f>-IFERROR(VLOOKUP(C102,SIRTAC!$A$16:$H$1288,8,0),0)</f>
        <v>-39</v>
      </c>
      <c r="K102" s="88">
        <f>-IFERROR(VLOOKUP(C102,Gastos!$A$9:$J$1281,10,0),0)</f>
        <v>-37.83</v>
      </c>
      <c r="L102" s="87">
        <f>-IFERROR(VLOOKUP(C102,IDC!$A$25:$H$1532,8,0),0)</f>
        <v>-23.4</v>
      </c>
      <c r="M102" s="122">
        <f t="shared" si="21"/>
        <v>3900</v>
      </c>
      <c r="N102"/>
      <c r="P102" s="35">
        <f t="shared" si="19"/>
        <v>-3899.9999999999995</v>
      </c>
      <c r="Q102" s="66">
        <f t="shared" si="20"/>
        <v>0</v>
      </c>
    </row>
    <row r="103" spans="1:18" hidden="1">
      <c r="A103" s="1" t="s">
        <v>65</v>
      </c>
      <c r="B103" s="1" t="s">
        <v>15</v>
      </c>
      <c r="C103" s="91">
        <v>124931811338</v>
      </c>
      <c r="D103" s="3">
        <v>1851.17</v>
      </c>
      <c r="E103" s="3">
        <v>8684081.9100000001</v>
      </c>
      <c r="F103" s="35" t="s">
        <v>2750</v>
      </c>
      <c r="G103"/>
      <c r="H103"/>
      <c r="I103" s="27">
        <f>-IFERROR(VLOOKUP(C103,SIRCUPA!$A$21:$H$155,8,0),0)</f>
        <v>0</v>
      </c>
      <c r="J103" s="88">
        <f>-IFERROR(VLOOKUP(C103,SIRTAC!$A$16:$H$1288,8,0),0)</f>
        <v>-19</v>
      </c>
      <c r="K103" s="88">
        <f>-IFERROR(VLOOKUP(C103,Gastos!$A$9:$J$1281,10,0),0)</f>
        <v>-18.43</v>
      </c>
      <c r="L103" s="87">
        <f>-IFERROR(VLOOKUP(C103,IDC!$A$25:$H$1532,8,0),0)</f>
        <v>-11.4</v>
      </c>
      <c r="M103" s="122">
        <f t="shared" si="21"/>
        <v>1900.0000000000002</v>
      </c>
      <c r="N103"/>
      <c r="P103" s="35">
        <f t="shared" si="19"/>
        <v>-1900</v>
      </c>
      <c r="Q103" s="66">
        <f t="shared" si="20"/>
        <v>0</v>
      </c>
    </row>
    <row r="104" spans="1:18" hidden="1">
      <c r="A104" s="59" t="s">
        <v>488</v>
      </c>
      <c r="B104" s="59" t="s">
        <v>28</v>
      </c>
      <c r="C104" s="112">
        <v>125128178537</v>
      </c>
      <c r="D104" s="64">
        <v>-1738.35</v>
      </c>
      <c r="E104" s="3">
        <v>8270775.2199999997</v>
      </c>
      <c r="F104" s="63" t="s">
        <v>2747</v>
      </c>
      <c r="G104" s="65">
        <f t="shared" ref="G104:G109" si="22">+D104/0.006</f>
        <v>-289725</v>
      </c>
      <c r="H104" s="65"/>
      <c r="I104" s="108">
        <f>-IFERROR(VLOOKUP(C104,SIRCUPA!$A$21:$H$155,8,0),0)</f>
        <v>0</v>
      </c>
      <c r="J104" s="108">
        <f>-IFERROR(VLOOKUP(C104,SIRTAC!$A$16:$H$1288,8,0),0)</f>
        <v>0</v>
      </c>
      <c r="K104" s="108">
        <f>-IFERROR(VLOOKUP(C104,Gastos!$A$9:$J$1281,10,0),0)</f>
        <v>0</v>
      </c>
      <c r="L104" s="65">
        <f>-IFERROR(VLOOKUP(C104,IDC!$A$25:$H$1532,8,0),0)</f>
        <v>-1738.35</v>
      </c>
      <c r="M104" s="123">
        <f t="shared" ref="M104:M109" si="23">+D104</f>
        <v>-1738.35</v>
      </c>
      <c r="N104" s="65"/>
      <c r="O104" s="59"/>
      <c r="Q104" s="66">
        <f t="shared" ref="Q104:Q109" si="24">+L104</f>
        <v>-1738.35</v>
      </c>
      <c r="R104" s="66">
        <f t="shared" ref="R104:R109" si="25">+M104-Q104</f>
        <v>0</v>
      </c>
    </row>
    <row r="105" spans="1:18" hidden="1">
      <c r="A105" s="59" t="s">
        <v>488</v>
      </c>
      <c r="B105" s="59" t="s">
        <v>28</v>
      </c>
      <c r="C105" s="112">
        <v>125720603672</v>
      </c>
      <c r="D105" s="63">
        <v>-676.12</v>
      </c>
      <c r="E105" s="3">
        <v>8272578.8399999999</v>
      </c>
      <c r="F105" s="63" t="s">
        <v>2747</v>
      </c>
      <c r="G105" s="65">
        <f t="shared" si="22"/>
        <v>-112686.66666666667</v>
      </c>
      <c r="H105" s="65"/>
      <c r="I105" s="108">
        <f>-IFERROR(VLOOKUP(C105,SIRCUPA!$A$21:$H$155,8,0),0)</f>
        <v>0</v>
      </c>
      <c r="J105" s="108">
        <f>-IFERROR(VLOOKUP(C105,SIRTAC!$A$16:$H$1288,8,0),0)</f>
        <v>0</v>
      </c>
      <c r="K105" s="108">
        <f>-IFERROR(VLOOKUP(C105,Gastos!$A$9:$J$1281,10,0),0)</f>
        <v>0</v>
      </c>
      <c r="L105" s="65">
        <f>-IFERROR(VLOOKUP(C105,IDC!$A$25:$H$1532,8,0),0)</f>
        <v>-676.12</v>
      </c>
      <c r="M105" s="123">
        <f t="shared" si="23"/>
        <v>-676.12</v>
      </c>
      <c r="N105" s="65"/>
      <c r="O105" s="59"/>
      <c r="Q105" s="66">
        <f t="shared" si="24"/>
        <v>-676.12</v>
      </c>
      <c r="R105" s="66">
        <f t="shared" si="25"/>
        <v>0</v>
      </c>
    </row>
    <row r="106" spans="1:18" hidden="1">
      <c r="A106" s="59" t="s">
        <v>529</v>
      </c>
      <c r="B106" s="59" t="s">
        <v>28</v>
      </c>
      <c r="C106" s="112">
        <v>125232161173</v>
      </c>
      <c r="D106" s="64">
        <v>-2703.05</v>
      </c>
      <c r="E106" s="3">
        <v>7712932.2999999998</v>
      </c>
      <c r="F106" s="63" t="s">
        <v>2747</v>
      </c>
      <c r="G106" s="65">
        <f t="shared" si="22"/>
        <v>-450508.33333333337</v>
      </c>
      <c r="H106" s="65"/>
      <c r="I106" s="108">
        <f>-IFERROR(VLOOKUP(C106,SIRCUPA!$A$21:$H$155,8,0),0)</f>
        <v>0</v>
      </c>
      <c r="J106" s="108">
        <f>-IFERROR(VLOOKUP(C106,SIRTAC!$A$16:$H$1288,8,0),0)</f>
        <v>0</v>
      </c>
      <c r="K106" s="108">
        <f>-IFERROR(VLOOKUP(C106,Gastos!$A$9:$J$1281,10,0),0)</f>
        <v>0</v>
      </c>
      <c r="L106" s="65">
        <f>-IFERROR(VLOOKUP(C106,IDC!$A$25:$H$1532,8,0),0)</f>
        <v>-2703.05</v>
      </c>
      <c r="M106" s="123">
        <f t="shared" si="23"/>
        <v>-2703.05</v>
      </c>
      <c r="N106" s="65"/>
      <c r="O106" s="59"/>
      <c r="Q106" s="66">
        <f t="shared" si="24"/>
        <v>-2703.05</v>
      </c>
      <c r="R106" s="66">
        <f t="shared" si="25"/>
        <v>0</v>
      </c>
    </row>
    <row r="107" spans="1:18" hidden="1">
      <c r="A107" s="59" t="s">
        <v>529</v>
      </c>
      <c r="B107" s="59" t="s">
        <v>28</v>
      </c>
      <c r="C107" s="112">
        <v>125232960111</v>
      </c>
      <c r="D107" s="63">
        <v>-199.45</v>
      </c>
      <c r="E107" s="3">
        <v>8166143.6100000003</v>
      </c>
      <c r="F107" s="63" t="s">
        <v>2747</v>
      </c>
      <c r="G107" s="65">
        <f t="shared" si="22"/>
        <v>-33241.666666666664</v>
      </c>
      <c r="H107" s="65"/>
      <c r="I107" s="108">
        <f>-IFERROR(VLOOKUP(C107,SIRCUPA!$A$21:$H$155,8,0),0)</f>
        <v>0</v>
      </c>
      <c r="J107" s="108">
        <f>-IFERROR(VLOOKUP(C107,SIRTAC!$A$16:$H$1288,8,0),0)</f>
        <v>0</v>
      </c>
      <c r="K107" s="108">
        <f>-IFERROR(VLOOKUP(C107,Gastos!$A$9:$J$1281,10,0),0)</f>
        <v>0</v>
      </c>
      <c r="L107" s="65">
        <f>-IFERROR(VLOOKUP(C107,IDC!$A$25:$H$1532,8,0),0)</f>
        <v>-199.45</v>
      </c>
      <c r="M107" s="123">
        <f t="shared" si="23"/>
        <v>-199.45</v>
      </c>
      <c r="N107" s="65"/>
      <c r="O107" s="59"/>
      <c r="Q107" s="66">
        <f t="shared" si="24"/>
        <v>-199.45</v>
      </c>
      <c r="R107" s="66">
        <f t="shared" si="25"/>
        <v>0</v>
      </c>
    </row>
    <row r="108" spans="1:18" hidden="1">
      <c r="A108" s="59" t="s">
        <v>529</v>
      </c>
      <c r="B108" s="59" t="s">
        <v>28</v>
      </c>
      <c r="C108" s="112">
        <v>125259476811</v>
      </c>
      <c r="D108" s="63">
        <v>-976.5</v>
      </c>
      <c r="E108" s="3">
        <v>7549205.7999999998</v>
      </c>
      <c r="F108" s="63" t="s">
        <v>2747</v>
      </c>
      <c r="G108" s="65">
        <f t="shared" si="22"/>
        <v>-162750</v>
      </c>
      <c r="H108" s="65"/>
      <c r="I108" s="108">
        <f>-IFERROR(VLOOKUP(C108,SIRCUPA!$A$21:$H$155,8,0),0)</f>
        <v>0</v>
      </c>
      <c r="J108" s="108">
        <f>-IFERROR(VLOOKUP(C108,SIRTAC!$A$16:$H$1288,8,0),0)</f>
        <v>0</v>
      </c>
      <c r="K108" s="108">
        <f>-IFERROR(VLOOKUP(C108,Gastos!$A$9:$J$1281,10,0),0)</f>
        <v>0</v>
      </c>
      <c r="L108" s="65">
        <f>-IFERROR(VLOOKUP(C108,IDC!$A$25:$H$1532,8,0),0)</f>
        <v>-976.5</v>
      </c>
      <c r="M108" s="123">
        <f t="shared" si="23"/>
        <v>-976.5</v>
      </c>
      <c r="N108" s="65"/>
      <c r="O108" s="59"/>
      <c r="Q108" s="66">
        <f t="shared" si="24"/>
        <v>-976.5</v>
      </c>
      <c r="R108" s="66">
        <f t="shared" si="25"/>
        <v>0</v>
      </c>
    </row>
    <row r="109" spans="1:18" hidden="1">
      <c r="A109" s="59" t="s">
        <v>529</v>
      </c>
      <c r="B109" s="59" t="s">
        <v>28</v>
      </c>
      <c r="C109" s="112">
        <v>125778419104</v>
      </c>
      <c r="D109" s="64">
        <v>-1130.42</v>
      </c>
      <c r="E109" s="3">
        <v>8199584.0599999996</v>
      </c>
      <c r="F109" s="63" t="s">
        <v>2747</v>
      </c>
      <c r="G109" s="65">
        <f t="shared" si="22"/>
        <v>-188403.33333333334</v>
      </c>
      <c r="H109" s="65"/>
      <c r="I109" s="108">
        <f>-IFERROR(VLOOKUP(C109,SIRCUPA!$A$21:$H$155,8,0),0)</f>
        <v>0</v>
      </c>
      <c r="J109" s="108">
        <f>-IFERROR(VLOOKUP(C109,SIRTAC!$A$16:$H$1288,8,0),0)</f>
        <v>0</v>
      </c>
      <c r="K109" s="108">
        <f>-IFERROR(VLOOKUP(C109,Gastos!$A$9:$J$1281,10,0),0)</f>
        <v>0</v>
      </c>
      <c r="L109" s="65">
        <f>-IFERROR(VLOOKUP(C109,IDC!$A$25:$H$1532,8,0),0)</f>
        <v>-1130.42</v>
      </c>
      <c r="M109" s="123">
        <f t="shared" si="23"/>
        <v>-1130.42</v>
      </c>
      <c r="N109" s="65"/>
      <c r="O109" s="59"/>
      <c r="Q109" s="66">
        <f t="shared" si="24"/>
        <v>-1130.42</v>
      </c>
      <c r="R109" s="66">
        <f t="shared" si="25"/>
        <v>0</v>
      </c>
    </row>
    <row r="110" spans="1:18" hidden="1">
      <c r="A110" s="1" t="s">
        <v>132</v>
      </c>
      <c r="B110" s="1" t="s">
        <v>15</v>
      </c>
      <c r="C110" s="91">
        <v>124386853415</v>
      </c>
      <c r="D110" s="3">
        <v>3799.77</v>
      </c>
      <c r="E110" s="3">
        <v>8687881.6799999997</v>
      </c>
      <c r="F110" s="35" t="s">
        <v>2750</v>
      </c>
      <c r="G110"/>
      <c r="H110"/>
      <c r="I110" s="27">
        <f>-IFERROR(VLOOKUP(C110,SIRCUPA!$A$21:$H$155,8,0),0)</f>
        <v>0</v>
      </c>
      <c r="J110" s="88">
        <f>-IFERROR(VLOOKUP(C110,SIRTAC!$A$16:$H$1288,8,0),0)</f>
        <v>-39</v>
      </c>
      <c r="K110" s="88">
        <f>-IFERROR(VLOOKUP(C110,Gastos!$A$9:$J$1281,10,0),0)</f>
        <v>-37.83</v>
      </c>
      <c r="L110" s="87">
        <f>-IFERROR(VLOOKUP(C110,IDC!$A$25:$H$1532,8,0),0)</f>
        <v>-23.4</v>
      </c>
      <c r="M110" s="122">
        <f t="shared" ref="M110:M141" si="26">+D110-I110-J110-K110-L110</f>
        <v>3900</v>
      </c>
      <c r="N110"/>
      <c r="P110" s="35">
        <f t="shared" ref="P110:P173" si="27">+L110/0.006</f>
        <v>-3899.9999999999995</v>
      </c>
      <c r="Q110" s="66">
        <f t="shared" ref="Q110:Q173" si="28">+M110+P110</f>
        <v>0</v>
      </c>
    </row>
    <row r="111" spans="1:18" hidden="1">
      <c r="A111" s="1" t="s">
        <v>132</v>
      </c>
      <c r="B111" s="1" t="s">
        <v>134</v>
      </c>
      <c r="C111" s="91">
        <v>124386769841</v>
      </c>
      <c r="D111" s="2">
        <v>381.81</v>
      </c>
      <c r="E111" s="3">
        <v>8688263.4900000002</v>
      </c>
      <c r="F111" s="2" t="s">
        <v>2750</v>
      </c>
      <c r="G111"/>
      <c r="H111"/>
      <c r="I111" s="27">
        <f>-IFERROR(VLOOKUP(C111,SIRCUPA!$A$21:$H$155,8,0),0)</f>
        <v>-5.85</v>
      </c>
      <c r="J111" s="88">
        <f>-IFERROR(VLOOKUP(C111,SIRTAC!$A$16:$H$1288,8,0),0)</f>
        <v>0</v>
      </c>
      <c r="K111" s="88">
        <f>-IFERROR(VLOOKUP(C111,Gastos!$A$9:$J$1281,10,0),0)</f>
        <v>0</v>
      </c>
      <c r="L111" s="87">
        <f>-IFERROR(VLOOKUP(C111,IDC!$A$25:$H$1532,8,0),0)</f>
        <v>-2.34</v>
      </c>
      <c r="M111" s="122">
        <f t="shared" si="26"/>
        <v>390</v>
      </c>
      <c r="N111"/>
      <c r="P111" s="35">
        <f t="shared" si="27"/>
        <v>-389.99999999999994</v>
      </c>
      <c r="Q111" s="66">
        <f t="shared" si="28"/>
        <v>0</v>
      </c>
    </row>
    <row r="112" spans="1:18" hidden="1">
      <c r="A112" s="1" t="s">
        <v>132</v>
      </c>
      <c r="B112" s="1" t="s">
        <v>15</v>
      </c>
      <c r="C112" s="91">
        <v>124932013860</v>
      </c>
      <c r="D112" s="3">
        <v>59319.519999999997</v>
      </c>
      <c r="E112" s="3">
        <v>8747583.0099999998</v>
      </c>
      <c r="F112" s="35" t="s">
        <v>2750</v>
      </c>
      <c r="G112"/>
      <c r="H112"/>
      <c r="I112" s="27">
        <f>-IFERROR(VLOOKUP(C112,SIRCUPA!$A$21:$H$155,8,0),0)</f>
        <v>0</v>
      </c>
      <c r="J112" s="88">
        <f>-IFERROR(VLOOKUP(C112,SIRTAC!$A$16:$H$1288,8,0),0)</f>
        <v>-632</v>
      </c>
      <c r="K112" s="88">
        <f>-IFERROR(VLOOKUP(C112,Gastos!$A$9:$J$1281,10,0),0)</f>
        <v>-2869.28</v>
      </c>
      <c r="L112" s="87">
        <f>-IFERROR(VLOOKUP(C112,IDC!$A$25:$H$1532,8,0),0)</f>
        <v>-379.2</v>
      </c>
      <c r="M112" s="122">
        <f t="shared" si="26"/>
        <v>63199.999999999993</v>
      </c>
      <c r="N112"/>
      <c r="P112" s="35">
        <f t="shared" si="27"/>
        <v>-63200</v>
      </c>
      <c r="Q112" s="66">
        <f t="shared" si="28"/>
        <v>0</v>
      </c>
    </row>
    <row r="113" spans="1:17" hidden="1">
      <c r="A113" s="1" t="s">
        <v>132</v>
      </c>
      <c r="B113" s="1" t="s">
        <v>15</v>
      </c>
      <c r="C113" s="91">
        <v>124387202427</v>
      </c>
      <c r="D113" s="3">
        <v>7989.26</v>
      </c>
      <c r="E113" s="3">
        <v>8755572.2699999996</v>
      </c>
      <c r="F113" s="35" t="s">
        <v>2750</v>
      </c>
      <c r="G113"/>
      <c r="H113"/>
      <c r="I113" s="27">
        <f>-IFERROR(VLOOKUP(C113,SIRCUPA!$A$21:$H$155,8,0),0)</f>
        <v>0</v>
      </c>
      <c r="J113" s="88">
        <f>-IFERROR(VLOOKUP(C113,SIRTAC!$A$16:$H$1288,8,0),0)</f>
        <v>-82</v>
      </c>
      <c r="K113" s="88">
        <f>-IFERROR(VLOOKUP(C113,Gastos!$A$9:$J$1281,10,0),0)</f>
        <v>-79.540000000000006</v>
      </c>
      <c r="L113" s="87">
        <f>-IFERROR(VLOOKUP(C113,IDC!$A$25:$H$1532,8,0),0)</f>
        <v>-49.2</v>
      </c>
      <c r="M113" s="122">
        <f t="shared" si="26"/>
        <v>8200</v>
      </c>
      <c r="N113"/>
      <c r="P113" s="35">
        <f t="shared" si="27"/>
        <v>-8200</v>
      </c>
      <c r="Q113" s="66">
        <f t="shared" si="28"/>
        <v>0</v>
      </c>
    </row>
    <row r="114" spans="1:17" hidden="1">
      <c r="A114" s="1" t="s">
        <v>132</v>
      </c>
      <c r="B114" s="1" t="s">
        <v>15</v>
      </c>
      <c r="C114" s="91">
        <v>124387169897</v>
      </c>
      <c r="D114" s="3">
        <v>9060.99</v>
      </c>
      <c r="E114" s="3">
        <v>8764633.2599999998</v>
      </c>
      <c r="F114" s="35" t="s">
        <v>2750</v>
      </c>
      <c r="G114"/>
      <c r="H114"/>
      <c r="I114" s="27">
        <f>-IFERROR(VLOOKUP(C114,SIRCUPA!$A$21:$H$155,8,0),0)</f>
        <v>0</v>
      </c>
      <c r="J114" s="88">
        <f>-IFERROR(VLOOKUP(C114,SIRTAC!$A$16:$H$1288,8,0),0)</f>
        <v>-93</v>
      </c>
      <c r="K114" s="88">
        <f>-IFERROR(VLOOKUP(C114,Gastos!$A$9:$J$1281,10,0),0)</f>
        <v>-90.21</v>
      </c>
      <c r="L114" s="87">
        <f>-IFERROR(VLOOKUP(C114,IDC!$A$25:$H$1532,8,0),0)</f>
        <v>-55.8</v>
      </c>
      <c r="M114" s="122">
        <f t="shared" si="26"/>
        <v>9299.9999999999982</v>
      </c>
      <c r="N114"/>
      <c r="P114" s="35">
        <f t="shared" si="27"/>
        <v>-9300</v>
      </c>
      <c r="Q114" s="66">
        <f t="shared" si="28"/>
        <v>0</v>
      </c>
    </row>
    <row r="115" spans="1:17" hidden="1">
      <c r="A115" s="1" t="s">
        <v>132</v>
      </c>
      <c r="B115" s="1" t="s">
        <v>15</v>
      </c>
      <c r="C115" s="91">
        <v>124387263837</v>
      </c>
      <c r="D115" s="3">
        <v>15491.37</v>
      </c>
      <c r="E115" s="3">
        <v>8780124.6300000008</v>
      </c>
      <c r="F115" s="35" t="s">
        <v>2750</v>
      </c>
      <c r="G115"/>
      <c r="H115"/>
      <c r="I115" s="27">
        <f>-IFERROR(VLOOKUP(C115,SIRCUPA!$A$21:$H$155,8,0),0)</f>
        <v>0</v>
      </c>
      <c r="J115" s="88">
        <f>-IFERROR(VLOOKUP(C115,SIRTAC!$A$16:$H$1288,8,0),0)</f>
        <v>-159</v>
      </c>
      <c r="K115" s="88">
        <f>-IFERROR(VLOOKUP(C115,Gastos!$A$9:$J$1281,10,0),0)</f>
        <v>-154.22999999999999</v>
      </c>
      <c r="L115" s="87">
        <f>-IFERROR(VLOOKUP(C115,IDC!$A$25:$H$1532,8,0),0)</f>
        <v>-95.4</v>
      </c>
      <c r="M115" s="122">
        <f t="shared" si="26"/>
        <v>15900</v>
      </c>
      <c r="N115"/>
      <c r="P115" s="35">
        <f t="shared" si="27"/>
        <v>-15900</v>
      </c>
      <c r="Q115" s="66">
        <f t="shared" si="28"/>
        <v>0</v>
      </c>
    </row>
    <row r="116" spans="1:17" hidden="1">
      <c r="A116" s="1" t="s">
        <v>132</v>
      </c>
      <c r="B116" s="1" t="s">
        <v>15</v>
      </c>
      <c r="C116" s="91">
        <v>124932672660</v>
      </c>
      <c r="D116" s="3">
        <v>4871.5</v>
      </c>
      <c r="E116" s="3">
        <v>8784996.1300000008</v>
      </c>
      <c r="F116" s="35" t="s">
        <v>2750</v>
      </c>
      <c r="G116"/>
      <c r="H116"/>
      <c r="I116" s="27">
        <f>-IFERROR(VLOOKUP(C116,SIRCUPA!$A$21:$H$155,8,0),0)</f>
        <v>0</v>
      </c>
      <c r="J116" s="88">
        <f>-IFERROR(VLOOKUP(C116,SIRTAC!$A$16:$H$1288,8,0),0)</f>
        <v>-50</v>
      </c>
      <c r="K116" s="88">
        <f>-IFERROR(VLOOKUP(C116,Gastos!$A$9:$J$1281,10,0),0)</f>
        <v>-48.5</v>
      </c>
      <c r="L116" s="87">
        <f>-IFERROR(VLOOKUP(C116,IDC!$A$25:$H$1532,8,0),0)</f>
        <v>-30</v>
      </c>
      <c r="M116" s="122">
        <f t="shared" si="26"/>
        <v>5000</v>
      </c>
      <c r="N116"/>
      <c r="P116" s="35">
        <f t="shared" si="27"/>
        <v>-5000</v>
      </c>
      <c r="Q116" s="66">
        <f t="shared" si="28"/>
        <v>0</v>
      </c>
    </row>
    <row r="117" spans="1:17" hidden="1">
      <c r="A117" s="1" t="s">
        <v>132</v>
      </c>
      <c r="B117" s="1" t="s">
        <v>15</v>
      </c>
      <c r="C117" s="91">
        <v>124932574010</v>
      </c>
      <c r="D117" s="3">
        <v>4539.5</v>
      </c>
      <c r="E117" s="3">
        <v>8789535.6300000008</v>
      </c>
      <c r="F117" s="35" t="s">
        <v>2750</v>
      </c>
      <c r="G117"/>
      <c r="H117"/>
      <c r="I117" s="27">
        <f>-IFERROR(VLOOKUP(C117,SIRCUPA!$A$21:$H$155,8,0),0)</f>
        <v>0</v>
      </c>
      <c r="J117" s="88">
        <f>-IFERROR(VLOOKUP(C117,SIRTAC!$A$16:$H$1288,8,0),0)</f>
        <v>-50</v>
      </c>
      <c r="K117" s="88">
        <f>-IFERROR(VLOOKUP(C117,Gastos!$A$9:$J$1281,10,0),0)</f>
        <v>-380.5</v>
      </c>
      <c r="L117" s="87">
        <f>-IFERROR(VLOOKUP(C117,IDC!$A$25:$H$1532,8,0),0)</f>
        <v>-30</v>
      </c>
      <c r="M117" s="122">
        <f t="shared" si="26"/>
        <v>5000</v>
      </c>
      <c r="N117"/>
      <c r="P117" s="35">
        <f t="shared" si="27"/>
        <v>-5000</v>
      </c>
      <c r="Q117" s="66">
        <f t="shared" si="28"/>
        <v>0</v>
      </c>
    </row>
    <row r="118" spans="1:17" hidden="1">
      <c r="A118" s="1" t="s">
        <v>132</v>
      </c>
      <c r="B118" s="1" t="s">
        <v>15</v>
      </c>
      <c r="C118" s="91">
        <v>124387491809</v>
      </c>
      <c r="D118" s="3">
        <v>68980.44</v>
      </c>
      <c r="E118" s="3">
        <v>8858516.0700000003</v>
      </c>
      <c r="F118" s="35" t="s">
        <v>2750</v>
      </c>
      <c r="G118"/>
      <c r="H118"/>
      <c r="I118" s="27">
        <f>-IFERROR(VLOOKUP(C118,SIRCUPA!$A$21:$H$155,8,0),0)</f>
        <v>0</v>
      </c>
      <c r="J118" s="88">
        <f>-IFERROR(VLOOKUP(C118,SIRTAC!$A$16:$H$1288,8,0),0)</f>
        <v>-708</v>
      </c>
      <c r="K118" s="88">
        <f>-IFERROR(VLOOKUP(C118,Gastos!$A$9:$J$1281,10,0),0)</f>
        <v>-686.76</v>
      </c>
      <c r="L118" s="87">
        <f>-IFERROR(VLOOKUP(C118,IDC!$A$25:$H$1532,8,0),0)</f>
        <v>-424.8</v>
      </c>
      <c r="M118" s="122">
        <f t="shared" si="26"/>
        <v>70800</v>
      </c>
      <c r="N118"/>
      <c r="P118" s="35">
        <f t="shared" si="27"/>
        <v>-70800</v>
      </c>
      <c r="Q118" s="66">
        <f t="shared" si="28"/>
        <v>0</v>
      </c>
    </row>
    <row r="119" spans="1:17" hidden="1">
      <c r="A119" s="1" t="s">
        <v>132</v>
      </c>
      <c r="B119" s="1" t="s">
        <v>15</v>
      </c>
      <c r="C119" s="91">
        <v>124932738810</v>
      </c>
      <c r="D119" s="3">
        <v>2143.46</v>
      </c>
      <c r="E119" s="3">
        <v>8860659.5299999993</v>
      </c>
      <c r="F119" s="35" t="s">
        <v>2750</v>
      </c>
      <c r="G119"/>
      <c r="H119"/>
      <c r="I119" s="27">
        <f>-IFERROR(VLOOKUP(C119,SIRCUPA!$A$21:$H$155,8,0),0)</f>
        <v>0</v>
      </c>
      <c r="J119" s="88">
        <f>-IFERROR(VLOOKUP(C119,SIRTAC!$A$16:$H$1288,8,0),0)</f>
        <v>-22</v>
      </c>
      <c r="K119" s="88">
        <f>-IFERROR(VLOOKUP(C119,Gastos!$A$9:$J$1281,10,0),0)</f>
        <v>-21.34</v>
      </c>
      <c r="L119" s="87">
        <f>-IFERROR(VLOOKUP(C119,IDC!$A$25:$H$1532,8,0),0)</f>
        <v>-13.2</v>
      </c>
      <c r="M119" s="122">
        <f t="shared" si="26"/>
        <v>2200</v>
      </c>
      <c r="N119"/>
      <c r="P119" s="35">
        <f t="shared" si="27"/>
        <v>-2200</v>
      </c>
      <c r="Q119" s="66">
        <f t="shared" si="28"/>
        <v>0</v>
      </c>
    </row>
    <row r="120" spans="1:17" hidden="1">
      <c r="A120" s="1" t="s">
        <v>132</v>
      </c>
      <c r="B120" s="1" t="s">
        <v>15</v>
      </c>
      <c r="C120" s="91">
        <v>124933058374</v>
      </c>
      <c r="D120" s="3">
        <v>15686.23</v>
      </c>
      <c r="E120" s="3">
        <v>8876345.7599999998</v>
      </c>
      <c r="F120" s="35" t="s">
        <v>2750</v>
      </c>
      <c r="G120"/>
      <c r="H120"/>
      <c r="I120" s="27">
        <f>-IFERROR(VLOOKUP(C120,SIRCUPA!$A$21:$H$155,8,0),0)</f>
        <v>0</v>
      </c>
      <c r="J120" s="88">
        <f>-IFERROR(VLOOKUP(C120,SIRTAC!$A$16:$H$1288,8,0),0)</f>
        <v>-161</v>
      </c>
      <c r="K120" s="88">
        <f>-IFERROR(VLOOKUP(C120,Gastos!$A$9:$J$1281,10,0),0)</f>
        <v>-156.16999999999999</v>
      </c>
      <c r="L120" s="87">
        <f>-IFERROR(VLOOKUP(C120,IDC!$A$25:$H$1532,8,0),0)</f>
        <v>-96.6</v>
      </c>
      <c r="M120" s="122">
        <f t="shared" si="26"/>
        <v>16100</v>
      </c>
      <c r="N120"/>
      <c r="P120" s="35">
        <f t="shared" si="27"/>
        <v>-16099.999999999998</v>
      </c>
      <c r="Q120" s="66">
        <f t="shared" si="28"/>
        <v>0</v>
      </c>
    </row>
    <row r="121" spans="1:17" hidden="1">
      <c r="A121" s="1" t="s">
        <v>132</v>
      </c>
      <c r="B121" s="1" t="s">
        <v>15</v>
      </c>
      <c r="C121" s="91">
        <v>124933214738</v>
      </c>
      <c r="D121" s="3">
        <v>4189.49</v>
      </c>
      <c r="E121" s="3">
        <v>8880535.25</v>
      </c>
      <c r="F121" s="35" t="s">
        <v>2750</v>
      </c>
      <c r="G121"/>
      <c r="H121"/>
      <c r="I121" s="27">
        <f>-IFERROR(VLOOKUP(C121,SIRCUPA!$A$21:$H$155,8,0),0)</f>
        <v>0</v>
      </c>
      <c r="J121" s="88">
        <f>-IFERROR(VLOOKUP(C121,SIRTAC!$A$16:$H$1288,8,0),0)</f>
        <v>-43</v>
      </c>
      <c r="K121" s="88">
        <f>-IFERROR(VLOOKUP(C121,Gastos!$A$9:$J$1281,10,0),0)</f>
        <v>-41.71</v>
      </c>
      <c r="L121" s="87">
        <f>-IFERROR(VLOOKUP(C121,IDC!$A$25:$H$1532,8,0),0)</f>
        <v>-25.8</v>
      </c>
      <c r="M121" s="122">
        <f t="shared" si="26"/>
        <v>4300</v>
      </c>
      <c r="N121"/>
      <c r="P121" s="35">
        <f t="shared" si="27"/>
        <v>-4300</v>
      </c>
      <c r="Q121" s="66">
        <f t="shared" si="28"/>
        <v>0</v>
      </c>
    </row>
    <row r="122" spans="1:17" hidden="1">
      <c r="A122" s="1" t="s">
        <v>132</v>
      </c>
      <c r="B122" s="1" t="s">
        <v>15</v>
      </c>
      <c r="C122" s="91">
        <v>124388057649</v>
      </c>
      <c r="D122" s="3">
        <v>4189.49</v>
      </c>
      <c r="E122" s="3">
        <v>8884724.7400000002</v>
      </c>
      <c r="F122" s="35" t="s">
        <v>2750</v>
      </c>
      <c r="G122"/>
      <c r="H122"/>
      <c r="I122" s="27">
        <f>-IFERROR(VLOOKUP(C122,SIRCUPA!$A$21:$H$155,8,0),0)</f>
        <v>0</v>
      </c>
      <c r="J122" s="88">
        <f>-IFERROR(VLOOKUP(C122,SIRTAC!$A$16:$H$1288,8,0),0)</f>
        <v>-43</v>
      </c>
      <c r="K122" s="88">
        <f>-IFERROR(VLOOKUP(C122,Gastos!$A$9:$J$1281,10,0),0)</f>
        <v>-41.71</v>
      </c>
      <c r="L122" s="87">
        <f>-IFERROR(VLOOKUP(C122,IDC!$A$25:$H$1532,8,0),0)</f>
        <v>-25.8</v>
      </c>
      <c r="M122" s="122">
        <f t="shared" si="26"/>
        <v>4300</v>
      </c>
      <c r="N122"/>
      <c r="P122" s="35">
        <f t="shared" si="27"/>
        <v>-4300</v>
      </c>
      <c r="Q122" s="66">
        <f t="shared" si="28"/>
        <v>0</v>
      </c>
    </row>
    <row r="123" spans="1:17" hidden="1">
      <c r="A123" s="1" t="s">
        <v>132</v>
      </c>
      <c r="B123" s="1" t="s">
        <v>15</v>
      </c>
      <c r="C123" s="91">
        <v>124933398996</v>
      </c>
      <c r="D123" s="3">
        <v>4189.49</v>
      </c>
      <c r="E123" s="3">
        <v>8888914.2300000004</v>
      </c>
      <c r="F123" s="35" t="s">
        <v>2750</v>
      </c>
      <c r="G123"/>
      <c r="H123"/>
      <c r="I123" s="27">
        <f>-IFERROR(VLOOKUP(C123,SIRCUPA!$A$21:$H$155,8,0),0)</f>
        <v>0</v>
      </c>
      <c r="J123" s="88">
        <f>-IFERROR(VLOOKUP(C123,SIRTAC!$A$16:$H$1288,8,0),0)</f>
        <v>-43</v>
      </c>
      <c r="K123" s="88">
        <f>-IFERROR(VLOOKUP(C123,Gastos!$A$9:$J$1281,10,0),0)</f>
        <v>-41.71</v>
      </c>
      <c r="L123" s="87">
        <f>-IFERROR(VLOOKUP(C123,IDC!$A$25:$H$1532,8,0),0)</f>
        <v>-25.8</v>
      </c>
      <c r="M123" s="122">
        <f t="shared" si="26"/>
        <v>4300</v>
      </c>
      <c r="N123"/>
      <c r="P123" s="35">
        <f t="shared" si="27"/>
        <v>-4300</v>
      </c>
      <c r="Q123" s="66">
        <f t="shared" si="28"/>
        <v>0</v>
      </c>
    </row>
    <row r="124" spans="1:17" hidden="1">
      <c r="A124" s="1" t="s">
        <v>132</v>
      </c>
      <c r="B124" s="1" t="s">
        <v>15</v>
      </c>
      <c r="C124" s="91">
        <v>124388358883</v>
      </c>
      <c r="D124" s="3">
        <v>4062.21</v>
      </c>
      <c r="E124" s="3">
        <v>8892976.4399999995</v>
      </c>
      <c r="F124" s="35" t="s">
        <v>2750</v>
      </c>
      <c r="G124"/>
      <c r="H124"/>
      <c r="I124" s="27">
        <f>-IFERROR(VLOOKUP(C124,SIRCUPA!$A$21:$H$155,8,0),0)</f>
        <v>0</v>
      </c>
      <c r="J124" s="88">
        <f>-IFERROR(VLOOKUP(C124,SIRTAC!$A$16:$H$1288,8,0),0)</f>
        <v>-43</v>
      </c>
      <c r="K124" s="88">
        <f>-IFERROR(VLOOKUP(C124,Gastos!$A$9:$J$1281,10,0),0)</f>
        <v>-168.99</v>
      </c>
      <c r="L124" s="87">
        <f>-IFERROR(VLOOKUP(C124,IDC!$A$25:$H$1532,8,0),0)</f>
        <v>-25.8</v>
      </c>
      <c r="M124" s="122">
        <f t="shared" si="26"/>
        <v>4300</v>
      </c>
      <c r="N124"/>
      <c r="P124" s="35">
        <f t="shared" si="27"/>
        <v>-4300</v>
      </c>
      <c r="Q124" s="66">
        <f t="shared" si="28"/>
        <v>0</v>
      </c>
    </row>
    <row r="125" spans="1:17" hidden="1">
      <c r="A125" s="1" t="s">
        <v>132</v>
      </c>
      <c r="B125" s="1" t="s">
        <v>15</v>
      </c>
      <c r="C125" s="91">
        <v>124388466105</v>
      </c>
      <c r="D125" s="3">
        <v>181414.66</v>
      </c>
      <c r="E125" s="3">
        <v>9074391.0999999996</v>
      </c>
      <c r="F125" s="35" t="s">
        <v>2750</v>
      </c>
      <c r="G125"/>
      <c r="H125"/>
      <c r="I125" s="27">
        <f>-IFERROR(VLOOKUP(C125,SIRCUPA!$A$21:$H$155,8,0),0)</f>
        <v>0</v>
      </c>
      <c r="J125" s="88">
        <f>-IFERROR(VLOOKUP(C125,SIRTAC!$A$16:$H$1288,8,0),0)</f>
        <v>-1862</v>
      </c>
      <c r="K125" s="88">
        <f>-IFERROR(VLOOKUP(C125,Gastos!$A$9:$J$1281,10,0),0)</f>
        <v>-1806.14</v>
      </c>
      <c r="L125" s="87">
        <f>-IFERROR(VLOOKUP(C125,IDC!$A$25:$H$1532,8,0),0)</f>
        <v>-1117.2</v>
      </c>
      <c r="M125" s="122">
        <f t="shared" si="26"/>
        <v>186200.00000000003</v>
      </c>
      <c r="N125"/>
      <c r="P125" s="35">
        <f t="shared" si="27"/>
        <v>-186200</v>
      </c>
      <c r="Q125" s="66">
        <f t="shared" si="28"/>
        <v>0</v>
      </c>
    </row>
    <row r="126" spans="1:17" hidden="1">
      <c r="A126" s="1" t="s">
        <v>132</v>
      </c>
      <c r="B126" s="1" t="s">
        <v>15</v>
      </c>
      <c r="C126" s="91">
        <v>124388706943</v>
      </c>
      <c r="D126" s="3">
        <v>3799.77</v>
      </c>
      <c r="E126" s="3">
        <v>9078190.8699999992</v>
      </c>
      <c r="F126" s="35" t="s">
        <v>2750</v>
      </c>
      <c r="G126"/>
      <c r="H126"/>
      <c r="I126" s="27">
        <f>-IFERROR(VLOOKUP(C126,SIRCUPA!$A$21:$H$155,8,0),0)</f>
        <v>0</v>
      </c>
      <c r="J126" s="88">
        <f>-IFERROR(VLOOKUP(C126,SIRTAC!$A$16:$H$1288,8,0),0)</f>
        <v>-39</v>
      </c>
      <c r="K126" s="88">
        <f>-IFERROR(VLOOKUP(C126,Gastos!$A$9:$J$1281,10,0),0)</f>
        <v>-37.83</v>
      </c>
      <c r="L126" s="87">
        <f>-IFERROR(VLOOKUP(C126,IDC!$A$25:$H$1532,8,0),0)</f>
        <v>-23.4</v>
      </c>
      <c r="M126" s="122">
        <f t="shared" si="26"/>
        <v>3900</v>
      </c>
      <c r="N126"/>
      <c r="P126" s="35">
        <f t="shared" si="27"/>
        <v>-3899.9999999999995</v>
      </c>
      <c r="Q126" s="66">
        <f t="shared" si="28"/>
        <v>0</v>
      </c>
    </row>
    <row r="127" spans="1:17" hidden="1">
      <c r="A127" s="1" t="s">
        <v>132</v>
      </c>
      <c r="B127" s="1" t="s">
        <v>134</v>
      </c>
      <c r="C127" s="91">
        <v>124933915330</v>
      </c>
      <c r="D127" s="2">
        <v>381.81</v>
      </c>
      <c r="E127" s="3">
        <v>9078572.6799999997</v>
      </c>
      <c r="F127" s="2" t="s">
        <v>2750</v>
      </c>
      <c r="G127"/>
      <c r="H127"/>
      <c r="I127" s="27">
        <f>-IFERROR(VLOOKUP(C127,SIRCUPA!$A$21:$H$155,8,0),0)</f>
        <v>-5.85</v>
      </c>
      <c r="J127" s="88">
        <f>-IFERROR(VLOOKUP(C127,SIRTAC!$A$16:$H$1288,8,0),0)</f>
        <v>0</v>
      </c>
      <c r="K127" s="88">
        <f>-IFERROR(VLOOKUP(C127,Gastos!$A$9:$J$1281,10,0),0)</f>
        <v>0</v>
      </c>
      <c r="L127" s="87">
        <f>-IFERROR(VLOOKUP(C127,IDC!$A$25:$H$1532,8,0),0)</f>
        <v>-2.34</v>
      </c>
      <c r="M127" s="122">
        <f t="shared" si="26"/>
        <v>390</v>
      </c>
      <c r="N127"/>
      <c r="P127" s="35">
        <f t="shared" si="27"/>
        <v>-389.99999999999994</v>
      </c>
      <c r="Q127" s="66">
        <f t="shared" si="28"/>
        <v>0</v>
      </c>
    </row>
    <row r="128" spans="1:17" hidden="1">
      <c r="A128" s="1" t="s">
        <v>132</v>
      </c>
      <c r="B128" s="1" t="s">
        <v>15</v>
      </c>
      <c r="C128" s="91">
        <v>124934432228</v>
      </c>
      <c r="D128" s="3">
        <v>4189.49</v>
      </c>
      <c r="E128" s="3">
        <v>9082762.1699999999</v>
      </c>
      <c r="F128" s="35" t="s">
        <v>2750</v>
      </c>
      <c r="G128"/>
      <c r="H128"/>
      <c r="I128" s="27">
        <f>-IFERROR(VLOOKUP(C128,SIRCUPA!$A$21:$H$155,8,0),0)</f>
        <v>0</v>
      </c>
      <c r="J128" s="88">
        <f>-IFERROR(VLOOKUP(C128,SIRTAC!$A$16:$H$1288,8,0),0)</f>
        <v>-43</v>
      </c>
      <c r="K128" s="88">
        <f>-IFERROR(VLOOKUP(C128,Gastos!$A$9:$J$1281,10,0),0)</f>
        <v>-41.71</v>
      </c>
      <c r="L128" s="87">
        <f>-IFERROR(VLOOKUP(C128,IDC!$A$25:$H$1532,8,0),0)</f>
        <v>-25.8</v>
      </c>
      <c r="M128" s="122">
        <f t="shared" si="26"/>
        <v>4300</v>
      </c>
      <c r="N128"/>
      <c r="P128" s="35">
        <f t="shared" si="27"/>
        <v>-4300</v>
      </c>
      <c r="Q128" s="66">
        <f t="shared" si="28"/>
        <v>0</v>
      </c>
    </row>
    <row r="129" spans="1:17" hidden="1">
      <c r="A129" s="1" t="s">
        <v>132</v>
      </c>
      <c r="B129" s="1" t="s">
        <v>153</v>
      </c>
      <c r="C129" s="91">
        <v>124389262853</v>
      </c>
      <c r="D129" s="2">
        <v>210.48</v>
      </c>
      <c r="E129" s="3">
        <v>9082972.6500000004</v>
      </c>
      <c r="F129" s="2" t="s">
        <v>2750</v>
      </c>
      <c r="G129"/>
      <c r="H129"/>
      <c r="I129" s="27">
        <f>-IFERROR(VLOOKUP(C129,SIRCUPA!$A$21:$H$155,8,0),0)</f>
        <v>-3.23</v>
      </c>
      <c r="J129" s="88">
        <f>-IFERROR(VLOOKUP(C129,SIRTAC!$A$16:$H$1288,8,0),0)</f>
        <v>0</v>
      </c>
      <c r="K129" s="88">
        <f>-IFERROR(VLOOKUP(C129,Gastos!$A$9:$J$1281,10,0),0)</f>
        <v>0</v>
      </c>
      <c r="L129" s="87">
        <f>-IFERROR(VLOOKUP(C129,IDC!$A$25:$H$1532,8,0),0)</f>
        <v>-1.29</v>
      </c>
      <c r="M129" s="122">
        <f t="shared" si="26"/>
        <v>214.99999999999997</v>
      </c>
      <c r="N129"/>
      <c r="P129" s="35">
        <f t="shared" si="27"/>
        <v>-215</v>
      </c>
      <c r="Q129" s="66">
        <f t="shared" si="28"/>
        <v>0</v>
      </c>
    </row>
    <row r="130" spans="1:17" hidden="1">
      <c r="A130" s="1" t="s">
        <v>132</v>
      </c>
      <c r="B130" s="1" t="s">
        <v>15</v>
      </c>
      <c r="C130" s="91">
        <v>124389182075</v>
      </c>
      <c r="D130" s="3">
        <v>4189.49</v>
      </c>
      <c r="E130" s="3">
        <v>9087162.1400000006</v>
      </c>
      <c r="F130" s="35" t="s">
        <v>2750</v>
      </c>
      <c r="G130"/>
      <c r="H130"/>
      <c r="I130" s="27">
        <f>-IFERROR(VLOOKUP(C130,SIRCUPA!$A$21:$H$155,8,0),0)</f>
        <v>0</v>
      </c>
      <c r="J130" s="88">
        <f>-IFERROR(VLOOKUP(C130,SIRTAC!$A$16:$H$1288,8,0),0)</f>
        <v>-43</v>
      </c>
      <c r="K130" s="88">
        <f>-IFERROR(VLOOKUP(C130,Gastos!$A$9:$J$1281,10,0),0)</f>
        <v>-41.71</v>
      </c>
      <c r="L130" s="87">
        <f>-IFERROR(VLOOKUP(C130,IDC!$A$25:$H$1532,8,0),0)</f>
        <v>-25.8</v>
      </c>
      <c r="M130" s="122">
        <f t="shared" si="26"/>
        <v>4300</v>
      </c>
      <c r="N130"/>
      <c r="P130" s="35">
        <f t="shared" si="27"/>
        <v>-4300</v>
      </c>
      <c r="Q130" s="66">
        <f t="shared" si="28"/>
        <v>0</v>
      </c>
    </row>
    <row r="131" spans="1:17" hidden="1">
      <c r="A131" s="1" t="s">
        <v>132</v>
      </c>
      <c r="B131" s="1" t="s">
        <v>15</v>
      </c>
      <c r="C131" s="91">
        <v>124389369351</v>
      </c>
      <c r="D131" s="3">
        <v>58555.43</v>
      </c>
      <c r="E131" s="3">
        <v>9145717.5700000003</v>
      </c>
      <c r="F131" s="35" t="s">
        <v>2750</v>
      </c>
      <c r="G131"/>
      <c r="H131"/>
      <c r="I131" s="27">
        <f>-IFERROR(VLOOKUP(C131,SIRCUPA!$A$21:$H$155,8,0),0)</f>
        <v>0</v>
      </c>
      <c r="J131" s="88">
        <f>-IFERROR(VLOOKUP(C131,SIRTAC!$A$16:$H$1288,8,0),0)</f>
        <v>-601</v>
      </c>
      <c r="K131" s="88">
        <f>-IFERROR(VLOOKUP(C131,Gastos!$A$9:$J$1281,10,0),0)</f>
        <v>-582.97</v>
      </c>
      <c r="L131" s="87">
        <f>-IFERROR(VLOOKUP(C131,IDC!$A$25:$H$1532,8,0),0)</f>
        <v>-360.6</v>
      </c>
      <c r="M131" s="122">
        <f t="shared" si="26"/>
        <v>60100</v>
      </c>
      <c r="N131"/>
      <c r="P131" s="35">
        <f t="shared" si="27"/>
        <v>-60100</v>
      </c>
      <c r="Q131" s="66">
        <f t="shared" si="28"/>
        <v>0</v>
      </c>
    </row>
    <row r="132" spans="1:17" hidden="1">
      <c r="A132" s="1" t="s">
        <v>132</v>
      </c>
      <c r="B132" s="1" t="s">
        <v>157</v>
      </c>
      <c r="C132" s="91">
        <v>124389351389</v>
      </c>
      <c r="D132" s="3">
        <v>2941.89</v>
      </c>
      <c r="E132" s="3">
        <v>9148659.4600000009</v>
      </c>
      <c r="F132" s="2" t="s">
        <v>2750</v>
      </c>
      <c r="G132"/>
      <c r="H132"/>
      <c r="I132" s="27">
        <f>-IFERROR(VLOOKUP(C132,SIRCUPA!$A$21:$H$155,8,0),0)</f>
        <v>-45.08</v>
      </c>
      <c r="J132" s="88">
        <f>-IFERROR(VLOOKUP(C132,SIRTAC!$A$16:$H$1288,8,0),0)</f>
        <v>0</v>
      </c>
      <c r="K132" s="88">
        <f>-IFERROR(VLOOKUP(C132,Gastos!$A$9:$J$1281,10,0),0)</f>
        <v>0</v>
      </c>
      <c r="L132" s="87">
        <f>-IFERROR(VLOOKUP(C132,IDC!$A$25:$H$1532,8,0),0)</f>
        <v>-18.03</v>
      </c>
      <c r="M132" s="122">
        <f t="shared" si="26"/>
        <v>3005</v>
      </c>
      <c r="N132"/>
      <c r="P132" s="35">
        <f t="shared" si="27"/>
        <v>-3005</v>
      </c>
      <c r="Q132" s="66">
        <f t="shared" si="28"/>
        <v>0</v>
      </c>
    </row>
    <row r="133" spans="1:17" hidden="1">
      <c r="A133" s="1" t="s">
        <v>132</v>
      </c>
      <c r="B133" s="1" t="s">
        <v>15</v>
      </c>
      <c r="C133" s="91">
        <v>124389389493</v>
      </c>
      <c r="D133" s="3">
        <v>4189.49</v>
      </c>
      <c r="E133" s="3">
        <v>9152848.9499999993</v>
      </c>
      <c r="F133" s="35" t="s">
        <v>2750</v>
      </c>
      <c r="G133"/>
      <c r="H133"/>
      <c r="I133" s="27">
        <f>-IFERROR(VLOOKUP(C133,SIRCUPA!$A$21:$H$155,8,0),0)</f>
        <v>0</v>
      </c>
      <c r="J133" s="88">
        <f>-IFERROR(VLOOKUP(C133,SIRTAC!$A$16:$H$1288,8,0),0)</f>
        <v>-43</v>
      </c>
      <c r="K133" s="88">
        <f>-IFERROR(VLOOKUP(C133,Gastos!$A$9:$J$1281,10,0),0)</f>
        <v>-41.71</v>
      </c>
      <c r="L133" s="87">
        <f>-IFERROR(VLOOKUP(C133,IDC!$A$25:$H$1532,8,0),0)</f>
        <v>-25.8</v>
      </c>
      <c r="M133" s="122">
        <f t="shared" si="26"/>
        <v>4300</v>
      </c>
      <c r="N133"/>
      <c r="P133" s="35">
        <f t="shared" si="27"/>
        <v>-4300</v>
      </c>
      <c r="Q133" s="66">
        <f t="shared" si="28"/>
        <v>0</v>
      </c>
    </row>
    <row r="134" spans="1:17" hidden="1">
      <c r="A134" s="1" t="s">
        <v>132</v>
      </c>
      <c r="B134" s="1" t="s">
        <v>160</v>
      </c>
      <c r="C134" s="91">
        <v>124389417047</v>
      </c>
      <c r="D134" s="2">
        <v>489.5</v>
      </c>
      <c r="E134" s="3">
        <v>9153338.4499999993</v>
      </c>
      <c r="F134" s="2" t="s">
        <v>2750</v>
      </c>
      <c r="G134"/>
      <c r="H134"/>
      <c r="I134" s="27">
        <f>-IFERROR(VLOOKUP(C134,SIRCUPA!$A$21:$H$155,8,0),0)</f>
        <v>-7.5</v>
      </c>
      <c r="J134" s="88">
        <f>-IFERROR(VLOOKUP(C134,SIRTAC!$A$16:$H$1288,8,0),0)</f>
        <v>0</v>
      </c>
      <c r="K134" s="88">
        <f>-IFERROR(VLOOKUP(C134,Gastos!$A$9:$J$1281,10,0),0)</f>
        <v>0</v>
      </c>
      <c r="L134" s="87">
        <f>-IFERROR(VLOOKUP(C134,IDC!$A$25:$H$1532,8,0),0)</f>
        <v>-3</v>
      </c>
      <c r="M134" s="122">
        <f t="shared" si="26"/>
        <v>500</v>
      </c>
      <c r="N134"/>
      <c r="P134" s="35">
        <f t="shared" si="27"/>
        <v>-500</v>
      </c>
      <c r="Q134" s="66">
        <f t="shared" si="28"/>
        <v>0</v>
      </c>
    </row>
    <row r="135" spans="1:17" hidden="1">
      <c r="A135" s="1" t="s">
        <v>132</v>
      </c>
      <c r="B135" s="1" t="s">
        <v>15</v>
      </c>
      <c r="C135" s="91">
        <v>124389390021</v>
      </c>
      <c r="D135" s="3">
        <v>8029.95</v>
      </c>
      <c r="E135" s="3">
        <v>9161368.4000000004</v>
      </c>
      <c r="F135" s="35" t="s">
        <v>2750</v>
      </c>
      <c r="G135"/>
      <c r="H135"/>
      <c r="I135" s="27">
        <f>-IFERROR(VLOOKUP(C135,SIRCUPA!$A$21:$H$155,8,0),0)</f>
        <v>0</v>
      </c>
      <c r="J135" s="88">
        <f>-IFERROR(VLOOKUP(C135,SIRTAC!$A$16:$H$1288,8,0),0)</f>
        <v>-85</v>
      </c>
      <c r="K135" s="88">
        <f>-IFERROR(VLOOKUP(C135,Gastos!$A$9:$J$1281,10,0),0)</f>
        <v>-334.05</v>
      </c>
      <c r="L135" s="87">
        <f>-IFERROR(VLOOKUP(C135,IDC!$A$25:$H$1532,8,0),0)</f>
        <v>-51</v>
      </c>
      <c r="M135" s="122">
        <f t="shared" si="26"/>
        <v>8500</v>
      </c>
      <c r="N135"/>
      <c r="P135" s="35">
        <f t="shared" si="27"/>
        <v>-8500</v>
      </c>
      <c r="Q135" s="66">
        <f t="shared" si="28"/>
        <v>0</v>
      </c>
    </row>
    <row r="136" spans="1:17" hidden="1">
      <c r="A136" s="1" t="s">
        <v>132</v>
      </c>
      <c r="B136" s="1" t="s">
        <v>15</v>
      </c>
      <c r="C136" s="91">
        <v>124935015006</v>
      </c>
      <c r="D136" s="3">
        <v>4189.49</v>
      </c>
      <c r="E136" s="3">
        <v>9165557.8900000006</v>
      </c>
      <c r="F136" s="35" t="s">
        <v>2750</v>
      </c>
      <c r="G136"/>
      <c r="H136"/>
      <c r="I136" s="27">
        <f>-IFERROR(VLOOKUP(C136,SIRCUPA!$A$21:$H$155,8,0),0)</f>
        <v>0</v>
      </c>
      <c r="J136" s="88">
        <f>-IFERROR(VLOOKUP(C136,SIRTAC!$A$16:$H$1288,8,0),0)</f>
        <v>-43</v>
      </c>
      <c r="K136" s="88">
        <f>-IFERROR(VLOOKUP(C136,Gastos!$A$9:$J$1281,10,0),0)</f>
        <v>-41.71</v>
      </c>
      <c r="L136" s="87">
        <f>-IFERROR(VLOOKUP(C136,IDC!$A$25:$H$1532,8,0),0)</f>
        <v>-25.8</v>
      </c>
      <c r="M136" s="122">
        <f t="shared" si="26"/>
        <v>4300</v>
      </c>
      <c r="N136"/>
      <c r="P136" s="35">
        <f t="shared" si="27"/>
        <v>-4300</v>
      </c>
      <c r="Q136" s="66">
        <f t="shared" si="28"/>
        <v>0</v>
      </c>
    </row>
    <row r="137" spans="1:17" hidden="1">
      <c r="A137" s="1" t="s">
        <v>132</v>
      </c>
      <c r="B137" s="1" t="s">
        <v>15</v>
      </c>
      <c r="C137" s="91">
        <v>124390277545</v>
      </c>
      <c r="D137" s="3">
        <v>4189.49</v>
      </c>
      <c r="E137" s="3">
        <v>9169747.3800000008</v>
      </c>
      <c r="F137" s="35" t="s">
        <v>2750</v>
      </c>
      <c r="G137"/>
      <c r="H137"/>
      <c r="I137" s="27">
        <f>-IFERROR(VLOOKUP(C137,SIRCUPA!$A$21:$H$155,8,0),0)</f>
        <v>0</v>
      </c>
      <c r="J137" s="88">
        <f>-IFERROR(VLOOKUP(C137,SIRTAC!$A$16:$H$1288,8,0),0)</f>
        <v>-43</v>
      </c>
      <c r="K137" s="88">
        <f>-IFERROR(VLOOKUP(C137,Gastos!$A$9:$J$1281,10,0),0)</f>
        <v>-41.71</v>
      </c>
      <c r="L137" s="87">
        <f>-IFERROR(VLOOKUP(C137,IDC!$A$25:$H$1532,8,0),0)</f>
        <v>-25.8</v>
      </c>
      <c r="M137" s="122">
        <f t="shared" si="26"/>
        <v>4300</v>
      </c>
      <c r="N137"/>
      <c r="P137" s="35">
        <f t="shared" si="27"/>
        <v>-4300</v>
      </c>
      <c r="Q137" s="66">
        <f t="shared" si="28"/>
        <v>0</v>
      </c>
    </row>
    <row r="138" spans="1:17" hidden="1">
      <c r="A138" s="1" t="s">
        <v>132</v>
      </c>
      <c r="B138" s="1" t="s">
        <v>165</v>
      </c>
      <c r="C138" s="91">
        <v>124935440028</v>
      </c>
      <c r="D138" s="2">
        <v>420.97</v>
      </c>
      <c r="E138" s="3">
        <v>9170168.3499999996</v>
      </c>
      <c r="F138" s="2" t="s">
        <v>2750</v>
      </c>
      <c r="G138"/>
      <c r="H138"/>
      <c r="I138" s="27">
        <f>-IFERROR(VLOOKUP(C138,SIRCUPA!$A$21:$H$155,8,0),0)</f>
        <v>-6.45</v>
      </c>
      <c r="J138" s="88">
        <f>-IFERROR(VLOOKUP(C138,SIRTAC!$A$16:$H$1288,8,0),0)</f>
        <v>0</v>
      </c>
      <c r="K138" s="88">
        <f>-IFERROR(VLOOKUP(C138,Gastos!$A$9:$J$1281,10,0),0)</f>
        <v>0</v>
      </c>
      <c r="L138" s="87">
        <f>-IFERROR(VLOOKUP(C138,IDC!$A$25:$H$1532,8,0),0)</f>
        <v>-2.58</v>
      </c>
      <c r="M138" s="122">
        <f t="shared" si="26"/>
        <v>430</v>
      </c>
      <c r="N138"/>
      <c r="P138" s="35">
        <f t="shared" si="27"/>
        <v>-430</v>
      </c>
      <c r="Q138" s="66">
        <f t="shared" si="28"/>
        <v>0</v>
      </c>
    </row>
    <row r="139" spans="1:17" hidden="1">
      <c r="A139" s="1" t="s">
        <v>132</v>
      </c>
      <c r="B139" s="1" t="s">
        <v>15</v>
      </c>
      <c r="C139" s="91">
        <v>124390468955</v>
      </c>
      <c r="D139" s="3">
        <v>13932.49</v>
      </c>
      <c r="E139" s="3">
        <v>9184100.8399999999</v>
      </c>
      <c r="F139" s="35" t="s">
        <v>2750</v>
      </c>
      <c r="G139"/>
      <c r="H139"/>
      <c r="I139" s="27">
        <f>-IFERROR(VLOOKUP(C139,SIRCUPA!$A$21:$H$155,8,0),0)</f>
        <v>0</v>
      </c>
      <c r="J139" s="88">
        <f>-IFERROR(VLOOKUP(C139,SIRTAC!$A$16:$H$1288,8,0),0)</f>
        <v>-143</v>
      </c>
      <c r="K139" s="88">
        <f>-IFERROR(VLOOKUP(C139,Gastos!$A$9:$J$1281,10,0),0)</f>
        <v>-138.71</v>
      </c>
      <c r="L139" s="87">
        <f>-IFERROR(VLOOKUP(C139,IDC!$A$25:$H$1532,8,0),0)</f>
        <v>-85.8</v>
      </c>
      <c r="M139" s="122">
        <f t="shared" si="26"/>
        <v>14299.999999999998</v>
      </c>
      <c r="N139"/>
      <c r="P139" s="35">
        <f t="shared" si="27"/>
        <v>-14300</v>
      </c>
      <c r="Q139" s="66">
        <f t="shared" si="28"/>
        <v>0</v>
      </c>
    </row>
    <row r="140" spans="1:17" hidden="1">
      <c r="A140" s="1" t="s">
        <v>132</v>
      </c>
      <c r="B140" s="1" t="s">
        <v>15</v>
      </c>
      <c r="C140" s="91">
        <v>124390658789</v>
      </c>
      <c r="D140" s="3">
        <v>38294.879999999997</v>
      </c>
      <c r="E140" s="3">
        <v>9222395.7200000007</v>
      </c>
      <c r="F140" s="35" t="s">
        <v>2750</v>
      </c>
      <c r="G140"/>
      <c r="H140"/>
      <c r="I140" s="27">
        <f>-IFERROR(VLOOKUP(C140,SIRCUPA!$A$21:$H$155,8,0),0)</f>
        <v>0</v>
      </c>
      <c r="J140" s="88">
        <f>-IFERROR(VLOOKUP(C140,SIRTAC!$A$16:$H$1288,8,0),0)</f>
        <v>-408</v>
      </c>
      <c r="K140" s="88">
        <f>-IFERROR(VLOOKUP(C140,Gastos!$A$9:$J$1281,10,0),0)</f>
        <v>-1852.32</v>
      </c>
      <c r="L140" s="87">
        <f>-IFERROR(VLOOKUP(C140,IDC!$A$25:$H$1532,8,0),0)</f>
        <v>-244.8</v>
      </c>
      <c r="M140" s="122">
        <f t="shared" si="26"/>
        <v>40800</v>
      </c>
      <c r="N140"/>
      <c r="P140" s="35">
        <f t="shared" si="27"/>
        <v>-40800</v>
      </c>
      <c r="Q140" s="66">
        <f t="shared" si="28"/>
        <v>0</v>
      </c>
    </row>
    <row r="141" spans="1:17" hidden="1">
      <c r="A141" s="1" t="s">
        <v>132</v>
      </c>
      <c r="B141" s="1" t="s">
        <v>15</v>
      </c>
      <c r="C141" s="91">
        <v>124936306000</v>
      </c>
      <c r="D141" s="3">
        <v>8378.98</v>
      </c>
      <c r="E141" s="3">
        <v>9230774.6999999993</v>
      </c>
      <c r="F141" s="35" t="s">
        <v>2750</v>
      </c>
      <c r="G141"/>
      <c r="H141"/>
      <c r="I141" s="27">
        <f>-IFERROR(VLOOKUP(C141,SIRCUPA!$A$21:$H$155,8,0),0)</f>
        <v>0</v>
      </c>
      <c r="J141" s="88">
        <f>-IFERROR(VLOOKUP(C141,SIRTAC!$A$16:$H$1288,8,0),0)</f>
        <v>-86</v>
      </c>
      <c r="K141" s="88">
        <f>-IFERROR(VLOOKUP(C141,Gastos!$A$9:$J$1281,10,0),0)</f>
        <v>-83.42</v>
      </c>
      <c r="L141" s="87">
        <f>-IFERROR(VLOOKUP(C141,IDC!$A$25:$H$1532,8,0),0)</f>
        <v>-51.6</v>
      </c>
      <c r="M141" s="122">
        <f t="shared" si="26"/>
        <v>8600</v>
      </c>
      <c r="N141"/>
      <c r="P141" s="35">
        <f t="shared" si="27"/>
        <v>-8600</v>
      </c>
      <c r="Q141" s="66">
        <f t="shared" si="28"/>
        <v>0</v>
      </c>
    </row>
    <row r="142" spans="1:17" hidden="1">
      <c r="A142" s="1" t="s">
        <v>132</v>
      </c>
      <c r="B142" s="1" t="s">
        <v>15</v>
      </c>
      <c r="C142" s="91">
        <v>124936593136</v>
      </c>
      <c r="D142" s="3">
        <v>21532.03</v>
      </c>
      <c r="E142" s="3">
        <v>9252306.7300000004</v>
      </c>
      <c r="F142" s="35" t="s">
        <v>2750</v>
      </c>
      <c r="G142"/>
      <c r="H142"/>
      <c r="I142" s="27">
        <f>-IFERROR(VLOOKUP(C142,SIRCUPA!$A$21:$H$155,8,0),0)</f>
        <v>0</v>
      </c>
      <c r="J142" s="88">
        <f>-IFERROR(VLOOKUP(C142,SIRTAC!$A$16:$H$1288,8,0),0)</f>
        <v>-221</v>
      </c>
      <c r="K142" s="88">
        <f>-IFERROR(VLOOKUP(C142,Gastos!$A$9:$J$1281,10,0),0)</f>
        <v>-214.37</v>
      </c>
      <c r="L142" s="87">
        <f>-IFERROR(VLOOKUP(C142,IDC!$A$25:$H$1532,8,0),0)</f>
        <v>-132.6</v>
      </c>
      <c r="M142" s="122">
        <f t="shared" ref="M142:M173" si="29">+D142-I142-J142-K142-L142</f>
        <v>22099.999999999996</v>
      </c>
      <c r="N142"/>
      <c r="P142" s="35">
        <f t="shared" si="27"/>
        <v>-22100</v>
      </c>
      <c r="Q142" s="66">
        <f t="shared" si="28"/>
        <v>0</v>
      </c>
    </row>
    <row r="143" spans="1:17" hidden="1">
      <c r="A143" s="1" t="s">
        <v>132</v>
      </c>
      <c r="B143" s="1" t="s">
        <v>15</v>
      </c>
      <c r="C143" s="91">
        <v>124391343749</v>
      </c>
      <c r="D143" s="3">
        <v>9060.99</v>
      </c>
      <c r="E143" s="3">
        <v>9261367.7200000007</v>
      </c>
      <c r="F143" s="35" t="s">
        <v>2750</v>
      </c>
      <c r="G143"/>
      <c r="H143"/>
      <c r="I143" s="27">
        <f>-IFERROR(VLOOKUP(C143,SIRCUPA!$A$21:$H$155,8,0),0)</f>
        <v>0</v>
      </c>
      <c r="J143" s="88">
        <f>-IFERROR(VLOOKUP(C143,SIRTAC!$A$16:$H$1288,8,0),0)</f>
        <v>-93</v>
      </c>
      <c r="K143" s="88">
        <f>-IFERROR(VLOOKUP(C143,Gastos!$A$9:$J$1281,10,0),0)</f>
        <v>-90.21</v>
      </c>
      <c r="L143" s="87">
        <f>-IFERROR(VLOOKUP(C143,IDC!$A$25:$H$1532,8,0),0)</f>
        <v>-55.8</v>
      </c>
      <c r="M143" s="122">
        <f t="shared" si="29"/>
        <v>9299.9999999999982</v>
      </c>
      <c r="N143"/>
      <c r="P143" s="35">
        <f t="shared" si="27"/>
        <v>-9300</v>
      </c>
      <c r="Q143" s="66">
        <f t="shared" si="28"/>
        <v>0</v>
      </c>
    </row>
    <row r="144" spans="1:17" hidden="1">
      <c r="A144" s="1" t="s">
        <v>132</v>
      </c>
      <c r="B144" s="1" t="s">
        <v>15</v>
      </c>
      <c r="C144" s="91">
        <v>124391696277</v>
      </c>
      <c r="D144" s="3">
        <v>4189.49</v>
      </c>
      <c r="E144" s="3">
        <v>9265557.2100000009</v>
      </c>
      <c r="F144" s="35" t="s">
        <v>2750</v>
      </c>
      <c r="G144"/>
      <c r="H144"/>
      <c r="I144" s="27">
        <f>-IFERROR(VLOOKUP(C144,SIRCUPA!$A$21:$H$155,8,0),0)</f>
        <v>0</v>
      </c>
      <c r="J144" s="88">
        <f>-IFERROR(VLOOKUP(C144,SIRTAC!$A$16:$H$1288,8,0),0)</f>
        <v>-43</v>
      </c>
      <c r="K144" s="88">
        <f>-IFERROR(VLOOKUP(C144,Gastos!$A$9:$J$1281,10,0),0)</f>
        <v>-41.71</v>
      </c>
      <c r="L144" s="87">
        <f>-IFERROR(VLOOKUP(C144,IDC!$A$25:$H$1532,8,0),0)</f>
        <v>-25.8</v>
      </c>
      <c r="M144" s="122">
        <f t="shared" si="29"/>
        <v>4300</v>
      </c>
      <c r="N144"/>
      <c r="P144" s="35">
        <f t="shared" si="27"/>
        <v>-4300</v>
      </c>
      <c r="Q144" s="66">
        <f t="shared" si="28"/>
        <v>0</v>
      </c>
    </row>
    <row r="145" spans="1:17" hidden="1">
      <c r="A145" s="1" t="s">
        <v>132</v>
      </c>
      <c r="B145" s="1" t="s">
        <v>15</v>
      </c>
      <c r="C145" s="91">
        <v>124391850585</v>
      </c>
      <c r="D145" s="3">
        <v>94994.25</v>
      </c>
      <c r="E145" s="3">
        <v>9360551.4600000009</v>
      </c>
      <c r="F145" s="35" t="s">
        <v>2750</v>
      </c>
      <c r="G145"/>
      <c r="H145"/>
      <c r="I145" s="27">
        <f>-IFERROR(VLOOKUP(C145,SIRCUPA!$A$21:$H$155,8,0),0)</f>
        <v>0</v>
      </c>
      <c r="J145" s="88">
        <f>-IFERROR(VLOOKUP(C145,SIRTAC!$A$16:$H$1288,8,0),0)</f>
        <v>-975</v>
      </c>
      <c r="K145" s="88">
        <f>-IFERROR(VLOOKUP(C145,Gastos!$A$9:$J$1281,10,0),0)</f>
        <v>-945.75</v>
      </c>
      <c r="L145" s="87">
        <f>-IFERROR(VLOOKUP(C145,IDC!$A$25:$H$1532,8,0),0)</f>
        <v>-585</v>
      </c>
      <c r="M145" s="122">
        <f t="shared" si="29"/>
        <v>97500</v>
      </c>
      <c r="N145"/>
      <c r="P145" s="35">
        <f t="shared" si="27"/>
        <v>-97500</v>
      </c>
      <c r="Q145" s="66">
        <f t="shared" si="28"/>
        <v>0</v>
      </c>
    </row>
    <row r="146" spans="1:17" hidden="1">
      <c r="A146" s="1" t="s">
        <v>132</v>
      </c>
      <c r="B146" s="1" t="s">
        <v>15</v>
      </c>
      <c r="C146" s="91">
        <v>124391938119</v>
      </c>
      <c r="D146" s="3">
        <v>4189.49</v>
      </c>
      <c r="E146" s="3">
        <v>9364740.9499999993</v>
      </c>
      <c r="F146" s="35" t="s">
        <v>2750</v>
      </c>
      <c r="G146"/>
      <c r="H146"/>
      <c r="I146" s="27">
        <f>-IFERROR(VLOOKUP(C146,SIRCUPA!$A$21:$H$155,8,0),0)</f>
        <v>0</v>
      </c>
      <c r="J146" s="88">
        <f>-IFERROR(VLOOKUP(C146,SIRTAC!$A$16:$H$1288,8,0),0)</f>
        <v>-43</v>
      </c>
      <c r="K146" s="88">
        <f>-IFERROR(VLOOKUP(C146,Gastos!$A$9:$J$1281,10,0),0)</f>
        <v>-41.71</v>
      </c>
      <c r="L146" s="87">
        <f>-IFERROR(VLOOKUP(C146,IDC!$A$25:$H$1532,8,0),0)</f>
        <v>-25.8</v>
      </c>
      <c r="M146" s="122">
        <f t="shared" si="29"/>
        <v>4300</v>
      </c>
      <c r="N146"/>
      <c r="P146" s="35">
        <f t="shared" si="27"/>
        <v>-4300</v>
      </c>
      <c r="Q146" s="66">
        <f t="shared" si="28"/>
        <v>0</v>
      </c>
    </row>
    <row r="147" spans="1:17" hidden="1">
      <c r="A147" s="1" t="s">
        <v>132</v>
      </c>
      <c r="B147" s="1" t="s">
        <v>165</v>
      </c>
      <c r="C147" s="91">
        <v>124391779837</v>
      </c>
      <c r="D147" s="2">
        <v>420.97</v>
      </c>
      <c r="E147" s="3">
        <v>9365161.9199999999</v>
      </c>
      <c r="F147" s="2" t="s">
        <v>2750</v>
      </c>
      <c r="G147"/>
      <c r="H147"/>
      <c r="I147" s="27">
        <f>-IFERROR(VLOOKUP(C147,SIRCUPA!$A$21:$H$155,8,0),0)</f>
        <v>-6.45</v>
      </c>
      <c r="J147" s="88">
        <f>-IFERROR(VLOOKUP(C147,SIRTAC!$A$16:$H$1288,8,0),0)</f>
        <v>0</v>
      </c>
      <c r="K147" s="88">
        <f>-IFERROR(VLOOKUP(C147,Gastos!$A$9:$J$1281,10,0),0)</f>
        <v>0</v>
      </c>
      <c r="L147" s="87">
        <f>-IFERROR(VLOOKUP(C147,IDC!$A$25:$H$1532,8,0),0)</f>
        <v>-2.58</v>
      </c>
      <c r="M147" s="122">
        <f t="shared" si="29"/>
        <v>430</v>
      </c>
      <c r="N147"/>
      <c r="P147" s="35">
        <f t="shared" si="27"/>
        <v>-430</v>
      </c>
      <c r="Q147" s="66">
        <f t="shared" si="28"/>
        <v>0</v>
      </c>
    </row>
    <row r="148" spans="1:17" hidden="1">
      <c r="A148" s="1" t="s">
        <v>132</v>
      </c>
      <c r="B148" s="1" t="s">
        <v>15</v>
      </c>
      <c r="C148" s="91">
        <v>124937292950</v>
      </c>
      <c r="D148" s="3">
        <v>34879.94</v>
      </c>
      <c r="E148" s="3">
        <v>9400041.8599999994</v>
      </c>
      <c r="F148" s="35" t="s">
        <v>2750</v>
      </c>
      <c r="G148"/>
      <c r="H148"/>
      <c r="I148" s="27">
        <f>-IFERROR(VLOOKUP(C148,SIRCUPA!$A$21:$H$155,8,0),0)</f>
        <v>0</v>
      </c>
      <c r="J148" s="88">
        <f>-IFERROR(VLOOKUP(C148,SIRTAC!$A$16:$H$1288,8,0),0)</f>
        <v>-358</v>
      </c>
      <c r="K148" s="88">
        <f>-IFERROR(VLOOKUP(C148,Gastos!$A$9:$J$1281,10,0),0)</f>
        <v>-347.26</v>
      </c>
      <c r="L148" s="87">
        <f>-IFERROR(VLOOKUP(C148,IDC!$A$25:$H$1532,8,0),0)</f>
        <v>-214.8</v>
      </c>
      <c r="M148" s="122">
        <f t="shared" si="29"/>
        <v>35800.000000000007</v>
      </c>
      <c r="N148"/>
      <c r="P148" s="35">
        <f t="shared" si="27"/>
        <v>-35800</v>
      </c>
      <c r="Q148" s="66">
        <f t="shared" si="28"/>
        <v>0</v>
      </c>
    </row>
    <row r="149" spans="1:17" hidden="1">
      <c r="A149" s="1" t="s">
        <v>132</v>
      </c>
      <c r="B149" s="1" t="s">
        <v>15</v>
      </c>
      <c r="C149" s="91">
        <v>124392231153</v>
      </c>
      <c r="D149" s="3">
        <v>9743</v>
      </c>
      <c r="E149" s="3">
        <v>9409784.8599999994</v>
      </c>
      <c r="F149" s="35" t="s">
        <v>2750</v>
      </c>
      <c r="G149"/>
      <c r="H149"/>
      <c r="I149" s="27">
        <f>-IFERROR(VLOOKUP(C149,SIRCUPA!$A$21:$H$155,8,0),0)</f>
        <v>0</v>
      </c>
      <c r="J149" s="88">
        <f>-IFERROR(VLOOKUP(C149,SIRTAC!$A$16:$H$1288,8,0),0)</f>
        <v>-100</v>
      </c>
      <c r="K149" s="88">
        <f>-IFERROR(VLOOKUP(C149,Gastos!$A$9:$J$1281,10,0),0)</f>
        <v>-97</v>
      </c>
      <c r="L149" s="87">
        <f>-IFERROR(VLOOKUP(C149,IDC!$A$25:$H$1532,8,0),0)</f>
        <v>-60</v>
      </c>
      <c r="M149" s="122">
        <f t="shared" si="29"/>
        <v>10000</v>
      </c>
      <c r="N149"/>
      <c r="P149" s="35">
        <f t="shared" si="27"/>
        <v>-10000</v>
      </c>
      <c r="Q149" s="66">
        <f t="shared" si="28"/>
        <v>0</v>
      </c>
    </row>
    <row r="150" spans="1:17" hidden="1">
      <c r="A150" s="1" t="s">
        <v>132</v>
      </c>
      <c r="B150" s="1" t="s">
        <v>15</v>
      </c>
      <c r="C150" s="91">
        <v>124392245583</v>
      </c>
      <c r="D150" s="3">
        <v>33695.74</v>
      </c>
      <c r="E150" s="3">
        <v>9443480.5999999996</v>
      </c>
      <c r="F150" s="35" t="s">
        <v>2750</v>
      </c>
      <c r="G150"/>
      <c r="H150"/>
      <c r="I150" s="27">
        <f>-IFERROR(VLOOKUP(C150,SIRCUPA!$A$21:$H$155,8,0),0)</f>
        <v>0</v>
      </c>
      <c r="J150" s="88">
        <f>-IFERROR(VLOOKUP(C150,SIRTAC!$A$16:$H$1288,8,0),0)</f>
        <v>-359</v>
      </c>
      <c r="K150" s="88">
        <f>-IFERROR(VLOOKUP(C150,Gastos!$A$9:$J$1281,10,0),0)</f>
        <v>-1629.86</v>
      </c>
      <c r="L150" s="87">
        <f>-IFERROR(VLOOKUP(C150,IDC!$A$25:$H$1532,8,0),0)</f>
        <v>-215.4</v>
      </c>
      <c r="M150" s="122">
        <f t="shared" si="29"/>
        <v>35900</v>
      </c>
      <c r="N150"/>
      <c r="P150" s="35">
        <f t="shared" si="27"/>
        <v>-35900</v>
      </c>
      <c r="Q150" s="66">
        <f t="shared" si="28"/>
        <v>0</v>
      </c>
    </row>
    <row r="151" spans="1:17" hidden="1">
      <c r="A151" s="1" t="s">
        <v>132</v>
      </c>
      <c r="B151" s="1" t="s">
        <v>15</v>
      </c>
      <c r="C151" s="91">
        <v>124392595503</v>
      </c>
      <c r="D151" s="3">
        <v>4062.21</v>
      </c>
      <c r="E151" s="3">
        <v>9447542.8100000005</v>
      </c>
      <c r="F151" s="35" t="s">
        <v>2750</v>
      </c>
      <c r="G151"/>
      <c r="H151"/>
      <c r="I151" s="27">
        <f>-IFERROR(VLOOKUP(C151,SIRCUPA!$A$21:$H$155,8,0),0)</f>
        <v>0</v>
      </c>
      <c r="J151" s="88">
        <f>-IFERROR(VLOOKUP(C151,SIRTAC!$A$16:$H$1288,8,0),0)</f>
        <v>-43</v>
      </c>
      <c r="K151" s="88">
        <f>-IFERROR(VLOOKUP(C151,Gastos!$A$9:$J$1281,10,0),0)</f>
        <v>-168.99</v>
      </c>
      <c r="L151" s="87">
        <f>-IFERROR(VLOOKUP(C151,IDC!$A$25:$H$1532,8,0),0)</f>
        <v>-25.8</v>
      </c>
      <c r="M151" s="122">
        <f t="shared" si="29"/>
        <v>4300</v>
      </c>
      <c r="N151"/>
      <c r="P151" s="35">
        <f t="shared" si="27"/>
        <v>-4300</v>
      </c>
      <c r="Q151" s="66">
        <f t="shared" si="28"/>
        <v>0</v>
      </c>
    </row>
    <row r="152" spans="1:17" hidden="1">
      <c r="A152" s="1" t="s">
        <v>132</v>
      </c>
      <c r="B152" s="1" t="s">
        <v>15</v>
      </c>
      <c r="C152" s="91">
        <v>124937954288</v>
      </c>
      <c r="D152" s="3">
        <v>6820.1</v>
      </c>
      <c r="E152" s="3">
        <v>9454362.9100000001</v>
      </c>
      <c r="F152" s="35" t="s">
        <v>2750</v>
      </c>
      <c r="G152"/>
      <c r="H152"/>
      <c r="I152" s="27">
        <f>-IFERROR(VLOOKUP(C152,SIRCUPA!$A$21:$H$155,8,0),0)</f>
        <v>0</v>
      </c>
      <c r="J152" s="88">
        <f>-IFERROR(VLOOKUP(C152,SIRTAC!$A$16:$H$1288,8,0),0)</f>
        <v>-70</v>
      </c>
      <c r="K152" s="88">
        <f>-IFERROR(VLOOKUP(C152,Gastos!$A$9:$J$1281,10,0),0)</f>
        <v>-67.900000000000006</v>
      </c>
      <c r="L152" s="87">
        <f>-IFERROR(VLOOKUP(C152,IDC!$A$25:$H$1532,8,0),0)</f>
        <v>-42</v>
      </c>
      <c r="M152" s="122">
        <f t="shared" si="29"/>
        <v>7000</v>
      </c>
      <c r="N152"/>
      <c r="P152" s="35">
        <f t="shared" si="27"/>
        <v>-7000</v>
      </c>
      <c r="Q152" s="66">
        <f t="shared" si="28"/>
        <v>0</v>
      </c>
    </row>
    <row r="153" spans="1:17" hidden="1">
      <c r="A153" s="1" t="s">
        <v>132</v>
      </c>
      <c r="B153" s="1" t="s">
        <v>15</v>
      </c>
      <c r="C153" s="91">
        <v>124938008312</v>
      </c>
      <c r="D153" s="3">
        <v>12568.47</v>
      </c>
      <c r="E153" s="3">
        <v>9466931.3800000008</v>
      </c>
      <c r="F153" s="35" t="s">
        <v>2750</v>
      </c>
      <c r="G153"/>
      <c r="H153"/>
      <c r="I153" s="27">
        <f>-IFERROR(VLOOKUP(C153,SIRCUPA!$A$21:$H$155,8,0),0)</f>
        <v>0</v>
      </c>
      <c r="J153" s="88">
        <f>-IFERROR(VLOOKUP(C153,SIRTAC!$A$16:$H$1288,8,0),0)</f>
        <v>-129</v>
      </c>
      <c r="K153" s="88">
        <f>-IFERROR(VLOOKUP(C153,Gastos!$A$9:$J$1281,10,0),0)</f>
        <v>-125.13</v>
      </c>
      <c r="L153" s="87">
        <f>-IFERROR(VLOOKUP(C153,IDC!$A$25:$H$1532,8,0),0)</f>
        <v>-77.400000000000006</v>
      </c>
      <c r="M153" s="122">
        <f t="shared" si="29"/>
        <v>12899.999999999998</v>
      </c>
      <c r="N153"/>
      <c r="P153" s="35">
        <f t="shared" si="27"/>
        <v>-12900</v>
      </c>
      <c r="Q153" s="66">
        <f t="shared" si="28"/>
        <v>0</v>
      </c>
    </row>
    <row r="154" spans="1:17" hidden="1">
      <c r="A154" s="1" t="s">
        <v>132</v>
      </c>
      <c r="B154" s="1" t="s">
        <v>15</v>
      </c>
      <c r="C154" s="91">
        <v>124392818757</v>
      </c>
      <c r="D154" s="3">
        <v>20168.009999999998</v>
      </c>
      <c r="E154" s="3">
        <v>9487099.3900000006</v>
      </c>
      <c r="F154" s="35" t="s">
        <v>2750</v>
      </c>
      <c r="G154"/>
      <c r="H154"/>
      <c r="I154" s="27">
        <f>-IFERROR(VLOOKUP(C154,SIRCUPA!$A$21:$H$155,8,0),0)</f>
        <v>0</v>
      </c>
      <c r="J154" s="88">
        <f>-IFERROR(VLOOKUP(C154,SIRTAC!$A$16:$H$1288,8,0),0)</f>
        <v>-207</v>
      </c>
      <c r="K154" s="88">
        <f>-IFERROR(VLOOKUP(C154,Gastos!$A$9:$J$1281,10,0),0)</f>
        <v>-200.79</v>
      </c>
      <c r="L154" s="87">
        <f>-IFERROR(VLOOKUP(C154,IDC!$A$25:$H$1532,8,0),0)</f>
        <v>-124.2</v>
      </c>
      <c r="M154" s="122">
        <f t="shared" si="29"/>
        <v>20700</v>
      </c>
      <c r="N154"/>
      <c r="P154" s="35">
        <f t="shared" si="27"/>
        <v>-20700</v>
      </c>
      <c r="Q154" s="66">
        <f t="shared" si="28"/>
        <v>0</v>
      </c>
    </row>
    <row r="155" spans="1:17" hidden="1">
      <c r="A155" s="1" t="s">
        <v>132</v>
      </c>
      <c r="B155" s="1" t="s">
        <v>15</v>
      </c>
      <c r="C155" s="91">
        <v>124392888675</v>
      </c>
      <c r="D155" s="3">
        <v>84374.38</v>
      </c>
      <c r="E155" s="3">
        <v>9571473.7699999996</v>
      </c>
      <c r="F155" s="35" t="s">
        <v>2750</v>
      </c>
      <c r="G155"/>
      <c r="H155"/>
      <c r="I155" s="27">
        <f>-IFERROR(VLOOKUP(C155,SIRCUPA!$A$21:$H$155,8,0),0)</f>
        <v>0</v>
      </c>
      <c r="J155" s="88">
        <f>-IFERROR(VLOOKUP(C155,SIRTAC!$A$16:$H$1288,8,0),0)</f>
        <v>-866</v>
      </c>
      <c r="K155" s="88">
        <f>-IFERROR(VLOOKUP(C155,Gastos!$A$9:$J$1281,10,0),0)</f>
        <v>-840.02</v>
      </c>
      <c r="L155" s="87">
        <f>-IFERROR(VLOOKUP(C155,IDC!$A$25:$H$1532,8,0),0)</f>
        <v>-519.6</v>
      </c>
      <c r="M155" s="122">
        <f t="shared" si="29"/>
        <v>86600.000000000015</v>
      </c>
      <c r="N155"/>
      <c r="P155" s="35">
        <f t="shared" si="27"/>
        <v>-86600</v>
      </c>
      <c r="Q155" s="66">
        <f t="shared" si="28"/>
        <v>0</v>
      </c>
    </row>
    <row r="156" spans="1:17" hidden="1">
      <c r="A156" s="1" t="s">
        <v>132</v>
      </c>
      <c r="B156" s="1" t="s">
        <v>15</v>
      </c>
      <c r="C156" s="91">
        <v>124392988273</v>
      </c>
      <c r="D156" s="3">
        <v>8476.41</v>
      </c>
      <c r="E156" s="3">
        <v>9579950.1799999997</v>
      </c>
      <c r="F156" s="35" t="s">
        <v>2750</v>
      </c>
      <c r="G156"/>
      <c r="H156"/>
      <c r="I156" s="27">
        <f>-IFERROR(VLOOKUP(C156,SIRCUPA!$A$21:$H$155,8,0),0)</f>
        <v>0</v>
      </c>
      <c r="J156" s="88">
        <f>-IFERROR(VLOOKUP(C156,SIRTAC!$A$16:$H$1288,8,0),0)</f>
        <v>-87</v>
      </c>
      <c r="K156" s="88">
        <f>-IFERROR(VLOOKUP(C156,Gastos!$A$9:$J$1281,10,0),0)</f>
        <v>-84.39</v>
      </c>
      <c r="L156" s="87">
        <f>-IFERROR(VLOOKUP(C156,IDC!$A$25:$H$1532,8,0),0)</f>
        <v>-52.2</v>
      </c>
      <c r="M156" s="122">
        <f t="shared" si="29"/>
        <v>8700</v>
      </c>
      <c r="N156"/>
      <c r="P156" s="35">
        <f t="shared" si="27"/>
        <v>-8700</v>
      </c>
      <c r="Q156" s="66">
        <f t="shared" si="28"/>
        <v>0</v>
      </c>
    </row>
    <row r="157" spans="1:17" s="59" customFormat="1" hidden="1">
      <c r="A157" s="35" t="s">
        <v>132</v>
      </c>
      <c r="B157" s="35" t="s">
        <v>15</v>
      </c>
      <c r="C157" s="91">
        <v>124938162788</v>
      </c>
      <c r="D157" s="3">
        <v>28546.99</v>
      </c>
      <c r="E157" s="3">
        <v>9608497.1699999999</v>
      </c>
      <c r="F157" s="35" t="s">
        <v>2750</v>
      </c>
      <c r="G157" s="35"/>
      <c r="H157" s="35"/>
      <c r="I157" s="27">
        <f>-IFERROR(VLOOKUP(C157,SIRCUPA!$A$21:$H$155,8,0),0)</f>
        <v>0</v>
      </c>
      <c r="J157" s="88">
        <f>-IFERROR(VLOOKUP(C157,SIRTAC!$A$16:$H$1288,8,0),0)</f>
        <v>-293</v>
      </c>
      <c r="K157" s="88">
        <f>-IFERROR(VLOOKUP(C157,Gastos!$A$9:$J$1281,10,0),0)</f>
        <v>-284.20999999999998</v>
      </c>
      <c r="L157" s="87">
        <f>-IFERROR(VLOOKUP(C157,IDC!$A$25:$H$1532,8,0),0)</f>
        <v>-175.8</v>
      </c>
      <c r="M157" s="122">
        <f t="shared" si="29"/>
        <v>29300</v>
      </c>
      <c r="N157" s="35"/>
      <c r="O157" s="35"/>
      <c r="P157" s="35">
        <f t="shared" si="27"/>
        <v>-29300</v>
      </c>
      <c r="Q157" s="66">
        <f t="shared" si="28"/>
        <v>0</v>
      </c>
    </row>
    <row r="158" spans="1:17" s="59" customFormat="1" hidden="1">
      <c r="A158" s="35" t="s">
        <v>132</v>
      </c>
      <c r="B158" s="35" t="s">
        <v>15</v>
      </c>
      <c r="C158" s="91">
        <v>124938249624</v>
      </c>
      <c r="D158" s="3">
        <v>4189.49</v>
      </c>
      <c r="E158" s="3">
        <v>9612686.6600000001</v>
      </c>
      <c r="F158" s="35" t="s">
        <v>2750</v>
      </c>
      <c r="G158" s="35"/>
      <c r="H158" s="35"/>
      <c r="I158" s="27">
        <f>-IFERROR(VLOOKUP(C158,SIRCUPA!$A$21:$H$155,8,0),0)</f>
        <v>0</v>
      </c>
      <c r="J158" s="88">
        <f>-IFERROR(VLOOKUP(C158,SIRTAC!$A$16:$H$1288,8,0),0)</f>
        <v>-43</v>
      </c>
      <c r="K158" s="88">
        <f>-IFERROR(VLOOKUP(C158,Gastos!$A$9:$J$1281,10,0),0)</f>
        <v>-41.71</v>
      </c>
      <c r="L158" s="87">
        <f>-IFERROR(VLOOKUP(C158,IDC!$A$25:$H$1532,8,0),0)</f>
        <v>-25.8</v>
      </c>
      <c r="M158" s="122">
        <f t="shared" si="29"/>
        <v>4300</v>
      </c>
      <c r="N158" s="35"/>
      <c r="O158" s="35"/>
      <c r="P158" s="35">
        <f t="shared" si="27"/>
        <v>-4300</v>
      </c>
      <c r="Q158" s="66">
        <f t="shared" si="28"/>
        <v>0</v>
      </c>
    </row>
    <row r="159" spans="1:17" s="59" customFormat="1" hidden="1">
      <c r="A159" s="35" t="s">
        <v>132</v>
      </c>
      <c r="B159" s="35" t="s">
        <v>15</v>
      </c>
      <c r="C159" s="91">
        <v>125049940460</v>
      </c>
      <c r="D159" s="3">
        <v>9260.58</v>
      </c>
      <c r="E159" s="3">
        <v>6448513.2599999998</v>
      </c>
      <c r="F159" s="35" t="s">
        <v>2750</v>
      </c>
      <c r="G159" s="35"/>
      <c r="H159" s="35"/>
      <c r="I159" s="27">
        <f>-IFERROR(VLOOKUP(C159,SIRCUPA!$A$21:$H$155,8,0),0)</f>
        <v>0</v>
      </c>
      <c r="J159" s="88">
        <f>-IFERROR(VLOOKUP(C159,SIRTAC!$A$16:$H$1288,8,0),0)</f>
        <v>-102</v>
      </c>
      <c r="K159" s="88">
        <f>-IFERROR(VLOOKUP(C159,Gastos!$A$9:$J$1281,10,0),0)</f>
        <v>-776.22</v>
      </c>
      <c r="L159" s="87">
        <f>-IFERROR(VLOOKUP(C159,IDC!$A$25:$H$1532,8,0),0)</f>
        <v>-61.2</v>
      </c>
      <c r="M159" s="122">
        <f t="shared" si="29"/>
        <v>10200</v>
      </c>
      <c r="N159" s="35"/>
      <c r="O159" s="35"/>
      <c r="P159" s="35">
        <f t="shared" si="27"/>
        <v>-10200</v>
      </c>
      <c r="Q159" s="66">
        <f t="shared" si="28"/>
        <v>0</v>
      </c>
    </row>
    <row r="160" spans="1:17" s="59" customFormat="1" hidden="1">
      <c r="A160" s="35" t="s">
        <v>132</v>
      </c>
      <c r="B160" s="35" t="s">
        <v>15</v>
      </c>
      <c r="C160" s="91">
        <v>124506917889</v>
      </c>
      <c r="D160" s="3">
        <v>16075.95</v>
      </c>
      <c r="E160" s="3">
        <v>6464589.21</v>
      </c>
      <c r="F160" s="35" t="s">
        <v>2750</v>
      </c>
      <c r="G160" s="35"/>
      <c r="H160" s="35"/>
      <c r="I160" s="27">
        <f>-IFERROR(VLOOKUP(C160,SIRCUPA!$A$21:$H$155,8,0),0)</f>
        <v>0</v>
      </c>
      <c r="J160" s="88">
        <f>-IFERROR(VLOOKUP(C160,SIRTAC!$A$16:$H$1288,8,0),0)</f>
        <v>-165</v>
      </c>
      <c r="K160" s="88">
        <f>-IFERROR(VLOOKUP(C160,Gastos!$A$9:$J$1281,10,0),0)</f>
        <v>-160.05000000000001</v>
      </c>
      <c r="L160" s="87">
        <f>-IFERROR(VLOOKUP(C160,IDC!$A$25:$H$1532,8,0),0)</f>
        <v>-99</v>
      </c>
      <c r="M160" s="122">
        <f t="shared" si="29"/>
        <v>16500</v>
      </c>
      <c r="N160" s="35"/>
      <c r="O160" s="35"/>
      <c r="P160" s="35">
        <f t="shared" si="27"/>
        <v>-16500</v>
      </c>
      <c r="Q160" s="66">
        <f t="shared" si="28"/>
        <v>0</v>
      </c>
    </row>
    <row r="161" spans="1:17" hidden="1">
      <c r="A161" s="35" t="s">
        <v>132</v>
      </c>
      <c r="B161" s="35" t="s">
        <v>15</v>
      </c>
      <c r="C161" s="91">
        <v>124512339921</v>
      </c>
      <c r="D161" s="3">
        <v>7368.66</v>
      </c>
      <c r="E161" s="3">
        <v>6471957.8700000001</v>
      </c>
      <c r="F161" s="35" t="s">
        <v>2750</v>
      </c>
      <c r="G161" s="35"/>
      <c r="H161" s="35"/>
      <c r="I161" s="27">
        <f>-IFERROR(VLOOKUP(C161,SIRCUPA!$A$21:$H$155,8,0),0)</f>
        <v>0</v>
      </c>
      <c r="J161" s="88">
        <f>-IFERROR(VLOOKUP(C161,SIRTAC!$A$16:$H$1288,8,0),0)</f>
        <v>-78</v>
      </c>
      <c r="K161" s="88">
        <f>-IFERROR(VLOOKUP(C161,Gastos!$A$9:$J$1281,10,0),0)</f>
        <v>-306.54000000000002</v>
      </c>
      <c r="L161" s="87">
        <f>-IFERROR(VLOOKUP(C161,IDC!$A$25:$H$1532,8,0),0)</f>
        <v>-46.8</v>
      </c>
      <c r="M161" s="122">
        <f t="shared" si="29"/>
        <v>7800</v>
      </c>
      <c r="N161" s="35"/>
      <c r="O161" s="35"/>
      <c r="P161" s="35">
        <f t="shared" si="27"/>
        <v>-7799.9999999999991</v>
      </c>
      <c r="Q161" s="66">
        <f t="shared" si="28"/>
        <v>0</v>
      </c>
    </row>
    <row r="162" spans="1:17" hidden="1">
      <c r="A162" s="1" t="s">
        <v>132</v>
      </c>
      <c r="B162" s="1" t="s">
        <v>15</v>
      </c>
      <c r="C162" s="91">
        <v>124513068303</v>
      </c>
      <c r="D162" s="3">
        <v>4062.21</v>
      </c>
      <c r="E162" s="3">
        <v>6476020.0800000001</v>
      </c>
      <c r="F162" s="35" t="s">
        <v>2750</v>
      </c>
      <c r="G162"/>
      <c r="H162"/>
      <c r="I162" s="27">
        <f>-IFERROR(VLOOKUP(C162,SIRCUPA!$A$21:$H$155,8,0),0)</f>
        <v>0</v>
      </c>
      <c r="J162" s="88">
        <f>-IFERROR(VLOOKUP(C162,SIRTAC!$A$16:$H$1288,8,0),0)</f>
        <v>-43</v>
      </c>
      <c r="K162" s="88">
        <f>-IFERROR(VLOOKUP(C162,Gastos!$A$9:$J$1281,10,0),0)</f>
        <v>-168.99</v>
      </c>
      <c r="L162" s="87">
        <f>-IFERROR(VLOOKUP(C162,IDC!$A$25:$H$1532,8,0),0)</f>
        <v>-25.8</v>
      </c>
      <c r="M162" s="122">
        <f t="shared" si="29"/>
        <v>4300</v>
      </c>
      <c r="N162"/>
      <c r="P162" s="35">
        <f t="shared" si="27"/>
        <v>-4300</v>
      </c>
      <c r="Q162" s="66">
        <f t="shared" si="28"/>
        <v>0</v>
      </c>
    </row>
    <row r="163" spans="1:17" hidden="1">
      <c r="A163" s="1" t="s">
        <v>132</v>
      </c>
      <c r="B163" s="1" t="s">
        <v>15</v>
      </c>
      <c r="C163" s="91">
        <v>125063411054</v>
      </c>
      <c r="D163" s="3">
        <v>8378.98</v>
      </c>
      <c r="E163" s="3">
        <v>6484399.0599999996</v>
      </c>
      <c r="F163" s="35" t="s">
        <v>2750</v>
      </c>
      <c r="G163"/>
      <c r="H163"/>
      <c r="I163" s="27">
        <f>-IFERROR(VLOOKUP(C163,SIRCUPA!$A$21:$H$155,8,0),0)</f>
        <v>0</v>
      </c>
      <c r="J163" s="88">
        <f>-IFERROR(VLOOKUP(C163,SIRTAC!$A$16:$H$1288,8,0),0)</f>
        <v>-86</v>
      </c>
      <c r="K163" s="88">
        <f>-IFERROR(VLOOKUP(C163,Gastos!$A$9:$J$1281,10,0),0)</f>
        <v>-83.42</v>
      </c>
      <c r="L163" s="87">
        <f>-IFERROR(VLOOKUP(C163,IDC!$A$25:$H$1532,8,0),0)</f>
        <v>-51.6</v>
      </c>
      <c r="M163" s="122">
        <f t="shared" si="29"/>
        <v>8600</v>
      </c>
      <c r="N163"/>
      <c r="P163" s="35">
        <f t="shared" si="27"/>
        <v>-8600</v>
      </c>
      <c r="Q163" s="66">
        <f t="shared" si="28"/>
        <v>0</v>
      </c>
    </row>
    <row r="164" spans="1:17" hidden="1">
      <c r="A164" s="1" t="s">
        <v>132</v>
      </c>
      <c r="B164" s="1" t="s">
        <v>15</v>
      </c>
      <c r="C164" s="91">
        <v>125066792780</v>
      </c>
      <c r="D164" s="3">
        <v>10619.87</v>
      </c>
      <c r="E164" s="3">
        <v>6495018.9299999997</v>
      </c>
      <c r="F164" s="35" t="s">
        <v>2750</v>
      </c>
      <c r="G164"/>
      <c r="H164"/>
      <c r="I164" s="27">
        <f>-IFERROR(VLOOKUP(C164,SIRCUPA!$A$21:$H$155,8,0),0)</f>
        <v>0</v>
      </c>
      <c r="J164" s="88">
        <f>-IFERROR(VLOOKUP(C164,SIRTAC!$A$16:$H$1288,8,0),0)</f>
        <v>-109</v>
      </c>
      <c r="K164" s="88">
        <f>-IFERROR(VLOOKUP(C164,Gastos!$A$9:$J$1281,10,0),0)</f>
        <v>-105.73</v>
      </c>
      <c r="L164" s="87">
        <f>-IFERROR(VLOOKUP(C164,IDC!$A$25:$H$1532,8,0),0)</f>
        <v>-65.400000000000006</v>
      </c>
      <c r="M164" s="122">
        <f t="shared" si="29"/>
        <v>10900</v>
      </c>
      <c r="N164"/>
      <c r="P164" s="35">
        <f t="shared" si="27"/>
        <v>-10900</v>
      </c>
      <c r="Q164" s="66">
        <f t="shared" si="28"/>
        <v>0</v>
      </c>
    </row>
    <row r="165" spans="1:17" hidden="1">
      <c r="A165" s="1" t="s">
        <v>132</v>
      </c>
      <c r="B165" s="1" t="s">
        <v>15</v>
      </c>
      <c r="C165" s="91">
        <v>124521851915</v>
      </c>
      <c r="D165" s="3">
        <v>11430.87</v>
      </c>
      <c r="E165" s="3">
        <v>6506449.7999999998</v>
      </c>
      <c r="F165" s="35" t="s">
        <v>2750</v>
      </c>
      <c r="G165"/>
      <c r="H165"/>
      <c r="I165" s="27">
        <f>-IFERROR(VLOOKUP(C165,SIRCUPA!$A$21:$H$155,8,0),0)</f>
        <v>0</v>
      </c>
      <c r="J165" s="88">
        <f>-IFERROR(VLOOKUP(C165,SIRTAC!$A$16:$H$1288,8,0),0)</f>
        <v>-121</v>
      </c>
      <c r="K165" s="88">
        <f>-IFERROR(VLOOKUP(C165,Gastos!$A$9:$J$1281,10,0),0)</f>
        <v>-475.53</v>
      </c>
      <c r="L165" s="87">
        <f>-IFERROR(VLOOKUP(C165,IDC!$A$25:$H$1532,8,0),0)</f>
        <v>-72.599999999999994</v>
      </c>
      <c r="M165" s="122">
        <f t="shared" si="29"/>
        <v>12100.000000000002</v>
      </c>
      <c r="N165"/>
      <c r="P165" s="35">
        <f t="shared" si="27"/>
        <v>-12099.999999999998</v>
      </c>
      <c r="Q165" s="66">
        <f t="shared" si="28"/>
        <v>0</v>
      </c>
    </row>
    <row r="166" spans="1:17" hidden="1">
      <c r="A166" s="1" t="s">
        <v>132</v>
      </c>
      <c r="B166" s="1" t="s">
        <v>15</v>
      </c>
      <c r="C166" s="91">
        <v>125070585706</v>
      </c>
      <c r="D166" s="3">
        <v>7368.66</v>
      </c>
      <c r="E166" s="3">
        <v>6513818.46</v>
      </c>
      <c r="F166" s="35" t="s">
        <v>2750</v>
      </c>
      <c r="G166"/>
      <c r="H166"/>
      <c r="I166" s="27">
        <f>-IFERROR(VLOOKUP(C166,SIRCUPA!$A$21:$H$155,8,0),0)</f>
        <v>0</v>
      </c>
      <c r="J166" s="88">
        <f>-IFERROR(VLOOKUP(C166,SIRTAC!$A$16:$H$1288,8,0),0)</f>
        <v>-78</v>
      </c>
      <c r="K166" s="88">
        <f>-IFERROR(VLOOKUP(C166,Gastos!$A$9:$J$1281,10,0),0)</f>
        <v>-306.54000000000002</v>
      </c>
      <c r="L166" s="87">
        <f>-IFERROR(VLOOKUP(C166,IDC!$A$25:$H$1532,8,0),0)</f>
        <v>-46.8</v>
      </c>
      <c r="M166" s="122">
        <f t="shared" si="29"/>
        <v>7800</v>
      </c>
      <c r="N166"/>
      <c r="P166" s="35">
        <f t="shared" si="27"/>
        <v>-7799.9999999999991</v>
      </c>
      <c r="Q166" s="66">
        <f t="shared" si="28"/>
        <v>0</v>
      </c>
    </row>
    <row r="167" spans="1:17" hidden="1">
      <c r="A167" s="1" t="s">
        <v>132</v>
      </c>
      <c r="B167" s="1" t="s">
        <v>15</v>
      </c>
      <c r="C167" s="91">
        <v>124525967241</v>
      </c>
      <c r="D167" s="3">
        <v>4062.21</v>
      </c>
      <c r="E167" s="3">
        <v>6517880.6699999999</v>
      </c>
      <c r="F167" s="35" t="s">
        <v>2750</v>
      </c>
      <c r="G167"/>
      <c r="H167"/>
      <c r="I167" s="27">
        <f>-IFERROR(VLOOKUP(C167,SIRCUPA!$A$21:$H$155,8,0),0)</f>
        <v>0</v>
      </c>
      <c r="J167" s="88">
        <f>-IFERROR(VLOOKUP(C167,SIRTAC!$A$16:$H$1288,8,0),0)</f>
        <v>-43</v>
      </c>
      <c r="K167" s="88">
        <f>-IFERROR(VLOOKUP(C167,Gastos!$A$9:$J$1281,10,0),0)</f>
        <v>-168.99</v>
      </c>
      <c r="L167" s="87">
        <f>-IFERROR(VLOOKUP(C167,IDC!$A$25:$H$1532,8,0),0)</f>
        <v>-25.8</v>
      </c>
      <c r="M167" s="122">
        <f t="shared" si="29"/>
        <v>4300</v>
      </c>
      <c r="N167"/>
      <c r="P167" s="35">
        <f t="shared" si="27"/>
        <v>-4300</v>
      </c>
      <c r="Q167" s="66">
        <f t="shared" si="28"/>
        <v>0</v>
      </c>
    </row>
    <row r="168" spans="1:17" hidden="1">
      <c r="A168" s="1" t="s">
        <v>132</v>
      </c>
      <c r="B168" s="1" t="s">
        <v>15</v>
      </c>
      <c r="C168" s="91">
        <v>124526350425</v>
      </c>
      <c r="D168" s="3">
        <v>4189.49</v>
      </c>
      <c r="E168" s="3">
        <v>6522070.1600000001</v>
      </c>
      <c r="F168" s="35" t="s">
        <v>2750</v>
      </c>
      <c r="G168"/>
      <c r="H168"/>
      <c r="I168" s="27">
        <f>-IFERROR(VLOOKUP(C168,SIRCUPA!$A$21:$H$155,8,0),0)</f>
        <v>0</v>
      </c>
      <c r="J168" s="88">
        <f>-IFERROR(VLOOKUP(C168,SIRTAC!$A$16:$H$1288,8,0),0)</f>
        <v>-43</v>
      </c>
      <c r="K168" s="88">
        <f>-IFERROR(VLOOKUP(C168,Gastos!$A$9:$J$1281,10,0),0)</f>
        <v>-41.71</v>
      </c>
      <c r="L168" s="87">
        <f>-IFERROR(VLOOKUP(C168,IDC!$A$25:$H$1532,8,0),0)</f>
        <v>-25.8</v>
      </c>
      <c r="M168" s="122">
        <f t="shared" si="29"/>
        <v>4300</v>
      </c>
      <c r="N168"/>
      <c r="P168" s="35">
        <f t="shared" si="27"/>
        <v>-4300</v>
      </c>
      <c r="Q168" s="66">
        <f t="shared" si="28"/>
        <v>0</v>
      </c>
    </row>
    <row r="169" spans="1:17" hidden="1">
      <c r="A169" s="1" t="s">
        <v>132</v>
      </c>
      <c r="B169" s="1" t="s">
        <v>15</v>
      </c>
      <c r="C169" s="91">
        <v>125072280684</v>
      </c>
      <c r="D169" s="3">
        <v>8768.7000000000007</v>
      </c>
      <c r="E169" s="3">
        <v>6530838.8600000003</v>
      </c>
      <c r="F169" s="35" t="s">
        <v>2750</v>
      </c>
      <c r="G169"/>
      <c r="H169"/>
      <c r="I169" s="27">
        <f>-IFERROR(VLOOKUP(C169,SIRCUPA!$A$21:$H$155,8,0),0)</f>
        <v>0</v>
      </c>
      <c r="J169" s="88">
        <f>-IFERROR(VLOOKUP(C169,SIRTAC!$A$16:$H$1288,8,0),0)</f>
        <v>-90</v>
      </c>
      <c r="K169" s="88">
        <f>-IFERROR(VLOOKUP(C169,Gastos!$A$9:$J$1281,10,0),0)</f>
        <v>-87.3</v>
      </c>
      <c r="L169" s="87">
        <f>-IFERROR(VLOOKUP(C169,IDC!$A$25:$H$1532,8,0),0)</f>
        <v>-54</v>
      </c>
      <c r="M169" s="122">
        <f t="shared" si="29"/>
        <v>9000</v>
      </c>
      <c r="N169"/>
      <c r="P169" s="35">
        <f t="shared" si="27"/>
        <v>-9000</v>
      </c>
      <c r="Q169" s="66">
        <f t="shared" si="28"/>
        <v>0</v>
      </c>
    </row>
    <row r="170" spans="1:17" hidden="1">
      <c r="A170" s="1" t="s">
        <v>132</v>
      </c>
      <c r="B170" s="1" t="s">
        <v>15</v>
      </c>
      <c r="C170" s="91">
        <v>125072870242</v>
      </c>
      <c r="D170" s="3">
        <v>8502.2999999999993</v>
      </c>
      <c r="E170" s="3">
        <v>6539341.1600000001</v>
      </c>
      <c r="F170" s="35" t="s">
        <v>2750</v>
      </c>
      <c r="G170"/>
      <c r="H170"/>
      <c r="I170" s="27">
        <f>-IFERROR(VLOOKUP(C170,SIRCUPA!$A$21:$H$155,8,0),0)</f>
        <v>0</v>
      </c>
      <c r="J170" s="88">
        <f>-IFERROR(VLOOKUP(C170,SIRTAC!$A$16:$H$1288,8,0),0)</f>
        <v>-90</v>
      </c>
      <c r="K170" s="88">
        <f>-IFERROR(VLOOKUP(C170,Gastos!$A$9:$J$1281,10,0),0)</f>
        <v>-353.7</v>
      </c>
      <c r="L170" s="87">
        <f>-IFERROR(VLOOKUP(C170,IDC!$A$25:$H$1532,8,0),0)</f>
        <v>-54</v>
      </c>
      <c r="M170" s="122">
        <f t="shared" si="29"/>
        <v>9000</v>
      </c>
      <c r="N170"/>
      <c r="P170" s="35">
        <f t="shared" si="27"/>
        <v>-9000</v>
      </c>
      <c r="Q170" s="66">
        <f t="shared" si="28"/>
        <v>0</v>
      </c>
    </row>
    <row r="171" spans="1:17" hidden="1">
      <c r="A171" s="1" t="s">
        <v>132</v>
      </c>
      <c r="B171" s="1" t="s">
        <v>15</v>
      </c>
      <c r="C171" s="91">
        <v>125074007976</v>
      </c>
      <c r="D171" s="3">
        <v>3177.65</v>
      </c>
      <c r="E171" s="3">
        <v>6542518.8099999996</v>
      </c>
      <c r="F171" s="35" t="s">
        <v>2750</v>
      </c>
      <c r="G171"/>
      <c r="H171"/>
      <c r="I171" s="27">
        <f>-IFERROR(VLOOKUP(C171,SIRCUPA!$A$21:$H$155,8,0),0)</f>
        <v>0</v>
      </c>
      <c r="J171" s="88">
        <f>-IFERROR(VLOOKUP(C171,SIRTAC!$A$16:$H$1288,8,0),0)</f>
        <v>-35</v>
      </c>
      <c r="K171" s="88">
        <f>-IFERROR(VLOOKUP(C171,Gastos!$A$9:$J$1281,10,0),0)</f>
        <v>-266.35000000000002</v>
      </c>
      <c r="L171" s="87">
        <f>-IFERROR(VLOOKUP(C171,IDC!$A$25:$H$1532,8,0),0)</f>
        <v>-21</v>
      </c>
      <c r="M171" s="122">
        <f t="shared" si="29"/>
        <v>3500</v>
      </c>
      <c r="N171"/>
      <c r="P171" s="35">
        <f t="shared" si="27"/>
        <v>-3500</v>
      </c>
      <c r="Q171" s="66">
        <f t="shared" si="28"/>
        <v>0</v>
      </c>
    </row>
    <row r="172" spans="1:17" hidden="1">
      <c r="A172" s="1" t="s">
        <v>132</v>
      </c>
      <c r="B172" s="1" t="s">
        <v>15</v>
      </c>
      <c r="C172" s="91">
        <v>124528936881</v>
      </c>
      <c r="D172" s="3">
        <v>45395</v>
      </c>
      <c r="E172" s="3">
        <v>6587913.8099999996</v>
      </c>
      <c r="F172" s="35" t="s">
        <v>2750</v>
      </c>
      <c r="G172"/>
      <c r="H172"/>
      <c r="I172" s="27">
        <f>-IFERROR(VLOOKUP(C172,SIRCUPA!$A$21:$H$155,8,0),0)</f>
        <v>0</v>
      </c>
      <c r="J172" s="88">
        <f>-IFERROR(VLOOKUP(C172,SIRTAC!$A$16:$H$1288,8,0),0)</f>
        <v>-500</v>
      </c>
      <c r="K172" s="88">
        <f>-IFERROR(VLOOKUP(C172,Gastos!$A$9:$J$1281,10,0),0)</f>
        <v>-3805</v>
      </c>
      <c r="L172" s="87">
        <f>-IFERROR(VLOOKUP(C172,IDC!$A$25:$H$1532,8,0),0)</f>
        <v>-300</v>
      </c>
      <c r="M172" s="122">
        <f t="shared" si="29"/>
        <v>50000</v>
      </c>
      <c r="N172"/>
      <c r="P172" s="35">
        <f t="shared" si="27"/>
        <v>-50000</v>
      </c>
      <c r="Q172" s="66">
        <f t="shared" si="28"/>
        <v>0</v>
      </c>
    </row>
    <row r="173" spans="1:17" hidden="1">
      <c r="A173" s="1" t="s">
        <v>132</v>
      </c>
      <c r="B173" s="1" t="s">
        <v>15</v>
      </c>
      <c r="C173" s="91">
        <v>125074730376</v>
      </c>
      <c r="D173" s="3">
        <v>6820.1</v>
      </c>
      <c r="E173" s="3">
        <v>6594733.9100000001</v>
      </c>
      <c r="F173" s="35" t="s">
        <v>2750</v>
      </c>
      <c r="G173"/>
      <c r="H173"/>
      <c r="I173" s="27">
        <f>-IFERROR(VLOOKUP(C173,SIRCUPA!$A$21:$H$155,8,0),0)</f>
        <v>0</v>
      </c>
      <c r="J173" s="88">
        <f>-IFERROR(VLOOKUP(C173,SIRTAC!$A$16:$H$1288,8,0),0)</f>
        <v>-70</v>
      </c>
      <c r="K173" s="88">
        <f>-IFERROR(VLOOKUP(C173,Gastos!$A$9:$J$1281,10,0),0)</f>
        <v>-67.900000000000006</v>
      </c>
      <c r="L173" s="87">
        <f>-IFERROR(VLOOKUP(C173,IDC!$A$25:$H$1532,8,0),0)</f>
        <v>-42</v>
      </c>
      <c r="M173" s="122">
        <f t="shared" si="29"/>
        <v>7000</v>
      </c>
      <c r="N173"/>
      <c r="P173" s="35">
        <f t="shared" si="27"/>
        <v>-7000</v>
      </c>
      <c r="Q173" s="66">
        <f t="shared" si="28"/>
        <v>0</v>
      </c>
    </row>
    <row r="174" spans="1:17" hidden="1">
      <c r="A174" s="1" t="s">
        <v>132</v>
      </c>
      <c r="B174" s="1" t="s">
        <v>208</v>
      </c>
      <c r="C174" s="91">
        <v>125074601908</v>
      </c>
      <c r="D174" s="2">
        <v>342.65</v>
      </c>
      <c r="E174" s="3">
        <v>6595076.5599999996</v>
      </c>
      <c r="F174" s="2" t="s">
        <v>2750</v>
      </c>
      <c r="G174"/>
      <c r="H174"/>
      <c r="I174" s="27">
        <f>-IFERROR(VLOOKUP(C174,SIRCUPA!$A$21:$H$155,8,0),0)</f>
        <v>-5.25</v>
      </c>
      <c r="J174" s="88">
        <f>-IFERROR(VLOOKUP(C174,SIRTAC!$A$16:$H$1288,8,0),0)</f>
        <v>0</v>
      </c>
      <c r="K174" s="88">
        <f>-IFERROR(VLOOKUP(C174,Gastos!$A$9:$J$1281,10,0),0)</f>
        <v>0</v>
      </c>
      <c r="L174" s="87">
        <f>-IFERROR(VLOOKUP(C174,IDC!$A$25:$H$1532,8,0),0)</f>
        <v>-2.1</v>
      </c>
      <c r="M174" s="122">
        <f t="shared" ref="M174:M205" si="30">+D174-I174-J174-K174-L174</f>
        <v>350</v>
      </c>
      <c r="N174"/>
      <c r="P174" s="35">
        <f t="shared" ref="P174:P206" si="31">+L174/0.006</f>
        <v>-350</v>
      </c>
      <c r="Q174" s="66">
        <f t="shared" ref="Q174:Q206" si="32">+M174+P174</f>
        <v>0</v>
      </c>
    </row>
    <row r="175" spans="1:17" hidden="1">
      <c r="A175" s="1" t="s">
        <v>132</v>
      </c>
      <c r="B175" s="1" t="s">
        <v>15</v>
      </c>
      <c r="C175" s="91">
        <v>125074877368</v>
      </c>
      <c r="D175" s="3">
        <v>44123.94</v>
      </c>
      <c r="E175" s="3">
        <v>6639200.5</v>
      </c>
      <c r="F175" s="35" t="s">
        <v>2750</v>
      </c>
      <c r="G175"/>
      <c r="H175"/>
      <c r="I175" s="27">
        <f>-IFERROR(VLOOKUP(C175,SIRCUPA!$A$21:$H$155,8,0),0)</f>
        <v>0</v>
      </c>
      <c r="J175" s="88">
        <f>-IFERROR(VLOOKUP(C175,SIRTAC!$A$16:$H$1288,8,0),0)</f>
        <v>-486</v>
      </c>
      <c r="K175" s="88">
        <f>-IFERROR(VLOOKUP(C175,Gastos!$A$9:$J$1281,10,0),0)</f>
        <v>-3698.46</v>
      </c>
      <c r="L175" s="87">
        <f>-IFERROR(VLOOKUP(C175,IDC!$A$25:$H$1532,8,0),0)</f>
        <v>-291.60000000000002</v>
      </c>
      <c r="M175" s="122">
        <f t="shared" si="30"/>
        <v>48600</v>
      </c>
      <c r="N175"/>
      <c r="P175" s="35">
        <f t="shared" si="31"/>
        <v>-48600</v>
      </c>
      <c r="Q175" s="66">
        <f t="shared" si="32"/>
        <v>0</v>
      </c>
    </row>
    <row r="176" spans="1:17" hidden="1">
      <c r="A176" s="1" t="s">
        <v>132</v>
      </c>
      <c r="B176" s="1" t="s">
        <v>15</v>
      </c>
      <c r="C176" s="91">
        <v>125075109170</v>
      </c>
      <c r="D176" s="3">
        <v>4189.49</v>
      </c>
      <c r="E176" s="3">
        <v>6643389.9900000002</v>
      </c>
      <c r="F176" s="35" t="s">
        <v>2750</v>
      </c>
      <c r="G176"/>
      <c r="H176"/>
      <c r="I176" s="27">
        <f>-IFERROR(VLOOKUP(C176,SIRCUPA!$A$21:$H$155,8,0),0)</f>
        <v>0</v>
      </c>
      <c r="J176" s="88">
        <f>-IFERROR(VLOOKUP(C176,SIRTAC!$A$16:$H$1288,8,0),0)</f>
        <v>-43</v>
      </c>
      <c r="K176" s="88">
        <f>-IFERROR(VLOOKUP(C176,Gastos!$A$9:$J$1281,10,0),0)</f>
        <v>-41.71</v>
      </c>
      <c r="L176" s="87">
        <f>-IFERROR(VLOOKUP(C176,IDC!$A$25:$H$1532,8,0),0)</f>
        <v>-25.8</v>
      </c>
      <c r="M176" s="122">
        <f t="shared" si="30"/>
        <v>4300</v>
      </c>
      <c r="N176"/>
      <c r="P176" s="35">
        <f t="shared" si="31"/>
        <v>-4300</v>
      </c>
      <c r="Q176" s="66">
        <f t="shared" si="32"/>
        <v>0</v>
      </c>
    </row>
    <row r="177" spans="1:17" hidden="1">
      <c r="A177" s="1" t="s">
        <v>132</v>
      </c>
      <c r="B177" s="1" t="s">
        <v>15</v>
      </c>
      <c r="C177" s="91">
        <v>125075403750</v>
      </c>
      <c r="D177" s="3">
        <v>38948.910000000003</v>
      </c>
      <c r="E177" s="3">
        <v>6682338.9000000004</v>
      </c>
      <c r="F177" s="35" t="s">
        <v>2750</v>
      </c>
      <c r="G177"/>
      <c r="H177"/>
      <c r="I177" s="27">
        <f>-IFERROR(VLOOKUP(C177,SIRCUPA!$A$21:$H$155,8,0),0)</f>
        <v>0</v>
      </c>
      <c r="J177" s="88">
        <f>-IFERROR(VLOOKUP(C177,SIRTAC!$A$16:$H$1288,8,0),0)</f>
        <v>-429</v>
      </c>
      <c r="K177" s="88">
        <f>-IFERROR(VLOOKUP(C177,Gastos!$A$9:$J$1281,10,0),0)</f>
        <v>-3264.69</v>
      </c>
      <c r="L177" s="87">
        <f>-IFERROR(VLOOKUP(C177,IDC!$A$25:$H$1532,8,0),0)</f>
        <v>-257.39999999999998</v>
      </c>
      <c r="M177" s="122">
        <f t="shared" si="30"/>
        <v>42900.000000000007</v>
      </c>
      <c r="N177"/>
      <c r="P177" s="35">
        <f t="shared" si="31"/>
        <v>-42899.999999999993</v>
      </c>
      <c r="Q177" s="66">
        <f t="shared" si="32"/>
        <v>0</v>
      </c>
    </row>
    <row r="178" spans="1:17" hidden="1">
      <c r="A178" s="1" t="s">
        <v>132</v>
      </c>
      <c r="B178" s="1" t="s">
        <v>15</v>
      </c>
      <c r="C178" s="91">
        <v>124529807091</v>
      </c>
      <c r="D178" s="3">
        <v>7548.06</v>
      </c>
      <c r="E178" s="3">
        <v>6689886.96</v>
      </c>
      <c r="F178" s="35" t="s">
        <v>2750</v>
      </c>
      <c r="G178"/>
      <c r="H178"/>
      <c r="I178" s="27">
        <f>-IFERROR(VLOOKUP(C178,SIRCUPA!$A$21:$H$155,8,0),0)</f>
        <v>0</v>
      </c>
      <c r="J178" s="88">
        <f>-IFERROR(VLOOKUP(C178,SIRTAC!$A$16:$H$1288,8,0),0)</f>
        <v>-78</v>
      </c>
      <c r="K178" s="88">
        <f>-IFERROR(VLOOKUP(C178,Gastos!$A$9:$J$1281,10,0),0)</f>
        <v>-127.14</v>
      </c>
      <c r="L178" s="87">
        <f>-IFERROR(VLOOKUP(C178,IDC!$A$25:$H$1532,8,0),0)</f>
        <v>-46.8</v>
      </c>
      <c r="M178" s="122">
        <f t="shared" si="30"/>
        <v>7800.0000000000009</v>
      </c>
      <c r="N178"/>
      <c r="P178" s="35">
        <f t="shared" si="31"/>
        <v>-7799.9999999999991</v>
      </c>
      <c r="Q178" s="66">
        <f t="shared" si="32"/>
        <v>0</v>
      </c>
    </row>
    <row r="179" spans="1:17" hidden="1">
      <c r="A179" s="1" t="s">
        <v>132</v>
      </c>
      <c r="B179" s="1" t="s">
        <v>15</v>
      </c>
      <c r="C179" s="91">
        <v>125076566722</v>
      </c>
      <c r="D179" s="3">
        <v>14076.03</v>
      </c>
      <c r="E179" s="3">
        <v>6703962.9900000002</v>
      </c>
      <c r="F179" s="35" t="s">
        <v>2750</v>
      </c>
      <c r="G179"/>
      <c r="H179"/>
      <c r="I179" s="27">
        <f>-IFERROR(VLOOKUP(C179,SIRCUPA!$A$21:$H$155,8,0),0)</f>
        <v>0</v>
      </c>
      <c r="J179" s="88">
        <f>-IFERROR(VLOOKUP(C179,SIRTAC!$A$16:$H$1288,8,0),0)</f>
        <v>-149</v>
      </c>
      <c r="K179" s="88">
        <f>-IFERROR(VLOOKUP(C179,Gastos!$A$9:$J$1281,10,0),0)</f>
        <v>-585.57000000000005</v>
      </c>
      <c r="L179" s="87">
        <f>-IFERROR(VLOOKUP(C179,IDC!$A$25:$H$1532,8,0),0)</f>
        <v>-89.4</v>
      </c>
      <c r="M179" s="122">
        <f t="shared" si="30"/>
        <v>14900</v>
      </c>
      <c r="N179"/>
      <c r="P179" s="35">
        <f t="shared" si="31"/>
        <v>-14900</v>
      </c>
      <c r="Q179" s="66">
        <f t="shared" si="32"/>
        <v>0</v>
      </c>
    </row>
    <row r="180" spans="1:17" hidden="1">
      <c r="A180" s="1" t="s">
        <v>132</v>
      </c>
      <c r="B180" s="1" t="s">
        <v>15</v>
      </c>
      <c r="C180" s="91">
        <v>124531770681</v>
      </c>
      <c r="D180" s="3">
        <v>40238.589999999997</v>
      </c>
      <c r="E180" s="3">
        <v>6744201.5800000001</v>
      </c>
      <c r="F180" s="35" t="s">
        <v>2750</v>
      </c>
      <c r="G180"/>
      <c r="H180"/>
      <c r="I180" s="27">
        <f>-IFERROR(VLOOKUP(C180,SIRCUPA!$A$21:$H$155,8,0),0)</f>
        <v>0</v>
      </c>
      <c r="J180" s="88">
        <f>-IFERROR(VLOOKUP(C180,SIRTAC!$A$16:$H$1288,8,0),0)</f>
        <v>-413</v>
      </c>
      <c r="K180" s="88">
        <f>-IFERROR(VLOOKUP(C180,Gastos!$A$9:$J$1281,10,0),0)</f>
        <v>-400.61</v>
      </c>
      <c r="L180" s="87">
        <f>-IFERROR(VLOOKUP(C180,IDC!$A$25:$H$1532,8,0),0)</f>
        <v>-247.8</v>
      </c>
      <c r="M180" s="122">
        <f t="shared" si="30"/>
        <v>41300</v>
      </c>
      <c r="N180"/>
      <c r="P180" s="35">
        <f t="shared" si="31"/>
        <v>-41300</v>
      </c>
      <c r="Q180" s="66">
        <f t="shared" si="32"/>
        <v>0</v>
      </c>
    </row>
    <row r="181" spans="1:17" hidden="1">
      <c r="A181" s="1" t="s">
        <v>132</v>
      </c>
      <c r="B181" s="1" t="s">
        <v>216</v>
      </c>
      <c r="C181" s="91">
        <v>125077543030</v>
      </c>
      <c r="D181" s="3">
        <v>2021.63</v>
      </c>
      <c r="E181" s="3">
        <v>6746223.21</v>
      </c>
      <c r="F181" s="2" t="s">
        <v>2750</v>
      </c>
      <c r="G181"/>
      <c r="H181"/>
      <c r="I181" s="27">
        <f>-IFERROR(VLOOKUP(C181,SIRCUPA!$A$21:$H$155,8,0),0)</f>
        <v>-30.98</v>
      </c>
      <c r="J181" s="88">
        <f>-IFERROR(VLOOKUP(C181,SIRTAC!$A$16:$H$1288,8,0),0)</f>
        <v>0</v>
      </c>
      <c r="K181" s="88">
        <f>-IFERROR(VLOOKUP(C181,Gastos!$A$9:$J$1281,10,0),0)</f>
        <v>0</v>
      </c>
      <c r="L181" s="87">
        <f>-IFERROR(VLOOKUP(C181,IDC!$A$25:$H$1532,8,0),0)</f>
        <v>-12.39</v>
      </c>
      <c r="M181" s="122">
        <f t="shared" si="30"/>
        <v>2065</v>
      </c>
      <c r="N181"/>
      <c r="P181" s="35">
        <f t="shared" si="31"/>
        <v>-2065</v>
      </c>
      <c r="Q181" s="66">
        <f t="shared" si="32"/>
        <v>0</v>
      </c>
    </row>
    <row r="182" spans="1:17" hidden="1">
      <c r="A182" s="1" t="s">
        <v>132</v>
      </c>
      <c r="B182" s="1" t="s">
        <v>15</v>
      </c>
      <c r="C182" s="91">
        <v>125077701916</v>
      </c>
      <c r="D182" s="3">
        <v>99760.320000000007</v>
      </c>
      <c r="E182" s="3">
        <v>6845983.5300000003</v>
      </c>
      <c r="F182" s="35" t="s">
        <v>2750</v>
      </c>
      <c r="G182"/>
      <c r="H182"/>
      <c r="I182" s="27">
        <f>-IFERROR(VLOOKUP(C182,SIRCUPA!$A$21:$H$155,8,0),0)</f>
        <v>0</v>
      </c>
      <c r="J182" s="88">
        <f>-IFERROR(VLOOKUP(C182,SIRTAC!$A$16:$H$1288,8,0),0)</f>
        <v>-1056</v>
      </c>
      <c r="K182" s="88">
        <f>-IFERROR(VLOOKUP(C182,Gastos!$A$9:$J$1281,10,0),0)</f>
        <v>-4150.08</v>
      </c>
      <c r="L182" s="87">
        <f>-IFERROR(VLOOKUP(C182,IDC!$A$25:$H$1532,8,0),0)</f>
        <v>-633.6</v>
      </c>
      <c r="M182" s="122">
        <f t="shared" si="30"/>
        <v>105600.00000000001</v>
      </c>
      <c r="N182"/>
      <c r="P182" s="35">
        <f t="shared" si="31"/>
        <v>-105600</v>
      </c>
      <c r="Q182" s="66">
        <f t="shared" si="32"/>
        <v>0</v>
      </c>
    </row>
    <row r="183" spans="1:17" hidden="1">
      <c r="A183" s="1" t="s">
        <v>132</v>
      </c>
      <c r="B183" s="1" t="s">
        <v>15</v>
      </c>
      <c r="C183" s="91">
        <v>124533578613</v>
      </c>
      <c r="D183" s="3">
        <v>30690.45</v>
      </c>
      <c r="E183" s="3">
        <v>6876673.9800000004</v>
      </c>
      <c r="F183" s="35" t="s">
        <v>2750</v>
      </c>
      <c r="G183"/>
      <c r="H183"/>
      <c r="I183" s="27">
        <f>-IFERROR(VLOOKUP(C183,SIRCUPA!$A$21:$H$155,8,0),0)</f>
        <v>0</v>
      </c>
      <c r="J183" s="88">
        <f>-IFERROR(VLOOKUP(C183,SIRTAC!$A$16:$H$1288,8,0),0)</f>
        <v>-315</v>
      </c>
      <c r="K183" s="88">
        <f>-IFERROR(VLOOKUP(C183,Gastos!$A$9:$J$1281,10,0),0)</f>
        <v>-305.55</v>
      </c>
      <c r="L183" s="87">
        <f>-IFERROR(VLOOKUP(C183,IDC!$A$25:$H$1532,8,0),0)</f>
        <v>-189</v>
      </c>
      <c r="M183" s="122">
        <f t="shared" si="30"/>
        <v>31500</v>
      </c>
      <c r="N183"/>
      <c r="P183" s="35">
        <f t="shared" si="31"/>
        <v>-31500</v>
      </c>
      <c r="Q183" s="66">
        <f t="shared" si="32"/>
        <v>0</v>
      </c>
    </row>
    <row r="184" spans="1:17" hidden="1">
      <c r="A184" s="1" t="s">
        <v>132</v>
      </c>
      <c r="B184" s="1" t="s">
        <v>15</v>
      </c>
      <c r="C184" s="91">
        <v>125080148776</v>
      </c>
      <c r="D184" s="3">
        <v>19610.64</v>
      </c>
      <c r="E184" s="3">
        <v>6896284.6200000001</v>
      </c>
      <c r="F184" s="35" t="s">
        <v>2750</v>
      </c>
      <c r="G184"/>
      <c r="H184"/>
      <c r="I184" s="27">
        <f>-IFERROR(VLOOKUP(C184,SIRCUPA!$A$21:$H$155,8,0),0)</f>
        <v>0</v>
      </c>
      <c r="J184" s="88">
        <f>-IFERROR(VLOOKUP(C184,SIRTAC!$A$16:$H$1288,8,0),0)</f>
        <v>-216</v>
      </c>
      <c r="K184" s="88">
        <f>-IFERROR(VLOOKUP(C184,Gastos!$A$9:$J$1281,10,0),0)</f>
        <v>-1643.76</v>
      </c>
      <c r="L184" s="87">
        <f>-IFERROR(VLOOKUP(C184,IDC!$A$25:$H$1532,8,0),0)</f>
        <v>-129.6</v>
      </c>
      <c r="M184" s="122">
        <f t="shared" si="30"/>
        <v>21599.999999999996</v>
      </c>
      <c r="N184"/>
      <c r="P184" s="35">
        <f t="shared" si="31"/>
        <v>-21600</v>
      </c>
      <c r="Q184" s="66">
        <f t="shared" si="32"/>
        <v>0</v>
      </c>
    </row>
    <row r="185" spans="1:17" hidden="1">
      <c r="A185" s="1" t="s">
        <v>132</v>
      </c>
      <c r="B185" s="1" t="s">
        <v>15</v>
      </c>
      <c r="C185" s="91">
        <v>124534512559</v>
      </c>
      <c r="D185" s="3">
        <v>59140.01</v>
      </c>
      <c r="E185" s="3">
        <v>6955424.6299999999</v>
      </c>
      <c r="F185" s="35" t="s">
        <v>2750</v>
      </c>
      <c r="G185"/>
      <c r="H185"/>
      <c r="I185" s="27">
        <f>-IFERROR(VLOOKUP(C185,SIRCUPA!$A$21:$H$155,8,0),0)</f>
        <v>0</v>
      </c>
      <c r="J185" s="88">
        <f>-IFERROR(VLOOKUP(C185,SIRTAC!$A$16:$H$1288,8,0),0)</f>
        <v>-607</v>
      </c>
      <c r="K185" s="88">
        <f>-IFERROR(VLOOKUP(C185,Gastos!$A$9:$J$1281,10,0),0)</f>
        <v>-588.79</v>
      </c>
      <c r="L185" s="87">
        <f>-IFERROR(VLOOKUP(C185,IDC!$A$25:$H$1532,8,0),0)</f>
        <v>-364.2</v>
      </c>
      <c r="M185" s="122">
        <f t="shared" si="30"/>
        <v>60700</v>
      </c>
      <c r="N185"/>
      <c r="P185" s="35">
        <f t="shared" si="31"/>
        <v>-60700</v>
      </c>
      <c r="Q185" s="66">
        <f t="shared" si="32"/>
        <v>0</v>
      </c>
    </row>
    <row r="186" spans="1:17" hidden="1">
      <c r="A186" s="1" t="s">
        <v>132</v>
      </c>
      <c r="B186" s="1" t="s">
        <v>15</v>
      </c>
      <c r="C186" s="91">
        <v>125080564580</v>
      </c>
      <c r="D186" s="3">
        <v>16343.31</v>
      </c>
      <c r="E186" s="3">
        <v>6971767.9400000004</v>
      </c>
      <c r="F186" s="35" t="s">
        <v>2750</v>
      </c>
      <c r="G186"/>
      <c r="H186"/>
      <c r="I186" s="27">
        <f>-IFERROR(VLOOKUP(C186,SIRCUPA!$A$21:$H$155,8,0),0)</f>
        <v>0</v>
      </c>
      <c r="J186" s="88">
        <f>-IFERROR(VLOOKUP(C186,SIRTAC!$A$16:$H$1288,8,0),0)</f>
        <v>-173</v>
      </c>
      <c r="K186" s="88">
        <f>-IFERROR(VLOOKUP(C186,Gastos!$A$9:$J$1281,10,0),0)</f>
        <v>-679.89</v>
      </c>
      <c r="L186" s="87">
        <f>-IFERROR(VLOOKUP(C186,IDC!$A$25:$H$1532,8,0),0)</f>
        <v>-103.8</v>
      </c>
      <c r="M186" s="122">
        <f t="shared" si="30"/>
        <v>17299.999999999996</v>
      </c>
      <c r="N186"/>
      <c r="P186" s="35">
        <f t="shared" si="31"/>
        <v>-17300</v>
      </c>
      <c r="Q186" s="66">
        <f t="shared" si="32"/>
        <v>0</v>
      </c>
    </row>
    <row r="187" spans="1:17" hidden="1">
      <c r="A187" s="1" t="s">
        <v>132</v>
      </c>
      <c r="B187" s="1" t="s">
        <v>15</v>
      </c>
      <c r="C187" s="91">
        <v>125081323764</v>
      </c>
      <c r="D187" s="3">
        <v>8785.7099999999991</v>
      </c>
      <c r="E187" s="3">
        <v>6980553.6500000004</v>
      </c>
      <c r="F187" s="35" t="s">
        <v>2750</v>
      </c>
      <c r="G187"/>
      <c r="H187"/>
      <c r="I187" s="27">
        <f>-IFERROR(VLOOKUP(C187,SIRCUPA!$A$21:$H$155,8,0),0)</f>
        <v>0</v>
      </c>
      <c r="J187" s="88">
        <f>-IFERROR(VLOOKUP(C187,SIRTAC!$A$16:$H$1288,8,0),0)</f>
        <v>-93</v>
      </c>
      <c r="K187" s="88">
        <f>-IFERROR(VLOOKUP(C187,Gastos!$A$9:$J$1281,10,0),0)</f>
        <v>-365.49</v>
      </c>
      <c r="L187" s="87">
        <f>-IFERROR(VLOOKUP(C187,IDC!$A$25:$H$1532,8,0),0)</f>
        <v>-55.8</v>
      </c>
      <c r="M187" s="122">
        <f t="shared" si="30"/>
        <v>9299.9999999999982</v>
      </c>
      <c r="N187"/>
      <c r="P187" s="35">
        <f t="shared" si="31"/>
        <v>-9300</v>
      </c>
      <c r="Q187" s="66">
        <f t="shared" si="32"/>
        <v>0</v>
      </c>
    </row>
    <row r="188" spans="1:17" hidden="1">
      <c r="A188" s="1" t="s">
        <v>132</v>
      </c>
      <c r="B188" s="1" t="s">
        <v>15</v>
      </c>
      <c r="C188" s="91">
        <v>125082018504</v>
      </c>
      <c r="D188" s="3">
        <v>35854.239999999998</v>
      </c>
      <c r="E188" s="3">
        <v>7016407.8899999997</v>
      </c>
      <c r="F188" s="35" t="s">
        <v>2750</v>
      </c>
      <c r="G188"/>
      <c r="H188"/>
      <c r="I188" s="27">
        <f>-IFERROR(VLOOKUP(C188,SIRCUPA!$A$21:$H$155,8,0),0)</f>
        <v>0</v>
      </c>
      <c r="J188" s="88">
        <f>-IFERROR(VLOOKUP(C188,SIRTAC!$A$16:$H$1288,8,0),0)</f>
        <v>-368</v>
      </c>
      <c r="K188" s="88">
        <f>-IFERROR(VLOOKUP(C188,Gastos!$A$9:$J$1281,10,0),0)</f>
        <v>-356.96</v>
      </c>
      <c r="L188" s="87">
        <f>-IFERROR(VLOOKUP(C188,IDC!$A$25:$H$1532,8,0),0)</f>
        <v>-220.8</v>
      </c>
      <c r="M188" s="122">
        <f t="shared" si="30"/>
        <v>36800</v>
      </c>
      <c r="N188"/>
      <c r="P188" s="35">
        <f t="shared" si="31"/>
        <v>-36800</v>
      </c>
      <c r="Q188" s="66">
        <f t="shared" si="32"/>
        <v>0</v>
      </c>
    </row>
    <row r="189" spans="1:17" hidden="1">
      <c r="A189" s="1" t="s">
        <v>132</v>
      </c>
      <c r="B189" s="1" t="s">
        <v>15</v>
      </c>
      <c r="C189" s="91">
        <v>125083042824</v>
      </c>
      <c r="D189" s="3">
        <v>11399.31</v>
      </c>
      <c r="E189" s="3">
        <v>7027807.2000000002</v>
      </c>
      <c r="F189" s="35" t="s">
        <v>2750</v>
      </c>
      <c r="G189"/>
      <c r="H189"/>
      <c r="I189" s="27">
        <f>-IFERROR(VLOOKUP(C189,SIRCUPA!$A$21:$H$155,8,0),0)</f>
        <v>0</v>
      </c>
      <c r="J189" s="88">
        <f>-IFERROR(VLOOKUP(C189,SIRTAC!$A$16:$H$1288,8,0),0)</f>
        <v>-117</v>
      </c>
      <c r="K189" s="88">
        <f>-IFERROR(VLOOKUP(C189,Gastos!$A$9:$J$1281,10,0),0)</f>
        <v>-113.49</v>
      </c>
      <c r="L189" s="87">
        <f>-IFERROR(VLOOKUP(C189,IDC!$A$25:$H$1532,8,0),0)</f>
        <v>-70.2</v>
      </c>
      <c r="M189" s="122">
        <f t="shared" si="30"/>
        <v>11700</v>
      </c>
      <c r="N189"/>
      <c r="P189" s="35">
        <f t="shared" si="31"/>
        <v>-11700</v>
      </c>
      <c r="Q189" s="66">
        <f t="shared" si="32"/>
        <v>0</v>
      </c>
    </row>
    <row r="190" spans="1:17" hidden="1">
      <c r="A190" s="1" t="s">
        <v>132</v>
      </c>
      <c r="B190" s="1" t="s">
        <v>15</v>
      </c>
      <c r="C190" s="91">
        <v>124538079727</v>
      </c>
      <c r="D190" s="3">
        <v>3684.33</v>
      </c>
      <c r="E190" s="3">
        <v>7031491.5300000003</v>
      </c>
      <c r="F190" s="35" t="s">
        <v>2750</v>
      </c>
      <c r="G190"/>
      <c r="H190"/>
      <c r="I190" s="27">
        <f>-IFERROR(VLOOKUP(C190,SIRCUPA!$A$21:$H$155,8,0),0)</f>
        <v>0</v>
      </c>
      <c r="J190" s="88">
        <f>-IFERROR(VLOOKUP(C190,SIRTAC!$A$16:$H$1288,8,0),0)</f>
        <v>-39</v>
      </c>
      <c r="K190" s="88">
        <f>-IFERROR(VLOOKUP(C190,Gastos!$A$9:$J$1281,10,0),0)</f>
        <v>-153.27000000000001</v>
      </c>
      <c r="L190" s="87">
        <f>-IFERROR(VLOOKUP(C190,IDC!$A$25:$H$1532,8,0),0)</f>
        <v>-23.4</v>
      </c>
      <c r="M190" s="122">
        <f t="shared" si="30"/>
        <v>3900</v>
      </c>
      <c r="N190"/>
      <c r="P190" s="35">
        <f t="shared" si="31"/>
        <v>-3899.9999999999995</v>
      </c>
      <c r="Q190" s="66">
        <f t="shared" si="32"/>
        <v>0</v>
      </c>
    </row>
    <row r="191" spans="1:17" hidden="1">
      <c r="A191" s="1" t="s">
        <v>132</v>
      </c>
      <c r="B191" s="1" t="s">
        <v>15</v>
      </c>
      <c r="C191" s="91">
        <v>124538330471</v>
      </c>
      <c r="D191" s="3">
        <v>6820.1</v>
      </c>
      <c r="E191" s="3">
        <v>7038311.6299999999</v>
      </c>
      <c r="F191" s="35" t="s">
        <v>2750</v>
      </c>
      <c r="G191"/>
      <c r="H191"/>
      <c r="I191" s="27">
        <f>-IFERROR(VLOOKUP(C191,SIRCUPA!$A$21:$H$155,8,0),0)</f>
        <v>0</v>
      </c>
      <c r="J191" s="88">
        <f>-IFERROR(VLOOKUP(C191,SIRTAC!$A$16:$H$1288,8,0),0)</f>
        <v>-70</v>
      </c>
      <c r="K191" s="88">
        <f>-IFERROR(VLOOKUP(C191,Gastos!$A$9:$J$1281,10,0),0)</f>
        <v>-67.900000000000006</v>
      </c>
      <c r="L191" s="87">
        <f>-IFERROR(VLOOKUP(C191,IDC!$A$25:$H$1532,8,0),0)</f>
        <v>-42</v>
      </c>
      <c r="M191" s="122">
        <f t="shared" si="30"/>
        <v>7000</v>
      </c>
      <c r="N191"/>
      <c r="P191" s="35">
        <f t="shared" si="31"/>
        <v>-7000</v>
      </c>
      <c r="Q191" s="66">
        <f t="shared" si="32"/>
        <v>0</v>
      </c>
    </row>
    <row r="192" spans="1:17" hidden="1">
      <c r="A192" s="1" t="s">
        <v>132</v>
      </c>
      <c r="B192" s="1" t="s">
        <v>15</v>
      </c>
      <c r="C192" s="91">
        <v>125084267116</v>
      </c>
      <c r="D192" s="3">
        <v>14642.85</v>
      </c>
      <c r="E192" s="3">
        <v>7052954.4800000004</v>
      </c>
      <c r="F192" s="35" t="s">
        <v>2750</v>
      </c>
      <c r="G192"/>
      <c r="H192"/>
      <c r="I192" s="27">
        <f>-IFERROR(VLOOKUP(C192,SIRCUPA!$A$21:$H$155,8,0),0)</f>
        <v>0</v>
      </c>
      <c r="J192" s="88">
        <f>-IFERROR(VLOOKUP(C192,SIRTAC!$A$16:$H$1288,8,0),0)</f>
        <v>-155</v>
      </c>
      <c r="K192" s="88">
        <f>-IFERROR(VLOOKUP(C192,Gastos!$A$9:$J$1281,10,0),0)</f>
        <v>-609.15</v>
      </c>
      <c r="L192" s="87">
        <f>-IFERROR(VLOOKUP(C192,IDC!$A$25:$H$1532,8,0),0)</f>
        <v>-93</v>
      </c>
      <c r="M192" s="122">
        <f t="shared" si="30"/>
        <v>15500</v>
      </c>
      <c r="N192"/>
      <c r="P192" s="35">
        <f t="shared" si="31"/>
        <v>-15500</v>
      </c>
      <c r="Q192" s="66">
        <f t="shared" si="32"/>
        <v>0</v>
      </c>
    </row>
    <row r="193" spans="1:18" hidden="1">
      <c r="A193" s="1" t="s">
        <v>132</v>
      </c>
      <c r="B193" s="1" t="s">
        <v>15</v>
      </c>
      <c r="C193" s="91">
        <v>124538747357</v>
      </c>
      <c r="D193" s="3">
        <v>32875.56</v>
      </c>
      <c r="E193" s="3">
        <v>7085830.04</v>
      </c>
      <c r="F193" s="35" t="s">
        <v>2750</v>
      </c>
      <c r="G193"/>
      <c r="H193"/>
      <c r="I193" s="27">
        <f>-IFERROR(VLOOKUP(C193,SIRCUPA!$A$21:$H$155,8,0),0)</f>
        <v>0</v>
      </c>
      <c r="J193" s="88">
        <f>-IFERROR(VLOOKUP(C193,SIRTAC!$A$16:$H$1288,8,0),0)</f>
        <v>-348</v>
      </c>
      <c r="K193" s="88">
        <f>-IFERROR(VLOOKUP(C193,Gastos!$A$9:$J$1281,10,0),0)</f>
        <v>-1367.64</v>
      </c>
      <c r="L193" s="87">
        <f>-IFERROR(VLOOKUP(C193,IDC!$A$25:$H$1532,8,0),0)</f>
        <v>-208.8</v>
      </c>
      <c r="M193" s="122">
        <f t="shared" si="30"/>
        <v>34800</v>
      </c>
      <c r="N193"/>
      <c r="P193" s="35">
        <f t="shared" si="31"/>
        <v>-34800</v>
      </c>
      <c r="Q193" s="66">
        <f t="shared" si="32"/>
        <v>0</v>
      </c>
    </row>
    <row r="194" spans="1:18" hidden="1">
      <c r="A194" s="1" t="s">
        <v>132</v>
      </c>
      <c r="B194" s="1" t="s">
        <v>15</v>
      </c>
      <c r="C194" s="91">
        <v>125084844014</v>
      </c>
      <c r="D194" s="3">
        <v>4189.49</v>
      </c>
      <c r="E194" s="3">
        <v>7090019.5300000003</v>
      </c>
      <c r="F194" s="35" t="s">
        <v>2750</v>
      </c>
      <c r="G194"/>
      <c r="H194"/>
      <c r="I194" s="27">
        <f>-IFERROR(VLOOKUP(C194,SIRCUPA!$A$21:$H$155,8,0),0)</f>
        <v>0</v>
      </c>
      <c r="J194" s="88">
        <f>-IFERROR(VLOOKUP(C194,SIRTAC!$A$16:$H$1288,8,0),0)</f>
        <v>-43</v>
      </c>
      <c r="K194" s="88">
        <f>-IFERROR(VLOOKUP(C194,Gastos!$A$9:$J$1281,10,0),0)</f>
        <v>-41.71</v>
      </c>
      <c r="L194" s="87">
        <f>-IFERROR(VLOOKUP(C194,IDC!$A$25:$H$1532,8,0),0)</f>
        <v>-25.8</v>
      </c>
      <c r="M194" s="122">
        <f t="shared" si="30"/>
        <v>4300</v>
      </c>
      <c r="N194"/>
      <c r="P194" s="35">
        <f t="shared" si="31"/>
        <v>-4300</v>
      </c>
      <c r="Q194" s="66">
        <f t="shared" si="32"/>
        <v>0</v>
      </c>
    </row>
    <row r="195" spans="1:18" hidden="1">
      <c r="A195" s="1" t="s">
        <v>132</v>
      </c>
      <c r="B195" s="1" t="s">
        <v>15</v>
      </c>
      <c r="C195" s="91">
        <v>125085549984</v>
      </c>
      <c r="D195" s="3">
        <v>39299.519999999997</v>
      </c>
      <c r="E195" s="3">
        <v>7129319.0499999998</v>
      </c>
      <c r="F195" s="35" t="s">
        <v>2750</v>
      </c>
      <c r="G195"/>
      <c r="H195"/>
      <c r="I195" s="27">
        <f>-IFERROR(VLOOKUP(C195,SIRCUPA!$A$21:$H$155,8,0),0)</f>
        <v>0</v>
      </c>
      <c r="J195" s="88">
        <f>-IFERROR(VLOOKUP(C195,SIRTAC!$A$16:$H$1288,8,0),0)</f>
        <v>-416</v>
      </c>
      <c r="K195" s="88">
        <f>-IFERROR(VLOOKUP(C195,Gastos!$A$9:$J$1281,10,0),0)</f>
        <v>-1634.88</v>
      </c>
      <c r="L195" s="87">
        <f>-IFERROR(VLOOKUP(C195,IDC!$A$25:$H$1532,8,0),0)</f>
        <v>-249.6</v>
      </c>
      <c r="M195" s="122">
        <f t="shared" si="30"/>
        <v>41599.999999999993</v>
      </c>
      <c r="N195"/>
      <c r="P195" s="35">
        <f t="shared" si="31"/>
        <v>-41600</v>
      </c>
      <c r="Q195" s="66">
        <f t="shared" si="32"/>
        <v>0</v>
      </c>
    </row>
    <row r="196" spans="1:18" hidden="1">
      <c r="A196" s="1" t="s">
        <v>132</v>
      </c>
      <c r="B196" s="1" t="s">
        <v>15</v>
      </c>
      <c r="C196" s="91">
        <v>125085738014</v>
      </c>
      <c r="D196" s="3">
        <v>27182.97</v>
      </c>
      <c r="E196" s="3">
        <v>7156502.0199999996</v>
      </c>
      <c r="F196" s="35" t="s">
        <v>2750</v>
      </c>
      <c r="G196"/>
      <c r="H196"/>
      <c r="I196" s="27">
        <f>-IFERROR(VLOOKUP(C196,SIRCUPA!$A$21:$H$155,8,0),0)</f>
        <v>0</v>
      </c>
      <c r="J196" s="88">
        <f>-IFERROR(VLOOKUP(C196,SIRTAC!$A$16:$H$1288,8,0),0)</f>
        <v>-279</v>
      </c>
      <c r="K196" s="88">
        <f>-IFERROR(VLOOKUP(C196,Gastos!$A$9:$J$1281,10,0),0)</f>
        <v>-270.63</v>
      </c>
      <c r="L196" s="87">
        <f>-IFERROR(VLOOKUP(C196,IDC!$A$25:$H$1532,8,0),0)</f>
        <v>-167.4</v>
      </c>
      <c r="M196" s="122">
        <f t="shared" si="30"/>
        <v>27900.000000000004</v>
      </c>
      <c r="N196"/>
      <c r="P196" s="35">
        <f t="shared" si="31"/>
        <v>-27900</v>
      </c>
      <c r="Q196" s="66">
        <f t="shared" si="32"/>
        <v>0</v>
      </c>
    </row>
    <row r="197" spans="1:18" hidden="1">
      <c r="A197" s="1" t="s">
        <v>132</v>
      </c>
      <c r="B197" s="1" t="s">
        <v>233</v>
      </c>
      <c r="C197" s="91">
        <v>124539894925</v>
      </c>
      <c r="D197" s="3">
        <v>1365.7</v>
      </c>
      <c r="E197" s="3">
        <v>7157867.7199999997</v>
      </c>
      <c r="F197" s="2" t="s">
        <v>2750</v>
      </c>
      <c r="G197"/>
      <c r="H197"/>
      <c r="I197" s="27">
        <f>-IFERROR(VLOOKUP(C197,SIRCUPA!$A$21:$H$155,8,0),0)</f>
        <v>-20.93</v>
      </c>
      <c r="J197" s="88">
        <f>-IFERROR(VLOOKUP(C197,SIRTAC!$A$16:$H$1288,8,0),0)</f>
        <v>0</v>
      </c>
      <c r="K197" s="88">
        <f>-IFERROR(VLOOKUP(C197,Gastos!$A$9:$J$1281,10,0),0)</f>
        <v>0</v>
      </c>
      <c r="L197" s="87">
        <f>-IFERROR(VLOOKUP(C197,IDC!$A$25:$H$1532,8,0),0)</f>
        <v>-8.3699999999999992</v>
      </c>
      <c r="M197" s="122">
        <f t="shared" si="30"/>
        <v>1395</v>
      </c>
      <c r="N197"/>
      <c r="P197" s="35">
        <f t="shared" si="31"/>
        <v>-1394.9999999999998</v>
      </c>
      <c r="Q197" s="66">
        <f t="shared" si="32"/>
        <v>0</v>
      </c>
    </row>
    <row r="198" spans="1:18" hidden="1">
      <c r="A198" s="1" t="s">
        <v>132</v>
      </c>
      <c r="B198" s="1" t="s">
        <v>15</v>
      </c>
      <c r="C198" s="91">
        <v>124540015625</v>
      </c>
      <c r="D198" s="3">
        <v>23060.66</v>
      </c>
      <c r="E198" s="3">
        <v>7180928.3799999999</v>
      </c>
      <c r="F198" s="35" t="s">
        <v>2750</v>
      </c>
      <c r="G198"/>
      <c r="H198"/>
      <c r="I198" s="27">
        <f>-IFERROR(VLOOKUP(C198,SIRCUPA!$A$21:$H$155,8,0),0)</f>
        <v>0</v>
      </c>
      <c r="J198" s="88">
        <f>-IFERROR(VLOOKUP(C198,SIRTAC!$A$16:$H$1288,8,0),0)</f>
        <v>-254</v>
      </c>
      <c r="K198" s="88">
        <f>-IFERROR(VLOOKUP(C198,Gastos!$A$9:$J$1281,10,0),0)</f>
        <v>-1932.94</v>
      </c>
      <c r="L198" s="87">
        <f>-IFERROR(VLOOKUP(C198,IDC!$A$25:$H$1532,8,0),0)</f>
        <v>-152.4</v>
      </c>
      <c r="M198" s="122">
        <f t="shared" si="30"/>
        <v>25400</v>
      </c>
      <c r="N198"/>
      <c r="P198" s="35">
        <f t="shared" si="31"/>
        <v>-25400</v>
      </c>
      <c r="Q198" s="66">
        <f t="shared" si="32"/>
        <v>0</v>
      </c>
    </row>
    <row r="199" spans="1:18" hidden="1">
      <c r="A199" s="1" t="s">
        <v>132</v>
      </c>
      <c r="B199" s="1" t="s">
        <v>15</v>
      </c>
      <c r="C199" s="91">
        <v>124540352665</v>
      </c>
      <c r="D199" s="3">
        <v>35520.720000000001</v>
      </c>
      <c r="E199" s="3">
        <v>7216449.0999999996</v>
      </c>
      <c r="F199" s="35" t="s">
        <v>2750</v>
      </c>
      <c r="G199"/>
      <c r="H199"/>
      <c r="I199" s="27">
        <f>-IFERROR(VLOOKUP(C199,SIRCUPA!$A$21:$H$155,8,0),0)</f>
        <v>0</v>
      </c>
      <c r="J199" s="88">
        <f>-IFERROR(VLOOKUP(C199,SIRTAC!$A$16:$H$1288,8,0),0)</f>
        <v>-376</v>
      </c>
      <c r="K199" s="88">
        <f>-IFERROR(VLOOKUP(C199,Gastos!$A$9:$J$1281,10,0),0)</f>
        <v>-1477.68</v>
      </c>
      <c r="L199" s="87">
        <f>-IFERROR(VLOOKUP(C199,IDC!$A$25:$H$1532,8,0),0)</f>
        <v>-225.6</v>
      </c>
      <c r="M199" s="122">
        <f t="shared" si="30"/>
        <v>37600</v>
      </c>
      <c r="N199"/>
      <c r="P199" s="35">
        <f t="shared" si="31"/>
        <v>-37600</v>
      </c>
      <c r="Q199" s="66">
        <f t="shared" si="32"/>
        <v>0</v>
      </c>
    </row>
    <row r="200" spans="1:18" hidden="1">
      <c r="A200" s="1" t="s">
        <v>132</v>
      </c>
      <c r="B200" s="1" t="s">
        <v>15</v>
      </c>
      <c r="C200" s="91">
        <v>124540445571</v>
      </c>
      <c r="D200" s="3">
        <v>47838.13</v>
      </c>
      <c r="E200" s="3">
        <v>7264287.2300000004</v>
      </c>
      <c r="F200" s="35" t="s">
        <v>2750</v>
      </c>
      <c r="G200"/>
      <c r="H200"/>
      <c r="I200" s="27">
        <f>-IFERROR(VLOOKUP(C200,SIRCUPA!$A$21:$H$155,8,0),0)</f>
        <v>0</v>
      </c>
      <c r="J200" s="88">
        <f>-IFERROR(VLOOKUP(C200,SIRTAC!$A$16:$H$1288,8,0),0)</f>
        <v>-491</v>
      </c>
      <c r="K200" s="88">
        <f>-IFERROR(VLOOKUP(C200,Gastos!$A$9:$J$1281,10,0),0)</f>
        <v>-476.27</v>
      </c>
      <c r="L200" s="87">
        <f>-IFERROR(VLOOKUP(C200,IDC!$A$25:$H$1532,8,0),0)</f>
        <v>-294.60000000000002</v>
      </c>
      <c r="M200" s="122">
        <f t="shared" si="30"/>
        <v>49099.999999999993</v>
      </c>
      <c r="N200"/>
      <c r="P200" s="35">
        <f t="shared" si="31"/>
        <v>-49100</v>
      </c>
      <c r="Q200" s="66">
        <f t="shared" si="32"/>
        <v>0</v>
      </c>
    </row>
    <row r="201" spans="1:18" hidden="1">
      <c r="A201" s="1" t="s">
        <v>132</v>
      </c>
      <c r="B201" s="1" t="s">
        <v>15</v>
      </c>
      <c r="C201" s="91">
        <v>124541219739</v>
      </c>
      <c r="D201" s="3">
        <v>16910.13</v>
      </c>
      <c r="E201" s="3">
        <v>7281197.3600000003</v>
      </c>
      <c r="F201" s="35" t="s">
        <v>2750</v>
      </c>
      <c r="G201"/>
      <c r="H201"/>
      <c r="I201" s="27">
        <f>-IFERROR(VLOOKUP(C201,SIRCUPA!$A$21:$H$155,8,0),0)</f>
        <v>0</v>
      </c>
      <c r="J201" s="88">
        <f>-IFERROR(VLOOKUP(C201,SIRTAC!$A$16:$H$1288,8,0),0)</f>
        <v>-179</v>
      </c>
      <c r="K201" s="88">
        <f>-IFERROR(VLOOKUP(C201,Gastos!$A$9:$J$1281,10,0),0)</f>
        <v>-703.47</v>
      </c>
      <c r="L201" s="87">
        <f>-IFERROR(VLOOKUP(C201,IDC!$A$25:$H$1532,8,0),0)</f>
        <v>-107.4</v>
      </c>
      <c r="M201" s="122">
        <f t="shared" si="30"/>
        <v>17900.000000000004</v>
      </c>
      <c r="N201"/>
      <c r="P201" s="35">
        <f t="shared" si="31"/>
        <v>-17900</v>
      </c>
      <c r="Q201" s="66">
        <f t="shared" si="32"/>
        <v>0</v>
      </c>
    </row>
    <row r="202" spans="1:18" hidden="1">
      <c r="A202" s="1" t="s">
        <v>132</v>
      </c>
      <c r="B202" s="1" t="s">
        <v>15</v>
      </c>
      <c r="C202" s="91">
        <v>124541482575</v>
      </c>
      <c r="D202" s="3">
        <v>29191.23</v>
      </c>
      <c r="E202" s="3">
        <v>7310388.5899999999</v>
      </c>
      <c r="F202" s="35" t="s">
        <v>2750</v>
      </c>
      <c r="G202"/>
      <c r="H202"/>
      <c r="I202" s="27">
        <f>-IFERROR(VLOOKUP(C202,SIRCUPA!$A$21:$H$155,8,0),0)</f>
        <v>0</v>
      </c>
      <c r="J202" s="88">
        <f>-IFERROR(VLOOKUP(C202,SIRTAC!$A$16:$H$1288,8,0),0)</f>
        <v>-309</v>
      </c>
      <c r="K202" s="88">
        <f>-IFERROR(VLOOKUP(C202,Gastos!$A$9:$J$1281,10,0),0)</f>
        <v>-1214.3699999999999</v>
      </c>
      <c r="L202" s="87">
        <f>-IFERROR(VLOOKUP(C202,IDC!$A$25:$H$1532,8,0),0)</f>
        <v>-185.4</v>
      </c>
      <c r="M202" s="122">
        <f t="shared" si="30"/>
        <v>30900</v>
      </c>
      <c r="N202"/>
      <c r="P202" s="35">
        <f t="shared" si="31"/>
        <v>-30900</v>
      </c>
      <c r="Q202" s="66">
        <f t="shared" si="32"/>
        <v>0</v>
      </c>
    </row>
    <row r="203" spans="1:18" hidden="1">
      <c r="A203" s="1" t="s">
        <v>132</v>
      </c>
      <c r="B203" s="1" t="s">
        <v>15</v>
      </c>
      <c r="C203" s="91">
        <v>124541581193</v>
      </c>
      <c r="D203" s="3">
        <v>34634.339999999997</v>
      </c>
      <c r="E203" s="3">
        <v>7345022.9299999997</v>
      </c>
      <c r="F203" s="35" t="s">
        <v>2750</v>
      </c>
      <c r="G203"/>
      <c r="H203"/>
      <c r="I203" s="27">
        <f>-IFERROR(VLOOKUP(C203,SIRCUPA!$A$21:$H$155,8,0),0)</f>
        <v>0</v>
      </c>
      <c r="J203" s="88">
        <f>-IFERROR(VLOOKUP(C203,SIRTAC!$A$16:$H$1288,8,0),0)</f>
        <v>-369</v>
      </c>
      <c r="K203" s="88">
        <f>-IFERROR(VLOOKUP(C203,Gastos!$A$9:$J$1281,10,0),0)</f>
        <v>-1675.26</v>
      </c>
      <c r="L203" s="87">
        <f>-IFERROR(VLOOKUP(C203,IDC!$A$25:$H$1532,8,0),0)</f>
        <v>-221.4</v>
      </c>
      <c r="M203" s="122">
        <f t="shared" si="30"/>
        <v>36900</v>
      </c>
      <c r="N203"/>
      <c r="P203" s="35">
        <f t="shared" si="31"/>
        <v>-36900</v>
      </c>
      <c r="Q203" s="66">
        <f t="shared" si="32"/>
        <v>0</v>
      </c>
    </row>
    <row r="204" spans="1:18" hidden="1">
      <c r="A204" s="1" t="s">
        <v>132</v>
      </c>
      <c r="B204" s="1" t="s">
        <v>15</v>
      </c>
      <c r="C204" s="91">
        <v>125087841682</v>
      </c>
      <c r="D204" s="3">
        <v>35854.239999999998</v>
      </c>
      <c r="E204" s="3">
        <v>7380877.1699999999</v>
      </c>
      <c r="F204" s="35" t="s">
        <v>2750</v>
      </c>
      <c r="G204"/>
      <c r="H204"/>
      <c r="I204" s="27">
        <f>-IFERROR(VLOOKUP(C204,SIRCUPA!$A$21:$H$155,8,0),0)</f>
        <v>0</v>
      </c>
      <c r="J204" s="88">
        <f>-IFERROR(VLOOKUP(C204,SIRTAC!$A$16:$H$1288,8,0),0)</f>
        <v>-368</v>
      </c>
      <c r="K204" s="88">
        <f>-IFERROR(VLOOKUP(C204,Gastos!$A$9:$J$1281,10,0),0)</f>
        <v>-356.96</v>
      </c>
      <c r="L204" s="87">
        <f>-IFERROR(VLOOKUP(C204,IDC!$A$25:$H$1532,8,0),0)</f>
        <v>-220.8</v>
      </c>
      <c r="M204" s="122">
        <f t="shared" si="30"/>
        <v>36800</v>
      </c>
      <c r="N204"/>
      <c r="P204" s="35">
        <f t="shared" si="31"/>
        <v>-36800</v>
      </c>
      <c r="Q204" s="66">
        <f t="shared" si="32"/>
        <v>0</v>
      </c>
    </row>
    <row r="205" spans="1:18" hidden="1">
      <c r="A205" s="1" t="s">
        <v>132</v>
      </c>
      <c r="B205" s="1" t="s">
        <v>242</v>
      </c>
      <c r="C205" s="91">
        <v>124541947467</v>
      </c>
      <c r="D205" s="3">
        <v>3602.72</v>
      </c>
      <c r="E205" s="3">
        <v>7384479.8899999997</v>
      </c>
      <c r="F205" s="2" t="s">
        <v>2750</v>
      </c>
      <c r="G205"/>
      <c r="H205"/>
      <c r="I205" s="27">
        <f>-IFERROR(VLOOKUP(C205,SIRCUPA!$A$21:$H$155,8,0),0)</f>
        <v>-55.2</v>
      </c>
      <c r="J205" s="88">
        <f>-IFERROR(VLOOKUP(C205,SIRTAC!$A$16:$H$1288,8,0),0)</f>
        <v>0</v>
      </c>
      <c r="K205" s="88">
        <f>-IFERROR(VLOOKUP(C205,Gastos!$A$9:$J$1281,10,0),0)</f>
        <v>0</v>
      </c>
      <c r="L205" s="87">
        <f>-IFERROR(VLOOKUP(C205,IDC!$A$25:$H$1532,8,0),0)</f>
        <v>-22.08</v>
      </c>
      <c r="M205" s="122">
        <f t="shared" si="30"/>
        <v>3679.9999999999995</v>
      </c>
      <c r="N205"/>
      <c r="P205" s="35">
        <f t="shared" si="31"/>
        <v>-3679.9999999999995</v>
      </c>
      <c r="Q205" s="66">
        <f t="shared" si="32"/>
        <v>0</v>
      </c>
    </row>
    <row r="206" spans="1:18" hidden="1">
      <c r="A206" s="1" t="s">
        <v>132</v>
      </c>
      <c r="B206" s="1" t="s">
        <v>15</v>
      </c>
      <c r="C206" s="91">
        <v>124542531059</v>
      </c>
      <c r="D206" s="3">
        <v>25721.52</v>
      </c>
      <c r="E206" s="3">
        <v>7410201.4100000001</v>
      </c>
      <c r="F206" s="35" t="s">
        <v>2750</v>
      </c>
      <c r="G206"/>
      <c r="H206"/>
      <c r="I206" s="27">
        <f>-IFERROR(VLOOKUP(C206,SIRCUPA!$A$21:$H$155,8,0),0)</f>
        <v>0</v>
      </c>
      <c r="J206" s="88">
        <f>-IFERROR(VLOOKUP(C206,SIRTAC!$A$16:$H$1288,8,0),0)</f>
        <v>-264</v>
      </c>
      <c r="K206" s="88">
        <f>-IFERROR(VLOOKUP(C206,Gastos!$A$9:$J$1281,10,0),0)</f>
        <v>-256.08</v>
      </c>
      <c r="L206" s="87">
        <f>-IFERROR(VLOOKUP(C206,IDC!$A$25:$H$1532,8,0),0)</f>
        <v>-158.4</v>
      </c>
      <c r="M206" s="122">
        <f t="shared" ref="M206" si="33">+D206-I206-J206-K206-L206</f>
        <v>26400.000000000004</v>
      </c>
      <c r="N206"/>
      <c r="P206" s="35">
        <f t="shared" si="31"/>
        <v>-26400</v>
      </c>
      <c r="Q206" s="66">
        <f t="shared" si="32"/>
        <v>0</v>
      </c>
    </row>
    <row r="207" spans="1:18" hidden="1">
      <c r="A207" s="59" t="s">
        <v>529</v>
      </c>
      <c r="B207" s="59" t="s">
        <v>28</v>
      </c>
      <c r="C207" s="112">
        <v>125778500554</v>
      </c>
      <c r="D207" s="64">
        <v>-1435.64</v>
      </c>
      <c r="E207" s="3">
        <v>8389116.9800000004</v>
      </c>
      <c r="F207" s="63" t="s">
        <v>2747</v>
      </c>
      <c r="G207" s="65">
        <f>+D207/0.006</f>
        <v>-239273.33333333334</v>
      </c>
      <c r="H207" s="65"/>
      <c r="I207" s="108">
        <f>-IFERROR(VLOOKUP(C207,SIRCUPA!$A$21:$H$155,8,0),0)</f>
        <v>0</v>
      </c>
      <c r="J207" s="108">
        <f>-IFERROR(VLOOKUP(C207,SIRTAC!$A$16:$H$1288,8,0),0)</f>
        <v>0</v>
      </c>
      <c r="K207" s="108">
        <f>-IFERROR(VLOOKUP(C207,Gastos!$A$9:$J$1281,10,0),0)</f>
        <v>0</v>
      </c>
      <c r="L207" s="65">
        <f>-IFERROR(VLOOKUP(C207,IDC!$A$25:$H$1532,8,0),0)</f>
        <v>-1435.64</v>
      </c>
      <c r="M207" s="123">
        <f t="shared" ref="M207:M209" si="34">+D207</f>
        <v>-1435.64</v>
      </c>
      <c r="N207" s="65"/>
      <c r="O207" s="59"/>
      <c r="Q207" s="66">
        <f t="shared" ref="Q207:Q209" si="35">+L207</f>
        <v>-1435.64</v>
      </c>
      <c r="R207" s="66">
        <f t="shared" ref="R207:R209" si="36">+M207-Q207</f>
        <v>0</v>
      </c>
    </row>
    <row r="208" spans="1:18" hidden="1">
      <c r="A208" s="59" t="s">
        <v>712</v>
      </c>
      <c r="B208" s="59" t="s">
        <v>28</v>
      </c>
      <c r="C208" s="112">
        <v>125494013461</v>
      </c>
      <c r="D208" s="64">
        <v>-3869.4</v>
      </c>
      <c r="E208" s="3">
        <v>10886069.689999999</v>
      </c>
      <c r="F208" s="63" t="s">
        <v>2747</v>
      </c>
      <c r="G208" s="65">
        <f>+D208/0.006</f>
        <v>-644900</v>
      </c>
      <c r="H208" s="65"/>
      <c r="I208" s="108">
        <f>-IFERROR(VLOOKUP(C208,SIRCUPA!$A$21:$H$155,8,0),0)</f>
        <v>0</v>
      </c>
      <c r="J208" s="108">
        <f>-IFERROR(VLOOKUP(C208,SIRTAC!$A$16:$H$1288,8,0),0)</f>
        <v>0</v>
      </c>
      <c r="K208" s="108">
        <f>-IFERROR(VLOOKUP(C208,Gastos!$A$9:$J$1281,10,0),0)</f>
        <v>0</v>
      </c>
      <c r="L208" s="65">
        <f>-IFERROR(VLOOKUP(C208,IDC!$A$25:$H$1532,8,0),0)</f>
        <v>-3869.4</v>
      </c>
      <c r="M208" s="123">
        <f t="shared" si="34"/>
        <v>-3869.4</v>
      </c>
      <c r="N208" s="65"/>
      <c r="O208" s="59"/>
      <c r="Q208" s="66">
        <f t="shared" si="35"/>
        <v>-3869.4</v>
      </c>
      <c r="R208" s="66">
        <f t="shared" si="36"/>
        <v>0</v>
      </c>
    </row>
    <row r="209" spans="1:18" hidden="1">
      <c r="A209" s="59" t="s">
        <v>903</v>
      </c>
      <c r="B209" s="59" t="s">
        <v>28</v>
      </c>
      <c r="C209" s="112">
        <v>125715190737</v>
      </c>
      <c r="D209" s="64">
        <v>-1587.26</v>
      </c>
      <c r="E209" s="3">
        <v>12406681.08</v>
      </c>
      <c r="F209" s="63" t="s">
        <v>2747</v>
      </c>
      <c r="G209" s="65">
        <f>+D209/0.006</f>
        <v>-264543.33333333331</v>
      </c>
      <c r="H209" s="65"/>
      <c r="I209" s="108">
        <f>-IFERROR(VLOOKUP(C209,SIRCUPA!$A$21:$H$155,8,0),0)</f>
        <v>0</v>
      </c>
      <c r="J209" s="108">
        <f>-IFERROR(VLOOKUP(C209,SIRTAC!$A$16:$H$1288,8,0),0)</f>
        <v>0</v>
      </c>
      <c r="K209" s="108">
        <f>-IFERROR(VLOOKUP(C209,Gastos!$A$9:$J$1281,10,0),0)</f>
        <v>0</v>
      </c>
      <c r="L209" s="65">
        <f>-IFERROR(VLOOKUP(C209,IDC!$A$25:$H$1532,8,0),0)</f>
        <v>-1587.26</v>
      </c>
      <c r="M209" s="123">
        <f t="shared" si="34"/>
        <v>-1587.26</v>
      </c>
      <c r="N209" s="65"/>
      <c r="O209" s="59"/>
      <c r="Q209" s="66">
        <f t="shared" si="35"/>
        <v>-1587.26</v>
      </c>
      <c r="R209" s="66">
        <f t="shared" si="36"/>
        <v>0</v>
      </c>
    </row>
    <row r="210" spans="1:18" hidden="1">
      <c r="A210" s="1" t="s">
        <v>245</v>
      </c>
      <c r="B210" s="1" t="s">
        <v>15</v>
      </c>
      <c r="C210" s="91">
        <v>125088844362</v>
      </c>
      <c r="D210" s="3">
        <v>8378.98</v>
      </c>
      <c r="E210" s="3">
        <v>7418580.3899999997</v>
      </c>
      <c r="F210" s="35" t="s">
        <v>2750</v>
      </c>
      <c r="G210"/>
      <c r="H210"/>
      <c r="I210" s="27">
        <f>-IFERROR(VLOOKUP(C210,SIRCUPA!$A$21:$H$155,8,0),0)</f>
        <v>0</v>
      </c>
      <c r="J210" s="88">
        <f>-IFERROR(VLOOKUP(C210,SIRTAC!$A$16:$H$1288,8,0),0)</f>
        <v>-86</v>
      </c>
      <c r="K210" s="88">
        <f>-IFERROR(VLOOKUP(C210,Gastos!$A$9:$J$1281,10,0),0)</f>
        <v>-83.42</v>
      </c>
      <c r="L210" s="87">
        <f>-IFERROR(VLOOKUP(C210,IDC!$A$25:$H$1532,8,0),0)</f>
        <v>-51.6</v>
      </c>
      <c r="M210" s="122">
        <f t="shared" ref="M210:M241" si="37">+D210-I210-J210-K210-L210</f>
        <v>8600</v>
      </c>
      <c r="N210"/>
      <c r="P210" s="35">
        <f t="shared" ref="P210:P273" si="38">+L210/0.006</f>
        <v>-8600</v>
      </c>
      <c r="Q210" s="66">
        <f t="shared" ref="Q210:Q273" si="39">+M210+P210</f>
        <v>0</v>
      </c>
    </row>
    <row r="211" spans="1:18" hidden="1">
      <c r="A211" s="1" t="s">
        <v>245</v>
      </c>
      <c r="B211" s="1" t="s">
        <v>15</v>
      </c>
      <c r="C211" s="91">
        <v>125088894738</v>
      </c>
      <c r="D211" s="3">
        <v>12276.18</v>
      </c>
      <c r="E211" s="3">
        <v>7430856.5700000003</v>
      </c>
      <c r="F211" s="35" t="s">
        <v>2750</v>
      </c>
      <c r="G211"/>
      <c r="H211"/>
      <c r="I211" s="27">
        <f>-IFERROR(VLOOKUP(C211,SIRCUPA!$A$21:$H$155,8,0),0)</f>
        <v>0</v>
      </c>
      <c r="J211" s="88">
        <f>-IFERROR(VLOOKUP(C211,SIRTAC!$A$16:$H$1288,8,0),0)</f>
        <v>-126</v>
      </c>
      <c r="K211" s="88">
        <f>-IFERROR(VLOOKUP(C211,Gastos!$A$9:$J$1281,10,0),0)</f>
        <v>-122.22</v>
      </c>
      <c r="L211" s="87">
        <f>-IFERROR(VLOOKUP(C211,IDC!$A$25:$H$1532,8,0),0)</f>
        <v>-75.599999999999994</v>
      </c>
      <c r="M211" s="122">
        <f t="shared" si="37"/>
        <v>12600</v>
      </c>
      <c r="N211"/>
      <c r="P211" s="35">
        <f t="shared" si="38"/>
        <v>-12599.999999999998</v>
      </c>
      <c r="Q211" s="66">
        <f t="shared" si="39"/>
        <v>0</v>
      </c>
    </row>
    <row r="212" spans="1:18" hidden="1">
      <c r="A212" s="1" t="s">
        <v>245</v>
      </c>
      <c r="B212" s="1" t="s">
        <v>15</v>
      </c>
      <c r="C212" s="91">
        <v>125088899534</v>
      </c>
      <c r="D212" s="3">
        <v>33158.97</v>
      </c>
      <c r="E212" s="3">
        <v>7464015.54</v>
      </c>
      <c r="F212" s="35" t="s">
        <v>2750</v>
      </c>
      <c r="G212"/>
      <c r="H212"/>
      <c r="I212" s="27">
        <f>-IFERROR(VLOOKUP(C212,SIRCUPA!$A$21:$H$155,8,0),0)</f>
        <v>0</v>
      </c>
      <c r="J212" s="88">
        <f>-IFERROR(VLOOKUP(C212,SIRTAC!$A$16:$H$1288,8,0),0)</f>
        <v>-351</v>
      </c>
      <c r="K212" s="88">
        <f>-IFERROR(VLOOKUP(C212,Gastos!$A$9:$J$1281,10,0),0)</f>
        <v>-1379.43</v>
      </c>
      <c r="L212" s="87">
        <f>-IFERROR(VLOOKUP(C212,IDC!$A$25:$H$1532,8,0),0)</f>
        <v>-210.6</v>
      </c>
      <c r="M212" s="122">
        <f t="shared" si="37"/>
        <v>35100</v>
      </c>
      <c r="N212"/>
      <c r="P212" s="35">
        <f t="shared" si="38"/>
        <v>-35100</v>
      </c>
      <c r="Q212" s="66">
        <f t="shared" si="39"/>
        <v>0</v>
      </c>
    </row>
    <row r="213" spans="1:18" hidden="1">
      <c r="A213" s="1" t="s">
        <v>245</v>
      </c>
      <c r="B213" s="1" t="s">
        <v>15</v>
      </c>
      <c r="C213" s="91">
        <v>125088923310</v>
      </c>
      <c r="D213" s="3">
        <v>31957.040000000001</v>
      </c>
      <c r="E213" s="3">
        <v>7495972.5800000001</v>
      </c>
      <c r="F213" s="35" t="s">
        <v>2750</v>
      </c>
      <c r="G213"/>
      <c r="H213"/>
      <c r="I213" s="27">
        <f>-IFERROR(VLOOKUP(C213,SIRCUPA!$A$21:$H$155,8,0),0)</f>
        <v>0</v>
      </c>
      <c r="J213" s="88">
        <f>-IFERROR(VLOOKUP(C213,SIRTAC!$A$16:$H$1288,8,0),0)</f>
        <v>-328</v>
      </c>
      <c r="K213" s="88">
        <f>-IFERROR(VLOOKUP(C213,Gastos!$A$9:$J$1281,10,0),0)</f>
        <v>-318.16000000000003</v>
      </c>
      <c r="L213" s="87">
        <f>-IFERROR(VLOOKUP(C213,IDC!$A$25:$H$1532,8,0),0)</f>
        <v>-196.8</v>
      </c>
      <c r="M213" s="122">
        <f t="shared" si="37"/>
        <v>32800</v>
      </c>
      <c r="N213"/>
      <c r="P213" s="35">
        <f t="shared" si="38"/>
        <v>-32800</v>
      </c>
      <c r="Q213" s="66">
        <f t="shared" si="39"/>
        <v>0</v>
      </c>
    </row>
    <row r="214" spans="1:18" hidden="1">
      <c r="A214" s="1" t="s">
        <v>245</v>
      </c>
      <c r="B214" s="1" t="s">
        <v>250</v>
      </c>
      <c r="C214" s="91">
        <v>125088937092</v>
      </c>
      <c r="D214" s="3">
        <v>1605.56</v>
      </c>
      <c r="E214" s="3">
        <v>7497578.1399999997</v>
      </c>
      <c r="F214" s="2" t="s">
        <v>2750</v>
      </c>
      <c r="G214"/>
      <c r="H214"/>
      <c r="I214" s="27">
        <f>-IFERROR(VLOOKUP(C214,SIRCUPA!$A$21:$H$155,8,0),0)</f>
        <v>-24.6</v>
      </c>
      <c r="J214" s="88">
        <f>-IFERROR(VLOOKUP(C214,SIRTAC!$A$16:$H$1288,8,0),0)</f>
        <v>0</v>
      </c>
      <c r="K214" s="88">
        <f>-IFERROR(VLOOKUP(C214,Gastos!$A$9:$J$1281,10,0),0)</f>
        <v>0</v>
      </c>
      <c r="L214" s="87">
        <f>-IFERROR(VLOOKUP(C214,IDC!$A$25:$H$1532,8,0),0)</f>
        <v>-9.84</v>
      </c>
      <c r="M214" s="122">
        <f t="shared" si="37"/>
        <v>1639.9999999999998</v>
      </c>
      <c r="N214"/>
      <c r="P214" s="35">
        <f t="shared" si="38"/>
        <v>-1640</v>
      </c>
      <c r="Q214" s="66">
        <f t="shared" si="39"/>
        <v>0</v>
      </c>
    </row>
    <row r="215" spans="1:18" hidden="1">
      <c r="A215" s="1" t="s">
        <v>245</v>
      </c>
      <c r="B215" s="1" t="s">
        <v>15</v>
      </c>
      <c r="C215" s="91">
        <v>125089015400</v>
      </c>
      <c r="D215" s="3">
        <v>4161.1099999999997</v>
      </c>
      <c r="E215" s="3">
        <v>7501739.25</v>
      </c>
      <c r="F215" s="35" t="s">
        <v>2750</v>
      </c>
      <c r="G215"/>
      <c r="H215"/>
      <c r="I215" s="27">
        <f>-IFERROR(VLOOKUP(C215,SIRCUPA!$A$21:$H$155,8,0),0)</f>
        <v>0</v>
      </c>
      <c r="J215" s="88">
        <f>-IFERROR(VLOOKUP(C215,SIRTAC!$A$16:$H$1288,8,0),0)</f>
        <v>-43</v>
      </c>
      <c r="K215" s="88">
        <f>-IFERROR(VLOOKUP(C215,Gastos!$A$9:$J$1281,10,0),0)</f>
        <v>-70.09</v>
      </c>
      <c r="L215" s="87">
        <f>-IFERROR(VLOOKUP(C215,IDC!$A$25:$H$1532,8,0),0)</f>
        <v>-25.8</v>
      </c>
      <c r="M215" s="122">
        <f t="shared" si="37"/>
        <v>4300</v>
      </c>
      <c r="N215"/>
      <c r="P215" s="35">
        <f t="shared" si="38"/>
        <v>-4300</v>
      </c>
      <c r="Q215" s="66">
        <f t="shared" si="39"/>
        <v>0</v>
      </c>
    </row>
    <row r="216" spans="1:18" hidden="1">
      <c r="A216" s="1" t="s">
        <v>245</v>
      </c>
      <c r="B216" s="1" t="s">
        <v>15</v>
      </c>
      <c r="C216" s="91">
        <v>124543378311</v>
      </c>
      <c r="D216" s="3">
        <v>33675.96</v>
      </c>
      <c r="E216" s="3">
        <v>7535415.21</v>
      </c>
      <c r="F216" s="35" t="s">
        <v>2750</v>
      </c>
      <c r="G216"/>
      <c r="H216"/>
      <c r="I216" s="27">
        <f>-IFERROR(VLOOKUP(C216,SIRCUPA!$A$21:$H$155,8,0),0)</f>
        <v>0</v>
      </c>
      <c r="J216" s="88">
        <f>-IFERROR(VLOOKUP(C216,SIRTAC!$A$16:$H$1288,8,0),0)</f>
        <v>-348</v>
      </c>
      <c r="K216" s="88">
        <f>-IFERROR(VLOOKUP(C216,Gastos!$A$9:$J$1281,10,0),0)</f>
        <v>-567.24</v>
      </c>
      <c r="L216" s="87">
        <f>-IFERROR(VLOOKUP(C216,IDC!$A$25:$H$1532,8,0),0)</f>
        <v>-208.8</v>
      </c>
      <c r="M216" s="122">
        <f t="shared" si="37"/>
        <v>34800</v>
      </c>
      <c r="N216"/>
      <c r="P216" s="35">
        <f t="shared" si="38"/>
        <v>-34800</v>
      </c>
      <c r="Q216" s="66">
        <f t="shared" si="39"/>
        <v>0</v>
      </c>
    </row>
    <row r="217" spans="1:18" hidden="1">
      <c r="A217" s="1" t="s">
        <v>245</v>
      </c>
      <c r="B217" s="1" t="s">
        <v>15</v>
      </c>
      <c r="C217" s="91">
        <v>125089355560</v>
      </c>
      <c r="D217" s="3">
        <v>9060.99</v>
      </c>
      <c r="E217" s="3">
        <v>7544476.2000000002</v>
      </c>
      <c r="F217" s="35" t="s">
        <v>2750</v>
      </c>
      <c r="G217"/>
      <c r="H217"/>
      <c r="I217" s="27">
        <f>-IFERROR(VLOOKUP(C217,SIRCUPA!$A$21:$H$155,8,0),0)</f>
        <v>0</v>
      </c>
      <c r="J217" s="88">
        <f>-IFERROR(VLOOKUP(C217,SIRTAC!$A$16:$H$1288,8,0),0)</f>
        <v>-93</v>
      </c>
      <c r="K217" s="88">
        <f>-IFERROR(VLOOKUP(C217,Gastos!$A$9:$J$1281,10,0),0)</f>
        <v>-90.21</v>
      </c>
      <c r="L217" s="87">
        <f>-IFERROR(VLOOKUP(C217,IDC!$A$25:$H$1532,8,0),0)</f>
        <v>-55.8</v>
      </c>
      <c r="M217" s="122">
        <f t="shared" si="37"/>
        <v>9299.9999999999982</v>
      </c>
      <c r="N217"/>
      <c r="P217" s="35">
        <f t="shared" si="38"/>
        <v>-9300</v>
      </c>
      <c r="Q217" s="66">
        <f t="shared" si="39"/>
        <v>0</v>
      </c>
    </row>
    <row r="218" spans="1:18" hidden="1">
      <c r="A218" s="1" t="s">
        <v>245</v>
      </c>
      <c r="B218" s="1" t="s">
        <v>15</v>
      </c>
      <c r="C218" s="91">
        <v>124543543841</v>
      </c>
      <c r="D218" s="3">
        <v>46179.12</v>
      </c>
      <c r="E218" s="3">
        <v>7590655.3200000003</v>
      </c>
      <c r="F218" s="35" t="s">
        <v>2750</v>
      </c>
      <c r="G218"/>
      <c r="H218"/>
      <c r="I218" s="27">
        <f>-IFERROR(VLOOKUP(C218,SIRCUPA!$A$21:$H$155,8,0),0)</f>
        <v>0</v>
      </c>
      <c r="J218" s="88">
        <f>-IFERROR(VLOOKUP(C218,SIRTAC!$A$16:$H$1288,8,0),0)</f>
        <v>-492</v>
      </c>
      <c r="K218" s="88">
        <f>-IFERROR(VLOOKUP(C218,Gastos!$A$9:$J$1281,10,0),0)</f>
        <v>-2233.6799999999998</v>
      </c>
      <c r="L218" s="87">
        <f>-IFERROR(VLOOKUP(C218,IDC!$A$25:$H$1532,8,0),0)</f>
        <v>-295.2</v>
      </c>
      <c r="M218" s="122">
        <f t="shared" si="37"/>
        <v>49200</v>
      </c>
      <c r="N218"/>
      <c r="P218" s="35">
        <f t="shared" si="38"/>
        <v>-49200</v>
      </c>
      <c r="Q218" s="66">
        <f t="shared" si="39"/>
        <v>0</v>
      </c>
    </row>
    <row r="219" spans="1:18" hidden="1">
      <c r="A219" s="1" t="s">
        <v>245</v>
      </c>
      <c r="B219" s="1" t="s">
        <v>15</v>
      </c>
      <c r="C219" s="91">
        <v>125089683168</v>
      </c>
      <c r="D219" s="3">
        <v>44684.31</v>
      </c>
      <c r="E219" s="3">
        <v>7635339.6299999999</v>
      </c>
      <c r="F219" s="35" t="s">
        <v>2750</v>
      </c>
      <c r="G219"/>
      <c r="H219"/>
      <c r="I219" s="27">
        <f>-IFERROR(VLOOKUP(C219,SIRCUPA!$A$21:$H$155,8,0),0)</f>
        <v>0</v>
      </c>
      <c r="J219" s="88">
        <f>-IFERROR(VLOOKUP(C219,SIRTAC!$A$16:$H$1288,8,0),0)</f>
        <v>-473</v>
      </c>
      <c r="K219" s="88">
        <f>-IFERROR(VLOOKUP(C219,Gastos!$A$9:$J$1281,10,0),0)</f>
        <v>-1858.89</v>
      </c>
      <c r="L219" s="87">
        <f>-IFERROR(VLOOKUP(C219,IDC!$A$25:$H$1532,8,0),0)</f>
        <v>-283.8</v>
      </c>
      <c r="M219" s="122">
        <f t="shared" si="37"/>
        <v>47300</v>
      </c>
      <c r="N219"/>
      <c r="P219" s="35">
        <f t="shared" si="38"/>
        <v>-47300</v>
      </c>
      <c r="Q219" s="66">
        <f t="shared" si="39"/>
        <v>0</v>
      </c>
    </row>
    <row r="220" spans="1:18" hidden="1">
      <c r="A220" s="1" t="s">
        <v>245</v>
      </c>
      <c r="B220" s="1" t="s">
        <v>15</v>
      </c>
      <c r="C220" s="91">
        <v>125089938206</v>
      </c>
      <c r="D220" s="3">
        <v>24649.79</v>
      </c>
      <c r="E220" s="3">
        <v>7659989.4199999999</v>
      </c>
      <c r="F220" s="35" t="s">
        <v>2750</v>
      </c>
      <c r="G220"/>
      <c r="H220"/>
      <c r="I220" s="27">
        <f>-IFERROR(VLOOKUP(C220,SIRCUPA!$A$21:$H$155,8,0),0)</f>
        <v>0</v>
      </c>
      <c r="J220" s="88">
        <f>-IFERROR(VLOOKUP(C220,SIRTAC!$A$16:$H$1288,8,0),0)</f>
        <v>-253</v>
      </c>
      <c r="K220" s="88">
        <f>-IFERROR(VLOOKUP(C220,Gastos!$A$9:$J$1281,10,0),0)</f>
        <v>-245.41</v>
      </c>
      <c r="L220" s="87">
        <f>-IFERROR(VLOOKUP(C220,IDC!$A$25:$H$1532,8,0),0)</f>
        <v>-151.80000000000001</v>
      </c>
      <c r="M220" s="122">
        <f t="shared" si="37"/>
        <v>25300</v>
      </c>
      <c r="N220"/>
      <c r="P220" s="35">
        <f t="shared" si="38"/>
        <v>-25300</v>
      </c>
      <c r="Q220" s="66">
        <f t="shared" si="39"/>
        <v>0</v>
      </c>
    </row>
    <row r="221" spans="1:18" hidden="1">
      <c r="A221" s="1" t="s">
        <v>245</v>
      </c>
      <c r="B221" s="1" t="s">
        <v>15</v>
      </c>
      <c r="C221" s="91">
        <v>124544646101</v>
      </c>
      <c r="D221" s="3">
        <v>12178.75</v>
      </c>
      <c r="E221" s="3">
        <v>7672168.1699999999</v>
      </c>
      <c r="F221" s="35" t="s">
        <v>2750</v>
      </c>
      <c r="G221"/>
      <c r="H221"/>
      <c r="I221" s="27">
        <f>-IFERROR(VLOOKUP(C221,SIRCUPA!$A$21:$H$155,8,0),0)</f>
        <v>0</v>
      </c>
      <c r="J221" s="88">
        <f>-IFERROR(VLOOKUP(C221,SIRTAC!$A$16:$H$1288,8,0),0)</f>
        <v>-125</v>
      </c>
      <c r="K221" s="88">
        <f>-IFERROR(VLOOKUP(C221,Gastos!$A$9:$J$1281,10,0),0)</f>
        <v>-121.25</v>
      </c>
      <c r="L221" s="87">
        <f>-IFERROR(VLOOKUP(C221,IDC!$A$25:$H$1532,8,0),0)</f>
        <v>-75</v>
      </c>
      <c r="M221" s="122">
        <f t="shared" si="37"/>
        <v>12500</v>
      </c>
      <c r="N221"/>
      <c r="P221" s="35">
        <f t="shared" si="38"/>
        <v>-12500</v>
      </c>
      <c r="Q221" s="66">
        <f t="shared" si="39"/>
        <v>0</v>
      </c>
    </row>
    <row r="222" spans="1:18" hidden="1">
      <c r="A222" s="1" t="s">
        <v>245</v>
      </c>
      <c r="B222" s="1" t="s">
        <v>15</v>
      </c>
      <c r="C222" s="91">
        <v>124544677873</v>
      </c>
      <c r="D222" s="3">
        <v>66447.259999999995</v>
      </c>
      <c r="E222" s="3">
        <v>7738615.4299999997</v>
      </c>
      <c r="F222" s="35" t="s">
        <v>2750</v>
      </c>
      <c r="G222"/>
      <c r="H222"/>
      <c r="I222" s="27">
        <f>-IFERROR(VLOOKUP(C222,SIRCUPA!$A$21:$H$155,8,0),0)</f>
        <v>0</v>
      </c>
      <c r="J222" s="88">
        <f>-IFERROR(VLOOKUP(C222,SIRTAC!$A$16:$H$1288,8,0),0)</f>
        <v>-682</v>
      </c>
      <c r="K222" s="88">
        <f>-IFERROR(VLOOKUP(C222,Gastos!$A$9:$J$1281,10,0),0)</f>
        <v>-661.54</v>
      </c>
      <c r="L222" s="87">
        <f>-IFERROR(VLOOKUP(C222,IDC!$A$25:$H$1532,8,0),0)</f>
        <v>-409.2</v>
      </c>
      <c r="M222" s="122">
        <f t="shared" si="37"/>
        <v>68199.999999999985</v>
      </c>
      <c r="N222"/>
      <c r="P222" s="35">
        <f t="shared" si="38"/>
        <v>-68200</v>
      </c>
      <c r="Q222" s="66">
        <f t="shared" si="39"/>
        <v>0</v>
      </c>
    </row>
    <row r="223" spans="1:18" hidden="1">
      <c r="A223" s="1" t="s">
        <v>245</v>
      </c>
      <c r="B223" s="1" t="s">
        <v>15</v>
      </c>
      <c r="C223" s="91">
        <v>124545246125</v>
      </c>
      <c r="D223" s="3">
        <v>5163.79</v>
      </c>
      <c r="E223" s="3">
        <v>7743779.2199999997</v>
      </c>
      <c r="F223" s="35" t="s">
        <v>2750</v>
      </c>
      <c r="G223"/>
      <c r="H223"/>
      <c r="I223" s="27">
        <f>-IFERROR(VLOOKUP(C223,SIRCUPA!$A$21:$H$155,8,0),0)</f>
        <v>0</v>
      </c>
      <c r="J223" s="88">
        <f>-IFERROR(VLOOKUP(C223,SIRTAC!$A$16:$H$1288,8,0),0)</f>
        <v>-53</v>
      </c>
      <c r="K223" s="88">
        <f>-IFERROR(VLOOKUP(C223,Gastos!$A$9:$J$1281,10,0),0)</f>
        <v>-51.41</v>
      </c>
      <c r="L223" s="87">
        <f>-IFERROR(VLOOKUP(C223,IDC!$A$25:$H$1532,8,0),0)</f>
        <v>-31.8</v>
      </c>
      <c r="M223" s="122">
        <f t="shared" si="37"/>
        <v>5300</v>
      </c>
      <c r="N223"/>
      <c r="P223" s="35">
        <f t="shared" si="38"/>
        <v>-5300</v>
      </c>
      <c r="Q223" s="66">
        <f t="shared" si="39"/>
        <v>0</v>
      </c>
    </row>
    <row r="224" spans="1:18" hidden="1">
      <c r="A224" s="1" t="s">
        <v>245</v>
      </c>
      <c r="B224" s="1" t="s">
        <v>15</v>
      </c>
      <c r="C224" s="91">
        <v>125091085756</v>
      </c>
      <c r="D224" s="3">
        <v>7368.66</v>
      </c>
      <c r="E224" s="3">
        <v>7751147.8799999999</v>
      </c>
      <c r="F224" s="35" t="s">
        <v>2750</v>
      </c>
      <c r="G224"/>
      <c r="H224"/>
      <c r="I224" s="27">
        <f>-IFERROR(VLOOKUP(C224,SIRCUPA!$A$21:$H$155,8,0),0)</f>
        <v>0</v>
      </c>
      <c r="J224" s="88">
        <f>-IFERROR(VLOOKUP(C224,SIRTAC!$A$16:$H$1288,8,0),0)</f>
        <v>-78</v>
      </c>
      <c r="K224" s="88">
        <f>-IFERROR(VLOOKUP(C224,Gastos!$A$9:$J$1281,10,0),0)</f>
        <v>-306.54000000000002</v>
      </c>
      <c r="L224" s="87">
        <f>-IFERROR(VLOOKUP(C224,IDC!$A$25:$H$1532,8,0),0)</f>
        <v>-46.8</v>
      </c>
      <c r="M224" s="122">
        <f t="shared" si="37"/>
        <v>7800</v>
      </c>
      <c r="N224"/>
      <c r="P224" s="35">
        <f t="shared" si="38"/>
        <v>-7799.9999999999991</v>
      </c>
      <c r="Q224" s="66">
        <f t="shared" si="39"/>
        <v>0</v>
      </c>
    </row>
    <row r="225" spans="1:17" hidden="1">
      <c r="A225" s="1" t="s">
        <v>245</v>
      </c>
      <c r="B225" s="1" t="s">
        <v>15</v>
      </c>
      <c r="C225" s="91">
        <v>124545331721</v>
      </c>
      <c r="D225" s="3">
        <v>37126.71</v>
      </c>
      <c r="E225" s="3">
        <v>7788274.5899999999</v>
      </c>
      <c r="F225" s="35" t="s">
        <v>2750</v>
      </c>
      <c r="G225"/>
      <c r="H225"/>
      <c r="I225" s="27">
        <f>-IFERROR(VLOOKUP(C225,SIRCUPA!$A$21:$H$155,8,0),0)</f>
        <v>0</v>
      </c>
      <c r="J225" s="88">
        <f>-IFERROR(VLOOKUP(C225,SIRTAC!$A$16:$H$1288,8,0),0)</f>
        <v>-393</v>
      </c>
      <c r="K225" s="88">
        <f>-IFERROR(VLOOKUP(C225,Gastos!$A$9:$J$1281,10,0),0)</f>
        <v>-1544.49</v>
      </c>
      <c r="L225" s="87">
        <f>-IFERROR(VLOOKUP(C225,IDC!$A$25:$H$1532,8,0),0)</f>
        <v>-235.8</v>
      </c>
      <c r="M225" s="122">
        <f t="shared" si="37"/>
        <v>39300</v>
      </c>
      <c r="N225"/>
      <c r="P225" s="35">
        <f t="shared" si="38"/>
        <v>-39300</v>
      </c>
      <c r="Q225" s="66">
        <f t="shared" si="39"/>
        <v>0</v>
      </c>
    </row>
    <row r="226" spans="1:17" hidden="1">
      <c r="A226" s="1" t="s">
        <v>245</v>
      </c>
      <c r="B226" s="1" t="s">
        <v>15</v>
      </c>
      <c r="C226" s="91">
        <v>124545411795</v>
      </c>
      <c r="D226" s="3">
        <v>1838.63</v>
      </c>
      <c r="E226" s="3">
        <v>7790113.2199999997</v>
      </c>
      <c r="F226" s="35" t="s">
        <v>2750</v>
      </c>
      <c r="G226"/>
      <c r="H226"/>
      <c r="I226" s="27">
        <f>-IFERROR(VLOOKUP(C226,SIRCUPA!$A$21:$H$155,8,0),0)</f>
        <v>0</v>
      </c>
      <c r="J226" s="88">
        <f>-IFERROR(VLOOKUP(C226,SIRTAC!$A$16:$H$1288,8,0),0)</f>
        <v>-19</v>
      </c>
      <c r="K226" s="88">
        <f>-IFERROR(VLOOKUP(C226,Gastos!$A$9:$J$1281,10,0),0)</f>
        <v>-30.97</v>
      </c>
      <c r="L226" s="87">
        <f>-IFERROR(VLOOKUP(C226,IDC!$A$25:$H$1532,8,0),0)</f>
        <v>-11.4</v>
      </c>
      <c r="M226" s="122">
        <f t="shared" si="37"/>
        <v>1900.0000000000002</v>
      </c>
      <c r="N226"/>
      <c r="P226" s="35">
        <f t="shared" si="38"/>
        <v>-1900</v>
      </c>
      <c r="Q226" s="66">
        <f t="shared" si="39"/>
        <v>0</v>
      </c>
    </row>
    <row r="227" spans="1:17" hidden="1">
      <c r="A227" s="1" t="s">
        <v>245</v>
      </c>
      <c r="B227" s="1" t="s">
        <v>15</v>
      </c>
      <c r="C227" s="91">
        <v>125091553012</v>
      </c>
      <c r="D227" s="3">
        <v>4161.1099999999997</v>
      </c>
      <c r="E227" s="3">
        <v>7794274.3300000001</v>
      </c>
      <c r="F227" s="35" t="s">
        <v>2750</v>
      </c>
      <c r="G227"/>
      <c r="H227"/>
      <c r="I227" s="27">
        <f>-IFERROR(VLOOKUP(C227,SIRCUPA!$A$21:$H$155,8,0),0)</f>
        <v>0</v>
      </c>
      <c r="J227" s="88">
        <f>-IFERROR(VLOOKUP(C227,SIRTAC!$A$16:$H$1288,8,0),0)</f>
        <v>-43</v>
      </c>
      <c r="K227" s="88">
        <f>-IFERROR(VLOOKUP(C227,Gastos!$A$9:$J$1281,10,0),0)</f>
        <v>-70.09</v>
      </c>
      <c r="L227" s="87">
        <f>-IFERROR(VLOOKUP(C227,IDC!$A$25:$H$1532,8,0),0)</f>
        <v>-25.8</v>
      </c>
      <c r="M227" s="122">
        <f t="shared" si="37"/>
        <v>4300</v>
      </c>
      <c r="N227"/>
      <c r="P227" s="35">
        <f t="shared" si="38"/>
        <v>-4300</v>
      </c>
      <c r="Q227" s="66">
        <f t="shared" si="39"/>
        <v>0</v>
      </c>
    </row>
    <row r="228" spans="1:17" hidden="1">
      <c r="A228" s="1" t="s">
        <v>245</v>
      </c>
      <c r="B228" s="1" t="s">
        <v>15</v>
      </c>
      <c r="C228" s="91">
        <v>125091637502</v>
      </c>
      <c r="D228" s="3">
        <v>10327.58</v>
      </c>
      <c r="E228" s="3">
        <v>7804601.9100000001</v>
      </c>
      <c r="F228" s="35" t="s">
        <v>2750</v>
      </c>
      <c r="G228"/>
      <c r="H228"/>
      <c r="I228" s="27">
        <f>-IFERROR(VLOOKUP(C228,SIRCUPA!$A$21:$H$155,8,0),0)</f>
        <v>0</v>
      </c>
      <c r="J228" s="88">
        <f>-IFERROR(VLOOKUP(C228,SIRTAC!$A$16:$H$1288,8,0),0)</f>
        <v>-106</v>
      </c>
      <c r="K228" s="88">
        <f>-IFERROR(VLOOKUP(C228,Gastos!$A$9:$J$1281,10,0),0)</f>
        <v>-102.82</v>
      </c>
      <c r="L228" s="87">
        <f>-IFERROR(VLOOKUP(C228,IDC!$A$25:$H$1532,8,0),0)</f>
        <v>-63.6</v>
      </c>
      <c r="M228" s="122">
        <f t="shared" si="37"/>
        <v>10600</v>
      </c>
      <c r="N228"/>
      <c r="P228" s="35">
        <f t="shared" si="38"/>
        <v>-10600</v>
      </c>
      <c r="Q228" s="66">
        <f t="shared" si="39"/>
        <v>0</v>
      </c>
    </row>
    <row r="229" spans="1:17" hidden="1">
      <c r="A229" s="1" t="s">
        <v>245</v>
      </c>
      <c r="B229" s="1" t="s">
        <v>15</v>
      </c>
      <c r="C229" s="91">
        <v>125091762262</v>
      </c>
      <c r="D229" s="3">
        <v>37705.410000000003</v>
      </c>
      <c r="E229" s="3">
        <v>7842307.3200000003</v>
      </c>
      <c r="F229" s="35" t="s">
        <v>2750</v>
      </c>
      <c r="G229"/>
      <c r="H229"/>
      <c r="I229" s="27">
        <f>-IFERROR(VLOOKUP(C229,SIRCUPA!$A$21:$H$155,8,0),0)</f>
        <v>0</v>
      </c>
      <c r="J229" s="88">
        <f>-IFERROR(VLOOKUP(C229,SIRTAC!$A$16:$H$1288,8,0),0)</f>
        <v>-387</v>
      </c>
      <c r="K229" s="88">
        <f>-IFERROR(VLOOKUP(C229,Gastos!$A$9:$J$1281,10,0),0)</f>
        <v>-375.39</v>
      </c>
      <c r="L229" s="87">
        <f>-IFERROR(VLOOKUP(C229,IDC!$A$25:$H$1532,8,0),0)</f>
        <v>-232.2</v>
      </c>
      <c r="M229" s="122">
        <f t="shared" si="37"/>
        <v>38700</v>
      </c>
      <c r="N229"/>
      <c r="P229" s="35">
        <f t="shared" si="38"/>
        <v>-38700</v>
      </c>
      <c r="Q229" s="66">
        <f t="shared" si="39"/>
        <v>0</v>
      </c>
    </row>
    <row r="230" spans="1:17" hidden="1">
      <c r="A230" s="1" t="s">
        <v>245</v>
      </c>
      <c r="B230" s="1" t="s">
        <v>15</v>
      </c>
      <c r="C230" s="91">
        <v>124545895951</v>
      </c>
      <c r="D230" s="3">
        <v>3799.77</v>
      </c>
      <c r="E230" s="3">
        <v>7846107.0899999999</v>
      </c>
      <c r="F230" s="35" t="s">
        <v>2750</v>
      </c>
      <c r="G230"/>
      <c r="H230"/>
      <c r="I230" s="27">
        <f>-IFERROR(VLOOKUP(C230,SIRCUPA!$A$21:$H$155,8,0),0)</f>
        <v>0</v>
      </c>
      <c r="J230" s="88">
        <f>-IFERROR(VLOOKUP(C230,SIRTAC!$A$16:$H$1288,8,0),0)</f>
        <v>-39</v>
      </c>
      <c r="K230" s="88">
        <f>-IFERROR(VLOOKUP(C230,Gastos!$A$9:$J$1281,10,0),0)</f>
        <v>-37.83</v>
      </c>
      <c r="L230" s="87">
        <f>-IFERROR(VLOOKUP(C230,IDC!$A$25:$H$1532,8,0),0)</f>
        <v>-23.4</v>
      </c>
      <c r="M230" s="122">
        <f t="shared" si="37"/>
        <v>3900</v>
      </c>
      <c r="N230"/>
      <c r="P230" s="35">
        <f t="shared" si="38"/>
        <v>-3899.9999999999995</v>
      </c>
      <c r="Q230" s="66">
        <f t="shared" si="39"/>
        <v>0</v>
      </c>
    </row>
    <row r="231" spans="1:17" hidden="1">
      <c r="A231" s="1" t="s">
        <v>245</v>
      </c>
      <c r="B231" s="1" t="s">
        <v>15</v>
      </c>
      <c r="C231" s="91">
        <v>125091877596</v>
      </c>
      <c r="D231" s="3">
        <v>3410.05</v>
      </c>
      <c r="E231" s="3">
        <v>7849517.1399999997</v>
      </c>
      <c r="F231" s="35" t="s">
        <v>2750</v>
      </c>
      <c r="G231"/>
      <c r="H231"/>
      <c r="I231" s="27">
        <f>-IFERROR(VLOOKUP(C231,SIRCUPA!$A$21:$H$155,8,0),0)</f>
        <v>0</v>
      </c>
      <c r="J231" s="88">
        <f>-IFERROR(VLOOKUP(C231,SIRTAC!$A$16:$H$1288,8,0),0)</f>
        <v>-35</v>
      </c>
      <c r="K231" s="88">
        <f>-IFERROR(VLOOKUP(C231,Gastos!$A$9:$J$1281,10,0),0)</f>
        <v>-33.950000000000003</v>
      </c>
      <c r="L231" s="87">
        <f>-IFERROR(VLOOKUP(C231,IDC!$A$25:$H$1532,8,0),0)</f>
        <v>-21</v>
      </c>
      <c r="M231" s="122">
        <f t="shared" si="37"/>
        <v>3500</v>
      </c>
      <c r="N231"/>
      <c r="P231" s="35">
        <f t="shared" si="38"/>
        <v>-3500</v>
      </c>
      <c r="Q231" s="66">
        <f t="shared" si="39"/>
        <v>0</v>
      </c>
    </row>
    <row r="232" spans="1:17" hidden="1">
      <c r="A232" s="1" t="s">
        <v>245</v>
      </c>
      <c r="B232" s="1" t="s">
        <v>15</v>
      </c>
      <c r="C232" s="91">
        <v>124546230277</v>
      </c>
      <c r="D232" s="3">
        <v>46376.68</v>
      </c>
      <c r="E232" s="3">
        <v>7895893.8200000003</v>
      </c>
      <c r="F232" s="35" t="s">
        <v>2750</v>
      </c>
      <c r="G232"/>
      <c r="H232"/>
      <c r="I232" s="27">
        <f>-IFERROR(VLOOKUP(C232,SIRCUPA!$A$21:$H$155,8,0),0)</f>
        <v>0</v>
      </c>
      <c r="J232" s="88">
        <f>-IFERROR(VLOOKUP(C232,SIRTAC!$A$16:$H$1288,8,0),0)</f>
        <v>-476</v>
      </c>
      <c r="K232" s="88">
        <f>-IFERROR(VLOOKUP(C232,Gastos!$A$9:$J$1281,10,0),0)</f>
        <v>-461.72</v>
      </c>
      <c r="L232" s="87">
        <f>-IFERROR(VLOOKUP(C232,IDC!$A$25:$H$1532,8,0),0)</f>
        <v>-285.60000000000002</v>
      </c>
      <c r="M232" s="122">
        <f t="shared" si="37"/>
        <v>47600</v>
      </c>
      <c r="N232"/>
      <c r="P232" s="35">
        <f t="shared" si="38"/>
        <v>-47600</v>
      </c>
      <c r="Q232" s="66">
        <f t="shared" si="39"/>
        <v>0</v>
      </c>
    </row>
    <row r="233" spans="1:17" hidden="1">
      <c r="A233" s="1" t="s">
        <v>245</v>
      </c>
      <c r="B233" s="1" t="s">
        <v>270</v>
      </c>
      <c r="C233" s="91">
        <v>124546179201</v>
      </c>
      <c r="D233" s="3">
        <v>2330.02</v>
      </c>
      <c r="E233" s="3">
        <v>7898223.8399999999</v>
      </c>
      <c r="F233" s="2" t="s">
        <v>2750</v>
      </c>
      <c r="G233"/>
      <c r="H233"/>
      <c r="I233" s="27">
        <f>-IFERROR(VLOOKUP(C233,SIRCUPA!$A$21:$H$155,8,0),0)</f>
        <v>-35.700000000000003</v>
      </c>
      <c r="J233" s="88">
        <f>-IFERROR(VLOOKUP(C233,SIRTAC!$A$16:$H$1288,8,0),0)</f>
        <v>0</v>
      </c>
      <c r="K233" s="88">
        <f>-IFERROR(VLOOKUP(C233,Gastos!$A$9:$J$1281,10,0),0)</f>
        <v>0</v>
      </c>
      <c r="L233" s="87">
        <f>-IFERROR(VLOOKUP(C233,IDC!$A$25:$H$1532,8,0),0)</f>
        <v>-14.28</v>
      </c>
      <c r="M233" s="122">
        <f t="shared" si="37"/>
        <v>2380</v>
      </c>
      <c r="N233"/>
      <c r="P233" s="35">
        <f t="shared" si="38"/>
        <v>-2380</v>
      </c>
      <c r="Q233" s="66">
        <f t="shared" si="39"/>
        <v>0</v>
      </c>
    </row>
    <row r="234" spans="1:17" hidden="1">
      <c r="A234" s="1" t="s">
        <v>245</v>
      </c>
      <c r="B234" s="1" t="s">
        <v>15</v>
      </c>
      <c r="C234" s="91">
        <v>125092001900</v>
      </c>
      <c r="D234" s="3">
        <v>4384.3500000000004</v>
      </c>
      <c r="E234" s="3">
        <v>7902608.1900000004</v>
      </c>
      <c r="F234" s="35" t="s">
        <v>2750</v>
      </c>
      <c r="G234"/>
      <c r="H234"/>
      <c r="I234" s="27">
        <f>-IFERROR(VLOOKUP(C234,SIRCUPA!$A$21:$H$155,8,0),0)</f>
        <v>0</v>
      </c>
      <c r="J234" s="88">
        <f>-IFERROR(VLOOKUP(C234,SIRTAC!$A$16:$H$1288,8,0),0)</f>
        <v>-45</v>
      </c>
      <c r="K234" s="88">
        <f>-IFERROR(VLOOKUP(C234,Gastos!$A$9:$J$1281,10,0),0)</f>
        <v>-43.65</v>
      </c>
      <c r="L234" s="87">
        <f>-IFERROR(VLOOKUP(C234,IDC!$A$25:$H$1532,8,0),0)</f>
        <v>-27</v>
      </c>
      <c r="M234" s="122">
        <f t="shared" si="37"/>
        <v>4500</v>
      </c>
      <c r="N234"/>
      <c r="P234" s="35">
        <f t="shared" si="38"/>
        <v>-4500</v>
      </c>
      <c r="Q234" s="66">
        <f t="shared" si="39"/>
        <v>0</v>
      </c>
    </row>
    <row r="235" spans="1:17" hidden="1">
      <c r="A235" s="1" t="s">
        <v>245</v>
      </c>
      <c r="B235" s="1" t="s">
        <v>15</v>
      </c>
      <c r="C235" s="91">
        <v>125092236130</v>
      </c>
      <c r="D235" s="3">
        <v>8573.84</v>
      </c>
      <c r="E235" s="3">
        <v>7911182.0300000003</v>
      </c>
      <c r="F235" s="35" t="s">
        <v>2750</v>
      </c>
      <c r="G235"/>
      <c r="H235"/>
      <c r="I235" s="27">
        <f>-IFERROR(VLOOKUP(C235,SIRCUPA!$A$21:$H$155,8,0),0)</f>
        <v>0</v>
      </c>
      <c r="J235" s="88">
        <f>-IFERROR(VLOOKUP(C235,SIRTAC!$A$16:$H$1288,8,0),0)</f>
        <v>-88</v>
      </c>
      <c r="K235" s="88">
        <f>-IFERROR(VLOOKUP(C235,Gastos!$A$9:$J$1281,10,0),0)</f>
        <v>-85.36</v>
      </c>
      <c r="L235" s="87">
        <f>-IFERROR(VLOOKUP(C235,IDC!$A$25:$H$1532,8,0),0)</f>
        <v>-52.8</v>
      </c>
      <c r="M235" s="122">
        <f t="shared" si="37"/>
        <v>8800</v>
      </c>
      <c r="N235"/>
      <c r="P235" s="35">
        <f t="shared" si="38"/>
        <v>-8800</v>
      </c>
      <c r="Q235" s="66">
        <f t="shared" si="39"/>
        <v>0</v>
      </c>
    </row>
    <row r="236" spans="1:17" hidden="1">
      <c r="A236" s="1" t="s">
        <v>245</v>
      </c>
      <c r="B236" s="1" t="s">
        <v>15</v>
      </c>
      <c r="C236" s="91">
        <v>124546385021</v>
      </c>
      <c r="D236" s="3">
        <v>5163.79</v>
      </c>
      <c r="E236" s="3">
        <v>7916345.8200000003</v>
      </c>
      <c r="F236" s="35" t="s">
        <v>2750</v>
      </c>
      <c r="G236"/>
      <c r="H236"/>
      <c r="I236" s="27">
        <f>-IFERROR(VLOOKUP(C236,SIRCUPA!$A$21:$H$155,8,0),0)</f>
        <v>0</v>
      </c>
      <c r="J236" s="88">
        <f>-IFERROR(VLOOKUP(C236,SIRTAC!$A$16:$H$1288,8,0),0)</f>
        <v>-53</v>
      </c>
      <c r="K236" s="88">
        <f>-IFERROR(VLOOKUP(C236,Gastos!$A$9:$J$1281,10,0),0)</f>
        <v>-51.41</v>
      </c>
      <c r="L236" s="87">
        <f>-IFERROR(VLOOKUP(C236,IDC!$A$25:$H$1532,8,0),0)</f>
        <v>-31.8</v>
      </c>
      <c r="M236" s="122">
        <f t="shared" si="37"/>
        <v>5300</v>
      </c>
      <c r="N236"/>
      <c r="P236" s="35">
        <f t="shared" si="38"/>
        <v>-5300</v>
      </c>
      <c r="Q236" s="66">
        <f t="shared" si="39"/>
        <v>0</v>
      </c>
    </row>
    <row r="237" spans="1:17" hidden="1">
      <c r="A237" s="1" t="s">
        <v>245</v>
      </c>
      <c r="B237" s="1" t="s">
        <v>15</v>
      </c>
      <c r="C237" s="91">
        <v>125092458496</v>
      </c>
      <c r="D237" s="3">
        <v>99287.97</v>
      </c>
      <c r="E237" s="3">
        <v>8015633.79</v>
      </c>
      <c r="F237" s="35" t="s">
        <v>2750</v>
      </c>
      <c r="G237"/>
      <c r="H237"/>
      <c r="I237" s="27">
        <f>-IFERROR(VLOOKUP(C237,SIRCUPA!$A$21:$H$155,8,0),0)</f>
        <v>0</v>
      </c>
      <c r="J237" s="88">
        <f>-IFERROR(VLOOKUP(C237,SIRTAC!$A$16:$H$1288,8,0),0)</f>
        <v>-1051</v>
      </c>
      <c r="K237" s="88">
        <f>-IFERROR(VLOOKUP(C237,Gastos!$A$9:$J$1281,10,0),0)</f>
        <v>-4130.43</v>
      </c>
      <c r="L237" s="87">
        <f>-IFERROR(VLOOKUP(C237,IDC!$A$25:$H$1532,8,0),0)</f>
        <v>-630.6</v>
      </c>
      <c r="M237" s="122">
        <f t="shared" si="37"/>
        <v>105100</v>
      </c>
      <c r="N237"/>
      <c r="P237" s="35">
        <f t="shared" si="38"/>
        <v>-105100</v>
      </c>
      <c r="Q237" s="66">
        <f t="shared" si="39"/>
        <v>0</v>
      </c>
    </row>
    <row r="238" spans="1:17" hidden="1">
      <c r="A238" s="1" t="s">
        <v>245</v>
      </c>
      <c r="B238" s="1" t="s">
        <v>15</v>
      </c>
      <c r="C238" s="91">
        <v>125092611780</v>
      </c>
      <c r="D238" s="3">
        <v>12568.47</v>
      </c>
      <c r="E238" s="3">
        <v>8028202.2599999998</v>
      </c>
      <c r="F238" s="35" t="s">
        <v>2750</v>
      </c>
      <c r="G238"/>
      <c r="H238"/>
      <c r="I238" s="27">
        <f>-IFERROR(VLOOKUP(C238,SIRCUPA!$A$21:$H$155,8,0),0)</f>
        <v>0</v>
      </c>
      <c r="J238" s="88">
        <f>-IFERROR(VLOOKUP(C238,SIRTAC!$A$16:$H$1288,8,0),0)</f>
        <v>-129</v>
      </c>
      <c r="K238" s="88">
        <f>-IFERROR(VLOOKUP(C238,Gastos!$A$9:$J$1281,10,0),0)</f>
        <v>-125.13</v>
      </c>
      <c r="L238" s="87">
        <f>-IFERROR(VLOOKUP(C238,IDC!$A$25:$H$1532,8,0),0)</f>
        <v>-77.400000000000006</v>
      </c>
      <c r="M238" s="122">
        <f t="shared" si="37"/>
        <v>12899.999999999998</v>
      </c>
      <c r="N238"/>
      <c r="P238" s="35">
        <f t="shared" si="38"/>
        <v>-12900</v>
      </c>
      <c r="Q238" s="66">
        <f t="shared" si="39"/>
        <v>0</v>
      </c>
    </row>
    <row r="239" spans="1:17" hidden="1">
      <c r="A239" s="1" t="s">
        <v>245</v>
      </c>
      <c r="B239" s="1" t="s">
        <v>15</v>
      </c>
      <c r="C239" s="91">
        <v>125092695218</v>
      </c>
      <c r="D239" s="3">
        <v>26073.72</v>
      </c>
      <c r="E239" s="3">
        <v>8054275.9800000004</v>
      </c>
      <c r="F239" s="35" t="s">
        <v>2750</v>
      </c>
      <c r="G239"/>
      <c r="H239"/>
      <c r="I239" s="27">
        <f>-IFERROR(VLOOKUP(C239,SIRCUPA!$A$21:$H$155,8,0),0)</f>
        <v>0</v>
      </c>
      <c r="J239" s="88">
        <f>-IFERROR(VLOOKUP(C239,SIRTAC!$A$16:$H$1288,8,0),0)</f>
        <v>-276</v>
      </c>
      <c r="K239" s="88">
        <f>-IFERROR(VLOOKUP(C239,Gastos!$A$9:$J$1281,10,0),0)</f>
        <v>-1084.68</v>
      </c>
      <c r="L239" s="87">
        <f>-IFERROR(VLOOKUP(C239,IDC!$A$25:$H$1532,8,0),0)</f>
        <v>-165.6</v>
      </c>
      <c r="M239" s="122">
        <f t="shared" si="37"/>
        <v>27600</v>
      </c>
      <c r="N239"/>
      <c r="P239" s="35">
        <f t="shared" si="38"/>
        <v>-27600</v>
      </c>
      <c r="Q239" s="66">
        <f t="shared" si="39"/>
        <v>0</v>
      </c>
    </row>
    <row r="240" spans="1:17" hidden="1">
      <c r="A240" s="1" t="s">
        <v>245</v>
      </c>
      <c r="B240" s="1" t="s">
        <v>15</v>
      </c>
      <c r="C240" s="91">
        <v>125092821398</v>
      </c>
      <c r="D240" s="3">
        <v>26750.1</v>
      </c>
      <c r="E240" s="3">
        <v>8081026.0800000001</v>
      </c>
      <c r="F240" s="35" t="s">
        <v>2750</v>
      </c>
      <c r="G240"/>
      <c r="H240"/>
      <c r="I240" s="27">
        <f>-IFERROR(VLOOKUP(C240,SIRCUPA!$A$21:$H$155,8,0),0)</f>
        <v>0</v>
      </c>
      <c r="J240" s="88">
        <f>-IFERROR(VLOOKUP(C240,SIRTAC!$A$16:$H$1288,8,0),0)</f>
        <v>-285</v>
      </c>
      <c r="K240" s="88">
        <f>-IFERROR(VLOOKUP(C240,Gastos!$A$9:$J$1281,10,0),0)</f>
        <v>-1293.9000000000001</v>
      </c>
      <c r="L240" s="87">
        <f>-IFERROR(VLOOKUP(C240,IDC!$A$25:$H$1532,8,0),0)</f>
        <v>-171</v>
      </c>
      <c r="M240" s="122">
        <f t="shared" si="37"/>
        <v>28500</v>
      </c>
      <c r="N240"/>
      <c r="P240" s="35">
        <f t="shared" si="38"/>
        <v>-28500</v>
      </c>
      <c r="Q240" s="66">
        <f t="shared" si="39"/>
        <v>0</v>
      </c>
    </row>
    <row r="241" spans="1:17" hidden="1">
      <c r="A241" s="1" t="s">
        <v>245</v>
      </c>
      <c r="B241" s="1" t="s">
        <v>15</v>
      </c>
      <c r="C241" s="91">
        <v>124546985255</v>
      </c>
      <c r="D241" s="2">
        <v>563.16</v>
      </c>
      <c r="E241" s="3">
        <v>8081589.2400000002</v>
      </c>
      <c r="F241" s="35" t="s">
        <v>2750</v>
      </c>
      <c r="G241"/>
      <c r="H241"/>
      <c r="I241" s="27">
        <f>-IFERROR(VLOOKUP(C241,SIRCUPA!$A$21:$H$155,8,0),0)</f>
        <v>0</v>
      </c>
      <c r="J241" s="88">
        <f>-IFERROR(VLOOKUP(C241,SIRTAC!$A$16:$H$1288,8,0),0)</f>
        <v>-6</v>
      </c>
      <c r="K241" s="88">
        <f>-IFERROR(VLOOKUP(C241,Gastos!$A$9:$J$1281,10,0),0)</f>
        <v>-27.24</v>
      </c>
      <c r="L241" s="87">
        <f>-IFERROR(VLOOKUP(C241,IDC!$A$25:$H$1532,8,0),0)</f>
        <v>-3.6</v>
      </c>
      <c r="M241" s="122">
        <f t="shared" si="37"/>
        <v>600</v>
      </c>
      <c r="N241"/>
      <c r="P241" s="35">
        <f t="shared" si="38"/>
        <v>-600</v>
      </c>
      <c r="Q241" s="66">
        <f t="shared" si="39"/>
        <v>0</v>
      </c>
    </row>
    <row r="242" spans="1:17" hidden="1">
      <c r="A242" s="1" t="s">
        <v>245</v>
      </c>
      <c r="B242" s="1" t="s">
        <v>15</v>
      </c>
      <c r="C242" s="91">
        <v>124547012843</v>
      </c>
      <c r="D242" s="3">
        <v>31912.400000000001</v>
      </c>
      <c r="E242" s="3">
        <v>8113501.6399999997</v>
      </c>
      <c r="F242" s="35" t="s">
        <v>2750</v>
      </c>
      <c r="G242"/>
      <c r="H242"/>
      <c r="I242" s="27">
        <f>-IFERROR(VLOOKUP(C242,SIRCUPA!$A$21:$H$155,8,0),0)</f>
        <v>0</v>
      </c>
      <c r="J242" s="88">
        <f>-IFERROR(VLOOKUP(C242,SIRTAC!$A$16:$H$1288,8,0),0)</f>
        <v>-340</v>
      </c>
      <c r="K242" s="88">
        <f>-IFERROR(VLOOKUP(C242,Gastos!$A$9:$J$1281,10,0),0)</f>
        <v>-1543.6</v>
      </c>
      <c r="L242" s="87">
        <f>-IFERROR(VLOOKUP(C242,IDC!$A$25:$H$1532,8,0),0)</f>
        <v>-204</v>
      </c>
      <c r="M242" s="122">
        <f t="shared" ref="M242:M273" si="40">+D242-I242-J242-K242-L242</f>
        <v>34000</v>
      </c>
      <c r="N242"/>
      <c r="P242" s="35">
        <f t="shared" si="38"/>
        <v>-34000</v>
      </c>
      <c r="Q242" s="66">
        <f t="shared" si="39"/>
        <v>0</v>
      </c>
    </row>
    <row r="243" spans="1:17" hidden="1">
      <c r="A243" s="1" t="s">
        <v>245</v>
      </c>
      <c r="B243" s="1" t="s">
        <v>15</v>
      </c>
      <c r="C243" s="91">
        <v>125093009032</v>
      </c>
      <c r="D243" s="3">
        <v>15393.94</v>
      </c>
      <c r="E243" s="3">
        <v>8128895.5800000001</v>
      </c>
      <c r="F243" s="35" t="s">
        <v>2750</v>
      </c>
      <c r="G243"/>
      <c r="H243"/>
      <c r="I243" s="27">
        <f>-IFERROR(VLOOKUP(C243,SIRCUPA!$A$21:$H$155,8,0),0)</f>
        <v>0</v>
      </c>
      <c r="J243" s="88">
        <f>-IFERROR(VLOOKUP(C243,SIRTAC!$A$16:$H$1288,8,0),0)</f>
        <v>-158</v>
      </c>
      <c r="K243" s="88">
        <f>-IFERROR(VLOOKUP(C243,Gastos!$A$9:$J$1281,10,0),0)</f>
        <v>-153.26</v>
      </c>
      <c r="L243" s="87">
        <f>-IFERROR(VLOOKUP(C243,IDC!$A$25:$H$1532,8,0),0)</f>
        <v>-94.8</v>
      </c>
      <c r="M243" s="122">
        <f t="shared" si="40"/>
        <v>15800</v>
      </c>
      <c r="N243"/>
      <c r="P243" s="35">
        <f t="shared" si="38"/>
        <v>-15800</v>
      </c>
      <c r="Q243" s="66">
        <f t="shared" si="39"/>
        <v>0</v>
      </c>
    </row>
    <row r="244" spans="1:17" hidden="1">
      <c r="A244" s="1" t="s">
        <v>245</v>
      </c>
      <c r="B244" s="1" t="s">
        <v>15</v>
      </c>
      <c r="C244" s="91">
        <v>125093118136</v>
      </c>
      <c r="D244" s="3">
        <v>14614.5</v>
      </c>
      <c r="E244" s="3">
        <v>8143510.0800000001</v>
      </c>
      <c r="F244" s="35" t="s">
        <v>2750</v>
      </c>
      <c r="G244"/>
      <c r="H244"/>
      <c r="I244" s="27">
        <f>-IFERROR(VLOOKUP(C244,SIRCUPA!$A$21:$H$155,8,0),0)</f>
        <v>0</v>
      </c>
      <c r="J244" s="88">
        <f>-IFERROR(VLOOKUP(C244,SIRTAC!$A$16:$H$1288,8,0),0)</f>
        <v>-150</v>
      </c>
      <c r="K244" s="88">
        <f>-IFERROR(VLOOKUP(C244,Gastos!$A$9:$J$1281,10,0),0)</f>
        <v>-145.5</v>
      </c>
      <c r="L244" s="87">
        <f>-IFERROR(VLOOKUP(C244,IDC!$A$25:$H$1532,8,0),0)</f>
        <v>-90</v>
      </c>
      <c r="M244" s="122">
        <f t="shared" si="40"/>
        <v>15000</v>
      </c>
      <c r="N244"/>
      <c r="P244" s="35">
        <f t="shared" si="38"/>
        <v>-15000</v>
      </c>
      <c r="Q244" s="66">
        <f t="shared" si="39"/>
        <v>0</v>
      </c>
    </row>
    <row r="245" spans="1:17" hidden="1">
      <c r="A245" s="1" t="s">
        <v>245</v>
      </c>
      <c r="B245" s="1" t="s">
        <v>15</v>
      </c>
      <c r="C245" s="91">
        <v>125093285044</v>
      </c>
      <c r="D245" s="3">
        <v>8124.42</v>
      </c>
      <c r="E245" s="3">
        <v>8151634.5</v>
      </c>
      <c r="F245" s="35" t="s">
        <v>2750</v>
      </c>
      <c r="G245"/>
      <c r="H245"/>
      <c r="I245" s="27">
        <f>-IFERROR(VLOOKUP(C245,SIRCUPA!$A$21:$H$155,8,0),0)</f>
        <v>0</v>
      </c>
      <c r="J245" s="88">
        <f>-IFERROR(VLOOKUP(C245,SIRTAC!$A$16:$H$1288,8,0),0)</f>
        <v>-86</v>
      </c>
      <c r="K245" s="88">
        <f>-IFERROR(VLOOKUP(C245,Gastos!$A$9:$J$1281,10,0),0)</f>
        <v>-337.98</v>
      </c>
      <c r="L245" s="87">
        <f>-IFERROR(VLOOKUP(C245,IDC!$A$25:$H$1532,8,0),0)</f>
        <v>-51.6</v>
      </c>
      <c r="M245" s="122">
        <f t="shared" si="40"/>
        <v>8600</v>
      </c>
      <c r="N245"/>
      <c r="P245" s="35">
        <f t="shared" si="38"/>
        <v>-8600</v>
      </c>
      <c r="Q245" s="66">
        <f t="shared" si="39"/>
        <v>0</v>
      </c>
    </row>
    <row r="246" spans="1:17" hidden="1">
      <c r="A246" s="1" t="s">
        <v>245</v>
      </c>
      <c r="B246" s="1" t="s">
        <v>15</v>
      </c>
      <c r="C246" s="91">
        <v>124547549785</v>
      </c>
      <c r="D246" s="3">
        <v>58665.87</v>
      </c>
      <c r="E246" s="3">
        <v>8210300.3700000001</v>
      </c>
      <c r="F246" s="35" t="s">
        <v>2750</v>
      </c>
      <c r="G246"/>
      <c r="H246"/>
      <c r="I246" s="27">
        <f>-IFERROR(VLOOKUP(C246,SIRCUPA!$A$21:$H$155,8,0),0)</f>
        <v>0</v>
      </c>
      <c r="J246" s="88">
        <f>-IFERROR(VLOOKUP(C246,SIRTAC!$A$16:$H$1288,8,0),0)</f>
        <v>-621</v>
      </c>
      <c r="K246" s="88">
        <f>-IFERROR(VLOOKUP(C246,Gastos!$A$9:$J$1281,10,0),0)</f>
        <v>-2440.5300000000002</v>
      </c>
      <c r="L246" s="87">
        <f>-IFERROR(VLOOKUP(C246,IDC!$A$25:$H$1532,8,0),0)</f>
        <v>-372.6</v>
      </c>
      <c r="M246" s="122">
        <f t="shared" si="40"/>
        <v>62100</v>
      </c>
      <c r="N246"/>
      <c r="P246" s="35">
        <f t="shared" si="38"/>
        <v>-62100</v>
      </c>
      <c r="Q246" s="66">
        <f t="shared" si="39"/>
        <v>0</v>
      </c>
    </row>
    <row r="247" spans="1:17" hidden="1">
      <c r="A247" s="1" t="s">
        <v>245</v>
      </c>
      <c r="B247" s="1" t="s">
        <v>15</v>
      </c>
      <c r="C247" s="91">
        <v>124547797645</v>
      </c>
      <c r="D247" s="3">
        <v>46571.54</v>
      </c>
      <c r="E247" s="3">
        <v>8256871.9100000001</v>
      </c>
      <c r="F247" s="35" t="s">
        <v>2750</v>
      </c>
      <c r="G247"/>
      <c r="H247"/>
      <c r="I247" s="27">
        <f>-IFERROR(VLOOKUP(C247,SIRCUPA!$A$21:$H$155,8,0),0)</f>
        <v>0</v>
      </c>
      <c r="J247" s="88">
        <f>-IFERROR(VLOOKUP(C247,SIRTAC!$A$16:$H$1288,8,0),0)</f>
        <v>-478</v>
      </c>
      <c r="K247" s="88">
        <f>-IFERROR(VLOOKUP(C247,Gastos!$A$9:$J$1281,10,0),0)</f>
        <v>-463.66</v>
      </c>
      <c r="L247" s="87">
        <f>-IFERROR(VLOOKUP(C247,IDC!$A$25:$H$1532,8,0),0)</f>
        <v>-286.8</v>
      </c>
      <c r="M247" s="122">
        <f t="shared" si="40"/>
        <v>47800.000000000007</v>
      </c>
      <c r="N247"/>
      <c r="P247" s="35">
        <f t="shared" si="38"/>
        <v>-47800</v>
      </c>
      <c r="Q247" s="66">
        <f t="shared" si="39"/>
        <v>0</v>
      </c>
    </row>
    <row r="248" spans="1:17" hidden="1">
      <c r="A248" s="1" t="s">
        <v>245</v>
      </c>
      <c r="B248" s="1" t="s">
        <v>286</v>
      </c>
      <c r="C248" s="91">
        <v>125093603866</v>
      </c>
      <c r="D248" s="3">
        <v>4679.62</v>
      </c>
      <c r="E248" s="3">
        <v>8261551.5300000003</v>
      </c>
      <c r="F248" s="2" t="s">
        <v>2750</v>
      </c>
      <c r="G248"/>
      <c r="H248"/>
      <c r="I248" s="27">
        <f>-IFERROR(VLOOKUP(C248,SIRCUPA!$A$21:$H$155,8,0),0)</f>
        <v>-71.7</v>
      </c>
      <c r="J248" s="88">
        <f>-IFERROR(VLOOKUP(C248,SIRTAC!$A$16:$H$1288,8,0),0)</f>
        <v>0</v>
      </c>
      <c r="K248" s="88">
        <f>-IFERROR(VLOOKUP(C248,Gastos!$A$9:$J$1281,10,0),0)</f>
        <v>0</v>
      </c>
      <c r="L248" s="87">
        <f>-IFERROR(VLOOKUP(C248,IDC!$A$25:$H$1532,8,0),0)</f>
        <v>-28.68</v>
      </c>
      <c r="M248" s="122">
        <f t="shared" si="40"/>
        <v>4780</v>
      </c>
      <c r="N248"/>
      <c r="P248" s="35">
        <f t="shared" si="38"/>
        <v>-4780</v>
      </c>
      <c r="Q248" s="66">
        <f t="shared" si="39"/>
        <v>0</v>
      </c>
    </row>
    <row r="249" spans="1:17" hidden="1">
      <c r="A249" s="1" t="s">
        <v>245</v>
      </c>
      <c r="B249" s="1" t="s">
        <v>15</v>
      </c>
      <c r="C249" s="91">
        <v>125093625960</v>
      </c>
      <c r="D249" s="3">
        <v>25721.52</v>
      </c>
      <c r="E249" s="3">
        <v>8287273.0499999998</v>
      </c>
      <c r="F249" s="35" t="s">
        <v>2750</v>
      </c>
      <c r="G249"/>
      <c r="H249"/>
      <c r="I249" s="27">
        <f>-IFERROR(VLOOKUP(C249,SIRCUPA!$A$21:$H$155,8,0),0)</f>
        <v>0</v>
      </c>
      <c r="J249" s="88">
        <f>-IFERROR(VLOOKUP(C249,SIRTAC!$A$16:$H$1288,8,0),0)</f>
        <v>-264</v>
      </c>
      <c r="K249" s="88">
        <f>-IFERROR(VLOOKUP(C249,Gastos!$A$9:$J$1281,10,0),0)</f>
        <v>-256.08</v>
      </c>
      <c r="L249" s="87">
        <f>-IFERROR(VLOOKUP(C249,IDC!$A$25:$H$1532,8,0),0)</f>
        <v>-158.4</v>
      </c>
      <c r="M249" s="122">
        <f t="shared" si="40"/>
        <v>26400.000000000004</v>
      </c>
      <c r="N249"/>
      <c r="P249" s="35">
        <f t="shared" si="38"/>
        <v>-26400</v>
      </c>
      <c r="Q249" s="66">
        <f t="shared" si="39"/>
        <v>0</v>
      </c>
    </row>
    <row r="250" spans="1:17" hidden="1">
      <c r="A250" s="1" t="s">
        <v>245</v>
      </c>
      <c r="B250" s="1" t="s">
        <v>15</v>
      </c>
      <c r="C250" s="91">
        <v>125093790872</v>
      </c>
      <c r="D250" s="3">
        <v>11789.03</v>
      </c>
      <c r="E250" s="3">
        <v>8299062.0800000001</v>
      </c>
      <c r="F250" s="35" t="s">
        <v>2750</v>
      </c>
      <c r="G250"/>
      <c r="H250"/>
      <c r="I250" s="27">
        <f>-IFERROR(VLOOKUP(C250,SIRCUPA!$A$21:$H$155,8,0),0)</f>
        <v>0</v>
      </c>
      <c r="J250" s="88">
        <f>-IFERROR(VLOOKUP(C250,SIRTAC!$A$16:$H$1288,8,0),0)</f>
        <v>-121</v>
      </c>
      <c r="K250" s="88">
        <f>-IFERROR(VLOOKUP(C250,Gastos!$A$9:$J$1281,10,0),0)</f>
        <v>-117.37</v>
      </c>
      <c r="L250" s="87">
        <f>-IFERROR(VLOOKUP(C250,IDC!$A$25:$H$1532,8,0),0)</f>
        <v>-72.599999999999994</v>
      </c>
      <c r="M250" s="122">
        <f t="shared" si="40"/>
        <v>12100.000000000002</v>
      </c>
      <c r="N250"/>
      <c r="P250" s="35">
        <f t="shared" si="38"/>
        <v>-12099.999999999998</v>
      </c>
      <c r="Q250" s="66">
        <f t="shared" si="39"/>
        <v>0</v>
      </c>
    </row>
    <row r="251" spans="1:17" hidden="1">
      <c r="A251" s="1" t="s">
        <v>245</v>
      </c>
      <c r="B251" s="1" t="s">
        <v>15</v>
      </c>
      <c r="C251" s="91">
        <v>124548093551</v>
      </c>
      <c r="D251" s="3">
        <v>8999.61</v>
      </c>
      <c r="E251" s="3">
        <v>8308061.6900000004</v>
      </c>
      <c r="F251" s="35" t="s">
        <v>2750</v>
      </c>
      <c r="G251"/>
      <c r="H251"/>
      <c r="I251" s="27">
        <f>-IFERROR(VLOOKUP(C251,SIRCUPA!$A$21:$H$155,8,0),0)</f>
        <v>0</v>
      </c>
      <c r="J251" s="88">
        <f>-IFERROR(VLOOKUP(C251,SIRTAC!$A$16:$H$1288,8,0),0)</f>
        <v>-93</v>
      </c>
      <c r="K251" s="88">
        <f>-IFERROR(VLOOKUP(C251,Gastos!$A$9:$J$1281,10,0),0)</f>
        <v>-151.59</v>
      </c>
      <c r="L251" s="87">
        <f>-IFERROR(VLOOKUP(C251,IDC!$A$25:$H$1532,8,0),0)</f>
        <v>-55.8</v>
      </c>
      <c r="M251" s="122">
        <f t="shared" si="40"/>
        <v>9300</v>
      </c>
      <c r="N251"/>
      <c r="P251" s="35">
        <f t="shared" si="38"/>
        <v>-9300</v>
      </c>
      <c r="Q251" s="66">
        <f t="shared" si="39"/>
        <v>0</v>
      </c>
    </row>
    <row r="252" spans="1:17" hidden="1">
      <c r="A252" s="1" t="s">
        <v>245</v>
      </c>
      <c r="B252" s="1" t="s">
        <v>15</v>
      </c>
      <c r="C252" s="91">
        <v>125093963730</v>
      </c>
      <c r="D252" s="3">
        <v>9353.2800000000007</v>
      </c>
      <c r="E252" s="3">
        <v>8317414.9699999997</v>
      </c>
      <c r="F252" s="35" t="s">
        <v>2750</v>
      </c>
      <c r="G252"/>
      <c r="H252"/>
      <c r="I252" s="27">
        <f>-IFERROR(VLOOKUP(C252,SIRCUPA!$A$21:$H$155,8,0),0)</f>
        <v>0</v>
      </c>
      <c r="J252" s="88">
        <f>-IFERROR(VLOOKUP(C252,SIRTAC!$A$16:$H$1288,8,0),0)</f>
        <v>-96</v>
      </c>
      <c r="K252" s="88">
        <f>-IFERROR(VLOOKUP(C252,Gastos!$A$9:$J$1281,10,0),0)</f>
        <v>-93.12</v>
      </c>
      <c r="L252" s="87">
        <f>-IFERROR(VLOOKUP(C252,IDC!$A$25:$H$1532,8,0),0)</f>
        <v>-57.6</v>
      </c>
      <c r="M252" s="122">
        <f t="shared" si="40"/>
        <v>9600.0000000000018</v>
      </c>
      <c r="N252"/>
      <c r="P252" s="35">
        <f t="shared" si="38"/>
        <v>-9600</v>
      </c>
      <c r="Q252" s="66">
        <f t="shared" si="39"/>
        <v>0</v>
      </c>
    </row>
    <row r="253" spans="1:17" hidden="1">
      <c r="A253" s="1" t="s">
        <v>245</v>
      </c>
      <c r="B253" s="1" t="s">
        <v>15</v>
      </c>
      <c r="C253" s="91">
        <v>125094162494</v>
      </c>
      <c r="D253" s="3">
        <v>8378.98</v>
      </c>
      <c r="E253" s="3">
        <v>8325793.9500000002</v>
      </c>
      <c r="F253" s="35" t="s">
        <v>2750</v>
      </c>
      <c r="G253"/>
      <c r="H253"/>
      <c r="I253" s="27">
        <f>-IFERROR(VLOOKUP(C253,SIRCUPA!$A$21:$H$155,8,0),0)</f>
        <v>0</v>
      </c>
      <c r="J253" s="88">
        <f>-IFERROR(VLOOKUP(C253,SIRTAC!$A$16:$H$1288,8,0),0)</f>
        <v>-86</v>
      </c>
      <c r="K253" s="88">
        <f>-IFERROR(VLOOKUP(C253,Gastos!$A$9:$J$1281,10,0),0)</f>
        <v>-83.42</v>
      </c>
      <c r="L253" s="87">
        <f>-IFERROR(VLOOKUP(C253,IDC!$A$25:$H$1532,8,0),0)</f>
        <v>-51.6</v>
      </c>
      <c r="M253" s="122">
        <f t="shared" si="40"/>
        <v>8600</v>
      </c>
      <c r="N253"/>
      <c r="P253" s="35">
        <f t="shared" si="38"/>
        <v>-8600</v>
      </c>
      <c r="Q253" s="66">
        <f t="shared" si="39"/>
        <v>0</v>
      </c>
    </row>
    <row r="254" spans="1:17" hidden="1">
      <c r="A254" s="1" t="s">
        <v>245</v>
      </c>
      <c r="B254" s="1" t="s">
        <v>293</v>
      </c>
      <c r="C254" s="91">
        <v>124548241441</v>
      </c>
      <c r="D254" s="2">
        <v>420.97</v>
      </c>
      <c r="E254" s="3">
        <v>8326214.9199999999</v>
      </c>
      <c r="F254" s="2" t="s">
        <v>2750</v>
      </c>
      <c r="G254"/>
      <c r="H254"/>
      <c r="I254" s="27">
        <f>-IFERROR(VLOOKUP(C254,SIRCUPA!$A$21:$H$155,8,0),0)</f>
        <v>-6.45</v>
      </c>
      <c r="J254" s="88">
        <f>-IFERROR(VLOOKUP(C254,SIRTAC!$A$16:$H$1288,8,0),0)</f>
        <v>0</v>
      </c>
      <c r="K254" s="88">
        <f>-IFERROR(VLOOKUP(C254,Gastos!$A$9:$J$1281,10,0),0)</f>
        <v>0</v>
      </c>
      <c r="L254" s="87">
        <f>-IFERROR(VLOOKUP(C254,IDC!$A$25:$H$1532,8,0),0)</f>
        <v>-2.58</v>
      </c>
      <c r="M254" s="122">
        <f t="shared" si="40"/>
        <v>430</v>
      </c>
      <c r="N254"/>
      <c r="P254" s="35">
        <f t="shared" si="38"/>
        <v>-430</v>
      </c>
      <c r="Q254" s="66">
        <f t="shared" si="39"/>
        <v>0</v>
      </c>
    </row>
    <row r="255" spans="1:17" hidden="1">
      <c r="A255" s="1" t="s">
        <v>245</v>
      </c>
      <c r="B255" s="1" t="s">
        <v>15</v>
      </c>
      <c r="C255" s="91">
        <v>124548293337</v>
      </c>
      <c r="D255" s="3">
        <v>47305.440000000002</v>
      </c>
      <c r="E255" s="3">
        <v>8373520.3600000003</v>
      </c>
      <c r="F255" s="35" t="s">
        <v>2750</v>
      </c>
      <c r="G255"/>
      <c r="H255"/>
      <c r="I255" s="27">
        <f>-IFERROR(VLOOKUP(C255,SIRCUPA!$A$21:$H$155,8,0),0)</f>
        <v>0</v>
      </c>
      <c r="J255" s="88">
        <f>-IFERROR(VLOOKUP(C255,SIRTAC!$A$16:$H$1288,8,0),0)</f>
        <v>-504</v>
      </c>
      <c r="K255" s="88">
        <f>-IFERROR(VLOOKUP(C255,Gastos!$A$9:$J$1281,10,0),0)</f>
        <v>-2288.16</v>
      </c>
      <c r="L255" s="87">
        <f>-IFERROR(VLOOKUP(C255,IDC!$A$25:$H$1532,8,0),0)</f>
        <v>-302.39999999999998</v>
      </c>
      <c r="M255" s="122">
        <f t="shared" si="40"/>
        <v>50400.000000000007</v>
      </c>
      <c r="N255"/>
      <c r="P255" s="35">
        <f t="shared" si="38"/>
        <v>-50399.999999999993</v>
      </c>
      <c r="Q255" s="66">
        <f t="shared" si="39"/>
        <v>0</v>
      </c>
    </row>
    <row r="256" spans="1:17" hidden="1">
      <c r="A256" s="1" t="s">
        <v>245</v>
      </c>
      <c r="B256" s="1" t="s">
        <v>15</v>
      </c>
      <c r="C256" s="91">
        <v>125094219266</v>
      </c>
      <c r="D256" s="3">
        <v>20947.45</v>
      </c>
      <c r="E256" s="3">
        <v>8394467.8100000005</v>
      </c>
      <c r="F256" s="35" t="s">
        <v>2750</v>
      </c>
      <c r="G256"/>
      <c r="H256"/>
      <c r="I256" s="27">
        <f>-IFERROR(VLOOKUP(C256,SIRCUPA!$A$21:$H$155,8,0),0)</f>
        <v>0</v>
      </c>
      <c r="J256" s="88">
        <f>-IFERROR(VLOOKUP(C256,SIRTAC!$A$16:$H$1288,8,0),0)</f>
        <v>-215</v>
      </c>
      <c r="K256" s="88">
        <f>-IFERROR(VLOOKUP(C256,Gastos!$A$9:$J$1281,10,0),0)</f>
        <v>-208.55</v>
      </c>
      <c r="L256" s="87">
        <f>-IFERROR(VLOOKUP(C256,IDC!$A$25:$H$1532,8,0),0)</f>
        <v>-129</v>
      </c>
      <c r="M256" s="122">
        <f t="shared" si="40"/>
        <v>21500</v>
      </c>
      <c r="N256"/>
      <c r="P256" s="35">
        <f t="shared" si="38"/>
        <v>-21500</v>
      </c>
      <c r="Q256" s="66">
        <f t="shared" si="39"/>
        <v>0</v>
      </c>
    </row>
    <row r="257" spans="1:17" hidden="1">
      <c r="A257" s="1" t="s">
        <v>245</v>
      </c>
      <c r="B257" s="1" t="s">
        <v>15</v>
      </c>
      <c r="C257" s="91">
        <v>124548516339</v>
      </c>
      <c r="D257" s="3">
        <v>109121.60000000001</v>
      </c>
      <c r="E257" s="3">
        <v>8503589.4100000001</v>
      </c>
      <c r="F257" s="35" t="s">
        <v>2750</v>
      </c>
      <c r="G257"/>
      <c r="H257"/>
      <c r="I257" s="27">
        <f>-IFERROR(VLOOKUP(C257,SIRCUPA!$A$21:$H$155,8,0),0)</f>
        <v>0</v>
      </c>
      <c r="J257" s="88">
        <f>-IFERROR(VLOOKUP(C257,SIRTAC!$A$16:$H$1288,8,0),0)</f>
        <v>-1120</v>
      </c>
      <c r="K257" s="88">
        <f>-IFERROR(VLOOKUP(C257,Gastos!$A$9:$J$1281,10,0),0)</f>
        <v>-1086.4000000000001</v>
      </c>
      <c r="L257" s="87">
        <f>-IFERROR(VLOOKUP(C257,IDC!$A$25:$H$1532,8,0),0)</f>
        <v>-672</v>
      </c>
      <c r="M257" s="122">
        <f t="shared" si="40"/>
        <v>112000</v>
      </c>
      <c r="N257"/>
      <c r="P257" s="35">
        <f t="shared" si="38"/>
        <v>-112000</v>
      </c>
      <c r="Q257" s="66">
        <f t="shared" si="39"/>
        <v>0</v>
      </c>
    </row>
    <row r="258" spans="1:17" hidden="1">
      <c r="A258" s="1" t="s">
        <v>245</v>
      </c>
      <c r="B258" s="1" t="s">
        <v>15</v>
      </c>
      <c r="C258" s="91">
        <v>124548420083</v>
      </c>
      <c r="D258" s="3">
        <v>18219.41</v>
      </c>
      <c r="E258" s="3">
        <v>8521808.8200000003</v>
      </c>
      <c r="F258" s="35" t="s">
        <v>2750</v>
      </c>
      <c r="G258"/>
      <c r="H258"/>
      <c r="I258" s="27">
        <f>-IFERROR(VLOOKUP(C258,SIRCUPA!$A$21:$H$155,8,0),0)</f>
        <v>0</v>
      </c>
      <c r="J258" s="88">
        <f>-IFERROR(VLOOKUP(C258,SIRTAC!$A$16:$H$1288,8,0),0)</f>
        <v>-187</v>
      </c>
      <c r="K258" s="88">
        <f>-IFERROR(VLOOKUP(C258,Gastos!$A$9:$J$1281,10,0),0)</f>
        <v>-181.39</v>
      </c>
      <c r="L258" s="87">
        <f>-IFERROR(VLOOKUP(C258,IDC!$A$25:$H$1532,8,0),0)</f>
        <v>-112.2</v>
      </c>
      <c r="M258" s="122">
        <f t="shared" si="40"/>
        <v>18700</v>
      </c>
      <c r="N258"/>
      <c r="P258" s="35">
        <f t="shared" si="38"/>
        <v>-18700</v>
      </c>
      <c r="Q258" s="66">
        <f t="shared" si="39"/>
        <v>0</v>
      </c>
    </row>
    <row r="259" spans="1:17" hidden="1">
      <c r="A259" s="1" t="s">
        <v>245</v>
      </c>
      <c r="B259" s="1" t="s">
        <v>15</v>
      </c>
      <c r="C259" s="91">
        <v>125094837668</v>
      </c>
      <c r="D259" s="3">
        <v>40172.080000000002</v>
      </c>
      <c r="E259" s="3">
        <v>8561980.9000000004</v>
      </c>
      <c r="F259" s="35" t="s">
        <v>2750</v>
      </c>
      <c r="G259"/>
      <c r="H259"/>
      <c r="I259" s="27">
        <f>-IFERROR(VLOOKUP(C259,SIRCUPA!$A$21:$H$155,8,0),0)</f>
        <v>0</v>
      </c>
      <c r="J259" s="88">
        <f>-IFERROR(VLOOKUP(C259,SIRTAC!$A$16:$H$1288,8,0),0)</f>
        <v>-428</v>
      </c>
      <c r="K259" s="88">
        <f>-IFERROR(VLOOKUP(C259,Gastos!$A$9:$J$1281,10,0),0)</f>
        <v>-1943.12</v>
      </c>
      <c r="L259" s="87">
        <f>-IFERROR(VLOOKUP(C259,IDC!$A$25:$H$1532,8,0),0)</f>
        <v>-256.8</v>
      </c>
      <c r="M259" s="122">
        <f t="shared" si="40"/>
        <v>42800.000000000007</v>
      </c>
      <c r="N259"/>
      <c r="P259" s="35">
        <f t="shared" si="38"/>
        <v>-42800</v>
      </c>
      <c r="Q259" s="66">
        <f t="shared" si="39"/>
        <v>0</v>
      </c>
    </row>
    <row r="260" spans="1:17" hidden="1">
      <c r="A260" s="1" t="s">
        <v>245</v>
      </c>
      <c r="B260" s="1" t="s">
        <v>15</v>
      </c>
      <c r="C260" s="91">
        <v>125094899458</v>
      </c>
      <c r="D260" s="3">
        <v>3410.05</v>
      </c>
      <c r="E260" s="3">
        <v>8565390.9499999993</v>
      </c>
      <c r="F260" s="35" t="s">
        <v>2750</v>
      </c>
      <c r="G260"/>
      <c r="H260"/>
      <c r="I260" s="27">
        <f>-IFERROR(VLOOKUP(C260,SIRCUPA!$A$21:$H$155,8,0),0)</f>
        <v>0</v>
      </c>
      <c r="J260" s="88">
        <f>-IFERROR(VLOOKUP(C260,SIRTAC!$A$16:$H$1288,8,0),0)</f>
        <v>-35</v>
      </c>
      <c r="K260" s="88">
        <f>-IFERROR(VLOOKUP(C260,Gastos!$A$9:$J$1281,10,0),0)</f>
        <v>-33.950000000000003</v>
      </c>
      <c r="L260" s="87">
        <f>-IFERROR(VLOOKUP(C260,IDC!$A$25:$H$1532,8,0),0)</f>
        <v>-21</v>
      </c>
      <c r="M260" s="122">
        <f t="shared" si="40"/>
        <v>3500</v>
      </c>
      <c r="N260"/>
      <c r="P260" s="35">
        <f t="shared" si="38"/>
        <v>-3500</v>
      </c>
      <c r="Q260" s="66">
        <f t="shared" si="39"/>
        <v>0</v>
      </c>
    </row>
    <row r="261" spans="1:17" hidden="1">
      <c r="A261" s="1" t="s">
        <v>245</v>
      </c>
      <c r="B261" s="1" t="s">
        <v>15</v>
      </c>
      <c r="C261" s="91">
        <v>125095026648</v>
      </c>
      <c r="D261" s="3">
        <v>5163.79</v>
      </c>
      <c r="E261" s="3">
        <v>8570554.7400000002</v>
      </c>
      <c r="F261" s="35" t="s">
        <v>2750</v>
      </c>
      <c r="G261"/>
      <c r="H261"/>
      <c r="I261" s="27">
        <f>-IFERROR(VLOOKUP(C261,SIRCUPA!$A$21:$H$155,8,0),0)</f>
        <v>0</v>
      </c>
      <c r="J261" s="88">
        <f>-IFERROR(VLOOKUP(C261,SIRTAC!$A$16:$H$1288,8,0),0)</f>
        <v>-53</v>
      </c>
      <c r="K261" s="88">
        <f>-IFERROR(VLOOKUP(C261,Gastos!$A$9:$J$1281,10,0),0)</f>
        <v>-51.41</v>
      </c>
      <c r="L261" s="87">
        <f>-IFERROR(VLOOKUP(C261,IDC!$A$25:$H$1532,8,0),0)</f>
        <v>-31.8</v>
      </c>
      <c r="M261" s="122">
        <f t="shared" si="40"/>
        <v>5300</v>
      </c>
      <c r="N261"/>
      <c r="P261" s="35">
        <f t="shared" si="38"/>
        <v>-5300</v>
      </c>
      <c r="Q261" s="66">
        <f t="shared" si="39"/>
        <v>0</v>
      </c>
    </row>
    <row r="262" spans="1:17" hidden="1">
      <c r="A262" s="1" t="s">
        <v>245</v>
      </c>
      <c r="B262" s="1" t="s">
        <v>302</v>
      </c>
      <c r="C262" s="91">
        <v>124549164915</v>
      </c>
      <c r="D262" s="2">
        <v>259.43</v>
      </c>
      <c r="E262" s="3">
        <v>8570814.1699999999</v>
      </c>
      <c r="F262" s="2" t="s">
        <v>2750</v>
      </c>
      <c r="G262"/>
      <c r="H262"/>
      <c r="I262" s="27">
        <f>-IFERROR(VLOOKUP(C262,SIRCUPA!$A$21:$H$155,8,0),0)</f>
        <v>-3.98</v>
      </c>
      <c r="J262" s="88">
        <f>-IFERROR(VLOOKUP(C262,SIRTAC!$A$16:$H$1288,8,0),0)</f>
        <v>0</v>
      </c>
      <c r="K262" s="88">
        <f>-IFERROR(VLOOKUP(C262,Gastos!$A$9:$J$1281,10,0),0)</f>
        <v>0</v>
      </c>
      <c r="L262" s="87">
        <f>-IFERROR(VLOOKUP(C262,IDC!$A$25:$H$1532,8,0),0)</f>
        <v>-1.59</v>
      </c>
      <c r="M262" s="122">
        <f t="shared" si="40"/>
        <v>265</v>
      </c>
      <c r="N262"/>
      <c r="P262" s="35">
        <f t="shared" si="38"/>
        <v>-265</v>
      </c>
      <c r="Q262" s="66">
        <f t="shared" si="39"/>
        <v>0</v>
      </c>
    </row>
    <row r="263" spans="1:17" hidden="1">
      <c r="A263" s="1" t="s">
        <v>245</v>
      </c>
      <c r="B263" s="1" t="s">
        <v>15</v>
      </c>
      <c r="C263" s="91">
        <v>124549303705</v>
      </c>
      <c r="D263" s="3">
        <v>10327.58</v>
      </c>
      <c r="E263" s="3">
        <v>8581141.75</v>
      </c>
      <c r="F263" s="35" t="s">
        <v>2750</v>
      </c>
      <c r="G263"/>
      <c r="H263"/>
      <c r="I263" s="27">
        <f>-IFERROR(VLOOKUP(C263,SIRCUPA!$A$21:$H$155,8,0),0)</f>
        <v>0</v>
      </c>
      <c r="J263" s="88">
        <f>-IFERROR(VLOOKUP(C263,SIRTAC!$A$16:$H$1288,8,0),0)</f>
        <v>-106</v>
      </c>
      <c r="K263" s="88">
        <f>-IFERROR(VLOOKUP(C263,Gastos!$A$9:$J$1281,10,0),0)</f>
        <v>-102.82</v>
      </c>
      <c r="L263" s="87">
        <f>-IFERROR(VLOOKUP(C263,IDC!$A$25:$H$1532,8,0),0)</f>
        <v>-63.6</v>
      </c>
      <c r="M263" s="122">
        <f t="shared" si="40"/>
        <v>10600</v>
      </c>
      <c r="N263"/>
      <c r="P263" s="35">
        <f t="shared" si="38"/>
        <v>-10600</v>
      </c>
      <c r="Q263" s="66">
        <f t="shared" si="39"/>
        <v>0</v>
      </c>
    </row>
    <row r="264" spans="1:17" hidden="1">
      <c r="A264" s="1" t="s">
        <v>245</v>
      </c>
      <c r="B264" s="1" t="s">
        <v>15</v>
      </c>
      <c r="C264" s="91">
        <v>124549540369</v>
      </c>
      <c r="D264" s="3">
        <v>13640.2</v>
      </c>
      <c r="E264" s="3">
        <v>8594781.9499999993</v>
      </c>
      <c r="F264" s="35" t="s">
        <v>2750</v>
      </c>
      <c r="G264"/>
      <c r="H264"/>
      <c r="I264" s="27">
        <f>-IFERROR(VLOOKUP(C264,SIRCUPA!$A$21:$H$155,8,0),0)</f>
        <v>0</v>
      </c>
      <c r="J264" s="88">
        <f>-IFERROR(VLOOKUP(C264,SIRTAC!$A$16:$H$1288,8,0),0)</f>
        <v>-140</v>
      </c>
      <c r="K264" s="88">
        <f>-IFERROR(VLOOKUP(C264,Gastos!$A$9:$J$1281,10,0),0)</f>
        <v>-135.80000000000001</v>
      </c>
      <c r="L264" s="87">
        <f>-IFERROR(VLOOKUP(C264,IDC!$A$25:$H$1532,8,0),0)</f>
        <v>-84</v>
      </c>
      <c r="M264" s="122">
        <f t="shared" si="40"/>
        <v>14000</v>
      </c>
      <c r="N264"/>
      <c r="P264" s="35">
        <f t="shared" si="38"/>
        <v>-14000</v>
      </c>
      <c r="Q264" s="66">
        <f t="shared" si="39"/>
        <v>0</v>
      </c>
    </row>
    <row r="265" spans="1:17" hidden="1">
      <c r="A265" s="1" t="s">
        <v>245</v>
      </c>
      <c r="B265" s="1" t="s">
        <v>15</v>
      </c>
      <c r="C265" s="91">
        <v>125095467130</v>
      </c>
      <c r="D265" s="3">
        <v>77944</v>
      </c>
      <c r="E265" s="3">
        <v>8672725.9499999993</v>
      </c>
      <c r="F265" s="35" t="s">
        <v>2750</v>
      </c>
      <c r="G265"/>
      <c r="H265"/>
      <c r="I265" s="27">
        <f>-IFERROR(VLOOKUP(C265,SIRCUPA!$A$21:$H$155,8,0),0)</f>
        <v>0</v>
      </c>
      <c r="J265" s="88">
        <v>-800</v>
      </c>
      <c r="K265" s="88">
        <f>-IFERROR(VLOOKUP(C265,Gastos!$A$9:$J$1281,10,0),0)</f>
        <v>-776</v>
      </c>
      <c r="L265" s="87">
        <v>-480</v>
      </c>
      <c r="M265" s="122">
        <f t="shared" si="40"/>
        <v>80000</v>
      </c>
      <c r="N265"/>
      <c r="P265" s="35">
        <f t="shared" si="38"/>
        <v>-80000</v>
      </c>
      <c r="Q265" s="66">
        <f t="shared" si="39"/>
        <v>0</v>
      </c>
    </row>
    <row r="266" spans="1:17" s="59" customFormat="1" hidden="1">
      <c r="A266" s="105" t="s">
        <v>245</v>
      </c>
      <c r="B266" s="105" t="s">
        <v>307</v>
      </c>
      <c r="C266" s="106">
        <v>125095467130</v>
      </c>
      <c r="D266" s="107">
        <v>-77944</v>
      </c>
      <c r="E266" s="107">
        <v>8594781.9499999993</v>
      </c>
      <c r="F266" s="105" t="s">
        <v>2750</v>
      </c>
      <c r="G266" s="105"/>
      <c r="H266" s="105"/>
      <c r="I266" s="108">
        <f>-IFERROR(VLOOKUP(C266,SIRCUPA!$A$21:$H$155,8,0),0)</f>
        <v>0</v>
      </c>
      <c r="J266" s="108">
        <f>-IFERROR(VLOOKUP(C266,SIRTAC!$A$16:$H$1288,8,0),0)</f>
        <v>800</v>
      </c>
      <c r="K266" s="108">
        <v>776</v>
      </c>
      <c r="L266" s="108">
        <f>-IFERROR(VLOOKUP(C266,IDC!$A$25:$H$1532,8,0),0)</f>
        <v>480</v>
      </c>
      <c r="M266" s="124">
        <f t="shared" si="40"/>
        <v>-80000</v>
      </c>
      <c r="N266" s="105"/>
      <c r="O266" s="105"/>
      <c r="P266" s="35">
        <f t="shared" si="38"/>
        <v>80000</v>
      </c>
      <c r="Q266" s="66">
        <f t="shared" si="39"/>
        <v>0</v>
      </c>
    </row>
    <row r="267" spans="1:17" hidden="1">
      <c r="A267" s="1" t="s">
        <v>245</v>
      </c>
      <c r="B267" s="1" t="s">
        <v>15</v>
      </c>
      <c r="C267" s="91">
        <v>125095831262</v>
      </c>
      <c r="D267" s="3">
        <v>70247.03</v>
      </c>
      <c r="E267" s="3">
        <v>8665028.9800000004</v>
      </c>
      <c r="F267" s="35" t="s">
        <v>2750</v>
      </c>
      <c r="G267"/>
      <c r="H267"/>
      <c r="I267" s="27">
        <f>-IFERROR(VLOOKUP(C267,SIRCUPA!$A$21:$H$155,8,0),0)</f>
        <v>0</v>
      </c>
      <c r="J267" s="88">
        <f>-IFERROR(VLOOKUP(C267,SIRTAC!$A$16:$H$1288,8,0),0)</f>
        <v>-721</v>
      </c>
      <c r="K267" s="88">
        <f>-IFERROR(VLOOKUP(C267,Gastos!$A$9:$J$1281,10,0),0)</f>
        <v>-699.37</v>
      </c>
      <c r="L267" s="87">
        <f>-IFERROR(VLOOKUP(C267,IDC!$A$25:$H$1532,8,0),0)</f>
        <v>-432.6</v>
      </c>
      <c r="M267" s="122">
        <f t="shared" si="40"/>
        <v>72100</v>
      </c>
      <c r="N267"/>
      <c r="P267" s="35">
        <f t="shared" si="38"/>
        <v>-72100</v>
      </c>
      <c r="Q267" s="66">
        <f t="shared" si="39"/>
        <v>0</v>
      </c>
    </row>
    <row r="268" spans="1:17" hidden="1">
      <c r="A268" s="1" t="s">
        <v>245</v>
      </c>
      <c r="B268" s="1" t="s">
        <v>15</v>
      </c>
      <c r="C268" s="91">
        <v>124550095401</v>
      </c>
      <c r="D268" s="3">
        <v>21532.03</v>
      </c>
      <c r="E268" s="3">
        <v>8686561.0099999998</v>
      </c>
      <c r="F268" s="35" t="s">
        <v>2750</v>
      </c>
      <c r="G268"/>
      <c r="H268"/>
      <c r="I268" s="27">
        <f>-IFERROR(VLOOKUP(C268,SIRCUPA!$A$21:$H$155,8,0),0)</f>
        <v>0</v>
      </c>
      <c r="J268" s="88">
        <f>-IFERROR(VLOOKUP(C268,SIRTAC!$A$16:$H$1288,8,0),0)</f>
        <v>-221</v>
      </c>
      <c r="K268" s="88">
        <f>-IFERROR(VLOOKUP(C268,Gastos!$A$9:$J$1281,10,0),0)</f>
        <v>-214.37</v>
      </c>
      <c r="L268" s="87">
        <f>-IFERROR(VLOOKUP(C268,IDC!$A$25:$H$1532,8,0),0)</f>
        <v>-132.6</v>
      </c>
      <c r="M268" s="122">
        <f t="shared" si="40"/>
        <v>22099.999999999996</v>
      </c>
      <c r="N268"/>
      <c r="P268" s="35">
        <f t="shared" si="38"/>
        <v>-22100</v>
      </c>
      <c r="Q268" s="66">
        <f t="shared" si="39"/>
        <v>0</v>
      </c>
    </row>
    <row r="269" spans="1:17" hidden="1">
      <c r="A269" s="1" t="s">
        <v>245</v>
      </c>
      <c r="B269" s="1" t="s">
        <v>15</v>
      </c>
      <c r="C269" s="91">
        <v>125096002932</v>
      </c>
      <c r="D269" s="3">
        <v>17732.259999999998</v>
      </c>
      <c r="E269" s="3">
        <v>8704293.2699999996</v>
      </c>
      <c r="F269" s="35" t="s">
        <v>2750</v>
      </c>
      <c r="G269"/>
      <c r="H269"/>
      <c r="I269" s="27">
        <f>-IFERROR(VLOOKUP(C269,SIRCUPA!$A$21:$H$155,8,0),0)</f>
        <v>0</v>
      </c>
      <c r="J269" s="88">
        <f>-IFERROR(VLOOKUP(C269,SIRTAC!$A$16:$H$1288,8,0),0)</f>
        <v>-182</v>
      </c>
      <c r="K269" s="88">
        <f>-IFERROR(VLOOKUP(C269,Gastos!$A$9:$J$1281,10,0),0)</f>
        <v>-176.54</v>
      </c>
      <c r="L269" s="87">
        <f>-IFERROR(VLOOKUP(C269,IDC!$A$25:$H$1532,8,0),0)</f>
        <v>-109.2</v>
      </c>
      <c r="M269" s="122">
        <f t="shared" si="40"/>
        <v>18200</v>
      </c>
      <c r="N269"/>
      <c r="P269" s="35">
        <f t="shared" si="38"/>
        <v>-18200</v>
      </c>
      <c r="Q269" s="66">
        <f t="shared" si="39"/>
        <v>0</v>
      </c>
    </row>
    <row r="270" spans="1:17" hidden="1">
      <c r="A270" s="1" t="s">
        <v>245</v>
      </c>
      <c r="B270" s="1" t="s">
        <v>15</v>
      </c>
      <c r="C270" s="91">
        <v>124550195285</v>
      </c>
      <c r="D270" s="3">
        <v>12860.76</v>
      </c>
      <c r="E270" s="3">
        <v>8717154.0299999993</v>
      </c>
      <c r="F270" s="35" t="s">
        <v>2750</v>
      </c>
      <c r="G270"/>
      <c r="H270"/>
      <c r="I270" s="27">
        <f>-IFERROR(VLOOKUP(C270,SIRCUPA!$A$21:$H$155,8,0),0)</f>
        <v>0</v>
      </c>
      <c r="J270" s="88">
        <f>-IFERROR(VLOOKUP(C270,SIRTAC!$A$16:$H$1288,8,0),0)</f>
        <v>-132</v>
      </c>
      <c r="K270" s="88">
        <f>-IFERROR(VLOOKUP(C270,Gastos!$A$9:$J$1281,10,0),0)</f>
        <v>-128.04</v>
      </c>
      <c r="L270" s="87">
        <f>-IFERROR(VLOOKUP(C270,IDC!$A$25:$H$1532,8,0),0)</f>
        <v>-79.2</v>
      </c>
      <c r="M270" s="122">
        <f t="shared" si="40"/>
        <v>13200.000000000002</v>
      </c>
      <c r="N270"/>
      <c r="P270" s="35">
        <f t="shared" si="38"/>
        <v>-13200</v>
      </c>
      <c r="Q270" s="66">
        <f t="shared" si="39"/>
        <v>0</v>
      </c>
    </row>
    <row r="271" spans="1:17" hidden="1">
      <c r="A271" s="1" t="s">
        <v>245</v>
      </c>
      <c r="B271" s="1" t="s">
        <v>15</v>
      </c>
      <c r="C271" s="91">
        <v>125096109694</v>
      </c>
      <c r="D271" s="3">
        <v>33321.06</v>
      </c>
      <c r="E271" s="3">
        <v>8750475.0899999999</v>
      </c>
      <c r="F271" s="35" t="s">
        <v>2750</v>
      </c>
      <c r="G271"/>
      <c r="H271"/>
      <c r="I271" s="27">
        <f>-IFERROR(VLOOKUP(C271,SIRCUPA!$A$21:$H$155,8,0),0)</f>
        <v>0</v>
      </c>
      <c r="J271" s="88">
        <f>-IFERROR(VLOOKUP(C271,SIRTAC!$A$16:$H$1288,8,0),0)</f>
        <v>-342</v>
      </c>
      <c r="K271" s="88">
        <f>-IFERROR(VLOOKUP(C271,Gastos!$A$9:$J$1281,10,0),0)</f>
        <v>-331.74</v>
      </c>
      <c r="L271" s="87">
        <f>-IFERROR(VLOOKUP(C271,IDC!$A$25:$H$1532,8,0),0)</f>
        <v>-205.2</v>
      </c>
      <c r="M271" s="122">
        <f t="shared" si="40"/>
        <v>34199.999999999993</v>
      </c>
      <c r="N271"/>
      <c r="P271" s="35">
        <f t="shared" si="38"/>
        <v>-34200</v>
      </c>
      <c r="Q271" s="66">
        <f t="shared" si="39"/>
        <v>0</v>
      </c>
    </row>
    <row r="272" spans="1:17" hidden="1">
      <c r="A272" s="1" t="s">
        <v>245</v>
      </c>
      <c r="B272" s="1" t="s">
        <v>313</v>
      </c>
      <c r="C272" s="91">
        <v>124550265849</v>
      </c>
      <c r="D272" s="3">
        <v>1674.09</v>
      </c>
      <c r="E272" s="3">
        <v>8752149.1799999997</v>
      </c>
      <c r="F272" s="2" t="s">
        <v>2750</v>
      </c>
      <c r="G272"/>
      <c r="H272"/>
      <c r="I272" s="27">
        <f>-IFERROR(VLOOKUP(C272,SIRCUPA!$A$21:$H$155,8,0),0)</f>
        <v>-25.65</v>
      </c>
      <c r="J272" s="88">
        <f>-IFERROR(VLOOKUP(C272,SIRTAC!$A$16:$H$1288,8,0),0)</f>
        <v>0</v>
      </c>
      <c r="K272" s="88">
        <f>-IFERROR(VLOOKUP(C272,Gastos!$A$9:$J$1281,10,0),0)</f>
        <v>0</v>
      </c>
      <c r="L272" s="87">
        <f>-IFERROR(VLOOKUP(C272,IDC!$A$25:$H$1532,8,0),0)</f>
        <v>-10.26</v>
      </c>
      <c r="M272" s="122">
        <f t="shared" si="40"/>
        <v>1710</v>
      </c>
      <c r="N272"/>
      <c r="P272" s="35">
        <f t="shared" si="38"/>
        <v>-1710</v>
      </c>
      <c r="Q272" s="66">
        <f t="shared" si="39"/>
        <v>0</v>
      </c>
    </row>
    <row r="273" spans="1:17" hidden="1">
      <c r="A273" s="1" t="s">
        <v>245</v>
      </c>
      <c r="B273" s="1" t="s">
        <v>15</v>
      </c>
      <c r="C273" s="91">
        <v>124550395343</v>
      </c>
      <c r="D273" s="3">
        <v>4189.49</v>
      </c>
      <c r="E273" s="3">
        <v>8756338.6699999999</v>
      </c>
      <c r="F273" s="35" t="s">
        <v>2750</v>
      </c>
      <c r="G273"/>
      <c r="H273"/>
      <c r="I273" s="27">
        <f>-IFERROR(VLOOKUP(C273,SIRCUPA!$A$21:$H$155,8,0),0)</f>
        <v>0</v>
      </c>
      <c r="J273" s="88">
        <f>-IFERROR(VLOOKUP(C273,SIRTAC!$A$16:$H$1288,8,0),0)</f>
        <v>-43</v>
      </c>
      <c r="K273" s="88">
        <f>-IFERROR(VLOOKUP(C273,Gastos!$A$9:$J$1281,10,0),0)</f>
        <v>-41.71</v>
      </c>
      <c r="L273" s="87">
        <f>-IFERROR(VLOOKUP(C273,IDC!$A$25:$H$1532,8,0),0)</f>
        <v>-25.8</v>
      </c>
      <c r="M273" s="122">
        <f t="shared" si="40"/>
        <v>4300</v>
      </c>
      <c r="N273"/>
      <c r="P273" s="35">
        <f t="shared" si="38"/>
        <v>-4300</v>
      </c>
      <c r="Q273" s="66">
        <f t="shared" si="39"/>
        <v>0</v>
      </c>
    </row>
    <row r="274" spans="1:17" hidden="1">
      <c r="A274" s="1" t="s">
        <v>245</v>
      </c>
      <c r="B274" s="1" t="s">
        <v>316</v>
      </c>
      <c r="C274" s="91">
        <v>125096223326</v>
      </c>
      <c r="D274" s="2">
        <v>631.45000000000005</v>
      </c>
      <c r="E274" s="3">
        <v>8756970.1199999992</v>
      </c>
      <c r="F274" s="2" t="s">
        <v>2750</v>
      </c>
      <c r="G274"/>
      <c r="H274"/>
      <c r="I274" s="27">
        <f>-IFERROR(VLOOKUP(C274,SIRCUPA!$A$21:$H$155,8,0),0)</f>
        <v>-9.68</v>
      </c>
      <c r="J274" s="88">
        <f>-IFERROR(VLOOKUP(C274,SIRTAC!$A$16:$H$1288,8,0),0)</f>
        <v>0</v>
      </c>
      <c r="K274" s="88">
        <f>-IFERROR(VLOOKUP(C274,Gastos!$A$9:$J$1281,10,0),0)</f>
        <v>0</v>
      </c>
      <c r="L274" s="87">
        <f>-IFERROR(VLOOKUP(C274,IDC!$A$25:$H$1532,8,0),0)</f>
        <v>-3.87</v>
      </c>
      <c r="M274" s="122">
        <f t="shared" ref="M274:M305" si="41">+D274-I274-J274-K274-L274</f>
        <v>645</v>
      </c>
      <c r="N274"/>
      <c r="P274" s="35">
        <f t="shared" ref="P274:P337" si="42">+L274/0.006</f>
        <v>-645</v>
      </c>
      <c r="Q274" s="66">
        <f t="shared" ref="Q274:Q337" si="43">+M274+P274</f>
        <v>0</v>
      </c>
    </row>
    <row r="275" spans="1:17" hidden="1">
      <c r="A275" s="1" t="s">
        <v>245</v>
      </c>
      <c r="B275" s="1" t="s">
        <v>15</v>
      </c>
      <c r="C275" s="91">
        <v>125185741106</v>
      </c>
      <c r="D275" s="3">
        <v>4251.1499999999996</v>
      </c>
      <c r="E275" s="3">
        <v>8761221.2699999996</v>
      </c>
      <c r="F275" s="35" t="s">
        <v>2750</v>
      </c>
      <c r="G275"/>
      <c r="H275"/>
      <c r="I275" s="27">
        <f>-IFERROR(VLOOKUP(C275,SIRCUPA!$A$21:$H$155,8,0),0)</f>
        <v>0</v>
      </c>
      <c r="J275" s="88">
        <f>-IFERROR(VLOOKUP(C275,SIRTAC!$A$16:$H$1288,8,0),0)</f>
        <v>-45</v>
      </c>
      <c r="K275" s="88">
        <f>-IFERROR(VLOOKUP(C275,Gastos!$A$9:$J$1281,10,0),0)</f>
        <v>-176.85</v>
      </c>
      <c r="L275" s="87">
        <f>-IFERROR(VLOOKUP(C275,IDC!$A$25:$H$1532,8,0),0)</f>
        <v>-27</v>
      </c>
      <c r="M275" s="122">
        <f t="shared" si="41"/>
        <v>4500</v>
      </c>
      <c r="N275"/>
      <c r="P275" s="35">
        <f t="shared" si="42"/>
        <v>-4500</v>
      </c>
      <c r="Q275" s="66">
        <f t="shared" si="43"/>
        <v>0</v>
      </c>
    </row>
    <row r="276" spans="1:17" hidden="1">
      <c r="A276" s="1" t="s">
        <v>245</v>
      </c>
      <c r="B276" s="1" t="s">
        <v>15</v>
      </c>
      <c r="C276" s="91">
        <v>125192805316</v>
      </c>
      <c r="D276" s="3">
        <v>14264.97</v>
      </c>
      <c r="E276" s="3">
        <v>8775486.2400000002</v>
      </c>
      <c r="F276" s="35" t="s">
        <v>2750</v>
      </c>
      <c r="G276"/>
      <c r="H276"/>
      <c r="I276" s="27">
        <f>-IFERROR(VLOOKUP(C276,SIRCUPA!$A$21:$H$155,8,0),0)</f>
        <v>0</v>
      </c>
      <c r="J276" s="88">
        <f>-IFERROR(VLOOKUP(C276,SIRTAC!$A$16:$H$1288,8,0),0)</f>
        <v>-151</v>
      </c>
      <c r="K276" s="88">
        <f>-IFERROR(VLOOKUP(C276,Gastos!$A$9:$J$1281,10,0),0)</f>
        <v>-593.42999999999995</v>
      </c>
      <c r="L276" s="87">
        <f>-IFERROR(VLOOKUP(C276,IDC!$A$25:$H$1532,8,0),0)</f>
        <v>-90.6</v>
      </c>
      <c r="M276" s="122">
        <f t="shared" si="41"/>
        <v>15100</v>
      </c>
      <c r="N276"/>
      <c r="P276" s="35">
        <f t="shared" si="42"/>
        <v>-15099.999999999998</v>
      </c>
      <c r="Q276" s="66">
        <f t="shared" si="43"/>
        <v>0</v>
      </c>
    </row>
    <row r="277" spans="1:17" hidden="1">
      <c r="A277" s="1" t="s">
        <v>245</v>
      </c>
      <c r="B277" s="1" t="s">
        <v>15</v>
      </c>
      <c r="C277" s="91">
        <v>125195880866</v>
      </c>
      <c r="D277" s="3">
        <v>27377.83</v>
      </c>
      <c r="E277" s="3">
        <v>8802864.0700000003</v>
      </c>
      <c r="F277" s="35" t="s">
        <v>2750</v>
      </c>
      <c r="G277"/>
      <c r="H277"/>
      <c r="I277" s="27">
        <f>-IFERROR(VLOOKUP(C277,SIRCUPA!$A$21:$H$155,8,0),0)</f>
        <v>0</v>
      </c>
      <c r="J277" s="88">
        <f>-IFERROR(VLOOKUP(C277,SIRTAC!$A$16:$H$1288,8,0),0)</f>
        <v>-281</v>
      </c>
      <c r="K277" s="88">
        <f>-IFERROR(VLOOKUP(C277,Gastos!$A$9:$J$1281,10,0),0)</f>
        <v>-272.57</v>
      </c>
      <c r="L277" s="87">
        <f>-IFERROR(VLOOKUP(C277,IDC!$A$25:$H$1532,8,0),0)</f>
        <v>-168.6</v>
      </c>
      <c r="M277" s="122">
        <f t="shared" si="41"/>
        <v>28100</v>
      </c>
      <c r="N277"/>
      <c r="P277" s="35">
        <f t="shared" si="42"/>
        <v>-28100</v>
      </c>
      <c r="Q277" s="66">
        <f t="shared" si="43"/>
        <v>0</v>
      </c>
    </row>
    <row r="278" spans="1:17" hidden="1">
      <c r="A278" s="1" t="s">
        <v>245</v>
      </c>
      <c r="B278" s="1" t="s">
        <v>15</v>
      </c>
      <c r="C278" s="91">
        <v>125196765748</v>
      </c>
      <c r="D278" s="3">
        <v>47301.59</v>
      </c>
      <c r="E278" s="3">
        <v>8850165.6600000001</v>
      </c>
      <c r="F278" s="35" t="s">
        <v>2750</v>
      </c>
      <c r="G278"/>
      <c r="H278"/>
      <c r="I278" s="27">
        <f>-IFERROR(VLOOKUP(C278,SIRCUPA!$A$21:$H$155,8,0),0)</f>
        <v>0</v>
      </c>
      <c r="J278" s="88">
        <f>-IFERROR(VLOOKUP(C278,SIRTAC!$A$16:$H$1288,8,0),0)</f>
        <v>-521</v>
      </c>
      <c r="K278" s="88">
        <f>-IFERROR(VLOOKUP(C278,Gastos!$A$9:$J$1281,10,0),0)</f>
        <v>-3964.81</v>
      </c>
      <c r="L278" s="87">
        <f>-IFERROR(VLOOKUP(C278,IDC!$A$25:$H$1532,8,0),0)</f>
        <v>-312.60000000000002</v>
      </c>
      <c r="M278" s="122">
        <f t="shared" si="41"/>
        <v>52099.999999999993</v>
      </c>
      <c r="N278"/>
      <c r="P278" s="35">
        <f t="shared" si="42"/>
        <v>-52100</v>
      </c>
      <c r="Q278" s="66">
        <f t="shared" si="43"/>
        <v>0</v>
      </c>
    </row>
    <row r="279" spans="1:17" hidden="1">
      <c r="A279" s="1" t="s">
        <v>245</v>
      </c>
      <c r="B279" s="1" t="s">
        <v>15</v>
      </c>
      <c r="C279" s="91">
        <v>125198391082</v>
      </c>
      <c r="D279" s="3">
        <v>8378.98</v>
      </c>
      <c r="E279" s="3">
        <v>8858544.6400000006</v>
      </c>
      <c r="F279" s="35" t="s">
        <v>2750</v>
      </c>
      <c r="G279"/>
      <c r="H279"/>
      <c r="I279" s="27">
        <f>-IFERROR(VLOOKUP(C279,SIRCUPA!$A$21:$H$155,8,0),0)</f>
        <v>0</v>
      </c>
      <c r="J279" s="88">
        <f>-IFERROR(VLOOKUP(C279,SIRTAC!$A$16:$H$1288,8,0),0)</f>
        <v>-86</v>
      </c>
      <c r="K279" s="88">
        <f>-IFERROR(VLOOKUP(C279,Gastos!$A$9:$J$1281,10,0),0)</f>
        <v>-83.42</v>
      </c>
      <c r="L279" s="87">
        <f>-IFERROR(VLOOKUP(C279,IDC!$A$25:$H$1532,8,0),0)</f>
        <v>-51.6</v>
      </c>
      <c r="M279" s="122">
        <f t="shared" si="41"/>
        <v>8600</v>
      </c>
      <c r="N279"/>
      <c r="P279" s="35">
        <f t="shared" si="42"/>
        <v>-8600</v>
      </c>
      <c r="Q279" s="66">
        <f t="shared" si="43"/>
        <v>0</v>
      </c>
    </row>
    <row r="280" spans="1:17" hidden="1">
      <c r="A280" s="1" t="s">
        <v>245</v>
      </c>
      <c r="B280" s="1" t="s">
        <v>15</v>
      </c>
      <c r="C280" s="91">
        <v>125199712170</v>
      </c>
      <c r="D280" s="3">
        <v>46384.77</v>
      </c>
      <c r="E280" s="3">
        <v>8904929.4100000001</v>
      </c>
      <c r="F280" s="35" t="s">
        <v>2750</v>
      </c>
      <c r="G280"/>
      <c r="H280"/>
      <c r="I280" s="27">
        <f>-IFERROR(VLOOKUP(C280,SIRCUPA!$A$21:$H$155,8,0),0)</f>
        <v>0</v>
      </c>
      <c r="J280" s="88">
        <f>-IFERROR(VLOOKUP(C280,SIRTAC!$A$16:$H$1288,8,0),0)</f>
        <v>-491</v>
      </c>
      <c r="K280" s="88">
        <f>-IFERROR(VLOOKUP(C280,Gastos!$A$9:$J$1281,10,0),0)</f>
        <v>-1929.63</v>
      </c>
      <c r="L280" s="87">
        <f>-IFERROR(VLOOKUP(C280,IDC!$A$25:$H$1532,8,0),0)</f>
        <v>-294.60000000000002</v>
      </c>
      <c r="M280" s="122">
        <f t="shared" si="41"/>
        <v>49099.999999999993</v>
      </c>
      <c r="N280"/>
      <c r="P280" s="35">
        <f t="shared" si="42"/>
        <v>-49100</v>
      </c>
      <c r="Q280" s="66">
        <f t="shared" si="43"/>
        <v>0</v>
      </c>
    </row>
    <row r="281" spans="1:17" hidden="1">
      <c r="A281" s="1" t="s">
        <v>245</v>
      </c>
      <c r="B281" s="1" t="s">
        <v>15</v>
      </c>
      <c r="C281" s="91">
        <v>124653835763</v>
      </c>
      <c r="D281" s="3">
        <v>12373.61</v>
      </c>
      <c r="E281" s="3">
        <v>8917303.0199999996</v>
      </c>
      <c r="F281" s="35" t="s">
        <v>2750</v>
      </c>
      <c r="G281"/>
      <c r="H281"/>
      <c r="I281" s="27">
        <f>-IFERROR(VLOOKUP(C281,SIRCUPA!$A$21:$H$155,8,0),0)</f>
        <v>0</v>
      </c>
      <c r="J281" s="88">
        <f>-IFERROR(VLOOKUP(C281,SIRTAC!$A$16:$H$1288,8,0),0)</f>
        <v>-127</v>
      </c>
      <c r="K281" s="88">
        <f>-IFERROR(VLOOKUP(C281,Gastos!$A$9:$J$1281,10,0),0)</f>
        <v>-123.19</v>
      </c>
      <c r="L281" s="87">
        <f>-IFERROR(VLOOKUP(C281,IDC!$A$25:$H$1532,8,0),0)</f>
        <v>-76.2</v>
      </c>
      <c r="M281" s="122">
        <f t="shared" si="41"/>
        <v>12700.000000000002</v>
      </c>
      <c r="N281"/>
      <c r="P281" s="35">
        <f t="shared" si="42"/>
        <v>-12700</v>
      </c>
      <c r="Q281" s="66">
        <f t="shared" si="43"/>
        <v>0</v>
      </c>
    </row>
    <row r="282" spans="1:17" hidden="1">
      <c r="A282" s="1" t="s">
        <v>245</v>
      </c>
      <c r="B282" s="1" t="s">
        <v>325</v>
      </c>
      <c r="C282" s="91">
        <v>125200365970</v>
      </c>
      <c r="D282" s="3">
        <v>1864.99</v>
      </c>
      <c r="E282" s="3">
        <v>8919168.0099999998</v>
      </c>
      <c r="F282" s="2" t="s">
        <v>2750</v>
      </c>
      <c r="G282"/>
      <c r="H282"/>
      <c r="I282" s="27">
        <f>-IFERROR(VLOOKUP(C282,SIRCUPA!$A$21:$H$155,8,0),0)</f>
        <v>-28.58</v>
      </c>
      <c r="J282" s="88">
        <f>-IFERROR(VLOOKUP(C282,SIRTAC!$A$16:$H$1288,8,0),0)</f>
        <v>0</v>
      </c>
      <c r="K282" s="88">
        <f>-IFERROR(VLOOKUP(C282,Gastos!$A$9:$J$1281,10,0),0)</f>
        <v>0</v>
      </c>
      <c r="L282" s="87">
        <f>-IFERROR(VLOOKUP(C282,IDC!$A$25:$H$1532,8,0),0)</f>
        <v>-11.43</v>
      </c>
      <c r="M282" s="122">
        <f t="shared" si="41"/>
        <v>1905</v>
      </c>
      <c r="N282"/>
      <c r="P282" s="35">
        <f t="shared" si="42"/>
        <v>-1905</v>
      </c>
      <c r="Q282" s="66">
        <f t="shared" si="43"/>
        <v>0</v>
      </c>
    </row>
    <row r="283" spans="1:17" hidden="1">
      <c r="A283" s="1" t="s">
        <v>245</v>
      </c>
      <c r="B283" s="1" t="s">
        <v>15</v>
      </c>
      <c r="C283" s="91">
        <v>124654285441</v>
      </c>
      <c r="D283" s="3">
        <v>15776.49</v>
      </c>
      <c r="E283" s="3">
        <v>8934944.5</v>
      </c>
      <c r="F283" s="35" t="s">
        <v>2750</v>
      </c>
      <c r="G283"/>
      <c r="H283"/>
      <c r="I283" s="27">
        <f>-IFERROR(VLOOKUP(C283,SIRCUPA!$A$21:$H$155,8,0),0)</f>
        <v>0</v>
      </c>
      <c r="J283" s="88">
        <f>-IFERROR(VLOOKUP(C283,SIRTAC!$A$16:$H$1288,8,0),0)</f>
        <v>-167</v>
      </c>
      <c r="K283" s="88">
        <f>-IFERROR(VLOOKUP(C283,Gastos!$A$9:$J$1281,10,0),0)</f>
        <v>-656.31</v>
      </c>
      <c r="L283" s="87">
        <f>-IFERROR(VLOOKUP(C283,IDC!$A$25:$H$1532,8,0),0)</f>
        <v>-100.2</v>
      </c>
      <c r="M283" s="122">
        <f t="shared" si="41"/>
        <v>16700</v>
      </c>
      <c r="N283"/>
      <c r="P283" s="35">
        <f t="shared" si="42"/>
        <v>-16700</v>
      </c>
      <c r="Q283" s="66">
        <f t="shared" si="43"/>
        <v>0</v>
      </c>
    </row>
    <row r="284" spans="1:17" hidden="1">
      <c r="A284" s="1" t="s">
        <v>245</v>
      </c>
      <c r="B284" s="1" t="s">
        <v>15</v>
      </c>
      <c r="C284" s="91">
        <v>124657393069</v>
      </c>
      <c r="D284" s="3">
        <v>32998.57</v>
      </c>
      <c r="E284" s="3">
        <v>8967943.0700000003</v>
      </c>
      <c r="F284" s="35" t="s">
        <v>2750</v>
      </c>
      <c r="G284"/>
      <c r="H284"/>
      <c r="I284" s="27">
        <f>-IFERROR(VLOOKUP(C284,SIRCUPA!$A$21:$H$155,8,0),0)</f>
        <v>0</v>
      </c>
      <c r="J284" s="88">
        <f>-IFERROR(VLOOKUP(C284,SIRTAC!$A$16:$H$1288,8,0),0)</f>
        <v>-341</v>
      </c>
      <c r="K284" s="88">
        <f>-IFERROR(VLOOKUP(C284,Gastos!$A$9:$J$1281,10,0),0)</f>
        <v>-555.83000000000004</v>
      </c>
      <c r="L284" s="87">
        <f>-IFERROR(VLOOKUP(C284,IDC!$A$25:$H$1532,8,0),0)</f>
        <v>-204.6</v>
      </c>
      <c r="M284" s="122">
        <f t="shared" si="41"/>
        <v>34100</v>
      </c>
      <c r="N284"/>
      <c r="P284" s="35">
        <f t="shared" si="42"/>
        <v>-34100</v>
      </c>
      <c r="Q284" s="66">
        <f t="shared" si="43"/>
        <v>0</v>
      </c>
    </row>
    <row r="285" spans="1:17" hidden="1">
      <c r="A285" s="1" t="s">
        <v>245</v>
      </c>
      <c r="B285" s="1" t="s">
        <v>329</v>
      </c>
      <c r="C285" s="91">
        <v>124657355831</v>
      </c>
      <c r="D285" s="3">
        <v>3338.39</v>
      </c>
      <c r="E285" s="3">
        <v>8971281.4600000009</v>
      </c>
      <c r="F285" s="2" t="s">
        <v>2750</v>
      </c>
      <c r="G285"/>
      <c r="H285"/>
      <c r="I285" s="27">
        <f>-IFERROR(VLOOKUP(C285,SIRCUPA!$A$21:$H$155,8,0),0)</f>
        <v>-51.15</v>
      </c>
      <c r="J285" s="88">
        <f>-IFERROR(VLOOKUP(C285,SIRTAC!$A$16:$H$1288,8,0),0)</f>
        <v>0</v>
      </c>
      <c r="K285" s="88">
        <f>-IFERROR(VLOOKUP(C285,Gastos!$A$9:$J$1281,10,0),0)</f>
        <v>0</v>
      </c>
      <c r="L285" s="87">
        <f>-IFERROR(VLOOKUP(C285,IDC!$A$25:$H$1532,8,0),0)</f>
        <v>-20.46</v>
      </c>
      <c r="M285" s="122">
        <f t="shared" si="41"/>
        <v>3410</v>
      </c>
      <c r="N285"/>
      <c r="P285" s="35">
        <f t="shared" si="42"/>
        <v>-3410</v>
      </c>
      <c r="Q285" s="66">
        <f t="shared" si="43"/>
        <v>0</v>
      </c>
    </row>
    <row r="286" spans="1:17" hidden="1">
      <c r="A286" s="1" t="s">
        <v>245</v>
      </c>
      <c r="B286" s="1" t="s">
        <v>15</v>
      </c>
      <c r="C286" s="91">
        <v>124657418835</v>
      </c>
      <c r="D286" s="3">
        <v>15199.08</v>
      </c>
      <c r="E286" s="3">
        <v>8986480.5399999991</v>
      </c>
      <c r="F286" s="35" t="s">
        <v>2750</v>
      </c>
      <c r="G286"/>
      <c r="H286"/>
      <c r="I286" s="27">
        <f>-IFERROR(VLOOKUP(C286,SIRCUPA!$A$21:$H$155,8,0),0)</f>
        <v>0</v>
      </c>
      <c r="J286" s="88">
        <f>-IFERROR(VLOOKUP(C286,SIRTAC!$A$16:$H$1288,8,0),0)</f>
        <v>-156</v>
      </c>
      <c r="K286" s="88">
        <f>-IFERROR(VLOOKUP(C286,Gastos!$A$9:$J$1281,10,0),0)</f>
        <v>-151.32</v>
      </c>
      <c r="L286" s="87">
        <f>-IFERROR(VLOOKUP(C286,IDC!$A$25:$H$1532,8,0),0)</f>
        <v>-93.6</v>
      </c>
      <c r="M286" s="122">
        <f t="shared" si="41"/>
        <v>15600</v>
      </c>
      <c r="N286"/>
      <c r="P286" s="35">
        <f t="shared" si="42"/>
        <v>-15599.999999999998</v>
      </c>
      <c r="Q286" s="66">
        <f t="shared" si="43"/>
        <v>0</v>
      </c>
    </row>
    <row r="287" spans="1:17" hidden="1">
      <c r="A287" s="1" t="s">
        <v>245</v>
      </c>
      <c r="B287" s="1" t="s">
        <v>15</v>
      </c>
      <c r="C287" s="91">
        <v>125205657088</v>
      </c>
      <c r="D287" s="3">
        <v>32151.9</v>
      </c>
      <c r="E287" s="3">
        <v>9018632.4399999995</v>
      </c>
      <c r="F287" s="35" t="s">
        <v>2750</v>
      </c>
      <c r="G287"/>
      <c r="H287"/>
      <c r="I287" s="27">
        <f>-IFERROR(VLOOKUP(C287,SIRCUPA!$A$21:$H$155,8,0),0)</f>
        <v>0</v>
      </c>
      <c r="J287" s="88">
        <f>-IFERROR(VLOOKUP(C287,SIRTAC!$A$16:$H$1288,8,0),0)</f>
        <v>-330</v>
      </c>
      <c r="K287" s="88">
        <f>-IFERROR(VLOOKUP(C287,Gastos!$A$9:$J$1281,10,0),0)</f>
        <v>-320.10000000000002</v>
      </c>
      <c r="L287" s="87">
        <f>-IFERROR(VLOOKUP(C287,IDC!$A$25:$H$1532,8,0),0)</f>
        <v>-198</v>
      </c>
      <c r="M287" s="122">
        <f t="shared" si="41"/>
        <v>33000</v>
      </c>
      <c r="N287"/>
      <c r="P287" s="35">
        <f t="shared" si="42"/>
        <v>-33000</v>
      </c>
      <c r="Q287" s="66">
        <f t="shared" si="43"/>
        <v>0</v>
      </c>
    </row>
    <row r="288" spans="1:17" hidden="1">
      <c r="A288" s="1" t="s">
        <v>245</v>
      </c>
      <c r="B288" s="1" t="s">
        <v>15</v>
      </c>
      <c r="C288" s="91">
        <v>125205858756</v>
      </c>
      <c r="D288" s="3">
        <v>8378.98</v>
      </c>
      <c r="E288" s="3">
        <v>9027011.4199999999</v>
      </c>
      <c r="F288" s="35" t="s">
        <v>2750</v>
      </c>
      <c r="G288"/>
      <c r="H288"/>
      <c r="I288" s="27">
        <f>-IFERROR(VLOOKUP(C288,SIRCUPA!$A$21:$H$155,8,0),0)</f>
        <v>0</v>
      </c>
      <c r="J288" s="88">
        <f>-IFERROR(VLOOKUP(C288,SIRTAC!$A$16:$H$1288,8,0),0)</f>
        <v>-86</v>
      </c>
      <c r="K288" s="88">
        <f>-IFERROR(VLOOKUP(C288,Gastos!$A$9:$J$1281,10,0),0)</f>
        <v>-83.42</v>
      </c>
      <c r="L288" s="87">
        <f>-IFERROR(VLOOKUP(C288,IDC!$A$25:$H$1532,8,0),0)</f>
        <v>-51.6</v>
      </c>
      <c r="M288" s="122">
        <f t="shared" si="41"/>
        <v>8600</v>
      </c>
      <c r="N288"/>
      <c r="P288" s="35">
        <f t="shared" si="42"/>
        <v>-8600</v>
      </c>
      <c r="Q288" s="66">
        <f t="shared" si="43"/>
        <v>0</v>
      </c>
    </row>
    <row r="289" spans="1:17" hidden="1">
      <c r="A289" s="1" t="s">
        <v>245</v>
      </c>
      <c r="B289" s="1" t="s">
        <v>15</v>
      </c>
      <c r="C289" s="91">
        <v>125206345154</v>
      </c>
      <c r="D289" s="3">
        <v>26306.1</v>
      </c>
      <c r="E289" s="3">
        <v>9053317.5199999996</v>
      </c>
      <c r="F289" s="35" t="s">
        <v>2750</v>
      </c>
      <c r="G289"/>
      <c r="H289"/>
      <c r="I289" s="27">
        <f>-IFERROR(VLOOKUP(C289,SIRCUPA!$A$21:$H$155,8,0),0)</f>
        <v>0</v>
      </c>
      <c r="J289" s="88">
        <f>-IFERROR(VLOOKUP(C289,SIRTAC!$A$16:$H$1288,8,0),0)</f>
        <v>-270</v>
      </c>
      <c r="K289" s="88">
        <f>-IFERROR(VLOOKUP(C289,Gastos!$A$9:$J$1281,10,0),0)</f>
        <v>-261.89999999999998</v>
      </c>
      <c r="L289" s="87">
        <f>-IFERROR(VLOOKUP(C289,IDC!$A$25:$H$1532,8,0),0)</f>
        <v>-162</v>
      </c>
      <c r="M289" s="122">
        <f t="shared" si="41"/>
        <v>27000</v>
      </c>
      <c r="N289"/>
      <c r="P289" s="35">
        <f t="shared" si="42"/>
        <v>-27000</v>
      </c>
      <c r="Q289" s="66">
        <f t="shared" si="43"/>
        <v>0</v>
      </c>
    </row>
    <row r="290" spans="1:17" hidden="1">
      <c r="A290" s="1" t="s">
        <v>245</v>
      </c>
      <c r="B290" s="1" t="s">
        <v>15</v>
      </c>
      <c r="C290" s="91">
        <v>124660239475</v>
      </c>
      <c r="D290" s="3">
        <v>7599.54</v>
      </c>
      <c r="E290" s="3">
        <v>9060917.0600000005</v>
      </c>
      <c r="F290" s="35" t="s">
        <v>2750</v>
      </c>
      <c r="G290"/>
      <c r="H290"/>
      <c r="I290" s="27">
        <f>-IFERROR(VLOOKUP(C290,SIRCUPA!$A$21:$H$155,8,0),0)</f>
        <v>0</v>
      </c>
      <c r="J290" s="88">
        <f>-IFERROR(VLOOKUP(C290,SIRTAC!$A$16:$H$1288,8,0),0)</f>
        <v>-78</v>
      </c>
      <c r="K290" s="88">
        <f>-IFERROR(VLOOKUP(C290,Gastos!$A$9:$J$1281,10,0),0)</f>
        <v>-75.66</v>
      </c>
      <c r="L290" s="87">
        <f>-IFERROR(VLOOKUP(C290,IDC!$A$25:$H$1532,8,0),0)</f>
        <v>-46.8</v>
      </c>
      <c r="M290" s="122">
        <f t="shared" si="41"/>
        <v>7800</v>
      </c>
      <c r="N290"/>
      <c r="P290" s="35">
        <f t="shared" si="42"/>
        <v>-7799.9999999999991</v>
      </c>
      <c r="Q290" s="66">
        <f t="shared" si="43"/>
        <v>0</v>
      </c>
    </row>
    <row r="291" spans="1:17" hidden="1">
      <c r="A291" s="1" t="s">
        <v>245</v>
      </c>
      <c r="B291" s="1" t="s">
        <v>15</v>
      </c>
      <c r="C291" s="91">
        <v>124660482969</v>
      </c>
      <c r="D291" s="2">
        <v>584.58000000000004</v>
      </c>
      <c r="E291" s="3">
        <v>9061501.6400000006</v>
      </c>
      <c r="F291" s="35" t="s">
        <v>2750</v>
      </c>
      <c r="G291"/>
      <c r="H291"/>
      <c r="I291" s="27">
        <f>-IFERROR(VLOOKUP(C291,SIRCUPA!$A$21:$H$155,8,0),0)</f>
        <v>0</v>
      </c>
      <c r="J291" s="88">
        <f>-IFERROR(VLOOKUP(C291,SIRTAC!$A$16:$H$1288,8,0),0)</f>
        <v>-6</v>
      </c>
      <c r="K291" s="88">
        <f>-IFERROR(VLOOKUP(C291,Gastos!$A$9:$J$1281,10,0),0)</f>
        <v>-5.82</v>
      </c>
      <c r="L291" s="87">
        <f>-IFERROR(VLOOKUP(C291,IDC!$A$25:$H$1532,8,0),0)</f>
        <v>-3.6</v>
      </c>
      <c r="M291" s="122">
        <f t="shared" si="41"/>
        <v>600.00000000000011</v>
      </c>
      <c r="N291"/>
      <c r="P291" s="35">
        <f t="shared" si="42"/>
        <v>-600</v>
      </c>
      <c r="Q291" s="66">
        <f t="shared" si="43"/>
        <v>0</v>
      </c>
    </row>
    <row r="292" spans="1:17" hidden="1">
      <c r="A292" s="1" t="s">
        <v>245</v>
      </c>
      <c r="B292" s="1" t="s">
        <v>15</v>
      </c>
      <c r="C292" s="91">
        <v>124660671863</v>
      </c>
      <c r="D292" s="3">
        <v>8378.98</v>
      </c>
      <c r="E292" s="3">
        <v>9069880.6199999992</v>
      </c>
      <c r="F292" s="35" t="s">
        <v>2750</v>
      </c>
      <c r="G292"/>
      <c r="H292"/>
      <c r="I292" s="27">
        <f>-IFERROR(VLOOKUP(C292,SIRCUPA!$A$21:$H$155,8,0),0)</f>
        <v>0</v>
      </c>
      <c r="J292" s="88">
        <f>-IFERROR(VLOOKUP(C292,SIRTAC!$A$16:$H$1288,8,0),0)</f>
        <v>-86</v>
      </c>
      <c r="K292" s="88">
        <f>-IFERROR(VLOOKUP(C292,Gastos!$A$9:$J$1281,10,0),0)</f>
        <v>-83.42</v>
      </c>
      <c r="L292" s="87">
        <f>-IFERROR(VLOOKUP(C292,IDC!$A$25:$H$1532,8,0),0)</f>
        <v>-51.6</v>
      </c>
      <c r="M292" s="122">
        <f t="shared" si="41"/>
        <v>8600</v>
      </c>
      <c r="N292"/>
      <c r="P292" s="35">
        <f t="shared" si="42"/>
        <v>-8600</v>
      </c>
      <c r="Q292" s="66">
        <f t="shared" si="43"/>
        <v>0</v>
      </c>
    </row>
    <row r="293" spans="1:17" hidden="1">
      <c r="A293" s="1" t="s">
        <v>245</v>
      </c>
      <c r="B293" s="1" t="s">
        <v>15</v>
      </c>
      <c r="C293" s="91">
        <v>125208294382</v>
      </c>
      <c r="D293" s="3">
        <v>37607.980000000003</v>
      </c>
      <c r="E293" s="3">
        <v>9107488.5999999996</v>
      </c>
      <c r="F293" s="35" t="s">
        <v>2750</v>
      </c>
      <c r="G293"/>
      <c r="H293"/>
      <c r="I293" s="27">
        <f>-IFERROR(VLOOKUP(C293,SIRCUPA!$A$21:$H$155,8,0),0)</f>
        <v>0</v>
      </c>
      <c r="J293" s="88">
        <f>-IFERROR(VLOOKUP(C293,SIRTAC!$A$16:$H$1288,8,0),0)</f>
        <v>-386</v>
      </c>
      <c r="K293" s="88">
        <f>-IFERROR(VLOOKUP(C293,Gastos!$A$9:$J$1281,10,0),0)</f>
        <v>-374.42</v>
      </c>
      <c r="L293" s="87">
        <f>-IFERROR(VLOOKUP(C293,IDC!$A$25:$H$1532,8,0),0)</f>
        <v>-231.6</v>
      </c>
      <c r="M293" s="122">
        <f t="shared" si="41"/>
        <v>38600</v>
      </c>
      <c r="N293"/>
      <c r="P293" s="35">
        <f t="shared" si="42"/>
        <v>-38600</v>
      </c>
      <c r="Q293" s="66">
        <f t="shared" si="43"/>
        <v>0</v>
      </c>
    </row>
    <row r="294" spans="1:17" hidden="1">
      <c r="A294" s="1" t="s">
        <v>245</v>
      </c>
      <c r="B294" s="1" t="s">
        <v>15</v>
      </c>
      <c r="C294" s="91">
        <v>124662242795</v>
      </c>
      <c r="D294" s="3">
        <v>37997.699999999997</v>
      </c>
      <c r="E294" s="3">
        <v>9145486.3000000007</v>
      </c>
      <c r="F294" s="35" t="s">
        <v>2750</v>
      </c>
      <c r="G294"/>
      <c r="H294"/>
      <c r="I294" s="27">
        <f>-IFERROR(VLOOKUP(C294,SIRCUPA!$A$21:$H$155,8,0),0)</f>
        <v>0</v>
      </c>
      <c r="J294" s="88">
        <f>-IFERROR(VLOOKUP(C294,SIRTAC!$A$16:$H$1288,8,0),0)</f>
        <v>-390</v>
      </c>
      <c r="K294" s="88">
        <f>-IFERROR(VLOOKUP(C294,Gastos!$A$9:$J$1281,10,0),0)</f>
        <v>-378.3</v>
      </c>
      <c r="L294" s="87">
        <f>-IFERROR(VLOOKUP(C294,IDC!$A$25:$H$1532,8,0),0)</f>
        <v>-234</v>
      </c>
      <c r="M294" s="122">
        <f t="shared" si="41"/>
        <v>39000</v>
      </c>
      <c r="N294"/>
      <c r="P294" s="35">
        <f t="shared" si="42"/>
        <v>-39000</v>
      </c>
      <c r="Q294" s="66">
        <f t="shared" si="43"/>
        <v>0</v>
      </c>
    </row>
    <row r="295" spans="1:17" hidden="1">
      <c r="A295" s="1" t="s">
        <v>245</v>
      </c>
      <c r="B295" s="1" t="s">
        <v>15</v>
      </c>
      <c r="C295" s="91">
        <v>124662948695</v>
      </c>
      <c r="D295" s="3">
        <v>26451.599999999999</v>
      </c>
      <c r="E295" s="3">
        <v>9171937.9000000004</v>
      </c>
      <c r="F295" s="35" t="s">
        <v>2750</v>
      </c>
      <c r="G295"/>
      <c r="H295"/>
      <c r="I295" s="27">
        <f>-IFERROR(VLOOKUP(C295,SIRCUPA!$A$21:$H$155,8,0),0)</f>
        <v>0</v>
      </c>
      <c r="J295" s="88">
        <f>-IFERROR(VLOOKUP(C295,SIRTAC!$A$16:$H$1288,8,0),0)</f>
        <v>-280</v>
      </c>
      <c r="K295" s="88">
        <f>-IFERROR(VLOOKUP(C295,Gastos!$A$9:$J$1281,10,0),0)</f>
        <v>-1100.4000000000001</v>
      </c>
      <c r="L295" s="87">
        <f>-IFERROR(VLOOKUP(C295,IDC!$A$25:$H$1532,8,0),0)</f>
        <v>-168</v>
      </c>
      <c r="M295" s="122">
        <f t="shared" si="41"/>
        <v>28000</v>
      </c>
      <c r="N295"/>
      <c r="P295" s="35">
        <f t="shared" si="42"/>
        <v>-28000</v>
      </c>
      <c r="Q295" s="66">
        <f t="shared" si="43"/>
        <v>0</v>
      </c>
    </row>
    <row r="296" spans="1:17" hidden="1">
      <c r="A296" s="1" t="s">
        <v>245</v>
      </c>
      <c r="B296" s="1" t="s">
        <v>15</v>
      </c>
      <c r="C296" s="91">
        <v>124663516767</v>
      </c>
      <c r="D296" s="3">
        <v>33515.919999999998</v>
      </c>
      <c r="E296" s="3">
        <v>9205453.8200000003</v>
      </c>
      <c r="F296" s="35" t="s">
        <v>2750</v>
      </c>
      <c r="G296"/>
      <c r="H296"/>
      <c r="I296" s="27">
        <f>-IFERROR(VLOOKUP(C296,SIRCUPA!$A$21:$H$155,8,0),0)</f>
        <v>0</v>
      </c>
      <c r="J296" s="88">
        <f>-IFERROR(VLOOKUP(C296,SIRTAC!$A$16:$H$1288,8,0),0)</f>
        <v>-344</v>
      </c>
      <c r="K296" s="88">
        <f>-IFERROR(VLOOKUP(C296,Gastos!$A$9:$J$1281,10,0),0)</f>
        <v>-333.68</v>
      </c>
      <c r="L296" s="87">
        <f>-IFERROR(VLOOKUP(C296,IDC!$A$25:$H$1532,8,0),0)</f>
        <v>-206.4</v>
      </c>
      <c r="M296" s="122">
        <f t="shared" si="41"/>
        <v>34400</v>
      </c>
      <c r="N296"/>
      <c r="P296" s="35">
        <f t="shared" si="42"/>
        <v>-34400</v>
      </c>
      <c r="Q296" s="66">
        <f t="shared" si="43"/>
        <v>0</v>
      </c>
    </row>
    <row r="297" spans="1:17" hidden="1">
      <c r="A297" s="1" t="s">
        <v>245</v>
      </c>
      <c r="B297" s="1" t="s">
        <v>15</v>
      </c>
      <c r="C297" s="91">
        <v>125210313878</v>
      </c>
      <c r="D297" s="3">
        <v>8378.98</v>
      </c>
      <c r="E297" s="3">
        <v>9213832.8000000007</v>
      </c>
      <c r="F297" s="35" t="s">
        <v>2750</v>
      </c>
      <c r="G297"/>
      <c r="H297"/>
      <c r="I297" s="27">
        <f>-IFERROR(VLOOKUP(C297,SIRCUPA!$A$21:$H$155,8,0),0)</f>
        <v>0</v>
      </c>
      <c r="J297" s="88">
        <f>-IFERROR(VLOOKUP(C297,SIRTAC!$A$16:$H$1288,8,0),0)</f>
        <v>-86</v>
      </c>
      <c r="K297" s="88">
        <f>-IFERROR(VLOOKUP(C297,Gastos!$A$9:$J$1281,10,0),0)</f>
        <v>-83.42</v>
      </c>
      <c r="L297" s="87">
        <f>-IFERROR(VLOOKUP(C297,IDC!$A$25:$H$1532,8,0),0)</f>
        <v>-51.6</v>
      </c>
      <c r="M297" s="122">
        <f t="shared" si="41"/>
        <v>8600</v>
      </c>
      <c r="N297"/>
      <c r="P297" s="35">
        <f t="shared" si="42"/>
        <v>-8600</v>
      </c>
      <c r="Q297" s="66">
        <f t="shared" si="43"/>
        <v>0</v>
      </c>
    </row>
    <row r="298" spans="1:17" hidden="1">
      <c r="A298" s="1" t="s">
        <v>245</v>
      </c>
      <c r="B298" s="1" t="s">
        <v>15</v>
      </c>
      <c r="C298" s="91">
        <v>125210580296</v>
      </c>
      <c r="D298" s="3">
        <v>10327.58</v>
      </c>
      <c r="E298" s="3">
        <v>9224160.3800000008</v>
      </c>
      <c r="F298" s="35" t="s">
        <v>2750</v>
      </c>
      <c r="G298"/>
      <c r="H298"/>
      <c r="I298" s="27">
        <f>-IFERROR(VLOOKUP(C298,SIRCUPA!$A$21:$H$155,8,0),0)</f>
        <v>0</v>
      </c>
      <c r="J298" s="88">
        <f>-IFERROR(VLOOKUP(C298,SIRTAC!$A$16:$H$1288,8,0),0)</f>
        <v>-106</v>
      </c>
      <c r="K298" s="88">
        <f>-IFERROR(VLOOKUP(C298,Gastos!$A$9:$J$1281,10,0),0)</f>
        <v>-102.82</v>
      </c>
      <c r="L298" s="87">
        <f>-IFERROR(VLOOKUP(C298,IDC!$A$25:$H$1532,8,0),0)</f>
        <v>-63.6</v>
      </c>
      <c r="M298" s="122">
        <f t="shared" si="41"/>
        <v>10600</v>
      </c>
      <c r="N298"/>
      <c r="P298" s="35">
        <f t="shared" si="42"/>
        <v>-10600</v>
      </c>
      <c r="Q298" s="66">
        <f t="shared" si="43"/>
        <v>0</v>
      </c>
    </row>
    <row r="299" spans="1:17" hidden="1">
      <c r="A299" s="1" t="s">
        <v>245</v>
      </c>
      <c r="B299" s="1" t="s">
        <v>15</v>
      </c>
      <c r="C299" s="91">
        <v>125210591466</v>
      </c>
      <c r="D299" s="3">
        <v>43940.93</v>
      </c>
      <c r="E299" s="3">
        <v>9268101.3100000005</v>
      </c>
      <c r="F299" s="35" t="s">
        <v>2750</v>
      </c>
      <c r="G299"/>
      <c r="H299"/>
      <c r="I299" s="27">
        <f>-IFERROR(VLOOKUP(C299,SIRCUPA!$A$21:$H$155,8,0),0)</f>
        <v>0</v>
      </c>
      <c r="J299" s="88">
        <f>-IFERROR(VLOOKUP(C299,SIRTAC!$A$16:$H$1288,8,0),0)</f>
        <v>-451</v>
      </c>
      <c r="K299" s="88">
        <f>-IFERROR(VLOOKUP(C299,Gastos!$A$9:$J$1281,10,0),0)</f>
        <v>-437.47</v>
      </c>
      <c r="L299" s="87">
        <f>-IFERROR(VLOOKUP(C299,IDC!$A$25:$H$1532,8,0),0)</f>
        <v>-270.60000000000002</v>
      </c>
      <c r="M299" s="122">
        <f t="shared" si="41"/>
        <v>45100</v>
      </c>
      <c r="N299"/>
      <c r="P299" s="35">
        <f t="shared" si="42"/>
        <v>-45100</v>
      </c>
      <c r="Q299" s="66">
        <f t="shared" si="43"/>
        <v>0</v>
      </c>
    </row>
    <row r="300" spans="1:17" hidden="1">
      <c r="A300" s="1" t="s">
        <v>245</v>
      </c>
      <c r="B300" s="1" t="s">
        <v>345</v>
      </c>
      <c r="C300" s="91">
        <v>125210624856</v>
      </c>
      <c r="D300" s="3">
        <v>6622.93</v>
      </c>
      <c r="E300" s="3">
        <v>9274724.2400000002</v>
      </c>
      <c r="F300" s="2" t="s">
        <v>2750</v>
      </c>
      <c r="G300"/>
      <c r="H300"/>
      <c r="I300" s="27">
        <f>-IFERROR(VLOOKUP(C300,SIRCUPA!$A$21:$H$155,8,0),0)</f>
        <v>-101.48</v>
      </c>
      <c r="J300" s="88">
        <f>-IFERROR(VLOOKUP(C300,SIRTAC!$A$16:$H$1288,8,0),0)</f>
        <v>0</v>
      </c>
      <c r="K300" s="88">
        <f>-IFERROR(VLOOKUP(C300,Gastos!$A$9:$J$1281,10,0),0)</f>
        <v>0</v>
      </c>
      <c r="L300" s="87">
        <f>-IFERROR(VLOOKUP(C300,IDC!$A$25:$H$1532,8,0),0)</f>
        <v>-40.590000000000003</v>
      </c>
      <c r="M300" s="122">
        <f t="shared" si="41"/>
        <v>6765</v>
      </c>
      <c r="N300"/>
      <c r="P300" s="35">
        <f t="shared" si="42"/>
        <v>-6765</v>
      </c>
      <c r="Q300" s="66">
        <f t="shared" si="43"/>
        <v>0</v>
      </c>
    </row>
    <row r="301" spans="1:17" hidden="1">
      <c r="A301" s="1" t="s">
        <v>245</v>
      </c>
      <c r="B301" s="1" t="s">
        <v>15</v>
      </c>
      <c r="C301" s="91">
        <v>124664329219</v>
      </c>
      <c r="D301" s="3">
        <v>28059.84</v>
      </c>
      <c r="E301" s="3">
        <v>9302784.0800000001</v>
      </c>
      <c r="F301" s="35" t="s">
        <v>2750</v>
      </c>
      <c r="G301"/>
      <c r="H301"/>
      <c r="I301" s="27">
        <f>-IFERROR(VLOOKUP(C301,SIRCUPA!$A$21:$H$155,8,0),0)</f>
        <v>0</v>
      </c>
      <c r="J301" s="88">
        <f>-IFERROR(VLOOKUP(C301,SIRTAC!$A$16:$H$1288,8,0),0)</f>
        <v>-288</v>
      </c>
      <c r="K301" s="88">
        <f>-IFERROR(VLOOKUP(C301,Gastos!$A$9:$J$1281,10,0),0)</f>
        <v>-279.36</v>
      </c>
      <c r="L301" s="87">
        <f>-IFERROR(VLOOKUP(C301,IDC!$A$25:$H$1532,8,0),0)</f>
        <v>-172.8</v>
      </c>
      <c r="M301" s="122">
        <f t="shared" si="41"/>
        <v>28800</v>
      </c>
      <c r="N301"/>
      <c r="P301" s="35">
        <f t="shared" si="42"/>
        <v>-28800</v>
      </c>
      <c r="Q301" s="66">
        <f t="shared" si="43"/>
        <v>0</v>
      </c>
    </row>
    <row r="302" spans="1:17" hidden="1">
      <c r="A302" s="1" t="s">
        <v>245</v>
      </c>
      <c r="B302" s="1" t="s">
        <v>15</v>
      </c>
      <c r="C302" s="91">
        <v>124664940299</v>
      </c>
      <c r="D302" s="3">
        <v>8281.5499999999993</v>
      </c>
      <c r="E302" s="3">
        <v>9311065.6300000008</v>
      </c>
      <c r="F302" s="35" t="s">
        <v>2750</v>
      </c>
      <c r="G302"/>
      <c r="H302"/>
      <c r="I302" s="27">
        <f>-IFERROR(VLOOKUP(C302,SIRCUPA!$A$21:$H$155,8,0),0)</f>
        <v>0</v>
      </c>
      <c r="J302" s="88">
        <f>-IFERROR(VLOOKUP(C302,SIRTAC!$A$16:$H$1288,8,0),0)</f>
        <v>-85</v>
      </c>
      <c r="K302" s="88">
        <f>-IFERROR(VLOOKUP(C302,Gastos!$A$9:$J$1281,10,0),0)</f>
        <v>-82.45</v>
      </c>
      <c r="L302" s="87">
        <f>-IFERROR(VLOOKUP(C302,IDC!$A$25:$H$1532,8,0),0)</f>
        <v>-51</v>
      </c>
      <c r="M302" s="122">
        <f t="shared" si="41"/>
        <v>8500</v>
      </c>
      <c r="N302"/>
      <c r="P302" s="35">
        <f t="shared" si="42"/>
        <v>-8500</v>
      </c>
      <c r="Q302" s="66">
        <f t="shared" si="43"/>
        <v>0</v>
      </c>
    </row>
    <row r="303" spans="1:17" hidden="1">
      <c r="A303" s="1" t="s">
        <v>245</v>
      </c>
      <c r="B303" s="1" t="s">
        <v>15</v>
      </c>
      <c r="C303" s="91">
        <v>124664971085</v>
      </c>
      <c r="D303" s="3">
        <v>53391.64</v>
      </c>
      <c r="E303" s="3">
        <v>9364457.2699999996</v>
      </c>
      <c r="F303" s="35" t="s">
        <v>2750</v>
      </c>
      <c r="G303"/>
      <c r="H303"/>
      <c r="I303" s="27">
        <f>-IFERROR(VLOOKUP(C303,SIRCUPA!$A$21:$H$155,8,0),0)</f>
        <v>0</v>
      </c>
      <c r="J303" s="88">
        <f>-IFERROR(VLOOKUP(C303,SIRTAC!$A$16:$H$1288,8,0),0)</f>
        <v>-548</v>
      </c>
      <c r="K303" s="88">
        <f>-IFERROR(VLOOKUP(C303,Gastos!$A$9:$J$1281,10,0),0)</f>
        <v>-531.55999999999995</v>
      </c>
      <c r="L303" s="87">
        <f>-IFERROR(VLOOKUP(C303,IDC!$A$25:$H$1532,8,0),0)</f>
        <v>-328.8</v>
      </c>
      <c r="M303" s="122">
        <f t="shared" si="41"/>
        <v>54800</v>
      </c>
      <c r="N303"/>
      <c r="P303" s="35">
        <f t="shared" si="42"/>
        <v>-54800</v>
      </c>
      <c r="Q303" s="66">
        <f t="shared" si="43"/>
        <v>0</v>
      </c>
    </row>
    <row r="304" spans="1:17" hidden="1">
      <c r="A304" s="1" t="s">
        <v>245</v>
      </c>
      <c r="B304" s="1" t="s">
        <v>15</v>
      </c>
      <c r="C304" s="91">
        <v>124665395075</v>
      </c>
      <c r="D304" s="3">
        <v>25884.78</v>
      </c>
      <c r="E304" s="3">
        <v>9390342.0500000007</v>
      </c>
      <c r="F304" s="35" t="s">
        <v>2750</v>
      </c>
      <c r="G304"/>
      <c r="H304"/>
      <c r="I304" s="27">
        <f>-IFERROR(VLOOKUP(C304,SIRCUPA!$A$21:$H$155,8,0),0)</f>
        <v>0</v>
      </c>
      <c r="J304" s="88">
        <f>-IFERROR(VLOOKUP(C304,SIRTAC!$A$16:$H$1288,8,0),0)</f>
        <v>-274</v>
      </c>
      <c r="K304" s="88">
        <f>-IFERROR(VLOOKUP(C304,Gastos!$A$9:$J$1281,10,0),0)</f>
        <v>-1076.82</v>
      </c>
      <c r="L304" s="87">
        <f>-IFERROR(VLOOKUP(C304,IDC!$A$25:$H$1532,8,0),0)</f>
        <v>-164.4</v>
      </c>
      <c r="M304" s="122">
        <f t="shared" si="41"/>
        <v>27400</v>
      </c>
      <c r="N304"/>
      <c r="P304" s="35">
        <f t="shared" si="42"/>
        <v>-27400</v>
      </c>
      <c r="Q304" s="66">
        <f t="shared" si="43"/>
        <v>0</v>
      </c>
    </row>
    <row r="305" spans="1:17" hidden="1">
      <c r="A305" s="1" t="s">
        <v>245</v>
      </c>
      <c r="B305" s="1" t="s">
        <v>15</v>
      </c>
      <c r="C305" s="91">
        <v>124665509203</v>
      </c>
      <c r="D305" s="3">
        <v>43258.92</v>
      </c>
      <c r="E305" s="3">
        <v>9433600.9700000007</v>
      </c>
      <c r="F305" s="35" t="s">
        <v>2750</v>
      </c>
      <c r="G305"/>
      <c r="H305"/>
      <c r="I305" s="27">
        <f>-IFERROR(VLOOKUP(C305,SIRCUPA!$A$21:$H$155,8,0),0)</f>
        <v>0</v>
      </c>
      <c r="J305" s="88">
        <f>-IFERROR(VLOOKUP(C305,SIRTAC!$A$16:$H$1288,8,0),0)</f>
        <v>-444</v>
      </c>
      <c r="K305" s="88">
        <f>-IFERROR(VLOOKUP(C305,Gastos!$A$9:$J$1281,10,0),0)</f>
        <v>-430.68</v>
      </c>
      <c r="L305" s="87">
        <f>-IFERROR(VLOOKUP(C305,IDC!$A$25:$H$1532,8,0),0)</f>
        <v>-266.39999999999998</v>
      </c>
      <c r="M305" s="122">
        <f t="shared" si="41"/>
        <v>44400</v>
      </c>
      <c r="N305"/>
      <c r="P305" s="35">
        <f t="shared" si="42"/>
        <v>-44399.999999999993</v>
      </c>
      <c r="Q305" s="66">
        <f t="shared" si="43"/>
        <v>0</v>
      </c>
    </row>
    <row r="306" spans="1:17" hidden="1">
      <c r="A306" s="1" t="s">
        <v>245</v>
      </c>
      <c r="B306" s="1" t="s">
        <v>15</v>
      </c>
      <c r="C306" s="91">
        <v>125212296296</v>
      </c>
      <c r="D306" s="3">
        <v>7599.54</v>
      </c>
      <c r="E306" s="3">
        <v>9441200.5099999998</v>
      </c>
      <c r="F306" s="35" t="s">
        <v>2750</v>
      </c>
      <c r="G306"/>
      <c r="H306"/>
      <c r="I306" s="27">
        <f>-IFERROR(VLOOKUP(C306,SIRCUPA!$A$21:$H$155,8,0),0)</f>
        <v>0</v>
      </c>
      <c r="J306" s="88">
        <f>-IFERROR(VLOOKUP(C306,SIRTAC!$A$16:$H$1288,8,0),0)</f>
        <v>-78</v>
      </c>
      <c r="K306" s="88">
        <f>-IFERROR(VLOOKUP(C306,Gastos!$A$9:$J$1281,10,0),0)</f>
        <v>-75.66</v>
      </c>
      <c r="L306" s="87">
        <f>-IFERROR(VLOOKUP(C306,IDC!$A$25:$H$1532,8,0),0)</f>
        <v>-46.8</v>
      </c>
      <c r="M306" s="122">
        <f t="shared" ref="M306:M337" si="44">+D306-I306-J306-K306-L306</f>
        <v>7800</v>
      </c>
      <c r="N306"/>
      <c r="P306" s="35">
        <f t="shared" si="42"/>
        <v>-7799.9999999999991</v>
      </c>
      <c r="Q306" s="66">
        <f t="shared" si="43"/>
        <v>0</v>
      </c>
    </row>
    <row r="307" spans="1:17" hidden="1">
      <c r="A307" s="1" t="s">
        <v>245</v>
      </c>
      <c r="B307" s="1" t="s">
        <v>15</v>
      </c>
      <c r="C307" s="91">
        <v>125212279366</v>
      </c>
      <c r="D307" s="3">
        <v>8281.5499999999993</v>
      </c>
      <c r="E307" s="3">
        <v>9449482.0600000005</v>
      </c>
      <c r="F307" s="35" t="s">
        <v>2750</v>
      </c>
      <c r="G307"/>
      <c r="H307"/>
      <c r="I307" s="27">
        <f>-IFERROR(VLOOKUP(C307,SIRCUPA!$A$21:$H$155,8,0),0)</f>
        <v>0</v>
      </c>
      <c r="J307" s="88">
        <f>-IFERROR(VLOOKUP(C307,SIRTAC!$A$16:$H$1288,8,0),0)</f>
        <v>-85</v>
      </c>
      <c r="K307" s="88">
        <f>-IFERROR(VLOOKUP(C307,Gastos!$A$9:$J$1281,10,0),0)</f>
        <v>-82.45</v>
      </c>
      <c r="L307" s="87">
        <f>-IFERROR(VLOOKUP(C307,IDC!$A$25:$H$1532,8,0),0)</f>
        <v>-51</v>
      </c>
      <c r="M307" s="122">
        <f t="shared" si="44"/>
        <v>8500</v>
      </c>
      <c r="N307"/>
      <c r="P307" s="35">
        <f t="shared" si="42"/>
        <v>-8500</v>
      </c>
      <c r="Q307" s="66">
        <f t="shared" si="43"/>
        <v>0</v>
      </c>
    </row>
    <row r="308" spans="1:17" hidden="1">
      <c r="A308" s="1" t="s">
        <v>245</v>
      </c>
      <c r="B308" s="1" t="s">
        <v>15</v>
      </c>
      <c r="C308" s="91">
        <v>124665912009</v>
      </c>
      <c r="D308" s="3">
        <v>42284.62</v>
      </c>
      <c r="E308" s="3">
        <v>9491766.6799999997</v>
      </c>
      <c r="F308" s="35" t="s">
        <v>2750</v>
      </c>
      <c r="G308"/>
      <c r="H308"/>
      <c r="I308" s="27">
        <f>-IFERROR(VLOOKUP(C308,SIRCUPA!$A$21:$H$155,8,0),0)</f>
        <v>0</v>
      </c>
      <c r="J308" s="88">
        <f>-IFERROR(VLOOKUP(C308,SIRTAC!$A$16:$H$1288,8,0),0)</f>
        <v>-434</v>
      </c>
      <c r="K308" s="88">
        <f>-IFERROR(VLOOKUP(C308,Gastos!$A$9:$J$1281,10,0),0)</f>
        <v>-420.98</v>
      </c>
      <c r="L308" s="87">
        <f>-IFERROR(VLOOKUP(C308,IDC!$A$25:$H$1532,8,0),0)</f>
        <v>-260.39999999999998</v>
      </c>
      <c r="M308" s="122">
        <f t="shared" si="44"/>
        <v>43400.000000000007</v>
      </c>
      <c r="N308"/>
      <c r="P308" s="35">
        <f t="shared" si="42"/>
        <v>-43399.999999999993</v>
      </c>
      <c r="Q308" s="66">
        <f t="shared" si="43"/>
        <v>0</v>
      </c>
    </row>
    <row r="309" spans="1:17" hidden="1">
      <c r="A309" s="1" t="s">
        <v>245</v>
      </c>
      <c r="B309" s="1" t="s">
        <v>15</v>
      </c>
      <c r="C309" s="91">
        <v>124666058581</v>
      </c>
      <c r="D309" s="3">
        <v>33820.26</v>
      </c>
      <c r="E309" s="3">
        <v>9525586.9399999995</v>
      </c>
      <c r="F309" s="35" t="s">
        <v>2750</v>
      </c>
      <c r="G309"/>
      <c r="H309"/>
      <c r="I309" s="27">
        <f>-IFERROR(VLOOKUP(C309,SIRCUPA!$A$21:$H$155,8,0),0)</f>
        <v>0</v>
      </c>
      <c r="J309" s="88">
        <f>-IFERROR(VLOOKUP(C309,SIRTAC!$A$16:$H$1288,8,0),0)</f>
        <v>-358</v>
      </c>
      <c r="K309" s="88">
        <f>-IFERROR(VLOOKUP(C309,Gastos!$A$9:$J$1281,10,0),0)</f>
        <v>-1406.94</v>
      </c>
      <c r="L309" s="87">
        <f>-IFERROR(VLOOKUP(C309,IDC!$A$25:$H$1532,8,0),0)</f>
        <v>-214.8</v>
      </c>
      <c r="M309" s="122">
        <f t="shared" si="44"/>
        <v>35800.000000000007</v>
      </c>
      <c r="N309"/>
      <c r="P309" s="35">
        <f t="shared" si="42"/>
        <v>-35800</v>
      </c>
      <c r="Q309" s="66">
        <f t="shared" si="43"/>
        <v>0</v>
      </c>
    </row>
    <row r="310" spans="1:17" hidden="1">
      <c r="A310" s="1" t="s">
        <v>245</v>
      </c>
      <c r="B310" s="1" t="s">
        <v>15</v>
      </c>
      <c r="C310" s="91">
        <v>125212465982</v>
      </c>
      <c r="D310" s="3">
        <v>4189.49</v>
      </c>
      <c r="E310" s="3">
        <v>9529776.4299999997</v>
      </c>
      <c r="F310" s="35" t="s">
        <v>2750</v>
      </c>
      <c r="G310"/>
      <c r="H310"/>
      <c r="I310" s="27">
        <f>-IFERROR(VLOOKUP(C310,SIRCUPA!$A$21:$H$155,8,0),0)</f>
        <v>0</v>
      </c>
      <c r="J310" s="88">
        <f>-IFERROR(VLOOKUP(C310,SIRTAC!$A$16:$H$1288,8,0),0)</f>
        <v>-43</v>
      </c>
      <c r="K310" s="88">
        <f>-IFERROR(VLOOKUP(C310,Gastos!$A$9:$J$1281,10,0),0)</f>
        <v>-41.71</v>
      </c>
      <c r="L310" s="87">
        <f>-IFERROR(VLOOKUP(C310,IDC!$A$25:$H$1532,8,0),0)</f>
        <v>-25.8</v>
      </c>
      <c r="M310" s="122">
        <f t="shared" si="44"/>
        <v>4300</v>
      </c>
      <c r="N310"/>
      <c r="P310" s="35">
        <f t="shared" si="42"/>
        <v>-4300</v>
      </c>
      <c r="Q310" s="66">
        <f t="shared" si="43"/>
        <v>0</v>
      </c>
    </row>
    <row r="311" spans="1:17" hidden="1">
      <c r="A311" s="1" t="s">
        <v>245</v>
      </c>
      <c r="B311" s="1" t="s">
        <v>357</v>
      </c>
      <c r="C311" s="91">
        <v>125212513170</v>
      </c>
      <c r="D311" s="2">
        <v>210.48</v>
      </c>
      <c r="E311" s="3">
        <v>9529986.9100000001</v>
      </c>
      <c r="F311" s="2" t="s">
        <v>2750</v>
      </c>
      <c r="G311"/>
      <c r="H311"/>
      <c r="I311" s="27">
        <f>-IFERROR(VLOOKUP(C311,SIRCUPA!$A$21:$H$155,8,0),0)</f>
        <v>-3.23</v>
      </c>
      <c r="J311" s="88">
        <f>-IFERROR(VLOOKUP(C311,SIRTAC!$A$16:$H$1288,8,0),0)</f>
        <v>0</v>
      </c>
      <c r="K311" s="88">
        <f>-IFERROR(VLOOKUP(C311,Gastos!$A$9:$J$1281,10,0),0)</f>
        <v>0</v>
      </c>
      <c r="L311" s="87">
        <f>-IFERROR(VLOOKUP(C311,IDC!$A$25:$H$1532,8,0),0)</f>
        <v>-1.29</v>
      </c>
      <c r="M311" s="122">
        <f t="shared" si="44"/>
        <v>214.99999999999997</v>
      </c>
      <c r="N311"/>
      <c r="P311" s="35">
        <f t="shared" si="42"/>
        <v>-215</v>
      </c>
      <c r="Q311" s="66">
        <f t="shared" si="43"/>
        <v>0</v>
      </c>
    </row>
    <row r="312" spans="1:17" hidden="1">
      <c r="A312" s="1" t="s">
        <v>245</v>
      </c>
      <c r="B312" s="1" t="s">
        <v>15</v>
      </c>
      <c r="C312" s="91">
        <v>125212652108</v>
      </c>
      <c r="D312" s="3">
        <v>38611.879999999997</v>
      </c>
      <c r="E312" s="3">
        <v>9568598.7899999991</v>
      </c>
      <c r="F312" s="35" t="s">
        <v>2750</v>
      </c>
      <c r="G312"/>
      <c r="H312"/>
      <c r="I312" s="27">
        <f>-IFERROR(VLOOKUP(C312,SIRCUPA!$A$21:$H$155,8,0),0)</f>
        <v>0</v>
      </c>
      <c r="J312" s="88">
        <f>-IFERROR(VLOOKUP(C312,SIRTAC!$A$16:$H$1288,8,0),0)</f>
        <v>-443</v>
      </c>
      <c r="K312" s="88">
        <f>-IFERROR(VLOOKUP(C312,Gastos!$A$9:$J$1281,10,0),0)</f>
        <v>-4979.32</v>
      </c>
      <c r="L312" s="87">
        <f>-IFERROR(VLOOKUP(C312,IDC!$A$25:$H$1532,8,0),0)</f>
        <v>-265.8</v>
      </c>
      <c r="M312" s="122">
        <f t="shared" si="44"/>
        <v>44300</v>
      </c>
      <c r="N312"/>
      <c r="P312" s="35">
        <f t="shared" si="42"/>
        <v>-44300</v>
      </c>
      <c r="Q312" s="66">
        <f t="shared" si="43"/>
        <v>0</v>
      </c>
    </row>
    <row r="313" spans="1:17" hidden="1">
      <c r="A313" s="1" t="s">
        <v>245</v>
      </c>
      <c r="B313" s="1" t="s">
        <v>15</v>
      </c>
      <c r="C313" s="91">
        <v>125213185822</v>
      </c>
      <c r="D313" s="3">
        <v>14906.79</v>
      </c>
      <c r="E313" s="3">
        <v>9583505.5800000001</v>
      </c>
      <c r="F313" s="35" t="s">
        <v>2750</v>
      </c>
      <c r="G313"/>
      <c r="H313"/>
      <c r="I313" s="27">
        <f>-IFERROR(VLOOKUP(C313,SIRCUPA!$A$21:$H$155,8,0),0)</f>
        <v>0</v>
      </c>
      <c r="J313" s="88">
        <f>-IFERROR(VLOOKUP(C313,SIRTAC!$A$16:$H$1288,8,0),0)</f>
        <v>-153</v>
      </c>
      <c r="K313" s="88">
        <f>-IFERROR(VLOOKUP(C313,Gastos!$A$9:$J$1281,10,0),0)</f>
        <v>-148.41</v>
      </c>
      <c r="L313" s="87">
        <f>-IFERROR(VLOOKUP(C313,IDC!$A$25:$H$1532,8,0),0)</f>
        <v>-91.8</v>
      </c>
      <c r="M313" s="122">
        <f t="shared" si="44"/>
        <v>15300</v>
      </c>
      <c r="N313"/>
      <c r="P313" s="35">
        <f t="shared" si="42"/>
        <v>-15300</v>
      </c>
      <c r="Q313" s="66">
        <f t="shared" si="43"/>
        <v>0</v>
      </c>
    </row>
    <row r="314" spans="1:17" hidden="1">
      <c r="A314" s="1" t="s">
        <v>245</v>
      </c>
      <c r="B314" s="1" t="s">
        <v>15</v>
      </c>
      <c r="C314" s="91">
        <v>124666970071</v>
      </c>
      <c r="D314" s="3">
        <v>20362.87</v>
      </c>
      <c r="E314" s="3">
        <v>9603868.4499999993</v>
      </c>
      <c r="F314" s="35" t="s">
        <v>2750</v>
      </c>
      <c r="G314"/>
      <c r="H314"/>
      <c r="I314" s="27">
        <f>-IFERROR(VLOOKUP(C314,SIRCUPA!$A$21:$H$155,8,0),0)</f>
        <v>0</v>
      </c>
      <c r="J314" s="88">
        <f>-IFERROR(VLOOKUP(C314,SIRTAC!$A$16:$H$1288,8,0),0)</f>
        <v>-209</v>
      </c>
      <c r="K314" s="88">
        <f>-IFERROR(VLOOKUP(C314,Gastos!$A$9:$J$1281,10,0),0)</f>
        <v>-202.73</v>
      </c>
      <c r="L314" s="87">
        <f>-IFERROR(VLOOKUP(C314,IDC!$A$25:$H$1532,8,0),0)</f>
        <v>-125.4</v>
      </c>
      <c r="M314" s="122">
        <f t="shared" si="44"/>
        <v>20900</v>
      </c>
      <c r="N314"/>
      <c r="P314" s="35">
        <f t="shared" si="42"/>
        <v>-20900</v>
      </c>
      <c r="Q314" s="66">
        <f t="shared" si="43"/>
        <v>0</v>
      </c>
    </row>
    <row r="315" spans="1:17" hidden="1">
      <c r="A315" s="1" t="s">
        <v>245</v>
      </c>
      <c r="B315" s="1" t="s">
        <v>15</v>
      </c>
      <c r="C315" s="91">
        <v>125213846894</v>
      </c>
      <c r="D315" s="3">
        <v>11052.99</v>
      </c>
      <c r="E315" s="3">
        <v>9614921.4399999995</v>
      </c>
      <c r="F315" s="35" t="s">
        <v>2750</v>
      </c>
      <c r="G315"/>
      <c r="H315"/>
      <c r="I315" s="27">
        <f>-IFERROR(VLOOKUP(C315,SIRCUPA!$A$21:$H$155,8,0),0)</f>
        <v>0</v>
      </c>
      <c r="J315" s="88">
        <f>-IFERROR(VLOOKUP(C315,SIRTAC!$A$16:$H$1288,8,0),0)</f>
        <v>-117</v>
      </c>
      <c r="K315" s="88">
        <f>-IFERROR(VLOOKUP(C315,Gastos!$A$9:$J$1281,10,0),0)</f>
        <v>-459.81</v>
      </c>
      <c r="L315" s="87">
        <f>-IFERROR(VLOOKUP(C315,IDC!$A$25:$H$1532,8,0),0)</f>
        <v>-70.2</v>
      </c>
      <c r="M315" s="122">
        <f t="shared" si="44"/>
        <v>11700</v>
      </c>
      <c r="N315"/>
      <c r="P315" s="35">
        <f t="shared" si="42"/>
        <v>-11700</v>
      </c>
      <c r="Q315" s="66">
        <f t="shared" si="43"/>
        <v>0</v>
      </c>
    </row>
    <row r="316" spans="1:17" hidden="1">
      <c r="A316" s="1" t="s">
        <v>245</v>
      </c>
      <c r="B316" s="1" t="s">
        <v>15</v>
      </c>
      <c r="C316" s="91">
        <v>125213889984</v>
      </c>
      <c r="D316" s="3">
        <v>6820.1</v>
      </c>
      <c r="E316" s="3">
        <v>9621741.5399999991</v>
      </c>
      <c r="F316" s="35" t="s">
        <v>2750</v>
      </c>
      <c r="G316"/>
      <c r="H316"/>
      <c r="I316" s="27">
        <f>-IFERROR(VLOOKUP(C316,SIRCUPA!$A$21:$H$155,8,0),0)</f>
        <v>0</v>
      </c>
      <c r="J316" s="88">
        <f>-IFERROR(VLOOKUP(C316,SIRTAC!$A$16:$H$1288,8,0),0)</f>
        <v>-70</v>
      </c>
      <c r="K316" s="88">
        <f>-IFERROR(VLOOKUP(C316,Gastos!$A$9:$J$1281,10,0),0)</f>
        <v>-67.900000000000006</v>
      </c>
      <c r="L316" s="87">
        <f>-IFERROR(VLOOKUP(C316,IDC!$A$25:$H$1532,8,0),0)</f>
        <v>-42</v>
      </c>
      <c r="M316" s="122">
        <f t="shared" si="44"/>
        <v>7000</v>
      </c>
      <c r="N316"/>
      <c r="P316" s="35">
        <f t="shared" si="42"/>
        <v>-7000</v>
      </c>
      <c r="Q316" s="66">
        <f t="shared" si="43"/>
        <v>0</v>
      </c>
    </row>
    <row r="317" spans="1:17" hidden="1">
      <c r="A317" s="1" t="s">
        <v>245</v>
      </c>
      <c r="B317" s="1" t="s">
        <v>15</v>
      </c>
      <c r="C317" s="91">
        <v>125214339204</v>
      </c>
      <c r="D317" s="3">
        <v>33515.919999999998</v>
      </c>
      <c r="E317" s="3">
        <v>9655257.4600000009</v>
      </c>
      <c r="F317" s="35" t="s">
        <v>2750</v>
      </c>
      <c r="G317"/>
      <c r="H317"/>
      <c r="I317" s="27">
        <f>-IFERROR(VLOOKUP(C317,SIRCUPA!$A$21:$H$155,8,0),0)</f>
        <v>0</v>
      </c>
      <c r="J317" s="88">
        <f>-IFERROR(VLOOKUP(C317,SIRTAC!$A$16:$H$1288,8,0),0)</f>
        <v>-344</v>
      </c>
      <c r="K317" s="88">
        <f>-IFERROR(VLOOKUP(C317,Gastos!$A$9:$J$1281,10,0),0)</f>
        <v>-333.68</v>
      </c>
      <c r="L317" s="87">
        <f>-IFERROR(VLOOKUP(C317,IDC!$A$25:$H$1532,8,0),0)</f>
        <v>-206.4</v>
      </c>
      <c r="M317" s="122">
        <f t="shared" si="44"/>
        <v>34400</v>
      </c>
      <c r="N317"/>
      <c r="P317" s="35">
        <f t="shared" si="42"/>
        <v>-34400</v>
      </c>
      <c r="Q317" s="66">
        <f t="shared" si="43"/>
        <v>0</v>
      </c>
    </row>
    <row r="318" spans="1:17" hidden="1">
      <c r="A318" s="1" t="s">
        <v>245</v>
      </c>
      <c r="B318" s="1" t="s">
        <v>15</v>
      </c>
      <c r="C318" s="91">
        <v>124667883929</v>
      </c>
      <c r="D318" s="3">
        <v>79113.16</v>
      </c>
      <c r="E318" s="3">
        <v>9734370.6199999992</v>
      </c>
      <c r="F318" s="35" t="s">
        <v>2750</v>
      </c>
      <c r="G318"/>
      <c r="H318"/>
      <c r="I318" s="27">
        <f>-IFERROR(VLOOKUP(C318,SIRCUPA!$A$21:$H$155,8,0),0)</f>
        <v>0</v>
      </c>
      <c r="J318" s="88">
        <f>-IFERROR(VLOOKUP(C318,SIRTAC!$A$16:$H$1288,8,0),0)</f>
        <v>-812</v>
      </c>
      <c r="K318" s="88">
        <f>-IFERROR(VLOOKUP(C318,Gastos!$A$9:$J$1281,10,0),0)</f>
        <v>-787.64</v>
      </c>
      <c r="L318" s="87">
        <f>-IFERROR(VLOOKUP(C318,IDC!$A$25:$H$1532,8,0),0)</f>
        <v>-487.2</v>
      </c>
      <c r="M318" s="122">
        <f t="shared" si="44"/>
        <v>81200</v>
      </c>
      <c r="N318"/>
      <c r="P318" s="35">
        <f t="shared" si="42"/>
        <v>-81200</v>
      </c>
      <c r="Q318" s="66">
        <f t="shared" si="43"/>
        <v>0</v>
      </c>
    </row>
    <row r="319" spans="1:17" hidden="1">
      <c r="A319" s="1" t="s">
        <v>245</v>
      </c>
      <c r="B319" s="1" t="s">
        <v>15</v>
      </c>
      <c r="C319" s="91">
        <v>125214441310</v>
      </c>
      <c r="D319" s="3">
        <v>32639.05</v>
      </c>
      <c r="E319" s="3">
        <v>9767009.6699999999</v>
      </c>
      <c r="F319" s="35" t="s">
        <v>2750</v>
      </c>
      <c r="G319"/>
      <c r="H319"/>
      <c r="I319" s="27">
        <f>-IFERROR(VLOOKUP(C319,SIRCUPA!$A$21:$H$155,8,0),0)</f>
        <v>0</v>
      </c>
      <c r="J319" s="88">
        <f>-IFERROR(VLOOKUP(C319,SIRTAC!$A$16:$H$1288,8,0),0)</f>
        <v>-335</v>
      </c>
      <c r="K319" s="88">
        <f>-IFERROR(VLOOKUP(C319,Gastos!$A$9:$J$1281,10,0),0)</f>
        <v>-324.95</v>
      </c>
      <c r="L319" s="87">
        <f>-IFERROR(VLOOKUP(C319,IDC!$A$25:$H$1532,8,0),0)</f>
        <v>-201</v>
      </c>
      <c r="M319" s="122">
        <f t="shared" si="44"/>
        <v>33500</v>
      </c>
      <c r="N319"/>
      <c r="P319" s="35">
        <f t="shared" si="42"/>
        <v>-33500</v>
      </c>
      <c r="Q319" s="66">
        <f t="shared" si="43"/>
        <v>0</v>
      </c>
    </row>
    <row r="320" spans="1:17" hidden="1">
      <c r="A320" s="1" t="s">
        <v>245</v>
      </c>
      <c r="B320" s="1" t="s">
        <v>367</v>
      </c>
      <c r="C320" s="91">
        <v>124667969775</v>
      </c>
      <c r="D320" s="3">
        <v>1639.82</v>
      </c>
      <c r="E320" s="3">
        <v>9768649.4900000002</v>
      </c>
      <c r="F320" s="2" t="s">
        <v>2750</v>
      </c>
      <c r="G320"/>
      <c r="H320"/>
      <c r="I320" s="27">
        <f>-IFERROR(VLOOKUP(C320,SIRCUPA!$A$21:$H$155,8,0),0)</f>
        <v>-25.13</v>
      </c>
      <c r="J320" s="88">
        <f>-IFERROR(VLOOKUP(C320,SIRTAC!$A$16:$H$1288,8,0),0)</f>
        <v>0</v>
      </c>
      <c r="K320" s="88">
        <f>-IFERROR(VLOOKUP(C320,Gastos!$A$9:$J$1281,10,0),0)</f>
        <v>0</v>
      </c>
      <c r="L320" s="87">
        <f>-IFERROR(VLOOKUP(C320,IDC!$A$25:$H$1532,8,0),0)</f>
        <v>-10.050000000000001</v>
      </c>
      <c r="M320" s="122">
        <f t="shared" si="44"/>
        <v>1675</v>
      </c>
      <c r="N320"/>
      <c r="P320" s="35">
        <f t="shared" si="42"/>
        <v>-1675</v>
      </c>
      <c r="Q320" s="66">
        <f t="shared" si="43"/>
        <v>0</v>
      </c>
    </row>
    <row r="321" spans="1:17" hidden="1">
      <c r="A321" s="1" t="s">
        <v>245</v>
      </c>
      <c r="B321" s="1" t="s">
        <v>15</v>
      </c>
      <c r="C321" s="91">
        <v>124668378655</v>
      </c>
      <c r="D321" s="3">
        <v>7368.66</v>
      </c>
      <c r="E321" s="3">
        <v>9776018.1500000004</v>
      </c>
      <c r="F321" s="35" t="s">
        <v>2750</v>
      </c>
      <c r="G321"/>
      <c r="H321"/>
      <c r="I321" s="27">
        <f>-IFERROR(VLOOKUP(C321,SIRCUPA!$A$21:$H$155,8,0),0)</f>
        <v>0</v>
      </c>
      <c r="J321" s="88">
        <f>-IFERROR(VLOOKUP(C321,SIRTAC!$A$16:$H$1288,8,0),0)</f>
        <v>-78</v>
      </c>
      <c r="K321" s="88">
        <f>-IFERROR(VLOOKUP(C321,Gastos!$A$9:$J$1281,10,0),0)</f>
        <v>-306.54000000000002</v>
      </c>
      <c r="L321" s="87">
        <f>-IFERROR(VLOOKUP(C321,IDC!$A$25:$H$1532,8,0),0)</f>
        <v>-46.8</v>
      </c>
      <c r="M321" s="122">
        <f t="shared" si="44"/>
        <v>7800</v>
      </c>
      <c r="N321"/>
      <c r="P321" s="35">
        <f t="shared" si="42"/>
        <v>-7799.9999999999991</v>
      </c>
      <c r="Q321" s="66">
        <f t="shared" si="43"/>
        <v>0</v>
      </c>
    </row>
    <row r="322" spans="1:17" hidden="1">
      <c r="A322" s="1" t="s">
        <v>245</v>
      </c>
      <c r="B322" s="1" t="s">
        <v>15</v>
      </c>
      <c r="C322" s="91">
        <v>125215046740</v>
      </c>
      <c r="D322" s="3">
        <v>8281.5499999999993</v>
      </c>
      <c r="E322" s="3">
        <v>9784299.6999999993</v>
      </c>
      <c r="F322" s="35" t="s">
        <v>2750</v>
      </c>
      <c r="G322"/>
      <c r="H322"/>
      <c r="I322" s="27">
        <f>-IFERROR(VLOOKUP(C322,SIRCUPA!$A$21:$H$155,8,0),0)</f>
        <v>0</v>
      </c>
      <c r="J322" s="88">
        <f>-IFERROR(VLOOKUP(C322,SIRTAC!$A$16:$H$1288,8,0),0)</f>
        <v>-85</v>
      </c>
      <c r="K322" s="88">
        <f>-IFERROR(VLOOKUP(C322,Gastos!$A$9:$J$1281,10,0),0)</f>
        <v>-82.45</v>
      </c>
      <c r="L322" s="87">
        <f>-IFERROR(VLOOKUP(C322,IDC!$A$25:$H$1532,8,0),0)</f>
        <v>-51</v>
      </c>
      <c r="M322" s="122">
        <f t="shared" si="44"/>
        <v>8500</v>
      </c>
      <c r="N322"/>
      <c r="P322" s="35">
        <f t="shared" si="42"/>
        <v>-8500</v>
      </c>
      <c r="Q322" s="66">
        <f t="shared" si="43"/>
        <v>0</v>
      </c>
    </row>
    <row r="323" spans="1:17" hidden="1">
      <c r="A323" s="1" t="s">
        <v>245</v>
      </c>
      <c r="B323" s="1" t="s">
        <v>15</v>
      </c>
      <c r="C323" s="91">
        <v>125215388296</v>
      </c>
      <c r="D323" s="3">
        <v>35854.239999999998</v>
      </c>
      <c r="E323" s="3">
        <v>9820153.9399999995</v>
      </c>
      <c r="F323" s="35" t="s">
        <v>2750</v>
      </c>
      <c r="G323"/>
      <c r="H323"/>
      <c r="I323" s="27">
        <f>-IFERROR(VLOOKUP(C323,SIRCUPA!$A$21:$H$155,8,0),0)</f>
        <v>0</v>
      </c>
      <c r="J323" s="88">
        <f>-IFERROR(VLOOKUP(C323,SIRTAC!$A$16:$H$1288,8,0),0)</f>
        <v>-368</v>
      </c>
      <c r="K323" s="88">
        <f>-IFERROR(VLOOKUP(C323,Gastos!$A$9:$J$1281,10,0),0)</f>
        <v>-356.96</v>
      </c>
      <c r="L323" s="87">
        <f>-IFERROR(VLOOKUP(C323,IDC!$A$25:$H$1532,8,0),0)</f>
        <v>-220.8</v>
      </c>
      <c r="M323" s="122">
        <f t="shared" si="44"/>
        <v>36800</v>
      </c>
      <c r="N323"/>
      <c r="P323" s="35">
        <f t="shared" si="42"/>
        <v>-36800</v>
      </c>
      <c r="Q323" s="66">
        <f t="shared" si="43"/>
        <v>0</v>
      </c>
    </row>
    <row r="324" spans="1:17" hidden="1">
      <c r="A324" s="1" t="s">
        <v>245</v>
      </c>
      <c r="B324" s="1" t="s">
        <v>372</v>
      </c>
      <c r="C324" s="91">
        <v>125215309354</v>
      </c>
      <c r="D324" s="3">
        <v>1801.36</v>
      </c>
      <c r="E324" s="3">
        <v>9821955.3000000007</v>
      </c>
      <c r="F324" s="2" t="s">
        <v>2750</v>
      </c>
      <c r="G324"/>
      <c r="H324"/>
      <c r="I324" s="27">
        <f>-IFERROR(VLOOKUP(C324,SIRCUPA!$A$21:$H$155,8,0),0)</f>
        <v>-27.6</v>
      </c>
      <c r="J324" s="88">
        <f>-IFERROR(VLOOKUP(C324,SIRTAC!$A$16:$H$1288,8,0),0)</f>
        <v>0</v>
      </c>
      <c r="K324" s="88">
        <f>-IFERROR(VLOOKUP(C324,Gastos!$A$9:$J$1281,10,0),0)</f>
        <v>0</v>
      </c>
      <c r="L324" s="87">
        <f>-IFERROR(VLOOKUP(C324,IDC!$A$25:$H$1532,8,0),0)</f>
        <v>-11.04</v>
      </c>
      <c r="M324" s="122">
        <f t="shared" si="44"/>
        <v>1839.9999999999998</v>
      </c>
      <c r="N324"/>
      <c r="P324" s="35">
        <f t="shared" si="42"/>
        <v>-1839.9999999999998</v>
      </c>
      <c r="Q324" s="66">
        <f t="shared" si="43"/>
        <v>0</v>
      </c>
    </row>
    <row r="325" spans="1:17" hidden="1">
      <c r="A325" s="1" t="s">
        <v>245</v>
      </c>
      <c r="B325" s="1" t="s">
        <v>15</v>
      </c>
      <c r="C325" s="91">
        <v>124668982491</v>
      </c>
      <c r="D325" s="3">
        <v>48746.52</v>
      </c>
      <c r="E325" s="3">
        <v>9870701.8200000003</v>
      </c>
      <c r="F325" s="35" t="s">
        <v>2750</v>
      </c>
      <c r="G325"/>
      <c r="H325"/>
      <c r="I325" s="27">
        <f>-IFERROR(VLOOKUP(C325,SIRCUPA!$A$21:$H$155,8,0),0)</f>
        <v>0</v>
      </c>
      <c r="J325" s="88">
        <f>-IFERROR(VLOOKUP(C325,SIRTAC!$A$16:$H$1288,8,0),0)</f>
        <v>-516</v>
      </c>
      <c r="K325" s="88">
        <f>-IFERROR(VLOOKUP(C325,Gastos!$A$9:$J$1281,10,0),0)</f>
        <v>-2027.88</v>
      </c>
      <c r="L325" s="87">
        <f>-IFERROR(VLOOKUP(C325,IDC!$A$25:$H$1532,8,0),0)</f>
        <v>-309.60000000000002</v>
      </c>
      <c r="M325" s="122">
        <f t="shared" si="44"/>
        <v>51599.999999999993</v>
      </c>
      <c r="N325"/>
      <c r="P325" s="35">
        <f t="shared" si="42"/>
        <v>-51600</v>
      </c>
      <c r="Q325" s="66">
        <f t="shared" si="43"/>
        <v>0</v>
      </c>
    </row>
    <row r="326" spans="1:17" hidden="1">
      <c r="A326" s="1" t="s">
        <v>245</v>
      </c>
      <c r="B326" s="1" t="s">
        <v>15</v>
      </c>
      <c r="C326" s="91">
        <v>124669082353</v>
      </c>
      <c r="D326" s="3">
        <v>40055.279999999999</v>
      </c>
      <c r="E326" s="3">
        <v>9910757.0999999996</v>
      </c>
      <c r="F326" s="35" t="s">
        <v>2750</v>
      </c>
      <c r="G326"/>
      <c r="H326"/>
      <c r="I326" s="27">
        <f>-IFERROR(VLOOKUP(C326,SIRCUPA!$A$21:$H$155,8,0),0)</f>
        <v>0</v>
      </c>
      <c r="J326" s="88">
        <f>-IFERROR(VLOOKUP(C326,SIRTAC!$A$16:$H$1288,8,0),0)</f>
        <v>-424</v>
      </c>
      <c r="K326" s="88">
        <f>-IFERROR(VLOOKUP(C326,Gastos!$A$9:$J$1281,10,0),0)</f>
        <v>-1666.32</v>
      </c>
      <c r="L326" s="87">
        <f>-IFERROR(VLOOKUP(C326,IDC!$A$25:$H$1532,8,0),0)</f>
        <v>-254.4</v>
      </c>
      <c r="M326" s="122">
        <f t="shared" si="44"/>
        <v>42400</v>
      </c>
      <c r="N326"/>
      <c r="P326" s="35">
        <f t="shared" si="42"/>
        <v>-42400</v>
      </c>
      <c r="Q326" s="66">
        <f t="shared" si="43"/>
        <v>0</v>
      </c>
    </row>
    <row r="327" spans="1:17" hidden="1">
      <c r="A327" s="1" t="s">
        <v>245</v>
      </c>
      <c r="B327" s="1" t="s">
        <v>15</v>
      </c>
      <c r="C327" s="91">
        <v>124669045807</v>
      </c>
      <c r="D327" s="3">
        <v>7599.54</v>
      </c>
      <c r="E327" s="3">
        <v>9918356.6400000006</v>
      </c>
      <c r="F327" s="35" t="s">
        <v>2750</v>
      </c>
      <c r="G327"/>
      <c r="H327"/>
      <c r="I327" s="27">
        <f>-IFERROR(VLOOKUP(C327,SIRCUPA!$A$21:$H$155,8,0),0)</f>
        <v>0</v>
      </c>
      <c r="J327" s="88">
        <f>-IFERROR(VLOOKUP(C327,SIRTAC!$A$16:$H$1288,8,0),0)</f>
        <v>-78</v>
      </c>
      <c r="K327" s="88">
        <f>-IFERROR(VLOOKUP(C327,Gastos!$A$9:$J$1281,10,0),0)</f>
        <v>-75.66</v>
      </c>
      <c r="L327" s="87">
        <f>-IFERROR(VLOOKUP(C327,IDC!$A$25:$H$1532,8,0),0)</f>
        <v>-46.8</v>
      </c>
      <c r="M327" s="122">
        <f t="shared" si="44"/>
        <v>7800</v>
      </c>
      <c r="N327"/>
      <c r="P327" s="35">
        <f t="shared" si="42"/>
        <v>-7799.9999999999991</v>
      </c>
      <c r="Q327" s="66">
        <f t="shared" si="43"/>
        <v>0</v>
      </c>
    </row>
    <row r="328" spans="1:17" hidden="1">
      <c r="A328" s="1" t="s">
        <v>245</v>
      </c>
      <c r="B328" s="1" t="s">
        <v>15</v>
      </c>
      <c r="C328" s="91">
        <v>124669236361</v>
      </c>
      <c r="D328" s="3">
        <v>2143.46</v>
      </c>
      <c r="E328" s="3">
        <v>9920500.0999999996</v>
      </c>
      <c r="F328" s="35" t="s">
        <v>2750</v>
      </c>
      <c r="G328"/>
      <c r="H328"/>
      <c r="I328" s="27">
        <f>-IFERROR(VLOOKUP(C328,SIRCUPA!$A$21:$H$155,8,0),0)</f>
        <v>0</v>
      </c>
      <c r="J328" s="88">
        <f>-IFERROR(VLOOKUP(C328,SIRTAC!$A$16:$H$1288,8,0),0)</f>
        <v>-22</v>
      </c>
      <c r="K328" s="88">
        <f>-IFERROR(VLOOKUP(C328,Gastos!$A$9:$J$1281,10,0),0)</f>
        <v>-21.34</v>
      </c>
      <c r="L328" s="87">
        <f>-IFERROR(VLOOKUP(C328,IDC!$A$25:$H$1532,8,0),0)</f>
        <v>-13.2</v>
      </c>
      <c r="M328" s="122">
        <f t="shared" si="44"/>
        <v>2200</v>
      </c>
      <c r="N328"/>
      <c r="P328" s="35">
        <f t="shared" si="42"/>
        <v>-2200</v>
      </c>
      <c r="Q328" s="66">
        <f t="shared" si="43"/>
        <v>0</v>
      </c>
    </row>
    <row r="329" spans="1:17" hidden="1">
      <c r="A329" s="1" t="s">
        <v>378</v>
      </c>
      <c r="B329" s="1" t="s">
        <v>15</v>
      </c>
      <c r="C329" s="91">
        <v>125215868728</v>
      </c>
      <c r="D329" s="3">
        <v>12107.94</v>
      </c>
      <c r="E329" s="3">
        <v>9932608.0399999991</v>
      </c>
      <c r="F329" s="35" t="s">
        <v>2750</v>
      </c>
      <c r="G329"/>
      <c r="H329"/>
      <c r="I329" s="27">
        <f>-IFERROR(VLOOKUP(C329,SIRCUPA!$A$21:$H$155,8,0),0)</f>
        <v>0</v>
      </c>
      <c r="J329" s="88">
        <f>-IFERROR(VLOOKUP(C329,SIRTAC!$A$16:$H$1288,8,0),0)</f>
        <v>-129</v>
      </c>
      <c r="K329" s="88">
        <f>-IFERROR(VLOOKUP(C329,Gastos!$A$9:$J$1281,10,0),0)</f>
        <v>-585.66</v>
      </c>
      <c r="L329" s="87">
        <f>-IFERROR(VLOOKUP(C329,IDC!$A$25:$H$1532,8,0),0)</f>
        <v>-77.400000000000006</v>
      </c>
      <c r="M329" s="122">
        <f t="shared" si="44"/>
        <v>12900</v>
      </c>
      <c r="N329"/>
      <c r="P329" s="35">
        <f t="shared" si="42"/>
        <v>-12900</v>
      </c>
      <c r="Q329" s="66">
        <f t="shared" si="43"/>
        <v>0</v>
      </c>
    </row>
    <row r="330" spans="1:17" hidden="1">
      <c r="A330" s="1" t="s">
        <v>378</v>
      </c>
      <c r="B330" s="1" t="s">
        <v>15</v>
      </c>
      <c r="C330" s="91">
        <v>124669482349</v>
      </c>
      <c r="D330" s="3">
        <v>8378.98</v>
      </c>
      <c r="E330" s="3">
        <v>9940987.0199999996</v>
      </c>
      <c r="F330" s="35" t="s">
        <v>2750</v>
      </c>
      <c r="G330"/>
      <c r="H330"/>
      <c r="I330" s="27">
        <f>-IFERROR(VLOOKUP(C330,SIRCUPA!$A$21:$H$155,8,0),0)</f>
        <v>0</v>
      </c>
      <c r="J330" s="88">
        <f>-IFERROR(VLOOKUP(C330,SIRTAC!$A$16:$H$1288,8,0),0)</f>
        <v>-86</v>
      </c>
      <c r="K330" s="88">
        <f>-IFERROR(VLOOKUP(C330,Gastos!$A$9:$J$1281,10,0),0)</f>
        <v>-83.42</v>
      </c>
      <c r="L330" s="87">
        <f>-IFERROR(VLOOKUP(C330,IDC!$A$25:$H$1532,8,0),0)</f>
        <v>-51.6</v>
      </c>
      <c r="M330" s="122">
        <f t="shared" si="44"/>
        <v>8600</v>
      </c>
      <c r="N330"/>
      <c r="P330" s="35">
        <f t="shared" si="42"/>
        <v>-8600</v>
      </c>
      <c r="Q330" s="66">
        <f t="shared" si="43"/>
        <v>0</v>
      </c>
    </row>
    <row r="331" spans="1:17" hidden="1">
      <c r="A331" s="1" t="s">
        <v>378</v>
      </c>
      <c r="B331" s="1" t="s">
        <v>15</v>
      </c>
      <c r="C331" s="91">
        <v>125216045810</v>
      </c>
      <c r="D331" s="3">
        <v>96170.46</v>
      </c>
      <c r="E331" s="3">
        <v>10037157.48</v>
      </c>
      <c r="F331" s="35" t="s">
        <v>2750</v>
      </c>
      <c r="G331"/>
      <c r="H331"/>
      <c r="I331" s="27">
        <f>-IFERROR(VLOOKUP(C331,SIRCUPA!$A$21:$H$155,8,0),0)</f>
        <v>0</v>
      </c>
      <c r="J331" s="88">
        <f>-IFERROR(VLOOKUP(C331,SIRTAC!$A$16:$H$1288,8,0),0)</f>
        <v>-1018</v>
      </c>
      <c r="K331" s="88">
        <f>-IFERROR(VLOOKUP(C331,Gastos!$A$9:$J$1281,10,0),0)</f>
        <v>-4000.74</v>
      </c>
      <c r="L331" s="87">
        <f>-IFERROR(VLOOKUP(C331,IDC!$A$25:$H$1532,8,0),0)</f>
        <v>-610.79999999999995</v>
      </c>
      <c r="M331" s="122">
        <f t="shared" si="44"/>
        <v>101800.00000000001</v>
      </c>
      <c r="N331"/>
      <c r="P331" s="35">
        <f t="shared" si="42"/>
        <v>-101799.99999999999</v>
      </c>
      <c r="Q331" s="66">
        <f t="shared" si="43"/>
        <v>0</v>
      </c>
    </row>
    <row r="332" spans="1:17" hidden="1">
      <c r="A332" s="1" t="s">
        <v>378</v>
      </c>
      <c r="B332" s="1" t="s">
        <v>15</v>
      </c>
      <c r="C332" s="91">
        <v>125216200412</v>
      </c>
      <c r="D332" s="3">
        <v>8281.5499999999993</v>
      </c>
      <c r="E332" s="3">
        <v>10045439.029999999</v>
      </c>
      <c r="F332" s="35" t="s">
        <v>2750</v>
      </c>
      <c r="G332"/>
      <c r="H332"/>
      <c r="I332" s="27">
        <f>-IFERROR(VLOOKUP(C332,SIRCUPA!$A$21:$H$155,8,0),0)</f>
        <v>0</v>
      </c>
      <c r="J332" s="88">
        <f>-IFERROR(VLOOKUP(C332,SIRTAC!$A$16:$H$1288,8,0),0)</f>
        <v>-85</v>
      </c>
      <c r="K332" s="88">
        <f>-IFERROR(VLOOKUP(C332,Gastos!$A$9:$J$1281,10,0),0)</f>
        <v>-82.45</v>
      </c>
      <c r="L332" s="87">
        <f>-IFERROR(VLOOKUP(C332,IDC!$A$25:$H$1532,8,0),0)</f>
        <v>-51</v>
      </c>
      <c r="M332" s="122">
        <f t="shared" si="44"/>
        <v>8500</v>
      </c>
      <c r="N332"/>
      <c r="P332" s="35">
        <f t="shared" si="42"/>
        <v>-8500</v>
      </c>
      <c r="Q332" s="66">
        <f t="shared" si="43"/>
        <v>0</v>
      </c>
    </row>
    <row r="333" spans="1:17" hidden="1">
      <c r="A333" s="1" t="s">
        <v>378</v>
      </c>
      <c r="B333" s="1" t="s">
        <v>15</v>
      </c>
      <c r="C333" s="91">
        <v>124669988837</v>
      </c>
      <c r="D333" s="3">
        <v>10327.58</v>
      </c>
      <c r="E333" s="3">
        <v>10055766.609999999</v>
      </c>
      <c r="F333" s="35" t="s">
        <v>2750</v>
      </c>
      <c r="G333"/>
      <c r="H333"/>
      <c r="I333" s="27">
        <f>-IFERROR(VLOOKUP(C333,SIRCUPA!$A$21:$H$155,8,0),0)</f>
        <v>0</v>
      </c>
      <c r="J333" s="88">
        <f>-IFERROR(VLOOKUP(C333,SIRTAC!$A$16:$H$1288,8,0),0)</f>
        <v>-106</v>
      </c>
      <c r="K333" s="88">
        <f>-IFERROR(VLOOKUP(C333,Gastos!$A$9:$J$1281,10,0),0)</f>
        <v>-102.82</v>
      </c>
      <c r="L333" s="87">
        <f>-IFERROR(VLOOKUP(C333,IDC!$A$25:$H$1532,8,0),0)</f>
        <v>-63.6</v>
      </c>
      <c r="M333" s="122">
        <f t="shared" si="44"/>
        <v>10600</v>
      </c>
      <c r="N333"/>
      <c r="P333" s="35">
        <f t="shared" si="42"/>
        <v>-10600</v>
      </c>
      <c r="Q333" s="66">
        <f t="shared" si="43"/>
        <v>0</v>
      </c>
    </row>
    <row r="334" spans="1:17" hidden="1">
      <c r="A334" s="1" t="s">
        <v>378</v>
      </c>
      <c r="B334" s="1" t="s">
        <v>15</v>
      </c>
      <c r="C334" s="91">
        <v>124670059343</v>
      </c>
      <c r="D334" s="3">
        <v>37023.4</v>
      </c>
      <c r="E334" s="3">
        <v>10092790.01</v>
      </c>
      <c r="F334" s="35" t="s">
        <v>2750</v>
      </c>
      <c r="G334"/>
      <c r="H334"/>
      <c r="I334" s="27">
        <f>-IFERROR(VLOOKUP(C334,SIRCUPA!$A$21:$H$155,8,0),0)</f>
        <v>0</v>
      </c>
      <c r="J334" s="88">
        <f>-IFERROR(VLOOKUP(C334,SIRTAC!$A$16:$H$1288,8,0),0)</f>
        <v>-380</v>
      </c>
      <c r="K334" s="88">
        <f>-IFERROR(VLOOKUP(C334,Gastos!$A$9:$J$1281,10,0),0)</f>
        <v>-368.6</v>
      </c>
      <c r="L334" s="87">
        <f>-IFERROR(VLOOKUP(C334,IDC!$A$25:$H$1532,8,0),0)</f>
        <v>-228</v>
      </c>
      <c r="M334" s="122">
        <f t="shared" si="44"/>
        <v>38000</v>
      </c>
      <c r="N334"/>
      <c r="P334" s="35">
        <f t="shared" si="42"/>
        <v>-38000</v>
      </c>
      <c r="Q334" s="66">
        <f t="shared" si="43"/>
        <v>0</v>
      </c>
    </row>
    <row r="335" spans="1:17" hidden="1">
      <c r="A335" s="1" t="s">
        <v>378</v>
      </c>
      <c r="B335" s="1" t="s">
        <v>385</v>
      </c>
      <c r="C335" s="91">
        <v>125216496504</v>
      </c>
      <c r="D335" s="3">
        <v>3720.2</v>
      </c>
      <c r="E335" s="3">
        <v>10096510.210000001</v>
      </c>
      <c r="F335" s="2" t="s">
        <v>2750</v>
      </c>
      <c r="G335"/>
      <c r="H335"/>
      <c r="I335" s="27">
        <f>-IFERROR(VLOOKUP(C335,SIRCUPA!$A$21:$H$155,8,0),0)</f>
        <v>-57</v>
      </c>
      <c r="J335" s="88">
        <f>-IFERROR(VLOOKUP(C335,SIRTAC!$A$16:$H$1288,8,0),0)</f>
        <v>0</v>
      </c>
      <c r="K335" s="88">
        <f>-IFERROR(VLOOKUP(C335,Gastos!$A$9:$J$1281,10,0),0)</f>
        <v>0</v>
      </c>
      <c r="L335" s="87">
        <f>-IFERROR(VLOOKUP(C335,IDC!$A$25:$H$1532,8,0),0)</f>
        <v>-22.8</v>
      </c>
      <c r="M335" s="122">
        <f t="shared" si="44"/>
        <v>3800</v>
      </c>
      <c r="N335"/>
      <c r="P335" s="35">
        <f t="shared" si="42"/>
        <v>-3800</v>
      </c>
      <c r="Q335" s="66">
        <f t="shared" si="43"/>
        <v>0</v>
      </c>
    </row>
    <row r="336" spans="1:17" hidden="1">
      <c r="A336" s="1" t="s">
        <v>378</v>
      </c>
      <c r="B336" s="1" t="s">
        <v>15</v>
      </c>
      <c r="C336" s="91">
        <v>124670247087</v>
      </c>
      <c r="D336" s="3">
        <v>82133.490000000005</v>
      </c>
      <c r="E336" s="3">
        <v>10178643.699999999</v>
      </c>
      <c r="F336" s="35" t="s">
        <v>2750</v>
      </c>
      <c r="G336"/>
      <c r="H336"/>
      <c r="I336" s="27">
        <f>-IFERROR(VLOOKUP(C336,SIRCUPA!$A$21:$H$155,8,0),0)</f>
        <v>0</v>
      </c>
      <c r="J336" s="88">
        <f>-IFERROR(VLOOKUP(C336,SIRTAC!$A$16:$H$1288,8,0),0)</f>
        <v>-843</v>
      </c>
      <c r="K336" s="88">
        <f>-IFERROR(VLOOKUP(C336,Gastos!$A$9:$J$1281,10,0),0)</f>
        <v>-817.71</v>
      </c>
      <c r="L336" s="87">
        <f>-IFERROR(VLOOKUP(C336,IDC!$A$25:$H$1532,8,0),0)</f>
        <v>-505.8</v>
      </c>
      <c r="M336" s="122">
        <f t="shared" si="44"/>
        <v>84300.000000000015</v>
      </c>
      <c r="N336"/>
      <c r="P336" s="35">
        <f t="shared" si="42"/>
        <v>-84300</v>
      </c>
      <c r="Q336" s="66">
        <f t="shared" si="43"/>
        <v>0</v>
      </c>
    </row>
    <row r="337" spans="1:17" hidden="1">
      <c r="A337" s="1" t="s">
        <v>378</v>
      </c>
      <c r="B337" s="1" t="s">
        <v>15</v>
      </c>
      <c r="C337" s="91">
        <v>125216661736</v>
      </c>
      <c r="D337" s="3">
        <v>56304.12</v>
      </c>
      <c r="E337" s="3">
        <v>10234947.82</v>
      </c>
      <c r="F337" s="35" t="s">
        <v>2750</v>
      </c>
      <c r="G337"/>
      <c r="H337"/>
      <c r="I337" s="27">
        <f>-IFERROR(VLOOKUP(C337,SIRCUPA!$A$21:$H$155,8,0),0)</f>
        <v>0</v>
      </c>
      <c r="J337" s="88">
        <f>-IFERROR(VLOOKUP(C337,SIRTAC!$A$16:$H$1288,8,0),0)</f>
        <v>-596</v>
      </c>
      <c r="K337" s="88">
        <f>-IFERROR(VLOOKUP(C337,Gastos!$A$9:$J$1281,10,0),0)</f>
        <v>-2342.2800000000002</v>
      </c>
      <c r="L337" s="87">
        <f>-IFERROR(VLOOKUP(C337,IDC!$A$25:$H$1532,8,0),0)</f>
        <v>-357.6</v>
      </c>
      <c r="M337" s="122">
        <f t="shared" si="44"/>
        <v>59600</v>
      </c>
      <c r="N337"/>
      <c r="P337" s="35">
        <f t="shared" si="42"/>
        <v>-59600</v>
      </c>
      <c r="Q337" s="66">
        <f t="shared" si="43"/>
        <v>0</v>
      </c>
    </row>
    <row r="338" spans="1:17" hidden="1">
      <c r="A338" s="1" t="s">
        <v>378</v>
      </c>
      <c r="B338" s="1" t="s">
        <v>15</v>
      </c>
      <c r="C338" s="91">
        <v>124670291781</v>
      </c>
      <c r="D338" s="3">
        <v>4189.49</v>
      </c>
      <c r="E338" s="3">
        <v>10239137.310000001</v>
      </c>
      <c r="F338" s="35" t="s">
        <v>2750</v>
      </c>
      <c r="G338"/>
      <c r="H338"/>
      <c r="I338" s="27">
        <f>-IFERROR(VLOOKUP(C338,SIRCUPA!$A$21:$H$155,8,0),0)</f>
        <v>0</v>
      </c>
      <c r="J338" s="88">
        <f>-IFERROR(VLOOKUP(C338,SIRTAC!$A$16:$H$1288,8,0),0)</f>
        <v>-43</v>
      </c>
      <c r="K338" s="88">
        <f>-IFERROR(VLOOKUP(C338,Gastos!$A$9:$J$1281,10,0),0)</f>
        <v>-41.71</v>
      </c>
      <c r="L338" s="87">
        <f>-IFERROR(VLOOKUP(C338,IDC!$A$25:$H$1532,8,0),0)</f>
        <v>-25.8</v>
      </c>
      <c r="M338" s="122">
        <f t="shared" ref="M338:M369" si="45">+D338-I338-J338-K338-L338</f>
        <v>4300</v>
      </c>
      <c r="N338"/>
      <c r="P338" s="35">
        <f t="shared" ref="P338:P401" si="46">+L338/0.006</f>
        <v>-4300</v>
      </c>
      <c r="Q338" s="66">
        <f t="shared" ref="Q338:Q401" si="47">+M338+P338</f>
        <v>0</v>
      </c>
    </row>
    <row r="339" spans="1:17" hidden="1">
      <c r="A339" s="1" t="s">
        <v>378</v>
      </c>
      <c r="B339" s="1" t="s">
        <v>15</v>
      </c>
      <c r="C339" s="91">
        <v>125216777826</v>
      </c>
      <c r="D339" s="3">
        <v>113269.53</v>
      </c>
      <c r="E339" s="3">
        <v>10352406.84</v>
      </c>
      <c r="F339" s="35" t="s">
        <v>2750</v>
      </c>
      <c r="G339"/>
      <c r="H339"/>
      <c r="I339" s="27">
        <f>-IFERROR(VLOOKUP(C339,SIRCUPA!$A$21:$H$155,8,0),0)</f>
        <v>0</v>
      </c>
      <c r="J339" s="88">
        <f>-IFERROR(VLOOKUP(C339,SIRTAC!$A$16:$H$1288,8,0),0)</f>
        <v>-1199</v>
      </c>
      <c r="K339" s="88">
        <f>-IFERROR(VLOOKUP(C339,Gastos!$A$9:$J$1281,10,0),0)</f>
        <v>-4712.07</v>
      </c>
      <c r="L339" s="87">
        <f>-IFERROR(VLOOKUP(C339,IDC!$A$25:$H$1532,8,0),0)</f>
        <v>-719.4</v>
      </c>
      <c r="M339" s="122">
        <f t="shared" si="45"/>
        <v>119900</v>
      </c>
      <c r="N339"/>
      <c r="P339" s="35">
        <f t="shared" si="46"/>
        <v>-119900</v>
      </c>
      <c r="Q339" s="66">
        <f t="shared" si="47"/>
        <v>0</v>
      </c>
    </row>
    <row r="340" spans="1:17" hidden="1">
      <c r="A340" s="1" t="s">
        <v>378</v>
      </c>
      <c r="B340" s="1" t="s">
        <v>15</v>
      </c>
      <c r="C340" s="91">
        <v>125217154744</v>
      </c>
      <c r="D340" s="3">
        <v>8378.98</v>
      </c>
      <c r="E340" s="3">
        <v>10360785.82</v>
      </c>
      <c r="F340" s="35" t="s">
        <v>2750</v>
      </c>
      <c r="G340"/>
      <c r="H340"/>
      <c r="I340" s="27">
        <f>-IFERROR(VLOOKUP(C340,SIRCUPA!$A$21:$H$155,8,0),0)</f>
        <v>0</v>
      </c>
      <c r="J340" s="88">
        <f>-IFERROR(VLOOKUP(C340,SIRTAC!$A$16:$H$1288,8,0),0)</f>
        <v>-86</v>
      </c>
      <c r="K340" s="88">
        <f>-IFERROR(VLOOKUP(C340,Gastos!$A$9:$J$1281,10,0),0)</f>
        <v>-83.42</v>
      </c>
      <c r="L340" s="87">
        <f>-IFERROR(VLOOKUP(C340,IDC!$A$25:$H$1532,8,0),0)</f>
        <v>-51.6</v>
      </c>
      <c r="M340" s="122">
        <f t="shared" si="45"/>
        <v>8600</v>
      </c>
      <c r="N340"/>
      <c r="P340" s="35">
        <f t="shared" si="46"/>
        <v>-8600</v>
      </c>
      <c r="Q340" s="66">
        <f t="shared" si="47"/>
        <v>0</v>
      </c>
    </row>
    <row r="341" spans="1:17" hidden="1">
      <c r="A341" s="1" t="s">
        <v>378</v>
      </c>
      <c r="B341" s="1" t="s">
        <v>15</v>
      </c>
      <c r="C341" s="91">
        <v>124670696413</v>
      </c>
      <c r="D341" s="3">
        <v>8281.5499999999993</v>
      </c>
      <c r="E341" s="3">
        <v>10369067.369999999</v>
      </c>
      <c r="F341" s="35" t="s">
        <v>2750</v>
      </c>
      <c r="G341"/>
      <c r="H341"/>
      <c r="I341" s="27">
        <f>-IFERROR(VLOOKUP(C341,SIRCUPA!$A$21:$H$155,8,0),0)</f>
        <v>0</v>
      </c>
      <c r="J341" s="88">
        <f>-IFERROR(VLOOKUP(C341,SIRTAC!$A$16:$H$1288,8,0),0)</f>
        <v>-85</v>
      </c>
      <c r="K341" s="88">
        <f>-IFERROR(VLOOKUP(C341,Gastos!$A$9:$J$1281,10,0),0)</f>
        <v>-82.45</v>
      </c>
      <c r="L341" s="87">
        <f>-IFERROR(VLOOKUP(C341,IDC!$A$25:$H$1532,8,0),0)</f>
        <v>-51</v>
      </c>
      <c r="M341" s="122">
        <f t="shared" si="45"/>
        <v>8500</v>
      </c>
      <c r="N341"/>
      <c r="P341" s="35">
        <f t="shared" si="46"/>
        <v>-8500</v>
      </c>
      <c r="Q341" s="66">
        <f t="shared" si="47"/>
        <v>0</v>
      </c>
    </row>
    <row r="342" spans="1:17" hidden="1">
      <c r="A342" s="1" t="s">
        <v>378</v>
      </c>
      <c r="B342" s="1" t="s">
        <v>15</v>
      </c>
      <c r="C342" s="91">
        <v>124670726623</v>
      </c>
      <c r="D342" s="3">
        <v>4189.49</v>
      </c>
      <c r="E342" s="3">
        <v>10373256.859999999</v>
      </c>
      <c r="F342" s="35" t="s">
        <v>2750</v>
      </c>
      <c r="G342"/>
      <c r="H342"/>
      <c r="I342" s="27">
        <f>-IFERROR(VLOOKUP(C342,SIRCUPA!$A$21:$H$155,8,0),0)</f>
        <v>0</v>
      </c>
      <c r="J342" s="88">
        <f>-IFERROR(VLOOKUP(C342,SIRTAC!$A$16:$H$1288,8,0),0)</f>
        <v>-43</v>
      </c>
      <c r="K342" s="88">
        <f>-IFERROR(VLOOKUP(C342,Gastos!$A$9:$J$1281,10,0),0)</f>
        <v>-41.71</v>
      </c>
      <c r="L342" s="87">
        <f>-IFERROR(VLOOKUP(C342,IDC!$A$25:$H$1532,8,0),0)</f>
        <v>-25.8</v>
      </c>
      <c r="M342" s="122">
        <f t="shared" si="45"/>
        <v>4300</v>
      </c>
      <c r="N342"/>
      <c r="P342" s="35">
        <f t="shared" si="46"/>
        <v>-4300</v>
      </c>
      <c r="Q342" s="66">
        <f t="shared" si="47"/>
        <v>0</v>
      </c>
    </row>
    <row r="343" spans="1:17" hidden="1">
      <c r="A343" s="1" t="s">
        <v>378</v>
      </c>
      <c r="B343" s="1" t="s">
        <v>15</v>
      </c>
      <c r="C343" s="91">
        <v>125217693384</v>
      </c>
      <c r="D343" s="3">
        <v>14614.5</v>
      </c>
      <c r="E343" s="3">
        <v>10387871.359999999</v>
      </c>
      <c r="F343" s="35" t="s">
        <v>2750</v>
      </c>
      <c r="G343"/>
      <c r="H343"/>
      <c r="I343" s="27">
        <f>-IFERROR(VLOOKUP(C343,SIRCUPA!$A$21:$H$155,8,0),0)</f>
        <v>0</v>
      </c>
      <c r="J343" s="88">
        <f>-IFERROR(VLOOKUP(C343,SIRTAC!$A$16:$H$1288,8,0),0)</f>
        <v>-150</v>
      </c>
      <c r="K343" s="88">
        <f>-IFERROR(VLOOKUP(C343,Gastos!$A$9:$J$1281,10,0),0)</f>
        <v>-145.5</v>
      </c>
      <c r="L343" s="87">
        <f>-IFERROR(VLOOKUP(C343,IDC!$A$25:$H$1532,8,0),0)</f>
        <v>-90</v>
      </c>
      <c r="M343" s="122">
        <f t="shared" si="45"/>
        <v>15000</v>
      </c>
      <c r="N343"/>
      <c r="P343" s="35">
        <f t="shared" si="46"/>
        <v>-15000</v>
      </c>
      <c r="Q343" s="66">
        <f t="shared" si="47"/>
        <v>0</v>
      </c>
    </row>
    <row r="344" spans="1:17" hidden="1">
      <c r="A344" s="1" t="s">
        <v>378</v>
      </c>
      <c r="B344" s="1" t="s">
        <v>15</v>
      </c>
      <c r="C344" s="91">
        <v>124671275577</v>
      </c>
      <c r="D344" s="3">
        <v>33414.160000000003</v>
      </c>
      <c r="E344" s="3">
        <v>10421285.52</v>
      </c>
      <c r="F344" s="35" t="s">
        <v>2750</v>
      </c>
      <c r="G344"/>
      <c r="H344"/>
      <c r="I344" s="27">
        <f>-IFERROR(VLOOKUP(C344,SIRCUPA!$A$21:$H$155,8,0),0)</f>
        <v>0</v>
      </c>
      <c r="J344" s="88">
        <f>-IFERROR(VLOOKUP(C344,SIRTAC!$A$16:$H$1288,8,0),0)</f>
        <v>-356</v>
      </c>
      <c r="K344" s="88">
        <f>-IFERROR(VLOOKUP(C344,Gastos!$A$9:$J$1281,10,0),0)</f>
        <v>-1616.24</v>
      </c>
      <c r="L344" s="87">
        <f>-IFERROR(VLOOKUP(C344,IDC!$A$25:$H$1532,8,0),0)</f>
        <v>-213.6</v>
      </c>
      <c r="M344" s="122">
        <f t="shared" si="45"/>
        <v>35600</v>
      </c>
      <c r="N344"/>
      <c r="P344" s="35">
        <f t="shared" si="46"/>
        <v>-35600</v>
      </c>
      <c r="Q344" s="66">
        <f t="shared" si="47"/>
        <v>0</v>
      </c>
    </row>
    <row r="345" spans="1:17" hidden="1">
      <c r="A345" s="1" t="s">
        <v>378</v>
      </c>
      <c r="B345" s="1" t="s">
        <v>15</v>
      </c>
      <c r="C345" s="91">
        <v>124671527545</v>
      </c>
      <c r="D345" s="3">
        <v>41700.04</v>
      </c>
      <c r="E345" s="3">
        <v>10462985.560000001</v>
      </c>
      <c r="F345" s="35" t="s">
        <v>2750</v>
      </c>
      <c r="G345"/>
      <c r="H345"/>
      <c r="I345" s="27">
        <f>-IFERROR(VLOOKUP(C345,SIRCUPA!$A$21:$H$155,8,0),0)</f>
        <v>0</v>
      </c>
      <c r="J345" s="88">
        <f>-IFERROR(VLOOKUP(C345,SIRTAC!$A$16:$H$1288,8,0),0)</f>
        <v>-428</v>
      </c>
      <c r="K345" s="88">
        <f>-IFERROR(VLOOKUP(C345,Gastos!$A$9:$J$1281,10,0),0)</f>
        <v>-415.16</v>
      </c>
      <c r="L345" s="87">
        <f>-IFERROR(VLOOKUP(C345,IDC!$A$25:$H$1532,8,0),0)</f>
        <v>-256.8</v>
      </c>
      <c r="M345" s="122">
        <f t="shared" si="45"/>
        <v>42800.000000000007</v>
      </c>
      <c r="N345"/>
      <c r="P345" s="35">
        <f t="shared" si="46"/>
        <v>-42800</v>
      </c>
      <c r="Q345" s="66">
        <f t="shared" si="47"/>
        <v>0</v>
      </c>
    </row>
    <row r="346" spans="1:17" hidden="1">
      <c r="A346" s="1" t="s">
        <v>378</v>
      </c>
      <c r="B346" s="1" t="s">
        <v>397</v>
      </c>
      <c r="C346" s="91">
        <v>124671562997</v>
      </c>
      <c r="D346" s="3">
        <v>2095.06</v>
      </c>
      <c r="E346" s="3">
        <v>10465080.619999999</v>
      </c>
      <c r="F346" s="2" t="s">
        <v>2750</v>
      </c>
      <c r="G346"/>
      <c r="H346"/>
      <c r="I346" s="27">
        <f>-IFERROR(VLOOKUP(C346,SIRCUPA!$A$21:$H$155,8,0),0)</f>
        <v>-32.1</v>
      </c>
      <c r="J346" s="88">
        <f>-IFERROR(VLOOKUP(C346,SIRTAC!$A$16:$H$1288,8,0),0)</f>
        <v>0</v>
      </c>
      <c r="K346" s="88">
        <f>-IFERROR(VLOOKUP(C346,Gastos!$A$9:$J$1281,10,0),0)</f>
        <v>0</v>
      </c>
      <c r="L346" s="87">
        <f>-IFERROR(VLOOKUP(C346,IDC!$A$25:$H$1532,8,0),0)</f>
        <v>-12.84</v>
      </c>
      <c r="M346" s="122">
        <f t="shared" si="45"/>
        <v>2140</v>
      </c>
      <c r="N346"/>
      <c r="P346" s="35">
        <f t="shared" si="46"/>
        <v>-2140</v>
      </c>
      <c r="Q346" s="66">
        <f t="shared" si="47"/>
        <v>0</v>
      </c>
    </row>
    <row r="347" spans="1:17" hidden="1">
      <c r="A347" s="1" t="s">
        <v>378</v>
      </c>
      <c r="B347" s="1" t="s">
        <v>15</v>
      </c>
      <c r="C347" s="91">
        <v>124671860837</v>
      </c>
      <c r="D347" s="3">
        <v>31762.18</v>
      </c>
      <c r="E347" s="3">
        <v>10496842.800000001</v>
      </c>
      <c r="F347" s="35" t="s">
        <v>2750</v>
      </c>
      <c r="G347"/>
      <c r="H347"/>
      <c r="I347" s="27">
        <f>-IFERROR(VLOOKUP(C347,SIRCUPA!$A$21:$H$155,8,0),0)</f>
        <v>0</v>
      </c>
      <c r="J347" s="88">
        <f>-IFERROR(VLOOKUP(C347,SIRTAC!$A$16:$H$1288,8,0),0)</f>
        <v>-326</v>
      </c>
      <c r="K347" s="88">
        <f>-IFERROR(VLOOKUP(C347,Gastos!$A$9:$J$1281,10,0),0)</f>
        <v>-316.22000000000003</v>
      </c>
      <c r="L347" s="87">
        <f>-IFERROR(VLOOKUP(C347,IDC!$A$25:$H$1532,8,0),0)</f>
        <v>-195.6</v>
      </c>
      <c r="M347" s="122">
        <f t="shared" si="45"/>
        <v>32600</v>
      </c>
      <c r="N347"/>
      <c r="P347" s="35">
        <f t="shared" si="46"/>
        <v>-32600</v>
      </c>
      <c r="Q347" s="66">
        <f t="shared" si="47"/>
        <v>0</v>
      </c>
    </row>
    <row r="348" spans="1:17" hidden="1">
      <c r="A348" s="1" t="s">
        <v>378</v>
      </c>
      <c r="B348" s="1" t="s">
        <v>400</v>
      </c>
      <c r="C348" s="91">
        <v>125218223556</v>
      </c>
      <c r="D348" s="3">
        <v>1595.77</v>
      </c>
      <c r="E348" s="3">
        <v>10498438.57</v>
      </c>
      <c r="F348" s="2" t="s">
        <v>2750</v>
      </c>
      <c r="G348"/>
      <c r="H348"/>
      <c r="I348" s="27">
        <f>-IFERROR(VLOOKUP(C348,SIRCUPA!$A$21:$H$155,8,0),0)</f>
        <v>-24.45</v>
      </c>
      <c r="J348" s="88">
        <f>-IFERROR(VLOOKUP(C348,SIRTAC!$A$16:$H$1288,8,0),0)</f>
        <v>0</v>
      </c>
      <c r="K348" s="88">
        <f>-IFERROR(VLOOKUP(C348,Gastos!$A$9:$J$1281,10,0),0)</f>
        <v>0</v>
      </c>
      <c r="L348" s="87">
        <f>-IFERROR(VLOOKUP(C348,IDC!$A$25:$H$1532,8,0),0)</f>
        <v>-9.7799999999999994</v>
      </c>
      <c r="M348" s="122">
        <f t="shared" si="45"/>
        <v>1630</v>
      </c>
      <c r="N348"/>
      <c r="P348" s="35">
        <f t="shared" si="46"/>
        <v>-1629.9999999999998</v>
      </c>
      <c r="Q348" s="66">
        <f t="shared" si="47"/>
        <v>0</v>
      </c>
    </row>
    <row r="349" spans="1:17" hidden="1">
      <c r="A349" s="1" t="s">
        <v>378</v>
      </c>
      <c r="B349" s="1" t="s">
        <v>15</v>
      </c>
      <c r="C349" s="91">
        <v>125218410126</v>
      </c>
      <c r="D349" s="3">
        <v>10522.44</v>
      </c>
      <c r="E349" s="3">
        <v>10508961.01</v>
      </c>
      <c r="F349" s="35" t="s">
        <v>2750</v>
      </c>
      <c r="G349"/>
      <c r="H349"/>
      <c r="I349" s="27">
        <f>-IFERROR(VLOOKUP(C349,SIRCUPA!$A$21:$H$155,8,0),0)</f>
        <v>0</v>
      </c>
      <c r="J349" s="88">
        <f>-IFERROR(VLOOKUP(C349,SIRTAC!$A$16:$H$1288,8,0),0)</f>
        <v>-108</v>
      </c>
      <c r="K349" s="88">
        <f>-IFERROR(VLOOKUP(C349,Gastos!$A$9:$J$1281,10,0),0)</f>
        <v>-104.76</v>
      </c>
      <c r="L349" s="87">
        <f>-IFERROR(VLOOKUP(C349,IDC!$A$25:$H$1532,8,0),0)</f>
        <v>-64.8</v>
      </c>
      <c r="M349" s="122">
        <f t="shared" si="45"/>
        <v>10800</v>
      </c>
      <c r="N349"/>
      <c r="P349" s="35">
        <f t="shared" si="46"/>
        <v>-10800</v>
      </c>
      <c r="Q349" s="66">
        <f t="shared" si="47"/>
        <v>0</v>
      </c>
    </row>
    <row r="350" spans="1:17" hidden="1">
      <c r="A350" s="1" t="s">
        <v>378</v>
      </c>
      <c r="B350" s="1" t="s">
        <v>15</v>
      </c>
      <c r="C350" s="91">
        <v>125218795632</v>
      </c>
      <c r="D350" s="3">
        <v>8313.36</v>
      </c>
      <c r="E350" s="3">
        <v>10517274.369999999</v>
      </c>
      <c r="F350" s="35" t="s">
        <v>2750</v>
      </c>
      <c r="G350"/>
      <c r="H350"/>
      <c r="I350" s="27">
        <f>-IFERROR(VLOOKUP(C350,SIRCUPA!$A$21:$H$155,8,0),0)</f>
        <v>0</v>
      </c>
      <c r="J350" s="88">
        <f>-IFERROR(VLOOKUP(C350,SIRTAC!$A$16:$H$1288,8,0),0)</f>
        <v>-88</v>
      </c>
      <c r="K350" s="88">
        <f>-IFERROR(VLOOKUP(C350,Gastos!$A$9:$J$1281,10,0),0)</f>
        <v>-345.84</v>
      </c>
      <c r="L350" s="87">
        <f>-IFERROR(VLOOKUP(C350,IDC!$A$25:$H$1532,8,0),0)</f>
        <v>-52.8</v>
      </c>
      <c r="M350" s="122">
        <f t="shared" si="45"/>
        <v>8800</v>
      </c>
      <c r="N350"/>
      <c r="P350" s="35">
        <f t="shared" si="46"/>
        <v>-8800</v>
      </c>
      <c r="Q350" s="66">
        <f t="shared" si="47"/>
        <v>0</v>
      </c>
    </row>
    <row r="351" spans="1:17" hidden="1">
      <c r="A351" s="1" t="s">
        <v>378</v>
      </c>
      <c r="B351" s="1" t="s">
        <v>15</v>
      </c>
      <c r="C351" s="91">
        <v>124672504175</v>
      </c>
      <c r="D351" s="3">
        <v>8573.84</v>
      </c>
      <c r="E351" s="3">
        <v>10525848.210000001</v>
      </c>
      <c r="F351" s="35" t="s">
        <v>2750</v>
      </c>
      <c r="G351"/>
      <c r="H351"/>
      <c r="I351" s="27">
        <f>-IFERROR(VLOOKUP(C351,SIRCUPA!$A$21:$H$155,8,0),0)</f>
        <v>0</v>
      </c>
      <c r="J351" s="88">
        <f>-IFERROR(VLOOKUP(C351,SIRTAC!$A$16:$H$1288,8,0),0)</f>
        <v>-88</v>
      </c>
      <c r="K351" s="88">
        <f>-IFERROR(VLOOKUP(C351,Gastos!$A$9:$J$1281,10,0),0)</f>
        <v>-85.36</v>
      </c>
      <c r="L351" s="87">
        <f>-IFERROR(VLOOKUP(C351,IDC!$A$25:$H$1532,8,0),0)</f>
        <v>-52.8</v>
      </c>
      <c r="M351" s="122">
        <f t="shared" si="45"/>
        <v>8800</v>
      </c>
      <c r="N351"/>
      <c r="P351" s="35">
        <f t="shared" si="46"/>
        <v>-8800</v>
      </c>
      <c r="Q351" s="66">
        <f t="shared" si="47"/>
        <v>0</v>
      </c>
    </row>
    <row r="352" spans="1:17" hidden="1">
      <c r="A352" s="1" t="s">
        <v>378</v>
      </c>
      <c r="B352" s="1" t="s">
        <v>15</v>
      </c>
      <c r="C352" s="91">
        <v>124672534433</v>
      </c>
      <c r="D352" s="3">
        <v>7599.54</v>
      </c>
      <c r="E352" s="3">
        <v>10533447.75</v>
      </c>
      <c r="F352" s="35" t="s">
        <v>2750</v>
      </c>
      <c r="G352"/>
      <c r="H352"/>
      <c r="I352" s="27">
        <f>-IFERROR(VLOOKUP(C352,SIRCUPA!$A$21:$H$155,8,0),0)</f>
        <v>0</v>
      </c>
      <c r="J352" s="88">
        <f>-IFERROR(VLOOKUP(C352,SIRTAC!$A$16:$H$1288,8,0),0)</f>
        <v>-78</v>
      </c>
      <c r="K352" s="88">
        <f>-IFERROR(VLOOKUP(C352,Gastos!$A$9:$J$1281,10,0),0)</f>
        <v>-75.66</v>
      </c>
      <c r="L352" s="87">
        <f>-IFERROR(VLOOKUP(C352,IDC!$A$25:$H$1532,8,0),0)</f>
        <v>-46.8</v>
      </c>
      <c r="M352" s="122">
        <f t="shared" si="45"/>
        <v>7800</v>
      </c>
      <c r="N352"/>
      <c r="P352" s="35">
        <f t="shared" si="46"/>
        <v>-7799.9999999999991</v>
      </c>
      <c r="Q352" s="66">
        <f t="shared" si="47"/>
        <v>0</v>
      </c>
    </row>
    <row r="353" spans="1:17" hidden="1">
      <c r="A353" s="1" t="s">
        <v>378</v>
      </c>
      <c r="B353" s="1" t="s">
        <v>15</v>
      </c>
      <c r="C353" s="91">
        <v>125219129574</v>
      </c>
      <c r="D353" s="3">
        <v>44622.94</v>
      </c>
      <c r="E353" s="3">
        <v>10578070.689999999</v>
      </c>
      <c r="F353" s="35" t="s">
        <v>2750</v>
      </c>
      <c r="G353"/>
      <c r="H353"/>
      <c r="I353" s="27">
        <f>-IFERROR(VLOOKUP(C353,SIRCUPA!$A$21:$H$155,8,0),0)</f>
        <v>0</v>
      </c>
      <c r="J353" s="88">
        <f>-IFERROR(VLOOKUP(C353,SIRTAC!$A$16:$H$1288,8,0),0)</f>
        <v>-458</v>
      </c>
      <c r="K353" s="88">
        <f>-IFERROR(VLOOKUP(C353,Gastos!$A$9:$J$1281,10,0),0)</f>
        <v>-444.26</v>
      </c>
      <c r="L353" s="87">
        <f>-IFERROR(VLOOKUP(C353,IDC!$A$25:$H$1532,8,0),0)</f>
        <v>-274.8</v>
      </c>
      <c r="M353" s="122">
        <f t="shared" si="45"/>
        <v>45800.000000000007</v>
      </c>
      <c r="N353"/>
      <c r="P353" s="35">
        <f t="shared" si="46"/>
        <v>-45800</v>
      </c>
      <c r="Q353" s="66">
        <f t="shared" si="47"/>
        <v>0</v>
      </c>
    </row>
    <row r="354" spans="1:17" hidden="1">
      <c r="A354" s="1" t="s">
        <v>378</v>
      </c>
      <c r="B354" s="1" t="s">
        <v>15</v>
      </c>
      <c r="C354" s="91">
        <v>125219203876</v>
      </c>
      <c r="D354" s="3">
        <v>8378.98</v>
      </c>
      <c r="E354" s="3">
        <v>10586449.67</v>
      </c>
      <c r="F354" s="35" t="s">
        <v>2750</v>
      </c>
      <c r="G354"/>
      <c r="H354"/>
      <c r="I354" s="27">
        <f>-IFERROR(VLOOKUP(C354,SIRCUPA!$A$21:$H$155,8,0),0)</f>
        <v>0</v>
      </c>
      <c r="J354" s="88">
        <f>-IFERROR(VLOOKUP(C354,SIRTAC!$A$16:$H$1288,8,0),0)</f>
        <v>-86</v>
      </c>
      <c r="K354" s="88">
        <f>-IFERROR(VLOOKUP(C354,Gastos!$A$9:$J$1281,10,0),0)</f>
        <v>-83.42</v>
      </c>
      <c r="L354" s="87">
        <f>-IFERROR(VLOOKUP(C354,IDC!$A$25:$H$1532,8,0),0)</f>
        <v>-51.6</v>
      </c>
      <c r="M354" s="122">
        <f t="shared" si="45"/>
        <v>8600</v>
      </c>
      <c r="N354"/>
      <c r="P354" s="35">
        <f t="shared" si="46"/>
        <v>-8600</v>
      </c>
      <c r="Q354" s="66">
        <f t="shared" si="47"/>
        <v>0</v>
      </c>
    </row>
    <row r="355" spans="1:17" hidden="1">
      <c r="A355" s="1" t="s">
        <v>378</v>
      </c>
      <c r="B355" s="1" t="s">
        <v>15</v>
      </c>
      <c r="C355" s="91">
        <v>125219233532</v>
      </c>
      <c r="D355" s="3">
        <v>5553.51</v>
      </c>
      <c r="E355" s="3">
        <v>10592003.18</v>
      </c>
      <c r="F355" s="35" t="s">
        <v>2750</v>
      </c>
      <c r="G355"/>
      <c r="H355"/>
      <c r="I355" s="27">
        <f>-IFERROR(VLOOKUP(C355,SIRCUPA!$A$21:$H$155,8,0),0)</f>
        <v>0</v>
      </c>
      <c r="J355" s="88">
        <f>-IFERROR(VLOOKUP(C355,SIRTAC!$A$16:$H$1288,8,0),0)</f>
        <v>-57</v>
      </c>
      <c r="K355" s="88">
        <f>-IFERROR(VLOOKUP(C355,Gastos!$A$9:$J$1281,10,0),0)</f>
        <v>-55.29</v>
      </c>
      <c r="L355" s="87">
        <f>-IFERROR(VLOOKUP(C355,IDC!$A$25:$H$1532,8,0),0)</f>
        <v>-34.200000000000003</v>
      </c>
      <c r="M355" s="122">
        <f t="shared" si="45"/>
        <v>5700</v>
      </c>
      <c r="N355"/>
      <c r="P355" s="35">
        <f t="shared" si="46"/>
        <v>-5700</v>
      </c>
      <c r="Q355" s="66">
        <f t="shared" si="47"/>
        <v>0</v>
      </c>
    </row>
    <row r="356" spans="1:17" hidden="1">
      <c r="A356" s="1" t="s">
        <v>378</v>
      </c>
      <c r="B356" s="1" t="s">
        <v>409</v>
      </c>
      <c r="C356" s="91">
        <v>124672793343</v>
      </c>
      <c r="D356" s="2">
        <v>279.01</v>
      </c>
      <c r="E356" s="3">
        <v>10592282.189999999</v>
      </c>
      <c r="F356" s="2" t="s">
        <v>2750</v>
      </c>
      <c r="G356"/>
      <c r="H356"/>
      <c r="I356" s="27">
        <f>-IFERROR(VLOOKUP(C356,SIRCUPA!$A$21:$H$155,8,0),0)</f>
        <v>-4.28</v>
      </c>
      <c r="J356" s="88">
        <f>-IFERROR(VLOOKUP(C356,SIRTAC!$A$16:$H$1288,8,0),0)</f>
        <v>0</v>
      </c>
      <c r="K356" s="88">
        <f>-IFERROR(VLOOKUP(C356,Gastos!$A$9:$J$1281,10,0),0)</f>
        <v>0</v>
      </c>
      <c r="L356" s="87">
        <f>-IFERROR(VLOOKUP(C356,IDC!$A$25:$H$1532,8,0),0)</f>
        <v>-1.71</v>
      </c>
      <c r="M356" s="122">
        <f t="shared" si="45"/>
        <v>284.99999999999994</v>
      </c>
      <c r="N356"/>
      <c r="P356" s="35">
        <f t="shared" si="46"/>
        <v>-285</v>
      </c>
      <c r="Q356" s="66">
        <f t="shared" si="47"/>
        <v>0</v>
      </c>
    </row>
    <row r="357" spans="1:17" hidden="1">
      <c r="A357" s="1" t="s">
        <v>378</v>
      </c>
      <c r="B357" s="1" t="s">
        <v>15</v>
      </c>
      <c r="C357" s="91">
        <v>125219980312</v>
      </c>
      <c r="D357" s="3">
        <v>53196.78</v>
      </c>
      <c r="E357" s="3">
        <v>10645478.970000001</v>
      </c>
      <c r="F357" s="35" t="s">
        <v>2750</v>
      </c>
      <c r="G357"/>
      <c r="H357"/>
      <c r="I357" s="27">
        <f>-IFERROR(VLOOKUP(C357,SIRCUPA!$A$21:$H$155,8,0),0)</f>
        <v>0</v>
      </c>
      <c r="J357" s="88">
        <f>-IFERROR(VLOOKUP(C357,SIRTAC!$A$16:$H$1288,8,0),0)</f>
        <v>-546</v>
      </c>
      <c r="K357" s="88">
        <f>-IFERROR(VLOOKUP(C357,Gastos!$A$9:$J$1281,10,0),0)</f>
        <v>-529.62</v>
      </c>
      <c r="L357" s="87">
        <f>-IFERROR(VLOOKUP(C357,IDC!$A$25:$H$1532,8,0),0)</f>
        <v>-327.60000000000002</v>
      </c>
      <c r="M357" s="122">
        <f t="shared" si="45"/>
        <v>54600</v>
      </c>
      <c r="N357"/>
      <c r="P357" s="35">
        <f t="shared" si="46"/>
        <v>-54600</v>
      </c>
      <c r="Q357" s="66">
        <f t="shared" si="47"/>
        <v>0</v>
      </c>
    </row>
    <row r="358" spans="1:17" hidden="1">
      <c r="A358" s="1" t="s">
        <v>378</v>
      </c>
      <c r="B358" s="1" t="s">
        <v>15</v>
      </c>
      <c r="C358" s="91">
        <v>125219899446</v>
      </c>
      <c r="D358" s="3">
        <v>6820.1</v>
      </c>
      <c r="E358" s="3">
        <v>10652299.07</v>
      </c>
      <c r="F358" s="35" t="s">
        <v>2750</v>
      </c>
      <c r="G358"/>
      <c r="H358"/>
      <c r="I358" s="27">
        <f>-IFERROR(VLOOKUP(C358,SIRCUPA!$A$21:$H$155,8,0),0)</f>
        <v>0</v>
      </c>
      <c r="J358" s="88">
        <f>-IFERROR(VLOOKUP(C358,SIRTAC!$A$16:$H$1288,8,0),0)</f>
        <v>-70</v>
      </c>
      <c r="K358" s="88">
        <f>-IFERROR(VLOOKUP(C358,Gastos!$A$9:$J$1281,10,0),0)</f>
        <v>-67.900000000000006</v>
      </c>
      <c r="L358" s="87">
        <f>-IFERROR(VLOOKUP(C358,IDC!$A$25:$H$1532,8,0),0)</f>
        <v>-42</v>
      </c>
      <c r="M358" s="122">
        <f t="shared" si="45"/>
        <v>7000</v>
      </c>
      <c r="N358"/>
      <c r="P358" s="35">
        <f t="shared" si="46"/>
        <v>-7000</v>
      </c>
      <c r="Q358" s="66">
        <f t="shared" si="47"/>
        <v>0</v>
      </c>
    </row>
    <row r="359" spans="1:17" hidden="1">
      <c r="A359" s="1" t="s">
        <v>378</v>
      </c>
      <c r="B359" s="1" t="s">
        <v>15</v>
      </c>
      <c r="C359" s="91">
        <v>125220021668</v>
      </c>
      <c r="D359" s="3">
        <v>8378.98</v>
      </c>
      <c r="E359" s="3">
        <v>10660678.050000001</v>
      </c>
      <c r="F359" s="35" t="s">
        <v>2750</v>
      </c>
      <c r="G359"/>
      <c r="H359"/>
      <c r="I359" s="27">
        <f>-IFERROR(VLOOKUP(C359,SIRCUPA!$A$21:$H$155,8,0),0)</f>
        <v>0</v>
      </c>
      <c r="J359" s="88">
        <f>-IFERROR(VLOOKUP(C359,SIRTAC!$A$16:$H$1288,8,0),0)</f>
        <v>-86</v>
      </c>
      <c r="K359" s="88">
        <f>-IFERROR(VLOOKUP(C359,Gastos!$A$9:$J$1281,10,0),0)</f>
        <v>-83.42</v>
      </c>
      <c r="L359" s="87">
        <f>-IFERROR(VLOOKUP(C359,IDC!$A$25:$H$1532,8,0),0)</f>
        <v>-51.6</v>
      </c>
      <c r="M359" s="122">
        <f t="shared" si="45"/>
        <v>8600</v>
      </c>
      <c r="N359"/>
      <c r="P359" s="35">
        <f t="shared" si="46"/>
        <v>-8600</v>
      </c>
      <c r="Q359" s="66">
        <f t="shared" si="47"/>
        <v>0</v>
      </c>
    </row>
    <row r="360" spans="1:17" hidden="1">
      <c r="A360" s="1" t="s">
        <v>378</v>
      </c>
      <c r="B360" s="1" t="s">
        <v>15</v>
      </c>
      <c r="C360" s="91">
        <v>124673710401</v>
      </c>
      <c r="D360" s="3">
        <v>30687.02</v>
      </c>
      <c r="E360" s="3">
        <v>10691365.07</v>
      </c>
      <c r="F360" s="35" t="s">
        <v>2750</v>
      </c>
      <c r="G360"/>
      <c r="H360"/>
      <c r="I360" s="27">
        <f>-IFERROR(VLOOKUP(C360,SIRCUPA!$A$21:$H$155,8,0),0)</f>
        <v>0</v>
      </c>
      <c r="J360" s="88">
        <f>-IFERROR(VLOOKUP(C360,SIRTAC!$A$16:$H$1288,8,0),0)</f>
        <v>-338</v>
      </c>
      <c r="K360" s="88">
        <f>-IFERROR(VLOOKUP(C360,Gastos!$A$9:$J$1281,10,0),0)</f>
        <v>-2572.1799999999998</v>
      </c>
      <c r="L360" s="87">
        <f>-IFERROR(VLOOKUP(C360,IDC!$A$25:$H$1532,8,0),0)</f>
        <v>-202.8</v>
      </c>
      <c r="M360" s="122">
        <f t="shared" si="45"/>
        <v>33800</v>
      </c>
      <c r="N360"/>
      <c r="P360" s="35">
        <f t="shared" si="46"/>
        <v>-33800</v>
      </c>
      <c r="Q360" s="66">
        <f t="shared" si="47"/>
        <v>0</v>
      </c>
    </row>
    <row r="361" spans="1:17" hidden="1">
      <c r="A361" s="1" t="s">
        <v>378</v>
      </c>
      <c r="B361" s="1" t="s">
        <v>15</v>
      </c>
      <c r="C361" s="91">
        <v>125220339680</v>
      </c>
      <c r="D361" s="3">
        <v>6820.1</v>
      </c>
      <c r="E361" s="3">
        <v>10698185.17</v>
      </c>
      <c r="F361" s="35" t="s">
        <v>2750</v>
      </c>
      <c r="G361"/>
      <c r="H361"/>
      <c r="I361" s="27">
        <f>-IFERROR(VLOOKUP(C361,SIRCUPA!$A$21:$H$155,8,0),0)</f>
        <v>0</v>
      </c>
      <c r="J361" s="88">
        <f>-IFERROR(VLOOKUP(C361,SIRTAC!$A$16:$H$1288,8,0),0)</f>
        <v>-70</v>
      </c>
      <c r="K361" s="88">
        <f>-IFERROR(VLOOKUP(C361,Gastos!$A$9:$J$1281,10,0),0)</f>
        <v>-67.900000000000006</v>
      </c>
      <c r="L361" s="87">
        <f>-IFERROR(VLOOKUP(C361,IDC!$A$25:$H$1532,8,0),0)</f>
        <v>-42</v>
      </c>
      <c r="M361" s="122">
        <f t="shared" si="45"/>
        <v>7000</v>
      </c>
      <c r="N361"/>
      <c r="P361" s="35">
        <f t="shared" si="46"/>
        <v>-7000</v>
      </c>
      <c r="Q361" s="66">
        <f t="shared" si="47"/>
        <v>0</v>
      </c>
    </row>
    <row r="362" spans="1:17" hidden="1">
      <c r="A362" s="1" t="s">
        <v>378</v>
      </c>
      <c r="B362" s="1" t="s">
        <v>15</v>
      </c>
      <c r="C362" s="91">
        <v>124673905673</v>
      </c>
      <c r="D362" s="3">
        <v>4871.5</v>
      </c>
      <c r="E362" s="3">
        <v>10703056.67</v>
      </c>
      <c r="F362" s="35" t="s">
        <v>2750</v>
      </c>
      <c r="G362"/>
      <c r="H362"/>
      <c r="I362" s="27">
        <f>-IFERROR(VLOOKUP(C362,SIRCUPA!$A$21:$H$155,8,0),0)</f>
        <v>0</v>
      </c>
      <c r="J362" s="88">
        <f>-IFERROR(VLOOKUP(C362,SIRTAC!$A$16:$H$1288,8,0),0)</f>
        <v>-50</v>
      </c>
      <c r="K362" s="88">
        <f>-IFERROR(VLOOKUP(C362,Gastos!$A$9:$J$1281,10,0),0)</f>
        <v>-48.5</v>
      </c>
      <c r="L362" s="87">
        <f>-IFERROR(VLOOKUP(C362,IDC!$A$25:$H$1532,8,0),0)</f>
        <v>-30</v>
      </c>
      <c r="M362" s="122">
        <f t="shared" si="45"/>
        <v>5000</v>
      </c>
      <c r="N362"/>
      <c r="P362" s="35">
        <f t="shared" si="46"/>
        <v>-5000</v>
      </c>
      <c r="Q362" s="66">
        <f t="shared" si="47"/>
        <v>0</v>
      </c>
    </row>
    <row r="363" spans="1:17" hidden="1">
      <c r="A363" s="1" t="s">
        <v>378</v>
      </c>
      <c r="B363" s="1" t="s">
        <v>417</v>
      </c>
      <c r="C363" s="91">
        <v>125220439184</v>
      </c>
      <c r="D363" s="2">
        <v>244.75</v>
      </c>
      <c r="E363" s="3">
        <v>10703301.42</v>
      </c>
      <c r="F363" s="2" t="s">
        <v>2750</v>
      </c>
      <c r="G363"/>
      <c r="H363"/>
      <c r="I363" s="27">
        <f>-IFERROR(VLOOKUP(C363,SIRCUPA!$A$21:$H$155,8,0),0)</f>
        <v>-3.75</v>
      </c>
      <c r="J363" s="88">
        <f>-IFERROR(VLOOKUP(C363,SIRTAC!$A$16:$H$1288,8,0),0)</f>
        <v>0</v>
      </c>
      <c r="K363" s="88">
        <f>-IFERROR(VLOOKUP(C363,Gastos!$A$9:$J$1281,10,0),0)</f>
        <v>0</v>
      </c>
      <c r="L363" s="87">
        <f>-IFERROR(VLOOKUP(C363,IDC!$A$25:$H$1532,8,0),0)</f>
        <v>-1.5</v>
      </c>
      <c r="M363" s="122">
        <f t="shared" si="45"/>
        <v>250</v>
      </c>
      <c r="N363"/>
      <c r="P363" s="35">
        <f t="shared" si="46"/>
        <v>-250</v>
      </c>
      <c r="Q363" s="66">
        <f t="shared" si="47"/>
        <v>0</v>
      </c>
    </row>
    <row r="364" spans="1:17" hidden="1">
      <c r="A364" s="1" t="s">
        <v>378</v>
      </c>
      <c r="B364" s="1" t="s">
        <v>15</v>
      </c>
      <c r="C364" s="91">
        <v>124673995833</v>
      </c>
      <c r="D364" s="3">
        <v>25039.51</v>
      </c>
      <c r="E364" s="3">
        <v>10728340.93</v>
      </c>
      <c r="F364" s="35" t="s">
        <v>2750</v>
      </c>
      <c r="G364"/>
      <c r="H364"/>
      <c r="I364" s="27">
        <f>-IFERROR(VLOOKUP(C364,SIRCUPA!$A$21:$H$155,8,0),0)</f>
        <v>0</v>
      </c>
      <c r="J364" s="88">
        <f>-IFERROR(VLOOKUP(C364,SIRTAC!$A$16:$H$1288,8,0),0)</f>
        <v>-257</v>
      </c>
      <c r="K364" s="88">
        <f>-IFERROR(VLOOKUP(C364,Gastos!$A$9:$J$1281,10,0),0)</f>
        <v>-249.29</v>
      </c>
      <c r="L364" s="87">
        <f>-IFERROR(VLOOKUP(C364,IDC!$A$25:$H$1532,8,0),0)</f>
        <v>-154.19999999999999</v>
      </c>
      <c r="M364" s="122">
        <f t="shared" si="45"/>
        <v>25700</v>
      </c>
      <c r="N364"/>
      <c r="P364" s="35">
        <f t="shared" si="46"/>
        <v>-25699.999999999996</v>
      </c>
      <c r="Q364" s="66">
        <f t="shared" si="47"/>
        <v>0</v>
      </c>
    </row>
    <row r="365" spans="1:17" hidden="1">
      <c r="A365" s="1" t="s">
        <v>378</v>
      </c>
      <c r="B365" s="1" t="s">
        <v>15</v>
      </c>
      <c r="C365" s="91">
        <v>124674256535</v>
      </c>
      <c r="D365" s="3">
        <v>4871.5</v>
      </c>
      <c r="E365" s="3">
        <v>10733212.43</v>
      </c>
      <c r="F365" s="35" t="s">
        <v>2750</v>
      </c>
      <c r="G365"/>
      <c r="H365"/>
      <c r="I365" s="27">
        <f>-IFERROR(VLOOKUP(C365,SIRCUPA!$A$21:$H$155,8,0),0)</f>
        <v>0</v>
      </c>
      <c r="J365" s="88">
        <f>-IFERROR(VLOOKUP(C365,SIRTAC!$A$16:$H$1288,8,0),0)</f>
        <v>-50</v>
      </c>
      <c r="K365" s="88">
        <f>-IFERROR(VLOOKUP(C365,Gastos!$A$9:$J$1281,10,0),0)</f>
        <v>-48.5</v>
      </c>
      <c r="L365" s="87">
        <f>-IFERROR(VLOOKUP(C365,IDC!$A$25:$H$1532,8,0),0)</f>
        <v>-30</v>
      </c>
      <c r="M365" s="122">
        <f t="shared" si="45"/>
        <v>5000</v>
      </c>
      <c r="N365"/>
      <c r="P365" s="35">
        <f t="shared" si="46"/>
        <v>-5000</v>
      </c>
      <c r="Q365" s="66">
        <f t="shared" si="47"/>
        <v>0</v>
      </c>
    </row>
    <row r="366" spans="1:17" hidden="1">
      <c r="A366" s="1" t="s">
        <v>378</v>
      </c>
      <c r="B366" s="1" t="s">
        <v>15</v>
      </c>
      <c r="C366" s="91">
        <v>124675042795</v>
      </c>
      <c r="D366" s="3">
        <v>48617.57</v>
      </c>
      <c r="E366" s="3">
        <v>10781830</v>
      </c>
      <c r="F366" s="35" t="s">
        <v>2750</v>
      </c>
      <c r="G366"/>
      <c r="H366"/>
      <c r="I366" s="27">
        <f>-IFERROR(VLOOKUP(C366,SIRCUPA!$A$21:$H$155,8,0),0)</f>
        <v>0</v>
      </c>
      <c r="J366" s="88">
        <f>-IFERROR(VLOOKUP(C366,SIRTAC!$A$16:$H$1288,8,0),0)</f>
        <v>-499</v>
      </c>
      <c r="K366" s="88">
        <f>-IFERROR(VLOOKUP(C366,Gastos!$A$9:$J$1281,10,0),0)</f>
        <v>-484.03</v>
      </c>
      <c r="L366" s="87">
        <f>-IFERROR(VLOOKUP(C366,IDC!$A$25:$H$1532,8,0),0)</f>
        <v>-299.39999999999998</v>
      </c>
      <c r="M366" s="122">
        <f t="shared" si="45"/>
        <v>49900</v>
      </c>
      <c r="N366"/>
      <c r="P366" s="35">
        <f t="shared" si="46"/>
        <v>-49899.999999999993</v>
      </c>
      <c r="Q366" s="66">
        <f t="shared" si="47"/>
        <v>0</v>
      </c>
    </row>
    <row r="367" spans="1:17" hidden="1">
      <c r="A367" s="1" t="s">
        <v>378</v>
      </c>
      <c r="B367" s="1" t="s">
        <v>15</v>
      </c>
      <c r="C367" s="91">
        <v>124675009187</v>
      </c>
      <c r="D367" s="3">
        <v>17927.12</v>
      </c>
      <c r="E367" s="3">
        <v>10799757.119999999</v>
      </c>
      <c r="F367" s="35" t="s">
        <v>2750</v>
      </c>
      <c r="G367"/>
      <c r="H367"/>
      <c r="I367" s="27">
        <f>-IFERROR(VLOOKUP(C367,SIRCUPA!$A$21:$H$155,8,0),0)</f>
        <v>0</v>
      </c>
      <c r="J367" s="88">
        <f>-IFERROR(VLOOKUP(C367,SIRTAC!$A$16:$H$1288,8,0),0)</f>
        <v>-184</v>
      </c>
      <c r="K367" s="88">
        <f>-IFERROR(VLOOKUP(C367,Gastos!$A$9:$J$1281,10,0),0)</f>
        <v>-178.48</v>
      </c>
      <c r="L367" s="87">
        <f>-IFERROR(VLOOKUP(C367,IDC!$A$25:$H$1532,8,0),0)</f>
        <v>-110.4</v>
      </c>
      <c r="M367" s="122">
        <f t="shared" si="45"/>
        <v>18400</v>
      </c>
      <c r="N367"/>
      <c r="P367" s="35">
        <f t="shared" si="46"/>
        <v>-18400</v>
      </c>
      <c r="Q367" s="66">
        <f t="shared" si="47"/>
        <v>0</v>
      </c>
    </row>
    <row r="368" spans="1:17" hidden="1">
      <c r="A368" s="1" t="s">
        <v>378</v>
      </c>
      <c r="B368" s="1" t="s">
        <v>15</v>
      </c>
      <c r="C368" s="91">
        <v>124675558175</v>
      </c>
      <c r="D368" s="3">
        <v>24649.79</v>
      </c>
      <c r="E368" s="3">
        <v>10824406.91</v>
      </c>
      <c r="F368" s="35" t="s">
        <v>2750</v>
      </c>
      <c r="G368"/>
      <c r="H368"/>
      <c r="I368" s="27">
        <f>-IFERROR(VLOOKUP(C368,SIRCUPA!$A$21:$H$155,8,0),0)</f>
        <v>0</v>
      </c>
      <c r="J368" s="88">
        <f>-IFERROR(VLOOKUP(C368,SIRTAC!$A$16:$H$1288,8,0),0)</f>
        <v>-253</v>
      </c>
      <c r="K368" s="88">
        <f>-IFERROR(VLOOKUP(C368,Gastos!$A$9:$J$1281,10,0),0)</f>
        <v>-245.41</v>
      </c>
      <c r="L368" s="87">
        <f>-IFERROR(VLOOKUP(C368,IDC!$A$25:$H$1532,8,0),0)</f>
        <v>-151.80000000000001</v>
      </c>
      <c r="M368" s="122">
        <f t="shared" si="45"/>
        <v>25300</v>
      </c>
      <c r="N368"/>
      <c r="P368" s="35">
        <f t="shared" si="46"/>
        <v>-25300</v>
      </c>
      <c r="Q368" s="66">
        <f t="shared" si="47"/>
        <v>0</v>
      </c>
    </row>
    <row r="369" spans="1:17" hidden="1">
      <c r="A369" s="1" t="s">
        <v>378</v>
      </c>
      <c r="B369" s="1" t="s">
        <v>15</v>
      </c>
      <c r="C369" s="91">
        <v>124675646391</v>
      </c>
      <c r="D369" s="3">
        <v>4871.5</v>
      </c>
      <c r="E369" s="3">
        <v>10829278.41</v>
      </c>
      <c r="F369" s="35" t="s">
        <v>2750</v>
      </c>
      <c r="G369"/>
      <c r="H369"/>
      <c r="I369" s="27">
        <f>-IFERROR(VLOOKUP(C369,SIRCUPA!$A$21:$H$155,8,0),0)</f>
        <v>0</v>
      </c>
      <c r="J369" s="88">
        <f>-IFERROR(VLOOKUP(C369,SIRTAC!$A$16:$H$1288,8,0),0)</f>
        <v>-50</v>
      </c>
      <c r="K369" s="88">
        <f>-IFERROR(VLOOKUP(C369,Gastos!$A$9:$J$1281,10,0),0)</f>
        <v>-48.5</v>
      </c>
      <c r="L369" s="87">
        <f>-IFERROR(VLOOKUP(C369,IDC!$A$25:$H$1532,8,0),0)</f>
        <v>-30</v>
      </c>
      <c r="M369" s="122">
        <f t="shared" si="45"/>
        <v>5000</v>
      </c>
      <c r="N369"/>
      <c r="P369" s="35">
        <f t="shared" si="46"/>
        <v>-5000</v>
      </c>
      <c r="Q369" s="66">
        <f t="shared" si="47"/>
        <v>0</v>
      </c>
    </row>
    <row r="370" spans="1:17" hidden="1">
      <c r="A370" s="1" t="s">
        <v>378</v>
      </c>
      <c r="B370" s="1" t="s">
        <v>15</v>
      </c>
      <c r="C370" s="91">
        <v>124675934201</v>
      </c>
      <c r="D370" s="3">
        <v>8963.56</v>
      </c>
      <c r="E370" s="3">
        <v>10838241.970000001</v>
      </c>
      <c r="F370" s="35" t="s">
        <v>2750</v>
      </c>
      <c r="G370"/>
      <c r="H370"/>
      <c r="I370" s="27">
        <f>-IFERROR(VLOOKUP(C370,SIRCUPA!$A$21:$H$155,8,0),0)</f>
        <v>0</v>
      </c>
      <c r="J370" s="88">
        <f>-IFERROR(VLOOKUP(C370,SIRTAC!$A$16:$H$1288,8,0),0)</f>
        <v>-92</v>
      </c>
      <c r="K370" s="88">
        <f>-IFERROR(VLOOKUP(C370,Gastos!$A$9:$J$1281,10,0),0)</f>
        <v>-89.24</v>
      </c>
      <c r="L370" s="87">
        <f>-IFERROR(VLOOKUP(C370,IDC!$A$25:$H$1532,8,0),0)</f>
        <v>-55.2</v>
      </c>
      <c r="M370" s="122">
        <f t="shared" ref="M370:M401" si="48">+D370-I370-J370-K370-L370</f>
        <v>9200</v>
      </c>
      <c r="N370"/>
      <c r="P370" s="35">
        <f t="shared" si="46"/>
        <v>-9200</v>
      </c>
      <c r="Q370" s="66">
        <f t="shared" si="47"/>
        <v>0</v>
      </c>
    </row>
    <row r="371" spans="1:17" hidden="1">
      <c r="A371" s="1" t="s">
        <v>378</v>
      </c>
      <c r="B371" s="1" t="s">
        <v>15</v>
      </c>
      <c r="C371" s="91">
        <v>125222462618</v>
      </c>
      <c r="D371" s="3">
        <v>6820.1</v>
      </c>
      <c r="E371" s="3">
        <v>10845062.07</v>
      </c>
      <c r="F371" s="35" t="s">
        <v>2750</v>
      </c>
      <c r="G371"/>
      <c r="H371"/>
      <c r="I371" s="27">
        <f>-IFERROR(VLOOKUP(C371,SIRCUPA!$A$21:$H$155,8,0),0)</f>
        <v>0</v>
      </c>
      <c r="J371" s="88">
        <f>-IFERROR(VLOOKUP(C371,SIRTAC!$A$16:$H$1288,8,0),0)</f>
        <v>-70</v>
      </c>
      <c r="K371" s="88">
        <f>-IFERROR(VLOOKUP(C371,Gastos!$A$9:$J$1281,10,0),0)</f>
        <v>-67.900000000000006</v>
      </c>
      <c r="L371" s="87">
        <f>-IFERROR(VLOOKUP(C371,IDC!$A$25:$H$1532,8,0),0)</f>
        <v>-42</v>
      </c>
      <c r="M371" s="122">
        <f t="shared" si="48"/>
        <v>7000</v>
      </c>
      <c r="N371"/>
      <c r="P371" s="35">
        <f t="shared" si="46"/>
        <v>-7000</v>
      </c>
      <c r="Q371" s="66">
        <f t="shared" si="47"/>
        <v>0</v>
      </c>
    </row>
    <row r="372" spans="1:17" hidden="1">
      <c r="A372" s="1" t="s">
        <v>378</v>
      </c>
      <c r="B372" s="1" t="s">
        <v>15</v>
      </c>
      <c r="C372" s="91">
        <v>125222388040</v>
      </c>
      <c r="D372" s="3">
        <v>54887.07</v>
      </c>
      <c r="E372" s="3">
        <v>10899949.140000001</v>
      </c>
      <c r="F372" s="35" t="s">
        <v>2750</v>
      </c>
      <c r="G372"/>
      <c r="H372"/>
      <c r="I372" s="27">
        <f>-IFERROR(VLOOKUP(C372,SIRCUPA!$A$21:$H$155,8,0),0)</f>
        <v>0</v>
      </c>
      <c r="J372" s="88">
        <f>-IFERROR(VLOOKUP(C372,SIRTAC!$A$16:$H$1288,8,0),0)</f>
        <v>-581</v>
      </c>
      <c r="K372" s="88">
        <f>-IFERROR(VLOOKUP(C372,Gastos!$A$9:$J$1281,10,0),0)</f>
        <v>-2283.33</v>
      </c>
      <c r="L372" s="87">
        <f>-IFERROR(VLOOKUP(C372,IDC!$A$25:$H$1532,8,0),0)</f>
        <v>-348.6</v>
      </c>
      <c r="M372" s="122">
        <f t="shared" si="48"/>
        <v>58100</v>
      </c>
      <c r="N372"/>
      <c r="P372" s="35">
        <f t="shared" si="46"/>
        <v>-58100</v>
      </c>
      <c r="Q372" s="66">
        <f t="shared" si="47"/>
        <v>0</v>
      </c>
    </row>
    <row r="373" spans="1:17" hidden="1">
      <c r="A373" s="1" t="s">
        <v>378</v>
      </c>
      <c r="B373" s="1" t="s">
        <v>15</v>
      </c>
      <c r="C373" s="91">
        <v>125222877250</v>
      </c>
      <c r="D373" s="3">
        <v>10327.58</v>
      </c>
      <c r="E373" s="3">
        <v>10910276.720000001</v>
      </c>
      <c r="F373" s="35" t="s">
        <v>2750</v>
      </c>
      <c r="G373"/>
      <c r="H373"/>
      <c r="I373" s="27">
        <f>-IFERROR(VLOOKUP(C373,SIRCUPA!$A$21:$H$155,8,0),0)</f>
        <v>0</v>
      </c>
      <c r="J373" s="88">
        <f>-IFERROR(VLOOKUP(C373,SIRTAC!$A$16:$H$1288,8,0),0)</f>
        <v>-106</v>
      </c>
      <c r="K373" s="88">
        <f>-IFERROR(VLOOKUP(C373,Gastos!$A$9:$J$1281,10,0),0)</f>
        <v>-102.82</v>
      </c>
      <c r="L373" s="87">
        <f>-IFERROR(VLOOKUP(C373,IDC!$A$25:$H$1532,8,0),0)</f>
        <v>-63.6</v>
      </c>
      <c r="M373" s="122">
        <f t="shared" si="48"/>
        <v>10600</v>
      </c>
      <c r="N373"/>
      <c r="P373" s="35">
        <f t="shared" si="46"/>
        <v>-10600</v>
      </c>
      <c r="Q373" s="66">
        <f t="shared" si="47"/>
        <v>0</v>
      </c>
    </row>
    <row r="374" spans="1:17" hidden="1">
      <c r="A374" s="1" t="s">
        <v>378</v>
      </c>
      <c r="B374" s="1" t="s">
        <v>15</v>
      </c>
      <c r="C374" s="91">
        <v>124676648481</v>
      </c>
      <c r="D374" s="3">
        <v>60539.7</v>
      </c>
      <c r="E374" s="3">
        <v>10970816.42</v>
      </c>
      <c r="F374" s="35" t="s">
        <v>2750</v>
      </c>
      <c r="G374"/>
      <c r="H374"/>
      <c r="I374" s="27">
        <f>-IFERROR(VLOOKUP(C374,SIRCUPA!$A$21:$H$155,8,0),0)</f>
        <v>0</v>
      </c>
      <c r="J374" s="88">
        <f>-IFERROR(VLOOKUP(C374,SIRTAC!$A$16:$H$1288,8,0),0)</f>
        <v>-645</v>
      </c>
      <c r="K374" s="88">
        <f>-IFERROR(VLOOKUP(C374,Gastos!$A$9:$J$1281,10,0),0)</f>
        <v>-2928.3</v>
      </c>
      <c r="L374" s="87">
        <f>-IFERROR(VLOOKUP(C374,IDC!$A$25:$H$1532,8,0),0)</f>
        <v>-387</v>
      </c>
      <c r="M374" s="122">
        <f t="shared" si="48"/>
        <v>64500</v>
      </c>
      <c r="N374"/>
      <c r="P374" s="35">
        <f t="shared" si="46"/>
        <v>-64500</v>
      </c>
      <c r="Q374" s="66">
        <f t="shared" si="47"/>
        <v>0</v>
      </c>
    </row>
    <row r="375" spans="1:17" hidden="1">
      <c r="A375" s="1" t="s">
        <v>378</v>
      </c>
      <c r="B375" s="1" t="s">
        <v>15</v>
      </c>
      <c r="C375" s="91">
        <v>125223208832</v>
      </c>
      <c r="D375" s="3">
        <v>14614.5</v>
      </c>
      <c r="E375" s="3">
        <v>10985430.92</v>
      </c>
      <c r="F375" s="35" t="s">
        <v>2750</v>
      </c>
      <c r="G375"/>
      <c r="H375"/>
      <c r="I375" s="27">
        <f>-IFERROR(VLOOKUP(C375,SIRCUPA!$A$21:$H$155,8,0),0)</f>
        <v>0</v>
      </c>
      <c r="J375" s="88">
        <f>-IFERROR(VLOOKUP(C375,SIRTAC!$A$16:$H$1288,8,0),0)</f>
        <v>-150</v>
      </c>
      <c r="K375" s="88">
        <f>-IFERROR(VLOOKUP(C375,Gastos!$A$9:$J$1281,10,0),0)</f>
        <v>-145.5</v>
      </c>
      <c r="L375" s="87">
        <f>-IFERROR(VLOOKUP(C375,IDC!$A$25:$H$1532,8,0),0)</f>
        <v>-90</v>
      </c>
      <c r="M375" s="122">
        <f t="shared" si="48"/>
        <v>15000</v>
      </c>
      <c r="N375"/>
      <c r="P375" s="35">
        <f t="shared" si="46"/>
        <v>-15000</v>
      </c>
      <c r="Q375" s="66">
        <f t="shared" si="47"/>
        <v>0</v>
      </c>
    </row>
    <row r="376" spans="1:17" hidden="1">
      <c r="A376" s="1" t="s">
        <v>378</v>
      </c>
      <c r="B376" s="1" t="s">
        <v>15</v>
      </c>
      <c r="C376" s="91">
        <v>125223266490</v>
      </c>
      <c r="D376" s="3">
        <v>8974.65</v>
      </c>
      <c r="E376" s="3">
        <v>10994405.57</v>
      </c>
      <c r="F376" s="35" t="s">
        <v>2750</v>
      </c>
      <c r="G376"/>
      <c r="H376"/>
      <c r="I376" s="27">
        <f>-IFERROR(VLOOKUP(C376,SIRCUPA!$A$21:$H$155,8,0),0)</f>
        <v>0</v>
      </c>
      <c r="J376" s="88">
        <f>-IFERROR(VLOOKUP(C376,SIRTAC!$A$16:$H$1288,8,0),0)</f>
        <v>-95</v>
      </c>
      <c r="K376" s="88">
        <f>-IFERROR(VLOOKUP(C376,Gastos!$A$9:$J$1281,10,0),0)</f>
        <v>-373.35</v>
      </c>
      <c r="L376" s="87">
        <f>-IFERROR(VLOOKUP(C376,IDC!$A$25:$H$1532,8,0),0)</f>
        <v>-57</v>
      </c>
      <c r="M376" s="122">
        <f t="shared" si="48"/>
        <v>9500</v>
      </c>
      <c r="N376"/>
      <c r="P376" s="35">
        <f t="shared" si="46"/>
        <v>-9500</v>
      </c>
      <c r="Q376" s="66">
        <f t="shared" si="47"/>
        <v>0</v>
      </c>
    </row>
    <row r="377" spans="1:17" hidden="1">
      <c r="A377" s="1" t="s">
        <v>378</v>
      </c>
      <c r="B377" s="1" t="s">
        <v>15</v>
      </c>
      <c r="C377" s="91">
        <v>125223478166</v>
      </c>
      <c r="D377" s="3">
        <v>20555.34</v>
      </c>
      <c r="E377" s="3">
        <v>11014960.91</v>
      </c>
      <c r="F377" s="35" t="s">
        <v>2750</v>
      </c>
      <c r="G377"/>
      <c r="H377"/>
      <c r="I377" s="27">
        <f>-IFERROR(VLOOKUP(C377,SIRCUPA!$A$21:$H$155,8,0),0)</f>
        <v>0</v>
      </c>
      <c r="J377" s="88">
        <f>-IFERROR(VLOOKUP(C377,SIRTAC!$A$16:$H$1288,8,0),0)</f>
        <v>-219</v>
      </c>
      <c r="K377" s="88">
        <f>-IFERROR(VLOOKUP(C377,Gastos!$A$9:$J$1281,10,0),0)</f>
        <v>-994.26</v>
      </c>
      <c r="L377" s="87">
        <f>-IFERROR(VLOOKUP(C377,IDC!$A$25:$H$1532,8,0),0)</f>
        <v>-131.4</v>
      </c>
      <c r="M377" s="122">
        <f t="shared" si="48"/>
        <v>21900</v>
      </c>
      <c r="N377"/>
      <c r="P377" s="35">
        <f t="shared" si="46"/>
        <v>-21900</v>
      </c>
      <c r="Q377" s="66">
        <f t="shared" si="47"/>
        <v>0</v>
      </c>
    </row>
    <row r="378" spans="1:17" hidden="1">
      <c r="A378" s="1" t="s">
        <v>378</v>
      </c>
      <c r="B378" s="1" t="s">
        <v>15</v>
      </c>
      <c r="C378" s="91">
        <v>124677058353</v>
      </c>
      <c r="D378" s="3">
        <v>44873.25</v>
      </c>
      <c r="E378" s="3">
        <v>11059834.16</v>
      </c>
      <c r="F378" s="35" t="s">
        <v>2750</v>
      </c>
      <c r="G378"/>
      <c r="H378"/>
      <c r="I378" s="27">
        <f>-IFERROR(VLOOKUP(C378,SIRCUPA!$A$21:$H$155,8,0),0)</f>
        <v>0</v>
      </c>
      <c r="J378" s="88">
        <f>-IFERROR(VLOOKUP(C378,SIRTAC!$A$16:$H$1288,8,0),0)</f>
        <v>-475</v>
      </c>
      <c r="K378" s="88">
        <f>-IFERROR(VLOOKUP(C378,Gastos!$A$9:$J$1281,10,0),0)</f>
        <v>-1866.75</v>
      </c>
      <c r="L378" s="87">
        <f>-IFERROR(VLOOKUP(C378,IDC!$A$25:$H$1532,8,0),0)</f>
        <v>-285</v>
      </c>
      <c r="M378" s="122">
        <f t="shared" si="48"/>
        <v>47500</v>
      </c>
      <c r="N378"/>
      <c r="P378" s="35">
        <f t="shared" si="46"/>
        <v>-47500</v>
      </c>
      <c r="Q378" s="66">
        <f t="shared" si="47"/>
        <v>0</v>
      </c>
    </row>
    <row r="379" spans="1:17" hidden="1">
      <c r="A379" s="1" t="s">
        <v>378</v>
      </c>
      <c r="B379" s="1" t="s">
        <v>15</v>
      </c>
      <c r="C379" s="91">
        <v>125223493470</v>
      </c>
      <c r="D379" s="3">
        <v>8378.98</v>
      </c>
      <c r="E379" s="3">
        <v>11068213.140000001</v>
      </c>
      <c r="F379" s="35" t="s">
        <v>2750</v>
      </c>
      <c r="G379"/>
      <c r="H379"/>
      <c r="I379" s="27">
        <f>-IFERROR(VLOOKUP(C379,SIRCUPA!$A$21:$H$155,8,0),0)</f>
        <v>0</v>
      </c>
      <c r="J379" s="88">
        <f>-IFERROR(VLOOKUP(C379,SIRTAC!$A$16:$H$1288,8,0),0)</f>
        <v>-86</v>
      </c>
      <c r="K379" s="88">
        <f>-IFERROR(VLOOKUP(C379,Gastos!$A$9:$J$1281,10,0),0)</f>
        <v>-83.42</v>
      </c>
      <c r="L379" s="87">
        <f>-IFERROR(VLOOKUP(C379,IDC!$A$25:$H$1532,8,0),0)</f>
        <v>-51.6</v>
      </c>
      <c r="M379" s="122">
        <f t="shared" si="48"/>
        <v>8600</v>
      </c>
      <c r="N379"/>
      <c r="P379" s="35">
        <f t="shared" si="46"/>
        <v>-8600</v>
      </c>
      <c r="Q379" s="66">
        <f t="shared" si="47"/>
        <v>0</v>
      </c>
    </row>
    <row r="380" spans="1:17" hidden="1">
      <c r="A380" s="1" t="s">
        <v>378</v>
      </c>
      <c r="B380" s="1" t="s">
        <v>15</v>
      </c>
      <c r="C380" s="91">
        <v>125223606328</v>
      </c>
      <c r="D380" s="3">
        <v>143800.22</v>
      </c>
      <c r="E380" s="3">
        <v>11212013.359999999</v>
      </c>
      <c r="F380" s="35" t="s">
        <v>2750</v>
      </c>
      <c r="G380"/>
      <c r="H380"/>
      <c r="I380" s="27">
        <f>-IFERROR(VLOOKUP(C380,SIRCUPA!$A$21:$H$155,8,0),0)</f>
        <v>0</v>
      </c>
      <c r="J380" s="88">
        <f>-IFERROR(VLOOKUP(C380,SIRTAC!$A$16:$H$1288,8,0),0)</f>
        <v>-1486</v>
      </c>
      <c r="K380" s="88">
        <f>-IFERROR(VLOOKUP(C380,Gastos!$A$9:$J$1281,10,0),0)</f>
        <v>-2422.1799999999998</v>
      </c>
      <c r="L380" s="87">
        <f>-IFERROR(VLOOKUP(C380,IDC!$A$25:$H$1532,8,0),0)</f>
        <v>-891.6</v>
      </c>
      <c r="M380" s="122">
        <f t="shared" si="48"/>
        <v>148600</v>
      </c>
      <c r="N380"/>
      <c r="P380" s="35">
        <f t="shared" si="46"/>
        <v>-148600</v>
      </c>
      <c r="Q380" s="66">
        <f t="shared" si="47"/>
        <v>0</v>
      </c>
    </row>
    <row r="381" spans="1:17" hidden="1">
      <c r="A381" s="1" t="s">
        <v>378</v>
      </c>
      <c r="B381" s="1" t="s">
        <v>15</v>
      </c>
      <c r="C381" s="91">
        <v>124677107387</v>
      </c>
      <c r="D381" s="3">
        <v>21532.03</v>
      </c>
      <c r="E381" s="3">
        <v>11233545.390000001</v>
      </c>
      <c r="F381" s="35" t="s">
        <v>2750</v>
      </c>
      <c r="G381"/>
      <c r="H381"/>
      <c r="I381" s="27">
        <f>-IFERROR(VLOOKUP(C381,SIRCUPA!$A$21:$H$155,8,0),0)</f>
        <v>0</v>
      </c>
      <c r="J381" s="88">
        <f>-IFERROR(VLOOKUP(C381,SIRTAC!$A$16:$H$1288,8,0),0)</f>
        <v>-221</v>
      </c>
      <c r="K381" s="88">
        <f>-IFERROR(VLOOKUP(C381,Gastos!$A$9:$J$1281,10,0),0)</f>
        <v>-214.37</v>
      </c>
      <c r="L381" s="87">
        <f>-IFERROR(VLOOKUP(C381,IDC!$A$25:$H$1532,8,0),0)</f>
        <v>-132.6</v>
      </c>
      <c r="M381" s="122">
        <f t="shared" si="48"/>
        <v>22099.999999999996</v>
      </c>
      <c r="N381"/>
      <c r="P381" s="35">
        <f t="shared" si="46"/>
        <v>-22100</v>
      </c>
      <c r="Q381" s="66">
        <f t="shared" si="47"/>
        <v>0</v>
      </c>
    </row>
    <row r="382" spans="1:17" hidden="1">
      <c r="A382" s="1" t="s">
        <v>378</v>
      </c>
      <c r="B382" s="1" t="s">
        <v>15</v>
      </c>
      <c r="C382" s="91">
        <v>124677077767</v>
      </c>
      <c r="D382" s="3">
        <v>12092.16</v>
      </c>
      <c r="E382" s="3">
        <v>11245637.550000001</v>
      </c>
      <c r="F382" s="35" t="s">
        <v>2750</v>
      </c>
      <c r="G382"/>
      <c r="H382"/>
      <c r="I382" s="27">
        <f>-IFERROR(VLOOKUP(C382,SIRCUPA!$A$21:$H$155,8,0),0)</f>
        <v>0</v>
      </c>
      <c r="J382" s="88">
        <f>-IFERROR(VLOOKUP(C382,SIRTAC!$A$16:$H$1288,8,0),0)</f>
        <v>-128</v>
      </c>
      <c r="K382" s="88">
        <f>-IFERROR(VLOOKUP(C382,Gastos!$A$9:$J$1281,10,0),0)</f>
        <v>-503.04</v>
      </c>
      <c r="L382" s="87">
        <f>-IFERROR(VLOOKUP(C382,IDC!$A$25:$H$1532,8,0),0)</f>
        <v>-76.8</v>
      </c>
      <c r="M382" s="122">
        <f t="shared" si="48"/>
        <v>12800</v>
      </c>
      <c r="N382"/>
      <c r="P382" s="35">
        <f t="shared" si="46"/>
        <v>-12800</v>
      </c>
      <c r="Q382" s="66">
        <f t="shared" si="47"/>
        <v>0</v>
      </c>
    </row>
    <row r="383" spans="1:17" hidden="1">
      <c r="A383" s="1" t="s">
        <v>378</v>
      </c>
      <c r="B383" s="1" t="s">
        <v>15</v>
      </c>
      <c r="C383" s="91">
        <v>124677103773</v>
      </c>
      <c r="D383" s="3">
        <v>7014.96</v>
      </c>
      <c r="E383" s="3">
        <v>11252652.51</v>
      </c>
      <c r="F383" s="35" t="s">
        <v>2750</v>
      </c>
      <c r="G383"/>
      <c r="H383"/>
      <c r="I383" s="27">
        <f>-IFERROR(VLOOKUP(C383,SIRCUPA!$A$21:$H$155,8,0),0)</f>
        <v>0</v>
      </c>
      <c r="J383" s="88">
        <f>-IFERROR(VLOOKUP(C383,SIRTAC!$A$16:$H$1288,8,0),0)</f>
        <v>-72</v>
      </c>
      <c r="K383" s="88">
        <f>-IFERROR(VLOOKUP(C383,Gastos!$A$9:$J$1281,10,0),0)</f>
        <v>-69.84</v>
      </c>
      <c r="L383" s="87">
        <f>-IFERROR(VLOOKUP(C383,IDC!$A$25:$H$1532,8,0),0)</f>
        <v>-43.2</v>
      </c>
      <c r="M383" s="122">
        <f t="shared" si="48"/>
        <v>7200</v>
      </c>
      <c r="N383"/>
      <c r="P383" s="35">
        <f t="shared" si="46"/>
        <v>-7200</v>
      </c>
      <c r="Q383" s="66">
        <f t="shared" si="47"/>
        <v>0</v>
      </c>
    </row>
    <row r="384" spans="1:17" hidden="1">
      <c r="A384" s="1" t="s">
        <v>378</v>
      </c>
      <c r="B384" s="1" t="s">
        <v>15</v>
      </c>
      <c r="C384" s="91">
        <v>124749410821</v>
      </c>
      <c r="D384" s="3">
        <v>8378.98</v>
      </c>
      <c r="E384" s="3">
        <v>11261031.49</v>
      </c>
      <c r="F384" s="35" t="s">
        <v>2750</v>
      </c>
      <c r="G384"/>
      <c r="H384"/>
      <c r="I384" s="27">
        <f>-IFERROR(VLOOKUP(C384,SIRCUPA!$A$21:$H$155,8,0),0)</f>
        <v>0</v>
      </c>
      <c r="J384" s="88">
        <f>-IFERROR(VLOOKUP(C384,SIRTAC!$A$16:$H$1288,8,0),0)</f>
        <v>-86</v>
      </c>
      <c r="K384" s="88">
        <f>-IFERROR(VLOOKUP(C384,Gastos!$A$9:$J$1281,10,0),0)</f>
        <v>-83.42</v>
      </c>
      <c r="L384" s="87">
        <f>-IFERROR(VLOOKUP(C384,IDC!$A$25:$H$1532,8,0),0)</f>
        <v>-51.6</v>
      </c>
      <c r="M384" s="122">
        <f t="shared" si="48"/>
        <v>8600</v>
      </c>
      <c r="N384"/>
      <c r="P384" s="35">
        <f t="shared" si="46"/>
        <v>-8600</v>
      </c>
      <c r="Q384" s="66">
        <f t="shared" si="47"/>
        <v>0</v>
      </c>
    </row>
    <row r="385" spans="1:17" hidden="1">
      <c r="A385" s="1" t="s">
        <v>378</v>
      </c>
      <c r="B385" s="1" t="s">
        <v>15</v>
      </c>
      <c r="C385" s="91">
        <v>124751640007</v>
      </c>
      <c r="D385" s="3">
        <v>44233.22</v>
      </c>
      <c r="E385" s="3">
        <v>11305264.710000001</v>
      </c>
      <c r="F385" s="35" t="s">
        <v>2750</v>
      </c>
      <c r="G385"/>
      <c r="H385"/>
      <c r="I385" s="27">
        <f>-IFERROR(VLOOKUP(C385,SIRCUPA!$A$21:$H$155,8,0),0)</f>
        <v>0</v>
      </c>
      <c r="J385" s="88">
        <f>-IFERROR(VLOOKUP(C385,SIRTAC!$A$16:$H$1288,8,0),0)</f>
        <v>-454</v>
      </c>
      <c r="K385" s="88">
        <f>-IFERROR(VLOOKUP(C385,Gastos!$A$9:$J$1281,10,0),0)</f>
        <v>-440.38</v>
      </c>
      <c r="L385" s="87">
        <f>-IFERROR(VLOOKUP(C385,IDC!$A$25:$H$1532,8,0),0)</f>
        <v>-272.39999999999998</v>
      </c>
      <c r="M385" s="122">
        <f t="shared" si="48"/>
        <v>45400</v>
      </c>
      <c r="N385"/>
      <c r="P385" s="35">
        <f t="shared" si="46"/>
        <v>-45399.999999999993</v>
      </c>
      <c r="Q385" s="66">
        <f t="shared" si="47"/>
        <v>0</v>
      </c>
    </row>
    <row r="386" spans="1:17" hidden="1">
      <c r="A386" s="1" t="s">
        <v>378</v>
      </c>
      <c r="B386" s="1" t="s">
        <v>15</v>
      </c>
      <c r="C386" s="91">
        <v>125298883468</v>
      </c>
      <c r="D386" s="3">
        <v>10717.3</v>
      </c>
      <c r="E386" s="3">
        <v>11315982.01</v>
      </c>
      <c r="F386" s="35" t="s">
        <v>2750</v>
      </c>
      <c r="G386"/>
      <c r="H386"/>
      <c r="I386" s="27">
        <f>-IFERROR(VLOOKUP(C386,SIRCUPA!$A$21:$H$155,8,0),0)</f>
        <v>0</v>
      </c>
      <c r="J386" s="88">
        <f>-IFERROR(VLOOKUP(C386,SIRTAC!$A$16:$H$1288,8,0),0)</f>
        <v>-110</v>
      </c>
      <c r="K386" s="88">
        <f>-IFERROR(VLOOKUP(C386,Gastos!$A$9:$J$1281,10,0),0)</f>
        <v>-106.7</v>
      </c>
      <c r="L386" s="87">
        <f>-IFERROR(VLOOKUP(C386,IDC!$A$25:$H$1532,8,0),0)</f>
        <v>-66</v>
      </c>
      <c r="M386" s="122">
        <f t="shared" si="48"/>
        <v>11000</v>
      </c>
      <c r="N386"/>
      <c r="P386" s="35">
        <f t="shared" si="46"/>
        <v>-11000</v>
      </c>
      <c r="Q386" s="66">
        <f t="shared" si="47"/>
        <v>0</v>
      </c>
    </row>
    <row r="387" spans="1:17" hidden="1">
      <c r="A387" s="1" t="s">
        <v>378</v>
      </c>
      <c r="B387" s="1" t="s">
        <v>15</v>
      </c>
      <c r="C387" s="91">
        <v>124752111709</v>
      </c>
      <c r="D387" s="3">
        <v>8378.98</v>
      </c>
      <c r="E387" s="3">
        <v>11324360.99</v>
      </c>
      <c r="F387" s="35" t="s">
        <v>2750</v>
      </c>
      <c r="G387"/>
      <c r="H387"/>
      <c r="I387" s="27">
        <f>-IFERROR(VLOOKUP(C387,SIRCUPA!$A$21:$H$155,8,0),0)</f>
        <v>0</v>
      </c>
      <c r="J387" s="88">
        <f>-IFERROR(VLOOKUP(C387,SIRTAC!$A$16:$H$1288,8,0),0)</f>
        <v>-86</v>
      </c>
      <c r="K387" s="88">
        <f>-IFERROR(VLOOKUP(C387,Gastos!$A$9:$J$1281,10,0),0)</f>
        <v>-83.42</v>
      </c>
      <c r="L387" s="87">
        <f>-IFERROR(VLOOKUP(C387,IDC!$A$25:$H$1532,8,0),0)</f>
        <v>-51.6</v>
      </c>
      <c r="M387" s="122">
        <f t="shared" si="48"/>
        <v>8600</v>
      </c>
      <c r="N387"/>
      <c r="P387" s="35">
        <f t="shared" si="46"/>
        <v>-8600</v>
      </c>
      <c r="Q387" s="66">
        <f t="shared" si="47"/>
        <v>0</v>
      </c>
    </row>
    <row r="388" spans="1:17" hidden="1">
      <c r="A388" s="1" t="s">
        <v>378</v>
      </c>
      <c r="B388" s="1" t="s">
        <v>15</v>
      </c>
      <c r="C388" s="91">
        <v>125300953476</v>
      </c>
      <c r="D388" s="3">
        <v>29191.23</v>
      </c>
      <c r="E388" s="3">
        <v>11353552.220000001</v>
      </c>
      <c r="F388" s="35" t="s">
        <v>2750</v>
      </c>
      <c r="G388"/>
      <c r="H388"/>
      <c r="I388" s="27">
        <f>-IFERROR(VLOOKUP(C388,SIRCUPA!$A$21:$H$155,8,0),0)</f>
        <v>0</v>
      </c>
      <c r="J388" s="88">
        <f>-IFERROR(VLOOKUP(C388,SIRTAC!$A$16:$H$1288,8,0),0)</f>
        <v>-309</v>
      </c>
      <c r="K388" s="88">
        <f>-IFERROR(VLOOKUP(C388,Gastos!$A$9:$J$1281,10,0),0)</f>
        <v>-1214.3699999999999</v>
      </c>
      <c r="L388" s="87">
        <f>-IFERROR(VLOOKUP(C388,IDC!$A$25:$H$1532,8,0),0)</f>
        <v>-185.4</v>
      </c>
      <c r="M388" s="122">
        <f t="shared" si="48"/>
        <v>30900</v>
      </c>
      <c r="N388"/>
      <c r="P388" s="35">
        <f t="shared" si="46"/>
        <v>-30900</v>
      </c>
      <c r="Q388" s="66">
        <f t="shared" si="47"/>
        <v>0</v>
      </c>
    </row>
    <row r="389" spans="1:17" hidden="1">
      <c r="A389" s="1" t="s">
        <v>378</v>
      </c>
      <c r="B389" s="1" t="s">
        <v>15</v>
      </c>
      <c r="C389" s="91">
        <v>124754527205</v>
      </c>
      <c r="D389" s="3">
        <v>46766.400000000001</v>
      </c>
      <c r="E389" s="3">
        <v>11400318.619999999</v>
      </c>
      <c r="F389" s="35" t="s">
        <v>2750</v>
      </c>
      <c r="G389"/>
      <c r="H389"/>
      <c r="I389" s="27">
        <f>-IFERROR(VLOOKUP(C389,SIRCUPA!$A$21:$H$155,8,0),0)</f>
        <v>0</v>
      </c>
      <c r="J389" s="88">
        <f>-IFERROR(VLOOKUP(C389,SIRTAC!$A$16:$H$1288,8,0),0)</f>
        <v>-480</v>
      </c>
      <c r="K389" s="88">
        <f>-IFERROR(VLOOKUP(C389,Gastos!$A$9:$J$1281,10,0),0)</f>
        <v>-465.6</v>
      </c>
      <c r="L389" s="87">
        <f>-IFERROR(VLOOKUP(C389,IDC!$A$25:$H$1532,8,0),0)</f>
        <v>-288</v>
      </c>
      <c r="M389" s="122">
        <f t="shared" si="48"/>
        <v>48000</v>
      </c>
      <c r="N389"/>
      <c r="P389" s="35">
        <f t="shared" si="46"/>
        <v>-48000</v>
      </c>
      <c r="Q389" s="66">
        <f t="shared" si="47"/>
        <v>0</v>
      </c>
    </row>
    <row r="390" spans="1:17" hidden="1">
      <c r="A390" s="1" t="s">
        <v>378</v>
      </c>
      <c r="B390" s="1" t="s">
        <v>345</v>
      </c>
      <c r="C390" s="91">
        <v>124754626261</v>
      </c>
      <c r="D390" s="3">
        <v>4699.2</v>
      </c>
      <c r="E390" s="3">
        <v>11405017.82</v>
      </c>
      <c r="F390" s="2" t="s">
        <v>2750</v>
      </c>
      <c r="G390"/>
      <c r="H390"/>
      <c r="I390" s="27">
        <f>-IFERROR(VLOOKUP(C390,SIRCUPA!$A$21:$H$155,8,0),0)</f>
        <v>-72</v>
      </c>
      <c r="J390" s="88">
        <f>-IFERROR(VLOOKUP(C390,SIRTAC!$A$16:$H$1288,8,0),0)</f>
        <v>0</v>
      </c>
      <c r="K390" s="88">
        <f>-IFERROR(VLOOKUP(C390,Gastos!$A$9:$J$1281,10,0),0)</f>
        <v>0</v>
      </c>
      <c r="L390" s="87">
        <f>-IFERROR(VLOOKUP(C390,IDC!$A$25:$H$1532,8,0),0)</f>
        <v>-28.8</v>
      </c>
      <c r="M390" s="122">
        <f t="shared" si="48"/>
        <v>4800</v>
      </c>
      <c r="N390"/>
      <c r="P390" s="35">
        <f t="shared" si="46"/>
        <v>-4800</v>
      </c>
      <c r="Q390" s="66">
        <f t="shared" si="47"/>
        <v>0</v>
      </c>
    </row>
    <row r="391" spans="1:17" hidden="1">
      <c r="A391" s="1" t="s">
        <v>378</v>
      </c>
      <c r="B391" s="1" t="s">
        <v>15</v>
      </c>
      <c r="C391" s="91">
        <v>124755105423</v>
      </c>
      <c r="D391" s="3">
        <v>16757.96</v>
      </c>
      <c r="E391" s="3">
        <v>11421775.779999999</v>
      </c>
      <c r="F391" s="35" t="s">
        <v>2750</v>
      </c>
      <c r="G391"/>
      <c r="H391"/>
      <c r="I391" s="27">
        <f>-IFERROR(VLOOKUP(C391,SIRCUPA!$A$21:$H$155,8,0),0)</f>
        <v>0</v>
      </c>
      <c r="J391" s="88">
        <f>-IFERROR(VLOOKUP(C391,SIRTAC!$A$16:$H$1288,8,0),0)</f>
        <v>-172</v>
      </c>
      <c r="K391" s="88">
        <f>-IFERROR(VLOOKUP(C391,Gastos!$A$9:$J$1281,10,0),0)</f>
        <v>-166.84</v>
      </c>
      <c r="L391" s="87">
        <f>-IFERROR(VLOOKUP(C391,IDC!$A$25:$H$1532,8,0),0)</f>
        <v>-103.2</v>
      </c>
      <c r="M391" s="122">
        <f t="shared" si="48"/>
        <v>17200</v>
      </c>
      <c r="N391"/>
      <c r="P391" s="35">
        <f t="shared" si="46"/>
        <v>-17200</v>
      </c>
      <c r="Q391" s="66">
        <f t="shared" si="47"/>
        <v>0</v>
      </c>
    </row>
    <row r="392" spans="1:17" hidden="1">
      <c r="A392" s="1" t="s">
        <v>378</v>
      </c>
      <c r="B392" s="1" t="s">
        <v>15</v>
      </c>
      <c r="C392" s="91">
        <v>124756307845</v>
      </c>
      <c r="D392" s="3">
        <v>20850.02</v>
      </c>
      <c r="E392" s="3">
        <v>11442625.800000001</v>
      </c>
      <c r="F392" s="35" t="s">
        <v>2750</v>
      </c>
      <c r="G392"/>
      <c r="H392"/>
      <c r="I392" s="27">
        <f>-IFERROR(VLOOKUP(C392,SIRCUPA!$A$21:$H$155,8,0),0)</f>
        <v>0</v>
      </c>
      <c r="J392" s="88">
        <f>-IFERROR(VLOOKUP(C392,SIRTAC!$A$16:$H$1288,8,0),0)</f>
        <v>-214</v>
      </c>
      <c r="K392" s="88">
        <f>-IFERROR(VLOOKUP(C392,Gastos!$A$9:$J$1281,10,0),0)</f>
        <v>-207.58</v>
      </c>
      <c r="L392" s="87">
        <f>-IFERROR(VLOOKUP(C392,IDC!$A$25:$H$1532,8,0),0)</f>
        <v>-128.4</v>
      </c>
      <c r="M392" s="122">
        <f t="shared" si="48"/>
        <v>21400.000000000004</v>
      </c>
      <c r="N392"/>
      <c r="P392" s="35">
        <f t="shared" si="46"/>
        <v>-21400</v>
      </c>
      <c r="Q392" s="66">
        <f t="shared" si="47"/>
        <v>0</v>
      </c>
    </row>
    <row r="393" spans="1:17" hidden="1">
      <c r="A393" s="1" t="s">
        <v>378</v>
      </c>
      <c r="B393" s="1" t="s">
        <v>15</v>
      </c>
      <c r="C393" s="91">
        <v>124756676035</v>
      </c>
      <c r="D393" s="3">
        <v>31859.61</v>
      </c>
      <c r="E393" s="3">
        <v>11474485.41</v>
      </c>
      <c r="F393" s="35" t="s">
        <v>2750</v>
      </c>
      <c r="G393"/>
      <c r="H393"/>
      <c r="I393" s="27">
        <f>-IFERROR(VLOOKUP(C393,SIRCUPA!$A$21:$H$155,8,0),0)</f>
        <v>0</v>
      </c>
      <c r="J393" s="88">
        <f>-IFERROR(VLOOKUP(C393,SIRTAC!$A$16:$H$1288,8,0),0)</f>
        <v>-327</v>
      </c>
      <c r="K393" s="88">
        <f>-IFERROR(VLOOKUP(C393,Gastos!$A$9:$J$1281,10,0),0)</f>
        <v>-317.19</v>
      </c>
      <c r="L393" s="87">
        <f>-IFERROR(VLOOKUP(C393,IDC!$A$25:$H$1532,8,0),0)</f>
        <v>-196.2</v>
      </c>
      <c r="M393" s="122">
        <f t="shared" si="48"/>
        <v>32700</v>
      </c>
      <c r="N393"/>
      <c r="P393" s="35">
        <f t="shared" si="46"/>
        <v>-32699.999999999996</v>
      </c>
      <c r="Q393" s="66">
        <f t="shared" si="47"/>
        <v>0</v>
      </c>
    </row>
    <row r="394" spans="1:17" hidden="1">
      <c r="A394" s="1" t="s">
        <v>378</v>
      </c>
      <c r="B394" s="1" t="s">
        <v>15</v>
      </c>
      <c r="C394" s="91">
        <v>125304841170</v>
      </c>
      <c r="D394" s="3">
        <v>74826.240000000005</v>
      </c>
      <c r="E394" s="3">
        <v>11549311.65</v>
      </c>
      <c r="F394" s="35" t="s">
        <v>2750</v>
      </c>
      <c r="G394"/>
      <c r="H394"/>
      <c r="I394" s="27">
        <f>-IFERROR(VLOOKUP(C394,SIRCUPA!$A$21:$H$155,8,0),0)</f>
        <v>0</v>
      </c>
      <c r="J394" s="88">
        <f>-IFERROR(VLOOKUP(C394,SIRTAC!$A$16:$H$1288,8,0),0)</f>
        <v>-768</v>
      </c>
      <c r="K394" s="88">
        <f>-IFERROR(VLOOKUP(C394,Gastos!$A$9:$J$1281,10,0),0)</f>
        <v>-744.96</v>
      </c>
      <c r="L394" s="87">
        <f>-IFERROR(VLOOKUP(C394,IDC!$A$25:$H$1532,8,0),0)</f>
        <v>-460.8</v>
      </c>
      <c r="M394" s="122">
        <f t="shared" si="48"/>
        <v>76800.000000000015</v>
      </c>
      <c r="N394"/>
      <c r="P394" s="35">
        <f t="shared" si="46"/>
        <v>-76800</v>
      </c>
      <c r="Q394" s="66">
        <f t="shared" si="47"/>
        <v>0</v>
      </c>
    </row>
    <row r="395" spans="1:17" hidden="1">
      <c r="A395" s="1" t="s">
        <v>378</v>
      </c>
      <c r="B395" s="1" t="s">
        <v>15</v>
      </c>
      <c r="C395" s="91">
        <v>125305682512</v>
      </c>
      <c r="D395" s="3">
        <v>98306.87</v>
      </c>
      <c r="E395" s="3">
        <v>11647618.52</v>
      </c>
      <c r="F395" s="35" t="s">
        <v>2750</v>
      </c>
      <c r="G395"/>
      <c r="H395"/>
      <c r="I395" s="27">
        <f>-IFERROR(VLOOKUP(C395,SIRCUPA!$A$21:$H$155,8,0),0)</f>
        <v>0</v>
      </c>
      <c r="J395" s="88">
        <f>-IFERROR(VLOOKUP(C395,SIRTAC!$A$16:$H$1288,8,0),0)</f>
        <v>-1009</v>
      </c>
      <c r="K395" s="88">
        <f>-IFERROR(VLOOKUP(C395,Gastos!$A$9:$J$1281,10,0),0)</f>
        <v>-978.73</v>
      </c>
      <c r="L395" s="87">
        <f>-IFERROR(VLOOKUP(C395,IDC!$A$25:$H$1532,8,0),0)</f>
        <v>-605.4</v>
      </c>
      <c r="M395" s="122">
        <f t="shared" si="48"/>
        <v>100899.99999999999</v>
      </c>
      <c r="N395"/>
      <c r="P395" s="35">
        <f t="shared" si="46"/>
        <v>-100900</v>
      </c>
      <c r="Q395" s="66">
        <f t="shared" si="47"/>
        <v>0</v>
      </c>
    </row>
    <row r="396" spans="1:17" hidden="1">
      <c r="A396" s="1" t="s">
        <v>378</v>
      </c>
      <c r="B396" s="1" t="s">
        <v>15</v>
      </c>
      <c r="C396" s="91">
        <v>124759575161</v>
      </c>
      <c r="D396" s="3">
        <v>18073.259999999998</v>
      </c>
      <c r="E396" s="3">
        <v>11665691.779999999</v>
      </c>
      <c r="F396" s="35" t="s">
        <v>2750</v>
      </c>
      <c r="G396"/>
      <c r="H396"/>
      <c r="I396" s="27">
        <f>-IFERROR(VLOOKUP(C396,SIRCUPA!$A$21:$H$155,8,0),0)</f>
        <v>0</v>
      </c>
      <c r="J396" s="88">
        <f>-IFERROR(VLOOKUP(C396,SIRTAC!$A$16:$H$1288,8,0),0)</f>
        <v>-185.5</v>
      </c>
      <c r="K396" s="88">
        <f>-IFERROR(VLOOKUP(C396,Gastos!$A$9:$J$1281,10,0),0)</f>
        <v>-179.94</v>
      </c>
      <c r="L396" s="87">
        <f>-IFERROR(VLOOKUP(C396,IDC!$A$25:$H$1532,8,0),0)</f>
        <v>-111.3</v>
      </c>
      <c r="M396" s="122">
        <f t="shared" si="48"/>
        <v>18549.999999999996</v>
      </c>
      <c r="N396"/>
      <c r="P396" s="35">
        <f t="shared" si="46"/>
        <v>-18550</v>
      </c>
      <c r="Q396" s="66">
        <f t="shared" si="47"/>
        <v>0</v>
      </c>
    </row>
    <row r="397" spans="1:17" hidden="1">
      <c r="A397" s="1" t="s">
        <v>378</v>
      </c>
      <c r="B397" s="1" t="s">
        <v>15</v>
      </c>
      <c r="C397" s="91">
        <v>124760077545</v>
      </c>
      <c r="D397" s="3">
        <v>34292.61</v>
      </c>
      <c r="E397" s="3">
        <v>11699984.390000001</v>
      </c>
      <c r="F397" s="35" t="s">
        <v>2750</v>
      </c>
      <c r="G397"/>
      <c r="H397"/>
      <c r="I397" s="27">
        <f>-IFERROR(VLOOKUP(C397,SIRCUPA!$A$21:$H$155,8,0),0)</f>
        <v>0</v>
      </c>
      <c r="J397" s="88">
        <f>-IFERROR(VLOOKUP(C397,SIRTAC!$A$16:$H$1288,8,0),0)</f>
        <v>-363</v>
      </c>
      <c r="K397" s="88">
        <f>-IFERROR(VLOOKUP(C397,Gastos!$A$9:$J$1281,10,0),0)</f>
        <v>-1426.59</v>
      </c>
      <c r="L397" s="87">
        <f>-IFERROR(VLOOKUP(C397,IDC!$A$25:$H$1532,8,0),0)</f>
        <v>-217.8</v>
      </c>
      <c r="M397" s="122">
        <f t="shared" si="48"/>
        <v>36300</v>
      </c>
      <c r="N397"/>
      <c r="P397" s="35">
        <f t="shared" si="46"/>
        <v>-36300</v>
      </c>
      <c r="Q397" s="66">
        <f t="shared" si="47"/>
        <v>0</v>
      </c>
    </row>
    <row r="398" spans="1:17" hidden="1">
      <c r="A398" s="1" t="s">
        <v>378</v>
      </c>
      <c r="B398" s="1" t="s">
        <v>15</v>
      </c>
      <c r="C398" s="91">
        <v>124760717875</v>
      </c>
      <c r="D398" s="3">
        <v>27864.98</v>
      </c>
      <c r="E398" s="3">
        <v>11727849.369999999</v>
      </c>
      <c r="F398" s="35" t="s">
        <v>2750</v>
      </c>
      <c r="G398"/>
      <c r="H398"/>
      <c r="I398" s="27">
        <f>-IFERROR(VLOOKUP(C398,SIRCUPA!$A$21:$H$155,8,0),0)</f>
        <v>0</v>
      </c>
      <c r="J398" s="88">
        <f>-IFERROR(VLOOKUP(C398,SIRTAC!$A$16:$H$1288,8,0),0)</f>
        <v>-286</v>
      </c>
      <c r="K398" s="88">
        <f>-IFERROR(VLOOKUP(C398,Gastos!$A$9:$J$1281,10,0),0)</f>
        <v>-277.42</v>
      </c>
      <c r="L398" s="87">
        <f>-IFERROR(VLOOKUP(C398,IDC!$A$25:$H$1532,8,0),0)</f>
        <v>-171.6</v>
      </c>
      <c r="M398" s="122">
        <f t="shared" si="48"/>
        <v>28599.999999999996</v>
      </c>
      <c r="N398"/>
      <c r="P398" s="35">
        <f t="shared" si="46"/>
        <v>-28600</v>
      </c>
      <c r="Q398" s="66">
        <f t="shared" si="47"/>
        <v>0</v>
      </c>
    </row>
    <row r="399" spans="1:17" hidden="1">
      <c r="A399" s="1" t="s">
        <v>378</v>
      </c>
      <c r="B399" s="1" t="s">
        <v>15</v>
      </c>
      <c r="C399" s="91">
        <v>125307583524</v>
      </c>
      <c r="D399" s="3">
        <v>46084.39</v>
      </c>
      <c r="E399" s="3">
        <v>11773933.76</v>
      </c>
      <c r="F399" s="35" t="s">
        <v>2750</v>
      </c>
      <c r="G399"/>
      <c r="H399"/>
      <c r="I399" s="27">
        <f>-IFERROR(VLOOKUP(C399,SIRCUPA!$A$21:$H$155,8,0),0)</f>
        <v>0</v>
      </c>
      <c r="J399" s="88">
        <f>-IFERROR(VLOOKUP(C399,SIRTAC!$A$16:$H$1288,8,0),0)</f>
        <v>-473</v>
      </c>
      <c r="K399" s="88">
        <f>-IFERROR(VLOOKUP(C399,Gastos!$A$9:$J$1281,10,0),0)</f>
        <v>-458.81</v>
      </c>
      <c r="L399" s="87">
        <f>-IFERROR(VLOOKUP(C399,IDC!$A$25:$H$1532,8,0),0)</f>
        <v>-283.8</v>
      </c>
      <c r="M399" s="122">
        <f t="shared" si="48"/>
        <v>47300</v>
      </c>
      <c r="N399"/>
      <c r="P399" s="35">
        <f t="shared" si="46"/>
        <v>-47300</v>
      </c>
      <c r="Q399" s="66">
        <f t="shared" si="47"/>
        <v>0</v>
      </c>
    </row>
    <row r="400" spans="1:17" hidden="1">
      <c r="A400" s="1" t="s">
        <v>378</v>
      </c>
      <c r="B400" s="1" t="s">
        <v>15</v>
      </c>
      <c r="C400" s="91">
        <v>125307924448</v>
      </c>
      <c r="D400" s="3">
        <v>35367.089999999997</v>
      </c>
      <c r="E400" s="3">
        <v>11809300.85</v>
      </c>
      <c r="F400" s="35" t="s">
        <v>2750</v>
      </c>
      <c r="G400"/>
      <c r="H400"/>
      <c r="I400" s="27">
        <f>-IFERROR(VLOOKUP(C400,SIRCUPA!$A$21:$H$155,8,0),0)</f>
        <v>0</v>
      </c>
      <c r="J400" s="88">
        <f>-IFERROR(VLOOKUP(C400,SIRTAC!$A$16:$H$1288,8,0),0)</f>
        <v>-363</v>
      </c>
      <c r="K400" s="88">
        <f>-IFERROR(VLOOKUP(C400,Gastos!$A$9:$J$1281,10,0),0)</f>
        <v>-352.11</v>
      </c>
      <c r="L400" s="87">
        <f>-IFERROR(VLOOKUP(C400,IDC!$A$25:$H$1532,8,0),0)</f>
        <v>-217.8</v>
      </c>
      <c r="M400" s="122">
        <f t="shared" si="48"/>
        <v>36300</v>
      </c>
      <c r="N400"/>
      <c r="P400" s="35">
        <f t="shared" si="46"/>
        <v>-36300</v>
      </c>
      <c r="Q400" s="66">
        <f t="shared" si="47"/>
        <v>0</v>
      </c>
    </row>
    <row r="401" spans="1:18" hidden="1">
      <c r="A401" s="1" t="s">
        <v>378</v>
      </c>
      <c r="B401" s="1" t="s">
        <v>15</v>
      </c>
      <c r="C401" s="91">
        <v>124761305099</v>
      </c>
      <c r="D401" s="3">
        <v>39459.15</v>
      </c>
      <c r="E401" s="3">
        <v>11848760</v>
      </c>
      <c r="F401" s="35" t="s">
        <v>2750</v>
      </c>
      <c r="G401"/>
      <c r="H401"/>
      <c r="I401" s="27">
        <f>-IFERROR(VLOOKUP(C401,SIRCUPA!$A$21:$H$155,8,0),0)</f>
        <v>0</v>
      </c>
      <c r="J401" s="88">
        <f>-IFERROR(VLOOKUP(C401,SIRTAC!$A$16:$H$1288,8,0),0)</f>
        <v>-405</v>
      </c>
      <c r="K401" s="88">
        <f>-IFERROR(VLOOKUP(C401,Gastos!$A$9:$J$1281,10,0),0)</f>
        <v>-392.85</v>
      </c>
      <c r="L401" s="87">
        <f>-IFERROR(VLOOKUP(C401,IDC!$A$25:$H$1532,8,0),0)</f>
        <v>-243</v>
      </c>
      <c r="M401" s="122">
        <f t="shared" si="48"/>
        <v>40500</v>
      </c>
      <c r="N401"/>
      <c r="P401" s="35">
        <f t="shared" si="46"/>
        <v>-40500</v>
      </c>
      <c r="Q401" s="66">
        <f t="shared" si="47"/>
        <v>0</v>
      </c>
    </row>
    <row r="402" spans="1:18" hidden="1">
      <c r="A402" s="1" t="s">
        <v>378</v>
      </c>
      <c r="B402" s="1" t="s">
        <v>15</v>
      </c>
      <c r="C402" s="91">
        <v>124761974987</v>
      </c>
      <c r="D402" s="3">
        <v>66771.3</v>
      </c>
      <c r="E402" s="3">
        <v>11915531.300000001</v>
      </c>
      <c r="F402" s="35" t="s">
        <v>2750</v>
      </c>
      <c r="G402"/>
      <c r="H402"/>
      <c r="I402" s="27">
        <f>-IFERROR(VLOOKUP(C402,SIRCUPA!$A$21:$H$155,8,0),0)</f>
        <v>0</v>
      </c>
      <c r="J402" s="88">
        <f>-IFERROR(VLOOKUP(C402,SIRTAC!$A$16:$H$1288,8,0),0)</f>
        <v>-690</v>
      </c>
      <c r="K402" s="88">
        <f>-IFERROR(VLOOKUP(C402,Gastos!$A$9:$J$1281,10,0),0)</f>
        <v>-1124.7</v>
      </c>
      <c r="L402" s="87">
        <f>-IFERROR(VLOOKUP(C402,IDC!$A$25:$H$1532,8,0),0)</f>
        <v>-414</v>
      </c>
      <c r="M402" s="122">
        <f t="shared" ref="M402:M409" si="49">+D402-I402-J402-K402-L402</f>
        <v>69000</v>
      </c>
      <c r="N402"/>
      <c r="P402" s="35">
        <f t="shared" ref="P402:P409" si="50">+L402/0.006</f>
        <v>-69000</v>
      </c>
      <c r="Q402" s="66">
        <f t="shared" ref="Q402:Q409" si="51">+M402+P402</f>
        <v>0</v>
      </c>
    </row>
    <row r="403" spans="1:18" hidden="1">
      <c r="A403" s="1" t="s">
        <v>378</v>
      </c>
      <c r="B403" s="1" t="s">
        <v>15</v>
      </c>
      <c r="C403" s="91">
        <v>124762161923</v>
      </c>
      <c r="D403" s="3">
        <v>36843.300000000003</v>
      </c>
      <c r="E403" s="3">
        <v>11952374.6</v>
      </c>
      <c r="F403" s="35" t="s">
        <v>2750</v>
      </c>
      <c r="G403"/>
      <c r="H403"/>
      <c r="I403" s="27">
        <f>-IFERROR(VLOOKUP(C403,SIRCUPA!$A$21:$H$155,8,0),0)</f>
        <v>0</v>
      </c>
      <c r="J403" s="88">
        <f>-IFERROR(VLOOKUP(C403,SIRTAC!$A$16:$H$1288,8,0),0)</f>
        <v>-390</v>
      </c>
      <c r="K403" s="88">
        <f>-IFERROR(VLOOKUP(C403,Gastos!$A$9:$J$1281,10,0),0)</f>
        <v>-1532.7</v>
      </c>
      <c r="L403" s="87">
        <f>-IFERROR(VLOOKUP(C403,IDC!$A$25:$H$1532,8,0),0)</f>
        <v>-234</v>
      </c>
      <c r="M403" s="122">
        <f t="shared" si="49"/>
        <v>39000</v>
      </c>
      <c r="N403"/>
      <c r="P403" s="35">
        <f t="shared" si="50"/>
        <v>-39000</v>
      </c>
      <c r="Q403" s="66">
        <f t="shared" si="51"/>
        <v>0</v>
      </c>
    </row>
    <row r="404" spans="1:18" hidden="1">
      <c r="A404" s="1" t="s">
        <v>378</v>
      </c>
      <c r="B404" s="1" t="s">
        <v>15</v>
      </c>
      <c r="C404" s="91">
        <v>124762404115</v>
      </c>
      <c r="D404" s="3">
        <v>9541.4699999999993</v>
      </c>
      <c r="E404" s="3">
        <v>11961916.07</v>
      </c>
      <c r="F404" s="35" t="s">
        <v>2750</v>
      </c>
      <c r="G404"/>
      <c r="H404"/>
      <c r="I404" s="27">
        <f>-IFERROR(VLOOKUP(C404,SIRCUPA!$A$21:$H$155,8,0),0)</f>
        <v>0</v>
      </c>
      <c r="J404" s="88">
        <f>-IFERROR(VLOOKUP(C404,SIRTAC!$A$16:$H$1288,8,0),0)</f>
        <v>-101</v>
      </c>
      <c r="K404" s="88">
        <f>-IFERROR(VLOOKUP(C404,Gastos!$A$9:$J$1281,10,0),0)</f>
        <v>-396.93</v>
      </c>
      <c r="L404" s="87">
        <f>-IFERROR(VLOOKUP(C404,IDC!$A$25:$H$1532,8,0),0)</f>
        <v>-60.6</v>
      </c>
      <c r="M404" s="122">
        <f t="shared" si="49"/>
        <v>10100</v>
      </c>
      <c r="N404"/>
      <c r="P404" s="35">
        <f t="shared" si="50"/>
        <v>-10100</v>
      </c>
      <c r="Q404" s="66">
        <f t="shared" si="51"/>
        <v>0</v>
      </c>
    </row>
    <row r="405" spans="1:18" hidden="1">
      <c r="A405" s="1" t="s">
        <v>378</v>
      </c>
      <c r="B405" s="1" t="s">
        <v>15</v>
      </c>
      <c r="C405" s="91">
        <v>125309426696</v>
      </c>
      <c r="D405" s="3">
        <v>23675.49</v>
      </c>
      <c r="E405" s="3">
        <v>11985591.560000001</v>
      </c>
      <c r="F405" s="35" t="s">
        <v>2750</v>
      </c>
      <c r="G405"/>
      <c r="H405"/>
      <c r="I405" s="27">
        <f>-IFERROR(VLOOKUP(C405,SIRCUPA!$A$21:$H$155,8,0),0)</f>
        <v>0</v>
      </c>
      <c r="J405" s="88">
        <f>-IFERROR(VLOOKUP(C405,SIRTAC!$A$16:$H$1288,8,0),0)</f>
        <v>-243</v>
      </c>
      <c r="K405" s="88">
        <f>-IFERROR(VLOOKUP(C405,Gastos!$A$9:$J$1281,10,0),0)</f>
        <v>-235.71</v>
      </c>
      <c r="L405" s="87">
        <f>-IFERROR(VLOOKUP(C405,IDC!$A$25:$H$1532,8,0),0)</f>
        <v>-145.80000000000001</v>
      </c>
      <c r="M405" s="122">
        <f t="shared" si="49"/>
        <v>24300</v>
      </c>
      <c r="N405"/>
      <c r="P405" s="35">
        <f t="shared" si="50"/>
        <v>-24300</v>
      </c>
      <c r="Q405" s="66">
        <f t="shared" si="51"/>
        <v>0</v>
      </c>
    </row>
    <row r="406" spans="1:18" hidden="1">
      <c r="A406" s="1" t="s">
        <v>378</v>
      </c>
      <c r="B406" s="1" t="s">
        <v>15</v>
      </c>
      <c r="C406" s="91">
        <v>124762545723</v>
      </c>
      <c r="D406" s="3">
        <v>115640.15</v>
      </c>
      <c r="E406" s="3">
        <v>12101231.710000001</v>
      </c>
      <c r="F406" s="35" t="s">
        <v>2750</v>
      </c>
      <c r="G406"/>
      <c r="H406"/>
      <c r="I406" s="27">
        <f>-IFERROR(VLOOKUP(C406,SIRCUPA!$A$21:$H$155,8,0),0)</f>
        <v>0</v>
      </c>
      <c r="J406" s="88">
        <f>-IFERROR(VLOOKUP(C406,SIRTAC!$A$16:$H$1288,8,0),0)</f>
        <v>-1195</v>
      </c>
      <c r="K406" s="88">
        <f>-IFERROR(VLOOKUP(C406,Gastos!$A$9:$J$1281,10,0),0)</f>
        <v>-1947.85</v>
      </c>
      <c r="L406" s="87">
        <f>-IFERROR(VLOOKUP(C406,IDC!$A$25:$H$1532,8,0),0)</f>
        <v>-717</v>
      </c>
      <c r="M406" s="122">
        <f t="shared" si="49"/>
        <v>119500</v>
      </c>
      <c r="N406"/>
      <c r="P406" s="35">
        <f t="shared" si="50"/>
        <v>-119500</v>
      </c>
      <c r="Q406" s="66">
        <f t="shared" si="51"/>
        <v>0</v>
      </c>
    </row>
    <row r="407" spans="1:18" hidden="1">
      <c r="A407" s="1" t="s">
        <v>378</v>
      </c>
      <c r="B407" s="1" t="s">
        <v>15</v>
      </c>
      <c r="C407" s="91">
        <v>125311350634</v>
      </c>
      <c r="D407" s="3">
        <v>29852.52</v>
      </c>
      <c r="E407" s="3">
        <v>12131084.23</v>
      </c>
      <c r="F407" s="35" t="s">
        <v>2750</v>
      </c>
      <c r="G407"/>
      <c r="H407"/>
      <c r="I407" s="27">
        <f>-IFERROR(VLOOKUP(C407,SIRCUPA!$A$21:$H$155,8,0),0)</f>
        <v>0</v>
      </c>
      <c r="J407" s="88">
        <f>-IFERROR(VLOOKUP(C407,SIRTAC!$A$16:$H$1288,8,0),0)</f>
        <v>-316</v>
      </c>
      <c r="K407" s="88">
        <f>-IFERROR(VLOOKUP(C407,Gastos!$A$9:$J$1281,10,0),0)</f>
        <v>-1241.8800000000001</v>
      </c>
      <c r="L407" s="87">
        <f>-IFERROR(VLOOKUP(C407,IDC!$A$25:$H$1532,8,0),0)</f>
        <v>-189.6</v>
      </c>
      <c r="M407" s="122">
        <f t="shared" si="49"/>
        <v>31600</v>
      </c>
      <c r="N407"/>
      <c r="P407" s="35">
        <f t="shared" si="50"/>
        <v>-31600</v>
      </c>
      <c r="Q407" s="66">
        <f t="shared" si="51"/>
        <v>0</v>
      </c>
    </row>
    <row r="408" spans="1:18" hidden="1">
      <c r="A408" s="1" t="s">
        <v>378</v>
      </c>
      <c r="B408" s="1" t="s">
        <v>15</v>
      </c>
      <c r="C408" s="91">
        <v>125311407008</v>
      </c>
      <c r="D408" s="3">
        <v>5553.51</v>
      </c>
      <c r="E408" s="3">
        <v>12136637.74</v>
      </c>
      <c r="F408" s="35" t="s">
        <v>2750</v>
      </c>
      <c r="G408"/>
      <c r="H408"/>
      <c r="I408" s="27">
        <f>-IFERROR(VLOOKUP(C408,SIRCUPA!$A$21:$H$155,8,0),0)</f>
        <v>0</v>
      </c>
      <c r="J408" s="88">
        <f>-IFERROR(VLOOKUP(C408,SIRTAC!$A$16:$H$1288,8,0),0)</f>
        <v>-57</v>
      </c>
      <c r="K408" s="88">
        <f>-IFERROR(VLOOKUP(C408,Gastos!$A$9:$J$1281,10,0),0)</f>
        <v>-55.29</v>
      </c>
      <c r="L408" s="87">
        <f>-IFERROR(VLOOKUP(C408,IDC!$A$25:$H$1532,8,0),0)</f>
        <v>-34.200000000000003</v>
      </c>
      <c r="M408" s="122">
        <f t="shared" si="49"/>
        <v>5700</v>
      </c>
      <c r="N408"/>
      <c r="P408" s="35">
        <f t="shared" si="50"/>
        <v>-5700</v>
      </c>
      <c r="Q408" s="66">
        <f t="shared" si="51"/>
        <v>0</v>
      </c>
    </row>
    <row r="409" spans="1:18" hidden="1">
      <c r="A409" s="1" t="s">
        <v>378</v>
      </c>
      <c r="B409" s="1" t="s">
        <v>464</v>
      </c>
      <c r="C409" s="91">
        <v>125311377394</v>
      </c>
      <c r="D409" s="2">
        <v>837.04</v>
      </c>
      <c r="E409" s="3">
        <v>12137474.779999999</v>
      </c>
      <c r="F409" s="2" t="s">
        <v>2750</v>
      </c>
      <c r="G409"/>
      <c r="H409"/>
      <c r="I409" s="27">
        <f>-IFERROR(VLOOKUP(C409,SIRCUPA!$A$21:$H$155,8,0),0)</f>
        <v>-12.83</v>
      </c>
      <c r="J409" s="88">
        <f>-IFERROR(VLOOKUP(C409,SIRTAC!$A$16:$H$1288,8,0),0)</f>
        <v>0</v>
      </c>
      <c r="K409" s="88">
        <f>-IFERROR(VLOOKUP(C409,Gastos!$A$9:$J$1281,10,0),0)</f>
        <v>0</v>
      </c>
      <c r="L409" s="87">
        <f>-IFERROR(VLOOKUP(C409,IDC!$A$25:$H$1532,8,0),0)</f>
        <v>-5.13</v>
      </c>
      <c r="M409" s="122">
        <f t="shared" si="49"/>
        <v>855</v>
      </c>
      <c r="N409"/>
      <c r="P409" s="35">
        <f t="shared" si="50"/>
        <v>-855</v>
      </c>
      <c r="Q409" s="66">
        <f t="shared" si="51"/>
        <v>0</v>
      </c>
    </row>
    <row r="410" spans="1:18" hidden="1">
      <c r="A410" s="59" t="s">
        <v>903</v>
      </c>
      <c r="B410" s="59" t="s">
        <v>28</v>
      </c>
      <c r="C410" s="112">
        <v>125738338007</v>
      </c>
      <c r="D410" s="63">
        <v>-678.94</v>
      </c>
      <c r="E410" s="3">
        <v>11485278.439999999</v>
      </c>
      <c r="F410" s="63" t="s">
        <v>2747</v>
      </c>
      <c r="G410" s="65">
        <f>+D410/0.006</f>
        <v>-113156.66666666667</v>
      </c>
      <c r="H410" s="65"/>
      <c r="I410" s="108">
        <f>-IFERROR(VLOOKUP(C410,SIRCUPA!$A$21:$H$155,8,0),0)</f>
        <v>0</v>
      </c>
      <c r="J410" s="108">
        <f>-IFERROR(VLOOKUP(C410,SIRTAC!$A$16:$H$1288,8,0),0)</f>
        <v>0</v>
      </c>
      <c r="K410" s="108">
        <f>-IFERROR(VLOOKUP(C410,Gastos!$A$9:$J$1281,10,0),0)</f>
        <v>0</v>
      </c>
      <c r="L410" s="65">
        <f>-IFERROR(VLOOKUP(C410,IDC!$A$25:$H$1532,8,0),0)</f>
        <v>-678.94</v>
      </c>
      <c r="M410" s="123">
        <f t="shared" ref="M410:M412" si="52">+D410</f>
        <v>-678.94</v>
      </c>
      <c r="N410" s="65"/>
      <c r="O410" s="59"/>
      <c r="Q410" s="66">
        <f t="shared" ref="Q410:Q412" si="53">+L410</f>
        <v>-678.94</v>
      </c>
      <c r="R410" s="66">
        <f t="shared" ref="R410:R412" si="54">+M410-Q410</f>
        <v>0</v>
      </c>
    </row>
    <row r="411" spans="1:18" hidden="1">
      <c r="A411" s="59" t="s">
        <v>930</v>
      </c>
      <c r="B411" s="59" t="s">
        <v>28</v>
      </c>
      <c r="C411" s="112">
        <v>125859839609</v>
      </c>
      <c r="D411" s="64">
        <v>-1691.28</v>
      </c>
      <c r="E411" s="3">
        <v>9393566.8300000001</v>
      </c>
      <c r="F411" s="63" t="s">
        <v>2747</v>
      </c>
      <c r="G411" s="65">
        <f>+D411/0.006</f>
        <v>-281880</v>
      </c>
      <c r="H411" s="65"/>
      <c r="I411" s="108">
        <f>-IFERROR(VLOOKUP(C411,SIRCUPA!$A$21:$H$155,8,0),0)</f>
        <v>0</v>
      </c>
      <c r="J411" s="108">
        <f>-IFERROR(VLOOKUP(C411,SIRTAC!$A$16:$H$1288,8,0),0)</f>
        <v>0</v>
      </c>
      <c r="K411" s="108">
        <f>-IFERROR(VLOOKUP(C411,Gastos!$A$9:$J$1281,10,0),0)</f>
        <v>0</v>
      </c>
      <c r="L411" s="65">
        <f>-IFERROR(VLOOKUP(C411,IDC!$A$25:$H$1532,8,0),0)</f>
        <v>-1691.28</v>
      </c>
      <c r="M411" s="123">
        <f t="shared" si="52"/>
        <v>-1691.28</v>
      </c>
      <c r="N411" s="65"/>
      <c r="O411" s="59"/>
      <c r="Q411" s="66">
        <f t="shared" si="53"/>
        <v>-1691.28</v>
      </c>
      <c r="R411" s="66">
        <f t="shared" si="54"/>
        <v>0</v>
      </c>
    </row>
    <row r="412" spans="1:18" hidden="1">
      <c r="A412" s="59" t="s">
        <v>930</v>
      </c>
      <c r="B412" s="59" t="s">
        <v>28</v>
      </c>
      <c r="C412" s="112">
        <v>126401610954</v>
      </c>
      <c r="D412" s="64">
        <v>-6297.87</v>
      </c>
      <c r="E412" s="3">
        <v>10237984.57</v>
      </c>
      <c r="F412" s="63" t="s">
        <v>2747</v>
      </c>
      <c r="G412" s="65">
        <f>+D412/0.006</f>
        <v>-1049645</v>
      </c>
      <c r="H412" s="65"/>
      <c r="I412" s="108">
        <f>-IFERROR(VLOOKUP(C412,SIRCUPA!$A$21:$H$155,8,0),0)</f>
        <v>0</v>
      </c>
      <c r="J412" s="108">
        <f>-IFERROR(VLOOKUP(C412,SIRTAC!$A$16:$H$1288,8,0),0)</f>
        <v>0</v>
      </c>
      <c r="K412" s="108">
        <f>-IFERROR(VLOOKUP(C412,Gastos!$A$9:$J$1281,10,0),0)</f>
        <v>0</v>
      </c>
      <c r="L412" s="65">
        <f>-IFERROR(VLOOKUP(C412,IDC!$A$25:$H$1532,8,0),0)</f>
        <v>-6297.87</v>
      </c>
      <c r="M412" s="123">
        <f t="shared" si="52"/>
        <v>-6297.87</v>
      </c>
      <c r="N412" s="65"/>
      <c r="O412" s="59"/>
      <c r="Q412" s="66">
        <f t="shared" si="53"/>
        <v>-6297.87</v>
      </c>
      <c r="R412" s="66">
        <f t="shared" si="54"/>
        <v>0</v>
      </c>
    </row>
    <row r="413" spans="1:18" hidden="1">
      <c r="A413" s="1" t="s">
        <v>466</v>
      </c>
      <c r="B413" s="1" t="s">
        <v>15</v>
      </c>
      <c r="C413" s="91">
        <v>124767314759</v>
      </c>
      <c r="D413" s="3">
        <v>32833.910000000003</v>
      </c>
      <c r="E413" s="3">
        <v>12170308.689999999</v>
      </c>
      <c r="F413" s="35" t="s">
        <v>2750</v>
      </c>
      <c r="G413"/>
      <c r="H413"/>
      <c r="I413" s="27">
        <f>-IFERROR(VLOOKUP(C413,SIRCUPA!$A$21:$H$155,8,0),0)</f>
        <v>0</v>
      </c>
      <c r="J413" s="88">
        <f>-IFERROR(VLOOKUP(C413,SIRTAC!$A$16:$H$1288,8,0),0)</f>
        <v>-337</v>
      </c>
      <c r="K413" s="88">
        <f>-IFERROR(VLOOKUP(C413,Gastos!$A$9:$J$1281,10,0),0)</f>
        <v>-326.89</v>
      </c>
      <c r="L413" s="87">
        <f>-IFERROR(VLOOKUP(C413,IDC!$A$25:$H$1532,8,0),0)</f>
        <v>-202.2</v>
      </c>
      <c r="M413" s="122">
        <f t="shared" ref="M413:M420" si="55">+D413-I413-J413-K413-L413</f>
        <v>33700</v>
      </c>
      <c r="N413"/>
      <c r="P413" s="35">
        <f t="shared" ref="P413:P420" si="56">+L413/0.006</f>
        <v>-33700</v>
      </c>
      <c r="Q413" s="66">
        <f t="shared" ref="Q413:Q420" si="57">+M413+P413</f>
        <v>0</v>
      </c>
    </row>
    <row r="414" spans="1:18" hidden="1">
      <c r="A414" s="1" t="s">
        <v>466</v>
      </c>
      <c r="B414" s="1" t="s">
        <v>468</v>
      </c>
      <c r="C414" s="91">
        <v>124767259737</v>
      </c>
      <c r="D414" s="3">
        <v>3299.23</v>
      </c>
      <c r="E414" s="3">
        <v>12173607.92</v>
      </c>
      <c r="F414" s="2" t="s">
        <v>2750</v>
      </c>
      <c r="G414"/>
      <c r="H414"/>
      <c r="I414" s="27">
        <f>-IFERROR(VLOOKUP(C414,SIRCUPA!$A$21:$H$155,8,0),0)</f>
        <v>-50.55</v>
      </c>
      <c r="J414" s="88">
        <f>-IFERROR(VLOOKUP(C414,SIRTAC!$A$16:$H$1288,8,0),0)</f>
        <v>0</v>
      </c>
      <c r="K414" s="88">
        <f>-IFERROR(VLOOKUP(C414,Gastos!$A$9:$J$1281,10,0),0)</f>
        <v>0</v>
      </c>
      <c r="L414" s="87">
        <f>-IFERROR(VLOOKUP(C414,IDC!$A$25:$H$1532,8,0),0)</f>
        <v>-20.22</v>
      </c>
      <c r="M414" s="122">
        <f t="shared" si="55"/>
        <v>3370</v>
      </c>
      <c r="N414"/>
      <c r="P414" s="35">
        <f t="shared" si="56"/>
        <v>-3369.9999999999995</v>
      </c>
      <c r="Q414" s="66">
        <f t="shared" si="57"/>
        <v>0</v>
      </c>
    </row>
    <row r="415" spans="1:18" hidden="1">
      <c r="A415" s="1" t="s">
        <v>466</v>
      </c>
      <c r="B415" s="1" t="s">
        <v>15</v>
      </c>
      <c r="C415" s="91">
        <v>124767413713</v>
      </c>
      <c r="D415" s="3">
        <v>9743</v>
      </c>
      <c r="E415" s="3">
        <v>12183350.92</v>
      </c>
      <c r="F415" s="35" t="s">
        <v>2750</v>
      </c>
      <c r="G415"/>
      <c r="H415"/>
      <c r="I415" s="27">
        <f>-IFERROR(VLOOKUP(C415,SIRCUPA!$A$21:$H$155,8,0),0)</f>
        <v>0</v>
      </c>
      <c r="J415" s="88">
        <f>-IFERROR(VLOOKUP(C415,SIRTAC!$A$16:$H$1288,8,0),0)</f>
        <v>-100</v>
      </c>
      <c r="K415" s="88">
        <f>-IFERROR(VLOOKUP(C415,Gastos!$A$9:$J$1281,10,0),0)</f>
        <v>-97</v>
      </c>
      <c r="L415" s="87">
        <f>-IFERROR(VLOOKUP(C415,IDC!$A$25:$H$1532,8,0),0)</f>
        <v>-60</v>
      </c>
      <c r="M415" s="122">
        <f t="shared" si="55"/>
        <v>10000</v>
      </c>
      <c r="N415"/>
      <c r="P415" s="35">
        <f t="shared" si="56"/>
        <v>-10000</v>
      </c>
      <c r="Q415" s="66">
        <f t="shared" si="57"/>
        <v>0</v>
      </c>
    </row>
    <row r="416" spans="1:18" hidden="1">
      <c r="A416" s="1" t="s">
        <v>466</v>
      </c>
      <c r="B416" s="1" t="s">
        <v>15</v>
      </c>
      <c r="C416" s="91">
        <v>124767429929</v>
      </c>
      <c r="D416" s="3">
        <v>69272.73</v>
      </c>
      <c r="E416" s="3">
        <v>12252623.65</v>
      </c>
      <c r="F416" s="35" t="s">
        <v>2750</v>
      </c>
      <c r="G416"/>
      <c r="H416"/>
      <c r="I416" s="27">
        <f>-IFERROR(VLOOKUP(C416,SIRCUPA!$A$21:$H$155,8,0),0)</f>
        <v>0</v>
      </c>
      <c r="J416" s="88">
        <f>-IFERROR(VLOOKUP(C416,SIRTAC!$A$16:$H$1288,8,0),0)</f>
        <v>-711</v>
      </c>
      <c r="K416" s="88">
        <f>-IFERROR(VLOOKUP(C416,Gastos!$A$9:$J$1281,10,0),0)</f>
        <v>-689.67</v>
      </c>
      <c r="L416" s="87">
        <f>-IFERROR(VLOOKUP(C416,IDC!$A$25:$H$1532,8,0),0)</f>
        <v>-426.6</v>
      </c>
      <c r="M416" s="122">
        <f t="shared" si="55"/>
        <v>71100</v>
      </c>
      <c r="N416"/>
      <c r="P416" s="35">
        <f t="shared" si="56"/>
        <v>-71100</v>
      </c>
      <c r="Q416" s="66">
        <f t="shared" si="57"/>
        <v>0</v>
      </c>
    </row>
    <row r="417" spans="1:18" hidden="1">
      <c r="A417" s="1" t="s">
        <v>466</v>
      </c>
      <c r="B417" s="1" t="s">
        <v>15</v>
      </c>
      <c r="C417" s="91">
        <v>125314451784</v>
      </c>
      <c r="D417" s="3">
        <v>14127.35</v>
      </c>
      <c r="E417" s="3">
        <v>12266751</v>
      </c>
      <c r="F417" s="35" t="s">
        <v>2750</v>
      </c>
      <c r="G417"/>
      <c r="H417"/>
      <c r="I417" s="27">
        <f>-IFERROR(VLOOKUP(C417,SIRCUPA!$A$21:$H$155,8,0),0)</f>
        <v>0</v>
      </c>
      <c r="J417" s="88">
        <f>-IFERROR(VLOOKUP(C417,SIRTAC!$A$16:$H$1288,8,0),0)</f>
        <v>-145</v>
      </c>
      <c r="K417" s="88">
        <f>-IFERROR(VLOOKUP(C417,Gastos!$A$9:$J$1281,10,0),0)</f>
        <v>-140.65</v>
      </c>
      <c r="L417" s="87">
        <f>-IFERROR(VLOOKUP(C417,IDC!$A$25:$H$1532,8,0),0)</f>
        <v>-87</v>
      </c>
      <c r="M417" s="122">
        <f t="shared" si="55"/>
        <v>14500</v>
      </c>
      <c r="N417"/>
      <c r="P417" s="35">
        <f t="shared" si="56"/>
        <v>-14500</v>
      </c>
      <c r="Q417" s="66">
        <f t="shared" si="57"/>
        <v>0</v>
      </c>
    </row>
    <row r="418" spans="1:18" s="59" customFormat="1" hidden="1">
      <c r="A418" s="35" t="s">
        <v>466</v>
      </c>
      <c r="B418" s="35" t="s">
        <v>15</v>
      </c>
      <c r="C418" s="91">
        <v>124768684947</v>
      </c>
      <c r="D418" s="3">
        <v>18998.849999999999</v>
      </c>
      <c r="E418" s="3">
        <v>12285749.85</v>
      </c>
      <c r="F418" s="35" t="s">
        <v>2750</v>
      </c>
      <c r="G418" s="35"/>
      <c r="H418" s="35"/>
      <c r="I418" s="27">
        <f>-IFERROR(VLOOKUP(C418,SIRCUPA!$A$21:$H$155,8,0),0)</f>
        <v>0</v>
      </c>
      <c r="J418" s="88">
        <f>-IFERROR(VLOOKUP(C418,SIRTAC!$A$16:$H$1288,8,0),0)</f>
        <v>-195</v>
      </c>
      <c r="K418" s="88">
        <f>-IFERROR(VLOOKUP(C418,Gastos!$A$9:$J$1281,10,0),0)</f>
        <v>-189.15</v>
      </c>
      <c r="L418" s="87">
        <f>-IFERROR(VLOOKUP(C418,IDC!$A$25:$H$1532,8,0),0)</f>
        <v>-117</v>
      </c>
      <c r="M418" s="122">
        <f t="shared" si="55"/>
        <v>19500</v>
      </c>
      <c r="N418" s="35"/>
      <c r="O418" s="35"/>
      <c r="P418" s="35">
        <f t="shared" si="56"/>
        <v>-19500</v>
      </c>
      <c r="Q418" s="66">
        <f t="shared" si="57"/>
        <v>0</v>
      </c>
    </row>
    <row r="419" spans="1:18" s="59" customFormat="1" hidden="1">
      <c r="A419" s="35" t="s">
        <v>466</v>
      </c>
      <c r="B419" s="35" t="s">
        <v>15</v>
      </c>
      <c r="C419" s="91">
        <v>125315557302</v>
      </c>
      <c r="D419" s="3">
        <v>7599.54</v>
      </c>
      <c r="E419" s="3">
        <v>12293349.390000001</v>
      </c>
      <c r="F419" s="35" t="s">
        <v>2750</v>
      </c>
      <c r="G419" s="35"/>
      <c r="H419" s="35"/>
      <c r="I419" s="27">
        <f>-IFERROR(VLOOKUP(C419,SIRCUPA!$A$21:$H$155,8,0),0)</f>
        <v>0</v>
      </c>
      <c r="J419" s="88">
        <f>-IFERROR(VLOOKUP(C419,SIRTAC!$A$16:$H$1288,8,0),0)</f>
        <v>-78</v>
      </c>
      <c r="K419" s="88">
        <f>-IFERROR(VLOOKUP(C419,Gastos!$A$9:$J$1281,10,0),0)</f>
        <v>-75.66</v>
      </c>
      <c r="L419" s="87">
        <f>-IFERROR(VLOOKUP(C419,IDC!$A$25:$H$1532,8,0),0)</f>
        <v>-46.8</v>
      </c>
      <c r="M419" s="122">
        <f t="shared" si="55"/>
        <v>7800</v>
      </c>
      <c r="N419" s="35"/>
      <c r="O419" s="35"/>
      <c r="P419" s="35">
        <f t="shared" si="56"/>
        <v>-7799.9999999999991</v>
      </c>
      <c r="Q419" s="66">
        <f t="shared" si="57"/>
        <v>0</v>
      </c>
    </row>
    <row r="420" spans="1:18" s="59" customFormat="1" hidden="1">
      <c r="A420" s="35" t="s">
        <v>466</v>
      </c>
      <c r="B420" s="35" t="s">
        <v>475</v>
      </c>
      <c r="C420" s="91">
        <v>125315565192</v>
      </c>
      <c r="D420" s="2">
        <v>763.62</v>
      </c>
      <c r="E420" s="3">
        <v>12294113.01</v>
      </c>
      <c r="F420" s="2" t="s">
        <v>2750</v>
      </c>
      <c r="G420" s="35"/>
      <c r="H420" s="35"/>
      <c r="I420" s="27">
        <f>-IFERROR(VLOOKUP(C420,SIRCUPA!$A$21:$H$155,8,0),0)</f>
        <v>-11.7</v>
      </c>
      <c r="J420" s="88">
        <f>-IFERROR(VLOOKUP(C420,SIRTAC!$A$16:$H$1288,8,0),0)</f>
        <v>0</v>
      </c>
      <c r="K420" s="88">
        <f>-IFERROR(VLOOKUP(C420,Gastos!$A$9:$J$1281,10,0),0)</f>
        <v>0</v>
      </c>
      <c r="L420" s="87">
        <f>-IFERROR(VLOOKUP(C420,IDC!$A$25:$H$1532,8,0),0)</f>
        <v>-4.68</v>
      </c>
      <c r="M420" s="122">
        <f t="shared" si="55"/>
        <v>780</v>
      </c>
      <c r="N420" s="35"/>
      <c r="O420" s="35"/>
      <c r="P420" s="35">
        <f t="shared" si="56"/>
        <v>-779.99999999999989</v>
      </c>
      <c r="Q420" s="66">
        <f t="shared" si="57"/>
        <v>0</v>
      </c>
    </row>
    <row r="421" spans="1:18" s="59" customFormat="1" hidden="1">
      <c r="A421" s="59" t="s">
        <v>930</v>
      </c>
      <c r="B421" s="59" t="s">
        <v>28</v>
      </c>
      <c r="C421" s="112">
        <v>126403126956</v>
      </c>
      <c r="D421" s="64">
        <v>-3345.01</v>
      </c>
      <c r="E421" s="3">
        <v>9677138.1099999994</v>
      </c>
      <c r="F421" s="63" t="s">
        <v>2747</v>
      </c>
      <c r="G421" s="65">
        <f t="shared" ref="G421:G430" si="58">+D421/0.006</f>
        <v>-557501.66666666674</v>
      </c>
      <c r="H421" s="65"/>
      <c r="I421" s="108">
        <f>-IFERROR(VLOOKUP(C421,SIRCUPA!$A$21:$H$155,8,0),0)</f>
        <v>0</v>
      </c>
      <c r="J421" s="108">
        <f>-IFERROR(VLOOKUP(C421,SIRTAC!$A$16:$H$1288,8,0),0)</f>
        <v>0</v>
      </c>
      <c r="K421" s="108">
        <f>-IFERROR(VLOOKUP(C421,Gastos!$A$9:$J$1281,10,0),0)</f>
        <v>0</v>
      </c>
      <c r="L421" s="65">
        <f>-IFERROR(VLOOKUP(C421,IDC!$A$25:$H$1532,8,0),0)</f>
        <v>-3345.01</v>
      </c>
      <c r="M421" s="123">
        <f t="shared" ref="M421:M430" si="59">+D421</f>
        <v>-3345.01</v>
      </c>
      <c r="N421" s="65"/>
      <c r="Q421" s="66">
        <f t="shared" ref="Q421:Q430" si="60">+L421</f>
        <v>-3345.01</v>
      </c>
      <c r="R421" s="66">
        <f t="shared" ref="R421:R430" si="61">+M421-Q421</f>
        <v>0</v>
      </c>
    </row>
    <row r="422" spans="1:18" hidden="1">
      <c r="A422" s="59" t="s">
        <v>936</v>
      </c>
      <c r="B422" s="59" t="s">
        <v>28</v>
      </c>
      <c r="C422" s="112">
        <v>125988349795</v>
      </c>
      <c r="D422" s="64">
        <v>-1208.51</v>
      </c>
      <c r="E422" s="3">
        <v>9190940.8100000005</v>
      </c>
      <c r="F422" s="63" t="s">
        <v>2747</v>
      </c>
      <c r="G422" s="65">
        <f t="shared" si="58"/>
        <v>-201418.33333333331</v>
      </c>
      <c r="H422" s="65"/>
      <c r="I422" s="108">
        <f>-IFERROR(VLOOKUP(C422,SIRCUPA!$A$21:$H$155,8,0),0)</f>
        <v>0</v>
      </c>
      <c r="J422" s="108">
        <f>-IFERROR(VLOOKUP(C422,SIRTAC!$A$16:$H$1288,8,0),0)</f>
        <v>0</v>
      </c>
      <c r="K422" s="108">
        <f>-IFERROR(VLOOKUP(C422,Gastos!$A$9:$J$1281,10,0),0)</f>
        <v>0</v>
      </c>
      <c r="L422" s="65">
        <f>-IFERROR(VLOOKUP(C422,IDC!$A$25:$H$1532,8,0),0)</f>
        <v>-1208.51</v>
      </c>
      <c r="M422" s="123">
        <f t="shared" si="59"/>
        <v>-1208.51</v>
      </c>
      <c r="N422" s="65"/>
      <c r="O422" s="59"/>
      <c r="Q422" s="66">
        <f t="shared" si="60"/>
        <v>-1208.51</v>
      </c>
      <c r="R422" s="66">
        <f t="shared" si="61"/>
        <v>0</v>
      </c>
    </row>
    <row r="423" spans="1:18" s="59" customFormat="1" hidden="1">
      <c r="A423" s="59" t="s">
        <v>936</v>
      </c>
      <c r="B423" s="59" t="s">
        <v>28</v>
      </c>
      <c r="C423" s="112">
        <v>126006760321</v>
      </c>
      <c r="D423" s="64">
        <v>-6317.72</v>
      </c>
      <c r="E423" s="3">
        <v>7901089.7999999998</v>
      </c>
      <c r="F423" s="63" t="s">
        <v>2747</v>
      </c>
      <c r="G423" s="65">
        <f t="shared" si="58"/>
        <v>-1052953.3333333333</v>
      </c>
      <c r="H423" s="65"/>
      <c r="I423" s="108">
        <f>-IFERROR(VLOOKUP(C423,SIRCUPA!$A$21:$H$155,8,0),0)</f>
        <v>0</v>
      </c>
      <c r="J423" s="108">
        <f>-IFERROR(VLOOKUP(C423,SIRTAC!$A$16:$H$1288,8,0),0)</f>
        <v>0</v>
      </c>
      <c r="K423" s="108">
        <f>-IFERROR(VLOOKUP(C423,Gastos!$A$9:$J$1281,10,0),0)</f>
        <v>0</v>
      </c>
      <c r="L423" s="65">
        <f>-IFERROR(VLOOKUP(C423,IDC!$A$25:$H$1532,8,0),0)</f>
        <v>-6317.72</v>
      </c>
      <c r="M423" s="123">
        <f t="shared" si="59"/>
        <v>-6317.72</v>
      </c>
      <c r="N423" s="65"/>
      <c r="Q423" s="66">
        <f t="shared" si="60"/>
        <v>-6317.72</v>
      </c>
      <c r="R423" s="66">
        <f t="shared" si="61"/>
        <v>0</v>
      </c>
    </row>
    <row r="424" spans="1:18" s="59" customFormat="1" hidden="1">
      <c r="A424" s="59" t="s">
        <v>936</v>
      </c>
      <c r="B424" s="59" t="s">
        <v>28</v>
      </c>
      <c r="C424" s="112">
        <v>126550128384</v>
      </c>
      <c r="D424" s="63">
        <v>-717.96</v>
      </c>
      <c r="E424" s="3">
        <v>9070562.0199999996</v>
      </c>
      <c r="F424" s="63" t="s">
        <v>2747</v>
      </c>
      <c r="G424" s="65">
        <f t="shared" si="58"/>
        <v>-119660</v>
      </c>
      <c r="H424" s="65"/>
      <c r="I424" s="108">
        <f>-IFERROR(VLOOKUP(C424,SIRCUPA!$A$21:$H$155,8,0),0)</f>
        <v>0</v>
      </c>
      <c r="J424" s="108">
        <f>-IFERROR(VLOOKUP(C424,SIRTAC!$A$16:$H$1288,8,0),0)</f>
        <v>0</v>
      </c>
      <c r="K424" s="108">
        <f>-IFERROR(VLOOKUP(C424,Gastos!$A$9:$J$1281,10,0),0)</f>
        <v>0</v>
      </c>
      <c r="L424" s="65">
        <f>-IFERROR(VLOOKUP(C424,IDC!$A$25:$H$1532,8,0),0)</f>
        <v>-717.96</v>
      </c>
      <c r="M424" s="123">
        <f t="shared" si="59"/>
        <v>-717.96</v>
      </c>
      <c r="N424" s="65"/>
      <c r="Q424" s="66">
        <f t="shared" si="60"/>
        <v>-717.96</v>
      </c>
      <c r="R424" s="66">
        <f t="shared" si="61"/>
        <v>0</v>
      </c>
    </row>
    <row r="425" spans="1:18" s="59" customFormat="1" hidden="1">
      <c r="A425" s="59" t="s">
        <v>936</v>
      </c>
      <c r="B425" s="59" t="s">
        <v>28</v>
      </c>
      <c r="C425" s="112">
        <v>126556131568</v>
      </c>
      <c r="D425" s="63">
        <v>-657.26</v>
      </c>
      <c r="E425" s="3">
        <v>8960361.6199999992</v>
      </c>
      <c r="F425" s="63" t="s">
        <v>2747</v>
      </c>
      <c r="G425" s="65">
        <f t="shared" si="58"/>
        <v>-109543.33333333333</v>
      </c>
      <c r="H425" s="65"/>
      <c r="I425" s="108">
        <f>-IFERROR(VLOOKUP(C425,SIRCUPA!$A$21:$H$155,8,0),0)</f>
        <v>0</v>
      </c>
      <c r="J425" s="108">
        <f>-IFERROR(VLOOKUP(C425,SIRTAC!$A$16:$H$1288,8,0),0)</f>
        <v>0</v>
      </c>
      <c r="K425" s="108">
        <f>-IFERROR(VLOOKUP(C425,Gastos!$A$9:$J$1281,10,0),0)</f>
        <v>0</v>
      </c>
      <c r="L425" s="65">
        <f>-IFERROR(VLOOKUP(C425,IDC!$A$25:$H$1532,8,0),0)</f>
        <v>-657.26</v>
      </c>
      <c r="M425" s="123">
        <f t="shared" si="59"/>
        <v>-657.26</v>
      </c>
      <c r="N425" s="65"/>
      <c r="Q425" s="66">
        <f t="shared" si="60"/>
        <v>-657.26</v>
      </c>
      <c r="R425" s="66">
        <f t="shared" si="61"/>
        <v>0</v>
      </c>
    </row>
    <row r="426" spans="1:18" s="59" customFormat="1" hidden="1">
      <c r="A426" s="59" t="s">
        <v>1030</v>
      </c>
      <c r="B426" s="59" t="s">
        <v>28</v>
      </c>
      <c r="C426" s="112">
        <v>126237032063</v>
      </c>
      <c r="D426" s="63">
        <v>-349.67</v>
      </c>
      <c r="E426" s="3">
        <v>8796474.2899999991</v>
      </c>
      <c r="F426" s="63" t="s">
        <v>2747</v>
      </c>
      <c r="G426" s="65">
        <f t="shared" si="58"/>
        <v>-58278.333333333336</v>
      </c>
      <c r="H426" s="65"/>
      <c r="I426" s="108">
        <f>-IFERROR(VLOOKUP(C426,SIRCUPA!$A$21:$H$155,8,0),0)</f>
        <v>0</v>
      </c>
      <c r="J426" s="108">
        <f>-IFERROR(VLOOKUP(C426,SIRTAC!$A$16:$H$1288,8,0),0)</f>
        <v>0</v>
      </c>
      <c r="K426" s="108">
        <f>-IFERROR(VLOOKUP(C426,Gastos!$A$9:$J$1281,10,0),0)</f>
        <v>0</v>
      </c>
      <c r="L426" s="65">
        <f>-IFERROR(VLOOKUP(C426,IDC!$A$25:$H$1532,8,0),0)</f>
        <v>-349.67</v>
      </c>
      <c r="M426" s="123">
        <f t="shared" si="59"/>
        <v>-349.67</v>
      </c>
      <c r="N426" s="65"/>
      <c r="Q426" s="66">
        <f t="shared" si="60"/>
        <v>-349.67</v>
      </c>
      <c r="R426" s="66">
        <f t="shared" si="61"/>
        <v>0</v>
      </c>
    </row>
    <row r="427" spans="1:18" s="59" customFormat="1" hidden="1">
      <c r="A427" s="59" t="s">
        <v>1030</v>
      </c>
      <c r="B427" s="59" t="s">
        <v>28</v>
      </c>
      <c r="C427" s="112">
        <v>126238042751</v>
      </c>
      <c r="D427" s="64">
        <v>-1187.28</v>
      </c>
      <c r="E427" s="3">
        <v>8597407.0399999991</v>
      </c>
      <c r="F427" s="63" t="s">
        <v>2747</v>
      </c>
      <c r="G427" s="65">
        <f t="shared" si="58"/>
        <v>-197880</v>
      </c>
      <c r="H427" s="65"/>
      <c r="I427" s="108">
        <f>-IFERROR(VLOOKUP(C427,SIRCUPA!$A$21:$H$155,8,0),0)</f>
        <v>0</v>
      </c>
      <c r="J427" s="108">
        <f>-IFERROR(VLOOKUP(C427,SIRTAC!$A$16:$H$1288,8,0),0)</f>
        <v>0</v>
      </c>
      <c r="K427" s="108">
        <f>-IFERROR(VLOOKUP(C427,Gastos!$A$9:$J$1281,10,0),0)</f>
        <v>0</v>
      </c>
      <c r="L427" s="65">
        <f>-IFERROR(VLOOKUP(C427,IDC!$A$25:$H$1532,8,0),0)</f>
        <v>-1187.28</v>
      </c>
      <c r="M427" s="123">
        <f t="shared" si="59"/>
        <v>-1187.28</v>
      </c>
      <c r="N427" s="65"/>
      <c r="Q427" s="66">
        <f t="shared" si="60"/>
        <v>-1187.28</v>
      </c>
      <c r="R427" s="66">
        <f t="shared" si="61"/>
        <v>0</v>
      </c>
    </row>
    <row r="428" spans="1:18" s="59" customFormat="1" hidden="1">
      <c r="A428" s="59" t="s">
        <v>1030</v>
      </c>
      <c r="B428" s="59" t="s">
        <v>28</v>
      </c>
      <c r="C428" s="112">
        <v>126240876525</v>
      </c>
      <c r="D428" s="63">
        <v>-897.44</v>
      </c>
      <c r="E428" s="3">
        <v>7953996.0999999996</v>
      </c>
      <c r="F428" s="63" t="s">
        <v>2747</v>
      </c>
      <c r="G428" s="65">
        <f t="shared" si="58"/>
        <v>-149573.33333333334</v>
      </c>
      <c r="H428" s="65"/>
      <c r="I428" s="108">
        <f>-IFERROR(VLOOKUP(C428,SIRCUPA!$A$21:$H$155,8,0),0)</f>
        <v>0</v>
      </c>
      <c r="J428" s="108">
        <f>-IFERROR(VLOOKUP(C428,SIRTAC!$A$16:$H$1288,8,0),0)</f>
        <v>0</v>
      </c>
      <c r="K428" s="108">
        <f>-IFERROR(VLOOKUP(C428,Gastos!$A$9:$J$1281,10,0),0)</f>
        <v>0</v>
      </c>
      <c r="L428" s="65">
        <f>-IFERROR(VLOOKUP(C428,IDC!$A$25:$H$1532,8,0),0)</f>
        <v>-897.44</v>
      </c>
      <c r="M428" s="123">
        <f t="shared" si="59"/>
        <v>-897.44</v>
      </c>
      <c r="N428" s="65"/>
      <c r="Q428" s="66">
        <f t="shared" si="60"/>
        <v>-897.44</v>
      </c>
      <c r="R428" s="66">
        <f t="shared" si="61"/>
        <v>0</v>
      </c>
    </row>
    <row r="429" spans="1:18" s="59" customFormat="1" hidden="1">
      <c r="A429" s="59" t="s">
        <v>1030</v>
      </c>
      <c r="B429" s="59" t="s">
        <v>28</v>
      </c>
      <c r="C429" s="112">
        <v>126250049639</v>
      </c>
      <c r="D429" s="64">
        <v>-2383.4899999999998</v>
      </c>
      <c r="E429" s="3">
        <v>7554365.0099999998</v>
      </c>
      <c r="F429" s="63" t="s">
        <v>2747</v>
      </c>
      <c r="G429" s="65">
        <f t="shared" si="58"/>
        <v>-397248.33333333331</v>
      </c>
      <c r="H429" s="65"/>
      <c r="I429" s="108">
        <f>-IFERROR(VLOOKUP(C429,SIRCUPA!$A$21:$H$155,8,0),0)</f>
        <v>0</v>
      </c>
      <c r="J429" s="108">
        <f>-IFERROR(VLOOKUP(C429,SIRTAC!$A$16:$H$1288,8,0),0)</f>
        <v>0</v>
      </c>
      <c r="K429" s="108">
        <f>-IFERROR(VLOOKUP(C429,Gastos!$A$9:$J$1281,10,0),0)</f>
        <v>0</v>
      </c>
      <c r="L429" s="65">
        <f>-IFERROR(VLOOKUP(C429,IDC!$A$25:$H$1532,8,0),0)</f>
        <v>-2383.4899999999998</v>
      </c>
      <c r="M429" s="123">
        <f t="shared" si="59"/>
        <v>-2383.4899999999998</v>
      </c>
      <c r="N429" s="65"/>
      <c r="Q429" s="66">
        <f t="shared" si="60"/>
        <v>-2383.4899999999998</v>
      </c>
      <c r="R429" s="66">
        <f t="shared" si="61"/>
        <v>0</v>
      </c>
    </row>
    <row r="430" spans="1:18" s="59" customFormat="1" hidden="1">
      <c r="A430" s="59" t="s">
        <v>1030</v>
      </c>
      <c r="B430" s="59" t="s">
        <v>28</v>
      </c>
      <c r="C430" s="112">
        <v>126770445030</v>
      </c>
      <c r="D430" s="63">
        <v>-544.5</v>
      </c>
      <c r="E430" s="3">
        <v>9014336.3599999994</v>
      </c>
      <c r="F430" s="63" t="s">
        <v>2747</v>
      </c>
      <c r="G430" s="65">
        <f t="shared" si="58"/>
        <v>-90750</v>
      </c>
      <c r="H430" s="65"/>
      <c r="I430" s="108">
        <f>-IFERROR(VLOOKUP(C430,SIRCUPA!$A$21:$H$155,8,0),0)</f>
        <v>0</v>
      </c>
      <c r="J430" s="108">
        <f>-IFERROR(VLOOKUP(C430,SIRTAC!$A$16:$H$1288,8,0),0)</f>
        <v>0</v>
      </c>
      <c r="K430" s="108">
        <f>-IFERROR(VLOOKUP(C430,Gastos!$A$9:$J$1281,10,0),0)</f>
        <v>0</v>
      </c>
      <c r="L430" s="65">
        <f>-IFERROR(VLOOKUP(C430,IDC!$A$25:$H$1532,8,0),0)</f>
        <v>-544.5</v>
      </c>
      <c r="M430" s="123">
        <f t="shared" si="59"/>
        <v>-544.5</v>
      </c>
      <c r="N430" s="65"/>
      <c r="Q430" s="66">
        <f t="shared" si="60"/>
        <v>-544.5</v>
      </c>
      <c r="R430" s="66">
        <f t="shared" si="61"/>
        <v>0</v>
      </c>
    </row>
    <row r="431" spans="1:18" hidden="1">
      <c r="A431" s="1" t="s">
        <v>488</v>
      </c>
      <c r="B431" s="1" t="s">
        <v>15</v>
      </c>
      <c r="C431" s="91">
        <v>125152888873</v>
      </c>
      <c r="D431" s="3">
        <v>6820.1</v>
      </c>
      <c r="E431" s="3">
        <v>8277595.3200000003</v>
      </c>
      <c r="F431" s="35" t="s">
        <v>2750</v>
      </c>
      <c r="G431"/>
      <c r="H431"/>
      <c r="I431" s="27">
        <f>-IFERROR(VLOOKUP(C431,SIRCUPA!$A$21:$H$155,8,0),0)</f>
        <v>0</v>
      </c>
      <c r="J431" s="88">
        <f>-IFERROR(VLOOKUP(C431,SIRTAC!$A$16:$H$1288,8,0),0)</f>
        <v>-70</v>
      </c>
      <c r="K431" s="88">
        <f>-IFERROR(VLOOKUP(C431,Gastos!$A$9:$J$1281,10,0),0)</f>
        <v>-67.900000000000006</v>
      </c>
      <c r="L431" s="87">
        <f>-IFERROR(VLOOKUP(C431,IDC!$A$25:$H$1532,8,0),0)</f>
        <v>-42</v>
      </c>
      <c r="M431" s="122">
        <f t="shared" ref="M431:M463" si="62">+D431-I431-J431-K431-L431</f>
        <v>7000</v>
      </c>
      <c r="N431"/>
      <c r="P431" s="35">
        <f t="shared" ref="P431:P463" si="63">+L431/0.006</f>
        <v>-7000</v>
      </c>
      <c r="Q431" s="66">
        <f t="shared" ref="Q431:Q463" si="64">+M431+P431</f>
        <v>0</v>
      </c>
    </row>
    <row r="432" spans="1:18" hidden="1">
      <c r="A432" s="1" t="s">
        <v>488</v>
      </c>
      <c r="B432" s="1" t="s">
        <v>15</v>
      </c>
      <c r="C432" s="91">
        <v>125156581215</v>
      </c>
      <c r="D432" s="3">
        <v>7794.4</v>
      </c>
      <c r="E432" s="3">
        <v>8285389.7199999997</v>
      </c>
      <c r="F432" s="35" t="s">
        <v>2750</v>
      </c>
      <c r="G432"/>
      <c r="H432"/>
      <c r="I432" s="27">
        <f>-IFERROR(VLOOKUP(C432,SIRCUPA!$A$21:$H$155,8,0),0)</f>
        <v>0</v>
      </c>
      <c r="J432" s="88">
        <f>-IFERROR(VLOOKUP(C432,SIRTAC!$A$16:$H$1288,8,0),0)</f>
        <v>-80</v>
      </c>
      <c r="K432" s="88">
        <f>-IFERROR(VLOOKUP(C432,Gastos!$A$9:$J$1281,10,0),0)</f>
        <v>-77.599999999999994</v>
      </c>
      <c r="L432" s="87">
        <f>-IFERROR(VLOOKUP(C432,IDC!$A$25:$H$1532,8,0),0)</f>
        <v>-48</v>
      </c>
      <c r="M432" s="122">
        <f t="shared" si="62"/>
        <v>8000</v>
      </c>
      <c r="N432"/>
      <c r="P432" s="35">
        <f t="shared" si="63"/>
        <v>-8000</v>
      </c>
      <c r="Q432" s="66">
        <f t="shared" si="64"/>
        <v>0</v>
      </c>
    </row>
    <row r="433" spans="1:17" hidden="1">
      <c r="A433" s="1" t="s">
        <v>488</v>
      </c>
      <c r="B433" s="1" t="s">
        <v>15</v>
      </c>
      <c r="C433" s="91">
        <v>125707492856</v>
      </c>
      <c r="D433" s="3">
        <v>14029.92</v>
      </c>
      <c r="E433" s="3">
        <v>8299419.6399999997</v>
      </c>
      <c r="F433" s="35" t="s">
        <v>2750</v>
      </c>
      <c r="G433"/>
      <c r="H433"/>
      <c r="I433" s="27">
        <f>-IFERROR(VLOOKUP(C433,SIRCUPA!$A$21:$H$155,8,0),0)</f>
        <v>0</v>
      </c>
      <c r="J433" s="88">
        <f>-IFERROR(VLOOKUP(C433,SIRTAC!$A$16:$H$1288,8,0),0)</f>
        <v>-144</v>
      </c>
      <c r="K433" s="88">
        <f>-IFERROR(VLOOKUP(C433,Gastos!$A$9:$J$1281,10,0),0)</f>
        <v>-139.68</v>
      </c>
      <c r="L433" s="87">
        <f>-IFERROR(VLOOKUP(C433,IDC!$A$25:$H$1532,8,0),0)</f>
        <v>-86.4</v>
      </c>
      <c r="M433" s="122">
        <f t="shared" si="62"/>
        <v>14400</v>
      </c>
      <c r="N433"/>
      <c r="P433" s="35">
        <f t="shared" si="63"/>
        <v>-14400</v>
      </c>
      <c r="Q433" s="66">
        <f t="shared" si="64"/>
        <v>0</v>
      </c>
    </row>
    <row r="434" spans="1:17" hidden="1">
      <c r="A434" s="1" t="s">
        <v>488</v>
      </c>
      <c r="B434" s="1" t="s">
        <v>15</v>
      </c>
      <c r="C434" s="91">
        <v>125709845758</v>
      </c>
      <c r="D434" s="3">
        <v>15978.52</v>
      </c>
      <c r="E434" s="3">
        <v>8315398.1600000001</v>
      </c>
      <c r="F434" s="35" t="s">
        <v>2750</v>
      </c>
      <c r="G434"/>
      <c r="H434"/>
      <c r="I434" s="27">
        <f>-IFERROR(VLOOKUP(C434,SIRCUPA!$A$21:$H$155,8,0),0)</f>
        <v>0</v>
      </c>
      <c r="J434" s="88">
        <f>-IFERROR(VLOOKUP(C434,SIRTAC!$A$16:$H$1288,8,0),0)</f>
        <v>-164</v>
      </c>
      <c r="K434" s="88">
        <f>-IFERROR(VLOOKUP(C434,Gastos!$A$9:$J$1281,10,0),0)</f>
        <v>-159.08000000000001</v>
      </c>
      <c r="L434" s="87">
        <f>-IFERROR(VLOOKUP(C434,IDC!$A$25:$H$1532,8,0),0)</f>
        <v>-98.4</v>
      </c>
      <c r="M434" s="122">
        <f t="shared" si="62"/>
        <v>16400</v>
      </c>
      <c r="N434"/>
      <c r="P434" s="35">
        <f t="shared" si="63"/>
        <v>-16400</v>
      </c>
      <c r="Q434" s="66">
        <f t="shared" si="64"/>
        <v>0</v>
      </c>
    </row>
    <row r="435" spans="1:17" hidden="1">
      <c r="A435" s="1" t="s">
        <v>488</v>
      </c>
      <c r="B435" s="1" t="s">
        <v>15</v>
      </c>
      <c r="C435" s="91">
        <v>125161425019</v>
      </c>
      <c r="D435" s="3">
        <v>17050.25</v>
      </c>
      <c r="E435" s="3">
        <v>8332448.4100000001</v>
      </c>
      <c r="F435" s="35" t="s">
        <v>2750</v>
      </c>
      <c r="G435"/>
      <c r="H435"/>
      <c r="I435" s="27">
        <f>-IFERROR(VLOOKUP(C435,SIRCUPA!$A$21:$H$155,8,0),0)</f>
        <v>0</v>
      </c>
      <c r="J435" s="88">
        <f>-IFERROR(VLOOKUP(C435,SIRTAC!$A$16:$H$1288,8,0),0)</f>
        <v>-175</v>
      </c>
      <c r="K435" s="88">
        <f>-IFERROR(VLOOKUP(C435,Gastos!$A$9:$J$1281,10,0),0)</f>
        <v>-169.75</v>
      </c>
      <c r="L435" s="87">
        <f>-IFERROR(VLOOKUP(C435,IDC!$A$25:$H$1532,8,0),0)</f>
        <v>-105</v>
      </c>
      <c r="M435" s="122">
        <f t="shared" si="62"/>
        <v>17500</v>
      </c>
      <c r="N435"/>
      <c r="P435" s="35">
        <f t="shared" si="63"/>
        <v>-17500</v>
      </c>
      <c r="Q435" s="66">
        <f t="shared" si="64"/>
        <v>0</v>
      </c>
    </row>
    <row r="436" spans="1:17" hidden="1">
      <c r="A436" s="1" t="s">
        <v>488</v>
      </c>
      <c r="B436" s="1" t="s">
        <v>15</v>
      </c>
      <c r="C436" s="91">
        <v>125712931478</v>
      </c>
      <c r="D436" s="3">
        <v>5163.79</v>
      </c>
      <c r="E436" s="3">
        <v>8337612.2000000002</v>
      </c>
      <c r="F436" s="35" t="s">
        <v>2750</v>
      </c>
      <c r="G436"/>
      <c r="H436"/>
      <c r="I436" s="27">
        <f>-IFERROR(VLOOKUP(C436,SIRCUPA!$A$21:$H$155,8,0),0)</f>
        <v>0</v>
      </c>
      <c r="J436" s="88">
        <f>-IFERROR(VLOOKUP(C436,SIRTAC!$A$16:$H$1288,8,0),0)</f>
        <v>-53</v>
      </c>
      <c r="K436" s="88">
        <f>-IFERROR(VLOOKUP(C436,Gastos!$A$9:$J$1281,10,0),0)</f>
        <v>-51.41</v>
      </c>
      <c r="L436" s="87">
        <f>-IFERROR(VLOOKUP(C436,IDC!$A$25:$H$1532,8,0),0)</f>
        <v>-31.8</v>
      </c>
      <c r="M436" s="122">
        <f t="shared" si="62"/>
        <v>5300</v>
      </c>
      <c r="N436"/>
      <c r="P436" s="35">
        <f t="shared" si="63"/>
        <v>-5300</v>
      </c>
      <c r="Q436" s="66">
        <f t="shared" si="64"/>
        <v>0</v>
      </c>
    </row>
    <row r="437" spans="1:17" hidden="1">
      <c r="A437" s="1" t="s">
        <v>488</v>
      </c>
      <c r="B437" s="1" t="s">
        <v>496</v>
      </c>
      <c r="C437" s="91">
        <v>125164003625</v>
      </c>
      <c r="D437" s="2">
        <v>259.43</v>
      </c>
      <c r="E437" s="3">
        <v>8337871.6299999999</v>
      </c>
      <c r="F437" s="2" t="s">
        <v>2750</v>
      </c>
      <c r="G437"/>
      <c r="H437"/>
      <c r="I437" s="27">
        <f>-IFERROR(VLOOKUP(C437,SIRCUPA!$A$21:$H$155,8,0),0)</f>
        <v>-3.98</v>
      </c>
      <c r="J437" s="88">
        <f>-IFERROR(VLOOKUP(C437,SIRTAC!$A$16:$H$1288,8,0),0)</f>
        <v>0</v>
      </c>
      <c r="K437" s="88">
        <f>-IFERROR(VLOOKUP(C437,Gastos!$A$9:$J$1281,10,0),0)</f>
        <v>0</v>
      </c>
      <c r="L437" s="87">
        <f>-IFERROR(VLOOKUP(C437,IDC!$A$25:$H$1532,8,0),0)</f>
        <v>-1.59</v>
      </c>
      <c r="M437" s="122">
        <f t="shared" si="62"/>
        <v>265</v>
      </c>
      <c r="N437"/>
      <c r="P437" s="35">
        <f t="shared" si="63"/>
        <v>-265</v>
      </c>
      <c r="Q437" s="66">
        <f t="shared" si="64"/>
        <v>0</v>
      </c>
    </row>
    <row r="438" spans="1:17" hidden="1">
      <c r="A438" s="1" t="s">
        <v>488</v>
      </c>
      <c r="B438" s="1" t="s">
        <v>15</v>
      </c>
      <c r="C438" s="91">
        <v>125167691185</v>
      </c>
      <c r="D438" s="3">
        <v>14359.44</v>
      </c>
      <c r="E438" s="3">
        <v>8352231.0700000003</v>
      </c>
      <c r="F438" s="35" t="s">
        <v>2750</v>
      </c>
      <c r="G438"/>
      <c r="H438"/>
      <c r="I438" s="27">
        <f>-IFERROR(VLOOKUP(C438,SIRCUPA!$A$21:$H$155,8,0),0)</f>
        <v>0</v>
      </c>
      <c r="J438" s="88">
        <f>-IFERROR(VLOOKUP(C438,SIRTAC!$A$16:$H$1288,8,0),0)</f>
        <v>-152</v>
      </c>
      <c r="K438" s="88">
        <f>-IFERROR(VLOOKUP(C438,Gastos!$A$9:$J$1281,10,0),0)</f>
        <v>-597.36</v>
      </c>
      <c r="L438" s="87">
        <f>-IFERROR(VLOOKUP(C438,IDC!$A$25:$H$1532,8,0),0)</f>
        <v>-91.2</v>
      </c>
      <c r="M438" s="122">
        <f t="shared" si="62"/>
        <v>15200.000000000002</v>
      </c>
      <c r="N438"/>
      <c r="P438" s="35">
        <f t="shared" si="63"/>
        <v>-15200</v>
      </c>
      <c r="Q438" s="66">
        <f t="shared" si="64"/>
        <v>0</v>
      </c>
    </row>
    <row r="439" spans="1:17" hidden="1">
      <c r="A439" s="1" t="s">
        <v>488</v>
      </c>
      <c r="B439" s="1" t="s">
        <v>15</v>
      </c>
      <c r="C439" s="91">
        <v>125168194775</v>
      </c>
      <c r="D439" s="3">
        <v>14419.64</v>
      </c>
      <c r="E439" s="3">
        <v>8366650.71</v>
      </c>
      <c r="F439" s="35" t="s">
        <v>2750</v>
      </c>
      <c r="G439"/>
      <c r="H439"/>
      <c r="I439" s="27">
        <f>-IFERROR(VLOOKUP(C439,SIRCUPA!$A$21:$H$155,8,0),0)</f>
        <v>0</v>
      </c>
      <c r="J439" s="88">
        <f>-IFERROR(VLOOKUP(C439,SIRTAC!$A$16:$H$1288,8,0),0)</f>
        <v>-148</v>
      </c>
      <c r="K439" s="88">
        <f>-IFERROR(VLOOKUP(C439,Gastos!$A$9:$J$1281,10,0),0)</f>
        <v>-143.56</v>
      </c>
      <c r="L439" s="87">
        <f>-IFERROR(VLOOKUP(C439,IDC!$A$25:$H$1532,8,0),0)</f>
        <v>-88.8</v>
      </c>
      <c r="M439" s="122">
        <f t="shared" si="62"/>
        <v>14799.999999999998</v>
      </c>
      <c r="N439"/>
      <c r="P439" s="35">
        <f t="shared" si="63"/>
        <v>-14800</v>
      </c>
      <c r="Q439" s="66">
        <f t="shared" si="64"/>
        <v>0</v>
      </c>
    </row>
    <row r="440" spans="1:17" hidden="1">
      <c r="A440" s="1" t="s">
        <v>488</v>
      </c>
      <c r="B440" s="1" t="s">
        <v>15</v>
      </c>
      <c r="C440" s="91">
        <v>125719555728</v>
      </c>
      <c r="D440" s="3">
        <v>9742.99</v>
      </c>
      <c r="E440" s="3">
        <v>8376393.7000000002</v>
      </c>
      <c r="F440" s="35" t="s">
        <v>2750</v>
      </c>
      <c r="G440"/>
      <c r="H440"/>
      <c r="I440" s="27">
        <f>-IFERROR(VLOOKUP(C440,SIRCUPA!$A$21:$H$155,8,0),0)</f>
        <v>0</v>
      </c>
      <c r="J440" s="88">
        <f>-IFERROR(VLOOKUP(C440,SIRTAC!$A$16:$H$1288,8,0),0)</f>
        <v>-100</v>
      </c>
      <c r="K440" s="88">
        <f>-IFERROR(VLOOKUP(C440,Gastos!$A$9:$J$1281,10,0),0)</f>
        <v>-97</v>
      </c>
      <c r="L440" s="87">
        <f>-IFERROR(VLOOKUP(C440,IDC!$A$25:$H$1532,8,0),0)</f>
        <v>-60</v>
      </c>
      <c r="M440" s="122">
        <f t="shared" si="62"/>
        <v>9999.99</v>
      </c>
      <c r="N440"/>
      <c r="P440" s="35">
        <f t="shared" si="63"/>
        <v>-10000</v>
      </c>
      <c r="Q440" s="66">
        <f t="shared" si="64"/>
        <v>-1.0000000000218279E-2</v>
      </c>
    </row>
    <row r="441" spans="1:17" hidden="1">
      <c r="A441" s="1" t="s">
        <v>488</v>
      </c>
      <c r="B441" s="1" t="s">
        <v>15</v>
      </c>
      <c r="C441" s="91">
        <v>125721391454</v>
      </c>
      <c r="D441" s="3">
        <v>9548.14</v>
      </c>
      <c r="E441" s="3">
        <v>8385941.8399999999</v>
      </c>
      <c r="F441" s="35" t="s">
        <v>2750</v>
      </c>
      <c r="G441"/>
      <c r="H441"/>
      <c r="I441" s="27">
        <f>-IFERROR(VLOOKUP(C441,SIRCUPA!$A$21:$H$155,8,0),0)</f>
        <v>0</v>
      </c>
      <c r="J441" s="88">
        <f>-IFERROR(VLOOKUP(C441,SIRTAC!$A$16:$H$1288,8,0),0)</f>
        <v>-98</v>
      </c>
      <c r="K441" s="88">
        <f>-IFERROR(VLOOKUP(C441,Gastos!$A$9:$J$1281,10,0),0)</f>
        <v>-95.06</v>
      </c>
      <c r="L441" s="87">
        <f>-IFERROR(VLOOKUP(C441,IDC!$A$25:$H$1532,8,0),0)</f>
        <v>-58.8</v>
      </c>
      <c r="M441" s="122">
        <f t="shared" si="62"/>
        <v>9799.9999999999982</v>
      </c>
      <c r="N441"/>
      <c r="P441" s="35">
        <f t="shared" si="63"/>
        <v>-9800</v>
      </c>
      <c r="Q441" s="66">
        <f t="shared" si="64"/>
        <v>0</v>
      </c>
    </row>
    <row r="442" spans="1:17" s="59" customFormat="1" hidden="1">
      <c r="A442" s="35" t="s">
        <v>488</v>
      </c>
      <c r="B442" s="35" t="s">
        <v>15</v>
      </c>
      <c r="C442" s="91">
        <v>125173149657</v>
      </c>
      <c r="D442" s="3">
        <v>42186.22</v>
      </c>
      <c r="E442" s="3">
        <v>8314765.0599999996</v>
      </c>
      <c r="F442" s="35" t="s">
        <v>2750</v>
      </c>
      <c r="G442" s="35"/>
      <c r="H442" s="35"/>
      <c r="I442" s="27">
        <f>-IFERROR(VLOOKUP(C442,SIRCUPA!$A$21:$H$155,8,0),0)</f>
        <v>0</v>
      </c>
      <c r="J442" s="88">
        <f>-IFERROR(VLOOKUP(C442,SIRTAC!$A$16:$H$1288,8,0),0)</f>
        <v>-432.99</v>
      </c>
      <c r="K442" s="88">
        <f>-IFERROR(VLOOKUP(C442,Gastos!$A$9:$J$1281,10,0),0)</f>
        <v>-420</v>
      </c>
      <c r="L442" s="87">
        <f>-IFERROR(VLOOKUP(C442,IDC!$A$25:$H$1532,8,0),0)</f>
        <v>-259.79000000000002</v>
      </c>
      <c r="M442" s="122">
        <f t="shared" si="62"/>
        <v>43299</v>
      </c>
      <c r="N442" s="35"/>
      <c r="O442" s="35"/>
      <c r="P442" s="35">
        <f t="shared" si="63"/>
        <v>-43298.333333333336</v>
      </c>
      <c r="Q442" s="66">
        <f t="shared" si="64"/>
        <v>0.66666666666424135</v>
      </c>
    </row>
    <row r="443" spans="1:17" s="59" customFormat="1" hidden="1">
      <c r="A443" s="35" t="s">
        <v>488</v>
      </c>
      <c r="B443" s="35" t="s">
        <v>15</v>
      </c>
      <c r="C443" s="91">
        <v>125174559711</v>
      </c>
      <c r="D443" s="3">
        <v>28644.42</v>
      </c>
      <c r="E443" s="3">
        <v>8343409.4800000004</v>
      </c>
      <c r="F443" s="35" t="s">
        <v>2750</v>
      </c>
      <c r="G443" s="35"/>
      <c r="H443" s="35"/>
      <c r="I443" s="27">
        <f>-IFERROR(VLOOKUP(C443,SIRCUPA!$A$21:$H$155,8,0),0)</f>
        <v>0</v>
      </c>
      <c r="J443" s="88">
        <f>-IFERROR(VLOOKUP(C443,SIRTAC!$A$16:$H$1288,8,0),0)</f>
        <v>-294</v>
      </c>
      <c r="K443" s="88">
        <f>-IFERROR(VLOOKUP(C443,Gastos!$A$9:$J$1281,10,0),0)</f>
        <v>-285.18</v>
      </c>
      <c r="L443" s="87">
        <f>-IFERROR(VLOOKUP(C443,IDC!$A$25:$H$1532,8,0),0)</f>
        <v>-176.4</v>
      </c>
      <c r="M443" s="122">
        <f t="shared" si="62"/>
        <v>29400</v>
      </c>
      <c r="N443" s="35"/>
      <c r="O443" s="35"/>
      <c r="P443" s="35">
        <f t="shared" si="63"/>
        <v>-29400</v>
      </c>
      <c r="Q443" s="66">
        <f t="shared" si="64"/>
        <v>0</v>
      </c>
    </row>
    <row r="444" spans="1:17" hidden="1">
      <c r="A444" s="1" t="s">
        <v>488</v>
      </c>
      <c r="B444" s="1" t="s">
        <v>505</v>
      </c>
      <c r="C444" s="91">
        <v>125174633141</v>
      </c>
      <c r="D444" s="3">
        <v>1439.13</v>
      </c>
      <c r="E444" s="3">
        <v>8344848.6100000003</v>
      </c>
      <c r="F444" s="2" t="s">
        <v>2750</v>
      </c>
      <c r="G444"/>
      <c r="H444"/>
      <c r="I444" s="27">
        <f>-IFERROR(VLOOKUP(C444,SIRCUPA!$A$21:$H$155,8,0),0)</f>
        <v>-22.05</v>
      </c>
      <c r="J444" s="88">
        <f>-IFERROR(VLOOKUP(C444,SIRTAC!$A$16:$H$1288,8,0),0)</f>
        <v>0</v>
      </c>
      <c r="K444" s="88">
        <f>-IFERROR(VLOOKUP(C444,Gastos!$A$9:$J$1281,10,0),0)</f>
        <v>0</v>
      </c>
      <c r="L444" s="87">
        <f>-IFERROR(VLOOKUP(C444,IDC!$A$25:$H$1532,8,0),0)</f>
        <v>-8.82</v>
      </c>
      <c r="M444" s="122">
        <f t="shared" si="62"/>
        <v>1470</v>
      </c>
      <c r="N444"/>
      <c r="P444" s="35">
        <f t="shared" si="63"/>
        <v>-1470</v>
      </c>
      <c r="Q444" s="66">
        <f t="shared" si="64"/>
        <v>0</v>
      </c>
    </row>
    <row r="445" spans="1:17" hidden="1">
      <c r="A445" s="1" t="s">
        <v>488</v>
      </c>
      <c r="B445" s="1" t="s">
        <v>15</v>
      </c>
      <c r="C445" s="91">
        <v>125723665590</v>
      </c>
      <c r="D445" s="3">
        <v>33158.97</v>
      </c>
      <c r="E445" s="3">
        <v>8378007.5800000001</v>
      </c>
      <c r="F445" s="35" t="s">
        <v>2750</v>
      </c>
      <c r="G445"/>
      <c r="H445"/>
      <c r="I445" s="27">
        <f>-IFERROR(VLOOKUP(C445,SIRCUPA!$A$21:$H$155,8,0),0)</f>
        <v>0</v>
      </c>
      <c r="J445" s="88">
        <f>-IFERROR(VLOOKUP(C445,SIRTAC!$A$16:$H$1288,8,0),0)</f>
        <v>-351</v>
      </c>
      <c r="K445" s="88">
        <f>-IFERROR(VLOOKUP(C445,Gastos!$A$9:$J$1281,10,0),0)</f>
        <v>-1379.43</v>
      </c>
      <c r="L445" s="87">
        <f>-IFERROR(VLOOKUP(C445,IDC!$A$25:$H$1532,8,0),0)</f>
        <v>-210.6</v>
      </c>
      <c r="M445" s="122">
        <f t="shared" si="62"/>
        <v>35100</v>
      </c>
      <c r="N445"/>
      <c r="P445" s="35">
        <f t="shared" si="63"/>
        <v>-35100</v>
      </c>
      <c r="Q445" s="66">
        <f t="shared" si="64"/>
        <v>0</v>
      </c>
    </row>
    <row r="446" spans="1:17" hidden="1">
      <c r="A446" s="1" t="s">
        <v>488</v>
      </c>
      <c r="B446" s="1" t="s">
        <v>15</v>
      </c>
      <c r="C446" s="91">
        <v>125174877007</v>
      </c>
      <c r="D446" s="3">
        <v>50027.19</v>
      </c>
      <c r="E446" s="3">
        <v>8428034.7699999996</v>
      </c>
      <c r="F446" s="35" t="s">
        <v>2750</v>
      </c>
      <c r="G446"/>
      <c r="H446"/>
      <c r="I446" s="27">
        <f>-IFERROR(VLOOKUP(C446,SIRCUPA!$A$21:$H$155,8,0),0)</f>
        <v>0</v>
      </c>
      <c r="J446" s="88">
        <f>-IFERROR(VLOOKUP(C446,SIRTAC!$A$16:$H$1288,8,0),0)</f>
        <v>-516.97</v>
      </c>
      <c r="K446" s="88">
        <f>-IFERROR(VLOOKUP(C446,Gastos!$A$9:$J$1281,10,0),0)</f>
        <v>-842.66</v>
      </c>
      <c r="L446" s="87">
        <f>-IFERROR(VLOOKUP(C446,IDC!$A$25:$H$1532,8,0),0)</f>
        <v>-310.18</v>
      </c>
      <c r="M446" s="122">
        <f t="shared" si="62"/>
        <v>51697.000000000007</v>
      </c>
      <c r="N446"/>
      <c r="P446" s="35">
        <f t="shared" si="63"/>
        <v>-51696.666666666664</v>
      </c>
      <c r="Q446" s="66">
        <f t="shared" si="64"/>
        <v>0.33333333334303461</v>
      </c>
    </row>
    <row r="447" spans="1:17" hidden="1">
      <c r="A447" s="1" t="s">
        <v>488</v>
      </c>
      <c r="B447" s="1" t="s">
        <v>15</v>
      </c>
      <c r="C447" s="91">
        <v>125726480542</v>
      </c>
      <c r="D447" s="3">
        <v>4629.03</v>
      </c>
      <c r="E447" s="3">
        <v>8432663.8000000007</v>
      </c>
      <c r="F447" s="35" t="s">
        <v>2750</v>
      </c>
      <c r="G447"/>
      <c r="H447"/>
      <c r="I447" s="27">
        <f>-IFERROR(VLOOKUP(C447,SIRCUPA!$A$21:$H$155,8,0),0)</f>
        <v>0</v>
      </c>
      <c r="J447" s="88">
        <f>-IFERROR(VLOOKUP(C447,SIRTAC!$A$16:$H$1288,8,0),0)</f>
        <v>-49</v>
      </c>
      <c r="K447" s="88">
        <f>-IFERROR(VLOOKUP(C447,Gastos!$A$9:$J$1281,10,0),0)</f>
        <v>-192.57</v>
      </c>
      <c r="L447" s="87">
        <f>-IFERROR(VLOOKUP(C447,IDC!$A$25:$H$1532,8,0),0)</f>
        <v>-29.4</v>
      </c>
      <c r="M447" s="122">
        <f t="shared" si="62"/>
        <v>4899.9999999999991</v>
      </c>
      <c r="N447"/>
      <c r="P447" s="35">
        <f t="shared" si="63"/>
        <v>-4900</v>
      </c>
      <c r="Q447" s="66">
        <f t="shared" si="64"/>
        <v>0</v>
      </c>
    </row>
    <row r="448" spans="1:17" hidden="1">
      <c r="A448" s="1" t="s">
        <v>488</v>
      </c>
      <c r="B448" s="1" t="s">
        <v>15</v>
      </c>
      <c r="C448" s="91">
        <v>125726680184</v>
      </c>
      <c r="D448" s="3">
        <v>28155.32</v>
      </c>
      <c r="E448" s="3">
        <v>8460819.1199999992</v>
      </c>
      <c r="F448" s="35" t="s">
        <v>2750</v>
      </c>
      <c r="G448"/>
      <c r="H448"/>
      <c r="I448" s="27">
        <f>-IFERROR(VLOOKUP(C448,SIRCUPA!$A$21:$H$155,8,0),0)</f>
        <v>0</v>
      </c>
      <c r="J448" s="88">
        <f>-IFERROR(VLOOKUP(C448,SIRTAC!$A$16:$H$1288,8,0),0)</f>
        <v>-288.98</v>
      </c>
      <c r="K448" s="88">
        <f>-IFERROR(VLOOKUP(C448,Gastos!$A$9:$J$1281,10,0),0)</f>
        <v>-280.31</v>
      </c>
      <c r="L448" s="87">
        <f>-IFERROR(VLOOKUP(C448,IDC!$A$25:$H$1532,8,0),0)</f>
        <v>-173.39</v>
      </c>
      <c r="M448" s="122">
        <f t="shared" si="62"/>
        <v>28898</v>
      </c>
      <c r="N448"/>
      <c r="P448" s="35">
        <f t="shared" si="63"/>
        <v>-28898.333333333332</v>
      </c>
      <c r="Q448" s="66">
        <f t="shared" si="64"/>
        <v>-0.33333333333212067</v>
      </c>
    </row>
    <row r="449" spans="1:18" hidden="1">
      <c r="A449" s="1" t="s">
        <v>488</v>
      </c>
      <c r="B449" s="1" t="s">
        <v>511</v>
      </c>
      <c r="C449" s="91">
        <v>125177663781</v>
      </c>
      <c r="D449" s="3">
        <v>1413.68</v>
      </c>
      <c r="E449" s="3">
        <v>8462232.8000000007</v>
      </c>
      <c r="F449" s="2" t="s">
        <v>2750</v>
      </c>
      <c r="G449"/>
      <c r="H449"/>
      <c r="I449" s="27">
        <f>-IFERROR(VLOOKUP(C449,SIRCUPA!$A$21:$H$155,8,0),0)</f>
        <v>-21.66</v>
      </c>
      <c r="J449" s="88">
        <f>-IFERROR(VLOOKUP(C449,SIRTAC!$A$16:$H$1288,8,0),0)</f>
        <v>0</v>
      </c>
      <c r="K449" s="88">
        <f>-IFERROR(VLOOKUP(C449,Gastos!$A$9:$J$1281,10,0),0)</f>
        <v>0</v>
      </c>
      <c r="L449" s="87">
        <f>-IFERROR(VLOOKUP(C449,IDC!$A$25:$H$1532,8,0),0)</f>
        <v>-8.66</v>
      </c>
      <c r="M449" s="122">
        <f t="shared" si="62"/>
        <v>1444.0000000000002</v>
      </c>
      <c r="N449"/>
      <c r="P449" s="35">
        <f t="shared" si="63"/>
        <v>-1443.3333333333333</v>
      </c>
      <c r="Q449" s="66">
        <f t="shared" si="64"/>
        <v>0.66666666666696983</v>
      </c>
    </row>
    <row r="450" spans="1:18" hidden="1">
      <c r="A450" s="1" t="s">
        <v>488</v>
      </c>
      <c r="B450" s="1" t="s">
        <v>15</v>
      </c>
      <c r="C450" s="91">
        <v>125177806895</v>
      </c>
      <c r="D450" s="3">
        <v>35756.81</v>
      </c>
      <c r="E450" s="3">
        <v>8497989.6099999994</v>
      </c>
      <c r="F450" s="35" t="s">
        <v>2750</v>
      </c>
      <c r="G450"/>
      <c r="H450"/>
      <c r="I450" s="27">
        <f>-IFERROR(VLOOKUP(C450,SIRCUPA!$A$21:$H$155,8,0),0)</f>
        <v>0</v>
      </c>
      <c r="J450" s="88">
        <f>-IFERROR(VLOOKUP(C450,SIRTAC!$A$16:$H$1288,8,0),0)</f>
        <v>-367</v>
      </c>
      <c r="K450" s="88">
        <f>-IFERROR(VLOOKUP(C450,Gastos!$A$9:$J$1281,10,0),0)</f>
        <v>-355.99</v>
      </c>
      <c r="L450" s="87">
        <f>-IFERROR(VLOOKUP(C450,IDC!$A$25:$H$1532,8,0),0)</f>
        <v>-220.2</v>
      </c>
      <c r="M450" s="122">
        <f t="shared" si="62"/>
        <v>36699.999999999993</v>
      </c>
      <c r="N450"/>
      <c r="P450" s="35">
        <f t="shared" si="63"/>
        <v>-36700</v>
      </c>
      <c r="Q450" s="66">
        <f t="shared" si="64"/>
        <v>0</v>
      </c>
    </row>
    <row r="451" spans="1:18" hidden="1">
      <c r="A451" s="1" t="s">
        <v>488</v>
      </c>
      <c r="B451" s="1" t="s">
        <v>15</v>
      </c>
      <c r="C451" s="91">
        <v>125178836433</v>
      </c>
      <c r="D451" s="3">
        <v>29033.17</v>
      </c>
      <c r="E451" s="3">
        <v>8527022.7799999993</v>
      </c>
      <c r="F451" s="35" t="s">
        <v>2750</v>
      </c>
      <c r="G451"/>
      <c r="H451"/>
      <c r="I451" s="27">
        <f>-IFERROR(VLOOKUP(C451,SIRCUPA!$A$21:$H$155,8,0),0)</f>
        <v>0</v>
      </c>
      <c r="J451" s="88">
        <f>-IFERROR(VLOOKUP(C451,SIRTAC!$A$16:$H$1288,8,0),0)</f>
        <v>-297.99</v>
      </c>
      <c r="K451" s="88">
        <f>-IFERROR(VLOOKUP(C451,Gastos!$A$9:$J$1281,10,0),0)</f>
        <v>-289.05</v>
      </c>
      <c r="L451" s="87">
        <f>-IFERROR(VLOOKUP(C451,IDC!$A$25:$H$1532,8,0),0)</f>
        <v>-178.79</v>
      </c>
      <c r="M451" s="122">
        <f t="shared" si="62"/>
        <v>29799</v>
      </c>
      <c r="N451"/>
      <c r="P451" s="35">
        <f t="shared" si="63"/>
        <v>-29798.333333333332</v>
      </c>
      <c r="Q451" s="66">
        <f t="shared" si="64"/>
        <v>0.66666666666787933</v>
      </c>
    </row>
    <row r="452" spans="1:18" hidden="1">
      <c r="A452" s="1" t="s">
        <v>488</v>
      </c>
      <c r="B452" s="1" t="s">
        <v>15</v>
      </c>
      <c r="C452" s="91">
        <v>125727987474</v>
      </c>
      <c r="D452" s="3">
        <v>1851.17</v>
      </c>
      <c r="E452" s="3">
        <v>8528873.9499999993</v>
      </c>
      <c r="F452" s="35" t="s">
        <v>2750</v>
      </c>
      <c r="G452"/>
      <c r="H452"/>
      <c r="I452" s="27">
        <f>-IFERROR(VLOOKUP(C452,SIRCUPA!$A$21:$H$155,8,0),0)</f>
        <v>0</v>
      </c>
      <c r="J452" s="88">
        <f>-IFERROR(VLOOKUP(C452,SIRTAC!$A$16:$H$1288,8,0),0)</f>
        <v>-19</v>
      </c>
      <c r="K452" s="88">
        <f>-IFERROR(VLOOKUP(C452,Gastos!$A$9:$J$1281,10,0),0)</f>
        <v>-18.43</v>
      </c>
      <c r="L452" s="87">
        <f>-IFERROR(VLOOKUP(C452,IDC!$A$25:$H$1532,8,0),0)</f>
        <v>-11.4</v>
      </c>
      <c r="M452" s="122">
        <f t="shared" si="62"/>
        <v>1900.0000000000002</v>
      </c>
      <c r="N452"/>
      <c r="P452" s="35">
        <f t="shared" si="63"/>
        <v>-1900</v>
      </c>
      <c r="Q452" s="66">
        <f t="shared" si="64"/>
        <v>0</v>
      </c>
    </row>
    <row r="453" spans="1:18" hidden="1">
      <c r="A453" s="1" t="s">
        <v>488</v>
      </c>
      <c r="B453" s="1" t="s">
        <v>15</v>
      </c>
      <c r="C453" s="91">
        <v>125728029628</v>
      </c>
      <c r="D453" s="3">
        <v>35853.269999999997</v>
      </c>
      <c r="E453" s="3">
        <v>8564727.2200000007</v>
      </c>
      <c r="F453" s="35" t="s">
        <v>2750</v>
      </c>
      <c r="G453"/>
      <c r="H453"/>
      <c r="I453" s="27">
        <f>-IFERROR(VLOOKUP(C453,SIRCUPA!$A$21:$H$155,8,0),0)</f>
        <v>0</v>
      </c>
      <c r="J453" s="88">
        <f>-IFERROR(VLOOKUP(C453,SIRTAC!$A$16:$H$1288,8,0),0)</f>
        <v>-367.99</v>
      </c>
      <c r="K453" s="88">
        <f>-IFERROR(VLOOKUP(C453,Gastos!$A$9:$J$1281,10,0),0)</f>
        <v>-356.95</v>
      </c>
      <c r="L453" s="87">
        <f>-IFERROR(VLOOKUP(C453,IDC!$A$25:$H$1532,8,0),0)</f>
        <v>-220.79</v>
      </c>
      <c r="M453" s="122">
        <f t="shared" si="62"/>
        <v>36798.999999999993</v>
      </c>
      <c r="N453"/>
      <c r="P453" s="35">
        <f t="shared" si="63"/>
        <v>-36798.333333333328</v>
      </c>
      <c r="Q453" s="66">
        <f t="shared" si="64"/>
        <v>0.66666666666424135</v>
      </c>
    </row>
    <row r="454" spans="1:18" hidden="1">
      <c r="A454" s="1" t="s">
        <v>488</v>
      </c>
      <c r="B454" s="1" t="s">
        <v>15</v>
      </c>
      <c r="C454" s="91">
        <v>125728164766</v>
      </c>
      <c r="D454" s="3">
        <v>19484.05</v>
      </c>
      <c r="E454" s="3">
        <v>8584211.2699999996</v>
      </c>
      <c r="F454" s="35" t="s">
        <v>2750</v>
      </c>
      <c r="G454"/>
      <c r="H454"/>
      <c r="I454" s="27">
        <f>-IFERROR(VLOOKUP(C454,SIRCUPA!$A$21:$H$155,8,0),0)</f>
        <v>0</v>
      </c>
      <c r="J454" s="88">
        <f>-IFERROR(VLOOKUP(C454,SIRTAC!$A$16:$H$1288,8,0),0)</f>
        <v>-199.98</v>
      </c>
      <c r="K454" s="88">
        <f>-IFERROR(VLOOKUP(C454,Gastos!$A$9:$J$1281,10,0),0)</f>
        <v>-193.98</v>
      </c>
      <c r="L454" s="87">
        <f>-IFERROR(VLOOKUP(C454,IDC!$A$25:$H$1532,8,0),0)</f>
        <v>-119.99</v>
      </c>
      <c r="M454" s="122">
        <f t="shared" si="62"/>
        <v>19998</v>
      </c>
      <c r="N454"/>
      <c r="P454" s="35">
        <f t="shared" si="63"/>
        <v>-19998.333333333332</v>
      </c>
      <c r="Q454" s="66">
        <f t="shared" si="64"/>
        <v>-0.33333333333212067</v>
      </c>
    </row>
    <row r="455" spans="1:18" hidden="1">
      <c r="A455" s="1" t="s">
        <v>488</v>
      </c>
      <c r="B455" s="1" t="s">
        <v>15</v>
      </c>
      <c r="C455" s="91">
        <v>125728223328</v>
      </c>
      <c r="D455" s="3">
        <v>39845.949999999997</v>
      </c>
      <c r="E455" s="3">
        <v>8624057.2200000007</v>
      </c>
      <c r="F455" s="35" t="s">
        <v>2750</v>
      </c>
      <c r="G455"/>
      <c r="H455"/>
      <c r="I455" s="27">
        <f>-IFERROR(VLOOKUP(C455,SIRCUPA!$A$21:$H$155,8,0),0)</f>
        <v>0</v>
      </c>
      <c r="J455" s="88">
        <f>-IFERROR(VLOOKUP(C455,SIRTAC!$A$16:$H$1288,8,0),0)</f>
        <v>-408.97</v>
      </c>
      <c r="K455" s="88">
        <f>-IFERROR(VLOOKUP(C455,Gastos!$A$9:$J$1281,10,0),0)</f>
        <v>-396.7</v>
      </c>
      <c r="L455" s="87">
        <f>-IFERROR(VLOOKUP(C455,IDC!$A$25:$H$1532,8,0),0)</f>
        <v>-245.38</v>
      </c>
      <c r="M455" s="122">
        <f t="shared" si="62"/>
        <v>40896.999999999993</v>
      </c>
      <c r="N455"/>
      <c r="P455" s="35">
        <f t="shared" si="63"/>
        <v>-40896.666666666664</v>
      </c>
      <c r="Q455" s="66">
        <f t="shared" si="64"/>
        <v>0.33333333332848269</v>
      </c>
    </row>
    <row r="456" spans="1:18" hidden="1">
      <c r="A456" s="1" t="s">
        <v>488</v>
      </c>
      <c r="B456" s="1" t="s">
        <v>519</v>
      </c>
      <c r="C456" s="91">
        <v>125728255084</v>
      </c>
      <c r="D456" s="3">
        <v>2001.08</v>
      </c>
      <c r="E456" s="3">
        <v>8626058.3000000007</v>
      </c>
      <c r="F456" s="2" t="s">
        <v>2750</v>
      </c>
      <c r="G456"/>
      <c r="H456"/>
      <c r="I456" s="27">
        <f>-IFERROR(VLOOKUP(C456,SIRCUPA!$A$21:$H$155,8,0),0)</f>
        <v>-30.66</v>
      </c>
      <c r="J456" s="88">
        <f>-IFERROR(VLOOKUP(C456,SIRTAC!$A$16:$H$1288,8,0),0)</f>
        <v>0</v>
      </c>
      <c r="K456" s="88">
        <f>-IFERROR(VLOOKUP(C456,Gastos!$A$9:$J$1281,10,0),0)</f>
        <v>0</v>
      </c>
      <c r="L456" s="87">
        <f>-IFERROR(VLOOKUP(C456,IDC!$A$25:$H$1532,8,0),0)</f>
        <v>-12.26</v>
      </c>
      <c r="M456" s="122">
        <f t="shared" si="62"/>
        <v>2044</v>
      </c>
      <c r="N456"/>
      <c r="P456" s="35">
        <f t="shared" si="63"/>
        <v>-2043.3333333333333</v>
      </c>
      <c r="Q456" s="66">
        <f t="shared" si="64"/>
        <v>0.66666666666674246</v>
      </c>
    </row>
    <row r="457" spans="1:18" hidden="1">
      <c r="A457" s="1" t="s">
        <v>488</v>
      </c>
      <c r="B457" s="1" t="s">
        <v>15</v>
      </c>
      <c r="C457" s="91">
        <v>125179482645</v>
      </c>
      <c r="D457" s="3">
        <v>59140.01</v>
      </c>
      <c r="E457" s="3">
        <v>8685198.3100000005</v>
      </c>
      <c r="F457" s="35" t="s">
        <v>2750</v>
      </c>
      <c r="G457"/>
      <c r="H457"/>
      <c r="I457" s="27">
        <f>-IFERROR(VLOOKUP(C457,SIRCUPA!$A$21:$H$155,8,0),0)</f>
        <v>0</v>
      </c>
      <c r="J457" s="88">
        <f>-IFERROR(VLOOKUP(C457,SIRTAC!$A$16:$H$1288,8,0),0)</f>
        <v>-607</v>
      </c>
      <c r="K457" s="88">
        <f>-IFERROR(VLOOKUP(C457,Gastos!$A$9:$J$1281,10,0),0)</f>
        <v>-588.79</v>
      </c>
      <c r="L457" s="87">
        <f>-IFERROR(VLOOKUP(C457,IDC!$A$25:$H$1532,8,0),0)</f>
        <v>-364.2</v>
      </c>
      <c r="M457" s="122">
        <f t="shared" si="62"/>
        <v>60700</v>
      </c>
      <c r="N457"/>
      <c r="P457" s="35">
        <f t="shared" si="63"/>
        <v>-60700</v>
      </c>
      <c r="Q457" s="66">
        <f t="shared" si="64"/>
        <v>0</v>
      </c>
    </row>
    <row r="458" spans="1:18" hidden="1">
      <c r="A458" s="1" t="s">
        <v>488</v>
      </c>
      <c r="B458" s="1" t="s">
        <v>15</v>
      </c>
      <c r="C458" s="91">
        <v>125728703810</v>
      </c>
      <c r="D458" s="3">
        <v>38968.1</v>
      </c>
      <c r="E458" s="3">
        <v>8724166.4100000001</v>
      </c>
      <c r="F458" s="35" t="s">
        <v>2750</v>
      </c>
      <c r="G458"/>
      <c r="H458"/>
      <c r="I458" s="27">
        <f>-IFERROR(VLOOKUP(C458,SIRCUPA!$A$21:$H$155,8,0),0)</f>
        <v>0</v>
      </c>
      <c r="J458" s="88">
        <f>-IFERROR(VLOOKUP(C458,SIRTAC!$A$16:$H$1288,8,0),0)</f>
        <v>-399.96</v>
      </c>
      <c r="K458" s="88">
        <f>-IFERROR(VLOOKUP(C458,Gastos!$A$9:$J$1281,10,0),0)</f>
        <v>-387.96</v>
      </c>
      <c r="L458" s="87">
        <f>-IFERROR(VLOOKUP(C458,IDC!$A$25:$H$1532,8,0),0)</f>
        <v>-239.98</v>
      </c>
      <c r="M458" s="122">
        <f t="shared" si="62"/>
        <v>39996</v>
      </c>
      <c r="N458"/>
      <c r="P458" s="35">
        <f t="shared" si="63"/>
        <v>-39996.666666666664</v>
      </c>
      <c r="Q458" s="66">
        <f t="shared" si="64"/>
        <v>-0.66666666666424135</v>
      </c>
    </row>
    <row r="459" spans="1:18" hidden="1">
      <c r="A459" s="1" t="s">
        <v>488</v>
      </c>
      <c r="B459" s="1" t="s">
        <v>15</v>
      </c>
      <c r="C459" s="91">
        <v>125729220164</v>
      </c>
      <c r="D459" s="3">
        <v>27572.69</v>
      </c>
      <c r="E459" s="3">
        <v>8751739.0999999996</v>
      </c>
      <c r="F459" s="35" t="s">
        <v>2750</v>
      </c>
      <c r="G459"/>
      <c r="H459"/>
      <c r="I459" s="27">
        <f>-IFERROR(VLOOKUP(C459,SIRCUPA!$A$21:$H$155,8,0),0)</f>
        <v>0</v>
      </c>
      <c r="J459" s="88">
        <f>-IFERROR(VLOOKUP(C459,SIRTAC!$A$16:$H$1288,8,0),0)</f>
        <v>-283</v>
      </c>
      <c r="K459" s="88">
        <f>-IFERROR(VLOOKUP(C459,Gastos!$A$9:$J$1281,10,0),0)</f>
        <v>-274.51</v>
      </c>
      <c r="L459" s="87">
        <f>-IFERROR(VLOOKUP(C459,IDC!$A$25:$H$1532,8,0),0)</f>
        <v>-169.8</v>
      </c>
      <c r="M459" s="122">
        <f t="shared" si="62"/>
        <v>28299.999999999996</v>
      </c>
      <c r="N459"/>
      <c r="P459" s="35">
        <f t="shared" si="63"/>
        <v>-28300</v>
      </c>
      <c r="Q459" s="66">
        <f t="shared" si="64"/>
        <v>0</v>
      </c>
    </row>
    <row r="460" spans="1:18" hidden="1">
      <c r="A460" s="1" t="s">
        <v>488</v>
      </c>
      <c r="B460" s="1" t="s">
        <v>524</v>
      </c>
      <c r="C460" s="91">
        <v>125729182866</v>
      </c>
      <c r="D460" s="3">
        <v>1385.28</v>
      </c>
      <c r="E460" s="3">
        <v>8753124.3800000008</v>
      </c>
      <c r="F460" s="2" t="s">
        <v>2750</v>
      </c>
      <c r="G460"/>
      <c r="H460"/>
      <c r="I460" s="27">
        <f>-IFERROR(VLOOKUP(C460,SIRCUPA!$A$21:$H$155,8,0),0)</f>
        <v>-21.23</v>
      </c>
      <c r="J460" s="88">
        <f>-IFERROR(VLOOKUP(C460,SIRTAC!$A$16:$H$1288,8,0),0)</f>
        <v>0</v>
      </c>
      <c r="K460" s="88">
        <f>-IFERROR(VLOOKUP(C460,Gastos!$A$9:$J$1281,10,0),0)</f>
        <v>0</v>
      </c>
      <c r="L460" s="87">
        <f>-IFERROR(VLOOKUP(C460,IDC!$A$25:$H$1532,8,0),0)</f>
        <v>-8.49</v>
      </c>
      <c r="M460" s="122">
        <f t="shared" si="62"/>
        <v>1415</v>
      </c>
      <c r="N460"/>
      <c r="P460" s="35">
        <f t="shared" si="63"/>
        <v>-1415</v>
      </c>
      <c r="Q460" s="66">
        <f t="shared" si="64"/>
        <v>0</v>
      </c>
    </row>
    <row r="461" spans="1:18" hidden="1">
      <c r="A461" s="1" t="s">
        <v>488</v>
      </c>
      <c r="B461" s="1" t="s">
        <v>15</v>
      </c>
      <c r="C461" s="91">
        <v>125729208924</v>
      </c>
      <c r="D461" s="3">
        <v>42794.91</v>
      </c>
      <c r="E461" s="3">
        <v>8795919.2899999991</v>
      </c>
      <c r="F461" s="35" t="s">
        <v>2750</v>
      </c>
      <c r="G461"/>
      <c r="H461"/>
      <c r="I461" s="27">
        <f>-IFERROR(VLOOKUP(C461,SIRCUPA!$A$21:$H$155,8,0),0)</f>
        <v>0</v>
      </c>
      <c r="J461" s="88">
        <f>-IFERROR(VLOOKUP(C461,SIRTAC!$A$16:$H$1288,8,0),0)</f>
        <v>-453</v>
      </c>
      <c r="K461" s="88">
        <f>-IFERROR(VLOOKUP(C461,Gastos!$A$9:$J$1281,10,0),0)</f>
        <v>-1780.29</v>
      </c>
      <c r="L461" s="87">
        <f>-IFERROR(VLOOKUP(C461,IDC!$A$25:$H$1532,8,0),0)</f>
        <v>-271.8</v>
      </c>
      <c r="M461" s="122">
        <f t="shared" si="62"/>
        <v>45300.000000000007</v>
      </c>
      <c r="N461"/>
      <c r="P461" s="35">
        <f t="shared" si="63"/>
        <v>-45300</v>
      </c>
      <c r="Q461" s="66">
        <f t="shared" si="64"/>
        <v>0</v>
      </c>
    </row>
    <row r="462" spans="1:18" hidden="1">
      <c r="A462" s="1" t="s">
        <v>488</v>
      </c>
      <c r="B462" s="1" t="s">
        <v>15</v>
      </c>
      <c r="C462" s="91">
        <v>125729858142</v>
      </c>
      <c r="D462" s="3">
        <v>40628.31</v>
      </c>
      <c r="E462" s="3">
        <v>8836547.5999999996</v>
      </c>
      <c r="F462" s="35" t="s">
        <v>2750</v>
      </c>
      <c r="G462"/>
      <c r="H462"/>
      <c r="I462" s="27">
        <f>-IFERROR(VLOOKUP(C462,SIRCUPA!$A$21:$H$155,8,0),0)</f>
        <v>0</v>
      </c>
      <c r="J462" s="88">
        <f>-IFERROR(VLOOKUP(C462,SIRTAC!$A$16:$H$1288,8,0),0)</f>
        <v>-417</v>
      </c>
      <c r="K462" s="88">
        <f>-IFERROR(VLOOKUP(C462,Gastos!$A$9:$J$1281,10,0),0)</f>
        <v>-404.49</v>
      </c>
      <c r="L462" s="87">
        <f>-IFERROR(VLOOKUP(C462,IDC!$A$25:$H$1532,8,0),0)</f>
        <v>-250.2</v>
      </c>
      <c r="M462" s="122">
        <f t="shared" si="62"/>
        <v>41699.999999999993</v>
      </c>
      <c r="N462"/>
      <c r="P462" s="35">
        <f t="shared" si="63"/>
        <v>-41700</v>
      </c>
      <c r="Q462" s="66">
        <f t="shared" si="64"/>
        <v>0</v>
      </c>
    </row>
    <row r="463" spans="1:18" hidden="1">
      <c r="A463" s="1" t="s">
        <v>488</v>
      </c>
      <c r="B463" s="1" t="s">
        <v>15</v>
      </c>
      <c r="C463" s="91">
        <v>125730284306</v>
      </c>
      <c r="D463" s="3">
        <v>50563.25</v>
      </c>
      <c r="E463" s="3">
        <v>8887110.8499999996</v>
      </c>
      <c r="F463" s="35" t="s">
        <v>2750</v>
      </c>
      <c r="G463"/>
      <c r="H463"/>
      <c r="I463" s="27">
        <f>-IFERROR(VLOOKUP(C463,SIRCUPA!$A$21:$H$155,8,0),0)</f>
        <v>0</v>
      </c>
      <c r="J463" s="88">
        <f>-IFERROR(VLOOKUP(C463,SIRTAC!$A$16:$H$1288,8,0),0)</f>
        <v>-518.97</v>
      </c>
      <c r="K463" s="88">
        <f>-IFERROR(VLOOKUP(C463,Gastos!$A$9:$J$1281,10,0),0)</f>
        <v>-503.4</v>
      </c>
      <c r="L463" s="87">
        <f>-IFERROR(VLOOKUP(C463,IDC!$A$25:$H$1532,8,0),0)</f>
        <v>-311.38</v>
      </c>
      <c r="M463" s="122">
        <f t="shared" si="62"/>
        <v>51897</v>
      </c>
      <c r="N463"/>
      <c r="P463" s="35">
        <f t="shared" si="63"/>
        <v>-51896.666666666664</v>
      </c>
      <c r="Q463" s="66">
        <f t="shared" si="64"/>
        <v>0.33333333333575865</v>
      </c>
    </row>
    <row r="464" spans="1:18" hidden="1">
      <c r="A464" s="59" t="s">
        <v>1030</v>
      </c>
      <c r="B464" s="59" t="s">
        <v>28</v>
      </c>
      <c r="C464" s="112">
        <v>126793578000</v>
      </c>
      <c r="D464" s="63">
        <v>-949.71</v>
      </c>
      <c r="E464" s="3">
        <v>8855101.9600000009</v>
      </c>
      <c r="F464" s="63" t="s">
        <v>2747</v>
      </c>
      <c r="G464" s="65">
        <f t="shared" ref="G464:G470" si="65">+D464/0.006</f>
        <v>-158285</v>
      </c>
      <c r="H464" s="65"/>
      <c r="I464" s="108">
        <f>-IFERROR(VLOOKUP(C464,SIRCUPA!$A$21:$H$155,8,0),0)</f>
        <v>0</v>
      </c>
      <c r="J464" s="108">
        <f>-IFERROR(VLOOKUP(C464,SIRTAC!$A$16:$H$1288,8,0),0)</f>
        <v>0</v>
      </c>
      <c r="K464" s="108">
        <f>-IFERROR(VLOOKUP(C464,Gastos!$A$9:$J$1281,10,0),0)</f>
        <v>0</v>
      </c>
      <c r="L464" s="65">
        <f>-IFERROR(VLOOKUP(C464,IDC!$A$25:$H$1532,8,0),0)</f>
        <v>-949.71</v>
      </c>
      <c r="M464" s="123">
        <f t="shared" ref="M464:M470" si="66">+D464</f>
        <v>-949.71</v>
      </c>
      <c r="N464" s="65"/>
      <c r="O464" s="59"/>
      <c r="Q464" s="66">
        <f t="shared" ref="Q464:Q470" si="67">+L464</f>
        <v>-949.71</v>
      </c>
      <c r="R464" s="66">
        <f t="shared" ref="R464:R470" si="68">+M464-Q464</f>
        <v>0</v>
      </c>
    </row>
    <row r="465" spans="1:18" hidden="1">
      <c r="A465" s="59" t="s">
        <v>1282</v>
      </c>
      <c r="B465" s="59" t="s">
        <v>28</v>
      </c>
      <c r="C465" s="112">
        <v>126569211701</v>
      </c>
      <c r="D465" s="63">
        <v>-30</v>
      </c>
      <c r="E465" s="3">
        <v>9496996.7799999993</v>
      </c>
      <c r="F465" s="63" t="s">
        <v>2747</v>
      </c>
      <c r="G465" s="65">
        <f t="shared" si="65"/>
        <v>-5000</v>
      </c>
      <c r="H465" s="65"/>
      <c r="I465" s="108">
        <f>-IFERROR(VLOOKUP(C465,SIRCUPA!$A$21:$H$155,8,0),0)</f>
        <v>0</v>
      </c>
      <c r="J465" s="108">
        <f>-IFERROR(VLOOKUP(C465,SIRTAC!$A$16:$H$1288,8,0),0)</f>
        <v>0</v>
      </c>
      <c r="K465" s="108">
        <f>-IFERROR(VLOOKUP(C465,Gastos!$A$9:$J$1281,10,0),0)</f>
        <v>0</v>
      </c>
      <c r="L465" s="65">
        <f>-IFERROR(VLOOKUP(C465,IDC!$A$25:$H$1532,8,0),0)</f>
        <v>-30</v>
      </c>
      <c r="M465" s="123">
        <f t="shared" si="66"/>
        <v>-30</v>
      </c>
      <c r="N465" s="65"/>
      <c r="O465" s="59"/>
      <c r="Q465" s="66">
        <f t="shared" si="67"/>
        <v>-30</v>
      </c>
      <c r="R465" s="66">
        <f t="shared" si="68"/>
        <v>0</v>
      </c>
    </row>
    <row r="466" spans="1:18" hidden="1">
      <c r="A466" s="59" t="s">
        <v>1282</v>
      </c>
      <c r="B466" s="59" t="s">
        <v>28</v>
      </c>
      <c r="C466" s="112">
        <v>127124821744</v>
      </c>
      <c r="D466" s="64">
        <v>-1058.17</v>
      </c>
      <c r="E466" s="3">
        <v>9811985.4399999995</v>
      </c>
      <c r="F466" s="63" t="s">
        <v>2747</v>
      </c>
      <c r="G466" s="65">
        <f t="shared" si="65"/>
        <v>-176361.66666666669</v>
      </c>
      <c r="H466" s="65"/>
      <c r="I466" s="108">
        <f>-IFERROR(VLOOKUP(C466,SIRCUPA!$A$21:$H$155,8,0),0)</f>
        <v>0</v>
      </c>
      <c r="J466" s="108">
        <f>-IFERROR(VLOOKUP(C466,SIRTAC!$A$16:$H$1288,8,0),0)</f>
        <v>0</v>
      </c>
      <c r="K466" s="108">
        <f>-IFERROR(VLOOKUP(C466,Gastos!$A$9:$J$1281,10,0),0)</f>
        <v>0</v>
      </c>
      <c r="L466" s="65">
        <f>-IFERROR(VLOOKUP(C466,IDC!$A$25:$H$1532,8,0),0)</f>
        <v>-1058.17</v>
      </c>
      <c r="M466" s="123">
        <f t="shared" si="66"/>
        <v>-1058.17</v>
      </c>
      <c r="N466" s="65"/>
      <c r="O466" s="59"/>
      <c r="Q466" s="66">
        <f t="shared" si="67"/>
        <v>-1058.17</v>
      </c>
      <c r="R466" s="66">
        <f t="shared" si="68"/>
        <v>0</v>
      </c>
    </row>
    <row r="467" spans="1:18" hidden="1">
      <c r="A467" s="59" t="s">
        <v>1303</v>
      </c>
      <c r="B467" s="59" t="s">
        <v>28</v>
      </c>
      <c r="C467" s="112">
        <v>127363517828</v>
      </c>
      <c r="D467" s="64">
        <v>-1107.6099999999999</v>
      </c>
      <c r="E467" s="3">
        <v>7894033.6299999999</v>
      </c>
      <c r="F467" s="63" t="s">
        <v>2747</v>
      </c>
      <c r="G467" s="65">
        <f t="shared" si="65"/>
        <v>-184601.66666666666</v>
      </c>
      <c r="H467" s="65"/>
      <c r="I467" s="108">
        <f>-IFERROR(VLOOKUP(C467,SIRCUPA!$A$21:$H$155,8,0),0)</f>
        <v>0</v>
      </c>
      <c r="J467" s="108">
        <f>-IFERROR(VLOOKUP(C467,SIRTAC!$A$16:$H$1288,8,0),0)</f>
        <v>0</v>
      </c>
      <c r="K467" s="108">
        <f>-IFERROR(VLOOKUP(C467,Gastos!$A$9:$J$1281,10,0),0)</f>
        <v>0</v>
      </c>
      <c r="L467" s="65">
        <f>-IFERROR(VLOOKUP(C467,IDC!$A$25:$H$1532,8,0),0)</f>
        <v>-1107.6099999999999</v>
      </c>
      <c r="M467" s="123">
        <f t="shared" si="66"/>
        <v>-1107.6099999999999</v>
      </c>
      <c r="N467" s="65"/>
      <c r="O467" s="59"/>
      <c r="Q467" s="66">
        <f t="shared" si="67"/>
        <v>-1107.6099999999999</v>
      </c>
      <c r="R467" s="66">
        <f t="shared" si="68"/>
        <v>0</v>
      </c>
    </row>
    <row r="468" spans="1:18" hidden="1">
      <c r="A468" s="59" t="s">
        <v>1303</v>
      </c>
      <c r="B468" s="59" t="s">
        <v>28</v>
      </c>
      <c r="C468" s="112">
        <v>127365725240</v>
      </c>
      <c r="D468" s="64">
        <v>-1951.67</v>
      </c>
      <c r="E468" s="3">
        <v>7566804.0599999996</v>
      </c>
      <c r="F468" s="63" t="s">
        <v>2747</v>
      </c>
      <c r="G468" s="65">
        <f t="shared" si="65"/>
        <v>-325278.33333333331</v>
      </c>
      <c r="H468" s="65"/>
      <c r="I468" s="108">
        <f>-IFERROR(VLOOKUP(C468,SIRCUPA!$A$21:$H$155,8,0),0)</f>
        <v>0</v>
      </c>
      <c r="J468" s="108">
        <f>-IFERROR(VLOOKUP(C468,SIRTAC!$A$16:$H$1288,8,0),0)</f>
        <v>0</v>
      </c>
      <c r="K468" s="108">
        <f>-IFERROR(VLOOKUP(C468,Gastos!$A$9:$J$1281,10,0),0)</f>
        <v>0</v>
      </c>
      <c r="L468" s="65">
        <f>-IFERROR(VLOOKUP(C468,IDC!$A$25:$H$1532,8,0),0)</f>
        <v>-1951.67</v>
      </c>
      <c r="M468" s="123">
        <f t="shared" si="66"/>
        <v>-1951.67</v>
      </c>
      <c r="N468" s="65"/>
      <c r="O468" s="59"/>
      <c r="Q468" s="66">
        <f t="shared" si="67"/>
        <v>-1951.67</v>
      </c>
      <c r="R468" s="66">
        <f t="shared" si="68"/>
        <v>0</v>
      </c>
    </row>
    <row r="469" spans="1:18" hidden="1">
      <c r="A469" s="59" t="s">
        <v>1320</v>
      </c>
      <c r="B469" s="59" t="s">
        <v>28</v>
      </c>
      <c r="C469" s="112">
        <v>126932959003</v>
      </c>
      <c r="D469" s="63">
        <v>-588.54</v>
      </c>
      <c r="E469" s="3">
        <v>7861428.4699999997</v>
      </c>
      <c r="F469" s="63" t="s">
        <v>2747</v>
      </c>
      <c r="G469" s="65">
        <f t="shared" si="65"/>
        <v>-98089.999999999985</v>
      </c>
      <c r="H469" s="65"/>
      <c r="I469" s="108">
        <f>-IFERROR(VLOOKUP(C469,SIRCUPA!$A$21:$H$155,8,0),0)</f>
        <v>0</v>
      </c>
      <c r="J469" s="108">
        <f>-IFERROR(VLOOKUP(C469,SIRTAC!$A$16:$H$1288,8,0),0)</f>
        <v>0</v>
      </c>
      <c r="K469" s="108">
        <f>-IFERROR(VLOOKUP(C469,Gastos!$A$9:$J$1281,10,0),0)</f>
        <v>0</v>
      </c>
      <c r="L469" s="65">
        <f>-IFERROR(VLOOKUP(C469,IDC!$A$25:$H$1532,8,0),0)</f>
        <v>-588.54</v>
      </c>
      <c r="M469" s="123">
        <f t="shared" si="66"/>
        <v>-588.54</v>
      </c>
      <c r="N469" s="65"/>
      <c r="O469" s="59"/>
      <c r="Q469" s="66">
        <f t="shared" si="67"/>
        <v>-588.54</v>
      </c>
      <c r="R469" s="66">
        <f t="shared" si="68"/>
        <v>0</v>
      </c>
    </row>
    <row r="470" spans="1:18" hidden="1">
      <c r="A470" s="59" t="s">
        <v>1382</v>
      </c>
      <c r="B470" s="59" t="s">
        <v>28</v>
      </c>
      <c r="C470" s="112">
        <v>127087676739</v>
      </c>
      <c r="D470" s="64">
        <v>-1399.23</v>
      </c>
      <c r="E470" s="3">
        <v>8002816.9000000004</v>
      </c>
      <c r="F470" s="63" t="s">
        <v>2747</v>
      </c>
      <c r="G470" s="65">
        <f t="shared" si="65"/>
        <v>-233205</v>
      </c>
      <c r="H470" s="65"/>
      <c r="I470" s="108">
        <f>-IFERROR(VLOOKUP(C470,SIRCUPA!$A$21:$H$155,8,0),0)</f>
        <v>0</v>
      </c>
      <c r="J470" s="108">
        <f>-IFERROR(VLOOKUP(C470,SIRTAC!$A$16:$H$1288,8,0),0)</f>
        <v>0</v>
      </c>
      <c r="K470" s="108">
        <f>-IFERROR(VLOOKUP(C470,Gastos!$A$9:$J$1281,10,0),0)</f>
        <v>0</v>
      </c>
      <c r="L470" s="65">
        <f>-IFERROR(VLOOKUP(C470,IDC!$A$25:$H$1532,8,0),0)</f>
        <v>-1399.23</v>
      </c>
      <c r="M470" s="123">
        <f t="shared" si="66"/>
        <v>-1399.23</v>
      </c>
      <c r="N470" s="65"/>
      <c r="O470" s="59"/>
      <c r="Q470" s="66">
        <f t="shared" si="67"/>
        <v>-1399.23</v>
      </c>
      <c r="R470" s="66">
        <f t="shared" si="68"/>
        <v>0</v>
      </c>
    </row>
    <row r="471" spans="1:18" hidden="1">
      <c r="A471" s="1" t="s">
        <v>529</v>
      </c>
      <c r="B471" s="1" t="s">
        <v>15</v>
      </c>
      <c r="C471" s="91">
        <v>125730630344</v>
      </c>
      <c r="D471" s="3">
        <v>16757.96</v>
      </c>
      <c r="E471" s="3">
        <v>8903868.8100000005</v>
      </c>
      <c r="F471" s="35" t="s">
        <v>2750</v>
      </c>
      <c r="G471"/>
      <c r="H471"/>
      <c r="I471" s="27">
        <f>-IFERROR(VLOOKUP(C471,SIRCUPA!$A$21:$H$155,8,0),0)</f>
        <v>0</v>
      </c>
      <c r="J471" s="88">
        <f>-IFERROR(VLOOKUP(C471,SIRTAC!$A$16:$H$1288,8,0),0)</f>
        <v>-172</v>
      </c>
      <c r="K471" s="88">
        <f>-IFERROR(VLOOKUP(C471,Gastos!$A$9:$J$1281,10,0),0)</f>
        <v>-166.84</v>
      </c>
      <c r="L471" s="87">
        <f>-IFERROR(VLOOKUP(C471,IDC!$A$25:$H$1532,8,0),0)</f>
        <v>-103.2</v>
      </c>
      <c r="M471" s="122">
        <f t="shared" ref="M471:M502" si="69">+D471-I471-J471-K471-L471</f>
        <v>17200</v>
      </c>
      <c r="N471"/>
      <c r="P471" s="35">
        <f t="shared" ref="P471:P534" si="70">+L471/0.006</f>
        <v>-17200</v>
      </c>
      <c r="Q471" s="66">
        <f t="shared" ref="Q471:Q534" si="71">+M471+P471</f>
        <v>0</v>
      </c>
    </row>
    <row r="472" spans="1:18" hidden="1">
      <c r="A472" s="1" t="s">
        <v>529</v>
      </c>
      <c r="B472" s="1" t="s">
        <v>15</v>
      </c>
      <c r="C472" s="91">
        <v>125730938612</v>
      </c>
      <c r="D472" s="3">
        <v>90022.399999999994</v>
      </c>
      <c r="E472" s="3">
        <v>8993891.2100000009</v>
      </c>
      <c r="F472" s="35" t="s">
        <v>2750</v>
      </c>
      <c r="G472"/>
      <c r="H472"/>
      <c r="I472" s="27">
        <f>-IFERROR(VLOOKUP(C472,SIRCUPA!$A$21:$H$155,8,0),0)</f>
        <v>0</v>
      </c>
      <c r="J472" s="88">
        <f>-IFERROR(VLOOKUP(C472,SIRTAC!$A$16:$H$1288,8,0),0)</f>
        <v>-923.97</v>
      </c>
      <c r="K472" s="88">
        <f>-IFERROR(VLOOKUP(C472,Gastos!$A$9:$J$1281,10,0),0)</f>
        <v>-896.25</v>
      </c>
      <c r="L472" s="87">
        <f>-IFERROR(VLOOKUP(C472,IDC!$A$25:$H$1532,8,0),0)</f>
        <v>-554.38</v>
      </c>
      <c r="M472" s="122">
        <f t="shared" si="69"/>
        <v>92397</v>
      </c>
      <c r="N472"/>
      <c r="P472" s="35">
        <f t="shared" si="70"/>
        <v>-92396.666666666657</v>
      </c>
      <c r="Q472" s="66">
        <f t="shared" si="71"/>
        <v>0.33333333334303461</v>
      </c>
    </row>
    <row r="473" spans="1:18" hidden="1">
      <c r="A473" s="1" t="s">
        <v>529</v>
      </c>
      <c r="B473" s="1" t="s">
        <v>15</v>
      </c>
      <c r="C473" s="91">
        <v>125182282317</v>
      </c>
      <c r="D473" s="3">
        <v>63324.63</v>
      </c>
      <c r="E473" s="3">
        <v>9057215.8399999999</v>
      </c>
      <c r="F473" s="35" t="s">
        <v>2750</v>
      </c>
      <c r="G473"/>
      <c r="H473"/>
      <c r="I473" s="27">
        <f>-IFERROR(VLOOKUP(C473,SIRCUPA!$A$21:$H$155,8,0),0)</f>
        <v>0</v>
      </c>
      <c r="J473" s="88">
        <f>-IFERROR(VLOOKUP(C473,SIRTAC!$A$16:$H$1288,8,0),0)</f>
        <v>-649.95000000000005</v>
      </c>
      <c r="K473" s="88">
        <f>-IFERROR(VLOOKUP(C473,Gastos!$A$9:$J$1281,10,0),0)</f>
        <v>-630.45000000000005</v>
      </c>
      <c r="L473" s="87">
        <f>-IFERROR(VLOOKUP(C473,IDC!$A$25:$H$1532,8,0),0)</f>
        <v>-389.97</v>
      </c>
      <c r="M473" s="122">
        <f t="shared" si="69"/>
        <v>64994.999999999993</v>
      </c>
      <c r="N473"/>
      <c r="P473" s="35">
        <f t="shared" si="70"/>
        <v>-64995</v>
      </c>
      <c r="Q473" s="66">
        <f t="shared" si="71"/>
        <v>0</v>
      </c>
    </row>
    <row r="474" spans="1:18" hidden="1">
      <c r="A474" s="1" t="s">
        <v>529</v>
      </c>
      <c r="B474" s="1" t="s">
        <v>533</v>
      </c>
      <c r="C474" s="91">
        <v>125731139762</v>
      </c>
      <c r="D474" s="3">
        <v>6362.52</v>
      </c>
      <c r="E474" s="3">
        <v>9063578.3599999994</v>
      </c>
      <c r="F474" s="2" t="s">
        <v>2750</v>
      </c>
      <c r="G474"/>
      <c r="H474"/>
      <c r="I474" s="27">
        <f>-IFERROR(VLOOKUP(C474,SIRCUPA!$A$21:$H$155,8,0),0)</f>
        <v>-97.49</v>
      </c>
      <c r="J474" s="88">
        <f>-IFERROR(VLOOKUP(C474,SIRTAC!$A$16:$H$1288,8,0),0)</f>
        <v>0</v>
      </c>
      <c r="K474" s="88">
        <f>-IFERROR(VLOOKUP(C474,Gastos!$A$9:$J$1281,10,0),0)</f>
        <v>0</v>
      </c>
      <c r="L474" s="87">
        <f>-IFERROR(VLOOKUP(C474,IDC!$A$25:$H$1532,8,0),0)</f>
        <v>-38.99</v>
      </c>
      <c r="M474" s="122">
        <f t="shared" si="69"/>
        <v>6499</v>
      </c>
      <c r="N474"/>
      <c r="P474" s="35">
        <f t="shared" si="70"/>
        <v>-6498.3333333333339</v>
      </c>
      <c r="Q474" s="66">
        <f t="shared" si="71"/>
        <v>0.66666666666606034</v>
      </c>
    </row>
    <row r="475" spans="1:18" hidden="1">
      <c r="A475" s="1" t="s">
        <v>529</v>
      </c>
      <c r="B475" s="1" t="s">
        <v>15</v>
      </c>
      <c r="C475" s="91">
        <v>125182469271</v>
      </c>
      <c r="D475" s="3">
        <v>18892.11</v>
      </c>
      <c r="E475" s="3">
        <v>9082470.4700000007</v>
      </c>
      <c r="F475" s="35" t="s">
        <v>2750</v>
      </c>
      <c r="G475"/>
      <c r="H475"/>
      <c r="I475" s="27">
        <f>-IFERROR(VLOOKUP(C475,SIRCUPA!$A$21:$H$155,8,0),0)</f>
        <v>0</v>
      </c>
      <c r="J475" s="88">
        <f>-IFERROR(VLOOKUP(C475,SIRTAC!$A$16:$H$1288,8,0),0)</f>
        <v>-199.98</v>
      </c>
      <c r="K475" s="88">
        <f>-IFERROR(VLOOKUP(C475,Gastos!$A$9:$J$1281,10,0),0)</f>
        <v>-785.92</v>
      </c>
      <c r="L475" s="87">
        <f>-IFERROR(VLOOKUP(C475,IDC!$A$25:$H$1532,8,0),0)</f>
        <v>-119.99</v>
      </c>
      <c r="M475" s="122">
        <f t="shared" si="69"/>
        <v>19998</v>
      </c>
      <c r="N475"/>
      <c r="P475" s="35">
        <f t="shared" si="70"/>
        <v>-19998.333333333332</v>
      </c>
      <c r="Q475" s="66">
        <f t="shared" si="71"/>
        <v>-0.33333333333212067</v>
      </c>
    </row>
    <row r="476" spans="1:18" hidden="1">
      <c r="A476" s="1" t="s">
        <v>529</v>
      </c>
      <c r="B476" s="1" t="s">
        <v>15</v>
      </c>
      <c r="C476" s="91">
        <v>125182626663</v>
      </c>
      <c r="D476" s="3">
        <v>33513.97</v>
      </c>
      <c r="E476" s="3">
        <v>9115984.4399999995</v>
      </c>
      <c r="F476" s="35" t="s">
        <v>2750</v>
      </c>
      <c r="G476"/>
      <c r="H476"/>
      <c r="I476" s="27">
        <f>-IFERROR(VLOOKUP(C476,SIRCUPA!$A$21:$H$155,8,0),0)</f>
        <v>0</v>
      </c>
      <c r="J476" s="88">
        <f>-IFERROR(VLOOKUP(C476,SIRTAC!$A$16:$H$1288,8,0),0)</f>
        <v>-343.98</v>
      </c>
      <c r="K476" s="88">
        <f>-IFERROR(VLOOKUP(C476,Gastos!$A$9:$J$1281,10,0),0)</f>
        <v>-333.66</v>
      </c>
      <c r="L476" s="87">
        <f>-IFERROR(VLOOKUP(C476,IDC!$A$25:$H$1532,8,0),0)</f>
        <v>-206.39</v>
      </c>
      <c r="M476" s="122">
        <f t="shared" si="69"/>
        <v>34398.000000000007</v>
      </c>
      <c r="N476"/>
      <c r="P476" s="35">
        <f t="shared" si="70"/>
        <v>-34398.333333333328</v>
      </c>
      <c r="Q476" s="66">
        <f t="shared" si="71"/>
        <v>-0.33333333332120674</v>
      </c>
    </row>
    <row r="477" spans="1:18" hidden="1">
      <c r="A477" s="1" t="s">
        <v>529</v>
      </c>
      <c r="B477" s="1" t="s">
        <v>15</v>
      </c>
      <c r="C477" s="91">
        <v>125731690258</v>
      </c>
      <c r="D477" s="3">
        <v>40930.81</v>
      </c>
      <c r="E477" s="3">
        <v>9156915.25</v>
      </c>
      <c r="F477" s="35" t="s">
        <v>2750</v>
      </c>
      <c r="G477"/>
      <c r="H477"/>
      <c r="I477" s="27">
        <f>-IFERROR(VLOOKUP(C477,SIRCUPA!$A$21:$H$155,8,0),0)</f>
        <v>0</v>
      </c>
      <c r="J477" s="88">
        <f>-IFERROR(VLOOKUP(C477,SIRTAC!$A$16:$H$1288,8,0),0)</f>
        <v>-422.97</v>
      </c>
      <c r="K477" s="88">
        <f>-IFERROR(VLOOKUP(C477,Gastos!$A$9:$J$1281,10,0),0)</f>
        <v>-689.44</v>
      </c>
      <c r="L477" s="87">
        <f>-IFERROR(VLOOKUP(C477,IDC!$A$25:$H$1532,8,0),0)</f>
        <v>-253.78</v>
      </c>
      <c r="M477" s="122">
        <f t="shared" si="69"/>
        <v>42297</v>
      </c>
      <c r="N477"/>
      <c r="P477" s="35">
        <f t="shared" si="70"/>
        <v>-42296.666666666664</v>
      </c>
      <c r="Q477" s="66">
        <f t="shared" si="71"/>
        <v>0.33333333333575865</v>
      </c>
    </row>
    <row r="478" spans="1:18" hidden="1">
      <c r="A478" s="1" t="s">
        <v>529</v>
      </c>
      <c r="B478" s="1" t="s">
        <v>15</v>
      </c>
      <c r="C478" s="91">
        <v>125732575486</v>
      </c>
      <c r="D478" s="3">
        <v>34763.07</v>
      </c>
      <c r="E478" s="3">
        <v>9191678.3200000003</v>
      </c>
      <c r="F478" s="35" t="s">
        <v>2750</v>
      </c>
      <c r="G478"/>
      <c r="H478"/>
      <c r="I478" s="27">
        <f>-IFERROR(VLOOKUP(C478,SIRCUPA!$A$21:$H$155,8,0),0)</f>
        <v>0</v>
      </c>
      <c r="J478" s="88">
        <f>-IFERROR(VLOOKUP(C478,SIRTAC!$A$16:$H$1288,8,0),0)</f>
        <v>-367.98</v>
      </c>
      <c r="K478" s="88">
        <f>-IFERROR(VLOOKUP(C478,Gastos!$A$9:$J$1281,10,0),0)</f>
        <v>-1446.16</v>
      </c>
      <c r="L478" s="87">
        <f>-IFERROR(VLOOKUP(C478,IDC!$A$25:$H$1532,8,0),0)</f>
        <v>-220.79</v>
      </c>
      <c r="M478" s="122">
        <f t="shared" si="69"/>
        <v>36798.000000000007</v>
      </c>
      <c r="N478"/>
      <c r="P478" s="35">
        <f t="shared" si="70"/>
        <v>-36798.333333333328</v>
      </c>
      <c r="Q478" s="66">
        <f t="shared" si="71"/>
        <v>-0.33333333332120674</v>
      </c>
    </row>
    <row r="479" spans="1:18" hidden="1">
      <c r="A479" s="1" t="s">
        <v>529</v>
      </c>
      <c r="B479" s="1" t="s">
        <v>15</v>
      </c>
      <c r="C479" s="91">
        <v>125732657942</v>
      </c>
      <c r="D479" s="3">
        <v>61184.09</v>
      </c>
      <c r="E479" s="3">
        <v>9252862.4100000001</v>
      </c>
      <c r="F479" s="35" t="s">
        <v>2750</v>
      </c>
      <c r="G479"/>
      <c r="H479"/>
      <c r="I479" s="27">
        <f>-IFERROR(VLOOKUP(C479,SIRCUPA!$A$21:$H$155,8,0),0)</f>
        <v>0</v>
      </c>
      <c r="J479" s="88">
        <f>-IFERROR(VLOOKUP(C479,SIRTAC!$A$16:$H$1288,8,0),0)</f>
        <v>-627.98</v>
      </c>
      <c r="K479" s="88">
        <f>-IFERROR(VLOOKUP(C479,Gastos!$A$9:$J$1281,10,0),0)</f>
        <v>-609.14</v>
      </c>
      <c r="L479" s="87">
        <f>-IFERROR(VLOOKUP(C479,IDC!$A$25:$H$1532,8,0),0)</f>
        <v>-376.79</v>
      </c>
      <c r="M479" s="122">
        <f t="shared" si="69"/>
        <v>62798</v>
      </c>
      <c r="N479"/>
      <c r="P479" s="35">
        <f t="shared" si="70"/>
        <v>-62798.333333333336</v>
      </c>
      <c r="Q479" s="66">
        <f t="shared" si="71"/>
        <v>-0.33333333333575865</v>
      </c>
    </row>
    <row r="480" spans="1:18" hidden="1">
      <c r="A480" s="1" t="s">
        <v>529</v>
      </c>
      <c r="B480" s="1" t="s">
        <v>15</v>
      </c>
      <c r="C480" s="91">
        <v>125734498538</v>
      </c>
      <c r="D480" s="3">
        <v>5163.79</v>
      </c>
      <c r="E480" s="3">
        <v>9258026.1999999993</v>
      </c>
      <c r="F480" s="35" t="s">
        <v>2750</v>
      </c>
      <c r="G480"/>
      <c r="H480"/>
      <c r="I480" s="27">
        <f>-IFERROR(VLOOKUP(C480,SIRCUPA!$A$21:$H$155,8,0),0)</f>
        <v>0</v>
      </c>
      <c r="J480" s="88">
        <f>-IFERROR(VLOOKUP(C480,SIRTAC!$A$16:$H$1288,8,0),0)</f>
        <v>-53</v>
      </c>
      <c r="K480" s="88">
        <f>-IFERROR(VLOOKUP(C480,Gastos!$A$9:$J$1281,10,0),0)</f>
        <v>-51.41</v>
      </c>
      <c r="L480" s="87">
        <f>-IFERROR(VLOOKUP(C480,IDC!$A$25:$H$1532,8,0),0)</f>
        <v>-31.8</v>
      </c>
      <c r="M480" s="122">
        <f t="shared" si="69"/>
        <v>5300</v>
      </c>
      <c r="N480"/>
      <c r="P480" s="35">
        <f t="shared" si="70"/>
        <v>-5300</v>
      </c>
      <c r="Q480" s="66">
        <f t="shared" si="71"/>
        <v>0</v>
      </c>
    </row>
    <row r="481" spans="1:17" hidden="1">
      <c r="A481" s="1" t="s">
        <v>529</v>
      </c>
      <c r="B481" s="1" t="s">
        <v>541</v>
      </c>
      <c r="C481" s="91">
        <v>125185385327</v>
      </c>
      <c r="D481" s="2">
        <v>259.43</v>
      </c>
      <c r="E481" s="3">
        <v>9258285.6300000008</v>
      </c>
      <c r="F481" s="2" t="s">
        <v>2750</v>
      </c>
      <c r="G481"/>
      <c r="H481"/>
      <c r="I481" s="27">
        <f>-IFERROR(VLOOKUP(C481,SIRCUPA!$A$21:$H$155,8,0),0)</f>
        <v>-3.98</v>
      </c>
      <c r="J481" s="88">
        <f>-IFERROR(VLOOKUP(C481,SIRTAC!$A$16:$H$1288,8,0),0)</f>
        <v>0</v>
      </c>
      <c r="K481" s="88">
        <f>-IFERROR(VLOOKUP(C481,Gastos!$A$9:$J$1281,10,0),0)</f>
        <v>0</v>
      </c>
      <c r="L481" s="87">
        <f>-IFERROR(VLOOKUP(C481,IDC!$A$25:$H$1532,8,0),0)</f>
        <v>-1.59</v>
      </c>
      <c r="M481" s="122">
        <f t="shared" si="69"/>
        <v>265</v>
      </c>
      <c r="N481"/>
      <c r="P481" s="35">
        <f t="shared" si="70"/>
        <v>-265</v>
      </c>
      <c r="Q481" s="66">
        <f t="shared" si="71"/>
        <v>0</v>
      </c>
    </row>
    <row r="482" spans="1:17" hidden="1">
      <c r="A482" s="1" t="s">
        <v>529</v>
      </c>
      <c r="B482" s="1" t="s">
        <v>15</v>
      </c>
      <c r="C482" s="91">
        <v>125734695008</v>
      </c>
      <c r="D482" s="3">
        <v>26829.48</v>
      </c>
      <c r="E482" s="3">
        <v>9285115.1099999994</v>
      </c>
      <c r="F482" s="35" t="s">
        <v>2750</v>
      </c>
      <c r="G482"/>
      <c r="H482"/>
      <c r="I482" s="27">
        <f>-IFERROR(VLOOKUP(C482,SIRCUPA!$A$21:$H$155,8,0),0)</f>
        <v>0</v>
      </c>
      <c r="J482" s="88">
        <f>-IFERROR(VLOOKUP(C482,SIRTAC!$A$16:$H$1288,8,0),0)</f>
        <v>-284</v>
      </c>
      <c r="K482" s="88">
        <f>-IFERROR(VLOOKUP(C482,Gastos!$A$9:$J$1281,10,0),0)</f>
        <v>-1116.1199999999999</v>
      </c>
      <c r="L482" s="87">
        <f>-IFERROR(VLOOKUP(C482,IDC!$A$25:$H$1532,8,0),0)</f>
        <v>-170.4</v>
      </c>
      <c r="M482" s="122">
        <f t="shared" si="69"/>
        <v>28400</v>
      </c>
      <c r="N482"/>
      <c r="P482" s="35">
        <f t="shared" si="70"/>
        <v>-28400</v>
      </c>
      <c r="Q482" s="66">
        <f t="shared" si="71"/>
        <v>0</v>
      </c>
    </row>
    <row r="483" spans="1:17" hidden="1">
      <c r="A483" s="1" t="s">
        <v>529</v>
      </c>
      <c r="B483" s="1" t="s">
        <v>15</v>
      </c>
      <c r="C483" s="91">
        <v>125186162773</v>
      </c>
      <c r="D483" s="3">
        <v>10327.58</v>
      </c>
      <c r="E483" s="3">
        <v>9295442.6899999995</v>
      </c>
      <c r="F483" s="35" t="s">
        <v>2750</v>
      </c>
      <c r="G483"/>
      <c r="H483"/>
      <c r="I483" s="27">
        <f>-IFERROR(VLOOKUP(C483,SIRCUPA!$A$21:$H$155,8,0),0)</f>
        <v>0</v>
      </c>
      <c r="J483" s="88">
        <f>-IFERROR(VLOOKUP(C483,SIRTAC!$A$16:$H$1288,8,0),0)</f>
        <v>-106</v>
      </c>
      <c r="K483" s="88">
        <f>-IFERROR(VLOOKUP(C483,Gastos!$A$9:$J$1281,10,0),0)</f>
        <v>-102.82</v>
      </c>
      <c r="L483" s="87">
        <f>-IFERROR(VLOOKUP(C483,IDC!$A$25:$H$1532,8,0),0)</f>
        <v>-63.6</v>
      </c>
      <c r="M483" s="122">
        <f t="shared" si="69"/>
        <v>10600</v>
      </c>
      <c r="N483"/>
      <c r="P483" s="35">
        <f t="shared" si="70"/>
        <v>-10600</v>
      </c>
      <c r="Q483" s="66">
        <f t="shared" si="71"/>
        <v>0</v>
      </c>
    </row>
    <row r="484" spans="1:17" hidden="1">
      <c r="A484" s="1" t="s">
        <v>529</v>
      </c>
      <c r="B484" s="1" t="s">
        <v>15</v>
      </c>
      <c r="C484" s="91">
        <v>125186206585</v>
      </c>
      <c r="D484" s="3">
        <v>27280.400000000001</v>
      </c>
      <c r="E484" s="3">
        <v>9322723.0899999999</v>
      </c>
      <c r="F484" s="35" t="s">
        <v>2750</v>
      </c>
      <c r="G484"/>
      <c r="H484"/>
      <c r="I484" s="27">
        <f>-IFERROR(VLOOKUP(C484,SIRCUPA!$A$21:$H$155,8,0),0)</f>
        <v>0</v>
      </c>
      <c r="J484" s="88">
        <f>-IFERROR(VLOOKUP(C484,SIRTAC!$A$16:$H$1288,8,0),0)</f>
        <v>-280</v>
      </c>
      <c r="K484" s="88">
        <f>-IFERROR(VLOOKUP(C484,Gastos!$A$9:$J$1281,10,0),0)</f>
        <v>-271.60000000000002</v>
      </c>
      <c r="L484" s="87">
        <f>-IFERROR(VLOOKUP(C484,IDC!$A$25:$H$1532,8,0),0)</f>
        <v>-168</v>
      </c>
      <c r="M484" s="122">
        <f t="shared" si="69"/>
        <v>28000</v>
      </c>
      <c r="N484"/>
      <c r="P484" s="35">
        <f t="shared" si="70"/>
        <v>-28000</v>
      </c>
      <c r="Q484" s="66">
        <f t="shared" si="71"/>
        <v>0</v>
      </c>
    </row>
    <row r="485" spans="1:17" hidden="1">
      <c r="A485" s="1" t="s">
        <v>529</v>
      </c>
      <c r="B485" s="1" t="s">
        <v>15</v>
      </c>
      <c r="C485" s="91">
        <v>125186249815</v>
      </c>
      <c r="D485" s="3">
        <v>29229</v>
      </c>
      <c r="E485" s="3">
        <v>9351952.0899999999</v>
      </c>
      <c r="F485" s="35" t="s">
        <v>2750</v>
      </c>
      <c r="G485"/>
      <c r="H485"/>
      <c r="I485" s="27">
        <f>-IFERROR(VLOOKUP(C485,SIRCUPA!$A$21:$H$155,8,0),0)</f>
        <v>0</v>
      </c>
      <c r="J485" s="88">
        <f>-IFERROR(VLOOKUP(C485,SIRTAC!$A$16:$H$1288,8,0),0)</f>
        <v>-300</v>
      </c>
      <c r="K485" s="88">
        <f>-IFERROR(VLOOKUP(C485,Gastos!$A$9:$J$1281,10,0),0)</f>
        <v>-291</v>
      </c>
      <c r="L485" s="87">
        <f>-IFERROR(VLOOKUP(C485,IDC!$A$25:$H$1532,8,0),0)</f>
        <v>-180</v>
      </c>
      <c r="M485" s="122">
        <f t="shared" si="69"/>
        <v>30000</v>
      </c>
      <c r="N485"/>
      <c r="P485" s="35">
        <f t="shared" si="70"/>
        <v>-30000</v>
      </c>
      <c r="Q485" s="66">
        <f t="shared" si="71"/>
        <v>0</v>
      </c>
    </row>
    <row r="486" spans="1:17" hidden="1">
      <c r="A486" s="35" t="s">
        <v>529</v>
      </c>
      <c r="B486" s="35" t="s">
        <v>15</v>
      </c>
      <c r="C486" s="91">
        <v>125186455061</v>
      </c>
      <c r="D486" s="3">
        <v>17634.830000000002</v>
      </c>
      <c r="E486" s="3">
        <v>9369586.9199999999</v>
      </c>
      <c r="F486" s="35" t="s">
        <v>2750</v>
      </c>
      <c r="G486" s="35"/>
      <c r="H486" s="35"/>
      <c r="I486" s="27">
        <f>-IFERROR(VLOOKUP(C486,SIRCUPA!$A$21:$H$155,8,0),0)</f>
        <v>0</v>
      </c>
      <c r="J486" s="88">
        <f>-IFERROR(VLOOKUP(C486,SIRTAC!$A$16:$H$1288,8,0),0)</f>
        <v>-181</v>
      </c>
      <c r="K486" s="88">
        <f>-IFERROR(VLOOKUP(C486,Gastos!$A$9:$J$1281,10,0),0)</f>
        <v>-175.57</v>
      </c>
      <c r="L486" s="87">
        <f>-IFERROR(VLOOKUP(C486,IDC!$A$25:$H$1532,8,0),0)</f>
        <v>-108.6</v>
      </c>
      <c r="M486" s="122">
        <f t="shared" si="69"/>
        <v>18100</v>
      </c>
      <c r="N486" s="35"/>
      <c r="O486" s="35"/>
      <c r="P486" s="35">
        <f t="shared" si="70"/>
        <v>-18100</v>
      </c>
      <c r="Q486" s="66">
        <f t="shared" si="71"/>
        <v>0</v>
      </c>
    </row>
    <row r="487" spans="1:17" s="59" customFormat="1" hidden="1">
      <c r="A487" s="35" t="s">
        <v>529</v>
      </c>
      <c r="B487" s="35" t="s">
        <v>15</v>
      </c>
      <c r="C487" s="91">
        <v>125735533144</v>
      </c>
      <c r="D487" s="3">
        <v>15199.08</v>
      </c>
      <c r="E487" s="3">
        <v>9384786</v>
      </c>
      <c r="F487" s="35" t="s">
        <v>2750</v>
      </c>
      <c r="G487" s="35"/>
      <c r="H487" s="35"/>
      <c r="I487" s="27">
        <f>-IFERROR(VLOOKUP(C487,SIRCUPA!$A$21:$H$155,8,0),0)</f>
        <v>0</v>
      </c>
      <c r="J487" s="88">
        <f>-IFERROR(VLOOKUP(C487,SIRTAC!$A$16:$H$1288,8,0),0)</f>
        <v>-156</v>
      </c>
      <c r="K487" s="88">
        <f>-IFERROR(VLOOKUP(C487,Gastos!$A$9:$J$1281,10,0),0)</f>
        <v>-151.32</v>
      </c>
      <c r="L487" s="87">
        <f>-IFERROR(VLOOKUP(C487,IDC!$A$25:$H$1532,8,0),0)</f>
        <v>-93.6</v>
      </c>
      <c r="M487" s="122">
        <f t="shared" si="69"/>
        <v>15600</v>
      </c>
      <c r="N487" s="35"/>
      <c r="O487" s="35"/>
      <c r="P487" s="35">
        <f t="shared" si="70"/>
        <v>-15599.999999999998</v>
      </c>
      <c r="Q487" s="66">
        <f t="shared" si="71"/>
        <v>0</v>
      </c>
    </row>
    <row r="488" spans="1:17" s="59" customFormat="1" hidden="1">
      <c r="A488" s="35" t="s">
        <v>529</v>
      </c>
      <c r="B488" s="35" t="s">
        <v>15</v>
      </c>
      <c r="C488" s="91">
        <v>125735529498</v>
      </c>
      <c r="D488" s="3">
        <v>7794.4</v>
      </c>
      <c r="E488" s="3">
        <v>9392580.4000000004</v>
      </c>
      <c r="F488" s="35" t="s">
        <v>2750</v>
      </c>
      <c r="G488" s="35"/>
      <c r="H488" s="35"/>
      <c r="I488" s="27">
        <f>-IFERROR(VLOOKUP(C488,SIRCUPA!$A$21:$H$155,8,0),0)</f>
        <v>0</v>
      </c>
      <c r="J488" s="88">
        <f>-IFERROR(VLOOKUP(C488,SIRTAC!$A$16:$H$1288,8,0),0)</f>
        <v>-80</v>
      </c>
      <c r="K488" s="88">
        <f>-IFERROR(VLOOKUP(C488,Gastos!$A$9:$J$1281,10,0),0)</f>
        <v>-77.599999999999994</v>
      </c>
      <c r="L488" s="87">
        <f>-IFERROR(VLOOKUP(C488,IDC!$A$25:$H$1532,8,0),0)</f>
        <v>-48</v>
      </c>
      <c r="M488" s="122">
        <f t="shared" si="69"/>
        <v>8000</v>
      </c>
      <c r="N488" s="35"/>
      <c r="O488" s="35"/>
      <c r="P488" s="35">
        <f t="shared" si="70"/>
        <v>-8000</v>
      </c>
      <c r="Q488" s="66">
        <f t="shared" si="71"/>
        <v>0</v>
      </c>
    </row>
    <row r="489" spans="1:17" s="59" customFormat="1" hidden="1">
      <c r="A489" s="35" t="s">
        <v>529</v>
      </c>
      <c r="B489" s="35" t="s">
        <v>15</v>
      </c>
      <c r="C489" s="91">
        <v>125735896318</v>
      </c>
      <c r="D489" s="3">
        <v>36536.25</v>
      </c>
      <c r="E489" s="3">
        <v>9429116.6500000004</v>
      </c>
      <c r="F489" s="35" t="s">
        <v>2750</v>
      </c>
      <c r="G489" s="35"/>
      <c r="H489" s="35"/>
      <c r="I489" s="27">
        <f>-IFERROR(VLOOKUP(C489,SIRCUPA!$A$21:$H$155,8,0),0)</f>
        <v>0</v>
      </c>
      <c r="J489" s="88">
        <f>-IFERROR(VLOOKUP(C489,SIRTAC!$A$16:$H$1288,8,0),0)</f>
        <v>-375</v>
      </c>
      <c r="K489" s="88">
        <f>-IFERROR(VLOOKUP(C489,Gastos!$A$9:$J$1281,10,0),0)</f>
        <v>-363.75</v>
      </c>
      <c r="L489" s="87">
        <f>-IFERROR(VLOOKUP(C489,IDC!$A$25:$H$1532,8,0),0)</f>
        <v>-225</v>
      </c>
      <c r="M489" s="122">
        <f t="shared" si="69"/>
        <v>37500</v>
      </c>
      <c r="N489" s="35"/>
      <c r="O489" s="35"/>
      <c r="P489" s="35">
        <f t="shared" si="70"/>
        <v>-37500</v>
      </c>
      <c r="Q489" s="66">
        <f t="shared" si="71"/>
        <v>0</v>
      </c>
    </row>
    <row r="490" spans="1:17" s="59" customFormat="1" hidden="1">
      <c r="A490" s="35" t="s">
        <v>529</v>
      </c>
      <c r="B490" s="35" t="s">
        <v>551</v>
      </c>
      <c r="C490" s="91">
        <v>125186681353</v>
      </c>
      <c r="D490" s="3">
        <v>3671.25</v>
      </c>
      <c r="E490" s="3">
        <v>9432787.9000000004</v>
      </c>
      <c r="F490" s="2" t="s">
        <v>2750</v>
      </c>
      <c r="G490" s="35"/>
      <c r="H490" s="35"/>
      <c r="I490" s="27">
        <f>-IFERROR(VLOOKUP(C490,SIRCUPA!$A$21:$H$155,8,0),0)</f>
        <v>-56.25</v>
      </c>
      <c r="J490" s="88">
        <f>-IFERROR(VLOOKUP(C490,SIRTAC!$A$16:$H$1288,8,0),0)</f>
        <v>0</v>
      </c>
      <c r="K490" s="88">
        <f>-IFERROR(VLOOKUP(C490,Gastos!$A$9:$J$1281,10,0),0)</f>
        <v>0</v>
      </c>
      <c r="L490" s="87">
        <f>-IFERROR(VLOOKUP(C490,IDC!$A$25:$H$1532,8,0),0)</f>
        <v>-22.5</v>
      </c>
      <c r="M490" s="122">
        <f t="shared" si="69"/>
        <v>3750</v>
      </c>
      <c r="N490" s="35"/>
      <c r="O490" s="35"/>
      <c r="P490" s="35">
        <f t="shared" si="70"/>
        <v>-3750</v>
      </c>
      <c r="Q490" s="66">
        <f t="shared" si="71"/>
        <v>0</v>
      </c>
    </row>
    <row r="491" spans="1:17" hidden="1">
      <c r="A491" s="35" t="s">
        <v>529</v>
      </c>
      <c r="B491" s="35" t="s">
        <v>15</v>
      </c>
      <c r="C491" s="91">
        <v>125296798273</v>
      </c>
      <c r="D491" s="3">
        <v>8184.12</v>
      </c>
      <c r="E491" s="3">
        <v>7557389.9199999999</v>
      </c>
      <c r="F491" s="35" t="s">
        <v>2750</v>
      </c>
      <c r="G491" s="35"/>
      <c r="H491" s="35"/>
      <c r="I491" s="27">
        <f>-IFERROR(VLOOKUP(C491,SIRCUPA!$A$21:$H$155,8,0),0)</f>
        <v>0</v>
      </c>
      <c r="J491" s="88">
        <f>-IFERROR(VLOOKUP(C491,SIRTAC!$A$16:$H$1288,8,0),0)</f>
        <v>-84</v>
      </c>
      <c r="K491" s="88">
        <f>-IFERROR(VLOOKUP(C491,Gastos!$A$9:$J$1281,10,0),0)</f>
        <v>-81.48</v>
      </c>
      <c r="L491" s="87">
        <f>-IFERROR(VLOOKUP(C491,IDC!$A$25:$H$1532,8,0),0)</f>
        <v>-50.4</v>
      </c>
      <c r="M491" s="122">
        <f t="shared" si="69"/>
        <v>8399.9999999999982</v>
      </c>
      <c r="N491" s="35"/>
      <c r="O491" s="35"/>
      <c r="P491" s="35">
        <f t="shared" si="70"/>
        <v>-8400</v>
      </c>
      <c r="Q491" s="66">
        <f t="shared" si="71"/>
        <v>0</v>
      </c>
    </row>
    <row r="492" spans="1:17" hidden="1">
      <c r="A492" s="35" t="s">
        <v>529</v>
      </c>
      <c r="B492" s="35" t="s">
        <v>15</v>
      </c>
      <c r="C492" s="91">
        <v>125846766732</v>
      </c>
      <c r="D492" s="3">
        <v>10717.3</v>
      </c>
      <c r="E492" s="3">
        <v>7568107.2199999997</v>
      </c>
      <c r="F492" s="35" t="s">
        <v>2750</v>
      </c>
      <c r="G492" s="35"/>
      <c r="H492" s="35"/>
      <c r="I492" s="27">
        <f>-IFERROR(VLOOKUP(C492,SIRCUPA!$A$21:$H$155,8,0),0)</f>
        <v>0</v>
      </c>
      <c r="J492" s="88">
        <f>-IFERROR(VLOOKUP(C492,SIRTAC!$A$16:$H$1288,8,0),0)</f>
        <v>-110</v>
      </c>
      <c r="K492" s="88">
        <f>-IFERROR(VLOOKUP(C492,Gastos!$A$9:$J$1281,10,0),0)</f>
        <v>-106.7</v>
      </c>
      <c r="L492" s="87">
        <f>-IFERROR(VLOOKUP(C492,IDC!$A$25:$H$1532,8,0),0)</f>
        <v>-66</v>
      </c>
      <c r="M492" s="122">
        <f t="shared" si="69"/>
        <v>11000</v>
      </c>
      <c r="N492" s="35"/>
      <c r="O492" s="35"/>
      <c r="P492" s="35">
        <f t="shared" si="70"/>
        <v>-11000</v>
      </c>
      <c r="Q492" s="66">
        <f t="shared" si="71"/>
        <v>0</v>
      </c>
    </row>
    <row r="493" spans="1:17" s="59" customFormat="1" hidden="1">
      <c r="A493" s="35" t="s">
        <v>529</v>
      </c>
      <c r="B493" s="35" t="s">
        <v>566</v>
      </c>
      <c r="C493" s="91">
        <v>125297082869</v>
      </c>
      <c r="D493" s="2">
        <v>538.45000000000005</v>
      </c>
      <c r="E493" s="3">
        <v>7568645.6699999999</v>
      </c>
      <c r="F493" s="2" t="s">
        <v>2750</v>
      </c>
      <c r="G493" s="35"/>
      <c r="H493" s="35"/>
      <c r="I493" s="27">
        <f>-IFERROR(VLOOKUP(C493,SIRCUPA!$A$21:$H$155,8,0),0)</f>
        <v>-8.25</v>
      </c>
      <c r="J493" s="88">
        <f>-IFERROR(VLOOKUP(C493,SIRTAC!$A$16:$H$1288,8,0),0)</f>
        <v>0</v>
      </c>
      <c r="K493" s="88">
        <f>-IFERROR(VLOOKUP(C493,Gastos!$A$9:$J$1281,10,0),0)</f>
        <v>0</v>
      </c>
      <c r="L493" s="87">
        <f>-IFERROR(VLOOKUP(C493,IDC!$A$25:$H$1532,8,0),0)</f>
        <v>-3.3</v>
      </c>
      <c r="M493" s="122">
        <f t="shared" si="69"/>
        <v>550</v>
      </c>
      <c r="N493" s="35"/>
      <c r="O493" s="35"/>
      <c r="P493" s="35">
        <f t="shared" si="70"/>
        <v>-550</v>
      </c>
      <c r="Q493" s="66">
        <f t="shared" si="71"/>
        <v>0</v>
      </c>
    </row>
    <row r="494" spans="1:17" s="59" customFormat="1" hidden="1">
      <c r="A494" s="35" t="s">
        <v>529</v>
      </c>
      <c r="B494" s="35" t="s">
        <v>15</v>
      </c>
      <c r="C494" s="91">
        <v>125847517582</v>
      </c>
      <c r="D494" s="3">
        <v>22408.9</v>
      </c>
      <c r="E494" s="3">
        <v>7591054.5700000003</v>
      </c>
      <c r="F494" s="35" t="s">
        <v>2750</v>
      </c>
      <c r="G494" s="35"/>
      <c r="H494" s="35"/>
      <c r="I494" s="27">
        <f>-IFERROR(VLOOKUP(C494,SIRCUPA!$A$21:$H$155,8,0),0)</f>
        <v>0</v>
      </c>
      <c r="J494" s="88">
        <f>-IFERROR(VLOOKUP(C494,SIRTAC!$A$16:$H$1288,8,0),0)</f>
        <v>-230</v>
      </c>
      <c r="K494" s="88">
        <f>-IFERROR(VLOOKUP(C494,Gastos!$A$9:$J$1281,10,0),0)</f>
        <v>-223.1</v>
      </c>
      <c r="L494" s="87">
        <f>-IFERROR(VLOOKUP(C494,IDC!$A$25:$H$1532,8,0),0)</f>
        <v>-138</v>
      </c>
      <c r="M494" s="122">
        <f t="shared" si="69"/>
        <v>23000</v>
      </c>
      <c r="N494" s="35"/>
      <c r="O494" s="35"/>
      <c r="P494" s="35">
        <f t="shared" si="70"/>
        <v>-23000</v>
      </c>
      <c r="Q494" s="66">
        <f t="shared" si="71"/>
        <v>0</v>
      </c>
    </row>
    <row r="495" spans="1:17" s="59" customFormat="1" hidden="1">
      <c r="A495" s="35" t="s">
        <v>529</v>
      </c>
      <c r="B495" s="35" t="s">
        <v>15</v>
      </c>
      <c r="C495" s="91">
        <v>125298516019</v>
      </c>
      <c r="D495" s="3">
        <v>33914.730000000003</v>
      </c>
      <c r="E495" s="3">
        <v>7624969.2999999998</v>
      </c>
      <c r="F495" s="35" t="s">
        <v>2750</v>
      </c>
      <c r="G495" s="35"/>
      <c r="H495" s="35"/>
      <c r="I495" s="27">
        <f>-IFERROR(VLOOKUP(C495,SIRCUPA!$A$21:$H$155,8,0),0)</f>
        <v>0</v>
      </c>
      <c r="J495" s="88">
        <f>-IFERROR(VLOOKUP(C495,SIRTAC!$A$16:$H$1288,8,0),0)</f>
        <v>-359</v>
      </c>
      <c r="K495" s="88">
        <f>-IFERROR(VLOOKUP(C495,Gastos!$A$9:$J$1281,10,0),0)</f>
        <v>-1410.87</v>
      </c>
      <c r="L495" s="87">
        <f>-IFERROR(VLOOKUP(C495,IDC!$A$25:$H$1532,8,0),0)</f>
        <v>-215.4</v>
      </c>
      <c r="M495" s="122">
        <f t="shared" si="69"/>
        <v>35900.000000000007</v>
      </c>
      <c r="N495" s="35"/>
      <c r="O495" s="35"/>
      <c r="P495" s="35">
        <f t="shared" si="70"/>
        <v>-35900</v>
      </c>
      <c r="Q495" s="66">
        <f t="shared" si="71"/>
        <v>0</v>
      </c>
    </row>
    <row r="496" spans="1:17" s="59" customFormat="1" hidden="1">
      <c r="A496" s="35" t="s">
        <v>529</v>
      </c>
      <c r="B496" s="35" t="s">
        <v>15</v>
      </c>
      <c r="C496" s="91">
        <v>125851439308</v>
      </c>
      <c r="D496" s="3">
        <v>8378.98</v>
      </c>
      <c r="E496" s="3">
        <v>7633348.2800000003</v>
      </c>
      <c r="F496" s="35" t="s">
        <v>2750</v>
      </c>
      <c r="G496" s="35"/>
      <c r="H496" s="35"/>
      <c r="I496" s="27">
        <f>-IFERROR(VLOOKUP(C496,SIRCUPA!$A$21:$H$155,8,0),0)</f>
        <v>0</v>
      </c>
      <c r="J496" s="88">
        <f>-IFERROR(VLOOKUP(C496,SIRTAC!$A$16:$H$1288,8,0),0)</f>
        <v>-86</v>
      </c>
      <c r="K496" s="88">
        <f>-IFERROR(VLOOKUP(C496,Gastos!$A$9:$J$1281,10,0),0)</f>
        <v>-83.42</v>
      </c>
      <c r="L496" s="87">
        <f>-IFERROR(VLOOKUP(C496,IDC!$A$25:$H$1532,8,0),0)</f>
        <v>-51.6</v>
      </c>
      <c r="M496" s="122">
        <f t="shared" si="69"/>
        <v>8600</v>
      </c>
      <c r="N496" s="35"/>
      <c r="O496" s="35"/>
      <c r="P496" s="35">
        <f t="shared" si="70"/>
        <v>-8600</v>
      </c>
      <c r="Q496" s="66">
        <f t="shared" si="71"/>
        <v>0</v>
      </c>
    </row>
    <row r="497" spans="1:17" hidden="1">
      <c r="A497" s="35" t="s">
        <v>529</v>
      </c>
      <c r="B497" s="35" t="s">
        <v>15</v>
      </c>
      <c r="C497" s="91">
        <v>125851618468</v>
      </c>
      <c r="D497" s="3">
        <v>4189.49</v>
      </c>
      <c r="E497" s="3">
        <v>7637537.7699999996</v>
      </c>
      <c r="F497" s="35" t="s">
        <v>2750</v>
      </c>
      <c r="G497" s="35"/>
      <c r="H497" s="35"/>
      <c r="I497" s="27">
        <f>-IFERROR(VLOOKUP(C497,SIRCUPA!$A$21:$H$155,8,0),0)</f>
        <v>0</v>
      </c>
      <c r="J497" s="88">
        <f>-IFERROR(VLOOKUP(C497,SIRTAC!$A$16:$H$1288,8,0),0)</f>
        <v>-43</v>
      </c>
      <c r="K497" s="88">
        <f>-IFERROR(VLOOKUP(C497,Gastos!$A$9:$J$1281,10,0),0)</f>
        <v>-41.71</v>
      </c>
      <c r="L497" s="87">
        <f>-IFERROR(VLOOKUP(C497,IDC!$A$25:$H$1532,8,0),0)</f>
        <v>-25.8</v>
      </c>
      <c r="M497" s="122">
        <f t="shared" si="69"/>
        <v>4300</v>
      </c>
      <c r="N497" s="35"/>
      <c r="O497" s="35"/>
      <c r="P497" s="35">
        <f t="shared" si="70"/>
        <v>-4300</v>
      </c>
      <c r="Q497" s="66">
        <f t="shared" si="71"/>
        <v>0</v>
      </c>
    </row>
    <row r="498" spans="1:17" s="59" customFormat="1" hidden="1">
      <c r="A498" s="35" t="s">
        <v>529</v>
      </c>
      <c r="B498" s="35" t="s">
        <v>15</v>
      </c>
      <c r="C498" s="91">
        <v>125302111081</v>
      </c>
      <c r="D498" s="3">
        <v>6820.1</v>
      </c>
      <c r="E498" s="3">
        <v>7644357.8700000001</v>
      </c>
      <c r="F498" s="35" t="s">
        <v>2750</v>
      </c>
      <c r="G498" s="35"/>
      <c r="H498" s="35"/>
      <c r="I498" s="27">
        <f>-IFERROR(VLOOKUP(C498,SIRCUPA!$A$21:$H$155,8,0),0)</f>
        <v>0</v>
      </c>
      <c r="J498" s="88">
        <f>-IFERROR(VLOOKUP(C498,SIRTAC!$A$16:$H$1288,8,0),0)</f>
        <v>-70</v>
      </c>
      <c r="K498" s="88">
        <f>-IFERROR(VLOOKUP(C498,Gastos!$A$9:$J$1281,10,0),0)</f>
        <v>-67.900000000000006</v>
      </c>
      <c r="L498" s="87">
        <f>-IFERROR(VLOOKUP(C498,IDC!$A$25:$H$1532,8,0),0)</f>
        <v>-42</v>
      </c>
      <c r="M498" s="122">
        <f t="shared" si="69"/>
        <v>7000</v>
      </c>
      <c r="N498" s="35"/>
      <c r="O498" s="35"/>
      <c r="P498" s="35">
        <f t="shared" si="70"/>
        <v>-7000</v>
      </c>
      <c r="Q498" s="66">
        <f t="shared" si="71"/>
        <v>0</v>
      </c>
    </row>
    <row r="499" spans="1:17" s="59" customFormat="1" hidden="1">
      <c r="A499" s="35" t="s">
        <v>529</v>
      </c>
      <c r="B499" s="35" t="s">
        <v>15</v>
      </c>
      <c r="C499" s="91">
        <v>125852041418</v>
      </c>
      <c r="D499" s="3">
        <v>4062.21</v>
      </c>
      <c r="E499" s="3">
        <v>7648420.0800000001</v>
      </c>
      <c r="F499" s="35" t="s">
        <v>2750</v>
      </c>
      <c r="G499" s="35"/>
      <c r="H499" s="35"/>
      <c r="I499" s="27">
        <f>-IFERROR(VLOOKUP(C499,SIRCUPA!$A$21:$H$155,8,0),0)</f>
        <v>0</v>
      </c>
      <c r="J499" s="88">
        <f>-IFERROR(VLOOKUP(C499,SIRTAC!$A$16:$H$1288,8,0),0)</f>
        <v>-43</v>
      </c>
      <c r="K499" s="88">
        <f>-IFERROR(VLOOKUP(C499,Gastos!$A$9:$J$1281,10,0),0)</f>
        <v>-168.99</v>
      </c>
      <c r="L499" s="87">
        <f>-IFERROR(VLOOKUP(C499,IDC!$A$25:$H$1532,8,0),0)</f>
        <v>-25.8</v>
      </c>
      <c r="M499" s="122">
        <f t="shared" si="69"/>
        <v>4300</v>
      </c>
      <c r="N499" s="35"/>
      <c r="O499" s="35"/>
      <c r="P499" s="35">
        <f t="shared" si="70"/>
        <v>-4300</v>
      </c>
      <c r="Q499" s="66">
        <f t="shared" si="71"/>
        <v>0</v>
      </c>
    </row>
    <row r="500" spans="1:17" hidden="1">
      <c r="A500" s="1" t="s">
        <v>529</v>
      </c>
      <c r="B500" s="1" t="s">
        <v>15</v>
      </c>
      <c r="C500" s="91">
        <v>125852449818</v>
      </c>
      <c r="D500" s="3">
        <v>3410.05</v>
      </c>
      <c r="E500" s="3">
        <v>7651830.1299999999</v>
      </c>
      <c r="F500" s="35" t="s">
        <v>2750</v>
      </c>
      <c r="G500"/>
      <c r="H500"/>
      <c r="I500" s="27">
        <f>-IFERROR(VLOOKUP(C500,SIRCUPA!$A$21:$H$155,8,0),0)</f>
        <v>0</v>
      </c>
      <c r="J500" s="88">
        <f>-IFERROR(VLOOKUP(C500,SIRTAC!$A$16:$H$1288,8,0),0)</f>
        <v>-35</v>
      </c>
      <c r="K500" s="88">
        <f>-IFERROR(VLOOKUP(C500,Gastos!$A$9:$J$1281,10,0),0)</f>
        <v>-33.950000000000003</v>
      </c>
      <c r="L500" s="87">
        <f>-IFERROR(VLOOKUP(C500,IDC!$A$25:$H$1532,8,0),0)</f>
        <v>-21</v>
      </c>
      <c r="M500" s="122">
        <f t="shared" si="69"/>
        <v>3500</v>
      </c>
      <c r="N500"/>
      <c r="P500" s="35">
        <f t="shared" si="70"/>
        <v>-3500</v>
      </c>
      <c r="Q500" s="66">
        <f t="shared" si="71"/>
        <v>0</v>
      </c>
    </row>
    <row r="501" spans="1:17" hidden="1">
      <c r="A501" s="1" t="s">
        <v>529</v>
      </c>
      <c r="B501" s="1" t="s">
        <v>575</v>
      </c>
      <c r="C501" s="91">
        <v>125852501254</v>
      </c>
      <c r="D501" s="2">
        <v>513.97</v>
      </c>
      <c r="E501" s="3">
        <v>7652344.0999999996</v>
      </c>
      <c r="F501" s="2" t="s">
        <v>2750</v>
      </c>
      <c r="G501"/>
      <c r="H501"/>
      <c r="I501" s="27">
        <f>-IFERROR(VLOOKUP(C501,SIRCUPA!$A$21:$H$155,8,0),0)</f>
        <v>-7.88</v>
      </c>
      <c r="J501" s="88">
        <f>-IFERROR(VLOOKUP(C501,SIRTAC!$A$16:$H$1288,8,0),0)</f>
        <v>0</v>
      </c>
      <c r="K501" s="88">
        <f>-IFERROR(VLOOKUP(C501,Gastos!$A$9:$J$1281,10,0),0)</f>
        <v>0</v>
      </c>
      <c r="L501" s="87">
        <f>-IFERROR(VLOOKUP(C501,IDC!$A$25:$H$1532,8,0),0)</f>
        <v>-3.15</v>
      </c>
      <c r="M501" s="122">
        <f t="shared" si="69"/>
        <v>525</v>
      </c>
      <c r="N501"/>
      <c r="P501" s="35">
        <f t="shared" si="70"/>
        <v>-525</v>
      </c>
      <c r="Q501" s="66">
        <f t="shared" si="71"/>
        <v>0</v>
      </c>
    </row>
    <row r="502" spans="1:17" hidden="1">
      <c r="A502" s="1" t="s">
        <v>529</v>
      </c>
      <c r="B502" s="1" t="s">
        <v>15</v>
      </c>
      <c r="C502" s="91">
        <v>125852727536</v>
      </c>
      <c r="D502" s="3">
        <v>28341</v>
      </c>
      <c r="E502" s="3">
        <v>7680685.0999999996</v>
      </c>
      <c r="F502" s="35" t="s">
        <v>2750</v>
      </c>
      <c r="G502"/>
      <c r="H502"/>
      <c r="I502" s="27">
        <f>-IFERROR(VLOOKUP(C502,SIRCUPA!$A$21:$H$155,8,0),0)</f>
        <v>0</v>
      </c>
      <c r="J502" s="88">
        <f>-IFERROR(VLOOKUP(C502,SIRTAC!$A$16:$H$1288,8,0),0)</f>
        <v>-300</v>
      </c>
      <c r="K502" s="88">
        <f>-IFERROR(VLOOKUP(C502,Gastos!$A$9:$J$1281,10,0),0)</f>
        <v>-1179</v>
      </c>
      <c r="L502" s="87">
        <f>-IFERROR(VLOOKUP(C502,IDC!$A$25:$H$1532,8,0),0)</f>
        <v>-180</v>
      </c>
      <c r="M502" s="122">
        <f t="shared" si="69"/>
        <v>30000</v>
      </c>
      <c r="N502"/>
      <c r="P502" s="35">
        <f t="shared" si="70"/>
        <v>-30000</v>
      </c>
      <c r="Q502" s="66">
        <f t="shared" si="71"/>
        <v>0</v>
      </c>
    </row>
    <row r="503" spans="1:17" hidden="1">
      <c r="A503" s="1" t="s">
        <v>529</v>
      </c>
      <c r="B503" s="1" t="s">
        <v>15</v>
      </c>
      <c r="C503" s="91">
        <v>125853449760</v>
      </c>
      <c r="D503" s="3">
        <v>8322.2199999999993</v>
      </c>
      <c r="E503" s="3">
        <v>7689007.3200000003</v>
      </c>
      <c r="F503" s="35" t="s">
        <v>2750</v>
      </c>
      <c r="G503"/>
      <c r="H503"/>
      <c r="I503" s="27">
        <f>-IFERROR(VLOOKUP(C503,SIRCUPA!$A$21:$H$155,8,0),0)</f>
        <v>0</v>
      </c>
      <c r="J503" s="88">
        <f>-IFERROR(VLOOKUP(C503,SIRTAC!$A$16:$H$1288,8,0),0)</f>
        <v>-86</v>
      </c>
      <c r="K503" s="88">
        <f>-IFERROR(VLOOKUP(C503,Gastos!$A$9:$J$1281,10,0),0)</f>
        <v>-140.18</v>
      </c>
      <c r="L503" s="87">
        <f>-IFERROR(VLOOKUP(C503,IDC!$A$25:$H$1532,8,0),0)</f>
        <v>-51.6</v>
      </c>
      <c r="M503" s="122">
        <f t="shared" ref="M503:M534" si="72">+D503-I503-J503-K503-L503</f>
        <v>8600</v>
      </c>
      <c r="N503"/>
      <c r="P503" s="35">
        <f t="shared" si="70"/>
        <v>-8600</v>
      </c>
      <c r="Q503" s="66">
        <f t="shared" si="71"/>
        <v>0</v>
      </c>
    </row>
    <row r="504" spans="1:17" hidden="1">
      <c r="A504" s="1" t="s">
        <v>529</v>
      </c>
      <c r="B504" s="1" t="s">
        <v>15</v>
      </c>
      <c r="C504" s="91">
        <v>125304094253</v>
      </c>
      <c r="D504" s="3">
        <v>3799.77</v>
      </c>
      <c r="E504" s="3">
        <v>7692807.0899999999</v>
      </c>
      <c r="F504" s="35" t="s">
        <v>2750</v>
      </c>
      <c r="G504"/>
      <c r="H504"/>
      <c r="I504" s="27">
        <f>-IFERROR(VLOOKUP(C504,SIRCUPA!$A$21:$H$155,8,0),0)</f>
        <v>0</v>
      </c>
      <c r="J504" s="88">
        <f>-IFERROR(VLOOKUP(C504,SIRTAC!$A$16:$H$1288,8,0),0)</f>
        <v>-39</v>
      </c>
      <c r="K504" s="88">
        <f>-IFERROR(VLOOKUP(C504,Gastos!$A$9:$J$1281,10,0),0)</f>
        <v>-37.83</v>
      </c>
      <c r="L504" s="87">
        <f>-IFERROR(VLOOKUP(C504,IDC!$A$25:$H$1532,8,0),0)</f>
        <v>-23.4</v>
      </c>
      <c r="M504" s="122">
        <f t="shared" si="72"/>
        <v>3900</v>
      </c>
      <c r="N504"/>
      <c r="P504" s="35">
        <f t="shared" si="70"/>
        <v>-3899.9999999999995</v>
      </c>
      <c r="Q504" s="66">
        <f t="shared" si="71"/>
        <v>0</v>
      </c>
    </row>
    <row r="505" spans="1:17" hidden="1">
      <c r="A505" s="1" t="s">
        <v>529</v>
      </c>
      <c r="B505" s="1" t="s">
        <v>15</v>
      </c>
      <c r="C505" s="91">
        <v>125304141263</v>
      </c>
      <c r="D505" s="3">
        <v>21337.17</v>
      </c>
      <c r="E505" s="3">
        <v>7714144.2599999998</v>
      </c>
      <c r="F505" s="35" t="s">
        <v>2750</v>
      </c>
      <c r="G505"/>
      <c r="H505"/>
      <c r="I505" s="27">
        <f>-IFERROR(VLOOKUP(C505,SIRCUPA!$A$21:$H$155,8,0),0)</f>
        <v>0</v>
      </c>
      <c r="J505" s="88">
        <f>-IFERROR(VLOOKUP(C505,SIRTAC!$A$16:$H$1288,8,0),0)</f>
        <v>-219</v>
      </c>
      <c r="K505" s="88">
        <f>-IFERROR(VLOOKUP(C505,Gastos!$A$9:$J$1281,10,0),0)</f>
        <v>-212.43</v>
      </c>
      <c r="L505" s="87">
        <f>-IFERROR(VLOOKUP(C505,IDC!$A$25:$H$1532,8,0),0)</f>
        <v>-131.4</v>
      </c>
      <c r="M505" s="122">
        <f t="shared" si="72"/>
        <v>21900</v>
      </c>
      <c r="N505"/>
      <c r="P505" s="35">
        <f t="shared" si="70"/>
        <v>-21900</v>
      </c>
      <c r="Q505" s="66">
        <f t="shared" si="71"/>
        <v>0</v>
      </c>
    </row>
    <row r="506" spans="1:17" hidden="1">
      <c r="A506" s="1" t="s">
        <v>529</v>
      </c>
      <c r="B506" s="1" t="s">
        <v>15</v>
      </c>
      <c r="C506" s="91">
        <v>125304398269</v>
      </c>
      <c r="D506" s="3">
        <v>26964.63</v>
      </c>
      <c r="E506" s="3">
        <v>7741108.8899999997</v>
      </c>
      <c r="F506" s="35" t="s">
        <v>2750</v>
      </c>
      <c r="G506"/>
      <c r="H506"/>
      <c r="I506" s="27">
        <f>-IFERROR(VLOOKUP(C506,SIRCUPA!$A$21:$H$155,8,0),0)</f>
        <v>0</v>
      </c>
      <c r="J506" s="88">
        <f>-IFERROR(VLOOKUP(C506,SIRTAC!$A$16:$H$1288,8,0),0)</f>
        <v>-297</v>
      </c>
      <c r="K506" s="88">
        <f>-IFERROR(VLOOKUP(C506,Gastos!$A$9:$J$1281,10,0),0)</f>
        <v>-2260.17</v>
      </c>
      <c r="L506" s="87">
        <f>-IFERROR(VLOOKUP(C506,IDC!$A$25:$H$1532,8,0),0)</f>
        <v>-178.2</v>
      </c>
      <c r="M506" s="122">
        <f t="shared" si="72"/>
        <v>29700.000000000004</v>
      </c>
      <c r="N506"/>
      <c r="P506" s="35">
        <f t="shared" si="70"/>
        <v>-29699.999999999996</v>
      </c>
      <c r="Q506" s="66">
        <f t="shared" si="71"/>
        <v>0</v>
      </c>
    </row>
    <row r="507" spans="1:17" hidden="1">
      <c r="A507" s="1" t="s">
        <v>529</v>
      </c>
      <c r="B507" s="1" t="s">
        <v>15</v>
      </c>
      <c r="C507" s="91">
        <v>125854396652</v>
      </c>
      <c r="D507" s="3">
        <v>20594.46</v>
      </c>
      <c r="E507" s="3">
        <v>7761703.3499999996</v>
      </c>
      <c r="F507" s="35" t="s">
        <v>2750</v>
      </c>
      <c r="G507"/>
      <c r="H507"/>
      <c r="I507" s="27">
        <f>-IFERROR(VLOOKUP(C507,SIRCUPA!$A$21:$H$155,8,0),0)</f>
        <v>0</v>
      </c>
      <c r="J507" s="88">
        <f>-IFERROR(VLOOKUP(C507,SIRTAC!$A$16:$H$1288,8,0),0)</f>
        <v>-218</v>
      </c>
      <c r="K507" s="88">
        <f>-IFERROR(VLOOKUP(C507,Gastos!$A$9:$J$1281,10,0),0)</f>
        <v>-856.74</v>
      </c>
      <c r="L507" s="87">
        <f>-IFERROR(VLOOKUP(C507,IDC!$A$25:$H$1532,8,0),0)</f>
        <v>-130.80000000000001</v>
      </c>
      <c r="M507" s="122">
        <f t="shared" si="72"/>
        <v>21800</v>
      </c>
      <c r="N507"/>
      <c r="P507" s="35">
        <f t="shared" si="70"/>
        <v>-21800</v>
      </c>
      <c r="Q507" s="66">
        <f t="shared" si="71"/>
        <v>0</v>
      </c>
    </row>
    <row r="508" spans="1:17" hidden="1">
      <c r="A508" s="1" t="s">
        <v>529</v>
      </c>
      <c r="B508" s="1" t="s">
        <v>15</v>
      </c>
      <c r="C508" s="91">
        <v>125305225765</v>
      </c>
      <c r="D508" s="3">
        <v>2143.46</v>
      </c>
      <c r="E508" s="3">
        <v>7763846.8099999996</v>
      </c>
      <c r="F508" s="35" t="s">
        <v>2750</v>
      </c>
      <c r="G508"/>
      <c r="H508"/>
      <c r="I508" s="27">
        <f>-IFERROR(VLOOKUP(C508,SIRCUPA!$A$21:$H$155,8,0),0)</f>
        <v>0</v>
      </c>
      <c r="J508" s="88">
        <f>-IFERROR(VLOOKUP(C508,SIRTAC!$A$16:$H$1288,8,0),0)</f>
        <v>-22</v>
      </c>
      <c r="K508" s="88">
        <f>-IFERROR(VLOOKUP(C508,Gastos!$A$9:$J$1281,10,0),0)</f>
        <v>-21.34</v>
      </c>
      <c r="L508" s="87">
        <f>-IFERROR(VLOOKUP(C508,IDC!$A$25:$H$1532,8,0),0)</f>
        <v>-13.2</v>
      </c>
      <c r="M508" s="122">
        <f t="shared" si="72"/>
        <v>2200</v>
      </c>
      <c r="N508"/>
      <c r="P508" s="35">
        <f t="shared" si="70"/>
        <v>-2200</v>
      </c>
      <c r="Q508" s="66">
        <f t="shared" si="71"/>
        <v>0</v>
      </c>
    </row>
    <row r="509" spans="1:17" hidden="1">
      <c r="A509" s="1" t="s">
        <v>529</v>
      </c>
      <c r="B509" s="1" t="s">
        <v>15</v>
      </c>
      <c r="C509" s="91">
        <v>125855330618</v>
      </c>
      <c r="D509" s="3">
        <v>53489.07</v>
      </c>
      <c r="E509" s="3">
        <v>7817335.8799999999</v>
      </c>
      <c r="F509" s="35" t="s">
        <v>2750</v>
      </c>
      <c r="G509"/>
      <c r="H509"/>
      <c r="I509" s="27">
        <f>-IFERROR(VLOOKUP(C509,SIRCUPA!$A$21:$H$155,8,0),0)</f>
        <v>0</v>
      </c>
      <c r="J509" s="88">
        <f>-IFERROR(VLOOKUP(C509,SIRTAC!$A$16:$H$1288,8,0),0)</f>
        <v>-549</v>
      </c>
      <c r="K509" s="88">
        <f>-IFERROR(VLOOKUP(C509,Gastos!$A$9:$J$1281,10,0),0)</f>
        <v>-532.53</v>
      </c>
      <c r="L509" s="87">
        <f>-IFERROR(VLOOKUP(C509,IDC!$A$25:$H$1532,8,0),0)</f>
        <v>-329.4</v>
      </c>
      <c r="M509" s="122">
        <f t="shared" si="72"/>
        <v>54900</v>
      </c>
      <c r="N509"/>
      <c r="P509" s="35">
        <f t="shared" si="70"/>
        <v>-54899.999999999993</v>
      </c>
      <c r="Q509" s="66">
        <f t="shared" si="71"/>
        <v>0</v>
      </c>
    </row>
    <row r="510" spans="1:17" hidden="1">
      <c r="A510" s="1" t="s">
        <v>529</v>
      </c>
      <c r="B510" s="1" t="s">
        <v>15</v>
      </c>
      <c r="C510" s="91">
        <v>125855413332</v>
      </c>
      <c r="D510" s="3">
        <v>7368.66</v>
      </c>
      <c r="E510" s="3">
        <v>7824704.54</v>
      </c>
      <c r="F510" s="35" t="s">
        <v>2750</v>
      </c>
      <c r="G510"/>
      <c r="H510"/>
      <c r="I510" s="27">
        <f>-IFERROR(VLOOKUP(C510,SIRCUPA!$A$21:$H$155,8,0),0)</f>
        <v>0</v>
      </c>
      <c r="J510" s="88">
        <f>-IFERROR(VLOOKUP(C510,SIRTAC!$A$16:$H$1288,8,0),0)</f>
        <v>-78</v>
      </c>
      <c r="K510" s="88">
        <f>-IFERROR(VLOOKUP(C510,Gastos!$A$9:$J$1281,10,0),0)</f>
        <v>-306.54000000000002</v>
      </c>
      <c r="L510" s="87">
        <f>-IFERROR(VLOOKUP(C510,IDC!$A$25:$H$1532,8,0),0)</f>
        <v>-46.8</v>
      </c>
      <c r="M510" s="122">
        <f t="shared" si="72"/>
        <v>7800</v>
      </c>
      <c r="N510"/>
      <c r="P510" s="35">
        <f t="shared" si="70"/>
        <v>-7799.9999999999991</v>
      </c>
      <c r="Q510" s="66">
        <f t="shared" si="71"/>
        <v>0</v>
      </c>
    </row>
    <row r="511" spans="1:17" hidden="1">
      <c r="A511" s="1" t="s">
        <v>529</v>
      </c>
      <c r="B511" s="1" t="s">
        <v>15</v>
      </c>
      <c r="C511" s="91">
        <v>125306671969</v>
      </c>
      <c r="D511" s="3">
        <v>17551.82</v>
      </c>
      <c r="E511" s="3">
        <v>7842256.3600000003</v>
      </c>
      <c r="F511" s="35" t="s">
        <v>2750</v>
      </c>
      <c r="G511"/>
      <c r="H511"/>
      <c r="I511" s="27">
        <f>-IFERROR(VLOOKUP(C511,SIRCUPA!$A$21:$H$155,8,0),0)</f>
        <v>0</v>
      </c>
      <c r="J511" s="88">
        <f>-IFERROR(VLOOKUP(C511,SIRTAC!$A$16:$H$1288,8,0),0)</f>
        <v>-187</v>
      </c>
      <c r="K511" s="88">
        <f>-IFERROR(VLOOKUP(C511,Gastos!$A$9:$J$1281,10,0),0)</f>
        <v>-848.98</v>
      </c>
      <c r="L511" s="87">
        <f>-IFERROR(VLOOKUP(C511,IDC!$A$25:$H$1532,8,0),0)</f>
        <v>-112.2</v>
      </c>
      <c r="M511" s="122">
        <f t="shared" si="72"/>
        <v>18700</v>
      </c>
      <c r="N511"/>
      <c r="P511" s="35">
        <f t="shared" si="70"/>
        <v>-18700</v>
      </c>
      <c r="Q511" s="66">
        <f t="shared" si="71"/>
        <v>0</v>
      </c>
    </row>
    <row r="512" spans="1:17" hidden="1">
      <c r="A512" s="1" t="s">
        <v>529</v>
      </c>
      <c r="B512" s="1" t="s">
        <v>15</v>
      </c>
      <c r="C512" s="91">
        <v>125307224295</v>
      </c>
      <c r="D512" s="3">
        <v>4189.49</v>
      </c>
      <c r="E512" s="3">
        <v>7846445.8499999996</v>
      </c>
      <c r="F512" s="35" t="s">
        <v>2750</v>
      </c>
      <c r="G512"/>
      <c r="H512"/>
      <c r="I512" s="27">
        <f>-IFERROR(VLOOKUP(C512,SIRCUPA!$A$21:$H$155,8,0),0)</f>
        <v>0</v>
      </c>
      <c r="J512" s="88">
        <f>-IFERROR(VLOOKUP(C512,SIRTAC!$A$16:$H$1288,8,0),0)</f>
        <v>-43</v>
      </c>
      <c r="K512" s="88">
        <f>-IFERROR(VLOOKUP(C512,Gastos!$A$9:$J$1281,10,0),0)</f>
        <v>-41.71</v>
      </c>
      <c r="L512" s="87">
        <f>-IFERROR(VLOOKUP(C512,IDC!$A$25:$H$1532,8,0),0)</f>
        <v>-25.8</v>
      </c>
      <c r="M512" s="122">
        <f t="shared" si="72"/>
        <v>4300</v>
      </c>
      <c r="N512"/>
      <c r="P512" s="35">
        <f t="shared" si="70"/>
        <v>-4300</v>
      </c>
      <c r="Q512" s="66">
        <f t="shared" si="71"/>
        <v>0</v>
      </c>
    </row>
    <row r="513" spans="1:17" hidden="1">
      <c r="A513" s="1" t="s">
        <v>529</v>
      </c>
      <c r="B513" s="1" t="s">
        <v>15</v>
      </c>
      <c r="C513" s="91">
        <v>125307313189</v>
      </c>
      <c r="D513" s="3">
        <v>4189.49</v>
      </c>
      <c r="E513" s="3">
        <v>7850635.3399999999</v>
      </c>
      <c r="F513" s="35" t="s">
        <v>2750</v>
      </c>
      <c r="G513"/>
      <c r="H513"/>
      <c r="I513" s="27">
        <f>-IFERROR(VLOOKUP(C513,SIRCUPA!$A$21:$H$155,8,0),0)</f>
        <v>0</v>
      </c>
      <c r="J513" s="88">
        <f>-IFERROR(VLOOKUP(C513,SIRTAC!$A$16:$H$1288,8,0),0)</f>
        <v>-43</v>
      </c>
      <c r="K513" s="88">
        <f>-IFERROR(VLOOKUP(C513,Gastos!$A$9:$J$1281,10,0),0)</f>
        <v>-41.71</v>
      </c>
      <c r="L513" s="87">
        <f>-IFERROR(VLOOKUP(C513,IDC!$A$25:$H$1532,8,0),0)</f>
        <v>-25.8</v>
      </c>
      <c r="M513" s="122">
        <f t="shared" si="72"/>
        <v>4300</v>
      </c>
      <c r="N513"/>
      <c r="P513" s="35">
        <f t="shared" si="70"/>
        <v>-4300</v>
      </c>
      <c r="Q513" s="66">
        <f t="shared" si="71"/>
        <v>0</v>
      </c>
    </row>
    <row r="514" spans="1:17" hidden="1">
      <c r="A514" s="1" t="s">
        <v>529</v>
      </c>
      <c r="B514" s="1" t="s">
        <v>15</v>
      </c>
      <c r="C514" s="91">
        <v>125307881689</v>
      </c>
      <c r="D514" s="3">
        <v>4189.49</v>
      </c>
      <c r="E514" s="3">
        <v>7854824.8300000001</v>
      </c>
      <c r="F514" s="35" t="s">
        <v>2750</v>
      </c>
      <c r="G514"/>
      <c r="H514"/>
      <c r="I514" s="27">
        <f>-IFERROR(VLOOKUP(C514,SIRCUPA!$A$21:$H$155,8,0),0)</f>
        <v>0</v>
      </c>
      <c r="J514" s="88">
        <f>-IFERROR(VLOOKUP(C514,SIRTAC!$A$16:$H$1288,8,0),0)</f>
        <v>-43</v>
      </c>
      <c r="K514" s="88">
        <f>-IFERROR(VLOOKUP(C514,Gastos!$A$9:$J$1281,10,0),0)</f>
        <v>-41.71</v>
      </c>
      <c r="L514" s="87">
        <f>-IFERROR(VLOOKUP(C514,IDC!$A$25:$H$1532,8,0),0)</f>
        <v>-25.8</v>
      </c>
      <c r="M514" s="122">
        <f t="shared" si="72"/>
        <v>4300</v>
      </c>
      <c r="N514"/>
      <c r="P514" s="35">
        <f t="shared" si="70"/>
        <v>-4300</v>
      </c>
      <c r="Q514" s="66">
        <f t="shared" si="71"/>
        <v>0</v>
      </c>
    </row>
    <row r="515" spans="1:17" hidden="1">
      <c r="A515" s="1" t="s">
        <v>529</v>
      </c>
      <c r="B515" s="1" t="s">
        <v>15</v>
      </c>
      <c r="C515" s="91">
        <v>125858046938</v>
      </c>
      <c r="D515" s="3">
        <v>8378.98</v>
      </c>
      <c r="E515" s="3">
        <v>7863203.8099999996</v>
      </c>
      <c r="F515" s="35" t="s">
        <v>2750</v>
      </c>
      <c r="G515"/>
      <c r="H515"/>
      <c r="I515" s="27">
        <f>-IFERROR(VLOOKUP(C515,SIRCUPA!$A$21:$H$155,8,0),0)</f>
        <v>0</v>
      </c>
      <c r="J515" s="88">
        <f>-IFERROR(VLOOKUP(C515,SIRTAC!$A$16:$H$1288,8,0),0)</f>
        <v>-86</v>
      </c>
      <c r="K515" s="88">
        <f>-IFERROR(VLOOKUP(C515,Gastos!$A$9:$J$1281,10,0),0)</f>
        <v>-83.42</v>
      </c>
      <c r="L515" s="87">
        <f>-IFERROR(VLOOKUP(C515,IDC!$A$25:$H$1532,8,0),0)</f>
        <v>-51.6</v>
      </c>
      <c r="M515" s="122">
        <f t="shared" si="72"/>
        <v>8600</v>
      </c>
      <c r="N515"/>
      <c r="P515" s="35">
        <f t="shared" si="70"/>
        <v>-8600</v>
      </c>
      <c r="Q515" s="66">
        <f t="shared" si="71"/>
        <v>0</v>
      </c>
    </row>
    <row r="516" spans="1:17" hidden="1">
      <c r="A516" s="1" t="s">
        <v>529</v>
      </c>
      <c r="B516" s="1" t="s">
        <v>15</v>
      </c>
      <c r="C516" s="91">
        <v>125858321940</v>
      </c>
      <c r="D516" s="3">
        <v>8573.84</v>
      </c>
      <c r="E516" s="3">
        <v>7871777.6500000004</v>
      </c>
      <c r="F516" s="35" t="s">
        <v>2750</v>
      </c>
      <c r="G516"/>
      <c r="H516"/>
      <c r="I516" s="27">
        <f>-IFERROR(VLOOKUP(C516,SIRCUPA!$A$21:$H$155,8,0),0)</f>
        <v>0</v>
      </c>
      <c r="J516" s="88">
        <f>-IFERROR(VLOOKUP(C516,SIRTAC!$A$16:$H$1288,8,0),0)</f>
        <v>-88</v>
      </c>
      <c r="K516" s="88">
        <f>-IFERROR(VLOOKUP(C516,Gastos!$A$9:$J$1281,10,0),0)</f>
        <v>-85.36</v>
      </c>
      <c r="L516" s="87">
        <f>-IFERROR(VLOOKUP(C516,IDC!$A$25:$H$1532,8,0),0)</f>
        <v>-52.8</v>
      </c>
      <c r="M516" s="122">
        <f t="shared" si="72"/>
        <v>8800</v>
      </c>
      <c r="N516"/>
      <c r="P516" s="35">
        <f t="shared" si="70"/>
        <v>-8800</v>
      </c>
      <c r="Q516" s="66">
        <f t="shared" si="71"/>
        <v>0</v>
      </c>
    </row>
    <row r="517" spans="1:17" hidden="1">
      <c r="A517" s="1" t="s">
        <v>529</v>
      </c>
      <c r="B517" s="1" t="s">
        <v>15</v>
      </c>
      <c r="C517" s="91">
        <v>125858862480</v>
      </c>
      <c r="D517" s="3">
        <v>5163.79</v>
      </c>
      <c r="E517" s="3">
        <v>7876941.4400000004</v>
      </c>
      <c r="F517" s="35" t="s">
        <v>2750</v>
      </c>
      <c r="G517"/>
      <c r="H517"/>
      <c r="I517" s="27">
        <f>-IFERROR(VLOOKUP(C517,SIRCUPA!$A$21:$H$155,8,0),0)</f>
        <v>0</v>
      </c>
      <c r="J517" s="88">
        <f>-IFERROR(VLOOKUP(C517,SIRTAC!$A$16:$H$1288,8,0),0)</f>
        <v>-53</v>
      </c>
      <c r="K517" s="88">
        <f>-IFERROR(VLOOKUP(C517,Gastos!$A$9:$J$1281,10,0),0)</f>
        <v>-51.41</v>
      </c>
      <c r="L517" s="87">
        <f>-IFERROR(VLOOKUP(C517,IDC!$A$25:$H$1532,8,0),0)</f>
        <v>-31.8</v>
      </c>
      <c r="M517" s="122">
        <f t="shared" si="72"/>
        <v>5300</v>
      </c>
      <c r="N517"/>
      <c r="P517" s="35">
        <f t="shared" si="70"/>
        <v>-5300</v>
      </c>
      <c r="Q517" s="66">
        <f t="shared" si="71"/>
        <v>0</v>
      </c>
    </row>
    <row r="518" spans="1:17" hidden="1">
      <c r="A518" s="1" t="s">
        <v>529</v>
      </c>
      <c r="B518" s="1" t="s">
        <v>593</v>
      </c>
      <c r="C518" s="91">
        <v>125858898284</v>
      </c>
      <c r="D518" s="2">
        <v>259.43</v>
      </c>
      <c r="E518" s="3">
        <v>7877200.8700000001</v>
      </c>
      <c r="F518" s="2" t="s">
        <v>2750</v>
      </c>
      <c r="G518"/>
      <c r="H518"/>
      <c r="I518" s="27">
        <f>-IFERROR(VLOOKUP(C518,SIRCUPA!$A$21:$H$155,8,0),0)</f>
        <v>-3.98</v>
      </c>
      <c r="J518" s="88">
        <f>-IFERROR(VLOOKUP(C518,SIRTAC!$A$16:$H$1288,8,0),0)</f>
        <v>0</v>
      </c>
      <c r="K518" s="88">
        <f>-IFERROR(VLOOKUP(C518,Gastos!$A$9:$J$1281,10,0),0)</f>
        <v>0</v>
      </c>
      <c r="L518" s="87">
        <f>-IFERROR(VLOOKUP(C518,IDC!$A$25:$H$1532,8,0),0)</f>
        <v>-1.59</v>
      </c>
      <c r="M518" s="122">
        <f t="shared" si="72"/>
        <v>265</v>
      </c>
      <c r="N518"/>
      <c r="P518" s="35">
        <f t="shared" si="70"/>
        <v>-265</v>
      </c>
      <c r="Q518" s="66">
        <f t="shared" si="71"/>
        <v>0</v>
      </c>
    </row>
    <row r="519" spans="1:17" hidden="1">
      <c r="A519" s="1" t="s">
        <v>529</v>
      </c>
      <c r="B519" s="1" t="s">
        <v>15</v>
      </c>
      <c r="C519" s="91">
        <v>125860218818</v>
      </c>
      <c r="D519" s="3">
        <v>27670.12</v>
      </c>
      <c r="E519" s="3">
        <v>7904870.9900000002</v>
      </c>
      <c r="F519" s="35" t="s">
        <v>2750</v>
      </c>
      <c r="G519"/>
      <c r="H519"/>
      <c r="I519" s="27">
        <f>-IFERROR(VLOOKUP(C519,SIRCUPA!$A$21:$H$155,8,0),0)</f>
        <v>0</v>
      </c>
      <c r="J519" s="88">
        <f>-IFERROR(VLOOKUP(C519,SIRTAC!$A$16:$H$1288,8,0),0)</f>
        <v>-284</v>
      </c>
      <c r="K519" s="88">
        <f>-IFERROR(VLOOKUP(C519,Gastos!$A$9:$J$1281,10,0),0)</f>
        <v>-275.48</v>
      </c>
      <c r="L519" s="87">
        <f>-IFERROR(VLOOKUP(C519,IDC!$A$25:$H$1532,8,0),0)</f>
        <v>-170.4</v>
      </c>
      <c r="M519" s="122">
        <f t="shared" si="72"/>
        <v>28400</v>
      </c>
      <c r="N519"/>
      <c r="P519" s="35">
        <f t="shared" si="70"/>
        <v>-28400</v>
      </c>
      <c r="Q519" s="66">
        <f t="shared" si="71"/>
        <v>0</v>
      </c>
    </row>
    <row r="520" spans="1:17" hidden="1">
      <c r="A520" s="1" t="s">
        <v>529</v>
      </c>
      <c r="B520" s="1" t="s">
        <v>596</v>
      </c>
      <c r="C520" s="91">
        <v>125860256390</v>
      </c>
      <c r="D520" s="3">
        <v>1390.18</v>
      </c>
      <c r="E520" s="3">
        <v>7906261.1699999999</v>
      </c>
      <c r="F520" s="2" t="s">
        <v>2750</v>
      </c>
      <c r="G520"/>
      <c r="H520"/>
      <c r="I520" s="27">
        <f>-IFERROR(VLOOKUP(C520,SIRCUPA!$A$21:$H$155,8,0),0)</f>
        <v>-21.3</v>
      </c>
      <c r="J520" s="88">
        <f>-IFERROR(VLOOKUP(C520,SIRTAC!$A$16:$H$1288,8,0),0)</f>
        <v>0</v>
      </c>
      <c r="K520" s="88">
        <f>-IFERROR(VLOOKUP(C520,Gastos!$A$9:$J$1281,10,0),0)</f>
        <v>0</v>
      </c>
      <c r="L520" s="87">
        <f>-IFERROR(VLOOKUP(C520,IDC!$A$25:$H$1532,8,0),0)</f>
        <v>-8.52</v>
      </c>
      <c r="M520" s="122">
        <f t="shared" si="72"/>
        <v>1420</v>
      </c>
      <c r="N520"/>
      <c r="P520" s="35">
        <f t="shared" si="70"/>
        <v>-1420</v>
      </c>
      <c r="Q520" s="66">
        <f t="shared" si="71"/>
        <v>0</v>
      </c>
    </row>
    <row r="521" spans="1:17" hidden="1">
      <c r="A521" s="1" t="s">
        <v>529</v>
      </c>
      <c r="B521" s="1" t="s">
        <v>15</v>
      </c>
      <c r="C521" s="91">
        <v>125860330268</v>
      </c>
      <c r="D521" s="3">
        <v>4189.49</v>
      </c>
      <c r="E521" s="3">
        <v>7910450.6600000001</v>
      </c>
      <c r="F521" s="35" t="s">
        <v>2750</v>
      </c>
      <c r="G521"/>
      <c r="H521"/>
      <c r="I521" s="27">
        <f>-IFERROR(VLOOKUP(C521,SIRCUPA!$A$21:$H$155,8,0),0)</f>
        <v>0</v>
      </c>
      <c r="J521" s="88">
        <f>-IFERROR(VLOOKUP(C521,SIRTAC!$A$16:$H$1288,8,0),0)</f>
        <v>-43</v>
      </c>
      <c r="K521" s="88">
        <f>-IFERROR(VLOOKUP(C521,Gastos!$A$9:$J$1281,10,0),0)</f>
        <v>-41.71</v>
      </c>
      <c r="L521" s="87">
        <f>-IFERROR(VLOOKUP(C521,IDC!$A$25:$H$1532,8,0),0)</f>
        <v>-25.8</v>
      </c>
      <c r="M521" s="122">
        <f t="shared" si="72"/>
        <v>4300</v>
      </c>
      <c r="N521"/>
      <c r="P521" s="35">
        <f t="shared" si="70"/>
        <v>-4300</v>
      </c>
      <c r="Q521" s="66">
        <f t="shared" si="71"/>
        <v>0</v>
      </c>
    </row>
    <row r="522" spans="1:17" hidden="1">
      <c r="A522" s="1" t="s">
        <v>529</v>
      </c>
      <c r="B522" s="1" t="s">
        <v>15</v>
      </c>
      <c r="C522" s="91">
        <v>125860494178</v>
      </c>
      <c r="D522" s="3">
        <v>4871.5</v>
      </c>
      <c r="E522" s="3">
        <v>7915322.1600000001</v>
      </c>
      <c r="F522" s="35" t="s">
        <v>2750</v>
      </c>
      <c r="G522"/>
      <c r="H522"/>
      <c r="I522" s="27">
        <f>-IFERROR(VLOOKUP(C522,SIRCUPA!$A$21:$H$155,8,0),0)</f>
        <v>0</v>
      </c>
      <c r="J522" s="88">
        <f>-IFERROR(VLOOKUP(C522,SIRTAC!$A$16:$H$1288,8,0),0)</f>
        <v>-50</v>
      </c>
      <c r="K522" s="88">
        <f>-IFERROR(VLOOKUP(C522,Gastos!$A$9:$J$1281,10,0),0)</f>
        <v>-48.5</v>
      </c>
      <c r="L522" s="87">
        <f>-IFERROR(VLOOKUP(C522,IDC!$A$25:$H$1532,8,0),0)</f>
        <v>-30</v>
      </c>
      <c r="M522" s="122">
        <f t="shared" si="72"/>
        <v>5000</v>
      </c>
      <c r="N522"/>
      <c r="P522" s="35">
        <f t="shared" si="70"/>
        <v>-5000</v>
      </c>
      <c r="Q522" s="66">
        <f t="shared" si="71"/>
        <v>0</v>
      </c>
    </row>
    <row r="523" spans="1:17" hidden="1">
      <c r="A523" s="1" t="s">
        <v>529</v>
      </c>
      <c r="B523" s="1" t="s">
        <v>15</v>
      </c>
      <c r="C523" s="91">
        <v>125310911019</v>
      </c>
      <c r="D523" s="3">
        <v>4189.49</v>
      </c>
      <c r="E523" s="3">
        <v>7919511.6500000004</v>
      </c>
      <c r="F523" s="35" t="s">
        <v>2750</v>
      </c>
      <c r="G523"/>
      <c r="H523"/>
      <c r="I523" s="27">
        <f>-IFERROR(VLOOKUP(C523,SIRCUPA!$A$21:$H$155,8,0),0)</f>
        <v>0</v>
      </c>
      <c r="J523" s="88">
        <f>-IFERROR(VLOOKUP(C523,SIRTAC!$A$16:$H$1288,8,0),0)</f>
        <v>-43</v>
      </c>
      <c r="K523" s="88">
        <f>-IFERROR(VLOOKUP(C523,Gastos!$A$9:$J$1281,10,0),0)</f>
        <v>-41.71</v>
      </c>
      <c r="L523" s="87">
        <f>-IFERROR(VLOOKUP(C523,IDC!$A$25:$H$1532,8,0),0)</f>
        <v>-25.8</v>
      </c>
      <c r="M523" s="122">
        <f t="shared" si="72"/>
        <v>4300</v>
      </c>
      <c r="N523"/>
      <c r="P523" s="35">
        <f t="shared" si="70"/>
        <v>-4300</v>
      </c>
      <c r="Q523" s="66">
        <f t="shared" si="71"/>
        <v>0</v>
      </c>
    </row>
    <row r="524" spans="1:17" hidden="1">
      <c r="A524" s="1" t="s">
        <v>529</v>
      </c>
      <c r="B524" s="1" t="s">
        <v>15</v>
      </c>
      <c r="C524" s="91">
        <v>125311241119</v>
      </c>
      <c r="D524" s="3">
        <v>8378.98</v>
      </c>
      <c r="E524" s="3">
        <v>7927890.6299999999</v>
      </c>
      <c r="F524" s="35" t="s">
        <v>2750</v>
      </c>
      <c r="G524"/>
      <c r="H524"/>
      <c r="I524" s="27">
        <f>-IFERROR(VLOOKUP(C524,SIRCUPA!$A$21:$H$155,8,0),0)</f>
        <v>0</v>
      </c>
      <c r="J524" s="88">
        <f>-IFERROR(VLOOKUP(C524,SIRTAC!$A$16:$H$1288,8,0),0)</f>
        <v>-86</v>
      </c>
      <c r="K524" s="88">
        <f>-IFERROR(VLOOKUP(C524,Gastos!$A$9:$J$1281,10,0),0)</f>
        <v>-83.42</v>
      </c>
      <c r="L524" s="87">
        <f>-IFERROR(VLOOKUP(C524,IDC!$A$25:$H$1532,8,0),0)</f>
        <v>-51.6</v>
      </c>
      <c r="M524" s="122">
        <f t="shared" si="72"/>
        <v>8600</v>
      </c>
      <c r="N524"/>
      <c r="P524" s="35">
        <f t="shared" si="70"/>
        <v>-8600</v>
      </c>
      <c r="Q524" s="66">
        <f t="shared" si="71"/>
        <v>0</v>
      </c>
    </row>
    <row r="525" spans="1:17" hidden="1">
      <c r="A525" s="1" t="s">
        <v>529</v>
      </c>
      <c r="B525" s="1" t="s">
        <v>15</v>
      </c>
      <c r="C525" s="91">
        <v>125311773883</v>
      </c>
      <c r="D525" s="3">
        <v>18121.98</v>
      </c>
      <c r="E525" s="3">
        <v>7946012.6100000003</v>
      </c>
      <c r="F525" s="35" t="s">
        <v>2750</v>
      </c>
      <c r="G525"/>
      <c r="H525"/>
      <c r="I525" s="27">
        <f>-IFERROR(VLOOKUP(C525,SIRCUPA!$A$21:$H$155,8,0),0)</f>
        <v>0</v>
      </c>
      <c r="J525" s="88">
        <f>-IFERROR(VLOOKUP(C525,SIRTAC!$A$16:$H$1288,8,0),0)</f>
        <v>-186</v>
      </c>
      <c r="K525" s="88">
        <f>-IFERROR(VLOOKUP(C525,Gastos!$A$9:$J$1281,10,0),0)</f>
        <v>-180.42</v>
      </c>
      <c r="L525" s="87">
        <f>-IFERROR(VLOOKUP(C525,IDC!$A$25:$H$1532,8,0),0)</f>
        <v>-111.6</v>
      </c>
      <c r="M525" s="122">
        <f t="shared" si="72"/>
        <v>18599.999999999996</v>
      </c>
      <c r="N525"/>
      <c r="P525" s="35">
        <f t="shared" si="70"/>
        <v>-18600</v>
      </c>
      <c r="Q525" s="66">
        <f t="shared" si="71"/>
        <v>0</v>
      </c>
    </row>
    <row r="526" spans="1:17" hidden="1">
      <c r="A526" s="1" t="s">
        <v>529</v>
      </c>
      <c r="B526" s="1" t="s">
        <v>15</v>
      </c>
      <c r="C526" s="91">
        <v>125862584570</v>
      </c>
      <c r="D526" s="3">
        <v>81548.91</v>
      </c>
      <c r="E526" s="3">
        <v>8027561.5199999996</v>
      </c>
      <c r="F526" s="35" t="s">
        <v>2750</v>
      </c>
      <c r="G526"/>
      <c r="H526"/>
      <c r="I526" s="27">
        <f>-IFERROR(VLOOKUP(C526,SIRCUPA!$A$21:$H$155,8,0),0)</f>
        <v>0</v>
      </c>
      <c r="J526" s="88">
        <f>-IFERROR(VLOOKUP(C526,SIRTAC!$A$16:$H$1288,8,0),0)</f>
        <v>-837</v>
      </c>
      <c r="K526" s="88">
        <f>-IFERROR(VLOOKUP(C526,Gastos!$A$9:$J$1281,10,0),0)</f>
        <v>-811.89</v>
      </c>
      <c r="L526" s="87">
        <f>-IFERROR(VLOOKUP(C526,IDC!$A$25:$H$1532,8,0),0)</f>
        <v>-502.2</v>
      </c>
      <c r="M526" s="122">
        <f t="shared" si="72"/>
        <v>83700</v>
      </c>
      <c r="N526"/>
      <c r="P526" s="35">
        <f t="shared" si="70"/>
        <v>-83700</v>
      </c>
      <c r="Q526" s="66">
        <f t="shared" si="71"/>
        <v>0</v>
      </c>
    </row>
    <row r="527" spans="1:17" hidden="1">
      <c r="A527" s="1" t="s">
        <v>529</v>
      </c>
      <c r="B527" s="1" t="s">
        <v>15</v>
      </c>
      <c r="C527" s="91">
        <v>125312890421</v>
      </c>
      <c r="D527" s="3">
        <v>18043.77</v>
      </c>
      <c r="E527" s="3">
        <v>8045605.29</v>
      </c>
      <c r="F527" s="35" t="s">
        <v>2750</v>
      </c>
      <c r="G527"/>
      <c r="H527"/>
      <c r="I527" s="27">
        <f>-IFERROR(VLOOKUP(C527,SIRCUPA!$A$21:$H$155,8,0),0)</f>
        <v>0</v>
      </c>
      <c r="J527" s="88">
        <f>-IFERROR(VLOOKUP(C527,SIRTAC!$A$16:$H$1288,8,0),0)</f>
        <v>-191</v>
      </c>
      <c r="K527" s="88">
        <f>-IFERROR(VLOOKUP(C527,Gastos!$A$9:$J$1281,10,0),0)</f>
        <v>-750.63</v>
      </c>
      <c r="L527" s="87">
        <f>-IFERROR(VLOOKUP(C527,IDC!$A$25:$H$1532,8,0),0)</f>
        <v>-114.6</v>
      </c>
      <c r="M527" s="122">
        <f t="shared" si="72"/>
        <v>19100</v>
      </c>
      <c r="N527"/>
      <c r="P527" s="35">
        <f t="shared" si="70"/>
        <v>-19100</v>
      </c>
      <c r="Q527" s="66">
        <f t="shared" si="71"/>
        <v>0</v>
      </c>
    </row>
    <row r="528" spans="1:17" hidden="1">
      <c r="A528" s="1" t="s">
        <v>529</v>
      </c>
      <c r="B528" s="1" t="s">
        <v>15</v>
      </c>
      <c r="C528" s="91">
        <v>125862675902</v>
      </c>
      <c r="D528" s="3">
        <v>12710.6</v>
      </c>
      <c r="E528" s="3">
        <v>8058315.8899999997</v>
      </c>
      <c r="F528" s="35" t="s">
        <v>2750</v>
      </c>
      <c r="G528"/>
      <c r="H528"/>
      <c r="I528" s="27">
        <f>-IFERROR(VLOOKUP(C528,SIRCUPA!$A$21:$H$155,8,0),0)</f>
        <v>0</v>
      </c>
      <c r="J528" s="88">
        <f>-IFERROR(VLOOKUP(C528,SIRTAC!$A$16:$H$1288,8,0),0)</f>
        <v>-140</v>
      </c>
      <c r="K528" s="88">
        <f>-IFERROR(VLOOKUP(C528,Gastos!$A$9:$J$1281,10,0),0)</f>
        <v>-1065.4000000000001</v>
      </c>
      <c r="L528" s="87">
        <f>-IFERROR(VLOOKUP(C528,IDC!$A$25:$H$1532,8,0),0)</f>
        <v>-84</v>
      </c>
      <c r="M528" s="122">
        <f t="shared" si="72"/>
        <v>14000</v>
      </c>
      <c r="N528"/>
      <c r="P528" s="35">
        <f t="shared" si="70"/>
        <v>-14000</v>
      </c>
      <c r="Q528" s="66">
        <f t="shared" si="71"/>
        <v>0</v>
      </c>
    </row>
    <row r="529" spans="1:18" hidden="1">
      <c r="A529" s="1" t="s">
        <v>529</v>
      </c>
      <c r="B529" s="1" t="s">
        <v>15</v>
      </c>
      <c r="C529" s="91">
        <v>125863448486</v>
      </c>
      <c r="D529" s="3">
        <v>23480.63</v>
      </c>
      <c r="E529" s="3">
        <v>8081796.5199999996</v>
      </c>
      <c r="F529" s="35" t="s">
        <v>2750</v>
      </c>
      <c r="G529"/>
      <c r="H529"/>
      <c r="I529" s="27">
        <f>-IFERROR(VLOOKUP(C529,SIRCUPA!$A$21:$H$155,8,0),0)</f>
        <v>0</v>
      </c>
      <c r="J529" s="88">
        <f>-IFERROR(VLOOKUP(C529,SIRTAC!$A$16:$H$1288,8,0),0)</f>
        <v>-241</v>
      </c>
      <c r="K529" s="88">
        <f>-IFERROR(VLOOKUP(C529,Gastos!$A$9:$J$1281,10,0),0)</f>
        <v>-233.77</v>
      </c>
      <c r="L529" s="87">
        <f>-IFERROR(VLOOKUP(C529,IDC!$A$25:$H$1532,8,0),0)</f>
        <v>-144.6</v>
      </c>
      <c r="M529" s="122">
        <f t="shared" si="72"/>
        <v>24100</v>
      </c>
      <c r="N529"/>
      <c r="P529" s="35">
        <f t="shared" si="70"/>
        <v>-24100</v>
      </c>
      <c r="Q529" s="66">
        <f t="shared" si="71"/>
        <v>0</v>
      </c>
    </row>
    <row r="530" spans="1:18" hidden="1">
      <c r="A530" s="1" t="s">
        <v>529</v>
      </c>
      <c r="B530" s="1" t="s">
        <v>607</v>
      </c>
      <c r="C530" s="91">
        <v>125313726111</v>
      </c>
      <c r="D530" s="3">
        <v>1179.69</v>
      </c>
      <c r="E530" s="3">
        <v>8082976.21</v>
      </c>
      <c r="F530" s="2" t="s">
        <v>2750</v>
      </c>
      <c r="G530"/>
      <c r="H530"/>
      <c r="I530" s="27">
        <f>-IFERROR(VLOOKUP(C530,SIRCUPA!$A$21:$H$155,8,0),0)</f>
        <v>-18.079999999999998</v>
      </c>
      <c r="J530" s="88">
        <f>-IFERROR(VLOOKUP(C530,SIRTAC!$A$16:$H$1288,8,0),0)</f>
        <v>0</v>
      </c>
      <c r="K530" s="88">
        <f>-IFERROR(VLOOKUP(C530,Gastos!$A$9:$J$1281,10,0),0)</f>
        <v>0</v>
      </c>
      <c r="L530" s="87">
        <f>-IFERROR(VLOOKUP(C530,IDC!$A$25:$H$1532,8,0),0)</f>
        <v>-7.23</v>
      </c>
      <c r="M530" s="122">
        <f t="shared" si="72"/>
        <v>1205</v>
      </c>
      <c r="N530"/>
      <c r="P530" s="35">
        <f t="shared" si="70"/>
        <v>-1205</v>
      </c>
      <c r="Q530" s="66">
        <f t="shared" si="71"/>
        <v>0</v>
      </c>
    </row>
    <row r="531" spans="1:18" hidden="1">
      <c r="A531" s="1" t="s">
        <v>529</v>
      </c>
      <c r="B531" s="1" t="s">
        <v>15</v>
      </c>
      <c r="C531" s="91">
        <v>125314398803</v>
      </c>
      <c r="D531" s="3">
        <v>30982.74</v>
      </c>
      <c r="E531" s="3">
        <v>8113958.9500000002</v>
      </c>
      <c r="F531" s="35" t="s">
        <v>2750</v>
      </c>
      <c r="G531"/>
      <c r="H531"/>
      <c r="I531" s="27">
        <f>-IFERROR(VLOOKUP(C531,SIRCUPA!$A$21:$H$155,8,0),0)</f>
        <v>0</v>
      </c>
      <c r="J531" s="88">
        <f>-IFERROR(VLOOKUP(C531,SIRTAC!$A$16:$H$1288,8,0),0)</f>
        <v>-318</v>
      </c>
      <c r="K531" s="88">
        <f>-IFERROR(VLOOKUP(C531,Gastos!$A$9:$J$1281,10,0),0)</f>
        <v>-308.45999999999998</v>
      </c>
      <c r="L531" s="87">
        <f>-IFERROR(VLOOKUP(C531,IDC!$A$25:$H$1532,8,0),0)</f>
        <v>-190.8</v>
      </c>
      <c r="M531" s="122">
        <f t="shared" si="72"/>
        <v>31800</v>
      </c>
      <c r="N531"/>
      <c r="P531" s="35">
        <f t="shared" si="70"/>
        <v>-31800</v>
      </c>
      <c r="Q531" s="66">
        <f t="shared" si="71"/>
        <v>0</v>
      </c>
    </row>
    <row r="532" spans="1:18" hidden="1">
      <c r="A532" s="1" t="s">
        <v>529</v>
      </c>
      <c r="B532" s="1" t="s">
        <v>15</v>
      </c>
      <c r="C532" s="91">
        <v>125864492262</v>
      </c>
      <c r="D532" s="3">
        <v>13932.49</v>
      </c>
      <c r="E532" s="3">
        <v>8127891.4400000004</v>
      </c>
      <c r="F532" s="35" t="s">
        <v>2750</v>
      </c>
      <c r="G532"/>
      <c r="H532"/>
      <c r="I532" s="27">
        <f>-IFERROR(VLOOKUP(C532,SIRCUPA!$A$21:$H$155,8,0),0)</f>
        <v>0</v>
      </c>
      <c r="J532" s="88">
        <f>-IFERROR(VLOOKUP(C532,SIRTAC!$A$16:$H$1288,8,0),0)</f>
        <v>-143</v>
      </c>
      <c r="K532" s="88">
        <f>-IFERROR(VLOOKUP(C532,Gastos!$A$9:$J$1281,10,0),0)</f>
        <v>-138.71</v>
      </c>
      <c r="L532" s="87">
        <f>-IFERROR(VLOOKUP(C532,IDC!$A$25:$H$1532,8,0),0)</f>
        <v>-85.8</v>
      </c>
      <c r="M532" s="122">
        <f t="shared" si="72"/>
        <v>14299.999999999998</v>
      </c>
      <c r="N532"/>
      <c r="P532" s="35">
        <f t="shared" si="70"/>
        <v>-14300</v>
      </c>
      <c r="Q532" s="66">
        <f t="shared" si="71"/>
        <v>0</v>
      </c>
    </row>
    <row r="533" spans="1:18" hidden="1">
      <c r="A533" s="1" t="s">
        <v>529</v>
      </c>
      <c r="B533" s="1" t="s">
        <v>15</v>
      </c>
      <c r="C533" s="91">
        <v>125864705876</v>
      </c>
      <c r="D533" s="3">
        <v>8124.42</v>
      </c>
      <c r="E533" s="3">
        <v>8136015.8600000003</v>
      </c>
      <c r="F533" s="35" t="s">
        <v>2750</v>
      </c>
      <c r="G533"/>
      <c r="H533"/>
      <c r="I533" s="27">
        <f>-IFERROR(VLOOKUP(C533,SIRCUPA!$A$21:$H$155,8,0),0)</f>
        <v>0</v>
      </c>
      <c r="J533" s="88">
        <f>-IFERROR(VLOOKUP(C533,SIRTAC!$A$16:$H$1288,8,0),0)</f>
        <v>-86</v>
      </c>
      <c r="K533" s="88">
        <f>-IFERROR(VLOOKUP(C533,Gastos!$A$9:$J$1281,10,0),0)</f>
        <v>-337.98</v>
      </c>
      <c r="L533" s="87">
        <f>-IFERROR(VLOOKUP(C533,IDC!$A$25:$H$1532,8,0),0)</f>
        <v>-51.6</v>
      </c>
      <c r="M533" s="122">
        <f t="shared" si="72"/>
        <v>8600</v>
      </c>
      <c r="N533"/>
      <c r="P533" s="35">
        <f t="shared" si="70"/>
        <v>-8600</v>
      </c>
      <c r="Q533" s="66">
        <f t="shared" si="71"/>
        <v>0</v>
      </c>
    </row>
    <row r="534" spans="1:18" hidden="1">
      <c r="A534" s="1" t="s">
        <v>529</v>
      </c>
      <c r="B534" s="1" t="s">
        <v>15</v>
      </c>
      <c r="C534" s="91">
        <v>125864911030</v>
      </c>
      <c r="D534" s="3">
        <v>17439.97</v>
      </c>
      <c r="E534" s="3">
        <v>8153455.8300000001</v>
      </c>
      <c r="F534" s="35" t="s">
        <v>2750</v>
      </c>
      <c r="G534"/>
      <c r="H534"/>
      <c r="I534" s="27">
        <f>-IFERROR(VLOOKUP(C534,SIRCUPA!$A$21:$H$155,8,0),0)</f>
        <v>0</v>
      </c>
      <c r="J534" s="88">
        <f>-IFERROR(VLOOKUP(C534,SIRTAC!$A$16:$H$1288,8,0),0)</f>
        <v>-179</v>
      </c>
      <c r="K534" s="88">
        <f>-IFERROR(VLOOKUP(C534,Gastos!$A$9:$J$1281,10,0),0)</f>
        <v>-173.63</v>
      </c>
      <c r="L534" s="87">
        <f>-IFERROR(VLOOKUP(C534,IDC!$A$25:$H$1532,8,0),0)</f>
        <v>-107.4</v>
      </c>
      <c r="M534" s="122">
        <f t="shared" si="72"/>
        <v>17900.000000000004</v>
      </c>
      <c r="N534"/>
      <c r="P534" s="35">
        <f t="shared" si="70"/>
        <v>-17900</v>
      </c>
      <c r="Q534" s="66">
        <f t="shared" si="71"/>
        <v>0</v>
      </c>
    </row>
    <row r="535" spans="1:18" hidden="1">
      <c r="A535" s="1" t="s">
        <v>529</v>
      </c>
      <c r="B535" s="1" t="s">
        <v>15</v>
      </c>
      <c r="C535" s="91">
        <v>125315241639</v>
      </c>
      <c r="D535" s="3">
        <v>27280.400000000001</v>
      </c>
      <c r="E535" s="3">
        <v>8180736.2300000004</v>
      </c>
      <c r="F535" s="35" t="s">
        <v>2750</v>
      </c>
      <c r="G535"/>
      <c r="H535"/>
      <c r="I535" s="27">
        <f>-IFERROR(VLOOKUP(C535,SIRCUPA!$A$21:$H$155,8,0),0)</f>
        <v>0</v>
      </c>
      <c r="J535" s="88">
        <f>-IFERROR(VLOOKUP(C535,SIRTAC!$A$16:$H$1288,8,0),0)</f>
        <v>-280</v>
      </c>
      <c r="K535" s="88">
        <f>-IFERROR(VLOOKUP(C535,Gastos!$A$9:$J$1281,10,0),0)</f>
        <v>-271.60000000000002</v>
      </c>
      <c r="L535" s="87">
        <f>-IFERROR(VLOOKUP(C535,IDC!$A$25:$H$1532,8,0),0)</f>
        <v>-168</v>
      </c>
      <c r="M535" s="122">
        <f t="shared" ref="M535:M540" si="73">+D535-I535-J535-K535-L535</f>
        <v>28000</v>
      </c>
      <c r="N535"/>
      <c r="P535" s="35">
        <f t="shared" ref="P535:P540" si="74">+L535/0.006</f>
        <v>-28000</v>
      </c>
      <c r="Q535" s="66">
        <f t="shared" ref="Q535:Q540" si="75">+M535+P535</f>
        <v>0</v>
      </c>
    </row>
    <row r="536" spans="1:18" hidden="1">
      <c r="A536" s="1" t="s">
        <v>529</v>
      </c>
      <c r="B536" s="1" t="s">
        <v>15</v>
      </c>
      <c r="C536" s="91">
        <v>125315401565</v>
      </c>
      <c r="D536" s="3">
        <v>8071.96</v>
      </c>
      <c r="E536" s="3">
        <v>8188808.1900000004</v>
      </c>
      <c r="F536" s="35" t="s">
        <v>2750</v>
      </c>
      <c r="G536"/>
      <c r="H536"/>
      <c r="I536" s="27">
        <f>-IFERROR(VLOOKUP(C536,SIRCUPA!$A$21:$H$155,8,0),0)</f>
        <v>0</v>
      </c>
      <c r="J536" s="88">
        <f>-IFERROR(VLOOKUP(C536,SIRTAC!$A$16:$H$1288,8,0),0)</f>
        <v>-86</v>
      </c>
      <c r="K536" s="88">
        <f>-IFERROR(VLOOKUP(C536,Gastos!$A$9:$J$1281,10,0),0)</f>
        <v>-390.44</v>
      </c>
      <c r="L536" s="87">
        <f>-IFERROR(VLOOKUP(C536,IDC!$A$25:$H$1532,8,0),0)</f>
        <v>-51.6</v>
      </c>
      <c r="M536" s="122">
        <f t="shared" si="73"/>
        <v>8600</v>
      </c>
      <c r="N536"/>
      <c r="P536" s="35">
        <f t="shared" si="74"/>
        <v>-8600</v>
      </c>
      <c r="Q536" s="66">
        <f t="shared" si="75"/>
        <v>0</v>
      </c>
    </row>
    <row r="537" spans="1:18" hidden="1">
      <c r="A537" s="1" t="s">
        <v>529</v>
      </c>
      <c r="B537" s="1" t="s">
        <v>15</v>
      </c>
      <c r="C537" s="91">
        <v>125315415565</v>
      </c>
      <c r="D537" s="3">
        <v>54755.66</v>
      </c>
      <c r="E537" s="3">
        <v>8243563.8499999996</v>
      </c>
      <c r="F537" s="35" t="s">
        <v>2750</v>
      </c>
      <c r="G537"/>
      <c r="H537"/>
      <c r="I537" s="27">
        <f>-IFERROR(VLOOKUP(C537,SIRCUPA!$A$21:$H$155,8,0),0)</f>
        <v>0</v>
      </c>
      <c r="J537" s="88">
        <f>-IFERROR(VLOOKUP(C537,SIRTAC!$A$16:$H$1288,8,0),0)</f>
        <v>-562</v>
      </c>
      <c r="K537" s="88">
        <f>-IFERROR(VLOOKUP(C537,Gastos!$A$9:$J$1281,10,0),0)</f>
        <v>-545.14</v>
      </c>
      <c r="L537" s="87">
        <f>-IFERROR(VLOOKUP(C537,IDC!$A$25:$H$1532,8,0),0)</f>
        <v>-337.2</v>
      </c>
      <c r="M537" s="122">
        <f t="shared" si="73"/>
        <v>56200</v>
      </c>
      <c r="N537"/>
      <c r="P537" s="35">
        <f t="shared" si="74"/>
        <v>-56200</v>
      </c>
      <c r="Q537" s="66">
        <f t="shared" si="75"/>
        <v>0</v>
      </c>
    </row>
    <row r="538" spans="1:18" hidden="1">
      <c r="A538" s="1" t="s">
        <v>529</v>
      </c>
      <c r="B538" s="1" t="s">
        <v>15</v>
      </c>
      <c r="C538" s="91">
        <v>125315541627</v>
      </c>
      <c r="D538" s="3">
        <v>12471.04</v>
      </c>
      <c r="E538" s="3">
        <v>8256034.8899999997</v>
      </c>
      <c r="F538" s="35" t="s">
        <v>2750</v>
      </c>
      <c r="G538"/>
      <c r="H538"/>
      <c r="I538" s="27">
        <f>-IFERROR(VLOOKUP(C538,SIRCUPA!$A$21:$H$155,8,0),0)</f>
        <v>0</v>
      </c>
      <c r="J538" s="88">
        <f>-IFERROR(VLOOKUP(C538,SIRTAC!$A$16:$H$1288,8,0),0)</f>
        <v>-128</v>
      </c>
      <c r="K538" s="88">
        <f>-IFERROR(VLOOKUP(C538,Gastos!$A$9:$J$1281,10,0),0)</f>
        <v>-124.16</v>
      </c>
      <c r="L538" s="87">
        <f>-IFERROR(VLOOKUP(C538,IDC!$A$25:$H$1532,8,0),0)</f>
        <v>-76.8</v>
      </c>
      <c r="M538" s="122">
        <f t="shared" si="73"/>
        <v>12800</v>
      </c>
      <c r="N538"/>
      <c r="P538" s="35">
        <f t="shared" si="74"/>
        <v>-12800</v>
      </c>
      <c r="Q538" s="66">
        <f t="shared" si="75"/>
        <v>0</v>
      </c>
    </row>
    <row r="539" spans="1:18" hidden="1">
      <c r="A539" s="1" t="s">
        <v>529</v>
      </c>
      <c r="B539" s="1" t="s">
        <v>15</v>
      </c>
      <c r="C539" s="91">
        <v>125865477358</v>
      </c>
      <c r="D539" s="3">
        <v>15199.08</v>
      </c>
      <c r="E539" s="3">
        <v>8271233.9699999997</v>
      </c>
      <c r="F539" s="35" t="s">
        <v>2750</v>
      </c>
      <c r="G539"/>
      <c r="H539"/>
      <c r="I539" s="27">
        <f>-IFERROR(VLOOKUP(C539,SIRCUPA!$A$21:$H$155,8,0),0)</f>
        <v>0</v>
      </c>
      <c r="J539" s="88">
        <f>-IFERROR(VLOOKUP(C539,SIRTAC!$A$16:$H$1288,8,0),0)</f>
        <v>-156</v>
      </c>
      <c r="K539" s="88">
        <f>-IFERROR(VLOOKUP(C539,Gastos!$A$9:$J$1281,10,0),0)</f>
        <v>-151.32</v>
      </c>
      <c r="L539" s="87">
        <f>-IFERROR(VLOOKUP(C539,IDC!$A$25:$H$1532,8,0),0)</f>
        <v>-93.6</v>
      </c>
      <c r="M539" s="122">
        <f t="shared" si="73"/>
        <v>15600</v>
      </c>
      <c r="N539"/>
      <c r="P539" s="35">
        <f t="shared" si="74"/>
        <v>-15599.999999999998</v>
      </c>
      <c r="Q539" s="66">
        <f t="shared" si="75"/>
        <v>0</v>
      </c>
    </row>
    <row r="540" spans="1:18" hidden="1">
      <c r="A540" s="1" t="s">
        <v>529</v>
      </c>
      <c r="B540" s="1" t="s">
        <v>15</v>
      </c>
      <c r="C540" s="91">
        <v>125865630514</v>
      </c>
      <c r="D540" s="3">
        <v>6820.1</v>
      </c>
      <c r="E540" s="3">
        <v>8278054.0700000003</v>
      </c>
      <c r="F540" s="35" t="s">
        <v>2750</v>
      </c>
      <c r="G540"/>
      <c r="H540"/>
      <c r="I540" s="27">
        <f>-IFERROR(VLOOKUP(C540,SIRCUPA!$A$21:$H$155,8,0),0)</f>
        <v>0</v>
      </c>
      <c r="J540" s="88">
        <f>-IFERROR(VLOOKUP(C540,SIRTAC!$A$16:$H$1288,8,0),0)</f>
        <v>-70</v>
      </c>
      <c r="K540" s="88">
        <f>-IFERROR(VLOOKUP(C540,Gastos!$A$9:$J$1281,10,0),0)</f>
        <v>-67.900000000000006</v>
      </c>
      <c r="L540" s="87">
        <f>-IFERROR(VLOOKUP(C540,IDC!$A$25:$H$1532,8,0),0)</f>
        <v>-42</v>
      </c>
      <c r="M540" s="122">
        <f t="shared" si="73"/>
        <v>7000</v>
      </c>
      <c r="N540"/>
      <c r="P540" s="35">
        <f t="shared" si="74"/>
        <v>-7000</v>
      </c>
      <c r="Q540" s="66">
        <f t="shared" si="75"/>
        <v>0</v>
      </c>
    </row>
    <row r="541" spans="1:18" hidden="1">
      <c r="A541" s="59" t="s">
        <v>1382</v>
      </c>
      <c r="B541" s="59" t="s">
        <v>28</v>
      </c>
      <c r="C541" s="112">
        <v>127610741100</v>
      </c>
      <c r="D541" s="64">
        <v>-7607.4</v>
      </c>
      <c r="E541" s="3">
        <v>8237420.3899999997</v>
      </c>
      <c r="F541" s="63" t="s">
        <v>2747</v>
      </c>
      <c r="G541" s="65">
        <f t="shared" ref="G541:G546" si="76">+D541/0.006</f>
        <v>-1267900</v>
      </c>
      <c r="H541" s="65"/>
      <c r="I541" s="108">
        <f>-IFERROR(VLOOKUP(C541,SIRCUPA!$A$21:$H$155,8,0),0)</f>
        <v>0</v>
      </c>
      <c r="J541" s="108">
        <f>-IFERROR(VLOOKUP(C541,SIRTAC!$A$16:$H$1288,8,0),0)</f>
        <v>0</v>
      </c>
      <c r="K541" s="108">
        <f>-IFERROR(VLOOKUP(C541,Gastos!$A$9:$J$1281,10,0),0)</f>
        <v>0</v>
      </c>
      <c r="L541" s="65">
        <f>-IFERROR(VLOOKUP(C541,IDC!$A$25:$H$1532,8,0),0)</f>
        <v>-7607.4</v>
      </c>
      <c r="M541" s="123">
        <f t="shared" ref="M541:M546" si="77">+D541</f>
        <v>-7607.4</v>
      </c>
      <c r="N541" s="65"/>
      <c r="O541" s="59"/>
      <c r="Q541" s="66">
        <f t="shared" ref="Q541:Q546" si="78">+L541</f>
        <v>-7607.4</v>
      </c>
      <c r="R541" s="66">
        <f t="shared" ref="R541:R549" si="79">+M541-Q541</f>
        <v>0</v>
      </c>
    </row>
    <row r="542" spans="1:18" hidden="1">
      <c r="A542" s="59" t="s">
        <v>1481</v>
      </c>
      <c r="B542" s="59" t="s">
        <v>28</v>
      </c>
      <c r="C542" s="112">
        <v>127161961407</v>
      </c>
      <c r="D542" s="63">
        <v>-387.75</v>
      </c>
      <c r="E542" s="3">
        <v>10077196.83</v>
      </c>
      <c r="F542" s="63" t="s">
        <v>2747</v>
      </c>
      <c r="G542" s="65">
        <f t="shared" si="76"/>
        <v>-64625</v>
      </c>
      <c r="H542" s="65"/>
      <c r="I542" s="108">
        <f>-IFERROR(VLOOKUP(C542,SIRCUPA!$A$21:$H$155,8,0),0)</f>
        <v>0</v>
      </c>
      <c r="J542" s="108">
        <f>-IFERROR(VLOOKUP(C542,SIRTAC!$A$16:$H$1288,8,0),0)</f>
        <v>0</v>
      </c>
      <c r="K542" s="108">
        <f>-IFERROR(VLOOKUP(C542,Gastos!$A$9:$J$1281,10,0),0)</f>
        <v>0</v>
      </c>
      <c r="L542" s="65">
        <f>-IFERROR(VLOOKUP(C542,IDC!$A$25:$H$1532,8,0),0)</f>
        <v>-387.75</v>
      </c>
      <c r="M542" s="123">
        <f t="shared" si="77"/>
        <v>-387.75</v>
      </c>
      <c r="N542" s="65"/>
      <c r="O542" s="59"/>
      <c r="Q542" s="66">
        <f t="shared" si="78"/>
        <v>-387.75</v>
      </c>
      <c r="R542" s="66">
        <f t="shared" si="79"/>
        <v>0</v>
      </c>
    </row>
    <row r="543" spans="1:18" hidden="1">
      <c r="A543" s="59" t="s">
        <v>1481</v>
      </c>
      <c r="B543" s="59" t="s">
        <v>28</v>
      </c>
      <c r="C543" s="112">
        <v>127162354947</v>
      </c>
      <c r="D543" s="64">
        <v>-1236.3599999999999</v>
      </c>
      <c r="E543" s="3">
        <v>9869901</v>
      </c>
      <c r="F543" s="63" t="s">
        <v>2747</v>
      </c>
      <c r="G543" s="65">
        <f t="shared" si="76"/>
        <v>-206059.99999999997</v>
      </c>
      <c r="H543" s="65"/>
      <c r="I543" s="108">
        <f>-IFERROR(VLOOKUP(C543,SIRCUPA!$A$21:$H$155,8,0),0)</f>
        <v>0</v>
      </c>
      <c r="J543" s="108">
        <f>-IFERROR(VLOOKUP(C543,SIRTAC!$A$16:$H$1288,8,0),0)</f>
        <v>0</v>
      </c>
      <c r="K543" s="108">
        <f>-IFERROR(VLOOKUP(C543,Gastos!$A$9:$J$1281,10,0),0)</f>
        <v>0</v>
      </c>
      <c r="L543" s="65">
        <f>-IFERROR(VLOOKUP(C543,IDC!$A$25:$H$1532,8,0),0)</f>
        <v>-1236.3599999999999</v>
      </c>
      <c r="M543" s="123">
        <f t="shared" si="77"/>
        <v>-1236.3599999999999</v>
      </c>
      <c r="N543" s="65"/>
      <c r="O543" s="59"/>
      <c r="Q543" s="66">
        <f t="shared" si="78"/>
        <v>-1236.3599999999999</v>
      </c>
      <c r="R543" s="66">
        <f t="shared" si="79"/>
        <v>0</v>
      </c>
    </row>
    <row r="544" spans="1:18" hidden="1">
      <c r="A544" s="59" t="s">
        <v>1481</v>
      </c>
      <c r="B544" s="59" t="s">
        <v>28</v>
      </c>
      <c r="C544" s="112">
        <v>127163022479</v>
      </c>
      <c r="D544" s="63">
        <v>-218.19</v>
      </c>
      <c r="E544" s="3">
        <v>9833317.0399999991</v>
      </c>
      <c r="F544" s="63" t="s">
        <v>2747</v>
      </c>
      <c r="G544" s="65">
        <f t="shared" si="76"/>
        <v>-36365</v>
      </c>
      <c r="H544" s="65"/>
      <c r="I544" s="108">
        <f>-IFERROR(VLOOKUP(C544,SIRCUPA!$A$21:$H$155,8,0),0)</f>
        <v>0</v>
      </c>
      <c r="J544" s="108">
        <f>-IFERROR(VLOOKUP(C544,SIRTAC!$A$16:$H$1288,8,0),0)</f>
        <v>0</v>
      </c>
      <c r="K544" s="108">
        <f>-IFERROR(VLOOKUP(C544,Gastos!$A$9:$J$1281,10,0),0)</f>
        <v>0</v>
      </c>
      <c r="L544" s="65">
        <f>-IFERROR(VLOOKUP(C544,IDC!$A$25:$H$1532,8,0),0)</f>
        <v>-218.19</v>
      </c>
      <c r="M544" s="123">
        <f t="shared" si="77"/>
        <v>-218.19</v>
      </c>
      <c r="N544" s="65"/>
      <c r="O544" s="59"/>
      <c r="Q544" s="66">
        <f t="shared" si="78"/>
        <v>-218.19</v>
      </c>
      <c r="R544" s="66">
        <f t="shared" si="79"/>
        <v>0</v>
      </c>
    </row>
    <row r="545" spans="1:18" hidden="1">
      <c r="A545" s="59" t="s">
        <v>1481</v>
      </c>
      <c r="B545" s="59" t="s">
        <v>28</v>
      </c>
      <c r="C545" s="112">
        <v>127724094526</v>
      </c>
      <c r="D545" s="64">
        <v>-1128.6500000000001</v>
      </c>
      <c r="E545" s="3">
        <v>10142208.970000001</v>
      </c>
      <c r="F545" s="63" t="s">
        <v>2747</v>
      </c>
      <c r="G545" s="65">
        <f t="shared" si="76"/>
        <v>-188108.33333333334</v>
      </c>
      <c r="H545" s="65"/>
      <c r="I545" s="108">
        <f>-IFERROR(VLOOKUP(C545,SIRCUPA!$A$21:$H$155,8,0),0)</f>
        <v>0</v>
      </c>
      <c r="J545" s="108">
        <f>-IFERROR(VLOOKUP(C545,SIRTAC!$A$16:$H$1288,8,0),0)</f>
        <v>0</v>
      </c>
      <c r="K545" s="108">
        <f>-IFERROR(VLOOKUP(C545,Gastos!$A$9:$J$1281,10,0),0)</f>
        <v>0</v>
      </c>
      <c r="L545" s="65">
        <f>-IFERROR(VLOOKUP(C545,IDC!$A$25:$H$1532,8,0),0)</f>
        <v>-1128.6500000000001</v>
      </c>
      <c r="M545" s="123">
        <f t="shared" si="77"/>
        <v>-1128.6500000000001</v>
      </c>
      <c r="N545" s="65"/>
      <c r="O545" s="59"/>
      <c r="Q545" s="66">
        <f t="shared" si="78"/>
        <v>-1128.6500000000001</v>
      </c>
      <c r="R545" s="66">
        <f t="shared" si="79"/>
        <v>0</v>
      </c>
    </row>
    <row r="546" spans="1:18" hidden="1">
      <c r="A546" s="59" t="s">
        <v>1683</v>
      </c>
      <c r="B546" s="59" t="s">
        <v>28</v>
      </c>
      <c r="C546" s="112">
        <v>127373558177</v>
      </c>
      <c r="D546" s="64">
        <v>-1569.01</v>
      </c>
      <c r="E546" s="3">
        <v>12257396</v>
      </c>
      <c r="F546" s="63" t="s">
        <v>2747</v>
      </c>
      <c r="G546" s="65">
        <f t="shared" si="76"/>
        <v>-261501.66666666666</v>
      </c>
      <c r="H546" s="65"/>
      <c r="I546" s="108">
        <f>-IFERROR(VLOOKUP(C546,SIRCUPA!$A$21:$H$155,8,0),0)</f>
        <v>0</v>
      </c>
      <c r="J546" s="108">
        <f>-IFERROR(VLOOKUP(C546,SIRTAC!$A$16:$H$1288,8,0),0)</f>
        <v>0</v>
      </c>
      <c r="K546" s="108">
        <f>-IFERROR(VLOOKUP(C546,Gastos!$A$9:$J$1281,10,0),0)</f>
        <v>0</v>
      </c>
      <c r="L546" s="65">
        <f>-IFERROR(VLOOKUP(C546,IDC!$A$25:$H$1532,8,0),0)</f>
        <v>-1569.01</v>
      </c>
      <c r="M546" s="123">
        <f t="shared" si="77"/>
        <v>-1569.01</v>
      </c>
      <c r="N546" s="65"/>
      <c r="O546" s="59"/>
      <c r="Q546" s="66">
        <f t="shared" si="78"/>
        <v>-1569.01</v>
      </c>
      <c r="R546" s="66">
        <f t="shared" si="79"/>
        <v>0</v>
      </c>
    </row>
    <row r="547" spans="1:18" hidden="1">
      <c r="A547" s="59" t="s">
        <v>45</v>
      </c>
      <c r="B547" s="59" t="s">
        <v>49</v>
      </c>
      <c r="C547" s="112">
        <v>124761516066</v>
      </c>
      <c r="D547" s="64">
        <v>-210343.29</v>
      </c>
      <c r="E547" s="3">
        <v>9067015.9499999993</v>
      </c>
      <c r="F547" s="63" t="s">
        <v>2751</v>
      </c>
      <c r="G547" s="65">
        <f>+D547/1.006</f>
        <v>-209088.75745526841</v>
      </c>
      <c r="H547" s="65">
        <f>+D547-G547</f>
        <v>-1254.532544731599</v>
      </c>
      <c r="I547" s="108">
        <f>-IFERROR(VLOOKUP(C547,SIRCUPA!$A$21:$H$155,8,0),0)</f>
        <v>0</v>
      </c>
      <c r="J547" s="108">
        <f>-IFERROR(VLOOKUP(C547,SIRTAC!$A$16:$H$1288,8,0),0)</f>
        <v>0</v>
      </c>
      <c r="K547" s="108">
        <f>-IFERROR(VLOOKUP(C547,Gastos!$A$9:$J$1281,10,0),0)</f>
        <v>0</v>
      </c>
      <c r="L547" s="65"/>
      <c r="M547" s="123">
        <f>+D547</f>
        <v>-210343.29</v>
      </c>
      <c r="N547" s="65"/>
      <c r="O547" s="59"/>
      <c r="Q547" s="3">
        <f>+D547</f>
        <v>-210343.29</v>
      </c>
      <c r="R547" s="66">
        <f t="shared" si="79"/>
        <v>0</v>
      </c>
    </row>
    <row r="548" spans="1:18" hidden="1">
      <c r="A548" s="59" t="s">
        <v>45</v>
      </c>
      <c r="B548" s="59" t="s">
        <v>49</v>
      </c>
      <c r="C548" s="112">
        <v>124774089426</v>
      </c>
      <c r="D548" s="64">
        <v>-45239.61</v>
      </c>
      <c r="E548" s="3">
        <v>9020514.2799999993</v>
      </c>
      <c r="F548" s="63" t="s">
        <v>2751</v>
      </c>
      <c r="G548" s="65">
        <f>+D548/1.006</f>
        <v>-44969.791252485091</v>
      </c>
      <c r="H548" s="65">
        <f>+D548-G548</f>
        <v>-269.81874751490977</v>
      </c>
      <c r="I548" s="108">
        <f>-IFERROR(VLOOKUP(C548,SIRCUPA!$A$21:$H$155,8,0),0)</f>
        <v>0</v>
      </c>
      <c r="J548" s="108">
        <f>-IFERROR(VLOOKUP(C548,SIRTAC!$A$16:$H$1288,8,0),0)</f>
        <v>0</v>
      </c>
      <c r="K548" s="108">
        <f>-IFERROR(VLOOKUP(C548,Gastos!$A$9:$J$1281,10,0),0)</f>
        <v>0</v>
      </c>
      <c r="L548" s="65"/>
      <c r="M548" s="123">
        <f t="shared" ref="M548:M549" si="80">+D548</f>
        <v>-45239.61</v>
      </c>
      <c r="N548" s="65"/>
      <c r="O548" s="59"/>
      <c r="Q548" s="3">
        <f t="shared" ref="Q548:Q549" si="81">+D548</f>
        <v>-45239.61</v>
      </c>
      <c r="R548" s="66">
        <f t="shared" si="79"/>
        <v>0</v>
      </c>
    </row>
    <row r="549" spans="1:18" hidden="1">
      <c r="A549" s="59" t="s">
        <v>488</v>
      </c>
      <c r="B549" s="59" t="s">
        <v>49</v>
      </c>
      <c r="C549" s="112">
        <v>125128178537</v>
      </c>
      <c r="D549" s="64">
        <v>-289725.05</v>
      </c>
      <c r="E549" s="3">
        <v>8272513.5700000003</v>
      </c>
      <c r="F549" s="63" t="s">
        <v>2751</v>
      </c>
      <c r="G549" s="65">
        <f>+D549/1.006</f>
        <v>-287997.06759443338</v>
      </c>
      <c r="H549" s="65">
        <f>+D549-G549</f>
        <v>-1727.9824055666104</v>
      </c>
      <c r="I549" s="108">
        <f>-IFERROR(VLOOKUP(C549,SIRCUPA!$A$21:$H$155,8,0),0)</f>
        <v>0</v>
      </c>
      <c r="J549" s="108">
        <f>-IFERROR(VLOOKUP(C549,SIRTAC!$A$16:$H$1288,8,0),0)</f>
        <v>0</v>
      </c>
      <c r="K549" s="108">
        <f>-IFERROR(VLOOKUP(C549,Gastos!$A$9:$J$1281,10,0),0)</f>
        <v>0</v>
      </c>
      <c r="L549" s="65"/>
      <c r="M549" s="123">
        <f t="shared" si="80"/>
        <v>-289725.05</v>
      </c>
      <c r="N549" s="65"/>
      <c r="O549" s="59"/>
      <c r="Q549" s="3">
        <f t="shared" si="81"/>
        <v>-289725.05</v>
      </c>
      <c r="R549" s="66">
        <f t="shared" si="79"/>
        <v>0</v>
      </c>
    </row>
    <row r="550" spans="1:18" hidden="1">
      <c r="A550" s="1" t="s">
        <v>619</v>
      </c>
      <c r="B550" s="1" t="s">
        <v>15</v>
      </c>
      <c r="C550" s="91">
        <v>125865890526</v>
      </c>
      <c r="D550" s="3">
        <v>16368.24</v>
      </c>
      <c r="E550" s="3">
        <v>8294422.3099999996</v>
      </c>
      <c r="F550" s="35" t="s">
        <v>2750</v>
      </c>
      <c r="G550"/>
      <c r="H550"/>
      <c r="I550" s="27">
        <f>-IFERROR(VLOOKUP(C550,SIRCUPA!$A$21:$H$155,8,0),0)</f>
        <v>0</v>
      </c>
      <c r="J550" s="88">
        <f>-IFERROR(VLOOKUP(C550,SIRTAC!$A$16:$H$1288,8,0),0)</f>
        <v>-168</v>
      </c>
      <c r="K550" s="88">
        <f>-IFERROR(VLOOKUP(C550,Gastos!$A$9:$J$1281,10,0),0)</f>
        <v>-162.96</v>
      </c>
      <c r="L550" s="87">
        <f>-IFERROR(VLOOKUP(C550,IDC!$A$25:$H$1532,8,0),0)</f>
        <v>-100.8</v>
      </c>
      <c r="M550" s="122">
        <f t="shared" ref="M550:M581" si="82">+D550-I550-J550-K550-L550</f>
        <v>16799.999999999996</v>
      </c>
      <c r="N550"/>
      <c r="P550" s="35">
        <f t="shared" ref="P550:P613" si="83">+L550/0.006</f>
        <v>-16800</v>
      </c>
      <c r="Q550" s="66">
        <f t="shared" ref="Q550:Q613" si="84">+M550+P550</f>
        <v>0</v>
      </c>
    </row>
    <row r="551" spans="1:18" hidden="1">
      <c r="A551" s="1" t="s">
        <v>619</v>
      </c>
      <c r="B551" s="1" t="s">
        <v>15</v>
      </c>
      <c r="C551" s="91">
        <v>125866469482</v>
      </c>
      <c r="D551" s="3">
        <v>13542.77</v>
      </c>
      <c r="E551" s="3">
        <v>8307965.0800000001</v>
      </c>
      <c r="F551" s="35" t="s">
        <v>2750</v>
      </c>
      <c r="G551"/>
      <c r="H551"/>
      <c r="I551" s="27">
        <f>-IFERROR(VLOOKUP(C551,SIRCUPA!$A$21:$H$155,8,0),0)</f>
        <v>0</v>
      </c>
      <c r="J551" s="88">
        <f>-IFERROR(VLOOKUP(C551,SIRTAC!$A$16:$H$1288,8,0),0)</f>
        <v>-139</v>
      </c>
      <c r="K551" s="88">
        <f>-IFERROR(VLOOKUP(C551,Gastos!$A$9:$J$1281,10,0),0)</f>
        <v>-134.83000000000001</v>
      </c>
      <c r="L551" s="87">
        <f>-IFERROR(VLOOKUP(C551,IDC!$A$25:$H$1532,8,0),0)</f>
        <v>-83.4</v>
      </c>
      <c r="M551" s="122">
        <f t="shared" si="82"/>
        <v>13900</v>
      </c>
      <c r="N551"/>
      <c r="P551" s="35">
        <f t="shared" si="83"/>
        <v>-13900</v>
      </c>
      <c r="Q551" s="66">
        <f t="shared" si="84"/>
        <v>0</v>
      </c>
    </row>
    <row r="552" spans="1:18" hidden="1">
      <c r="A552" s="1" t="s">
        <v>619</v>
      </c>
      <c r="B552" s="1" t="s">
        <v>15</v>
      </c>
      <c r="C552" s="91">
        <v>125316809887</v>
      </c>
      <c r="D552" s="3">
        <v>8378.98</v>
      </c>
      <c r="E552" s="3">
        <v>8316344.0599999996</v>
      </c>
      <c r="F552" s="35" t="s">
        <v>2750</v>
      </c>
      <c r="G552"/>
      <c r="H552"/>
      <c r="I552" s="27">
        <f>-IFERROR(VLOOKUP(C552,SIRCUPA!$A$21:$H$155,8,0),0)</f>
        <v>0</v>
      </c>
      <c r="J552" s="88">
        <f>-IFERROR(VLOOKUP(C552,SIRTAC!$A$16:$H$1288,8,0),0)</f>
        <v>-86</v>
      </c>
      <c r="K552" s="88">
        <f>-IFERROR(VLOOKUP(C552,Gastos!$A$9:$J$1281,10,0),0)</f>
        <v>-83.42</v>
      </c>
      <c r="L552" s="87">
        <f>-IFERROR(VLOOKUP(C552,IDC!$A$25:$H$1532,8,0),0)</f>
        <v>-51.6</v>
      </c>
      <c r="M552" s="122">
        <f t="shared" si="82"/>
        <v>8600</v>
      </c>
      <c r="N552"/>
      <c r="P552" s="35">
        <f t="shared" si="83"/>
        <v>-8600</v>
      </c>
      <c r="Q552" s="66">
        <f t="shared" si="84"/>
        <v>0</v>
      </c>
    </row>
    <row r="553" spans="1:18" hidden="1">
      <c r="A553" s="1" t="s">
        <v>619</v>
      </c>
      <c r="B553" s="1" t="s">
        <v>15</v>
      </c>
      <c r="C553" s="91">
        <v>125317118715</v>
      </c>
      <c r="D553" s="3">
        <v>3799.77</v>
      </c>
      <c r="E553" s="3">
        <v>8320143.8300000001</v>
      </c>
      <c r="F553" s="35" t="s">
        <v>2750</v>
      </c>
      <c r="G553"/>
      <c r="H553"/>
      <c r="I553" s="27">
        <f>-IFERROR(VLOOKUP(C553,SIRCUPA!$A$21:$H$155,8,0),0)</f>
        <v>0</v>
      </c>
      <c r="J553" s="88">
        <f>-IFERROR(VLOOKUP(C553,SIRTAC!$A$16:$H$1288,8,0),0)</f>
        <v>-39</v>
      </c>
      <c r="K553" s="88">
        <f>-IFERROR(VLOOKUP(C553,Gastos!$A$9:$J$1281,10,0),0)</f>
        <v>-37.83</v>
      </c>
      <c r="L553" s="87">
        <f>-IFERROR(VLOOKUP(C553,IDC!$A$25:$H$1532,8,0),0)</f>
        <v>-23.4</v>
      </c>
      <c r="M553" s="122">
        <f t="shared" si="82"/>
        <v>3900</v>
      </c>
      <c r="N553"/>
      <c r="P553" s="35">
        <f t="shared" si="83"/>
        <v>-3899.9999999999995</v>
      </c>
      <c r="Q553" s="66">
        <f t="shared" si="84"/>
        <v>0</v>
      </c>
    </row>
    <row r="554" spans="1:18" hidden="1">
      <c r="A554" s="1" t="s">
        <v>619</v>
      </c>
      <c r="B554" s="1" t="s">
        <v>15</v>
      </c>
      <c r="C554" s="91">
        <v>125317119521</v>
      </c>
      <c r="D554" s="3">
        <v>35127.51</v>
      </c>
      <c r="E554" s="3">
        <v>8355271.3399999999</v>
      </c>
      <c r="F554" s="35" t="s">
        <v>2750</v>
      </c>
      <c r="G554"/>
      <c r="H554"/>
      <c r="I554" s="27">
        <f>-IFERROR(VLOOKUP(C554,SIRCUPA!$A$21:$H$155,8,0),0)</f>
        <v>0</v>
      </c>
      <c r="J554" s="88">
        <f>-IFERROR(VLOOKUP(C554,SIRTAC!$A$16:$H$1288,8,0),0)</f>
        <v>-363</v>
      </c>
      <c r="K554" s="88">
        <f>-IFERROR(VLOOKUP(C554,Gastos!$A$9:$J$1281,10,0),0)</f>
        <v>-591.69000000000005</v>
      </c>
      <c r="L554" s="87">
        <f>-IFERROR(VLOOKUP(C554,IDC!$A$25:$H$1532,8,0),0)</f>
        <v>-217.8</v>
      </c>
      <c r="M554" s="122">
        <f t="shared" si="82"/>
        <v>36300.000000000007</v>
      </c>
      <c r="N554"/>
      <c r="P554" s="35">
        <f t="shared" si="83"/>
        <v>-36300</v>
      </c>
      <c r="Q554" s="66">
        <f t="shared" si="84"/>
        <v>0</v>
      </c>
    </row>
    <row r="555" spans="1:18" hidden="1">
      <c r="A555" s="1" t="s">
        <v>619</v>
      </c>
      <c r="B555" s="1" t="s">
        <v>15</v>
      </c>
      <c r="C555" s="91">
        <v>125317739121</v>
      </c>
      <c r="D555" s="3">
        <v>4189.49</v>
      </c>
      <c r="E555" s="3">
        <v>8359460.8300000001</v>
      </c>
      <c r="F555" s="35" t="s">
        <v>2750</v>
      </c>
      <c r="G555"/>
      <c r="H555"/>
      <c r="I555" s="27">
        <f>-IFERROR(VLOOKUP(C555,SIRCUPA!$A$21:$H$155,8,0),0)</f>
        <v>0</v>
      </c>
      <c r="J555" s="88">
        <f>-IFERROR(VLOOKUP(C555,SIRTAC!$A$16:$H$1288,8,0),0)</f>
        <v>-43</v>
      </c>
      <c r="K555" s="88">
        <f>-IFERROR(VLOOKUP(C555,Gastos!$A$9:$J$1281,10,0),0)</f>
        <v>-41.71</v>
      </c>
      <c r="L555" s="87">
        <f>-IFERROR(VLOOKUP(C555,IDC!$A$25:$H$1532,8,0),0)</f>
        <v>-25.8</v>
      </c>
      <c r="M555" s="122">
        <f t="shared" si="82"/>
        <v>4300</v>
      </c>
      <c r="N555"/>
      <c r="P555" s="35">
        <f t="shared" si="83"/>
        <v>-4300</v>
      </c>
      <c r="Q555" s="66">
        <f t="shared" si="84"/>
        <v>0</v>
      </c>
    </row>
    <row r="556" spans="1:18" hidden="1">
      <c r="A556" s="1" t="s">
        <v>619</v>
      </c>
      <c r="B556" s="1" t="s">
        <v>15</v>
      </c>
      <c r="C556" s="91">
        <v>125867689614</v>
      </c>
      <c r="D556" s="3">
        <v>28644.42</v>
      </c>
      <c r="E556" s="3">
        <v>8388105.25</v>
      </c>
      <c r="F556" s="35" t="s">
        <v>2750</v>
      </c>
      <c r="G556"/>
      <c r="H556"/>
      <c r="I556" s="27">
        <f>-IFERROR(VLOOKUP(C556,SIRCUPA!$A$21:$H$155,8,0),0)</f>
        <v>0</v>
      </c>
      <c r="J556" s="88">
        <f>-IFERROR(VLOOKUP(C556,SIRTAC!$A$16:$H$1288,8,0),0)</f>
        <v>-294</v>
      </c>
      <c r="K556" s="88">
        <f>-IFERROR(VLOOKUP(C556,Gastos!$A$9:$J$1281,10,0),0)</f>
        <v>-285.18</v>
      </c>
      <c r="L556" s="87">
        <f>-IFERROR(VLOOKUP(C556,IDC!$A$25:$H$1532,8,0),0)</f>
        <v>-176.4</v>
      </c>
      <c r="M556" s="122">
        <f t="shared" si="82"/>
        <v>29400</v>
      </c>
      <c r="N556"/>
      <c r="P556" s="35">
        <f t="shared" si="83"/>
        <v>-29400</v>
      </c>
      <c r="Q556" s="66">
        <f t="shared" si="84"/>
        <v>0</v>
      </c>
    </row>
    <row r="557" spans="1:18" hidden="1">
      <c r="A557" s="1" t="s">
        <v>619</v>
      </c>
      <c r="B557" s="1" t="s">
        <v>15</v>
      </c>
      <c r="C557" s="91">
        <v>125318140511</v>
      </c>
      <c r="D557" s="3">
        <v>14614.5</v>
      </c>
      <c r="E557" s="3">
        <v>8402719.75</v>
      </c>
      <c r="F557" s="35" t="s">
        <v>2750</v>
      </c>
      <c r="G557"/>
      <c r="H557"/>
      <c r="I557" s="27">
        <f>-IFERROR(VLOOKUP(C557,SIRCUPA!$A$21:$H$155,8,0),0)</f>
        <v>0</v>
      </c>
      <c r="J557" s="88">
        <f>-IFERROR(VLOOKUP(C557,SIRTAC!$A$16:$H$1288,8,0),0)</f>
        <v>-150</v>
      </c>
      <c r="K557" s="88">
        <f>-IFERROR(VLOOKUP(C557,Gastos!$A$9:$J$1281,10,0),0)</f>
        <v>-145.5</v>
      </c>
      <c r="L557" s="87">
        <f>-IFERROR(VLOOKUP(C557,IDC!$A$25:$H$1532,8,0),0)</f>
        <v>-90</v>
      </c>
      <c r="M557" s="122">
        <f t="shared" si="82"/>
        <v>15000</v>
      </c>
      <c r="N557"/>
      <c r="P557" s="35">
        <f t="shared" si="83"/>
        <v>-15000</v>
      </c>
      <c r="Q557" s="66">
        <f t="shared" si="84"/>
        <v>0</v>
      </c>
    </row>
    <row r="558" spans="1:18" hidden="1">
      <c r="A558" s="1" t="s">
        <v>619</v>
      </c>
      <c r="B558" s="1" t="s">
        <v>15</v>
      </c>
      <c r="C558" s="91">
        <v>125318227505</v>
      </c>
      <c r="D558" s="3">
        <v>8378.98</v>
      </c>
      <c r="E558" s="3">
        <v>8411098.7300000004</v>
      </c>
      <c r="F558" s="35" t="s">
        <v>2750</v>
      </c>
      <c r="G558"/>
      <c r="H558"/>
      <c r="I558" s="27">
        <f>-IFERROR(VLOOKUP(C558,SIRCUPA!$A$21:$H$155,8,0),0)</f>
        <v>0</v>
      </c>
      <c r="J558" s="88">
        <f>-IFERROR(VLOOKUP(C558,SIRTAC!$A$16:$H$1288,8,0),0)</f>
        <v>-86</v>
      </c>
      <c r="K558" s="88">
        <f>-IFERROR(VLOOKUP(C558,Gastos!$A$9:$J$1281,10,0),0)</f>
        <v>-83.42</v>
      </c>
      <c r="L558" s="87">
        <f>-IFERROR(VLOOKUP(C558,IDC!$A$25:$H$1532,8,0),0)</f>
        <v>-51.6</v>
      </c>
      <c r="M558" s="122">
        <f t="shared" si="82"/>
        <v>8600</v>
      </c>
      <c r="N558"/>
      <c r="P558" s="35">
        <f t="shared" si="83"/>
        <v>-8600</v>
      </c>
      <c r="Q558" s="66">
        <f t="shared" si="84"/>
        <v>0</v>
      </c>
    </row>
    <row r="559" spans="1:18" hidden="1">
      <c r="A559" s="1" t="s">
        <v>619</v>
      </c>
      <c r="B559" s="1" t="s">
        <v>15</v>
      </c>
      <c r="C559" s="91">
        <v>125868254842</v>
      </c>
      <c r="D559" s="3">
        <v>8378.98</v>
      </c>
      <c r="E559" s="3">
        <v>8419477.7100000009</v>
      </c>
      <c r="F559" s="35" t="s">
        <v>2750</v>
      </c>
      <c r="G559"/>
      <c r="H559"/>
      <c r="I559" s="27">
        <f>-IFERROR(VLOOKUP(C559,SIRCUPA!$A$21:$H$155,8,0),0)</f>
        <v>0</v>
      </c>
      <c r="J559" s="88">
        <f>-IFERROR(VLOOKUP(C559,SIRTAC!$A$16:$H$1288,8,0),0)</f>
        <v>-86</v>
      </c>
      <c r="K559" s="88">
        <f>-IFERROR(VLOOKUP(C559,Gastos!$A$9:$J$1281,10,0),0)</f>
        <v>-83.42</v>
      </c>
      <c r="L559" s="87">
        <f>-IFERROR(VLOOKUP(C559,IDC!$A$25:$H$1532,8,0),0)</f>
        <v>-51.6</v>
      </c>
      <c r="M559" s="122">
        <f t="shared" si="82"/>
        <v>8600</v>
      </c>
      <c r="N559"/>
      <c r="P559" s="35">
        <f t="shared" si="83"/>
        <v>-8600</v>
      </c>
      <c r="Q559" s="66">
        <f t="shared" si="84"/>
        <v>0</v>
      </c>
    </row>
    <row r="560" spans="1:18" hidden="1">
      <c r="A560" s="1" t="s">
        <v>619</v>
      </c>
      <c r="B560" s="1" t="s">
        <v>15</v>
      </c>
      <c r="C560" s="91">
        <v>125318560667</v>
      </c>
      <c r="D560" s="3">
        <v>29911.01</v>
      </c>
      <c r="E560" s="3">
        <v>8449388.7200000007</v>
      </c>
      <c r="F560" s="35" t="s">
        <v>2750</v>
      </c>
      <c r="G560"/>
      <c r="H560"/>
      <c r="I560" s="27">
        <f>-IFERROR(VLOOKUP(C560,SIRCUPA!$A$21:$H$155,8,0),0)</f>
        <v>0</v>
      </c>
      <c r="J560" s="88">
        <f>-IFERROR(VLOOKUP(C560,SIRTAC!$A$16:$H$1288,8,0),0)</f>
        <v>-307</v>
      </c>
      <c r="K560" s="88">
        <f>-IFERROR(VLOOKUP(C560,Gastos!$A$9:$J$1281,10,0),0)</f>
        <v>-297.79000000000002</v>
      </c>
      <c r="L560" s="87">
        <f>-IFERROR(VLOOKUP(C560,IDC!$A$25:$H$1532,8,0),0)</f>
        <v>-184.2</v>
      </c>
      <c r="M560" s="122">
        <f t="shared" si="82"/>
        <v>30700</v>
      </c>
      <c r="N560"/>
      <c r="P560" s="35">
        <f t="shared" si="83"/>
        <v>-30699.999999999996</v>
      </c>
      <c r="Q560" s="66">
        <f t="shared" si="84"/>
        <v>0</v>
      </c>
    </row>
    <row r="561" spans="1:17" hidden="1">
      <c r="A561" s="1" t="s">
        <v>619</v>
      </c>
      <c r="B561" s="1" t="s">
        <v>15</v>
      </c>
      <c r="C561" s="91">
        <v>125868559084</v>
      </c>
      <c r="D561" s="3">
        <v>37413.120000000003</v>
      </c>
      <c r="E561" s="3">
        <v>8486801.8399999999</v>
      </c>
      <c r="F561" s="35" t="s">
        <v>2750</v>
      </c>
      <c r="G561"/>
      <c r="H561"/>
      <c r="I561" s="27">
        <f>-IFERROR(VLOOKUP(C561,SIRCUPA!$A$21:$H$155,8,0),0)</f>
        <v>0</v>
      </c>
      <c r="J561" s="88">
        <f>-IFERROR(VLOOKUP(C561,SIRTAC!$A$16:$H$1288,8,0),0)</f>
        <v>-384</v>
      </c>
      <c r="K561" s="88">
        <f>-IFERROR(VLOOKUP(C561,Gastos!$A$9:$J$1281,10,0),0)</f>
        <v>-372.48</v>
      </c>
      <c r="L561" s="87">
        <f>-IFERROR(VLOOKUP(C561,IDC!$A$25:$H$1532,8,0),0)</f>
        <v>-230.4</v>
      </c>
      <c r="M561" s="122">
        <f t="shared" si="82"/>
        <v>38400.000000000007</v>
      </c>
      <c r="N561"/>
      <c r="P561" s="35">
        <f t="shared" si="83"/>
        <v>-38400</v>
      </c>
      <c r="Q561" s="66">
        <f t="shared" si="84"/>
        <v>0</v>
      </c>
    </row>
    <row r="562" spans="1:17" hidden="1">
      <c r="A562" s="1" t="s">
        <v>619</v>
      </c>
      <c r="B562" s="1" t="s">
        <v>15</v>
      </c>
      <c r="C562" s="91">
        <v>125318831565</v>
      </c>
      <c r="D562" s="3">
        <v>16660.53</v>
      </c>
      <c r="E562" s="3">
        <v>8503462.3699999992</v>
      </c>
      <c r="F562" s="35" t="s">
        <v>2750</v>
      </c>
      <c r="G562"/>
      <c r="H562"/>
      <c r="I562" s="27">
        <f>-IFERROR(VLOOKUP(C562,SIRCUPA!$A$21:$H$155,8,0),0)</f>
        <v>0</v>
      </c>
      <c r="J562" s="88">
        <f>-IFERROR(VLOOKUP(C562,SIRTAC!$A$16:$H$1288,8,0),0)</f>
        <v>-171</v>
      </c>
      <c r="K562" s="88">
        <f>-IFERROR(VLOOKUP(C562,Gastos!$A$9:$J$1281,10,0),0)</f>
        <v>-165.87</v>
      </c>
      <c r="L562" s="87">
        <f>-IFERROR(VLOOKUP(C562,IDC!$A$25:$H$1532,8,0),0)</f>
        <v>-102.6</v>
      </c>
      <c r="M562" s="122">
        <f t="shared" si="82"/>
        <v>17099.999999999996</v>
      </c>
      <c r="N562"/>
      <c r="P562" s="35">
        <f t="shared" si="83"/>
        <v>-17100</v>
      </c>
      <c r="Q562" s="66">
        <f t="shared" si="84"/>
        <v>0</v>
      </c>
    </row>
    <row r="563" spans="1:17" hidden="1">
      <c r="A563" s="1" t="s">
        <v>619</v>
      </c>
      <c r="B563" s="1" t="s">
        <v>15</v>
      </c>
      <c r="C563" s="91">
        <v>125319036607</v>
      </c>
      <c r="D563" s="3">
        <v>12568.47</v>
      </c>
      <c r="E563" s="3">
        <v>8516030.8399999999</v>
      </c>
      <c r="F563" s="35" t="s">
        <v>2750</v>
      </c>
      <c r="G563"/>
      <c r="H563"/>
      <c r="I563" s="27">
        <f>-IFERROR(VLOOKUP(C563,SIRCUPA!$A$21:$H$155,8,0),0)</f>
        <v>0</v>
      </c>
      <c r="J563" s="88">
        <f>-IFERROR(VLOOKUP(C563,SIRTAC!$A$16:$H$1288,8,0),0)</f>
        <v>-129</v>
      </c>
      <c r="K563" s="88">
        <f>-IFERROR(VLOOKUP(C563,Gastos!$A$9:$J$1281,10,0),0)</f>
        <v>-125.13</v>
      </c>
      <c r="L563" s="87">
        <f>-IFERROR(VLOOKUP(C563,IDC!$A$25:$H$1532,8,0),0)</f>
        <v>-77.400000000000006</v>
      </c>
      <c r="M563" s="122">
        <f t="shared" si="82"/>
        <v>12899.999999999998</v>
      </c>
      <c r="N563"/>
      <c r="P563" s="35">
        <f t="shared" si="83"/>
        <v>-12900</v>
      </c>
      <c r="Q563" s="66">
        <f t="shared" si="84"/>
        <v>0</v>
      </c>
    </row>
    <row r="564" spans="1:17" hidden="1">
      <c r="A564" s="1" t="s">
        <v>619</v>
      </c>
      <c r="B564" s="1" t="s">
        <v>15</v>
      </c>
      <c r="C564" s="91">
        <v>125319017341</v>
      </c>
      <c r="D564" s="3">
        <v>18024.55</v>
      </c>
      <c r="E564" s="3">
        <v>8534055.3900000006</v>
      </c>
      <c r="F564" s="35" t="s">
        <v>2750</v>
      </c>
      <c r="G564"/>
      <c r="H564"/>
      <c r="I564" s="27">
        <f>-IFERROR(VLOOKUP(C564,SIRCUPA!$A$21:$H$155,8,0),0)</f>
        <v>0</v>
      </c>
      <c r="J564" s="88">
        <f>-IFERROR(VLOOKUP(C564,SIRTAC!$A$16:$H$1288,8,0),0)</f>
        <v>-185</v>
      </c>
      <c r="K564" s="88">
        <f>-IFERROR(VLOOKUP(C564,Gastos!$A$9:$J$1281,10,0),0)</f>
        <v>-179.45</v>
      </c>
      <c r="L564" s="87">
        <f>-IFERROR(VLOOKUP(C564,IDC!$A$25:$H$1532,8,0),0)</f>
        <v>-111</v>
      </c>
      <c r="M564" s="122">
        <f t="shared" si="82"/>
        <v>18500</v>
      </c>
      <c r="N564"/>
      <c r="P564" s="35">
        <f t="shared" si="83"/>
        <v>-18500</v>
      </c>
      <c r="Q564" s="66">
        <f t="shared" si="84"/>
        <v>0</v>
      </c>
    </row>
    <row r="565" spans="1:17" hidden="1">
      <c r="A565" s="1" t="s">
        <v>619</v>
      </c>
      <c r="B565" s="1" t="s">
        <v>15</v>
      </c>
      <c r="C565" s="91">
        <v>125869092878</v>
      </c>
      <c r="D565" s="3">
        <v>7807.94</v>
      </c>
      <c r="E565" s="3">
        <v>8541863.3300000001</v>
      </c>
      <c r="F565" s="35" t="s">
        <v>2750</v>
      </c>
      <c r="G565"/>
      <c r="H565"/>
      <c r="I565" s="27">
        <f>-IFERROR(VLOOKUP(C565,SIRCUPA!$A$21:$H$155,8,0),0)</f>
        <v>0</v>
      </c>
      <c r="J565" s="88">
        <f>-IFERROR(VLOOKUP(C565,SIRTAC!$A$16:$H$1288,8,0),0)</f>
        <v>-86</v>
      </c>
      <c r="K565" s="88">
        <f>-IFERROR(VLOOKUP(C565,Gastos!$A$9:$J$1281,10,0),0)</f>
        <v>-654.46</v>
      </c>
      <c r="L565" s="87">
        <f>-IFERROR(VLOOKUP(C565,IDC!$A$25:$H$1532,8,0),0)</f>
        <v>-51.6</v>
      </c>
      <c r="M565" s="122">
        <f t="shared" si="82"/>
        <v>8600</v>
      </c>
      <c r="N565"/>
      <c r="P565" s="35">
        <f t="shared" si="83"/>
        <v>-8600</v>
      </c>
      <c r="Q565" s="66">
        <f t="shared" si="84"/>
        <v>0</v>
      </c>
    </row>
    <row r="566" spans="1:17" hidden="1">
      <c r="A566" s="1" t="s">
        <v>619</v>
      </c>
      <c r="B566" s="1" t="s">
        <v>15</v>
      </c>
      <c r="C566" s="91">
        <v>125869422198</v>
      </c>
      <c r="D566" s="3">
        <v>79210.59</v>
      </c>
      <c r="E566" s="3">
        <v>8621073.9199999999</v>
      </c>
      <c r="F566" s="35" t="s">
        <v>2750</v>
      </c>
      <c r="G566"/>
      <c r="H566"/>
      <c r="I566" s="27">
        <f>-IFERROR(VLOOKUP(C566,SIRCUPA!$A$21:$H$155,8,0),0)</f>
        <v>0</v>
      </c>
      <c r="J566" s="88">
        <f>-IFERROR(VLOOKUP(C566,SIRTAC!$A$16:$H$1288,8,0),0)</f>
        <v>-813</v>
      </c>
      <c r="K566" s="88">
        <f>-IFERROR(VLOOKUP(C566,Gastos!$A$9:$J$1281,10,0),0)</f>
        <v>-788.61</v>
      </c>
      <c r="L566" s="87">
        <f>-IFERROR(VLOOKUP(C566,IDC!$A$25:$H$1532,8,0),0)</f>
        <v>-487.8</v>
      </c>
      <c r="M566" s="122">
        <f t="shared" si="82"/>
        <v>81300</v>
      </c>
      <c r="N566"/>
      <c r="P566" s="35">
        <f t="shared" si="83"/>
        <v>-81300</v>
      </c>
      <c r="Q566" s="66">
        <f t="shared" si="84"/>
        <v>0</v>
      </c>
    </row>
    <row r="567" spans="1:17" hidden="1">
      <c r="A567" s="1" t="s">
        <v>619</v>
      </c>
      <c r="B567" s="1" t="s">
        <v>15</v>
      </c>
      <c r="C567" s="91">
        <v>125869530502</v>
      </c>
      <c r="D567" s="3">
        <v>91194.48</v>
      </c>
      <c r="E567" s="3">
        <v>8712268.4000000004</v>
      </c>
      <c r="F567" s="35" t="s">
        <v>2750</v>
      </c>
      <c r="G567"/>
      <c r="H567"/>
      <c r="I567" s="27">
        <f>-IFERROR(VLOOKUP(C567,SIRCUPA!$A$21:$H$155,8,0),0)</f>
        <v>0</v>
      </c>
      <c r="J567" s="88">
        <f>-IFERROR(VLOOKUP(C567,SIRTAC!$A$16:$H$1288,8,0),0)</f>
        <v>-936</v>
      </c>
      <c r="K567" s="88">
        <f>-IFERROR(VLOOKUP(C567,Gastos!$A$9:$J$1281,10,0),0)</f>
        <v>-907.92</v>
      </c>
      <c r="L567" s="87">
        <f>-IFERROR(VLOOKUP(C567,IDC!$A$25:$H$1532,8,0),0)</f>
        <v>-561.6</v>
      </c>
      <c r="M567" s="122">
        <f t="shared" si="82"/>
        <v>93600</v>
      </c>
      <c r="N567"/>
      <c r="P567" s="35">
        <f t="shared" si="83"/>
        <v>-93600</v>
      </c>
      <c r="Q567" s="66">
        <f t="shared" si="84"/>
        <v>0</v>
      </c>
    </row>
    <row r="568" spans="1:17" hidden="1">
      <c r="A568" s="1" t="s">
        <v>619</v>
      </c>
      <c r="B568" s="1" t="s">
        <v>15</v>
      </c>
      <c r="C568" s="91">
        <v>125869507316</v>
      </c>
      <c r="D568" s="3">
        <v>27182.97</v>
      </c>
      <c r="E568" s="3">
        <v>8739451.3699999992</v>
      </c>
      <c r="F568" s="35" t="s">
        <v>2750</v>
      </c>
      <c r="G568"/>
      <c r="H568"/>
      <c r="I568" s="27">
        <f>-IFERROR(VLOOKUP(C568,SIRCUPA!$A$21:$H$155,8,0),0)</f>
        <v>0</v>
      </c>
      <c r="J568" s="88">
        <f>-IFERROR(VLOOKUP(C568,SIRTAC!$A$16:$H$1288,8,0),0)</f>
        <v>-279</v>
      </c>
      <c r="K568" s="88">
        <f>-IFERROR(VLOOKUP(C568,Gastos!$A$9:$J$1281,10,0),0)</f>
        <v>-270.63</v>
      </c>
      <c r="L568" s="87">
        <f>-IFERROR(VLOOKUP(C568,IDC!$A$25:$H$1532,8,0),0)</f>
        <v>-167.4</v>
      </c>
      <c r="M568" s="122">
        <f t="shared" si="82"/>
        <v>27900.000000000004</v>
      </c>
      <c r="N568"/>
      <c r="P568" s="35">
        <f t="shared" si="83"/>
        <v>-27900</v>
      </c>
      <c r="Q568" s="66">
        <f t="shared" si="84"/>
        <v>0</v>
      </c>
    </row>
    <row r="569" spans="1:17" hidden="1">
      <c r="A569" s="1" t="s">
        <v>619</v>
      </c>
      <c r="B569" s="1" t="s">
        <v>15</v>
      </c>
      <c r="C569" s="91">
        <v>125869681610</v>
      </c>
      <c r="D569" s="3">
        <v>8378.98</v>
      </c>
      <c r="E569" s="3">
        <v>8747830.3499999996</v>
      </c>
      <c r="F569" s="35" t="s">
        <v>2750</v>
      </c>
      <c r="G569"/>
      <c r="H569"/>
      <c r="I569" s="27">
        <f>-IFERROR(VLOOKUP(C569,SIRCUPA!$A$21:$H$155,8,0),0)</f>
        <v>0</v>
      </c>
      <c r="J569" s="88">
        <f>-IFERROR(VLOOKUP(C569,SIRTAC!$A$16:$H$1288,8,0),0)</f>
        <v>-86</v>
      </c>
      <c r="K569" s="88">
        <f>-IFERROR(VLOOKUP(C569,Gastos!$A$9:$J$1281,10,0),0)</f>
        <v>-83.42</v>
      </c>
      <c r="L569" s="87">
        <f>-IFERROR(VLOOKUP(C569,IDC!$A$25:$H$1532,8,0),0)</f>
        <v>-51.6</v>
      </c>
      <c r="M569" s="122">
        <f t="shared" si="82"/>
        <v>8600</v>
      </c>
      <c r="N569"/>
      <c r="P569" s="35">
        <f t="shared" si="83"/>
        <v>-8600</v>
      </c>
      <c r="Q569" s="66">
        <f t="shared" si="84"/>
        <v>0</v>
      </c>
    </row>
    <row r="570" spans="1:17" hidden="1">
      <c r="A570" s="1" t="s">
        <v>619</v>
      </c>
      <c r="B570" s="1" t="s">
        <v>15</v>
      </c>
      <c r="C570" s="91">
        <v>125320055657</v>
      </c>
      <c r="D570" s="3">
        <v>7444.78</v>
      </c>
      <c r="E570" s="3">
        <v>8755275.1300000008</v>
      </c>
      <c r="F570" s="35" t="s">
        <v>2750</v>
      </c>
      <c r="G570"/>
      <c r="H570"/>
      <c r="I570" s="27">
        <f>-IFERROR(VLOOKUP(C570,SIRCUPA!$A$21:$H$155,8,0),0)</f>
        <v>0</v>
      </c>
      <c r="J570" s="88">
        <f>-IFERROR(VLOOKUP(C570,SIRTAC!$A$16:$H$1288,8,0),0)</f>
        <v>-82</v>
      </c>
      <c r="K570" s="88">
        <f>-IFERROR(VLOOKUP(C570,Gastos!$A$9:$J$1281,10,0),0)</f>
        <v>-624.02</v>
      </c>
      <c r="L570" s="87">
        <f>-IFERROR(VLOOKUP(C570,IDC!$A$25:$H$1532,8,0),0)</f>
        <v>-49.2</v>
      </c>
      <c r="M570" s="122">
        <f t="shared" si="82"/>
        <v>8200</v>
      </c>
      <c r="N570"/>
      <c r="P570" s="35">
        <f t="shared" si="83"/>
        <v>-8200</v>
      </c>
      <c r="Q570" s="66">
        <f t="shared" si="84"/>
        <v>0</v>
      </c>
    </row>
    <row r="571" spans="1:17" hidden="1">
      <c r="A571" s="1" t="s">
        <v>619</v>
      </c>
      <c r="B571" s="1" t="s">
        <v>15</v>
      </c>
      <c r="C571" s="91">
        <v>125320457011</v>
      </c>
      <c r="D571" s="3">
        <v>9447</v>
      </c>
      <c r="E571" s="3">
        <v>8764722.1300000008</v>
      </c>
      <c r="F571" s="35" t="s">
        <v>2750</v>
      </c>
      <c r="G571"/>
      <c r="H571"/>
      <c r="I571" s="27">
        <f>-IFERROR(VLOOKUP(C571,SIRCUPA!$A$21:$H$155,8,0),0)</f>
        <v>0</v>
      </c>
      <c r="J571" s="88">
        <f>-IFERROR(VLOOKUP(C571,SIRTAC!$A$16:$H$1288,8,0),0)</f>
        <v>-100</v>
      </c>
      <c r="K571" s="88">
        <f>-IFERROR(VLOOKUP(C571,Gastos!$A$9:$J$1281,10,0),0)</f>
        <v>-393</v>
      </c>
      <c r="L571" s="87">
        <f>-IFERROR(VLOOKUP(C571,IDC!$A$25:$H$1532,8,0),0)</f>
        <v>-60</v>
      </c>
      <c r="M571" s="122">
        <f t="shared" si="82"/>
        <v>10000</v>
      </c>
      <c r="N571"/>
      <c r="P571" s="35">
        <f t="shared" si="83"/>
        <v>-10000</v>
      </c>
      <c r="Q571" s="66">
        <f t="shared" si="84"/>
        <v>0</v>
      </c>
    </row>
    <row r="572" spans="1:17" hidden="1">
      <c r="A572" s="1" t="s">
        <v>619</v>
      </c>
      <c r="B572" s="1" t="s">
        <v>15</v>
      </c>
      <c r="C572" s="91">
        <v>125320564485</v>
      </c>
      <c r="D572" s="3">
        <v>4539.5</v>
      </c>
      <c r="E572" s="3">
        <v>8769261.6300000008</v>
      </c>
      <c r="F572" s="35" t="s">
        <v>2750</v>
      </c>
      <c r="G572"/>
      <c r="H572"/>
      <c r="I572" s="27">
        <f>-IFERROR(VLOOKUP(C572,SIRCUPA!$A$21:$H$155,8,0),0)</f>
        <v>0</v>
      </c>
      <c r="J572" s="88">
        <f>-IFERROR(VLOOKUP(C572,SIRTAC!$A$16:$H$1288,8,0),0)</f>
        <v>-50</v>
      </c>
      <c r="K572" s="88">
        <f>-IFERROR(VLOOKUP(C572,Gastos!$A$9:$J$1281,10,0),0)</f>
        <v>-380.5</v>
      </c>
      <c r="L572" s="87">
        <f>-IFERROR(VLOOKUP(C572,IDC!$A$25:$H$1532,8,0),0)</f>
        <v>-30</v>
      </c>
      <c r="M572" s="122">
        <f t="shared" si="82"/>
        <v>5000</v>
      </c>
      <c r="N572"/>
      <c r="P572" s="35">
        <f t="shared" si="83"/>
        <v>-5000</v>
      </c>
      <c r="Q572" s="66">
        <f t="shared" si="84"/>
        <v>0</v>
      </c>
    </row>
    <row r="573" spans="1:17" hidden="1">
      <c r="A573" s="1" t="s">
        <v>619</v>
      </c>
      <c r="B573" s="1" t="s">
        <v>15</v>
      </c>
      <c r="C573" s="91">
        <v>125870474672</v>
      </c>
      <c r="D573" s="3">
        <v>43356.35</v>
      </c>
      <c r="E573" s="3">
        <v>8812617.9800000004</v>
      </c>
      <c r="F573" s="35" t="s">
        <v>2750</v>
      </c>
      <c r="G573"/>
      <c r="H573"/>
      <c r="I573" s="27">
        <f>-IFERROR(VLOOKUP(C573,SIRCUPA!$A$21:$H$155,8,0),0)</f>
        <v>0</v>
      </c>
      <c r="J573" s="88">
        <f>-IFERROR(VLOOKUP(C573,SIRTAC!$A$16:$H$1288,8,0),0)</f>
        <v>-445</v>
      </c>
      <c r="K573" s="88">
        <f>-IFERROR(VLOOKUP(C573,Gastos!$A$9:$J$1281,10,0),0)</f>
        <v>-431.65</v>
      </c>
      <c r="L573" s="87">
        <f>-IFERROR(VLOOKUP(C573,IDC!$A$25:$H$1532,8,0),0)</f>
        <v>-267</v>
      </c>
      <c r="M573" s="122">
        <f t="shared" si="82"/>
        <v>44500</v>
      </c>
      <c r="N573"/>
      <c r="P573" s="35">
        <f t="shared" si="83"/>
        <v>-44500</v>
      </c>
      <c r="Q573" s="66">
        <f t="shared" si="84"/>
        <v>0</v>
      </c>
    </row>
    <row r="574" spans="1:17" hidden="1">
      <c r="A574" s="1" t="s">
        <v>619</v>
      </c>
      <c r="B574" s="1" t="s">
        <v>15</v>
      </c>
      <c r="C574" s="91">
        <v>125321324087</v>
      </c>
      <c r="D574" s="3">
        <v>66828.320000000007</v>
      </c>
      <c r="E574" s="3">
        <v>8879446.3000000007</v>
      </c>
      <c r="F574" s="35" t="s">
        <v>2750</v>
      </c>
      <c r="G574"/>
      <c r="H574"/>
      <c r="I574" s="27">
        <f>-IFERROR(VLOOKUP(C574,SIRCUPA!$A$21:$H$155,8,0),0)</f>
        <v>0</v>
      </c>
      <c r="J574" s="88">
        <f>-IFERROR(VLOOKUP(C574,SIRTAC!$A$16:$H$1288,8,0),0)</f>
        <v>-712</v>
      </c>
      <c r="K574" s="88">
        <f>-IFERROR(VLOOKUP(C574,Gastos!$A$9:$J$1281,10,0),0)</f>
        <v>-3232.48</v>
      </c>
      <c r="L574" s="87">
        <f>-IFERROR(VLOOKUP(C574,IDC!$A$25:$H$1532,8,0),0)</f>
        <v>-427.2</v>
      </c>
      <c r="M574" s="122">
        <f t="shared" si="82"/>
        <v>71200</v>
      </c>
      <c r="N574"/>
      <c r="P574" s="35">
        <f t="shared" si="83"/>
        <v>-71200</v>
      </c>
      <c r="Q574" s="66">
        <f t="shared" si="84"/>
        <v>0</v>
      </c>
    </row>
    <row r="575" spans="1:17" hidden="1">
      <c r="A575" s="1" t="s">
        <v>619</v>
      </c>
      <c r="B575" s="1" t="s">
        <v>15</v>
      </c>
      <c r="C575" s="91">
        <v>125871368350</v>
      </c>
      <c r="D575" s="3">
        <v>12763.33</v>
      </c>
      <c r="E575" s="3">
        <v>8892209.6300000008</v>
      </c>
      <c r="F575" s="35" t="s">
        <v>2750</v>
      </c>
      <c r="G575"/>
      <c r="H575"/>
      <c r="I575" s="27">
        <f>-IFERROR(VLOOKUP(C575,SIRCUPA!$A$21:$H$155,8,0),0)</f>
        <v>0</v>
      </c>
      <c r="J575" s="88">
        <f>-IFERROR(VLOOKUP(C575,SIRTAC!$A$16:$H$1288,8,0),0)</f>
        <v>-131</v>
      </c>
      <c r="K575" s="88">
        <f>-IFERROR(VLOOKUP(C575,Gastos!$A$9:$J$1281,10,0),0)</f>
        <v>-127.07</v>
      </c>
      <c r="L575" s="87">
        <f>-IFERROR(VLOOKUP(C575,IDC!$A$25:$H$1532,8,0),0)</f>
        <v>-78.599999999999994</v>
      </c>
      <c r="M575" s="122">
        <f t="shared" si="82"/>
        <v>13100</v>
      </c>
      <c r="N575"/>
      <c r="P575" s="35">
        <f t="shared" si="83"/>
        <v>-13099.999999999998</v>
      </c>
      <c r="Q575" s="66">
        <f t="shared" si="84"/>
        <v>0</v>
      </c>
    </row>
    <row r="576" spans="1:17" hidden="1">
      <c r="A576" s="1" t="s">
        <v>619</v>
      </c>
      <c r="B576" s="1" t="s">
        <v>15</v>
      </c>
      <c r="C576" s="91">
        <v>125871494326</v>
      </c>
      <c r="D576" s="3">
        <v>30787.88</v>
      </c>
      <c r="E576" s="3">
        <v>8922997.5099999998</v>
      </c>
      <c r="F576" s="35" t="s">
        <v>2750</v>
      </c>
      <c r="G576"/>
      <c r="H576"/>
      <c r="I576" s="27">
        <f>-IFERROR(VLOOKUP(C576,SIRCUPA!$A$21:$H$155,8,0),0)</f>
        <v>0</v>
      </c>
      <c r="J576" s="88">
        <f>-IFERROR(VLOOKUP(C576,SIRTAC!$A$16:$H$1288,8,0),0)</f>
        <v>-316</v>
      </c>
      <c r="K576" s="88">
        <f>-IFERROR(VLOOKUP(C576,Gastos!$A$9:$J$1281,10,0),0)</f>
        <v>-306.52</v>
      </c>
      <c r="L576" s="87">
        <f>-IFERROR(VLOOKUP(C576,IDC!$A$25:$H$1532,8,0),0)</f>
        <v>-189.6</v>
      </c>
      <c r="M576" s="122">
        <f t="shared" si="82"/>
        <v>31600</v>
      </c>
      <c r="N576"/>
      <c r="P576" s="35">
        <f t="shared" si="83"/>
        <v>-31600</v>
      </c>
      <c r="Q576" s="66">
        <f t="shared" si="84"/>
        <v>0</v>
      </c>
    </row>
    <row r="577" spans="1:17" hidden="1">
      <c r="A577" s="1" t="s">
        <v>619</v>
      </c>
      <c r="B577" s="1" t="s">
        <v>15</v>
      </c>
      <c r="C577" s="91">
        <v>125871359326</v>
      </c>
      <c r="D577" s="3">
        <v>22311.47</v>
      </c>
      <c r="E577" s="3">
        <v>8945308.9800000004</v>
      </c>
      <c r="F577" s="35" t="s">
        <v>2750</v>
      </c>
      <c r="G577"/>
      <c r="H577"/>
      <c r="I577" s="27">
        <f>-IFERROR(VLOOKUP(C577,SIRCUPA!$A$21:$H$155,8,0),0)</f>
        <v>0</v>
      </c>
      <c r="J577" s="88">
        <f>-IFERROR(VLOOKUP(C577,SIRTAC!$A$16:$H$1288,8,0),0)</f>
        <v>-229</v>
      </c>
      <c r="K577" s="88">
        <f>-IFERROR(VLOOKUP(C577,Gastos!$A$9:$J$1281,10,0),0)</f>
        <v>-222.13</v>
      </c>
      <c r="L577" s="87">
        <f>-IFERROR(VLOOKUP(C577,IDC!$A$25:$H$1532,8,0),0)</f>
        <v>-137.4</v>
      </c>
      <c r="M577" s="122">
        <f t="shared" si="82"/>
        <v>22900.000000000004</v>
      </c>
      <c r="N577"/>
      <c r="P577" s="35">
        <f t="shared" si="83"/>
        <v>-22900</v>
      </c>
      <c r="Q577" s="66">
        <f t="shared" si="84"/>
        <v>0</v>
      </c>
    </row>
    <row r="578" spans="1:17" hidden="1">
      <c r="A578" s="1" t="s">
        <v>619</v>
      </c>
      <c r="B578" s="1" t="s">
        <v>15</v>
      </c>
      <c r="C578" s="91">
        <v>125322062757</v>
      </c>
      <c r="D578" s="3">
        <v>14419.64</v>
      </c>
      <c r="E578" s="3">
        <v>8959728.6199999992</v>
      </c>
      <c r="F578" s="35" t="s">
        <v>2750</v>
      </c>
      <c r="G578"/>
      <c r="H578"/>
      <c r="I578" s="27">
        <f>-IFERROR(VLOOKUP(C578,SIRCUPA!$A$21:$H$155,8,0),0)</f>
        <v>0</v>
      </c>
      <c r="J578" s="88">
        <f>-IFERROR(VLOOKUP(C578,SIRTAC!$A$16:$H$1288,8,0),0)</f>
        <v>-148</v>
      </c>
      <c r="K578" s="88">
        <f>-IFERROR(VLOOKUP(C578,Gastos!$A$9:$J$1281,10,0),0)</f>
        <v>-143.56</v>
      </c>
      <c r="L578" s="87">
        <f>-IFERROR(VLOOKUP(C578,IDC!$A$25:$H$1532,8,0),0)</f>
        <v>-88.8</v>
      </c>
      <c r="M578" s="122">
        <f t="shared" si="82"/>
        <v>14799.999999999998</v>
      </c>
      <c r="N578"/>
      <c r="P578" s="35">
        <f t="shared" si="83"/>
        <v>-14800</v>
      </c>
      <c r="Q578" s="66">
        <f t="shared" si="84"/>
        <v>0</v>
      </c>
    </row>
    <row r="579" spans="1:17" hidden="1">
      <c r="A579" s="1" t="s">
        <v>619</v>
      </c>
      <c r="B579" s="1" t="s">
        <v>15</v>
      </c>
      <c r="C579" s="91">
        <v>125871870980</v>
      </c>
      <c r="D579" s="3">
        <v>22993.48</v>
      </c>
      <c r="E579" s="3">
        <v>8982722.0999999996</v>
      </c>
      <c r="F579" s="35" t="s">
        <v>2750</v>
      </c>
      <c r="G579"/>
      <c r="H579"/>
      <c r="I579" s="27">
        <f>-IFERROR(VLOOKUP(C579,SIRCUPA!$A$21:$H$155,8,0),0)</f>
        <v>0</v>
      </c>
      <c r="J579" s="88">
        <f>-IFERROR(VLOOKUP(C579,SIRTAC!$A$16:$H$1288,8,0),0)</f>
        <v>-236</v>
      </c>
      <c r="K579" s="88">
        <f>-IFERROR(VLOOKUP(C579,Gastos!$A$9:$J$1281,10,0),0)</f>
        <v>-228.92</v>
      </c>
      <c r="L579" s="87">
        <f>-IFERROR(VLOOKUP(C579,IDC!$A$25:$H$1532,8,0),0)</f>
        <v>-141.6</v>
      </c>
      <c r="M579" s="122">
        <f t="shared" si="82"/>
        <v>23599.999999999996</v>
      </c>
      <c r="N579"/>
      <c r="P579" s="35">
        <f t="shared" si="83"/>
        <v>-23600</v>
      </c>
      <c r="Q579" s="66">
        <f t="shared" si="84"/>
        <v>0</v>
      </c>
    </row>
    <row r="580" spans="1:17" hidden="1">
      <c r="A580" s="1" t="s">
        <v>619</v>
      </c>
      <c r="B580" s="1" t="s">
        <v>15</v>
      </c>
      <c r="C580" s="91">
        <v>125322405401</v>
      </c>
      <c r="D580" s="3">
        <v>8378.98</v>
      </c>
      <c r="E580" s="3">
        <v>8991101.0800000001</v>
      </c>
      <c r="F580" s="35" t="s">
        <v>2750</v>
      </c>
      <c r="G580"/>
      <c r="H580"/>
      <c r="I580" s="27">
        <f>-IFERROR(VLOOKUP(C580,SIRCUPA!$A$21:$H$155,8,0),0)</f>
        <v>0</v>
      </c>
      <c r="J580" s="88">
        <f>-IFERROR(VLOOKUP(C580,SIRTAC!$A$16:$H$1288,8,0),0)</f>
        <v>-86</v>
      </c>
      <c r="K580" s="88">
        <f>-IFERROR(VLOOKUP(C580,Gastos!$A$9:$J$1281,10,0),0)</f>
        <v>-83.42</v>
      </c>
      <c r="L580" s="87">
        <f>-IFERROR(VLOOKUP(C580,IDC!$A$25:$H$1532,8,0),0)</f>
        <v>-51.6</v>
      </c>
      <c r="M580" s="122">
        <f t="shared" si="82"/>
        <v>8600</v>
      </c>
      <c r="N580"/>
      <c r="P580" s="35">
        <f t="shared" si="83"/>
        <v>-8600</v>
      </c>
      <c r="Q580" s="66">
        <f t="shared" si="84"/>
        <v>0</v>
      </c>
    </row>
    <row r="581" spans="1:17" hidden="1">
      <c r="A581" s="1" t="s">
        <v>619</v>
      </c>
      <c r="B581" s="1" t="s">
        <v>15</v>
      </c>
      <c r="C581" s="91">
        <v>125322493065</v>
      </c>
      <c r="D581" s="3">
        <v>6820.1</v>
      </c>
      <c r="E581" s="3">
        <v>8997921.1799999997</v>
      </c>
      <c r="F581" s="35" t="s">
        <v>2750</v>
      </c>
      <c r="G581"/>
      <c r="H581"/>
      <c r="I581" s="27">
        <f>-IFERROR(VLOOKUP(C581,SIRCUPA!$A$21:$H$155,8,0),0)</f>
        <v>0</v>
      </c>
      <c r="J581" s="88">
        <f>-IFERROR(VLOOKUP(C581,SIRTAC!$A$16:$H$1288,8,0),0)</f>
        <v>-70</v>
      </c>
      <c r="K581" s="88">
        <f>-IFERROR(VLOOKUP(C581,Gastos!$A$9:$J$1281,10,0),0)</f>
        <v>-67.900000000000006</v>
      </c>
      <c r="L581" s="87">
        <f>-IFERROR(VLOOKUP(C581,IDC!$A$25:$H$1532,8,0),0)</f>
        <v>-42</v>
      </c>
      <c r="M581" s="122">
        <f t="shared" si="82"/>
        <v>7000</v>
      </c>
      <c r="N581"/>
      <c r="P581" s="35">
        <f t="shared" si="83"/>
        <v>-7000</v>
      </c>
      <c r="Q581" s="66">
        <f t="shared" si="84"/>
        <v>0</v>
      </c>
    </row>
    <row r="582" spans="1:17" hidden="1">
      <c r="A582" s="1" t="s">
        <v>619</v>
      </c>
      <c r="B582" s="1" t="s">
        <v>15</v>
      </c>
      <c r="C582" s="91">
        <v>125322736611</v>
      </c>
      <c r="D582" s="3">
        <v>4189.49</v>
      </c>
      <c r="E582" s="3">
        <v>9002110.6699999999</v>
      </c>
      <c r="F582" s="35" t="s">
        <v>2750</v>
      </c>
      <c r="G582"/>
      <c r="H582"/>
      <c r="I582" s="27">
        <f>-IFERROR(VLOOKUP(C582,SIRCUPA!$A$21:$H$155,8,0),0)</f>
        <v>0</v>
      </c>
      <c r="J582" s="88">
        <f>-IFERROR(VLOOKUP(C582,SIRTAC!$A$16:$H$1288,8,0),0)</f>
        <v>-43</v>
      </c>
      <c r="K582" s="88">
        <f>-IFERROR(VLOOKUP(C582,Gastos!$A$9:$J$1281,10,0),0)</f>
        <v>-41.71</v>
      </c>
      <c r="L582" s="87">
        <f>-IFERROR(VLOOKUP(C582,IDC!$A$25:$H$1532,8,0),0)</f>
        <v>-25.8</v>
      </c>
      <c r="M582" s="122">
        <f t="shared" ref="M582:M613" si="85">+D582-I582-J582-K582-L582</f>
        <v>4300</v>
      </c>
      <c r="N582"/>
      <c r="P582" s="35">
        <f t="shared" si="83"/>
        <v>-4300</v>
      </c>
      <c r="Q582" s="66">
        <f t="shared" si="84"/>
        <v>0</v>
      </c>
    </row>
    <row r="583" spans="1:17" hidden="1">
      <c r="A583" s="1" t="s">
        <v>619</v>
      </c>
      <c r="B583" s="1" t="s">
        <v>653</v>
      </c>
      <c r="C583" s="91">
        <v>125322493613</v>
      </c>
      <c r="D583" s="2">
        <v>210.48</v>
      </c>
      <c r="E583" s="3">
        <v>9002321.1500000004</v>
      </c>
      <c r="F583" s="2" t="s">
        <v>2750</v>
      </c>
      <c r="G583"/>
      <c r="H583"/>
      <c r="I583" s="27">
        <f>-IFERROR(VLOOKUP(C583,SIRCUPA!$A$21:$H$155,8,0),0)</f>
        <v>-3.23</v>
      </c>
      <c r="J583" s="88">
        <f>-IFERROR(VLOOKUP(C583,SIRTAC!$A$16:$H$1288,8,0),0)</f>
        <v>0</v>
      </c>
      <c r="K583" s="88">
        <f>-IFERROR(VLOOKUP(C583,Gastos!$A$9:$J$1281,10,0),0)</f>
        <v>0</v>
      </c>
      <c r="L583" s="87">
        <f>-IFERROR(VLOOKUP(C583,IDC!$A$25:$H$1532,8,0),0)</f>
        <v>-1.29</v>
      </c>
      <c r="M583" s="122">
        <f t="shared" si="85"/>
        <v>214.99999999999997</v>
      </c>
      <c r="N583"/>
      <c r="P583" s="35">
        <f t="shared" si="83"/>
        <v>-215</v>
      </c>
      <c r="Q583" s="66">
        <f t="shared" si="84"/>
        <v>0</v>
      </c>
    </row>
    <row r="584" spans="1:17" hidden="1">
      <c r="A584" s="1" t="s">
        <v>619</v>
      </c>
      <c r="B584" s="1" t="s">
        <v>15</v>
      </c>
      <c r="C584" s="91">
        <v>125322503897</v>
      </c>
      <c r="D584" s="3">
        <v>50541.45</v>
      </c>
      <c r="E584" s="3">
        <v>9052862.5999999996</v>
      </c>
      <c r="F584" s="35" t="s">
        <v>2750</v>
      </c>
      <c r="G584"/>
      <c r="H584"/>
      <c r="I584" s="27">
        <f>-IFERROR(VLOOKUP(C584,SIRCUPA!$A$21:$H$155,8,0),0)</f>
        <v>0</v>
      </c>
      <c r="J584" s="88">
        <f>-IFERROR(VLOOKUP(C584,SIRTAC!$A$16:$H$1288,8,0),0)</f>
        <v>-535</v>
      </c>
      <c r="K584" s="88">
        <f>-IFERROR(VLOOKUP(C584,Gastos!$A$9:$J$1281,10,0),0)</f>
        <v>-2102.5500000000002</v>
      </c>
      <c r="L584" s="87">
        <f>-IFERROR(VLOOKUP(C584,IDC!$A$25:$H$1532,8,0),0)</f>
        <v>-321</v>
      </c>
      <c r="M584" s="122">
        <f t="shared" si="85"/>
        <v>53500</v>
      </c>
      <c r="N584"/>
      <c r="P584" s="35">
        <f t="shared" si="83"/>
        <v>-53500</v>
      </c>
      <c r="Q584" s="66">
        <f t="shared" si="84"/>
        <v>0</v>
      </c>
    </row>
    <row r="585" spans="1:17" hidden="1">
      <c r="A585" s="1" t="s">
        <v>619</v>
      </c>
      <c r="B585" s="1" t="s">
        <v>15</v>
      </c>
      <c r="C585" s="91">
        <v>125322888369</v>
      </c>
      <c r="D585" s="3">
        <v>27670.12</v>
      </c>
      <c r="E585" s="3">
        <v>9080532.7200000007</v>
      </c>
      <c r="F585" s="35" t="s">
        <v>2750</v>
      </c>
      <c r="G585"/>
      <c r="H585"/>
      <c r="I585" s="27">
        <f>-IFERROR(VLOOKUP(C585,SIRCUPA!$A$21:$H$155,8,0),0)</f>
        <v>0</v>
      </c>
      <c r="J585" s="88">
        <f>-IFERROR(VLOOKUP(C585,SIRTAC!$A$16:$H$1288,8,0),0)</f>
        <v>-284</v>
      </c>
      <c r="K585" s="88">
        <f>-IFERROR(VLOOKUP(C585,Gastos!$A$9:$J$1281,10,0),0)</f>
        <v>-275.48</v>
      </c>
      <c r="L585" s="87">
        <f>-IFERROR(VLOOKUP(C585,IDC!$A$25:$H$1532,8,0),0)</f>
        <v>-170.4</v>
      </c>
      <c r="M585" s="122">
        <f t="shared" si="85"/>
        <v>28400</v>
      </c>
      <c r="N585"/>
      <c r="P585" s="35">
        <f t="shared" si="83"/>
        <v>-28400</v>
      </c>
      <c r="Q585" s="66">
        <f t="shared" si="84"/>
        <v>0</v>
      </c>
    </row>
    <row r="586" spans="1:17" hidden="1">
      <c r="A586" s="1" t="s">
        <v>619</v>
      </c>
      <c r="B586" s="1" t="s">
        <v>15</v>
      </c>
      <c r="C586" s="91">
        <v>125872587248</v>
      </c>
      <c r="D586" s="3">
        <v>16143.92</v>
      </c>
      <c r="E586" s="3">
        <v>9096676.6400000006</v>
      </c>
      <c r="F586" s="35" t="s">
        <v>2750</v>
      </c>
      <c r="G586"/>
      <c r="H586"/>
      <c r="I586" s="27">
        <f>-IFERROR(VLOOKUP(C586,SIRCUPA!$A$21:$H$155,8,0),0)</f>
        <v>0</v>
      </c>
      <c r="J586" s="88">
        <f>-IFERROR(VLOOKUP(C586,SIRTAC!$A$16:$H$1288,8,0),0)</f>
        <v>-172</v>
      </c>
      <c r="K586" s="88">
        <f>-IFERROR(VLOOKUP(C586,Gastos!$A$9:$J$1281,10,0),0)</f>
        <v>-780.88</v>
      </c>
      <c r="L586" s="87">
        <f>-IFERROR(VLOOKUP(C586,IDC!$A$25:$H$1532,8,0),0)</f>
        <v>-103.2</v>
      </c>
      <c r="M586" s="122">
        <f t="shared" si="85"/>
        <v>17200</v>
      </c>
      <c r="N586"/>
      <c r="P586" s="35">
        <f t="shared" si="83"/>
        <v>-17200</v>
      </c>
      <c r="Q586" s="66">
        <f t="shared" si="84"/>
        <v>0</v>
      </c>
    </row>
    <row r="587" spans="1:17" hidden="1">
      <c r="A587" s="1" t="s">
        <v>619</v>
      </c>
      <c r="B587" s="1" t="s">
        <v>15</v>
      </c>
      <c r="C587" s="91">
        <v>125872758668</v>
      </c>
      <c r="D587" s="3">
        <v>71708.479999999996</v>
      </c>
      <c r="E587" s="3">
        <v>9168385.1199999992</v>
      </c>
      <c r="F587" s="35" t="s">
        <v>2750</v>
      </c>
      <c r="G587"/>
      <c r="H587"/>
      <c r="I587" s="27">
        <f>-IFERROR(VLOOKUP(C587,SIRCUPA!$A$21:$H$155,8,0),0)</f>
        <v>0</v>
      </c>
      <c r="J587" s="88">
        <f>-IFERROR(VLOOKUP(C587,SIRTAC!$A$16:$H$1288,8,0),0)</f>
        <v>-736</v>
      </c>
      <c r="K587" s="88">
        <f>-IFERROR(VLOOKUP(C587,Gastos!$A$9:$J$1281,10,0),0)</f>
        <v>-713.92</v>
      </c>
      <c r="L587" s="87">
        <f>-IFERROR(VLOOKUP(C587,IDC!$A$25:$H$1532,8,0),0)</f>
        <v>-441.6</v>
      </c>
      <c r="M587" s="122">
        <f t="shared" si="85"/>
        <v>73600</v>
      </c>
      <c r="N587"/>
      <c r="P587" s="35">
        <f t="shared" si="83"/>
        <v>-73600</v>
      </c>
      <c r="Q587" s="66">
        <f t="shared" si="84"/>
        <v>0</v>
      </c>
    </row>
    <row r="588" spans="1:17" hidden="1">
      <c r="A588" s="1" t="s">
        <v>619</v>
      </c>
      <c r="B588" s="1" t="s">
        <v>15</v>
      </c>
      <c r="C588" s="91">
        <v>125323011517</v>
      </c>
      <c r="D588" s="3">
        <v>47253.55</v>
      </c>
      <c r="E588" s="3">
        <v>9215638.6699999999</v>
      </c>
      <c r="F588" s="35" t="s">
        <v>2750</v>
      </c>
      <c r="G588"/>
      <c r="H588"/>
      <c r="I588" s="27">
        <f>-IFERROR(VLOOKUP(C588,SIRCUPA!$A$21:$H$155,8,0),0)</f>
        <v>0</v>
      </c>
      <c r="J588" s="88">
        <f>-IFERROR(VLOOKUP(C588,SIRTAC!$A$16:$H$1288,8,0),0)</f>
        <v>-485</v>
      </c>
      <c r="K588" s="88">
        <f>-IFERROR(VLOOKUP(C588,Gastos!$A$9:$J$1281,10,0),0)</f>
        <v>-470.45</v>
      </c>
      <c r="L588" s="87">
        <f>-IFERROR(VLOOKUP(C588,IDC!$A$25:$H$1532,8,0),0)</f>
        <v>-291</v>
      </c>
      <c r="M588" s="122">
        <f t="shared" si="85"/>
        <v>48500</v>
      </c>
      <c r="N588"/>
      <c r="P588" s="35">
        <f t="shared" si="83"/>
        <v>-48500</v>
      </c>
      <c r="Q588" s="66">
        <f t="shared" si="84"/>
        <v>0</v>
      </c>
    </row>
    <row r="589" spans="1:17" s="59" customFormat="1" hidden="1">
      <c r="A589" s="35" t="s">
        <v>619</v>
      </c>
      <c r="B589" s="35" t="s">
        <v>15</v>
      </c>
      <c r="C589" s="91">
        <v>125427741477</v>
      </c>
      <c r="D589" s="3">
        <v>12568.47</v>
      </c>
      <c r="E589" s="3">
        <v>9190982.1199999992</v>
      </c>
      <c r="F589" s="35" t="s">
        <v>2750</v>
      </c>
      <c r="G589" s="35"/>
      <c r="H589" s="35"/>
      <c r="I589" s="27">
        <f>-IFERROR(VLOOKUP(C589,SIRCUPA!$A$21:$H$155,8,0),0)</f>
        <v>0</v>
      </c>
      <c r="J589" s="88">
        <f>-IFERROR(VLOOKUP(C589,SIRTAC!$A$16:$H$1288,8,0),0)</f>
        <v>-129</v>
      </c>
      <c r="K589" s="88">
        <f>-IFERROR(VLOOKUP(C589,Gastos!$A$9:$J$1281,10,0),0)</f>
        <v>-125.13</v>
      </c>
      <c r="L589" s="87">
        <f>-IFERROR(VLOOKUP(C589,IDC!$A$25:$H$1532,8,0),0)</f>
        <v>-77.400000000000006</v>
      </c>
      <c r="M589" s="122">
        <f t="shared" si="85"/>
        <v>12899.999999999998</v>
      </c>
      <c r="N589" s="35"/>
      <c r="O589" s="35"/>
      <c r="P589" s="35">
        <f t="shared" si="83"/>
        <v>-12900</v>
      </c>
      <c r="Q589" s="66">
        <f t="shared" si="84"/>
        <v>0</v>
      </c>
    </row>
    <row r="590" spans="1:17" hidden="1">
      <c r="A590" s="1" t="s">
        <v>619</v>
      </c>
      <c r="B590" s="1" t="s">
        <v>663</v>
      </c>
      <c r="C590" s="91">
        <v>125979013674</v>
      </c>
      <c r="D590" s="2">
        <v>631.45000000000005</v>
      </c>
      <c r="E590" s="3">
        <v>9191613.5700000003</v>
      </c>
      <c r="F590" s="2" t="s">
        <v>2750</v>
      </c>
      <c r="G590"/>
      <c r="H590"/>
      <c r="I590" s="27">
        <f>-IFERROR(VLOOKUP(C590,SIRCUPA!$A$21:$H$155,8,0),0)</f>
        <v>-9.68</v>
      </c>
      <c r="J590" s="88">
        <f>-IFERROR(VLOOKUP(C590,SIRTAC!$A$16:$H$1288,8,0),0)</f>
        <v>0</v>
      </c>
      <c r="K590" s="88">
        <f>-IFERROR(VLOOKUP(C590,Gastos!$A$9:$J$1281,10,0),0)</f>
        <v>0</v>
      </c>
      <c r="L590" s="87">
        <f>-IFERROR(VLOOKUP(C590,IDC!$A$25:$H$1532,8,0),0)</f>
        <v>-3.87</v>
      </c>
      <c r="M590" s="122">
        <f t="shared" si="85"/>
        <v>645</v>
      </c>
      <c r="N590"/>
      <c r="P590" s="35">
        <f t="shared" si="83"/>
        <v>-645</v>
      </c>
      <c r="Q590" s="66">
        <f t="shared" si="84"/>
        <v>0</v>
      </c>
    </row>
    <row r="591" spans="1:17" hidden="1">
      <c r="A591" s="1" t="s">
        <v>619</v>
      </c>
      <c r="B591" s="1" t="s">
        <v>15</v>
      </c>
      <c r="C591" s="91">
        <v>125433504737</v>
      </c>
      <c r="D591" s="3">
        <v>10136.879999999999</v>
      </c>
      <c r="E591" s="3">
        <v>9201750.4499999993</v>
      </c>
      <c r="F591" s="35" t="s">
        <v>2750</v>
      </c>
      <c r="G591"/>
      <c r="H591"/>
      <c r="I591" s="27">
        <f>-IFERROR(VLOOKUP(C591,SIRCUPA!$A$21:$H$155,8,0),0)</f>
        <v>0</v>
      </c>
      <c r="J591" s="88">
        <f>-IFERROR(VLOOKUP(C591,SIRTAC!$A$16:$H$1288,8,0),0)</f>
        <v>-108</v>
      </c>
      <c r="K591" s="88">
        <f>-IFERROR(VLOOKUP(C591,Gastos!$A$9:$J$1281,10,0),0)</f>
        <v>-490.32</v>
      </c>
      <c r="L591" s="87">
        <f>-IFERROR(VLOOKUP(C591,IDC!$A$25:$H$1532,8,0),0)</f>
        <v>-64.8</v>
      </c>
      <c r="M591" s="122">
        <f t="shared" si="85"/>
        <v>10799.999999999998</v>
      </c>
      <c r="N591"/>
      <c r="P591" s="35">
        <f t="shared" si="83"/>
        <v>-10800</v>
      </c>
      <c r="Q591" s="66">
        <f t="shared" si="84"/>
        <v>0</v>
      </c>
    </row>
    <row r="592" spans="1:17" hidden="1">
      <c r="A592" s="1" t="s">
        <v>619</v>
      </c>
      <c r="B592" s="1" t="s">
        <v>15</v>
      </c>
      <c r="C592" s="91">
        <v>125433898761</v>
      </c>
      <c r="D592" s="3">
        <v>34782.51</v>
      </c>
      <c r="E592" s="3">
        <v>9236532.9600000009</v>
      </c>
      <c r="F592" s="35" t="s">
        <v>2750</v>
      </c>
      <c r="G592"/>
      <c r="H592"/>
      <c r="I592" s="27">
        <f>-IFERROR(VLOOKUP(C592,SIRCUPA!$A$21:$H$155,8,0),0)</f>
        <v>0</v>
      </c>
      <c r="J592" s="88">
        <f>-IFERROR(VLOOKUP(C592,SIRTAC!$A$16:$H$1288,8,0),0)</f>
        <v>-357</v>
      </c>
      <c r="K592" s="88">
        <f>-IFERROR(VLOOKUP(C592,Gastos!$A$9:$J$1281,10,0),0)</f>
        <v>-346.29</v>
      </c>
      <c r="L592" s="87">
        <f>-IFERROR(VLOOKUP(C592,IDC!$A$25:$H$1532,8,0),0)</f>
        <v>-214.2</v>
      </c>
      <c r="M592" s="122">
        <f t="shared" si="85"/>
        <v>35700</v>
      </c>
      <c r="N592"/>
      <c r="P592" s="35">
        <f t="shared" si="83"/>
        <v>-35700</v>
      </c>
      <c r="Q592" s="66">
        <f t="shared" si="84"/>
        <v>0</v>
      </c>
    </row>
    <row r="593" spans="1:17" hidden="1">
      <c r="A593" s="1" t="s">
        <v>619</v>
      </c>
      <c r="B593" s="1" t="s">
        <v>15</v>
      </c>
      <c r="C593" s="91">
        <v>125437359297</v>
      </c>
      <c r="D593" s="3">
        <v>3873.27</v>
      </c>
      <c r="E593" s="3">
        <v>9240406.2300000004</v>
      </c>
      <c r="F593" s="35" t="s">
        <v>2750</v>
      </c>
      <c r="G593"/>
      <c r="H593"/>
      <c r="I593" s="27">
        <f>-IFERROR(VLOOKUP(C593,SIRCUPA!$A$21:$H$155,8,0),0)</f>
        <v>0</v>
      </c>
      <c r="J593" s="88">
        <f>-IFERROR(VLOOKUP(C593,SIRTAC!$A$16:$H$1288,8,0),0)</f>
        <v>-41</v>
      </c>
      <c r="K593" s="88">
        <f>-IFERROR(VLOOKUP(C593,Gastos!$A$9:$J$1281,10,0),0)</f>
        <v>-161.13</v>
      </c>
      <c r="L593" s="87">
        <f>-IFERROR(VLOOKUP(C593,IDC!$A$25:$H$1532,8,0),0)</f>
        <v>-24.6</v>
      </c>
      <c r="M593" s="122">
        <f t="shared" si="85"/>
        <v>4100</v>
      </c>
      <c r="N593"/>
      <c r="P593" s="35">
        <f t="shared" si="83"/>
        <v>-4100</v>
      </c>
      <c r="Q593" s="66">
        <f t="shared" si="84"/>
        <v>0</v>
      </c>
    </row>
    <row r="594" spans="1:17" hidden="1">
      <c r="A594" s="1" t="s">
        <v>619</v>
      </c>
      <c r="B594" s="1" t="s">
        <v>15</v>
      </c>
      <c r="C594" s="91">
        <v>125437433757</v>
      </c>
      <c r="D594" s="3">
        <v>11430.87</v>
      </c>
      <c r="E594" s="3">
        <v>9251837.0999999996</v>
      </c>
      <c r="F594" s="35" t="s">
        <v>2750</v>
      </c>
      <c r="G594"/>
      <c r="H594"/>
      <c r="I594" s="27">
        <f>-IFERROR(VLOOKUP(C594,SIRCUPA!$A$21:$H$155,8,0),0)</f>
        <v>0</v>
      </c>
      <c r="J594" s="88">
        <f>-IFERROR(VLOOKUP(C594,SIRTAC!$A$16:$H$1288,8,0),0)</f>
        <v>-121</v>
      </c>
      <c r="K594" s="88">
        <f>-IFERROR(VLOOKUP(C594,Gastos!$A$9:$J$1281,10,0),0)</f>
        <v>-475.53</v>
      </c>
      <c r="L594" s="87">
        <f>-IFERROR(VLOOKUP(C594,IDC!$A$25:$H$1532,8,0),0)</f>
        <v>-72.599999999999994</v>
      </c>
      <c r="M594" s="122">
        <f t="shared" si="85"/>
        <v>12100.000000000002</v>
      </c>
      <c r="N594"/>
      <c r="P594" s="35">
        <f t="shared" si="83"/>
        <v>-12099.999999999998</v>
      </c>
      <c r="Q594" s="66">
        <f t="shared" si="84"/>
        <v>0</v>
      </c>
    </row>
    <row r="595" spans="1:17" hidden="1">
      <c r="A595" s="1" t="s">
        <v>619</v>
      </c>
      <c r="B595" s="1" t="s">
        <v>15</v>
      </c>
      <c r="C595" s="91">
        <v>125437828867</v>
      </c>
      <c r="D595" s="3">
        <v>8573.84</v>
      </c>
      <c r="E595" s="3">
        <v>9260410.9399999995</v>
      </c>
      <c r="F595" s="35" t="s">
        <v>2750</v>
      </c>
      <c r="G595"/>
      <c r="H595"/>
      <c r="I595" s="27">
        <f>-IFERROR(VLOOKUP(C595,SIRCUPA!$A$21:$H$155,8,0),0)</f>
        <v>0</v>
      </c>
      <c r="J595" s="88">
        <f>-IFERROR(VLOOKUP(C595,SIRTAC!$A$16:$H$1288,8,0),0)</f>
        <v>-88</v>
      </c>
      <c r="K595" s="88">
        <f>-IFERROR(VLOOKUP(C595,Gastos!$A$9:$J$1281,10,0),0)</f>
        <v>-85.36</v>
      </c>
      <c r="L595" s="87">
        <f>-IFERROR(VLOOKUP(C595,IDC!$A$25:$H$1532,8,0),0)</f>
        <v>-52.8</v>
      </c>
      <c r="M595" s="122">
        <f t="shared" si="85"/>
        <v>8800</v>
      </c>
      <c r="N595"/>
      <c r="P595" s="35">
        <f t="shared" si="83"/>
        <v>-8800</v>
      </c>
      <c r="Q595" s="66">
        <f t="shared" si="84"/>
        <v>0</v>
      </c>
    </row>
    <row r="596" spans="1:17" hidden="1">
      <c r="A596" s="1" t="s">
        <v>619</v>
      </c>
      <c r="B596" s="1" t="s">
        <v>15</v>
      </c>
      <c r="C596" s="91">
        <v>125437996133</v>
      </c>
      <c r="D596" s="3">
        <v>24184.32</v>
      </c>
      <c r="E596" s="3">
        <v>9284595.2599999998</v>
      </c>
      <c r="F596" s="35" t="s">
        <v>2750</v>
      </c>
      <c r="G596"/>
      <c r="H596"/>
      <c r="I596" s="27">
        <f>-IFERROR(VLOOKUP(C596,SIRCUPA!$A$21:$H$155,8,0),0)</f>
        <v>0</v>
      </c>
      <c r="J596" s="88">
        <f>-IFERROR(VLOOKUP(C596,SIRTAC!$A$16:$H$1288,8,0),0)</f>
        <v>-256</v>
      </c>
      <c r="K596" s="88">
        <f>-IFERROR(VLOOKUP(C596,Gastos!$A$9:$J$1281,10,0),0)</f>
        <v>-1006.08</v>
      </c>
      <c r="L596" s="87">
        <f>-IFERROR(VLOOKUP(C596,IDC!$A$25:$H$1532,8,0),0)</f>
        <v>-153.6</v>
      </c>
      <c r="M596" s="122">
        <f t="shared" si="85"/>
        <v>25600</v>
      </c>
      <c r="N596"/>
      <c r="P596" s="35">
        <f t="shared" si="83"/>
        <v>-25600</v>
      </c>
      <c r="Q596" s="66">
        <f t="shared" si="84"/>
        <v>0</v>
      </c>
    </row>
    <row r="597" spans="1:17" hidden="1">
      <c r="A597" s="1" t="s">
        <v>619</v>
      </c>
      <c r="B597" s="1" t="s">
        <v>15</v>
      </c>
      <c r="C597" s="91">
        <v>125993614332</v>
      </c>
      <c r="D597" s="3">
        <v>4189.49</v>
      </c>
      <c r="E597" s="3">
        <v>9288784.75</v>
      </c>
      <c r="F597" s="35" t="s">
        <v>2750</v>
      </c>
      <c r="G597"/>
      <c r="H597"/>
      <c r="I597" s="27">
        <f>-IFERROR(VLOOKUP(C597,SIRCUPA!$A$21:$H$155,8,0),0)</f>
        <v>0</v>
      </c>
      <c r="J597" s="88">
        <f>-IFERROR(VLOOKUP(C597,SIRTAC!$A$16:$H$1288,8,0),0)</f>
        <v>-43</v>
      </c>
      <c r="K597" s="88">
        <f>-IFERROR(VLOOKUP(C597,Gastos!$A$9:$J$1281,10,0),0)</f>
        <v>-41.71</v>
      </c>
      <c r="L597" s="87">
        <f>-IFERROR(VLOOKUP(C597,IDC!$A$25:$H$1532,8,0),0)</f>
        <v>-25.8</v>
      </c>
      <c r="M597" s="122">
        <f t="shared" si="85"/>
        <v>4300</v>
      </c>
      <c r="N597"/>
      <c r="P597" s="35">
        <f t="shared" si="83"/>
        <v>-4300</v>
      </c>
      <c r="Q597" s="66">
        <f t="shared" si="84"/>
        <v>0</v>
      </c>
    </row>
    <row r="598" spans="1:17" hidden="1">
      <c r="A598" s="1" t="s">
        <v>619</v>
      </c>
      <c r="B598" s="1" t="s">
        <v>15</v>
      </c>
      <c r="C598" s="91">
        <v>125996443306</v>
      </c>
      <c r="D598" s="3">
        <v>3684.33</v>
      </c>
      <c r="E598" s="3">
        <v>9292469.0800000001</v>
      </c>
      <c r="F598" s="35" t="s">
        <v>2750</v>
      </c>
      <c r="G598"/>
      <c r="H598"/>
      <c r="I598" s="27">
        <f>-IFERROR(VLOOKUP(C598,SIRCUPA!$A$21:$H$155,8,0),0)</f>
        <v>0</v>
      </c>
      <c r="J598" s="88">
        <f>-IFERROR(VLOOKUP(C598,SIRTAC!$A$16:$H$1288,8,0),0)</f>
        <v>-39</v>
      </c>
      <c r="K598" s="88">
        <f>-IFERROR(VLOOKUP(C598,Gastos!$A$9:$J$1281,10,0),0)</f>
        <v>-153.27000000000001</v>
      </c>
      <c r="L598" s="87">
        <f>-IFERROR(VLOOKUP(C598,IDC!$A$25:$H$1532,8,0),0)</f>
        <v>-23.4</v>
      </c>
      <c r="M598" s="122">
        <f t="shared" si="85"/>
        <v>3900</v>
      </c>
      <c r="N598"/>
      <c r="P598" s="35">
        <f t="shared" si="83"/>
        <v>-3899.9999999999995</v>
      </c>
      <c r="Q598" s="66">
        <f t="shared" si="84"/>
        <v>0</v>
      </c>
    </row>
    <row r="599" spans="1:17" hidden="1">
      <c r="A599" s="1" t="s">
        <v>619</v>
      </c>
      <c r="B599" s="1" t="s">
        <v>15</v>
      </c>
      <c r="C599" s="91">
        <v>125446961843</v>
      </c>
      <c r="D599" s="3">
        <v>30891.69</v>
      </c>
      <c r="E599" s="3">
        <v>9323360.7699999996</v>
      </c>
      <c r="F599" s="35" t="s">
        <v>2750</v>
      </c>
      <c r="G599"/>
      <c r="H599"/>
      <c r="I599" s="27">
        <f>-IFERROR(VLOOKUP(C599,SIRCUPA!$A$21:$H$155,8,0),0)</f>
        <v>0</v>
      </c>
      <c r="J599" s="88">
        <f>-IFERROR(VLOOKUP(C599,SIRTAC!$A$16:$H$1288,8,0),0)</f>
        <v>-327</v>
      </c>
      <c r="K599" s="88">
        <f>-IFERROR(VLOOKUP(C599,Gastos!$A$9:$J$1281,10,0),0)</f>
        <v>-1285.1099999999999</v>
      </c>
      <c r="L599" s="87">
        <f>-IFERROR(VLOOKUP(C599,IDC!$A$25:$H$1532,8,0),0)</f>
        <v>-196.2</v>
      </c>
      <c r="M599" s="122">
        <f t="shared" si="85"/>
        <v>32700</v>
      </c>
      <c r="N599"/>
      <c r="P599" s="35">
        <f t="shared" si="83"/>
        <v>-32699.999999999996</v>
      </c>
      <c r="Q599" s="66">
        <f t="shared" si="84"/>
        <v>0</v>
      </c>
    </row>
    <row r="600" spans="1:17" hidden="1">
      <c r="A600" s="1" t="s">
        <v>619</v>
      </c>
      <c r="B600" s="1" t="s">
        <v>15</v>
      </c>
      <c r="C600" s="91">
        <v>125446989707</v>
      </c>
      <c r="D600" s="3">
        <v>24059.35</v>
      </c>
      <c r="E600" s="3">
        <v>9347420.1199999992</v>
      </c>
      <c r="F600" s="35" t="s">
        <v>2750</v>
      </c>
      <c r="G600"/>
      <c r="H600"/>
      <c r="I600" s="27">
        <f>-IFERROR(VLOOKUP(C600,SIRCUPA!$A$21:$H$155,8,0),0)</f>
        <v>0</v>
      </c>
      <c r="J600" s="88">
        <f>-IFERROR(VLOOKUP(C600,SIRTAC!$A$16:$H$1288,8,0),0)</f>
        <v>-265</v>
      </c>
      <c r="K600" s="88">
        <f>-IFERROR(VLOOKUP(C600,Gastos!$A$9:$J$1281,10,0),0)</f>
        <v>-2016.65</v>
      </c>
      <c r="L600" s="87">
        <f>-IFERROR(VLOOKUP(C600,IDC!$A$25:$H$1532,8,0),0)</f>
        <v>-159</v>
      </c>
      <c r="M600" s="122">
        <f t="shared" si="85"/>
        <v>26500</v>
      </c>
      <c r="N600"/>
      <c r="P600" s="35">
        <f t="shared" si="83"/>
        <v>-26500</v>
      </c>
      <c r="Q600" s="66">
        <f t="shared" si="84"/>
        <v>0</v>
      </c>
    </row>
    <row r="601" spans="1:17" hidden="1">
      <c r="A601" s="1" t="s">
        <v>619</v>
      </c>
      <c r="B601" s="1" t="s">
        <v>15</v>
      </c>
      <c r="C601" s="91">
        <v>125447857505</v>
      </c>
      <c r="D601" s="3">
        <v>4062.21</v>
      </c>
      <c r="E601" s="3">
        <v>9351482.3300000001</v>
      </c>
      <c r="F601" s="35" t="s">
        <v>2750</v>
      </c>
      <c r="G601"/>
      <c r="H601"/>
      <c r="I601" s="27">
        <f>-IFERROR(VLOOKUP(C601,SIRCUPA!$A$21:$H$155,8,0),0)</f>
        <v>0</v>
      </c>
      <c r="J601" s="88">
        <f>-IFERROR(VLOOKUP(C601,SIRTAC!$A$16:$H$1288,8,0),0)</f>
        <v>-43</v>
      </c>
      <c r="K601" s="88">
        <f>-IFERROR(VLOOKUP(C601,Gastos!$A$9:$J$1281,10,0),0)</f>
        <v>-168.99</v>
      </c>
      <c r="L601" s="87">
        <f>-IFERROR(VLOOKUP(C601,IDC!$A$25:$H$1532,8,0),0)</f>
        <v>-25.8</v>
      </c>
      <c r="M601" s="122">
        <f t="shared" si="85"/>
        <v>4300</v>
      </c>
      <c r="N601"/>
      <c r="P601" s="35">
        <f t="shared" si="83"/>
        <v>-4300</v>
      </c>
      <c r="Q601" s="66">
        <f t="shared" si="84"/>
        <v>0</v>
      </c>
    </row>
    <row r="602" spans="1:17" hidden="1">
      <c r="A602" s="1" t="s">
        <v>619</v>
      </c>
      <c r="B602" s="1" t="s">
        <v>15</v>
      </c>
      <c r="C602" s="91">
        <v>125999347750</v>
      </c>
      <c r="D602" s="3">
        <v>36341.39</v>
      </c>
      <c r="E602" s="3">
        <v>9387823.7200000007</v>
      </c>
      <c r="F602" s="35" t="s">
        <v>2750</v>
      </c>
      <c r="G602"/>
      <c r="H602"/>
      <c r="I602" s="27">
        <f>-IFERROR(VLOOKUP(C602,SIRCUPA!$A$21:$H$155,8,0),0)</f>
        <v>0</v>
      </c>
      <c r="J602" s="88">
        <f>-IFERROR(VLOOKUP(C602,SIRTAC!$A$16:$H$1288,8,0),0)</f>
        <v>-373</v>
      </c>
      <c r="K602" s="88">
        <f>-IFERROR(VLOOKUP(C602,Gastos!$A$9:$J$1281,10,0),0)</f>
        <v>-361.81</v>
      </c>
      <c r="L602" s="87">
        <f>-IFERROR(VLOOKUP(C602,IDC!$A$25:$H$1532,8,0),0)</f>
        <v>-223.8</v>
      </c>
      <c r="M602" s="122">
        <f t="shared" si="85"/>
        <v>37300</v>
      </c>
      <c r="N602"/>
      <c r="P602" s="35">
        <f t="shared" si="83"/>
        <v>-37300</v>
      </c>
      <c r="Q602" s="66">
        <f t="shared" si="84"/>
        <v>0</v>
      </c>
    </row>
    <row r="603" spans="1:17" hidden="1">
      <c r="A603" s="1" t="s">
        <v>619</v>
      </c>
      <c r="B603" s="1" t="s">
        <v>15</v>
      </c>
      <c r="C603" s="91">
        <v>125449062915</v>
      </c>
      <c r="D603" s="3">
        <v>27085.54</v>
      </c>
      <c r="E603" s="3">
        <v>9414909.2599999998</v>
      </c>
      <c r="F603" s="35" t="s">
        <v>2750</v>
      </c>
      <c r="G603"/>
      <c r="H603"/>
      <c r="I603" s="27">
        <f>-IFERROR(VLOOKUP(C603,SIRCUPA!$A$21:$H$155,8,0),0)</f>
        <v>0</v>
      </c>
      <c r="J603" s="88">
        <f>-IFERROR(VLOOKUP(C603,SIRTAC!$A$16:$H$1288,8,0),0)</f>
        <v>-278</v>
      </c>
      <c r="K603" s="88">
        <f>-IFERROR(VLOOKUP(C603,Gastos!$A$9:$J$1281,10,0),0)</f>
        <v>-269.66000000000003</v>
      </c>
      <c r="L603" s="87">
        <f>-IFERROR(VLOOKUP(C603,IDC!$A$25:$H$1532,8,0),0)</f>
        <v>-166.8</v>
      </c>
      <c r="M603" s="122">
        <f t="shared" si="85"/>
        <v>27800</v>
      </c>
      <c r="N603"/>
      <c r="P603" s="35">
        <f t="shared" si="83"/>
        <v>-27800</v>
      </c>
      <c r="Q603" s="66">
        <f t="shared" si="84"/>
        <v>0</v>
      </c>
    </row>
    <row r="604" spans="1:17" hidden="1">
      <c r="A604" s="1" t="s">
        <v>619</v>
      </c>
      <c r="B604" s="1" t="s">
        <v>678</v>
      </c>
      <c r="C604" s="91">
        <v>126000250952</v>
      </c>
      <c r="D604" s="3">
        <v>1360.81</v>
      </c>
      <c r="E604" s="3">
        <v>9416270.0700000003</v>
      </c>
      <c r="F604" s="2" t="s">
        <v>2750</v>
      </c>
      <c r="G604"/>
      <c r="H604"/>
      <c r="I604" s="27">
        <f>-IFERROR(VLOOKUP(C604,SIRCUPA!$A$21:$H$155,8,0),0)</f>
        <v>-20.85</v>
      </c>
      <c r="J604" s="88">
        <f>-IFERROR(VLOOKUP(C604,SIRTAC!$A$16:$H$1288,8,0),0)</f>
        <v>0</v>
      </c>
      <c r="K604" s="88">
        <f>-IFERROR(VLOOKUP(C604,Gastos!$A$9:$J$1281,10,0),0)</f>
        <v>0</v>
      </c>
      <c r="L604" s="87">
        <f>-IFERROR(VLOOKUP(C604,IDC!$A$25:$H$1532,8,0),0)</f>
        <v>-8.34</v>
      </c>
      <c r="M604" s="122">
        <f t="shared" si="85"/>
        <v>1389.9999999999998</v>
      </c>
      <c r="N604"/>
      <c r="P604" s="35">
        <f t="shared" si="83"/>
        <v>-1390</v>
      </c>
      <c r="Q604" s="66">
        <f t="shared" si="84"/>
        <v>0</v>
      </c>
    </row>
    <row r="605" spans="1:17" hidden="1">
      <c r="A605" s="1" t="s">
        <v>619</v>
      </c>
      <c r="B605" s="1" t="s">
        <v>15</v>
      </c>
      <c r="C605" s="91">
        <v>125449242459</v>
      </c>
      <c r="D605" s="3">
        <v>37997.699999999997</v>
      </c>
      <c r="E605" s="3">
        <v>9454267.7699999996</v>
      </c>
      <c r="F605" s="35" t="s">
        <v>2750</v>
      </c>
      <c r="G605"/>
      <c r="H605"/>
      <c r="I605" s="27">
        <f>-IFERROR(VLOOKUP(C605,SIRCUPA!$A$21:$H$155,8,0),0)</f>
        <v>0</v>
      </c>
      <c r="J605" s="88">
        <f>-IFERROR(VLOOKUP(C605,SIRTAC!$A$16:$H$1288,8,0),0)</f>
        <v>-390</v>
      </c>
      <c r="K605" s="88">
        <f>-IFERROR(VLOOKUP(C605,Gastos!$A$9:$J$1281,10,0),0)</f>
        <v>-378.3</v>
      </c>
      <c r="L605" s="87">
        <f>-IFERROR(VLOOKUP(C605,IDC!$A$25:$H$1532,8,0),0)</f>
        <v>-234</v>
      </c>
      <c r="M605" s="122">
        <f t="shared" si="85"/>
        <v>39000</v>
      </c>
      <c r="N605"/>
      <c r="P605" s="35">
        <f t="shared" si="83"/>
        <v>-39000</v>
      </c>
      <c r="Q605" s="66">
        <f t="shared" si="84"/>
        <v>0</v>
      </c>
    </row>
    <row r="606" spans="1:17" hidden="1">
      <c r="A606" s="1" t="s">
        <v>619</v>
      </c>
      <c r="B606" s="1" t="s">
        <v>681</v>
      </c>
      <c r="C606" s="91">
        <v>125449173473</v>
      </c>
      <c r="D606" s="3">
        <v>1909.05</v>
      </c>
      <c r="E606" s="3">
        <v>9456176.8200000003</v>
      </c>
      <c r="F606" s="2" t="s">
        <v>2750</v>
      </c>
      <c r="G606"/>
      <c r="H606"/>
      <c r="I606" s="27">
        <f>-IFERROR(VLOOKUP(C606,SIRCUPA!$A$21:$H$155,8,0),0)</f>
        <v>-29.25</v>
      </c>
      <c r="J606" s="88">
        <f>-IFERROR(VLOOKUP(C606,SIRTAC!$A$16:$H$1288,8,0),0)</f>
        <v>0</v>
      </c>
      <c r="K606" s="88">
        <f>-IFERROR(VLOOKUP(C606,Gastos!$A$9:$J$1281,10,0),0)</f>
        <v>0</v>
      </c>
      <c r="L606" s="87">
        <f>-IFERROR(VLOOKUP(C606,IDC!$A$25:$H$1532,8,0),0)</f>
        <v>-11.7</v>
      </c>
      <c r="M606" s="122">
        <f t="shared" si="85"/>
        <v>1950</v>
      </c>
      <c r="N606"/>
      <c r="P606" s="35">
        <f t="shared" si="83"/>
        <v>-1949.9999999999998</v>
      </c>
      <c r="Q606" s="66">
        <f t="shared" si="84"/>
        <v>0</v>
      </c>
    </row>
    <row r="607" spans="1:17" hidden="1">
      <c r="A607" s="1" t="s">
        <v>619</v>
      </c>
      <c r="B607" s="1" t="s">
        <v>15</v>
      </c>
      <c r="C607" s="91">
        <v>125449622091</v>
      </c>
      <c r="D607" s="3">
        <v>30203.3</v>
      </c>
      <c r="E607" s="3">
        <v>9486380.1199999992</v>
      </c>
      <c r="F607" s="35" t="s">
        <v>2750</v>
      </c>
      <c r="G607"/>
      <c r="H607"/>
      <c r="I607" s="27">
        <f>-IFERROR(VLOOKUP(C607,SIRCUPA!$A$21:$H$155,8,0),0)</f>
        <v>0</v>
      </c>
      <c r="J607" s="88">
        <f>-IFERROR(VLOOKUP(C607,SIRTAC!$A$16:$H$1288,8,0),0)</f>
        <v>-310</v>
      </c>
      <c r="K607" s="88">
        <f>-IFERROR(VLOOKUP(C607,Gastos!$A$9:$J$1281,10,0),0)</f>
        <v>-300.7</v>
      </c>
      <c r="L607" s="87">
        <f>-IFERROR(VLOOKUP(C607,IDC!$A$25:$H$1532,8,0),0)</f>
        <v>-186</v>
      </c>
      <c r="M607" s="122">
        <f t="shared" si="85"/>
        <v>31000</v>
      </c>
      <c r="N607"/>
      <c r="P607" s="35">
        <f t="shared" si="83"/>
        <v>-31000</v>
      </c>
      <c r="Q607" s="66">
        <f t="shared" si="84"/>
        <v>0</v>
      </c>
    </row>
    <row r="608" spans="1:17" hidden="1">
      <c r="A608" s="1" t="s">
        <v>619</v>
      </c>
      <c r="B608" s="1" t="s">
        <v>684</v>
      </c>
      <c r="C608" s="91">
        <v>126000953678</v>
      </c>
      <c r="D608" s="3">
        <v>1517.45</v>
      </c>
      <c r="E608" s="3">
        <v>9487897.5700000003</v>
      </c>
      <c r="F608" s="2" t="s">
        <v>2750</v>
      </c>
      <c r="G608"/>
      <c r="H608"/>
      <c r="I608" s="27">
        <f>-IFERROR(VLOOKUP(C608,SIRCUPA!$A$21:$H$155,8,0),0)</f>
        <v>-23.25</v>
      </c>
      <c r="J608" s="88">
        <f>-IFERROR(VLOOKUP(C608,SIRTAC!$A$16:$H$1288,8,0),0)</f>
        <v>0</v>
      </c>
      <c r="K608" s="88">
        <f>-IFERROR(VLOOKUP(C608,Gastos!$A$9:$J$1281,10,0),0)</f>
        <v>0</v>
      </c>
      <c r="L608" s="87">
        <f>-IFERROR(VLOOKUP(C608,IDC!$A$25:$H$1532,8,0),0)</f>
        <v>-9.3000000000000007</v>
      </c>
      <c r="M608" s="122">
        <f t="shared" si="85"/>
        <v>1550</v>
      </c>
      <c r="N608"/>
      <c r="P608" s="35">
        <f t="shared" si="83"/>
        <v>-1550</v>
      </c>
      <c r="Q608" s="66">
        <f t="shared" si="84"/>
        <v>0</v>
      </c>
    </row>
    <row r="609" spans="1:17" hidden="1">
      <c r="A609" s="1" t="s">
        <v>619</v>
      </c>
      <c r="B609" s="1" t="s">
        <v>15</v>
      </c>
      <c r="C609" s="91">
        <v>126001259020</v>
      </c>
      <c r="D609" s="3">
        <v>6820.1</v>
      </c>
      <c r="E609" s="3">
        <v>9494717.6699999999</v>
      </c>
      <c r="F609" s="35" t="s">
        <v>2750</v>
      </c>
      <c r="G609"/>
      <c r="H609"/>
      <c r="I609" s="27">
        <f>-IFERROR(VLOOKUP(C609,SIRCUPA!$A$21:$H$155,8,0),0)</f>
        <v>0</v>
      </c>
      <c r="J609" s="88">
        <f>-IFERROR(VLOOKUP(C609,SIRTAC!$A$16:$H$1288,8,0),0)</f>
        <v>-70</v>
      </c>
      <c r="K609" s="88">
        <f>-IFERROR(VLOOKUP(C609,Gastos!$A$9:$J$1281,10,0),0)</f>
        <v>-67.900000000000006</v>
      </c>
      <c r="L609" s="87">
        <f>-IFERROR(VLOOKUP(C609,IDC!$A$25:$H$1532,8,0),0)</f>
        <v>-42</v>
      </c>
      <c r="M609" s="122">
        <f t="shared" si="85"/>
        <v>7000</v>
      </c>
      <c r="N609"/>
      <c r="P609" s="35">
        <f t="shared" si="83"/>
        <v>-7000</v>
      </c>
      <c r="Q609" s="66">
        <f t="shared" si="84"/>
        <v>0</v>
      </c>
    </row>
    <row r="610" spans="1:17" hidden="1">
      <c r="A610" s="1" t="s">
        <v>619</v>
      </c>
      <c r="B610" s="1" t="s">
        <v>15</v>
      </c>
      <c r="C610" s="91">
        <v>126001791192</v>
      </c>
      <c r="D610" s="3">
        <v>39654.01</v>
      </c>
      <c r="E610" s="3">
        <v>9534371.6799999997</v>
      </c>
      <c r="F610" s="35" t="s">
        <v>2750</v>
      </c>
      <c r="G610"/>
      <c r="H610"/>
      <c r="I610" s="27">
        <f>-IFERROR(VLOOKUP(C610,SIRCUPA!$A$21:$H$155,8,0),0)</f>
        <v>0</v>
      </c>
      <c r="J610" s="88">
        <f>-IFERROR(VLOOKUP(C610,SIRTAC!$A$16:$H$1288,8,0),0)</f>
        <v>-407</v>
      </c>
      <c r="K610" s="88">
        <f>-IFERROR(VLOOKUP(C610,Gastos!$A$9:$J$1281,10,0),0)</f>
        <v>-394.79</v>
      </c>
      <c r="L610" s="87">
        <f>-IFERROR(VLOOKUP(C610,IDC!$A$25:$H$1532,8,0),0)</f>
        <v>-244.2</v>
      </c>
      <c r="M610" s="122">
        <f t="shared" si="85"/>
        <v>40700</v>
      </c>
      <c r="N610"/>
      <c r="P610" s="35">
        <f t="shared" si="83"/>
        <v>-40700</v>
      </c>
      <c r="Q610" s="66">
        <f t="shared" si="84"/>
        <v>0</v>
      </c>
    </row>
    <row r="611" spans="1:17" hidden="1">
      <c r="A611" s="1" t="s">
        <v>619</v>
      </c>
      <c r="B611" s="1" t="s">
        <v>15</v>
      </c>
      <c r="C611" s="91">
        <v>126002231286</v>
      </c>
      <c r="D611" s="3">
        <v>36049.1</v>
      </c>
      <c r="E611" s="3">
        <v>9570420.7799999993</v>
      </c>
      <c r="F611" s="35" t="s">
        <v>2750</v>
      </c>
      <c r="G611"/>
      <c r="H611"/>
      <c r="I611" s="27">
        <f>-IFERROR(VLOOKUP(C611,SIRCUPA!$A$21:$H$155,8,0),0)</f>
        <v>0</v>
      </c>
      <c r="J611" s="88">
        <f>-IFERROR(VLOOKUP(C611,SIRTAC!$A$16:$H$1288,8,0),0)</f>
        <v>-370</v>
      </c>
      <c r="K611" s="88">
        <f>-IFERROR(VLOOKUP(C611,Gastos!$A$9:$J$1281,10,0),0)</f>
        <v>-358.9</v>
      </c>
      <c r="L611" s="87">
        <f>-IFERROR(VLOOKUP(C611,IDC!$A$25:$H$1532,8,0),0)</f>
        <v>-222</v>
      </c>
      <c r="M611" s="122">
        <f t="shared" si="85"/>
        <v>37000</v>
      </c>
      <c r="N611"/>
      <c r="P611" s="35">
        <f t="shared" si="83"/>
        <v>-37000</v>
      </c>
      <c r="Q611" s="66">
        <f t="shared" si="84"/>
        <v>0</v>
      </c>
    </row>
    <row r="612" spans="1:17" hidden="1">
      <c r="A612" s="1" t="s">
        <v>619</v>
      </c>
      <c r="B612" s="1" t="s">
        <v>15</v>
      </c>
      <c r="C612" s="91">
        <v>125451470875</v>
      </c>
      <c r="D612" s="3">
        <v>7794.4</v>
      </c>
      <c r="E612" s="3">
        <v>9578215.1799999997</v>
      </c>
      <c r="F612" s="35" t="s">
        <v>2750</v>
      </c>
      <c r="G612"/>
      <c r="H612"/>
      <c r="I612" s="27">
        <f>-IFERROR(VLOOKUP(C612,SIRCUPA!$A$21:$H$155,8,0),0)</f>
        <v>0</v>
      </c>
      <c r="J612" s="88">
        <f>-IFERROR(VLOOKUP(C612,SIRTAC!$A$16:$H$1288,8,0),0)</f>
        <v>-80</v>
      </c>
      <c r="K612" s="88">
        <f>-IFERROR(VLOOKUP(C612,Gastos!$A$9:$J$1281,10,0),0)</f>
        <v>-77.599999999999994</v>
      </c>
      <c r="L612" s="87">
        <f>-IFERROR(VLOOKUP(C612,IDC!$A$25:$H$1532,8,0),0)</f>
        <v>-48</v>
      </c>
      <c r="M612" s="122">
        <f t="shared" si="85"/>
        <v>8000</v>
      </c>
      <c r="N612"/>
      <c r="P612" s="35">
        <f t="shared" si="83"/>
        <v>-8000</v>
      </c>
      <c r="Q612" s="66">
        <f t="shared" si="84"/>
        <v>0</v>
      </c>
    </row>
    <row r="613" spans="1:17" hidden="1">
      <c r="A613" s="1" t="s">
        <v>619</v>
      </c>
      <c r="B613" s="1" t="s">
        <v>15</v>
      </c>
      <c r="C613" s="91">
        <v>125451713543</v>
      </c>
      <c r="D613" s="3">
        <v>51247.56</v>
      </c>
      <c r="E613" s="3">
        <v>9629462.7400000002</v>
      </c>
      <c r="F613" s="35" t="s">
        <v>2750</v>
      </c>
      <c r="G613"/>
      <c r="H613"/>
      <c r="I613" s="27">
        <f>-IFERROR(VLOOKUP(C613,SIRCUPA!$A$21:$H$155,8,0),0)</f>
        <v>0</v>
      </c>
      <c r="J613" s="88">
        <f>-IFERROR(VLOOKUP(C613,SIRTAC!$A$16:$H$1288,8,0),0)</f>
        <v>-546</v>
      </c>
      <c r="K613" s="88">
        <f>-IFERROR(VLOOKUP(C613,Gastos!$A$9:$J$1281,10,0),0)</f>
        <v>-2478.84</v>
      </c>
      <c r="L613" s="87">
        <f>-IFERROR(VLOOKUP(C613,IDC!$A$25:$H$1532,8,0),0)</f>
        <v>-327.60000000000002</v>
      </c>
      <c r="M613" s="122">
        <f t="shared" si="85"/>
        <v>54599.999999999993</v>
      </c>
      <c r="N613"/>
      <c r="P613" s="35">
        <f t="shared" si="83"/>
        <v>-54600</v>
      </c>
      <c r="Q613" s="66">
        <f t="shared" si="84"/>
        <v>0</v>
      </c>
    </row>
    <row r="614" spans="1:17" hidden="1">
      <c r="A614" s="1" t="s">
        <v>619</v>
      </c>
      <c r="B614" s="1" t="s">
        <v>15</v>
      </c>
      <c r="C614" s="91">
        <v>125452973303</v>
      </c>
      <c r="D614" s="3">
        <v>21142.31</v>
      </c>
      <c r="E614" s="3">
        <v>9650605.0500000007</v>
      </c>
      <c r="F614" s="35" t="s">
        <v>2750</v>
      </c>
      <c r="G614"/>
      <c r="H614"/>
      <c r="I614" s="27">
        <f>-IFERROR(VLOOKUP(C614,SIRCUPA!$A$21:$H$155,8,0),0)</f>
        <v>0</v>
      </c>
      <c r="J614" s="88">
        <f>-IFERROR(VLOOKUP(C614,SIRTAC!$A$16:$H$1288,8,0),0)</f>
        <v>-217</v>
      </c>
      <c r="K614" s="88">
        <f>-IFERROR(VLOOKUP(C614,Gastos!$A$9:$J$1281,10,0),0)</f>
        <v>-210.49</v>
      </c>
      <c r="L614" s="87">
        <f>-IFERROR(VLOOKUP(C614,IDC!$A$25:$H$1532,8,0),0)</f>
        <v>-130.19999999999999</v>
      </c>
      <c r="M614" s="122">
        <f t="shared" ref="M614:M633" si="86">+D614-I614-J614-K614-L614</f>
        <v>21700.000000000004</v>
      </c>
      <c r="N614"/>
      <c r="P614" s="35">
        <f t="shared" ref="P614:P633" si="87">+L614/0.006</f>
        <v>-21699.999999999996</v>
      </c>
      <c r="Q614" s="66">
        <f t="shared" ref="Q614:Q633" si="88">+M614+P614</f>
        <v>0</v>
      </c>
    </row>
    <row r="615" spans="1:17" hidden="1">
      <c r="A615" s="1" t="s">
        <v>619</v>
      </c>
      <c r="B615" s="1" t="s">
        <v>15</v>
      </c>
      <c r="C615" s="91">
        <v>126004526618</v>
      </c>
      <c r="D615" s="3">
        <v>43739.61</v>
      </c>
      <c r="E615" s="3">
        <v>9694344.6600000001</v>
      </c>
      <c r="F615" s="35" t="s">
        <v>2750</v>
      </c>
      <c r="G615"/>
      <c r="H615"/>
      <c r="I615" s="27">
        <f>-IFERROR(VLOOKUP(C615,SIRCUPA!$A$21:$H$155,8,0),0)</f>
        <v>0</v>
      </c>
      <c r="J615" s="88">
        <f>-IFERROR(VLOOKUP(C615,SIRTAC!$A$16:$H$1288,8,0),0)</f>
        <v>-463</v>
      </c>
      <c r="K615" s="88">
        <f>-IFERROR(VLOOKUP(C615,Gastos!$A$9:$J$1281,10,0),0)</f>
        <v>-1819.59</v>
      </c>
      <c r="L615" s="87">
        <f>-IFERROR(VLOOKUP(C615,IDC!$A$25:$H$1532,8,0),0)</f>
        <v>-277.8</v>
      </c>
      <c r="M615" s="122">
        <f t="shared" si="86"/>
        <v>46300</v>
      </c>
      <c r="N615"/>
      <c r="P615" s="35">
        <f t="shared" si="87"/>
        <v>-46300</v>
      </c>
      <c r="Q615" s="66">
        <f t="shared" si="88"/>
        <v>0</v>
      </c>
    </row>
    <row r="616" spans="1:17" hidden="1">
      <c r="A616" s="1" t="s">
        <v>619</v>
      </c>
      <c r="B616" s="1" t="s">
        <v>15</v>
      </c>
      <c r="C616" s="91">
        <v>125453295123</v>
      </c>
      <c r="D616" s="3">
        <v>7989.26</v>
      </c>
      <c r="E616" s="3">
        <v>9702333.9199999999</v>
      </c>
      <c r="F616" s="35" t="s">
        <v>2750</v>
      </c>
      <c r="G616"/>
      <c r="H616"/>
      <c r="I616" s="27">
        <f>-IFERROR(VLOOKUP(C616,SIRCUPA!$A$21:$H$155,8,0),0)</f>
        <v>0</v>
      </c>
      <c r="J616" s="88">
        <f>-IFERROR(VLOOKUP(C616,SIRTAC!$A$16:$H$1288,8,0),0)</f>
        <v>-82</v>
      </c>
      <c r="K616" s="88">
        <f>-IFERROR(VLOOKUP(C616,Gastos!$A$9:$J$1281,10,0),0)</f>
        <v>-79.540000000000006</v>
      </c>
      <c r="L616" s="87">
        <f>-IFERROR(VLOOKUP(C616,IDC!$A$25:$H$1532,8,0),0)</f>
        <v>-49.2</v>
      </c>
      <c r="M616" s="122">
        <f t="shared" si="86"/>
        <v>8200</v>
      </c>
      <c r="N616"/>
      <c r="P616" s="35">
        <f t="shared" si="87"/>
        <v>-8200</v>
      </c>
      <c r="Q616" s="66">
        <f t="shared" si="88"/>
        <v>0</v>
      </c>
    </row>
    <row r="617" spans="1:17" hidden="1">
      <c r="A617" s="1" t="s">
        <v>619</v>
      </c>
      <c r="B617" s="1" t="s">
        <v>15</v>
      </c>
      <c r="C617" s="91">
        <v>126004723518</v>
      </c>
      <c r="D617" s="3">
        <v>15393.94</v>
      </c>
      <c r="E617" s="3">
        <v>9717727.8599999994</v>
      </c>
      <c r="F617" s="35" t="s">
        <v>2750</v>
      </c>
      <c r="G617"/>
      <c r="H617"/>
      <c r="I617" s="27">
        <f>-IFERROR(VLOOKUP(C617,SIRCUPA!$A$21:$H$155,8,0),0)</f>
        <v>0</v>
      </c>
      <c r="J617" s="88">
        <f>-IFERROR(VLOOKUP(C617,SIRTAC!$A$16:$H$1288,8,0),0)</f>
        <v>-158</v>
      </c>
      <c r="K617" s="88">
        <f>-IFERROR(VLOOKUP(C617,Gastos!$A$9:$J$1281,10,0),0)</f>
        <v>-153.26</v>
      </c>
      <c r="L617" s="87">
        <f>-IFERROR(VLOOKUP(C617,IDC!$A$25:$H$1532,8,0),0)</f>
        <v>-94.8</v>
      </c>
      <c r="M617" s="122">
        <f t="shared" si="86"/>
        <v>15800</v>
      </c>
      <c r="N617"/>
      <c r="P617" s="35">
        <f t="shared" si="87"/>
        <v>-15800</v>
      </c>
      <c r="Q617" s="66">
        <f t="shared" si="88"/>
        <v>0</v>
      </c>
    </row>
    <row r="618" spans="1:17" hidden="1">
      <c r="A618" s="1" t="s">
        <v>619</v>
      </c>
      <c r="B618" s="1" t="s">
        <v>15</v>
      </c>
      <c r="C618" s="91">
        <v>126004850416</v>
      </c>
      <c r="D618" s="3">
        <v>43064.06</v>
      </c>
      <c r="E618" s="3">
        <v>9760791.9199999999</v>
      </c>
      <c r="F618" s="35" t="s">
        <v>2750</v>
      </c>
      <c r="G618"/>
      <c r="H618"/>
      <c r="I618" s="27">
        <f>-IFERROR(VLOOKUP(C618,SIRCUPA!$A$21:$H$155,8,0),0)</f>
        <v>0</v>
      </c>
      <c r="J618" s="88">
        <f>-IFERROR(VLOOKUP(C618,SIRTAC!$A$16:$H$1288,8,0),0)</f>
        <v>-442</v>
      </c>
      <c r="K618" s="88">
        <f>-IFERROR(VLOOKUP(C618,Gastos!$A$9:$J$1281,10,0),0)</f>
        <v>-428.74</v>
      </c>
      <c r="L618" s="87">
        <f>-IFERROR(VLOOKUP(C618,IDC!$A$25:$H$1532,8,0),0)</f>
        <v>-265.2</v>
      </c>
      <c r="M618" s="122">
        <f t="shared" si="86"/>
        <v>44199.999999999993</v>
      </c>
      <c r="N618"/>
      <c r="P618" s="35">
        <f t="shared" si="87"/>
        <v>-44200</v>
      </c>
      <c r="Q618" s="66">
        <f t="shared" si="88"/>
        <v>0</v>
      </c>
    </row>
    <row r="619" spans="1:17" hidden="1">
      <c r="A619" s="1" t="s">
        <v>619</v>
      </c>
      <c r="B619" s="1" t="s">
        <v>15</v>
      </c>
      <c r="C619" s="91">
        <v>125453742521</v>
      </c>
      <c r="D619" s="3">
        <v>37637.86</v>
      </c>
      <c r="E619" s="3">
        <v>9798429.7799999993</v>
      </c>
      <c r="F619" s="35" t="s">
        <v>2750</v>
      </c>
      <c r="G619"/>
      <c r="H619"/>
      <c r="I619" s="27">
        <f>-IFERROR(VLOOKUP(C619,SIRCUPA!$A$21:$H$155,8,0),0)</f>
        <v>0</v>
      </c>
      <c r="J619" s="88">
        <f>-IFERROR(VLOOKUP(C619,SIRTAC!$A$16:$H$1288,8,0),0)</f>
        <v>-401</v>
      </c>
      <c r="K619" s="88">
        <f>-IFERROR(VLOOKUP(C619,Gastos!$A$9:$J$1281,10,0),0)</f>
        <v>-1820.54</v>
      </c>
      <c r="L619" s="87">
        <f>-IFERROR(VLOOKUP(C619,IDC!$A$25:$H$1532,8,0),0)</f>
        <v>-240.6</v>
      </c>
      <c r="M619" s="122">
        <f t="shared" si="86"/>
        <v>40100</v>
      </c>
      <c r="N619"/>
      <c r="P619" s="35">
        <f t="shared" si="87"/>
        <v>-40100</v>
      </c>
      <c r="Q619" s="66">
        <f t="shared" si="88"/>
        <v>0</v>
      </c>
    </row>
    <row r="620" spans="1:17" hidden="1">
      <c r="A620" s="1" t="s">
        <v>619</v>
      </c>
      <c r="B620" s="1" t="s">
        <v>15</v>
      </c>
      <c r="C620" s="91">
        <v>126005317084</v>
      </c>
      <c r="D620" s="3">
        <v>43648.639999999999</v>
      </c>
      <c r="E620" s="3">
        <v>9842078.4199999999</v>
      </c>
      <c r="F620" s="35" t="s">
        <v>2750</v>
      </c>
      <c r="G620"/>
      <c r="H620"/>
      <c r="I620" s="27">
        <f>-IFERROR(VLOOKUP(C620,SIRCUPA!$A$21:$H$155,8,0),0)</f>
        <v>0</v>
      </c>
      <c r="J620" s="88">
        <f>-IFERROR(VLOOKUP(C620,SIRTAC!$A$16:$H$1288,8,0),0)</f>
        <v>-448</v>
      </c>
      <c r="K620" s="88">
        <f>-IFERROR(VLOOKUP(C620,Gastos!$A$9:$J$1281,10,0),0)</f>
        <v>-434.56</v>
      </c>
      <c r="L620" s="87">
        <f>-IFERROR(VLOOKUP(C620,IDC!$A$25:$H$1532,8,0),0)</f>
        <v>-268.8</v>
      </c>
      <c r="M620" s="122">
        <f t="shared" si="86"/>
        <v>44800</v>
      </c>
      <c r="N620"/>
      <c r="P620" s="35">
        <f t="shared" si="87"/>
        <v>-44800</v>
      </c>
      <c r="Q620" s="66">
        <f t="shared" si="88"/>
        <v>0</v>
      </c>
    </row>
    <row r="621" spans="1:17" hidden="1">
      <c r="A621" s="1" t="s">
        <v>619</v>
      </c>
      <c r="B621" s="1" t="s">
        <v>15</v>
      </c>
      <c r="C621" s="91">
        <v>125454342423</v>
      </c>
      <c r="D621" s="3">
        <v>7746.54</v>
      </c>
      <c r="E621" s="3">
        <v>9849824.9600000009</v>
      </c>
      <c r="F621" s="35" t="s">
        <v>2750</v>
      </c>
      <c r="G621"/>
      <c r="H621"/>
      <c r="I621" s="27">
        <f>-IFERROR(VLOOKUP(C621,SIRCUPA!$A$21:$H$155,8,0),0)</f>
        <v>0</v>
      </c>
      <c r="J621" s="88">
        <f>-IFERROR(VLOOKUP(C621,SIRTAC!$A$16:$H$1288,8,0),0)</f>
        <v>-82</v>
      </c>
      <c r="K621" s="88">
        <f>-IFERROR(VLOOKUP(C621,Gastos!$A$9:$J$1281,10,0),0)</f>
        <v>-322.26</v>
      </c>
      <c r="L621" s="87">
        <f>-IFERROR(VLOOKUP(C621,IDC!$A$25:$H$1532,8,0),0)</f>
        <v>-49.2</v>
      </c>
      <c r="M621" s="122">
        <f t="shared" si="86"/>
        <v>8200</v>
      </c>
      <c r="N621"/>
      <c r="P621" s="35">
        <f t="shared" si="87"/>
        <v>-8200</v>
      </c>
      <c r="Q621" s="66">
        <f t="shared" si="88"/>
        <v>0</v>
      </c>
    </row>
    <row r="622" spans="1:17" hidden="1">
      <c r="A622" s="1" t="s">
        <v>619</v>
      </c>
      <c r="B622" s="1" t="s">
        <v>15</v>
      </c>
      <c r="C622" s="91">
        <v>125454937941</v>
      </c>
      <c r="D622" s="3">
        <v>11009.59</v>
      </c>
      <c r="E622" s="3">
        <v>9860834.5500000007</v>
      </c>
      <c r="F622" s="35" t="s">
        <v>2750</v>
      </c>
      <c r="G622"/>
      <c r="H622"/>
      <c r="I622" s="27">
        <f>-IFERROR(VLOOKUP(C622,SIRCUPA!$A$21:$H$155,8,0),0)</f>
        <v>0</v>
      </c>
      <c r="J622" s="88">
        <f>-IFERROR(VLOOKUP(C622,SIRTAC!$A$16:$H$1288,8,0),0)</f>
        <v>-113</v>
      </c>
      <c r="K622" s="88">
        <f>-IFERROR(VLOOKUP(C622,Gastos!$A$9:$J$1281,10,0),0)</f>
        <v>-109.61</v>
      </c>
      <c r="L622" s="87">
        <f>-IFERROR(VLOOKUP(C622,IDC!$A$25:$H$1532,8,0),0)</f>
        <v>-67.8</v>
      </c>
      <c r="M622" s="122">
        <f t="shared" si="86"/>
        <v>11300</v>
      </c>
      <c r="N622"/>
      <c r="P622" s="35">
        <f t="shared" si="87"/>
        <v>-11300</v>
      </c>
      <c r="Q622" s="66">
        <f t="shared" si="88"/>
        <v>0</v>
      </c>
    </row>
    <row r="623" spans="1:17" hidden="1">
      <c r="A623" s="1" t="s">
        <v>619</v>
      </c>
      <c r="B623" s="1" t="s">
        <v>15</v>
      </c>
      <c r="C623" s="91">
        <v>125455143547</v>
      </c>
      <c r="D623" s="3">
        <v>7746.54</v>
      </c>
      <c r="E623" s="3">
        <v>9868581.0899999999</v>
      </c>
      <c r="F623" s="35" t="s">
        <v>2750</v>
      </c>
      <c r="G623"/>
      <c r="H623"/>
      <c r="I623" s="27">
        <f>-IFERROR(VLOOKUP(C623,SIRCUPA!$A$21:$H$155,8,0),0)</f>
        <v>0</v>
      </c>
      <c r="J623" s="88">
        <f>-IFERROR(VLOOKUP(C623,SIRTAC!$A$16:$H$1288,8,0),0)</f>
        <v>-82</v>
      </c>
      <c r="K623" s="88">
        <f>-IFERROR(VLOOKUP(C623,Gastos!$A$9:$J$1281,10,0),0)</f>
        <v>-322.26</v>
      </c>
      <c r="L623" s="87">
        <f>-IFERROR(VLOOKUP(C623,IDC!$A$25:$H$1532,8,0),0)</f>
        <v>-49.2</v>
      </c>
      <c r="M623" s="122">
        <f t="shared" si="86"/>
        <v>8200</v>
      </c>
      <c r="N623"/>
      <c r="P623" s="35">
        <f t="shared" si="87"/>
        <v>-8200</v>
      </c>
      <c r="Q623" s="66">
        <f t="shared" si="88"/>
        <v>0</v>
      </c>
    </row>
    <row r="624" spans="1:17" hidden="1">
      <c r="A624" s="1" t="s">
        <v>619</v>
      </c>
      <c r="B624" s="1" t="s">
        <v>15</v>
      </c>
      <c r="C624" s="91">
        <v>125455209189</v>
      </c>
      <c r="D624" s="3">
        <v>26640.54</v>
      </c>
      <c r="E624" s="3">
        <v>9895221.6300000008</v>
      </c>
      <c r="F624" s="35" t="s">
        <v>2750</v>
      </c>
      <c r="G624"/>
      <c r="H624"/>
      <c r="I624" s="27">
        <f>-IFERROR(VLOOKUP(C624,SIRCUPA!$A$21:$H$155,8,0),0)</f>
        <v>0</v>
      </c>
      <c r="J624" s="88">
        <f>-IFERROR(VLOOKUP(C624,SIRTAC!$A$16:$H$1288,8,0),0)</f>
        <v>-282</v>
      </c>
      <c r="K624" s="88">
        <f>-IFERROR(VLOOKUP(C624,Gastos!$A$9:$J$1281,10,0),0)</f>
        <v>-1108.26</v>
      </c>
      <c r="L624" s="87">
        <f>-IFERROR(VLOOKUP(C624,IDC!$A$25:$H$1532,8,0),0)</f>
        <v>-169.2</v>
      </c>
      <c r="M624" s="122">
        <f t="shared" si="86"/>
        <v>28200</v>
      </c>
      <c r="N624"/>
      <c r="P624" s="35">
        <f t="shared" si="87"/>
        <v>-28199.999999999996</v>
      </c>
      <c r="Q624" s="66">
        <f t="shared" si="88"/>
        <v>0</v>
      </c>
    </row>
    <row r="625" spans="1:18" hidden="1">
      <c r="A625" s="1" t="s">
        <v>619</v>
      </c>
      <c r="B625" s="1" t="s">
        <v>15</v>
      </c>
      <c r="C625" s="91">
        <v>126006479850</v>
      </c>
      <c r="D625" s="3">
        <v>4871.5</v>
      </c>
      <c r="E625" s="3">
        <v>9900093.1300000008</v>
      </c>
      <c r="F625" s="35" t="s">
        <v>2750</v>
      </c>
      <c r="G625"/>
      <c r="H625"/>
      <c r="I625" s="27">
        <f>-IFERROR(VLOOKUP(C625,SIRCUPA!$A$21:$H$155,8,0),0)</f>
        <v>0</v>
      </c>
      <c r="J625" s="88">
        <f>-IFERROR(VLOOKUP(C625,SIRTAC!$A$16:$H$1288,8,0),0)</f>
        <v>-50</v>
      </c>
      <c r="K625" s="88">
        <f>-IFERROR(VLOOKUP(C625,Gastos!$A$9:$J$1281,10,0),0)</f>
        <v>-48.5</v>
      </c>
      <c r="L625" s="87">
        <f>-IFERROR(VLOOKUP(C625,IDC!$A$25:$H$1532,8,0),0)</f>
        <v>-30</v>
      </c>
      <c r="M625" s="122">
        <f t="shared" si="86"/>
        <v>5000</v>
      </c>
      <c r="N625"/>
      <c r="P625" s="35">
        <f t="shared" si="87"/>
        <v>-5000</v>
      </c>
      <c r="Q625" s="66">
        <f t="shared" si="88"/>
        <v>0</v>
      </c>
    </row>
    <row r="626" spans="1:18" hidden="1">
      <c r="A626" s="1" t="s">
        <v>619</v>
      </c>
      <c r="B626" s="1" t="s">
        <v>15</v>
      </c>
      <c r="C626" s="91">
        <v>126006688382</v>
      </c>
      <c r="D626" s="3">
        <v>33321.06</v>
      </c>
      <c r="E626" s="3">
        <v>9933414.1899999995</v>
      </c>
      <c r="F626" s="35" t="s">
        <v>2750</v>
      </c>
      <c r="G626"/>
      <c r="H626"/>
      <c r="I626" s="27">
        <f>-IFERROR(VLOOKUP(C626,SIRCUPA!$A$21:$H$155,8,0),0)</f>
        <v>0</v>
      </c>
      <c r="J626" s="88">
        <f>-IFERROR(VLOOKUP(C626,SIRTAC!$A$16:$H$1288,8,0),0)</f>
        <v>-342</v>
      </c>
      <c r="K626" s="88">
        <f>-IFERROR(VLOOKUP(C626,Gastos!$A$9:$J$1281,10,0),0)</f>
        <v>-331.74</v>
      </c>
      <c r="L626" s="87">
        <f>-IFERROR(VLOOKUP(C626,IDC!$A$25:$H$1532,8,0),0)</f>
        <v>-205.2</v>
      </c>
      <c r="M626" s="122">
        <f t="shared" si="86"/>
        <v>34199.999999999993</v>
      </c>
      <c r="N626"/>
      <c r="P626" s="35">
        <f t="shared" si="87"/>
        <v>-34200</v>
      </c>
      <c r="Q626" s="66">
        <f t="shared" si="88"/>
        <v>0</v>
      </c>
    </row>
    <row r="627" spans="1:18" hidden="1">
      <c r="A627" s="1" t="s">
        <v>619</v>
      </c>
      <c r="B627" s="1" t="s">
        <v>15</v>
      </c>
      <c r="C627" s="91">
        <v>125455496263</v>
      </c>
      <c r="D627" s="3">
        <v>72780.210000000006</v>
      </c>
      <c r="E627" s="3">
        <v>10006194.4</v>
      </c>
      <c r="F627" s="35" t="s">
        <v>2750</v>
      </c>
      <c r="G627"/>
      <c r="H627"/>
      <c r="I627" s="27">
        <f>-IFERROR(VLOOKUP(C627,SIRCUPA!$A$21:$H$155,8,0),0)</f>
        <v>0</v>
      </c>
      <c r="J627" s="88">
        <f>-IFERROR(VLOOKUP(C627,SIRTAC!$A$16:$H$1288,8,0),0)</f>
        <v>-747</v>
      </c>
      <c r="K627" s="88">
        <f>-IFERROR(VLOOKUP(C627,Gastos!$A$9:$J$1281,10,0),0)</f>
        <v>-724.59</v>
      </c>
      <c r="L627" s="87">
        <f>-IFERROR(VLOOKUP(C627,IDC!$A$25:$H$1532,8,0),0)</f>
        <v>-448.2</v>
      </c>
      <c r="M627" s="122">
        <f t="shared" si="86"/>
        <v>74700</v>
      </c>
      <c r="N627"/>
      <c r="P627" s="35">
        <f t="shared" si="87"/>
        <v>-74700</v>
      </c>
      <c r="Q627" s="66">
        <f t="shared" si="88"/>
        <v>0</v>
      </c>
    </row>
    <row r="628" spans="1:18" hidden="1">
      <c r="A628" s="1" t="s">
        <v>619</v>
      </c>
      <c r="B628" s="1" t="s">
        <v>705</v>
      </c>
      <c r="C628" s="91">
        <v>126006713134</v>
      </c>
      <c r="D628" s="3">
        <v>3656.56</v>
      </c>
      <c r="E628" s="3">
        <v>10009850.960000001</v>
      </c>
      <c r="F628" s="2" t="s">
        <v>2750</v>
      </c>
      <c r="G628"/>
      <c r="H628"/>
      <c r="I628" s="27">
        <f>-IFERROR(VLOOKUP(C628,SIRCUPA!$A$21:$H$155,8,0),0)</f>
        <v>-56.03</v>
      </c>
      <c r="J628" s="88">
        <f>-IFERROR(VLOOKUP(C628,SIRTAC!$A$16:$H$1288,8,0),0)</f>
        <v>0</v>
      </c>
      <c r="K628" s="88">
        <f>-IFERROR(VLOOKUP(C628,Gastos!$A$9:$J$1281,10,0),0)</f>
        <v>0</v>
      </c>
      <c r="L628" s="87">
        <f>-IFERROR(VLOOKUP(C628,IDC!$A$25:$H$1532,8,0),0)</f>
        <v>-22.41</v>
      </c>
      <c r="M628" s="122">
        <f t="shared" si="86"/>
        <v>3735</v>
      </c>
      <c r="N628"/>
      <c r="P628" s="35">
        <f t="shared" si="87"/>
        <v>-3735</v>
      </c>
      <c r="Q628" s="66">
        <f t="shared" si="88"/>
        <v>0</v>
      </c>
    </row>
    <row r="629" spans="1:18" hidden="1">
      <c r="A629" s="1" t="s">
        <v>619</v>
      </c>
      <c r="B629" s="1" t="s">
        <v>15</v>
      </c>
      <c r="C629" s="91">
        <v>126007138224</v>
      </c>
      <c r="D629" s="3">
        <v>45723.48</v>
      </c>
      <c r="E629" s="3">
        <v>10055574.439999999</v>
      </c>
      <c r="F629" s="35" t="s">
        <v>2750</v>
      </c>
      <c r="G629"/>
      <c r="H629"/>
      <c r="I629" s="27">
        <f>-IFERROR(VLOOKUP(C629,SIRCUPA!$A$21:$H$155,8,0),0)</f>
        <v>0</v>
      </c>
      <c r="J629" s="88">
        <f>-IFERROR(VLOOKUP(C629,SIRTAC!$A$16:$H$1288,8,0),0)</f>
        <v>-484</v>
      </c>
      <c r="K629" s="88">
        <f>-IFERROR(VLOOKUP(C629,Gastos!$A$9:$J$1281,10,0),0)</f>
        <v>-1902.12</v>
      </c>
      <c r="L629" s="87">
        <f>-IFERROR(VLOOKUP(C629,IDC!$A$25:$H$1532,8,0),0)</f>
        <v>-290.39999999999998</v>
      </c>
      <c r="M629" s="122">
        <f t="shared" si="86"/>
        <v>48400.000000000007</v>
      </c>
      <c r="N629"/>
      <c r="P629" s="35">
        <f t="shared" si="87"/>
        <v>-48399.999999999993</v>
      </c>
      <c r="Q629" s="66">
        <f t="shared" si="88"/>
        <v>0</v>
      </c>
    </row>
    <row r="630" spans="1:18" hidden="1">
      <c r="A630" s="1" t="s">
        <v>619</v>
      </c>
      <c r="B630" s="1" t="s">
        <v>15</v>
      </c>
      <c r="C630" s="91">
        <v>125455999533</v>
      </c>
      <c r="D630" s="3">
        <v>66276.7</v>
      </c>
      <c r="E630" s="3">
        <v>10121851.140000001</v>
      </c>
      <c r="F630" s="35" t="s">
        <v>2750</v>
      </c>
      <c r="G630"/>
      <c r="H630"/>
      <c r="I630" s="27">
        <f>-IFERROR(VLOOKUP(C630,SIRCUPA!$A$21:$H$155,8,0),0)</f>
        <v>0</v>
      </c>
      <c r="J630" s="88">
        <f>-IFERROR(VLOOKUP(C630,SIRTAC!$A$16:$H$1288,8,0),0)</f>
        <v>-730</v>
      </c>
      <c r="K630" s="88">
        <f>-IFERROR(VLOOKUP(C630,Gastos!$A$9:$J$1281,10,0),0)</f>
        <v>-5555.3</v>
      </c>
      <c r="L630" s="87">
        <f>-IFERROR(VLOOKUP(C630,IDC!$A$25:$H$1532,8,0),0)</f>
        <v>-438</v>
      </c>
      <c r="M630" s="122">
        <f t="shared" si="86"/>
        <v>73000</v>
      </c>
      <c r="N630"/>
      <c r="P630" s="35">
        <f t="shared" si="87"/>
        <v>-73000</v>
      </c>
      <c r="Q630" s="66">
        <f t="shared" si="88"/>
        <v>0</v>
      </c>
    </row>
    <row r="631" spans="1:18" hidden="1">
      <c r="A631" s="1" t="s">
        <v>619</v>
      </c>
      <c r="B631" s="1" t="s">
        <v>15</v>
      </c>
      <c r="C631" s="91">
        <v>125456097501</v>
      </c>
      <c r="D631" s="3">
        <v>16910.13</v>
      </c>
      <c r="E631" s="3">
        <v>10138761.27</v>
      </c>
      <c r="F631" s="35" t="s">
        <v>2750</v>
      </c>
      <c r="G631"/>
      <c r="H631"/>
      <c r="I631" s="27">
        <f>-IFERROR(VLOOKUP(C631,SIRCUPA!$A$21:$H$155,8,0),0)</f>
        <v>0</v>
      </c>
      <c r="J631" s="88">
        <f>-IFERROR(VLOOKUP(C631,SIRTAC!$A$16:$H$1288,8,0),0)</f>
        <v>-179</v>
      </c>
      <c r="K631" s="88">
        <f>-IFERROR(VLOOKUP(C631,Gastos!$A$9:$J$1281,10,0),0)</f>
        <v>-703.47</v>
      </c>
      <c r="L631" s="87">
        <f>-IFERROR(VLOOKUP(C631,IDC!$A$25:$H$1532,8,0),0)</f>
        <v>-107.4</v>
      </c>
      <c r="M631" s="122">
        <f t="shared" si="86"/>
        <v>17900.000000000004</v>
      </c>
      <c r="N631"/>
      <c r="P631" s="35">
        <f t="shared" si="87"/>
        <v>-17900</v>
      </c>
      <c r="Q631" s="66">
        <f t="shared" si="88"/>
        <v>0</v>
      </c>
    </row>
    <row r="632" spans="1:18" hidden="1">
      <c r="A632" s="1" t="s">
        <v>619</v>
      </c>
      <c r="B632" s="1" t="s">
        <v>15</v>
      </c>
      <c r="C632" s="91">
        <v>126007254642</v>
      </c>
      <c r="D632" s="3">
        <v>3410.05</v>
      </c>
      <c r="E632" s="3">
        <v>10142171.32</v>
      </c>
      <c r="F632" s="35" t="s">
        <v>2750</v>
      </c>
      <c r="G632"/>
      <c r="H632"/>
      <c r="I632" s="27">
        <f>-IFERROR(VLOOKUP(C632,SIRCUPA!$A$21:$H$155,8,0),0)</f>
        <v>0</v>
      </c>
      <c r="J632" s="88">
        <f>-IFERROR(VLOOKUP(C632,SIRTAC!$A$16:$H$1288,8,0),0)</f>
        <v>-35</v>
      </c>
      <c r="K632" s="88">
        <f>-IFERROR(VLOOKUP(C632,Gastos!$A$9:$J$1281,10,0),0)</f>
        <v>-33.950000000000003</v>
      </c>
      <c r="L632" s="87">
        <f>-IFERROR(VLOOKUP(C632,IDC!$A$25:$H$1532,8,0),0)</f>
        <v>-21</v>
      </c>
      <c r="M632" s="122">
        <f t="shared" si="86"/>
        <v>3500</v>
      </c>
      <c r="N632"/>
      <c r="P632" s="35">
        <f t="shared" si="87"/>
        <v>-3500</v>
      </c>
      <c r="Q632" s="66">
        <f t="shared" si="88"/>
        <v>0</v>
      </c>
    </row>
    <row r="633" spans="1:18" hidden="1">
      <c r="A633" s="1" t="s">
        <v>619</v>
      </c>
      <c r="B633" s="1" t="s">
        <v>15</v>
      </c>
      <c r="C633" s="91">
        <v>126007328626</v>
      </c>
      <c r="D633" s="3">
        <v>9743</v>
      </c>
      <c r="E633" s="3">
        <v>10151914.32</v>
      </c>
      <c r="F633" s="35" t="s">
        <v>2750</v>
      </c>
      <c r="G633"/>
      <c r="H633"/>
      <c r="I633" s="27">
        <f>-IFERROR(VLOOKUP(C633,SIRCUPA!$A$21:$H$155,8,0),0)</f>
        <v>0</v>
      </c>
      <c r="J633" s="88">
        <f>-IFERROR(VLOOKUP(C633,SIRTAC!$A$16:$H$1288,8,0),0)</f>
        <v>-100</v>
      </c>
      <c r="K633" s="88">
        <f>-IFERROR(VLOOKUP(C633,Gastos!$A$9:$J$1281,10,0),0)</f>
        <v>-97</v>
      </c>
      <c r="L633" s="87">
        <f>-IFERROR(VLOOKUP(C633,IDC!$A$25:$H$1532,8,0),0)</f>
        <v>-60</v>
      </c>
      <c r="M633" s="122">
        <f t="shared" si="86"/>
        <v>10000</v>
      </c>
      <c r="N633"/>
      <c r="P633" s="35">
        <f t="shared" si="87"/>
        <v>-10000</v>
      </c>
      <c r="Q633" s="66">
        <f t="shared" si="88"/>
        <v>0</v>
      </c>
    </row>
    <row r="634" spans="1:18" hidden="1">
      <c r="A634" s="59" t="s">
        <v>488</v>
      </c>
      <c r="B634" s="59" t="s">
        <v>49</v>
      </c>
      <c r="C634" s="112">
        <v>125720603672</v>
      </c>
      <c r="D634" s="64">
        <v>-112686.88</v>
      </c>
      <c r="E634" s="3">
        <v>8273254.96</v>
      </c>
      <c r="F634" s="63" t="s">
        <v>2751</v>
      </c>
      <c r="G634" s="65">
        <f>+D634/1.006</f>
        <v>-112014.7912524851</v>
      </c>
      <c r="H634" s="65">
        <f>+D634-G634</f>
        <v>-672.08874751490657</v>
      </c>
      <c r="I634" s="108">
        <f>-IFERROR(VLOOKUP(C634,SIRCUPA!$A$21:$H$155,8,0),0)</f>
        <v>0</v>
      </c>
      <c r="J634" s="108">
        <f>-IFERROR(VLOOKUP(C634,SIRTAC!$A$16:$H$1288,8,0),0)</f>
        <v>0</v>
      </c>
      <c r="K634" s="108">
        <f>-IFERROR(VLOOKUP(C634,Gastos!$A$9:$J$1281,10,0),0)</f>
        <v>0</v>
      </c>
      <c r="L634" s="65"/>
      <c r="M634" s="123">
        <f t="shared" ref="M634:M635" si="89">+D634</f>
        <v>-112686.88</v>
      </c>
      <c r="N634" s="65"/>
      <c r="O634" s="59"/>
      <c r="Q634" s="3">
        <f t="shared" ref="Q634:Q635" si="90">+D634</f>
        <v>-112686.88</v>
      </c>
      <c r="R634" s="66">
        <f t="shared" ref="R634:R635" si="91">+M634-Q634</f>
        <v>0</v>
      </c>
    </row>
    <row r="635" spans="1:18" hidden="1">
      <c r="A635" s="59" t="s">
        <v>936</v>
      </c>
      <c r="B635" s="59" t="s">
        <v>49</v>
      </c>
      <c r="C635" s="112">
        <v>125988349795</v>
      </c>
      <c r="D635" s="64">
        <v>-201417.51</v>
      </c>
      <c r="E635" s="3">
        <v>9192149.3200000003</v>
      </c>
      <c r="F635" s="63" t="s">
        <v>2751</v>
      </c>
      <c r="G635" s="65">
        <f>+D635/1.006</f>
        <v>-200216.21272365807</v>
      </c>
      <c r="H635" s="65">
        <f>+D635-G635</f>
        <v>-1201.2972763419384</v>
      </c>
      <c r="I635" s="108">
        <f>-IFERROR(VLOOKUP(C635,SIRCUPA!$A$21:$H$155,8,0),0)</f>
        <v>0</v>
      </c>
      <c r="J635" s="108">
        <f>-IFERROR(VLOOKUP(C635,SIRTAC!$A$16:$H$1288,8,0),0)</f>
        <v>0</v>
      </c>
      <c r="K635" s="108">
        <f>-IFERROR(VLOOKUP(C635,Gastos!$A$9:$J$1281,10,0),0)</f>
        <v>0</v>
      </c>
      <c r="L635" s="65"/>
      <c r="M635" s="123">
        <f t="shared" si="89"/>
        <v>-201417.51</v>
      </c>
      <c r="N635" s="65"/>
      <c r="O635" s="59"/>
      <c r="Q635" s="3">
        <f t="shared" si="90"/>
        <v>-201417.51</v>
      </c>
      <c r="R635" s="66">
        <f t="shared" si="91"/>
        <v>0</v>
      </c>
    </row>
    <row r="636" spans="1:18" hidden="1">
      <c r="A636" s="1" t="s">
        <v>712</v>
      </c>
      <c r="B636" s="1" t="s">
        <v>15</v>
      </c>
      <c r="C636" s="91">
        <v>125456304867</v>
      </c>
      <c r="D636" s="3">
        <v>40725.74</v>
      </c>
      <c r="E636" s="3">
        <v>10192640.060000001</v>
      </c>
      <c r="F636" s="35" t="s">
        <v>2750</v>
      </c>
      <c r="G636"/>
      <c r="H636"/>
      <c r="I636" s="27">
        <f>-IFERROR(VLOOKUP(C636,SIRCUPA!$A$21:$H$155,8,0),0)</f>
        <v>0</v>
      </c>
      <c r="J636" s="88">
        <f>-IFERROR(VLOOKUP(C636,SIRTAC!$A$16:$H$1288,8,0),0)</f>
        <v>-418</v>
      </c>
      <c r="K636" s="88">
        <f>-IFERROR(VLOOKUP(C636,Gastos!$A$9:$J$1281,10,0),0)</f>
        <v>-405.46</v>
      </c>
      <c r="L636" s="87">
        <f>-IFERROR(VLOOKUP(C636,IDC!$A$25:$H$1532,8,0),0)</f>
        <v>-250.8</v>
      </c>
      <c r="M636" s="122">
        <f t="shared" ref="M636:M667" si="92">+D636-I636-J636-K636-L636</f>
        <v>41800</v>
      </c>
      <c r="N636"/>
      <c r="P636" s="35">
        <f t="shared" ref="P636:P699" si="93">+L636/0.006</f>
        <v>-41800</v>
      </c>
      <c r="Q636" s="66">
        <f t="shared" ref="Q636:Q699" si="94">+M636+P636</f>
        <v>0</v>
      </c>
    </row>
    <row r="637" spans="1:18" hidden="1">
      <c r="A637" s="1" t="s">
        <v>712</v>
      </c>
      <c r="B637" s="1" t="s">
        <v>15</v>
      </c>
      <c r="C637" s="91">
        <v>126007613112</v>
      </c>
      <c r="D637" s="3">
        <v>36049.1</v>
      </c>
      <c r="E637" s="3">
        <v>10228689.16</v>
      </c>
      <c r="F637" s="35" t="s">
        <v>2750</v>
      </c>
      <c r="G637"/>
      <c r="H637"/>
      <c r="I637" s="27">
        <f>-IFERROR(VLOOKUP(C637,SIRCUPA!$A$21:$H$155,8,0),0)</f>
        <v>0</v>
      </c>
      <c r="J637" s="88">
        <f>-IFERROR(VLOOKUP(C637,SIRTAC!$A$16:$H$1288,8,0),0)</f>
        <v>-370</v>
      </c>
      <c r="K637" s="88">
        <f>-IFERROR(VLOOKUP(C637,Gastos!$A$9:$J$1281,10,0),0)</f>
        <v>-358.9</v>
      </c>
      <c r="L637" s="87">
        <f>-IFERROR(VLOOKUP(C637,IDC!$A$25:$H$1532,8,0),0)</f>
        <v>-222</v>
      </c>
      <c r="M637" s="122">
        <f t="shared" si="92"/>
        <v>37000</v>
      </c>
      <c r="N637"/>
      <c r="P637" s="35">
        <f t="shared" si="93"/>
        <v>-37000</v>
      </c>
      <c r="Q637" s="66">
        <f t="shared" si="94"/>
        <v>0</v>
      </c>
    </row>
    <row r="638" spans="1:18" hidden="1">
      <c r="A638" s="1" t="s">
        <v>712</v>
      </c>
      <c r="B638" s="1" t="s">
        <v>15</v>
      </c>
      <c r="C638" s="91">
        <v>126008199580</v>
      </c>
      <c r="D638" s="3">
        <v>34977.370000000003</v>
      </c>
      <c r="E638" s="3">
        <v>10263666.529999999</v>
      </c>
      <c r="F638" s="35" t="s">
        <v>2750</v>
      </c>
      <c r="G638"/>
      <c r="H638"/>
      <c r="I638" s="27">
        <f>-IFERROR(VLOOKUP(C638,SIRCUPA!$A$21:$H$155,8,0),0)</f>
        <v>0</v>
      </c>
      <c r="J638" s="88">
        <f>-IFERROR(VLOOKUP(C638,SIRTAC!$A$16:$H$1288,8,0),0)</f>
        <v>-359</v>
      </c>
      <c r="K638" s="88">
        <f>-IFERROR(VLOOKUP(C638,Gastos!$A$9:$J$1281,10,0),0)</f>
        <v>-348.23</v>
      </c>
      <c r="L638" s="87">
        <f>-IFERROR(VLOOKUP(C638,IDC!$A$25:$H$1532,8,0),0)</f>
        <v>-215.4</v>
      </c>
      <c r="M638" s="122">
        <f t="shared" si="92"/>
        <v>35900.000000000007</v>
      </c>
      <c r="N638"/>
      <c r="P638" s="35">
        <f t="shared" si="93"/>
        <v>-35900</v>
      </c>
      <c r="Q638" s="66">
        <f t="shared" si="94"/>
        <v>0</v>
      </c>
    </row>
    <row r="639" spans="1:18" hidden="1">
      <c r="A639" s="1" t="s">
        <v>712</v>
      </c>
      <c r="B639" s="1" t="s">
        <v>15</v>
      </c>
      <c r="C639" s="91">
        <v>125457086371</v>
      </c>
      <c r="D639" s="3">
        <v>37159.68</v>
      </c>
      <c r="E639" s="3">
        <v>10300826.210000001</v>
      </c>
      <c r="F639" s="35" t="s">
        <v>2750</v>
      </c>
      <c r="G639"/>
      <c r="H639"/>
      <c r="I639" s="27">
        <f>-IFERROR(VLOOKUP(C639,SIRCUPA!$A$21:$H$155,8,0),0)</f>
        <v>0</v>
      </c>
      <c r="J639" s="88">
        <f>-IFERROR(VLOOKUP(C639,SIRTAC!$A$16:$H$1288,8,0),0)</f>
        <v>-384</v>
      </c>
      <c r="K639" s="88">
        <f>-IFERROR(VLOOKUP(C639,Gastos!$A$9:$J$1281,10,0),0)</f>
        <v>-625.91999999999996</v>
      </c>
      <c r="L639" s="87">
        <f>-IFERROR(VLOOKUP(C639,IDC!$A$25:$H$1532,8,0),0)</f>
        <v>-230.4</v>
      </c>
      <c r="M639" s="122">
        <f t="shared" si="92"/>
        <v>38400</v>
      </c>
      <c r="N639"/>
      <c r="P639" s="35">
        <f t="shared" si="93"/>
        <v>-38400</v>
      </c>
      <c r="Q639" s="66">
        <f t="shared" si="94"/>
        <v>0</v>
      </c>
    </row>
    <row r="640" spans="1:18" hidden="1">
      <c r="A640" s="1" t="s">
        <v>712</v>
      </c>
      <c r="B640" s="1" t="s">
        <v>15</v>
      </c>
      <c r="C640" s="91">
        <v>126008404306</v>
      </c>
      <c r="D640" s="3">
        <v>14737.32</v>
      </c>
      <c r="E640" s="3">
        <v>10315563.529999999</v>
      </c>
      <c r="F640" s="35" t="s">
        <v>2750</v>
      </c>
      <c r="G640"/>
      <c r="H640"/>
      <c r="I640" s="27">
        <f>-IFERROR(VLOOKUP(C640,SIRCUPA!$A$21:$H$155,8,0),0)</f>
        <v>0</v>
      </c>
      <c r="J640" s="88">
        <f>-IFERROR(VLOOKUP(C640,SIRTAC!$A$16:$H$1288,8,0),0)</f>
        <v>-156</v>
      </c>
      <c r="K640" s="88">
        <f>-IFERROR(VLOOKUP(C640,Gastos!$A$9:$J$1281,10,0),0)</f>
        <v>-613.08000000000004</v>
      </c>
      <c r="L640" s="87">
        <f>-IFERROR(VLOOKUP(C640,IDC!$A$25:$H$1532,8,0),0)</f>
        <v>-93.6</v>
      </c>
      <c r="M640" s="122">
        <f t="shared" si="92"/>
        <v>15600</v>
      </c>
      <c r="N640"/>
      <c r="P640" s="35">
        <f t="shared" si="93"/>
        <v>-15599.999999999998</v>
      </c>
      <c r="Q640" s="66">
        <f t="shared" si="94"/>
        <v>0</v>
      </c>
    </row>
    <row r="641" spans="1:17" hidden="1">
      <c r="A641" s="1" t="s">
        <v>712</v>
      </c>
      <c r="B641" s="1" t="s">
        <v>15</v>
      </c>
      <c r="C641" s="91">
        <v>125457113205</v>
      </c>
      <c r="D641" s="3">
        <v>46195.83</v>
      </c>
      <c r="E641" s="3">
        <v>10361759.359999999</v>
      </c>
      <c r="F641" s="35" t="s">
        <v>2750</v>
      </c>
      <c r="G641"/>
      <c r="H641"/>
      <c r="I641" s="27">
        <f>-IFERROR(VLOOKUP(C641,SIRCUPA!$A$21:$H$155,8,0),0)</f>
        <v>0</v>
      </c>
      <c r="J641" s="88">
        <f>-IFERROR(VLOOKUP(C641,SIRTAC!$A$16:$H$1288,8,0),0)</f>
        <v>-489</v>
      </c>
      <c r="K641" s="88">
        <f>-IFERROR(VLOOKUP(C641,Gastos!$A$9:$J$1281,10,0),0)</f>
        <v>-1921.77</v>
      </c>
      <c r="L641" s="87">
        <f>-IFERROR(VLOOKUP(C641,IDC!$A$25:$H$1532,8,0),0)</f>
        <v>-293.39999999999998</v>
      </c>
      <c r="M641" s="122">
        <f t="shared" si="92"/>
        <v>48900</v>
      </c>
      <c r="N641"/>
      <c r="P641" s="35">
        <f t="shared" si="93"/>
        <v>-48899.999999999993</v>
      </c>
      <c r="Q641" s="66">
        <f t="shared" si="94"/>
        <v>0</v>
      </c>
    </row>
    <row r="642" spans="1:17" hidden="1">
      <c r="A642" s="1" t="s">
        <v>712</v>
      </c>
      <c r="B642" s="1" t="s">
        <v>15</v>
      </c>
      <c r="C642" s="91">
        <v>126008508224</v>
      </c>
      <c r="D642" s="3">
        <v>27572.69</v>
      </c>
      <c r="E642" s="3">
        <v>10389332.050000001</v>
      </c>
      <c r="F642" s="35" t="s">
        <v>2750</v>
      </c>
      <c r="G642"/>
      <c r="H642"/>
      <c r="I642" s="27">
        <f>-IFERROR(VLOOKUP(C642,SIRCUPA!$A$21:$H$155,8,0),0)</f>
        <v>0</v>
      </c>
      <c r="J642" s="88">
        <f>-IFERROR(VLOOKUP(C642,SIRTAC!$A$16:$H$1288,8,0),0)</f>
        <v>-283</v>
      </c>
      <c r="K642" s="88">
        <f>-IFERROR(VLOOKUP(C642,Gastos!$A$9:$J$1281,10,0),0)</f>
        <v>-274.51</v>
      </c>
      <c r="L642" s="87">
        <f>-IFERROR(VLOOKUP(C642,IDC!$A$25:$H$1532,8,0),0)</f>
        <v>-169.8</v>
      </c>
      <c r="M642" s="122">
        <f t="shared" si="92"/>
        <v>28299.999999999996</v>
      </c>
      <c r="N642"/>
      <c r="P642" s="35">
        <f t="shared" si="93"/>
        <v>-28300</v>
      </c>
      <c r="Q642" s="66">
        <f t="shared" si="94"/>
        <v>0</v>
      </c>
    </row>
    <row r="643" spans="1:17" hidden="1">
      <c r="A643" s="1" t="s">
        <v>712</v>
      </c>
      <c r="B643" s="1" t="s">
        <v>15</v>
      </c>
      <c r="C643" s="91">
        <v>126008501598</v>
      </c>
      <c r="D643" s="3">
        <v>40453.660000000003</v>
      </c>
      <c r="E643" s="3">
        <v>10429785.710000001</v>
      </c>
      <c r="F643" s="35" t="s">
        <v>2750</v>
      </c>
      <c r="G643"/>
      <c r="H643"/>
      <c r="I643" s="27">
        <f>-IFERROR(VLOOKUP(C643,SIRCUPA!$A$21:$H$155,8,0),0)</f>
        <v>0</v>
      </c>
      <c r="J643" s="88">
        <f>-IFERROR(VLOOKUP(C643,SIRTAC!$A$16:$H$1288,8,0),0)</f>
        <v>-431</v>
      </c>
      <c r="K643" s="88">
        <f>-IFERROR(VLOOKUP(C643,Gastos!$A$9:$J$1281,10,0),0)</f>
        <v>-1956.74</v>
      </c>
      <c r="L643" s="87">
        <f>-IFERROR(VLOOKUP(C643,IDC!$A$25:$H$1532,8,0),0)</f>
        <v>-258.60000000000002</v>
      </c>
      <c r="M643" s="122">
        <f t="shared" si="92"/>
        <v>43100</v>
      </c>
      <c r="N643"/>
      <c r="P643" s="35">
        <f t="shared" si="93"/>
        <v>-43100</v>
      </c>
      <c r="Q643" s="66">
        <f t="shared" si="94"/>
        <v>0</v>
      </c>
    </row>
    <row r="644" spans="1:17" hidden="1">
      <c r="A644" s="1" t="s">
        <v>712</v>
      </c>
      <c r="B644" s="1" t="s">
        <v>15</v>
      </c>
      <c r="C644" s="91">
        <v>126008998174</v>
      </c>
      <c r="D644" s="3">
        <v>47896.29</v>
      </c>
      <c r="E644" s="3">
        <v>10477682</v>
      </c>
      <c r="F644" s="35" t="s">
        <v>2750</v>
      </c>
      <c r="G644"/>
      <c r="H644"/>
      <c r="I644" s="27">
        <f>-IFERROR(VLOOKUP(C644,SIRCUPA!$A$21:$H$155,8,0),0)</f>
        <v>0</v>
      </c>
      <c r="J644" s="88">
        <f>-IFERROR(VLOOKUP(C644,SIRTAC!$A$16:$H$1288,8,0),0)</f>
        <v>-507</v>
      </c>
      <c r="K644" s="88">
        <f>-IFERROR(VLOOKUP(C644,Gastos!$A$9:$J$1281,10,0),0)</f>
        <v>-1992.51</v>
      </c>
      <c r="L644" s="87">
        <f>-IFERROR(VLOOKUP(C644,IDC!$A$25:$H$1532,8,0),0)</f>
        <v>-304.2</v>
      </c>
      <c r="M644" s="122">
        <f t="shared" si="92"/>
        <v>50700</v>
      </c>
      <c r="N644"/>
      <c r="P644" s="35">
        <f t="shared" si="93"/>
        <v>-50700</v>
      </c>
      <c r="Q644" s="66">
        <f t="shared" si="94"/>
        <v>0</v>
      </c>
    </row>
    <row r="645" spans="1:17" hidden="1">
      <c r="A645" s="1" t="s">
        <v>712</v>
      </c>
      <c r="B645" s="1" t="s">
        <v>15</v>
      </c>
      <c r="C645" s="91">
        <v>126009033428</v>
      </c>
      <c r="D645" s="3">
        <v>16059.9</v>
      </c>
      <c r="E645" s="3">
        <v>10493741.9</v>
      </c>
      <c r="F645" s="35" t="s">
        <v>2750</v>
      </c>
      <c r="G645"/>
      <c r="H645"/>
      <c r="I645" s="27">
        <f>-IFERROR(VLOOKUP(C645,SIRCUPA!$A$21:$H$155,8,0),0)</f>
        <v>0</v>
      </c>
      <c r="J645" s="88">
        <f>-IFERROR(VLOOKUP(C645,SIRTAC!$A$16:$H$1288,8,0),0)</f>
        <v>-170</v>
      </c>
      <c r="K645" s="88">
        <f>-IFERROR(VLOOKUP(C645,Gastos!$A$9:$J$1281,10,0),0)</f>
        <v>-668.1</v>
      </c>
      <c r="L645" s="87">
        <f>-IFERROR(VLOOKUP(C645,IDC!$A$25:$H$1532,8,0),0)</f>
        <v>-102</v>
      </c>
      <c r="M645" s="122">
        <f t="shared" si="92"/>
        <v>17000</v>
      </c>
      <c r="N645"/>
      <c r="P645" s="35">
        <f t="shared" si="93"/>
        <v>-17000</v>
      </c>
      <c r="Q645" s="66">
        <f t="shared" si="94"/>
        <v>0</v>
      </c>
    </row>
    <row r="646" spans="1:17" hidden="1">
      <c r="A646" s="1" t="s">
        <v>712</v>
      </c>
      <c r="B646" s="1" t="s">
        <v>15</v>
      </c>
      <c r="C646" s="91">
        <v>125458240273</v>
      </c>
      <c r="D646" s="3">
        <v>11301.88</v>
      </c>
      <c r="E646" s="3">
        <v>10505043.779999999</v>
      </c>
      <c r="F646" s="35" t="s">
        <v>2750</v>
      </c>
      <c r="G646"/>
      <c r="H646"/>
      <c r="I646" s="27">
        <f>-IFERROR(VLOOKUP(C646,SIRCUPA!$A$21:$H$155,8,0),0)</f>
        <v>0</v>
      </c>
      <c r="J646" s="88">
        <f>-IFERROR(VLOOKUP(C646,SIRTAC!$A$16:$H$1288,8,0),0)</f>
        <v>-116</v>
      </c>
      <c r="K646" s="88">
        <f>-IFERROR(VLOOKUP(C646,Gastos!$A$9:$J$1281,10,0),0)</f>
        <v>-112.52</v>
      </c>
      <c r="L646" s="87">
        <f>-IFERROR(VLOOKUP(C646,IDC!$A$25:$H$1532,8,0),0)</f>
        <v>-69.599999999999994</v>
      </c>
      <c r="M646" s="122">
        <f t="shared" si="92"/>
        <v>11600</v>
      </c>
      <c r="N646"/>
      <c r="P646" s="35">
        <f t="shared" si="93"/>
        <v>-11599.999999999998</v>
      </c>
      <c r="Q646" s="66">
        <f t="shared" si="94"/>
        <v>0</v>
      </c>
    </row>
    <row r="647" spans="1:17" hidden="1">
      <c r="A647" s="1" t="s">
        <v>712</v>
      </c>
      <c r="B647" s="1" t="s">
        <v>15</v>
      </c>
      <c r="C647" s="91">
        <v>125458625329</v>
      </c>
      <c r="D647" s="3">
        <v>7989.26</v>
      </c>
      <c r="E647" s="3">
        <v>10513033.039999999</v>
      </c>
      <c r="F647" s="35" t="s">
        <v>2750</v>
      </c>
      <c r="G647"/>
      <c r="H647"/>
      <c r="I647" s="27">
        <f>-IFERROR(VLOOKUP(C647,SIRCUPA!$A$21:$H$155,8,0),0)</f>
        <v>0</v>
      </c>
      <c r="J647" s="88">
        <f>-IFERROR(VLOOKUP(C647,SIRTAC!$A$16:$H$1288,8,0),0)</f>
        <v>-82</v>
      </c>
      <c r="K647" s="88">
        <f>-IFERROR(VLOOKUP(C647,Gastos!$A$9:$J$1281,10,0),0)</f>
        <v>-79.540000000000006</v>
      </c>
      <c r="L647" s="87">
        <f>-IFERROR(VLOOKUP(C647,IDC!$A$25:$H$1532,8,0),0)</f>
        <v>-49.2</v>
      </c>
      <c r="M647" s="122">
        <f t="shared" si="92"/>
        <v>8200</v>
      </c>
      <c r="N647"/>
      <c r="P647" s="35">
        <f t="shared" si="93"/>
        <v>-8200</v>
      </c>
      <c r="Q647" s="66">
        <f t="shared" si="94"/>
        <v>0</v>
      </c>
    </row>
    <row r="648" spans="1:17" hidden="1">
      <c r="A648" s="1" t="s">
        <v>712</v>
      </c>
      <c r="B648" s="1" t="s">
        <v>15</v>
      </c>
      <c r="C648" s="91">
        <v>125458908029</v>
      </c>
      <c r="D648" s="3">
        <v>24747.22</v>
      </c>
      <c r="E648" s="3">
        <v>10537780.26</v>
      </c>
      <c r="F648" s="35" t="s">
        <v>2750</v>
      </c>
      <c r="G648"/>
      <c r="H648"/>
      <c r="I648" s="27">
        <f>-IFERROR(VLOOKUP(C648,SIRCUPA!$A$21:$H$155,8,0),0)</f>
        <v>0</v>
      </c>
      <c r="J648" s="88">
        <f>-IFERROR(VLOOKUP(C648,SIRTAC!$A$16:$H$1288,8,0),0)</f>
        <v>-254</v>
      </c>
      <c r="K648" s="88">
        <f>-IFERROR(VLOOKUP(C648,Gastos!$A$9:$J$1281,10,0),0)</f>
        <v>-246.38</v>
      </c>
      <c r="L648" s="87">
        <f>-IFERROR(VLOOKUP(C648,IDC!$A$25:$H$1532,8,0),0)</f>
        <v>-152.4</v>
      </c>
      <c r="M648" s="122">
        <f t="shared" si="92"/>
        <v>25400.000000000004</v>
      </c>
      <c r="N648"/>
      <c r="P648" s="35">
        <f t="shared" si="93"/>
        <v>-25400</v>
      </c>
      <c r="Q648" s="66">
        <f t="shared" si="94"/>
        <v>0</v>
      </c>
    </row>
    <row r="649" spans="1:17" hidden="1">
      <c r="A649" s="1" t="s">
        <v>712</v>
      </c>
      <c r="B649" s="1" t="s">
        <v>726</v>
      </c>
      <c r="C649" s="91">
        <v>125459061033</v>
      </c>
      <c r="D649" s="3">
        <v>2486.66</v>
      </c>
      <c r="E649" s="3">
        <v>10540266.92</v>
      </c>
      <c r="F649" s="2" t="s">
        <v>2750</v>
      </c>
      <c r="G649"/>
      <c r="H649"/>
      <c r="I649" s="27">
        <f>-IFERROR(VLOOKUP(C649,SIRCUPA!$A$21:$H$155,8,0),0)</f>
        <v>-38.1</v>
      </c>
      <c r="J649" s="88">
        <f>-IFERROR(VLOOKUP(C649,SIRTAC!$A$16:$H$1288,8,0),0)</f>
        <v>0</v>
      </c>
      <c r="K649" s="88">
        <f>-IFERROR(VLOOKUP(C649,Gastos!$A$9:$J$1281,10,0),0)</f>
        <v>0</v>
      </c>
      <c r="L649" s="87">
        <f>-IFERROR(VLOOKUP(C649,IDC!$A$25:$H$1532,8,0),0)</f>
        <v>-15.24</v>
      </c>
      <c r="M649" s="122">
        <f t="shared" si="92"/>
        <v>2539.9999999999995</v>
      </c>
      <c r="N649"/>
      <c r="P649" s="35">
        <f t="shared" si="93"/>
        <v>-2540</v>
      </c>
      <c r="Q649" s="66">
        <f t="shared" si="94"/>
        <v>0</v>
      </c>
    </row>
    <row r="650" spans="1:17" hidden="1">
      <c r="A650" s="1" t="s">
        <v>712</v>
      </c>
      <c r="B650" s="1" t="s">
        <v>15</v>
      </c>
      <c r="C650" s="91">
        <v>126010551652</v>
      </c>
      <c r="D650" s="3">
        <v>28813.35</v>
      </c>
      <c r="E650" s="3">
        <v>10569080.27</v>
      </c>
      <c r="F650" s="35" t="s">
        <v>2750</v>
      </c>
      <c r="G650"/>
      <c r="H650"/>
      <c r="I650" s="27">
        <f>-IFERROR(VLOOKUP(C650,SIRCUPA!$A$21:$H$155,8,0),0)</f>
        <v>0</v>
      </c>
      <c r="J650" s="88">
        <f>-IFERROR(VLOOKUP(C650,SIRTAC!$A$16:$H$1288,8,0),0)</f>
        <v>-305</v>
      </c>
      <c r="K650" s="88">
        <f>-IFERROR(VLOOKUP(C650,Gastos!$A$9:$J$1281,10,0),0)</f>
        <v>-1198.6500000000001</v>
      </c>
      <c r="L650" s="87">
        <f>-IFERROR(VLOOKUP(C650,IDC!$A$25:$H$1532,8,0),0)</f>
        <v>-183</v>
      </c>
      <c r="M650" s="122">
        <f t="shared" si="92"/>
        <v>30500</v>
      </c>
      <c r="N650"/>
      <c r="P650" s="35">
        <f t="shared" si="93"/>
        <v>-30500</v>
      </c>
      <c r="Q650" s="66">
        <f t="shared" si="94"/>
        <v>0</v>
      </c>
    </row>
    <row r="651" spans="1:17" hidden="1">
      <c r="A651" s="1" t="s">
        <v>712</v>
      </c>
      <c r="B651" s="1" t="s">
        <v>15</v>
      </c>
      <c r="C651" s="91">
        <v>125459627485</v>
      </c>
      <c r="D651" s="3">
        <v>45304.21</v>
      </c>
      <c r="E651" s="3">
        <v>10614384.48</v>
      </c>
      <c r="F651" s="35" t="s">
        <v>2750</v>
      </c>
      <c r="G651"/>
      <c r="H651"/>
      <c r="I651" s="27">
        <f>-IFERROR(VLOOKUP(C651,SIRCUPA!$A$21:$H$155,8,0),0)</f>
        <v>0</v>
      </c>
      <c r="J651" s="88">
        <f>-IFERROR(VLOOKUP(C651,SIRTAC!$A$16:$H$1288,8,0),0)</f>
        <v>-499</v>
      </c>
      <c r="K651" s="88">
        <f>-IFERROR(VLOOKUP(C651,Gastos!$A$9:$J$1281,10,0),0)</f>
        <v>-3797.39</v>
      </c>
      <c r="L651" s="87">
        <f>-IFERROR(VLOOKUP(C651,IDC!$A$25:$H$1532,8,0),0)</f>
        <v>-299.39999999999998</v>
      </c>
      <c r="M651" s="122">
        <f t="shared" si="92"/>
        <v>49900</v>
      </c>
      <c r="N651"/>
      <c r="P651" s="35">
        <f t="shared" si="93"/>
        <v>-49899.999999999993</v>
      </c>
      <c r="Q651" s="66">
        <f t="shared" si="94"/>
        <v>0</v>
      </c>
    </row>
    <row r="652" spans="1:17" hidden="1">
      <c r="A652" s="1" t="s">
        <v>712</v>
      </c>
      <c r="B652" s="1" t="s">
        <v>15</v>
      </c>
      <c r="C652" s="91">
        <v>125459770589</v>
      </c>
      <c r="D652" s="3">
        <v>38585.75</v>
      </c>
      <c r="E652" s="3">
        <v>10652970.23</v>
      </c>
      <c r="F652" s="35" t="s">
        <v>2750</v>
      </c>
      <c r="G652"/>
      <c r="H652"/>
      <c r="I652" s="27">
        <f>-IFERROR(VLOOKUP(C652,SIRCUPA!$A$21:$H$155,8,0),0)</f>
        <v>0</v>
      </c>
      <c r="J652" s="88">
        <f>-IFERROR(VLOOKUP(C652,SIRTAC!$A$16:$H$1288,8,0),0)</f>
        <v>-425</v>
      </c>
      <c r="K652" s="88">
        <f>-IFERROR(VLOOKUP(C652,Gastos!$A$9:$J$1281,10,0),0)</f>
        <v>-3234.25</v>
      </c>
      <c r="L652" s="87">
        <f>-IFERROR(VLOOKUP(C652,IDC!$A$25:$H$1532,8,0),0)</f>
        <v>-255</v>
      </c>
      <c r="M652" s="122">
        <f t="shared" si="92"/>
        <v>42500</v>
      </c>
      <c r="N652"/>
      <c r="P652" s="35">
        <f t="shared" si="93"/>
        <v>-42500</v>
      </c>
      <c r="Q652" s="66">
        <f t="shared" si="94"/>
        <v>0</v>
      </c>
    </row>
    <row r="653" spans="1:17" hidden="1">
      <c r="A653" s="1" t="s">
        <v>712</v>
      </c>
      <c r="B653" s="1" t="s">
        <v>15</v>
      </c>
      <c r="C653" s="91">
        <v>126011115826</v>
      </c>
      <c r="D653" s="3">
        <v>16173.38</v>
      </c>
      <c r="E653" s="3">
        <v>10669143.609999999</v>
      </c>
      <c r="F653" s="35" t="s">
        <v>2750</v>
      </c>
      <c r="G653"/>
      <c r="H653"/>
      <c r="I653" s="27">
        <f>-IFERROR(VLOOKUP(C653,SIRCUPA!$A$21:$H$155,8,0),0)</f>
        <v>0</v>
      </c>
      <c r="J653" s="88">
        <f>-IFERROR(VLOOKUP(C653,SIRTAC!$A$16:$H$1288,8,0),0)</f>
        <v>-166</v>
      </c>
      <c r="K653" s="88">
        <f>-IFERROR(VLOOKUP(C653,Gastos!$A$9:$J$1281,10,0),0)</f>
        <v>-161.02000000000001</v>
      </c>
      <c r="L653" s="87">
        <f>-IFERROR(VLOOKUP(C653,IDC!$A$25:$H$1532,8,0),0)</f>
        <v>-99.6</v>
      </c>
      <c r="M653" s="122">
        <f t="shared" si="92"/>
        <v>16599.999999999996</v>
      </c>
      <c r="N653"/>
      <c r="P653" s="35">
        <f t="shared" si="93"/>
        <v>-16600</v>
      </c>
      <c r="Q653" s="66">
        <f t="shared" si="94"/>
        <v>0</v>
      </c>
    </row>
    <row r="654" spans="1:17" hidden="1">
      <c r="A654" s="1" t="s">
        <v>712</v>
      </c>
      <c r="B654" s="1" t="s">
        <v>732</v>
      </c>
      <c r="C654" s="91">
        <v>125459873031</v>
      </c>
      <c r="D654" s="2">
        <v>812.57</v>
      </c>
      <c r="E654" s="3">
        <v>10669956.18</v>
      </c>
      <c r="F654" s="2" t="s">
        <v>2750</v>
      </c>
      <c r="G654"/>
      <c r="H654"/>
      <c r="I654" s="27">
        <f>-IFERROR(VLOOKUP(C654,SIRCUPA!$A$21:$H$155,8,0),0)</f>
        <v>-12.45</v>
      </c>
      <c r="J654" s="88">
        <f>-IFERROR(VLOOKUP(C654,SIRTAC!$A$16:$H$1288,8,0),0)</f>
        <v>0</v>
      </c>
      <c r="K654" s="88">
        <f>-IFERROR(VLOOKUP(C654,Gastos!$A$9:$J$1281,10,0),0)</f>
        <v>0</v>
      </c>
      <c r="L654" s="87">
        <f>-IFERROR(VLOOKUP(C654,IDC!$A$25:$H$1532,8,0),0)</f>
        <v>-4.9800000000000004</v>
      </c>
      <c r="M654" s="122">
        <f t="shared" si="92"/>
        <v>830.00000000000011</v>
      </c>
      <c r="N654"/>
      <c r="P654" s="35">
        <f t="shared" si="93"/>
        <v>-830</v>
      </c>
      <c r="Q654" s="66">
        <f t="shared" si="94"/>
        <v>0</v>
      </c>
    </row>
    <row r="655" spans="1:17" hidden="1">
      <c r="A655" s="1" t="s">
        <v>712</v>
      </c>
      <c r="B655" s="1" t="s">
        <v>15</v>
      </c>
      <c r="C655" s="91">
        <v>125459913579</v>
      </c>
      <c r="D655" s="3">
        <v>7209.82</v>
      </c>
      <c r="E655" s="3">
        <v>10677166</v>
      </c>
      <c r="F655" s="35" t="s">
        <v>2750</v>
      </c>
      <c r="G655"/>
      <c r="H655"/>
      <c r="I655" s="27">
        <f>-IFERROR(VLOOKUP(C655,SIRCUPA!$A$21:$H$155,8,0),0)</f>
        <v>0</v>
      </c>
      <c r="J655" s="88">
        <f>-IFERROR(VLOOKUP(C655,SIRTAC!$A$16:$H$1288,8,0),0)</f>
        <v>-74</v>
      </c>
      <c r="K655" s="88">
        <f>-IFERROR(VLOOKUP(C655,Gastos!$A$9:$J$1281,10,0),0)</f>
        <v>-71.78</v>
      </c>
      <c r="L655" s="87">
        <f>-IFERROR(VLOOKUP(C655,IDC!$A$25:$H$1532,8,0),0)</f>
        <v>-44.4</v>
      </c>
      <c r="M655" s="122">
        <f t="shared" si="92"/>
        <v>7399.9999999999991</v>
      </c>
      <c r="N655"/>
      <c r="P655" s="35">
        <f t="shared" si="93"/>
        <v>-7400</v>
      </c>
      <c r="Q655" s="66">
        <f t="shared" si="94"/>
        <v>0</v>
      </c>
    </row>
    <row r="656" spans="1:17" hidden="1">
      <c r="A656" s="1" t="s">
        <v>712</v>
      </c>
      <c r="B656" s="1" t="s">
        <v>15</v>
      </c>
      <c r="C656" s="91">
        <v>125459983441</v>
      </c>
      <c r="D656" s="3">
        <v>19680.86</v>
      </c>
      <c r="E656" s="3">
        <v>10696846.859999999</v>
      </c>
      <c r="F656" s="35" t="s">
        <v>2750</v>
      </c>
      <c r="G656"/>
      <c r="H656"/>
      <c r="I656" s="27">
        <f>-IFERROR(VLOOKUP(C656,SIRCUPA!$A$21:$H$155,8,0),0)</f>
        <v>0</v>
      </c>
      <c r="J656" s="88">
        <f>-IFERROR(VLOOKUP(C656,SIRTAC!$A$16:$H$1288,8,0),0)</f>
        <v>-202</v>
      </c>
      <c r="K656" s="88">
        <f>-IFERROR(VLOOKUP(C656,Gastos!$A$9:$J$1281,10,0),0)</f>
        <v>-195.94</v>
      </c>
      <c r="L656" s="87">
        <f>-IFERROR(VLOOKUP(C656,IDC!$A$25:$H$1532,8,0),0)</f>
        <v>-121.2</v>
      </c>
      <c r="M656" s="122">
        <f t="shared" si="92"/>
        <v>20200</v>
      </c>
      <c r="N656"/>
      <c r="P656" s="35">
        <f t="shared" si="93"/>
        <v>-20200</v>
      </c>
      <c r="Q656" s="66">
        <f t="shared" si="94"/>
        <v>0</v>
      </c>
    </row>
    <row r="657" spans="1:17" hidden="1">
      <c r="A657" s="1" t="s">
        <v>712</v>
      </c>
      <c r="B657" s="1" t="s">
        <v>15</v>
      </c>
      <c r="C657" s="91">
        <v>126011371400</v>
      </c>
      <c r="D657" s="3">
        <v>12471.04</v>
      </c>
      <c r="E657" s="3">
        <v>10709317.9</v>
      </c>
      <c r="F657" s="35" t="s">
        <v>2750</v>
      </c>
      <c r="G657"/>
      <c r="H657"/>
      <c r="I657" s="27">
        <f>-IFERROR(VLOOKUP(C657,SIRCUPA!$A$21:$H$155,8,0),0)</f>
        <v>0</v>
      </c>
      <c r="J657" s="88">
        <f>-IFERROR(VLOOKUP(C657,SIRTAC!$A$16:$H$1288,8,0),0)</f>
        <v>-128</v>
      </c>
      <c r="K657" s="88">
        <f>-IFERROR(VLOOKUP(C657,Gastos!$A$9:$J$1281,10,0),0)</f>
        <v>-124.16</v>
      </c>
      <c r="L657" s="87">
        <f>-IFERROR(VLOOKUP(C657,IDC!$A$25:$H$1532,8,0),0)</f>
        <v>-76.8</v>
      </c>
      <c r="M657" s="122">
        <f t="shared" si="92"/>
        <v>12800</v>
      </c>
      <c r="N657"/>
      <c r="P657" s="35">
        <f t="shared" si="93"/>
        <v>-12800</v>
      </c>
      <c r="Q657" s="66">
        <f t="shared" si="94"/>
        <v>0</v>
      </c>
    </row>
    <row r="658" spans="1:17" hidden="1">
      <c r="A658" s="1" t="s">
        <v>712</v>
      </c>
      <c r="B658" s="1" t="s">
        <v>15</v>
      </c>
      <c r="C658" s="91">
        <v>125460195335</v>
      </c>
      <c r="D658" s="3">
        <v>7599.54</v>
      </c>
      <c r="E658" s="3">
        <v>10716917.439999999</v>
      </c>
      <c r="F658" s="35" t="s">
        <v>2750</v>
      </c>
      <c r="G658"/>
      <c r="H658"/>
      <c r="I658" s="27">
        <f>-IFERROR(VLOOKUP(C658,SIRCUPA!$A$21:$H$155,8,0),0)</f>
        <v>0</v>
      </c>
      <c r="J658" s="88">
        <f>-IFERROR(VLOOKUP(C658,SIRTAC!$A$16:$H$1288,8,0),0)</f>
        <v>-78</v>
      </c>
      <c r="K658" s="88">
        <f>-IFERROR(VLOOKUP(C658,Gastos!$A$9:$J$1281,10,0),0)</f>
        <v>-75.66</v>
      </c>
      <c r="L658" s="87">
        <f>-IFERROR(VLOOKUP(C658,IDC!$A$25:$H$1532,8,0),0)</f>
        <v>-46.8</v>
      </c>
      <c r="M658" s="122">
        <f t="shared" si="92"/>
        <v>7800</v>
      </c>
      <c r="N658"/>
      <c r="P658" s="35">
        <f t="shared" si="93"/>
        <v>-7799.9999999999991</v>
      </c>
      <c r="Q658" s="66">
        <f t="shared" si="94"/>
        <v>0</v>
      </c>
    </row>
    <row r="659" spans="1:17" hidden="1">
      <c r="A659" s="1" t="s">
        <v>712</v>
      </c>
      <c r="B659" s="1" t="s">
        <v>15</v>
      </c>
      <c r="C659" s="91">
        <v>125460460203</v>
      </c>
      <c r="D659" s="3">
        <v>12847.92</v>
      </c>
      <c r="E659" s="3">
        <v>10729765.359999999</v>
      </c>
      <c r="F659" s="35" t="s">
        <v>2750</v>
      </c>
      <c r="G659"/>
      <c r="H659"/>
      <c r="I659" s="27">
        <f>-IFERROR(VLOOKUP(C659,SIRCUPA!$A$21:$H$155,8,0),0)</f>
        <v>0</v>
      </c>
      <c r="J659" s="88">
        <f>-IFERROR(VLOOKUP(C659,SIRTAC!$A$16:$H$1288,8,0),0)</f>
        <v>-136</v>
      </c>
      <c r="K659" s="88">
        <f>-IFERROR(VLOOKUP(C659,Gastos!$A$9:$J$1281,10,0),0)</f>
        <v>-534.48</v>
      </c>
      <c r="L659" s="87">
        <f>-IFERROR(VLOOKUP(C659,IDC!$A$25:$H$1532,8,0),0)</f>
        <v>-81.599999999999994</v>
      </c>
      <c r="M659" s="122">
        <f t="shared" si="92"/>
        <v>13600</v>
      </c>
      <c r="N659"/>
      <c r="P659" s="35">
        <f t="shared" si="93"/>
        <v>-13599.999999999998</v>
      </c>
      <c r="Q659" s="66">
        <f t="shared" si="94"/>
        <v>0</v>
      </c>
    </row>
    <row r="660" spans="1:17" hidden="1">
      <c r="A660" s="1" t="s">
        <v>712</v>
      </c>
      <c r="B660" s="1" t="s">
        <v>15</v>
      </c>
      <c r="C660" s="91">
        <v>125460516437</v>
      </c>
      <c r="D660" s="3">
        <v>33047.56</v>
      </c>
      <c r="E660" s="3">
        <v>10762812.92</v>
      </c>
      <c r="F660" s="35" t="s">
        <v>2750</v>
      </c>
      <c r="G660"/>
      <c r="H660"/>
      <c r="I660" s="27">
        <f>-IFERROR(VLOOKUP(C660,SIRCUPA!$A$21:$H$155,8,0),0)</f>
        <v>0</v>
      </c>
      <c r="J660" s="88">
        <f>-IFERROR(VLOOKUP(C660,SIRTAC!$A$16:$H$1288,8,0),0)</f>
        <v>-364</v>
      </c>
      <c r="K660" s="88">
        <f>-IFERROR(VLOOKUP(C660,Gastos!$A$9:$J$1281,10,0),0)</f>
        <v>-2770.04</v>
      </c>
      <c r="L660" s="87">
        <f>-IFERROR(VLOOKUP(C660,IDC!$A$25:$H$1532,8,0),0)</f>
        <v>-218.4</v>
      </c>
      <c r="M660" s="122">
        <f t="shared" si="92"/>
        <v>36400</v>
      </c>
      <c r="N660"/>
      <c r="P660" s="35">
        <f t="shared" si="93"/>
        <v>-36400</v>
      </c>
      <c r="Q660" s="66">
        <f t="shared" si="94"/>
        <v>0</v>
      </c>
    </row>
    <row r="661" spans="1:17" hidden="1">
      <c r="A661" s="1" t="s">
        <v>712</v>
      </c>
      <c r="B661" s="1" t="s">
        <v>15</v>
      </c>
      <c r="C661" s="91">
        <v>125460972465</v>
      </c>
      <c r="D661" s="3">
        <v>7463.13</v>
      </c>
      <c r="E661" s="3">
        <v>10770276.050000001</v>
      </c>
      <c r="F661" s="35" t="s">
        <v>2750</v>
      </c>
      <c r="G661"/>
      <c r="H661"/>
      <c r="I661" s="27">
        <f>-IFERROR(VLOOKUP(C661,SIRCUPA!$A$21:$H$155,8,0),0)</f>
        <v>0</v>
      </c>
      <c r="J661" s="88">
        <f>-IFERROR(VLOOKUP(C661,SIRTAC!$A$16:$H$1288,8,0),0)</f>
        <v>-79</v>
      </c>
      <c r="K661" s="88">
        <f>-IFERROR(VLOOKUP(C661,Gastos!$A$9:$J$1281,10,0),0)</f>
        <v>-310.47000000000003</v>
      </c>
      <c r="L661" s="87">
        <f>-IFERROR(VLOOKUP(C661,IDC!$A$25:$H$1532,8,0),0)</f>
        <v>-47.4</v>
      </c>
      <c r="M661" s="122">
        <f t="shared" si="92"/>
        <v>7900</v>
      </c>
      <c r="N661"/>
      <c r="P661" s="35">
        <f t="shared" si="93"/>
        <v>-7900</v>
      </c>
      <c r="Q661" s="66">
        <f t="shared" si="94"/>
        <v>0</v>
      </c>
    </row>
    <row r="662" spans="1:17" hidden="1">
      <c r="A662" s="1" t="s">
        <v>712</v>
      </c>
      <c r="B662" s="1" t="s">
        <v>15</v>
      </c>
      <c r="C662" s="91">
        <v>126012314684</v>
      </c>
      <c r="D662" s="3">
        <v>39393.99</v>
      </c>
      <c r="E662" s="3">
        <v>10809670.039999999</v>
      </c>
      <c r="F662" s="35" t="s">
        <v>2750</v>
      </c>
      <c r="G662"/>
      <c r="H662"/>
      <c r="I662" s="27">
        <f>-IFERROR(VLOOKUP(C662,SIRCUPA!$A$21:$H$155,8,0),0)</f>
        <v>0</v>
      </c>
      <c r="J662" s="88">
        <f>-IFERROR(VLOOKUP(C662,SIRTAC!$A$16:$H$1288,8,0),0)</f>
        <v>-417</v>
      </c>
      <c r="K662" s="88">
        <f>-IFERROR(VLOOKUP(C662,Gastos!$A$9:$J$1281,10,0),0)</f>
        <v>-1638.81</v>
      </c>
      <c r="L662" s="87">
        <f>-IFERROR(VLOOKUP(C662,IDC!$A$25:$H$1532,8,0),0)</f>
        <v>-250.2</v>
      </c>
      <c r="M662" s="122">
        <f t="shared" si="92"/>
        <v>41699.999999999993</v>
      </c>
      <c r="N662"/>
      <c r="P662" s="35">
        <f t="shared" si="93"/>
        <v>-41700</v>
      </c>
      <c r="Q662" s="66">
        <f t="shared" si="94"/>
        <v>0</v>
      </c>
    </row>
    <row r="663" spans="1:17" hidden="1">
      <c r="A663" s="1" t="s">
        <v>712</v>
      </c>
      <c r="B663" s="1" t="s">
        <v>15</v>
      </c>
      <c r="C663" s="91">
        <v>126012503986</v>
      </c>
      <c r="D663" s="3">
        <v>12186.63</v>
      </c>
      <c r="E663" s="3">
        <v>10821856.67</v>
      </c>
      <c r="F663" s="35" t="s">
        <v>2750</v>
      </c>
      <c r="G663"/>
      <c r="H663"/>
      <c r="I663" s="27">
        <f>-IFERROR(VLOOKUP(C663,SIRCUPA!$A$21:$H$155,8,0),0)</f>
        <v>0</v>
      </c>
      <c r="J663" s="88">
        <f>-IFERROR(VLOOKUP(C663,SIRTAC!$A$16:$H$1288,8,0),0)</f>
        <v>-129</v>
      </c>
      <c r="K663" s="88">
        <f>-IFERROR(VLOOKUP(C663,Gastos!$A$9:$J$1281,10,0),0)</f>
        <v>-506.97</v>
      </c>
      <c r="L663" s="87">
        <f>-IFERROR(VLOOKUP(C663,IDC!$A$25:$H$1532,8,0),0)</f>
        <v>-77.400000000000006</v>
      </c>
      <c r="M663" s="122">
        <f t="shared" si="92"/>
        <v>12899.999999999998</v>
      </c>
      <c r="N663"/>
      <c r="P663" s="35">
        <f t="shared" si="93"/>
        <v>-12900</v>
      </c>
      <c r="Q663" s="66">
        <f t="shared" si="94"/>
        <v>0</v>
      </c>
    </row>
    <row r="664" spans="1:17" hidden="1">
      <c r="A664" s="1" t="s">
        <v>712</v>
      </c>
      <c r="B664" s="1" t="s">
        <v>15</v>
      </c>
      <c r="C664" s="91">
        <v>126012630432</v>
      </c>
      <c r="D664" s="3">
        <v>3903.97</v>
      </c>
      <c r="E664" s="3">
        <v>10825760.640000001</v>
      </c>
      <c r="F664" s="35" t="s">
        <v>2750</v>
      </c>
      <c r="G664"/>
      <c r="H664"/>
      <c r="I664" s="27">
        <f>-IFERROR(VLOOKUP(C664,SIRCUPA!$A$21:$H$155,8,0),0)</f>
        <v>0</v>
      </c>
      <c r="J664" s="88">
        <f>-IFERROR(VLOOKUP(C664,SIRTAC!$A$16:$H$1288,8,0),0)</f>
        <v>-43</v>
      </c>
      <c r="K664" s="88">
        <f>-IFERROR(VLOOKUP(C664,Gastos!$A$9:$J$1281,10,0),0)</f>
        <v>-327.23</v>
      </c>
      <c r="L664" s="87">
        <f>-IFERROR(VLOOKUP(C664,IDC!$A$25:$H$1532,8,0),0)</f>
        <v>-25.8</v>
      </c>
      <c r="M664" s="122">
        <f t="shared" si="92"/>
        <v>4300</v>
      </c>
      <c r="N664"/>
      <c r="P664" s="35">
        <f t="shared" si="93"/>
        <v>-4300</v>
      </c>
      <c r="Q664" s="66">
        <f t="shared" si="94"/>
        <v>0</v>
      </c>
    </row>
    <row r="665" spans="1:17" hidden="1">
      <c r="A665" s="1" t="s">
        <v>712</v>
      </c>
      <c r="B665" s="1" t="s">
        <v>15</v>
      </c>
      <c r="C665" s="91">
        <v>125461418987</v>
      </c>
      <c r="D665" s="3">
        <v>60287.71</v>
      </c>
      <c r="E665" s="3">
        <v>10886048.35</v>
      </c>
      <c r="F665" s="35" t="s">
        <v>2750</v>
      </c>
      <c r="G665"/>
      <c r="H665"/>
      <c r="I665" s="27">
        <f>-IFERROR(VLOOKUP(C665,SIRCUPA!$A$21:$H$155,8,0),0)</f>
        <v>0</v>
      </c>
      <c r="J665" s="88">
        <f>-IFERROR(VLOOKUP(C665,SIRTAC!$A$16:$H$1288,8,0),0)</f>
        <v>-623</v>
      </c>
      <c r="K665" s="88">
        <f>-IFERROR(VLOOKUP(C665,Gastos!$A$9:$J$1281,10,0),0)</f>
        <v>-1015.49</v>
      </c>
      <c r="L665" s="87">
        <f>-IFERROR(VLOOKUP(C665,IDC!$A$25:$H$1532,8,0),0)</f>
        <v>-373.8</v>
      </c>
      <c r="M665" s="122">
        <f t="shared" si="92"/>
        <v>62300</v>
      </c>
      <c r="N665"/>
      <c r="P665" s="35">
        <f t="shared" si="93"/>
        <v>-62300</v>
      </c>
      <c r="Q665" s="66">
        <f t="shared" si="94"/>
        <v>0</v>
      </c>
    </row>
    <row r="666" spans="1:17" hidden="1">
      <c r="A666" s="1" t="s">
        <v>712</v>
      </c>
      <c r="B666" s="1" t="s">
        <v>15</v>
      </c>
      <c r="C666" s="91">
        <v>126012854938</v>
      </c>
      <c r="D666" s="3">
        <v>10327.58</v>
      </c>
      <c r="E666" s="3">
        <v>10896375.93</v>
      </c>
      <c r="F666" s="35" t="s">
        <v>2750</v>
      </c>
      <c r="G666"/>
      <c r="H666"/>
      <c r="I666" s="27">
        <f>-IFERROR(VLOOKUP(C666,SIRCUPA!$A$21:$H$155,8,0),0)</f>
        <v>0</v>
      </c>
      <c r="J666" s="88">
        <f>-IFERROR(VLOOKUP(C666,SIRTAC!$A$16:$H$1288,8,0),0)</f>
        <v>-106</v>
      </c>
      <c r="K666" s="88">
        <f>-IFERROR(VLOOKUP(C666,Gastos!$A$9:$J$1281,10,0),0)</f>
        <v>-102.82</v>
      </c>
      <c r="L666" s="87">
        <f>-IFERROR(VLOOKUP(C666,IDC!$A$25:$H$1532,8,0),0)</f>
        <v>-63.6</v>
      </c>
      <c r="M666" s="122">
        <f t="shared" si="92"/>
        <v>10600</v>
      </c>
      <c r="N666"/>
      <c r="P666" s="35">
        <f t="shared" si="93"/>
        <v>-10600</v>
      </c>
      <c r="Q666" s="66">
        <f t="shared" si="94"/>
        <v>0</v>
      </c>
    </row>
    <row r="667" spans="1:17" hidden="1">
      <c r="A667" s="1" t="s">
        <v>712</v>
      </c>
      <c r="B667" s="1" t="s">
        <v>15</v>
      </c>
      <c r="C667" s="91">
        <v>126012871060</v>
      </c>
      <c r="D667" s="3">
        <v>14614.5</v>
      </c>
      <c r="E667" s="3">
        <v>10910990.43</v>
      </c>
      <c r="F667" s="35" t="s">
        <v>2750</v>
      </c>
      <c r="G667"/>
      <c r="H667"/>
      <c r="I667" s="27">
        <f>-IFERROR(VLOOKUP(C667,SIRCUPA!$A$21:$H$155,8,0),0)</f>
        <v>0</v>
      </c>
      <c r="J667" s="88">
        <f>-IFERROR(VLOOKUP(C667,SIRTAC!$A$16:$H$1288,8,0),0)</f>
        <v>-150</v>
      </c>
      <c r="K667" s="88">
        <f>-IFERROR(VLOOKUP(C667,Gastos!$A$9:$J$1281,10,0),0)</f>
        <v>-145.5</v>
      </c>
      <c r="L667" s="87">
        <f>-IFERROR(VLOOKUP(C667,IDC!$A$25:$H$1532,8,0),0)</f>
        <v>-90</v>
      </c>
      <c r="M667" s="122">
        <f t="shared" si="92"/>
        <v>15000</v>
      </c>
      <c r="N667"/>
      <c r="P667" s="35">
        <f t="shared" si="93"/>
        <v>-15000</v>
      </c>
      <c r="Q667" s="66">
        <f t="shared" si="94"/>
        <v>0</v>
      </c>
    </row>
    <row r="668" spans="1:17" hidden="1">
      <c r="A668" s="1" t="s">
        <v>712</v>
      </c>
      <c r="B668" s="1" t="s">
        <v>747</v>
      </c>
      <c r="C668" s="91">
        <v>125461762901</v>
      </c>
      <c r="D668" s="2">
        <v>734.25</v>
      </c>
      <c r="E668" s="3">
        <v>10911724.68</v>
      </c>
      <c r="F668" s="2" t="s">
        <v>2750</v>
      </c>
      <c r="G668"/>
      <c r="H668"/>
      <c r="I668" s="27">
        <f>-IFERROR(VLOOKUP(C668,SIRCUPA!$A$21:$H$155,8,0),0)</f>
        <v>-11.25</v>
      </c>
      <c r="J668" s="88">
        <f>-IFERROR(VLOOKUP(C668,SIRTAC!$A$16:$H$1288,8,0),0)</f>
        <v>0</v>
      </c>
      <c r="K668" s="88">
        <f>-IFERROR(VLOOKUP(C668,Gastos!$A$9:$J$1281,10,0),0)</f>
        <v>0</v>
      </c>
      <c r="L668" s="87">
        <f>-IFERROR(VLOOKUP(C668,IDC!$A$25:$H$1532,8,0),0)</f>
        <v>-4.5</v>
      </c>
      <c r="M668" s="122">
        <f t="shared" ref="M668:M699" si="95">+D668-I668-J668-K668-L668</f>
        <v>750</v>
      </c>
      <c r="N668"/>
      <c r="P668" s="35">
        <f t="shared" si="93"/>
        <v>-750</v>
      </c>
      <c r="Q668" s="66">
        <f t="shared" si="94"/>
        <v>0</v>
      </c>
    </row>
    <row r="669" spans="1:17" hidden="1">
      <c r="A669" s="1" t="s">
        <v>712</v>
      </c>
      <c r="B669" s="1" t="s">
        <v>15</v>
      </c>
      <c r="C669" s="91">
        <v>126012851936</v>
      </c>
      <c r="D669" s="3">
        <v>36731.11</v>
      </c>
      <c r="E669" s="3">
        <v>10948455.789999999</v>
      </c>
      <c r="F669" s="35" t="s">
        <v>2750</v>
      </c>
      <c r="G669"/>
      <c r="H669"/>
      <c r="I669" s="27">
        <f>-IFERROR(VLOOKUP(C669,SIRCUPA!$A$21:$H$155,8,0),0)</f>
        <v>0</v>
      </c>
      <c r="J669" s="88">
        <f>-IFERROR(VLOOKUP(C669,SIRTAC!$A$16:$H$1288,8,0),0)</f>
        <v>-377</v>
      </c>
      <c r="K669" s="88">
        <f>-IFERROR(VLOOKUP(C669,Gastos!$A$9:$J$1281,10,0),0)</f>
        <v>-365.69</v>
      </c>
      <c r="L669" s="87">
        <f>-IFERROR(VLOOKUP(C669,IDC!$A$25:$H$1532,8,0),0)</f>
        <v>-226.2</v>
      </c>
      <c r="M669" s="122">
        <f t="shared" si="95"/>
        <v>37700</v>
      </c>
      <c r="N669"/>
      <c r="P669" s="35">
        <f t="shared" si="93"/>
        <v>-37700</v>
      </c>
      <c r="Q669" s="66">
        <f t="shared" si="94"/>
        <v>0</v>
      </c>
    </row>
    <row r="670" spans="1:17" hidden="1">
      <c r="A670" s="1" t="s">
        <v>712</v>
      </c>
      <c r="B670" s="1" t="s">
        <v>15</v>
      </c>
      <c r="C670" s="91">
        <v>126012972604</v>
      </c>
      <c r="D670" s="3">
        <v>40141.160000000003</v>
      </c>
      <c r="E670" s="3">
        <v>10988596.949999999</v>
      </c>
      <c r="F670" s="35" t="s">
        <v>2750</v>
      </c>
      <c r="G670"/>
      <c r="H670"/>
      <c r="I670" s="27">
        <f>-IFERROR(VLOOKUP(C670,SIRCUPA!$A$21:$H$155,8,0),0)</f>
        <v>0</v>
      </c>
      <c r="J670" s="88">
        <f>-IFERROR(VLOOKUP(C670,SIRTAC!$A$16:$H$1288,8,0),0)</f>
        <v>-412</v>
      </c>
      <c r="K670" s="88">
        <f>-IFERROR(VLOOKUP(C670,Gastos!$A$9:$J$1281,10,0),0)</f>
        <v>-399.64</v>
      </c>
      <c r="L670" s="87">
        <f>-IFERROR(VLOOKUP(C670,IDC!$A$25:$H$1532,8,0),0)</f>
        <v>-247.2</v>
      </c>
      <c r="M670" s="122">
        <f t="shared" si="95"/>
        <v>41200</v>
      </c>
      <c r="N670"/>
      <c r="P670" s="35">
        <f t="shared" si="93"/>
        <v>-41200</v>
      </c>
      <c r="Q670" s="66">
        <f t="shared" si="94"/>
        <v>0</v>
      </c>
    </row>
    <row r="671" spans="1:17" hidden="1">
      <c r="A671" s="1" t="s">
        <v>712</v>
      </c>
      <c r="B671" s="1" t="s">
        <v>15</v>
      </c>
      <c r="C671" s="91">
        <v>125461870989</v>
      </c>
      <c r="D671" s="3">
        <v>38679.71</v>
      </c>
      <c r="E671" s="3">
        <v>11027276.66</v>
      </c>
      <c r="F671" s="35" t="s">
        <v>2750</v>
      </c>
      <c r="G671"/>
      <c r="H671"/>
      <c r="I671" s="27">
        <f>-IFERROR(VLOOKUP(C671,SIRCUPA!$A$21:$H$155,8,0),0)</f>
        <v>0</v>
      </c>
      <c r="J671" s="88">
        <f>-IFERROR(VLOOKUP(C671,SIRTAC!$A$16:$H$1288,8,0),0)</f>
        <v>-397</v>
      </c>
      <c r="K671" s="88">
        <f>-IFERROR(VLOOKUP(C671,Gastos!$A$9:$J$1281,10,0),0)</f>
        <v>-385.09</v>
      </c>
      <c r="L671" s="87">
        <f>-IFERROR(VLOOKUP(C671,IDC!$A$25:$H$1532,8,0),0)</f>
        <v>-238.2</v>
      </c>
      <c r="M671" s="122">
        <f t="shared" si="95"/>
        <v>39699.999999999993</v>
      </c>
      <c r="N671"/>
      <c r="P671" s="35">
        <f t="shared" si="93"/>
        <v>-39700</v>
      </c>
      <c r="Q671" s="66">
        <f t="shared" si="94"/>
        <v>0</v>
      </c>
    </row>
    <row r="672" spans="1:17" hidden="1">
      <c r="A672" s="1" t="s">
        <v>712</v>
      </c>
      <c r="B672" s="1" t="s">
        <v>15</v>
      </c>
      <c r="C672" s="91">
        <v>125461936825</v>
      </c>
      <c r="D672" s="3">
        <v>13797.42</v>
      </c>
      <c r="E672" s="3">
        <v>11041074.08</v>
      </c>
      <c r="F672" s="35" t="s">
        <v>2750</v>
      </c>
      <c r="G672"/>
      <c r="H672"/>
      <c r="I672" s="27">
        <f>-IFERROR(VLOOKUP(C672,SIRCUPA!$A$21:$H$155,8,0),0)</f>
        <v>0</v>
      </c>
      <c r="J672" s="88">
        <f>-IFERROR(VLOOKUP(C672,SIRTAC!$A$16:$H$1288,8,0),0)</f>
        <v>-147</v>
      </c>
      <c r="K672" s="88">
        <f>-IFERROR(VLOOKUP(C672,Gastos!$A$9:$J$1281,10,0),0)</f>
        <v>-667.38</v>
      </c>
      <c r="L672" s="87">
        <f>-IFERROR(VLOOKUP(C672,IDC!$A$25:$H$1532,8,0),0)</f>
        <v>-88.2</v>
      </c>
      <c r="M672" s="122">
        <f t="shared" si="95"/>
        <v>14700</v>
      </c>
      <c r="N672"/>
      <c r="P672" s="35">
        <f t="shared" si="93"/>
        <v>-14700</v>
      </c>
      <c r="Q672" s="66">
        <f t="shared" si="94"/>
        <v>0</v>
      </c>
    </row>
    <row r="673" spans="1:17" hidden="1">
      <c r="A673" s="1" t="s">
        <v>712</v>
      </c>
      <c r="B673" s="1" t="s">
        <v>15</v>
      </c>
      <c r="C673" s="91">
        <v>126013114190</v>
      </c>
      <c r="D673" s="3">
        <v>16757.96</v>
      </c>
      <c r="E673" s="3">
        <v>11057832.039999999</v>
      </c>
      <c r="F673" s="35" t="s">
        <v>2750</v>
      </c>
      <c r="G673"/>
      <c r="H673"/>
      <c r="I673" s="27">
        <f>-IFERROR(VLOOKUP(C673,SIRCUPA!$A$21:$H$155,8,0),0)</f>
        <v>0</v>
      </c>
      <c r="J673" s="88">
        <f>-IFERROR(VLOOKUP(C673,SIRTAC!$A$16:$H$1288,8,0),0)</f>
        <v>-172</v>
      </c>
      <c r="K673" s="88">
        <f>-IFERROR(VLOOKUP(C673,Gastos!$A$9:$J$1281,10,0),0)</f>
        <v>-166.84</v>
      </c>
      <c r="L673" s="87">
        <f>-IFERROR(VLOOKUP(C673,IDC!$A$25:$H$1532,8,0),0)</f>
        <v>-103.2</v>
      </c>
      <c r="M673" s="122">
        <f t="shared" si="95"/>
        <v>17200</v>
      </c>
      <c r="N673"/>
      <c r="P673" s="35">
        <f t="shared" si="93"/>
        <v>-17200</v>
      </c>
      <c r="Q673" s="66">
        <f t="shared" si="94"/>
        <v>0</v>
      </c>
    </row>
    <row r="674" spans="1:17" hidden="1">
      <c r="A674" s="1" t="s">
        <v>712</v>
      </c>
      <c r="B674" s="1" t="s">
        <v>15</v>
      </c>
      <c r="C674" s="91">
        <v>126013525296</v>
      </c>
      <c r="D674" s="3">
        <v>22896.05</v>
      </c>
      <c r="E674" s="3">
        <v>11080728.09</v>
      </c>
      <c r="F674" s="35" t="s">
        <v>2750</v>
      </c>
      <c r="G674"/>
      <c r="H674"/>
      <c r="I674" s="27">
        <f>-IFERROR(VLOOKUP(C674,SIRCUPA!$A$21:$H$155,8,0),0)</f>
        <v>0</v>
      </c>
      <c r="J674" s="88">
        <f>-IFERROR(VLOOKUP(C674,SIRTAC!$A$16:$H$1288,8,0),0)</f>
        <v>-235</v>
      </c>
      <c r="K674" s="88">
        <f>-IFERROR(VLOOKUP(C674,Gastos!$A$9:$J$1281,10,0),0)</f>
        <v>-227.95</v>
      </c>
      <c r="L674" s="87">
        <f>-IFERROR(VLOOKUP(C674,IDC!$A$25:$H$1532,8,0),0)</f>
        <v>-141</v>
      </c>
      <c r="M674" s="122">
        <f t="shared" si="95"/>
        <v>23500</v>
      </c>
      <c r="N674"/>
      <c r="P674" s="35">
        <f t="shared" si="93"/>
        <v>-23500</v>
      </c>
      <c r="Q674" s="66">
        <f t="shared" si="94"/>
        <v>0</v>
      </c>
    </row>
    <row r="675" spans="1:17" hidden="1">
      <c r="A675" s="1" t="s">
        <v>712</v>
      </c>
      <c r="B675" s="1" t="s">
        <v>15</v>
      </c>
      <c r="C675" s="91">
        <v>126013746036</v>
      </c>
      <c r="D675" s="3">
        <v>96650.559999999998</v>
      </c>
      <c r="E675" s="3">
        <v>11177378.65</v>
      </c>
      <c r="F675" s="35" t="s">
        <v>2750</v>
      </c>
      <c r="G675"/>
      <c r="H675"/>
      <c r="I675" s="27">
        <f>-IFERROR(VLOOKUP(C675,SIRCUPA!$A$21:$H$155,8,0),0)</f>
        <v>0</v>
      </c>
      <c r="J675" s="88">
        <f>-IFERROR(VLOOKUP(C675,SIRTAC!$A$16:$H$1288,8,0),0)</f>
        <v>-992</v>
      </c>
      <c r="K675" s="88">
        <f>-IFERROR(VLOOKUP(C675,Gastos!$A$9:$J$1281,10,0),0)</f>
        <v>-962.24</v>
      </c>
      <c r="L675" s="87">
        <f>-IFERROR(VLOOKUP(C675,IDC!$A$25:$H$1532,8,0),0)</f>
        <v>-595.20000000000005</v>
      </c>
      <c r="M675" s="122">
        <f t="shared" si="95"/>
        <v>99200</v>
      </c>
      <c r="N675"/>
      <c r="P675" s="35">
        <f t="shared" si="93"/>
        <v>-99200</v>
      </c>
      <c r="Q675" s="66">
        <f t="shared" si="94"/>
        <v>0</v>
      </c>
    </row>
    <row r="676" spans="1:17" hidden="1">
      <c r="A676" s="1" t="s">
        <v>712</v>
      </c>
      <c r="B676" s="1" t="s">
        <v>15</v>
      </c>
      <c r="C676" s="91">
        <v>125462776275</v>
      </c>
      <c r="D676" s="3">
        <v>7463.13</v>
      </c>
      <c r="E676" s="3">
        <v>11184841.779999999</v>
      </c>
      <c r="F676" s="35" t="s">
        <v>2750</v>
      </c>
      <c r="G676"/>
      <c r="H676"/>
      <c r="I676" s="27">
        <f>-IFERROR(VLOOKUP(C676,SIRCUPA!$A$21:$H$155,8,0),0)</f>
        <v>0</v>
      </c>
      <c r="J676" s="88">
        <f>-IFERROR(VLOOKUP(C676,SIRTAC!$A$16:$H$1288,8,0),0)</f>
        <v>-79</v>
      </c>
      <c r="K676" s="88">
        <f>-IFERROR(VLOOKUP(C676,Gastos!$A$9:$J$1281,10,0),0)</f>
        <v>-310.47000000000003</v>
      </c>
      <c r="L676" s="87">
        <f>-IFERROR(VLOOKUP(C676,IDC!$A$25:$H$1532,8,0),0)</f>
        <v>-47.4</v>
      </c>
      <c r="M676" s="122">
        <f t="shared" si="95"/>
        <v>7900</v>
      </c>
      <c r="N676"/>
      <c r="P676" s="35">
        <f t="shared" si="93"/>
        <v>-7900</v>
      </c>
      <c r="Q676" s="66">
        <f t="shared" si="94"/>
        <v>0</v>
      </c>
    </row>
    <row r="677" spans="1:17" hidden="1">
      <c r="A677" s="1" t="s">
        <v>712</v>
      </c>
      <c r="B677" s="1" t="s">
        <v>15</v>
      </c>
      <c r="C677" s="91">
        <v>125462980105</v>
      </c>
      <c r="D677" s="3">
        <v>56899.12</v>
      </c>
      <c r="E677" s="3">
        <v>11241740.9</v>
      </c>
      <c r="F677" s="35" t="s">
        <v>2750</v>
      </c>
      <c r="G677"/>
      <c r="H677"/>
      <c r="I677" s="27">
        <f>-IFERROR(VLOOKUP(C677,SIRCUPA!$A$21:$H$155,8,0),0)</f>
        <v>0</v>
      </c>
      <c r="J677" s="88">
        <f>-IFERROR(VLOOKUP(C677,SIRTAC!$A$16:$H$1288,8,0),0)</f>
        <v>-584</v>
      </c>
      <c r="K677" s="88">
        <f>-IFERROR(VLOOKUP(C677,Gastos!$A$9:$J$1281,10,0),0)</f>
        <v>-566.48</v>
      </c>
      <c r="L677" s="87">
        <f>-IFERROR(VLOOKUP(C677,IDC!$A$25:$H$1532,8,0),0)</f>
        <v>-350.4</v>
      </c>
      <c r="M677" s="122">
        <f t="shared" si="95"/>
        <v>58400.000000000007</v>
      </c>
      <c r="N677"/>
      <c r="P677" s="35">
        <f t="shared" si="93"/>
        <v>-58399.999999999993</v>
      </c>
      <c r="Q677" s="66">
        <f t="shared" si="94"/>
        <v>0</v>
      </c>
    </row>
    <row r="678" spans="1:17" hidden="1">
      <c r="A678" s="1" t="s">
        <v>712</v>
      </c>
      <c r="B678" s="1" t="s">
        <v>15</v>
      </c>
      <c r="C678" s="91">
        <v>126014168820</v>
      </c>
      <c r="D678" s="3">
        <v>27772.99</v>
      </c>
      <c r="E678" s="3">
        <v>11269513.890000001</v>
      </c>
      <c r="F678" s="35" t="s">
        <v>2750</v>
      </c>
      <c r="G678"/>
      <c r="H678"/>
      <c r="I678" s="27">
        <f>-IFERROR(VLOOKUP(C678,SIRCUPA!$A$21:$H$155,8,0),0)</f>
        <v>0</v>
      </c>
      <c r="J678" s="88">
        <f>-IFERROR(VLOOKUP(C678,SIRTAC!$A$16:$H$1288,8,0),0)</f>
        <v>-287</v>
      </c>
      <c r="K678" s="88">
        <f>-IFERROR(VLOOKUP(C678,Gastos!$A$9:$J$1281,10,0),0)</f>
        <v>-467.81</v>
      </c>
      <c r="L678" s="87">
        <f>-IFERROR(VLOOKUP(C678,IDC!$A$25:$H$1532,8,0),0)</f>
        <v>-172.2</v>
      </c>
      <c r="M678" s="122">
        <f t="shared" si="95"/>
        <v>28700.000000000004</v>
      </c>
      <c r="N678"/>
      <c r="P678" s="35">
        <f t="shared" si="93"/>
        <v>-28699.999999999996</v>
      </c>
      <c r="Q678" s="66">
        <f t="shared" si="94"/>
        <v>0</v>
      </c>
    </row>
    <row r="679" spans="1:17" hidden="1">
      <c r="A679" s="1" t="s">
        <v>712</v>
      </c>
      <c r="B679" s="1" t="s">
        <v>15</v>
      </c>
      <c r="C679" s="91">
        <v>125463043451</v>
      </c>
      <c r="D679" s="3">
        <v>10230.15</v>
      </c>
      <c r="E679" s="3">
        <v>11279744.039999999</v>
      </c>
      <c r="F679" s="35" t="s">
        <v>2750</v>
      </c>
      <c r="G679"/>
      <c r="H679"/>
      <c r="I679" s="27">
        <f>-IFERROR(VLOOKUP(C679,SIRCUPA!$A$21:$H$155,8,0),0)</f>
        <v>0</v>
      </c>
      <c r="J679" s="88">
        <f>-IFERROR(VLOOKUP(C679,SIRTAC!$A$16:$H$1288,8,0),0)</f>
        <v>-105</v>
      </c>
      <c r="K679" s="88">
        <f>-IFERROR(VLOOKUP(C679,Gastos!$A$9:$J$1281,10,0),0)</f>
        <v>-101.85</v>
      </c>
      <c r="L679" s="87">
        <f>-IFERROR(VLOOKUP(C679,IDC!$A$25:$H$1532,8,0),0)</f>
        <v>-63</v>
      </c>
      <c r="M679" s="122">
        <f t="shared" si="95"/>
        <v>10500</v>
      </c>
      <c r="N679"/>
      <c r="P679" s="35">
        <f t="shared" si="93"/>
        <v>-10500</v>
      </c>
      <c r="Q679" s="66">
        <f t="shared" si="94"/>
        <v>0</v>
      </c>
    </row>
    <row r="680" spans="1:17" hidden="1">
      <c r="A680" s="1" t="s">
        <v>712</v>
      </c>
      <c r="B680" s="1" t="s">
        <v>15</v>
      </c>
      <c r="C680" s="91">
        <v>126014227310</v>
      </c>
      <c r="D680" s="3">
        <v>22896.05</v>
      </c>
      <c r="E680" s="3">
        <v>11302640.09</v>
      </c>
      <c r="F680" s="35" t="s">
        <v>2750</v>
      </c>
      <c r="G680"/>
      <c r="H680"/>
      <c r="I680" s="27">
        <f>-IFERROR(VLOOKUP(C680,SIRCUPA!$A$21:$H$155,8,0),0)</f>
        <v>0</v>
      </c>
      <c r="J680" s="88">
        <f>-IFERROR(VLOOKUP(C680,SIRTAC!$A$16:$H$1288,8,0),0)</f>
        <v>-235</v>
      </c>
      <c r="K680" s="88">
        <f>-IFERROR(VLOOKUP(C680,Gastos!$A$9:$J$1281,10,0),0)</f>
        <v>-227.95</v>
      </c>
      <c r="L680" s="87">
        <f>-IFERROR(VLOOKUP(C680,IDC!$A$25:$H$1532,8,0),0)</f>
        <v>-141</v>
      </c>
      <c r="M680" s="122">
        <f t="shared" si="95"/>
        <v>23500</v>
      </c>
      <c r="N680"/>
      <c r="P680" s="35">
        <f t="shared" si="93"/>
        <v>-23500</v>
      </c>
      <c r="Q680" s="66">
        <f t="shared" si="94"/>
        <v>0</v>
      </c>
    </row>
    <row r="681" spans="1:17" hidden="1">
      <c r="A681" s="1" t="s">
        <v>712</v>
      </c>
      <c r="B681" s="1" t="s">
        <v>15</v>
      </c>
      <c r="C681" s="91">
        <v>125463091997</v>
      </c>
      <c r="D681" s="3">
        <v>15393.94</v>
      </c>
      <c r="E681" s="3">
        <v>11318034.029999999</v>
      </c>
      <c r="F681" s="35" t="s">
        <v>2750</v>
      </c>
      <c r="G681"/>
      <c r="H681"/>
      <c r="I681" s="27">
        <f>-IFERROR(VLOOKUP(C681,SIRCUPA!$A$21:$H$155,8,0),0)</f>
        <v>0</v>
      </c>
      <c r="J681" s="88">
        <f>-IFERROR(VLOOKUP(C681,SIRTAC!$A$16:$H$1288,8,0),0)</f>
        <v>-158</v>
      </c>
      <c r="K681" s="88">
        <f>-IFERROR(VLOOKUP(C681,Gastos!$A$9:$J$1281,10,0),0)</f>
        <v>-153.26</v>
      </c>
      <c r="L681" s="87">
        <f>-IFERROR(VLOOKUP(C681,IDC!$A$25:$H$1532,8,0),0)</f>
        <v>-94.8</v>
      </c>
      <c r="M681" s="122">
        <f t="shared" si="95"/>
        <v>15800</v>
      </c>
      <c r="N681"/>
      <c r="P681" s="35">
        <f t="shared" si="93"/>
        <v>-15800</v>
      </c>
      <c r="Q681" s="66">
        <f t="shared" si="94"/>
        <v>0</v>
      </c>
    </row>
    <row r="682" spans="1:17" hidden="1">
      <c r="A682" s="1" t="s">
        <v>712</v>
      </c>
      <c r="B682" s="1" t="s">
        <v>15</v>
      </c>
      <c r="C682" s="91">
        <v>125463291439</v>
      </c>
      <c r="D682" s="3">
        <v>45986.96</v>
      </c>
      <c r="E682" s="3">
        <v>11364020.99</v>
      </c>
      <c r="F682" s="35" t="s">
        <v>2750</v>
      </c>
      <c r="G682"/>
      <c r="H682"/>
      <c r="I682" s="27">
        <f>-IFERROR(VLOOKUP(C682,SIRCUPA!$A$21:$H$155,8,0),0)</f>
        <v>0</v>
      </c>
      <c r="J682" s="88">
        <f>-IFERROR(VLOOKUP(C682,SIRTAC!$A$16:$H$1288,8,0),0)</f>
        <v>-472</v>
      </c>
      <c r="K682" s="88">
        <f>-IFERROR(VLOOKUP(C682,Gastos!$A$9:$J$1281,10,0),0)</f>
        <v>-457.84</v>
      </c>
      <c r="L682" s="87">
        <f>-IFERROR(VLOOKUP(C682,IDC!$A$25:$H$1532,8,0),0)</f>
        <v>-283.2</v>
      </c>
      <c r="M682" s="122">
        <f t="shared" si="95"/>
        <v>47199.999999999993</v>
      </c>
      <c r="N682"/>
      <c r="P682" s="35">
        <f t="shared" si="93"/>
        <v>-47200</v>
      </c>
      <c r="Q682" s="66">
        <f t="shared" si="94"/>
        <v>0</v>
      </c>
    </row>
    <row r="683" spans="1:17" hidden="1">
      <c r="A683" s="1" t="s">
        <v>712</v>
      </c>
      <c r="B683" s="1" t="s">
        <v>15</v>
      </c>
      <c r="C683" s="91">
        <v>126014567370</v>
      </c>
      <c r="D683" s="3">
        <v>35854.239999999998</v>
      </c>
      <c r="E683" s="3">
        <v>11399875.23</v>
      </c>
      <c r="F683" s="35" t="s">
        <v>2750</v>
      </c>
      <c r="G683"/>
      <c r="H683"/>
      <c r="I683" s="27">
        <f>-IFERROR(VLOOKUP(C683,SIRCUPA!$A$21:$H$155,8,0),0)</f>
        <v>0</v>
      </c>
      <c r="J683" s="88">
        <f>-IFERROR(VLOOKUP(C683,SIRTAC!$A$16:$H$1288,8,0),0)</f>
        <v>-368</v>
      </c>
      <c r="K683" s="88">
        <f>-IFERROR(VLOOKUP(C683,Gastos!$A$9:$J$1281,10,0),0)</f>
        <v>-356.96</v>
      </c>
      <c r="L683" s="87">
        <f>-IFERROR(VLOOKUP(C683,IDC!$A$25:$H$1532,8,0),0)</f>
        <v>-220.8</v>
      </c>
      <c r="M683" s="122">
        <f t="shared" si="95"/>
        <v>36800</v>
      </c>
      <c r="N683"/>
      <c r="P683" s="35">
        <f t="shared" si="93"/>
        <v>-36800</v>
      </c>
      <c r="Q683" s="66">
        <f t="shared" si="94"/>
        <v>0</v>
      </c>
    </row>
    <row r="684" spans="1:17" hidden="1">
      <c r="A684" s="1" t="s">
        <v>712</v>
      </c>
      <c r="B684" s="1" t="s">
        <v>15</v>
      </c>
      <c r="C684" s="91">
        <v>126014664178</v>
      </c>
      <c r="D684" s="3">
        <v>114308.7</v>
      </c>
      <c r="E684" s="3">
        <v>11514183.93</v>
      </c>
      <c r="F684" s="35" t="s">
        <v>2750</v>
      </c>
      <c r="G684"/>
      <c r="H684"/>
      <c r="I684" s="27">
        <f>-IFERROR(VLOOKUP(C684,SIRCUPA!$A$21:$H$155,8,0),0)</f>
        <v>0</v>
      </c>
      <c r="J684" s="88">
        <f>-IFERROR(VLOOKUP(C684,SIRTAC!$A$16:$H$1288,8,0),0)</f>
        <v>-1210</v>
      </c>
      <c r="K684" s="88">
        <f>-IFERROR(VLOOKUP(C684,Gastos!$A$9:$J$1281,10,0),0)</f>
        <v>-4755.3</v>
      </c>
      <c r="L684" s="87">
        <f>-IFERROR(VLOOKUP(C684,IDC!$A$25:$H$1532,8,0),0)</f>
        <v>-726</v>
      </c>
      <c r="M684" s="122">
        <f t="shared" si="95"/>
        <v>121000</v>
      </c>
      <c r="N684"/>
      <c r="P684" s="35">
        <f t="shared" si="93"/>
        <v>-121000</v>
      </c>
      <c r="Q684" s="66">
        <f t="shared" si="94"/>
        <v>0</v>
      </c>
    </row>
    <row r="685" spans="1:17" hidden="1">
      <c r="A685" s="1" t="s">
        <v>712</v>
      </c>
      <c r="B685" s="1" t="s">
        <v>15</v>
      </c>
      <c r="C685" s="91">
        <v>125463562387</v>
      </c>
      <c r="D685" s="3">
        <v>7014.96</v>
      </c>
      <c r="E685" s="3">
        <v>11521198.890000001</v>
      </c>
      <c r="F685" s="35" t="s">
        <v>2750</v>
      </c>
      <c r="G685"/>
      <c r="H685"/>
      <c r="I685" s="27">
        <f>-IFERROR(VLOOKUP(C685,SIRCUPA!$A$21:$H$155,8,0),0)</f>
        <v>0</v>
      </c>
      <c r="J685" s="88">
        <f>-IFERROR(VLOOKUP(C685,SIRTAC!$A$16:$H$1288,8,0),0)</f>
        <v>-72</v>
      </c>
      <c r="K685" s="88">
        <f>-IFERROR(VLOOKUP(C685,Gastos!$A$9:$J$1281,10,0),0)</f>
        <v>-69.84</v>
      </c>
      <c r="L685" s="87">
        <f>-IFERROR(VLOOKUP(C685,IDC!$A$25:$H$1532,8,0),0)</f>
        <v>-43.2</v>
      </c>
      <c r="M685" s="122">
        <f t="shared" si="95"/>
        <v>7200</v>
      </c>
      <c r="N685"/>
      <c r="P685" s="35">
        <f t="shared" si="93"/>
        <v>-7200</v>
      </c>
      <c r="Q685" s="66">
        <f t="shared" si="94"/>
        <v>0</v>
      </c>
    </row>
    <row r="686" spans="1:17" s="59" customFormat="1" hidden="1">
      <c r="A686" s="35" t="s">
        <v>712</v>
      </c>
      <c r="B686" s="35" t="s">
        <v>15</v>
      </c>
      <c r="C686" s="91">
        <v>125463455779</v>
      </c>
      <c r="D686" s="3">
        <v>13640.2</v>
      </c>
      <c r="E686" s="3">
        <v>11534839.09</v>
      </c>
      <c r="F686" s="35" t="s">
        <v>2750</v>
      </c>
      <c r="G686" s="35"/>
      <c r="H686" s="35"/>
      <c r="I686" s="27">
        <f>-IFERROR(VLOOKUP(C686,SIRCUPA!$A$21:$H$155,8,0),0)</f>
        <v>0</v>
      </c>
      <c r="J686" s="88">
        <f>-IFERROR(VLOOKUP(C686,SIRTAC!$A$16:$H$1288,8,0),0)</f>
        <v>-140</v>
      </c>
      <c r="K686" s="88">
        <f>-IFERROR(VLOOKUP(C686,Gastos!$A$9:$J$1281,10,0),0)</f>
        <v>-135.80000000000001</v>
      </c>
      <c r="L686" s="87">
        <f>-IFERROR(VLOOKUP(C686,IDC!$A$25:$H$1532,8,0),0)</f>
        <v>-84</v>
      </c>
      <c r="M686" s="122">
        <f t="shared" si="95"/>
        <v>14000</v>
      </c>
      <c r="N686" s="35"/>
      <c r="O686" s="35"/>
      <c r="P686" s="35">
        <f t="shared" si="93"/>
        <v>-14000</v>
      </c>
      <c r="Q686" s="66">
        <f t="shared" si="94"/>
        <v>0</v>
      </c>
    </row>
    <row r="687" spans="1:17" hidden="1">
      <c r="A687" s="35" t="s">
        <v>712</v>
      </c>
      <c r="B687" s="35" t="s">
        <v>15</v>
      </c>
      <c r="C687" s="91">
        <v>126096640836</v>
      </c>
      <c r="D687" s="3">
        <v>7081.62</v>
      </c>
      <c r="E687" s="3">
        <v>10893151.310000001</v>
      </c>
      <c r="F687" s="35" t="s">
        <v>2750</v>
      </c>
      <c r="G687" s="35"/>
      <c r="H687" s="35"/>
      <c r="I687" s="27">
        <f>-IFERROR(VLOOKUP(C687,SIRCUPA!$A$21:$H$155,8,0),0)</f>
        <v>0</v>
      </c>
      <c r="J687" s="88">
        <f>-IFERROR(VLOOKUP(C687,SIRTAC!$A$16:$H$1288,8,0),0)</f>
        <v>-78</v>
      </c>
      <c r="K687" s="88">
        <f>-IFERROR(VLOOKUP(C687,Gastos!$A$9:$J$1281,10,0),0)</f>
        <v>-593.58000000000004</v>
      </c>
      <c r="L687" s="87">
        <f>-IFERROR(VLOOKUP(C687,IDC!$A$25:$H$1532,8,0),0)</f>
        <v>-46.8</v>
      </c>
      <c r="M687" s="122">
        <f t="shared" si="95"/>
        <v>7800</v>
      </c>
      <c r="N687" s="35"/>
      <c r="O687" s="35"/>
      <c r="P687" s="35">
        <f t="shared" si="93"/>
        <v>-7799.9999999999991</v>
      </c>
      <c r="Q687" s="66">
        <f t="shared" si="94"/>
        <v>0</v>
      </c>
    </row>
    <row r="688" spans="1:17" hidden="1">
      <c r="A688" s="1" t="s">
        <v>712</v>
      </c>
      <c r="B688" s="1" t="s">
        <v>15</v>
      </c>
      <c r="C688" s="91">
        <v>126099304852</v>
      </c>
      <c r="D688" s="3">
        <v>14906.79</v>
      </c>
      <c r="E688" s="3">
        <v>10908058.1</v>
      </c>
      <c r="F688" s="35" t="s">
        <v>2750</v>
      </c>
      <c r="G688"/>
      <c r="H688"/>
      <c r="I688" s="27">
        <f>-IFERROR(VLOOKUP(C688,SIRCUPA!$A$21:$H$155,8,0),0)</f>
        <v>0</v>
      </c>
      <c r="J688" s="88">
        <f>-IFERROR(VLOOKUP(C688,SIRTAC!$A$16:$H$1288,8,0),0)</f>
        <v>-153</v>
      </c>
      <c r="K688" s="88">
        <f>-IFERROR(VLOOKUP(C688,Gastos!$A$9:$J$1281,10,0),0)</f>
        <v>-148.41</v>
      </c>
      <c r="L688" s="87">
        <f>-IFERROR(VLOOKUP(C688,IDC!$A$25:$H$1532,8,0),0)</f>
        <v>-91.8</v>
      </c>
      <c r="M688" s="122">
        <f t="shared" si="95"/>
        <v>15300</v>
      </c>
      <c r="N688"/>
      <c r="P688" s="35">
        <f t="shared" si="93"/>
        <v>-15300</v>
      </c>
      <c r="Q688" s="66">
        <f t="shared" si="94"/>
        <v>0</v>
      </c>
    </row>
    <row r="689" spans="1:17" hidden="1">
      <c r="A689" s="1" t="s">
        <v>712</v>
      </c>
      <c r="B689" s="1" t="s">
        <v>15</v>
      </c>
      <c r="C689" s="91">
        <v>126103502012</v>
      </c>
      <c r="D689" s="3">
        <v>38192.559999999998</v>
      </c>
      <c r="E689" s="3">
        <v>10946250.66</v>
      </c>
      <c r="F689" s="35" t="s">
        <v>2750</v>
      </c>
      <c r="G689"/>
      <c r="H689"/>
      <c r="I689" s="27">
        <f>-IFERROR(VLOOKUP(C689,SIRCUPA!$A$21:$H$155,8,0),0)</f>
        <v>0</v>
      </c>
      <c r="J689" s="88">
        <f>-IFERROR(VLOOKUP(C689,SIRTAC!$A$16:$H$1288,8,0),0)</f>
        <v>-392</v>
      </c>
      <c r="K689" s="88">
        <f>-IFERROR(VLOOKUP(C689,Gastos!$A$9:$J$1281,10,0),0)</f>
        <v>-380.24</v>
      </c>
      <c r="L689" s="87">
        <f>-IFERROR(VLOOKUP(C689,IDC!$A$25:$H$1532,8,0),0)</f>
        <v>-235.2</v>
      </c>
      <c r="M689" s="122">
        <f t="shared" si="95"/>
        <v>39199.999999999993</v>
      </c>
      <c r="N689"/>
      <c r="P689" s="35">
        <f t="shared" si="93"/>
        <v>-39200</v>
      </c>
      <c r="Q689" s="66">
        <f t="shared" si="94"/>
        <v>0</v>
      </c>
    </row>
    <row r="690" spans="1:17" hidden="1">
      <c r="A690" s="1" t="s">
        <v>712</v>
      </c>
      <c r="B690" s="1" t="s">
        <v>15</v>
      </c>
      <c r="C690" s="91">
        <v>126105503786</v>
      </c>
      <c r="D690" s="3">
        <v>15491.37</v>
      </c>
      <c r="E690" s="3">
        <v>10961742.029999999</v>
      </c>
      <c r="F690" s="35" t="s">
        <v>2750</v>
      </c>
      <c r="G690"/>
      <c r="H690"/>
      <c r="I690" s="27">
        <f>-IFERROR(VLOOKUP(C690,SIRCUPA!$A$21:$H$155,8,0),0)</f>
        <v>0</v>
      </c>
      <c r="J690" s="88">
        <f>-IFERROR(VLOOKUP(C690,SIRTAC!$A$16:$H$1288,8,0),0)</f>
        <v>-159</v>
      </c>
      <c r="K690" s="88">
        <f>-IFERROR(VLOOKUP(C690,Gastos!$A$9:$J$1281,10,0),0)</f>
        <v>-154.22999999999999</v>
      </c>
      <c r="L690" s="87">
        <f>-IFERROR(VLOOKUP(C690,IDC!$A$25:$H$1532,8,0),0)</f>
        <v>-95.4</v>
      </c>
      <c r="M690" s="122">
        <f t="shared" si="95"/>
        <v>15900</v>
      </c>
      <c r="N690"/>
      <c r="P690" s="35">
        <f t="shared" si="93"/>
        <v>-15900</v>
      </c>
      <c r="Q690" s="66">
        <f t="shared" si="94"/>
        <v>0</v>
      </c>
    </row>
    <row r="691" spans="1:17" hidden="1">
      <c r="A691" s="1" t="s">
        <v>712</v>
      </c>
      <c r="B691" s="1" t="s">
        <v>15</v>
      </c>
      <c r="C691" s="91">
        <v>126105964490</v>
      </c>
      <c r="D691" s="3">
        <v>11430.87</v>
      </c>
      <c r="E691" s="3">
        <v>10973172.9</v>
      </c>
      <c r="F691" s="35" t="s">
        <v>2750</v>
      </c>
      <c r="G691"/>
      <c r="H691"/>
      <c r="I691" s="27">
        <f>-IFERROR(VLOOKUP(C691,SIRCUPA!$A$21:$H$155,8,0),0)</f>
        <v>0</v>
      </c>
      <c r="J691" s="88">
        <f>-IFERROR(VLOOKUP(C691,SIRTAC!$A$16:$H$1288,8,0),0)</f>
        <v>-121</v>
      </c>
      <c r="K691" s="88">
        <f>-IFERROR(VLOOKUP(C691,Gastos!$A$9:$J$1281,10,0),0)</f>
        <v>-475.53</v>
      </c>
      <c r="L691" s="87">
        <f>-IFERROR(VLOOKUP(C691,IDC!$A$25:$H$1532,8,0),0)</f>
        <v>-72.599999999999994</v>
      </c>
      <c r="M691" s="122">
        <f t="shared" si="95"/>
        <v>12100.000000000002</v>
      </c>
      <c r="N691"/>
      <c r="P691" s="35">
        <f t="shared" si="93"/>
        <v>-12099.999999999998</v>
      </c>
      <c r="Q691" s="66">
        <f t="shared" si="94"/>
        <v>0</v>
      </c>
    </row>
    <row r="692" spans="1:17" hidden="1">
      <c r="A692" s="1" t="s">
        <v>712</v>
      </c>
      <c r="B692" s="1" t="s">
        <v>15</v>
      </c>
      <c r="C692" s="91">
        <v>125554253101</v>
      </c>
      <c r="D692" s="3">
        <v>3903.97</v>
      </c>
      <c r="E692" s="3">
        <v>10977076.869999999</v>
      </c>
      <c r="F692" s="35" t="s">
        <v>2750</v>
      </c>
      <c r="G692"/>
      <c r="H692"/>
      <c r="I692" s="27">
        <f>-IFERROR(VLOOKUP(C692,SIRCUPA!$A$21:$H$155,8,0),0)</f>
        <v>0</v>
      </c>
      <c r="J692" s="88">
        <f>-IFERROR(VLOOKUP(C692,SIRTAC!$A$16:$H$1288,8,0),0)</f>
        <v>-43</v>
      </c>
      <c r="K692" s="88">
        <f>-IFERROR(VLOOKUP(C692,Gastos!$A$9:$J$1281,10,0),0)</f>
        <v>-327.23</v>
      </c>
      <c r="L692" s="87">
        <f>-IFERROR(VLOOKUP(C692,IDC!$A$25:$H$1532,8,0),0)</f>
        <v>-25.8</v>
      </c>
      <c r="M692" s="122">
        <f t="shared" si="95"/>
        <v>4300</v>
      </c>
      <c r="N692"/>
      <c r="P692" s="35">
        <f t="shared" si="93"/>
        <v>-4300</v>
      </c>
      <c r="Q692" s="66">
        <f t="shared" si="94"/>
        <v>0</v>
      </c>
    </row>
    <row r="693" spans="1:17" hidden="1">
      <c r="A693" s="1" t="s">
        <v>712</v>
      </c>
      <c r="B693" s="1" t="s">
        <v>15</v>
      </c>
      <c r="C693" s="91">
        <v>125554633827</v>
      </c>
      <c r="D693" s="3">
        <v>8378.98</v>
      </c>
      <c r="E693" s="3">
        <v>10985455.85</v>
      </c>
      <c r="F693" s="35" t="s">
        <v>2750</v>
      </c>
      <c r="G693"/>
      <c r="H693"/>
      <c r="I693" s="27">
        <f>-IFERROR(VLOOKUP(C693,SIRCUPA!$A$21:$H$155,8,0),0)</f>
        <v>0</v>
      </c>
      <c r="J693" s="88">
        <f>-IFERROR(VLOOKUP(C693,SIRTAC!$A$16:$H$1288,8,0),0)</f>
        <v>-86</v>
      </c>
      <c r="K693" s="88">
        <f>-IFERROR(VLOOKUP(C693,Gastos!$A$9:$J$1281,10,0),0)</f>
        <v>-83.42</v>
      </c>
      <c r="L693" s="87">
        <f>-IFERROR(VLOOKUP(C693,IDC!$A$25:$H$1532,8,0),0)</f>
        <v>-51.6</v>
      </c>
      <c r="M693" s="122">
        <f t="shared" si="95"/>
        <v>8600</v>
      </c>
      <c r="N693"/>
      <c r="P693" s="35">
        <f t="shared" si="93"/>
        <v>-8600</v>
      </c>
      <c r="Q693" s="66">
        <f t="shared" si="94"/>
        <v>0</v>
      </c>
    </row>
    <row r="694" spans="1:17" hidden="1">
      <c r="A694" s="1" t="s">
        <v>712</v>
      </c>
      <c r="B694" s="1" t="s">
        <v>15</v>
      </c>
      <c r="C694" s="91">
        <v>125557181285</v>
      </c>
      <c r="D694" s="3">
        <v>15199.08</v>
      </c>
      <c r="E694" s="3">
        <v>11000654.93</v>
      </c>
      <c r="F694" s="35" t="s">
        <v>2750</v>
      </c>
      <c r="G694"/>
      <c r="H694"/>
      <c r="I694" s="27">
        <f>-IFERROR(VLOOKUP(C694,SIRCUPA!$A$21:$H$155,8,0),0)</f>
        <v>0</v>
      </c>
      <c r="J694" s="88">
        <f>-IFERROR(VLOOKUP(C694,SIRTAC!$A$16:$H$1288,8,0),0)</f>
        <v>-156</v>
      </c>
      <c r="K694" s="88">
        <f>-IFERROR(VLOOKUP(C694,Gastos!$A$9:$J$1281,10,0),0)</f>
        <v>-151.32</v>
      </c>
      <c r="L694" s="87">
        <f>-IFERROR(VLOOKUP(C694,IDC!$A$25:$H$1532,8,0),0)</f>
        <v>-93.6</v>
      </c>
      <c r="M694" s="122">
        <f t="shared" si="95"/>
        <v>15600</v>
      </c>
      <c r="N694"/>
      <c r="P694" s="35">
        <f t="shared" si="93"/>
        <v>-15599.999999999998</v>
      </c>
      <c r="Q694" s="66">
        <f t="shared" si="94"/>
        <v>0</v>
      </c>
    </row>
    <row r="695" spans="1:17" hidden="1">
      <c r="A695" s="1" t="s">
        <v>712</v>
      </c>
      <c r="B695" s="1" t="s">
        <v>776</v>
      </c>
      <c r="C695" s="91">
        <v>125557234739</v>
      </c>
      <c r="D695" s="3">
        <v>1527.24</v>
      </c>
      <c r="E695" s="3">
        <v>11002182.17</v>
      </c>
      <c r="F695" s="2" t="s">
        <v>2750</v>
      </c>
      <c r="G695"/>
      <c r="H695"/>
      <c r="I695" s="27">
        <f>-IFERROR(VLOOKUP(C695,SIRCUPA!$A$21:$H$155,8,0),0)</f>
        <v>-23.4</v>
      </c>
      <c r="J695" s="88">
        <f>-IFERROR(VLOOKUP(C695,SIRTAC!$A$16:$H$1288,8,0),0)</f>
        <v>0</v>
      </c>
      <c r="K695" s="88">
        <f>-IFERROR(VLOOKUP(C695,Gastos!$A$9:$J$1281,10,0),0)</f>
        <v>0</v>
      </c>
      <c r="L695" s="87">
        <f>-IFERROR(VLOOKUP(C695,IDC!$A$25:$H$1532,8,0),0)</f>
        <v>-9.36</v>
      </c>
      <c r="M695" s="122">
        <f t="shared" si="95"/>
        <v>1560</v>
      </c>
      <c r="N695"/>
      <c r="P695" s="35">
        <f t="shared" si="93"/>
        <v>-1559.9999999999998</v>
      </c>
      <c r="Q695" s="66">
        <f t="shared" si="94"/>
        <v>0</v>
      </c>
    </row>
    <row r="696" spans="1:17" hidden="1">
      <c r="A696" s="1" t="s">
        <v>712</v>
      </c>
      <c r="B696" s="1" t="s">
        <v>15</v>
      </c>
      <c r="C696" s="91">
        <v>126109192968</v>
      </c>
      <c r="D696" s="3">
        <v>10619.87</v>
      </c>
      <c r="E696" s="3">
        <v>11012802.039999999</v>
      </c>
      <c r="F696" s="35" t="s">
        <v>2750</v>
      </c>
      <c r="G696"/>
      <c r="H696"/>
      <c r="I696" s="27">
        <f>-IFERROR(VLOOKUP(C696,SIRCUPA!$A$21:$H$155,8,0),0)</f>
        <v>0</v>
      </c>
      <c r="J696" s="88">
        <f>-IFERROR(VLOOKUP(C696,SIRTAC!$A$16:$H$1288,8,0),0)</f>
        <v>-109</v>
      </c>
      <c r="K696" s="88">
        <f>-IFERROR(VLOOKUP(C696,Gastos!$A$9:$J$1281,10,0),0)</f>
        <v>-105.73</v>
      </c>
      <c r="L696" s="87">
        <f>-IFERROR(VLOOKUP(C696,IDC!$A$25:$H$1532,8,0),0)</f>
        <v>-65.400000000000006</v>
      </c>
      <c r="M696" s="122">
        <f t="shared" si="95"/>
        <v>10900</v>
      </c>
      <c r="N696"/>
      <c r="P696" s="35">
        <f t="shared" si="93"/>
        <v>-10900</v>
      </c>
      <c r="Q696" s="66">
        <f t="shared" si="94"/>
        <v>0</v>
      </c>
    </row>
    <row r="697" spans="1:17" hidden="1">
      <c r="A697" s="1" t="s">
        <v>712</v>
      </c>
      <c r="B697" s="1" t="s">
        <v>15</v>
      </c>
      <c r="C697" s="91">
        <v>125558021461</v>
      </c>
      <c r="D697" s="3">
        <v>4062.21</v>
      </c>
      <c r="E697" s="3">
        <v>11016864.25</v>
      </c>
      <c r="F697" s="35" t="s">
        <v>2750</v>
      </c>
      <c r="G697"/>
      <c r="H697"/>
      <c r="I697" s="27">
        <f>-IFERROR(VLOOKUP(C697,SIRCUPA!$A$21:$H$155,8,0),0)</f>
        <v>0</v>
      </c>
      <c r="J697" s="88">
        <f>-IFERROR(VLOOKUP(C697,SIRTAC!$A$16:$H$1288,8,0),0)</f>
        <v>-43</v>
      </c>
      <c r="K697" s="88">
        <f>-IFERROR(VLOOKUP(C697,Gastos!$A$9:$J$1281,10,0),0)</f>
        <v>-168.99</v>
      </c>
      <c r="L697" s="87">
        <f>-IFERROR(VLOOKUP(C697,IDC!$A$25:$H$1532,8,0),0)</f>
        <v>-25.8</v>
      </c>
      <c r="M697" s="122">
        <f t="shared" si="95"/>
        <v>4300</v>
      </c>
      <c r="N697"/>
      <c r="P697" s="35">
        <f t="shared" si="93"/>
        <v>-4300</v>
      </c>
      <c r="Q697" s="66">
        <f t="shared" si="94"/>
        <v>0</v>
      </c>
    </row>
    <row r="698" spans="1:17" hidden="1">
      <c r="A698" s="1" t="s">
        <v>712</v>
      </c>
      <c r="B698" s="1" t="s">
        <v>15</v>
      </c>
      <c r="C698" s="91">
        <v>126110485752</v>
      </c>
      <c r="D698" s="3">
        <v>4189.49</v>
      </c>
      <c r="E698" s="3">
        <v>11021053.74</v>
      </c>
      <c r="F698" s="35" t="s">
        <v>2750</v>
      </c>
      <c r="G698"/>
      <c r="H698"/>
      <c r="I698" s="27">
        <f>-IFERROR(VLOOKUP(C698,SIRCUPA!$A$21:$H$155,8,0),0)</f>
        <v>0</v>
      </c>
      <c r="J698" s="88">
        <f>-IFERROR(VLOOKUP(C698,SIRTAC!$A$16:$H$1288,8,0),0)</f>
        <v>-43</v>
      </c>
      <c r="K698" s="88">
        <f>-IFERROR(VLOOKUP(C698,Gastos!$A$9:$J$1281,10,0),0)</f>
        <v>-41.71</v>
      </c>
      <c r="L698" s="87">
        <f>-IFERROR(VLOOKUP(C698,IDC!$A$25:$H$1532,8,0),0)</f>
        <v>-25.8</v>
      </c>
      <c r="M698" s="122">
        <f t="shared" si="95"/>
        <v>4300</v>
      </c>
      <c r="N698"/>
      <c r="P698" s="35">
        <f t="shared" si="93"/>
        <v>-4300</v>
      </c>
      <c r="Q698" s="66">
        <f t="shared" si="94"/>
        <v>0</v>
      </c>
    </row>
    <row r="699" spans="1:17" hidden="1">
      <c r="A699" s="1" t="s">
        <v>712</v>
      </c>
      <c r="B699" s="1" t="s">
        <v>15</v>
      </c>
      <c r="C699" s="91">
        <v>126110608540</v>
      </c>
      <c r="D699" s="3">
        <v>12276.18</v>
      </c>
      <c r="E699" s="3">
        <v>11033329.92</v>
      </c>
      <c r="F699" s="35" t="s">
        <v>2750</v>
      </c>
      <c r="G699"/>
      <c r="H699"/>
      <c r="I699" s="27">
        <f>-IFERROR(VLOOKUP(C699,SIRCUPA!$A$21:$H$155,8,0),0)</f>
        <v>0</v>
      </c>
      <c r="J699" s="88">
        <f>-IFERROR(VLOOKUP(C699,SIRTAC!$A$16:$H$1288,8,0),0)</f>
        <v>-126</v>
      </c>
      <c r="K699" s="88">
        <f>-IFERROR(VLOOKUP(C699,Gastos!$A$9:$J$1281,10,0),0)</f>
        <v>-122.22</v>
      </c>
      <c r="L699" s="87">
        <f>-IFERROR(VLOOKUP(C699,IDC!$A$25:$H$1532,8,0),0)</f>
        <v>-75.599999999999994</v>
      </c>
      <c r="M699" s="122">
        <f t="shared" si="95"/>
        <v>12600</v>
      </c>
      <c r="N699"/>
      <c r="P699" s="35">
        <f t="shared" si="93"/>
        <v>-12599.999999999998</v>
      </c>
      <c r="Q699" s="66">
        <f t="shared" si="94"/>
        <v>0</v>
      </c>
    </row>
    <row r="700" spans="1:17" hidden="1">
      <c r="A700" s="1" t="s">
        <v>712</v>
      </c>
      <c r="B700" s="1" t="s">
        <v>15</v>
      </c>
      <c r="C700" s="91">
        <v>125559982515</v>
      </c>
      <c r="D700" s="3">
        <v>25818.95</v>
      </c>
      <c r="E700" s="3">
        <v>11059148.869999999</v>
      </c>
      <c r="F700" s="35" t="s">
        <v>2750</v>
      </c>
      <c r="G700"/>
      <c r="H700"/>
      <c r="I700" s="27">
        <f>-IFERROR(VLOOKUP(C700,SIRCUPA!$A$21:$H$155,8,0),0)</f>
        <v>0</v>
      </c>
      <c r="J700" s="88">
        <f>-IFERROR(VLOOKUP(C700,SIRTAC!$A$16:$H$1288,8,0),0)</f>
        <v>-265</v>
      </c>
      <c r="K700" s="88">
        <f>-IFERROR(VLOOKUP(C700,Gastos!$A$9:$J$1281,10,0),0)</f>
        <v>-257.05</v>
      </c>
      <c r="L700" s="87">
        <f>-IFERROR(VLOOKUP(C700,IDC!$A$25:$H$1532,8,0),0)</f>
        <v>-159</v>
      </c>
      <c r="M700" s="122">
        <f t="shared" ref="M700:M724" si="96">+D700-I700-J700-K700-L700</f>
        <v>26500</v>
      </c>
      <c r="N700"/>
      <c r="P700" s="35">
        <f t="shared" ref="P700:P724" si="97">+L700/0.006</f>
        <v>-26500</v>
      </c>
      <c r="Q700" s="66">
        <f t="shared" ref="Q700:Q724" si="98">+M700+P700</f>
        <v>0</v>
      </c>
    </row>
    <row r="701" spans="1:17" hidden="1">
      <c r="A701" s="1" t="s">
        <v>712</v>
      </c>
      <c r="B701" s="1" t="s">
        <v>15</v>
      </c>
      <c r="C701" s="91">
        <v>126111930026</v>
      </c>
      <c r="D701" s="3">
        <v>46857.120000000003</v>
      </c>
      <c r="E701" s="3">
        <v>11106005.99</v>
      </c>
      <c r="F701" s="35" t="s">
        <v>2750</v>
      </c>
      <c r="G701"/>
      <c r="H701"/>
      <c r="I701" s="27">
        <f>-IFERROR(VLOOKUP(C701,SIRCUPA!$A$21:$H$155,8,0),0)</f>
        <v>0</v>
      </c>
      <c r="J701" s="88">
        <f>-IFERROR(VLOOKUP(C701,SIRTAC!$A$16:$H$1288,8,0),0)</f>
        <v>-496</v>
      </c>
      <c r="K701" s="88">
        <f>-IFERROR(VLOOKUP(C701,Gastos!$A$9:$J$1281,10,0),0)</f>
        <v>-1949.28</v>
      </c>
      <c r="L701" s="87">
        <f>-IFERROR(VLOOKUP(C701,IDC!$A$25:$H$1532,8,0),0)</f>
        <v>-297.60000000000002</v>
      </c>
      <c r="M701" s="122">
        <f t="shared" si="96"/>
        <v>49600</v>
      </c>
      <c r="N701"/>
      <c r="P701" s="35">
        <f t="shared" si="97"/>
        <v>-49600</v>
      </c>
      <c r="Q701" s="66">
        <f t="shared" si="98"/>
        <v>0</v>
      </c>
    </row>
    <row r="702" spans="1:17" hidden="1">
      <c r="A702" s="1" t="s">
        <v>712</v>
      </c>
      <c r="B702" s="1" t="s">
        <v>15</v>
      </c>
      <c r="C702" s="91">
        <v>125561730289</v>
      </c>
      <c r="D702" s="3">
        <v>33226.44</v>
      </c>
      <c r="E702" s="3">
        <v>11139232.43</v>
      </c>
      <c r="F702" s="35" t="s">
        <v>2750</v>
      </c>
      <c r="G702"/>
      <c r="H702"/>
      <c r="I702" s="27">
        <f>-IFERROR(VLOOKUP(C702,SIRCUPA!$A$21:$H$155,8,0),0)</f>
        <v>0</v>
      </c>
      <c r="J702" s="88">
        <f>-IFERROR(VLOOKUP(C702,SIRTAC!$A$16:$H$1288,8,0),0)</f>
        <v>-354</v>
      </c>
      <c r="K702" s="88">
        <f>-IFERROR(VLOOKUP(C702,Gastos!$A$9:$J$1281,10,0),0)</f>
        <v>-1607.16</v>
      </c>
      <c r="L702" s="87">
        <f>-IFERROR(VLOOKUP(C702,IDC!$A$25:$H$1532,8,0),0)</f>
        <v>-212.4</v>
      </c>
      <c r="M702" s="122">
        <f t="shared" si="96"/>
        <v>35400.000000000007</v>
      </c>
      <c r="N702"/>
      <c r="P702" s="35">
        <f t="shared" si="97"/>
        <v>-35400</v>
      </c>
      <c r="Q702" s="66">
        <f t="shared" si="98"/>
        <v>0</v>
      </c>
    </row>
    <row r="703" spans="1:17" hidden="1">
      <c r="A703" s="1" t="s">
        <v>712</v>
      </c>
      <c r="B703" s="1" t="s">
        <v>15</v>
      </c>
      <c r="C703" s="91">
        <v>125562837095</v>
      </c>
      <c r="D703" s="3">
        <v>8768.7000000000007</v>
      </c>
      <c r="E703" s="3">
        <v>11148001.130000001</v>
      </c>
      <c r="F703" s="35" t="s">
        <v>2750</v>
      </c>
      <c r="G703"/>
      <c r="H703"/>
      <c r="I703" s="27">
        <f>-IFERROR(VLOOKUP(C703,SIRCUPA!$A$21:$H$155,8,0),0)</f>
        <v>0</v>
      </c>
      <c r="J703" s="88">
        <f>-IFERROR(VLOOKUP(C703,SIRTAC!$A$16:$H$1288,8,0),0)</f>
        <v>-90</v>
      </c>
      <c r="K703" s="88">
        <f>-IFERROR(VLOOKUP(C703,Gastos!$A$9:$J$1281,10,0),0)</f>
        <v>-87.3</v>
      </c>
      <c r="L703" s="87">
        <f>-IFERROR(VLOOKUP(C703,IDC!$A$25:$H$1532,8,0),0)</f>
        <v>-54</v>
      </c>
      <c r="M703" s="122">
        <f t="shared" si="96"/>
        <v>9000</v>
      </c>
      <c r="N703"/>
      <c r="P703" s="35">
        <f t="shared" si="97"/>
        <v>-9000</v>
      </c>
      <c r="Q703" s="66">
        <f t="shared" si="98"/>
        <v>0</v>
      </c>
    </row>
    <row r="704" spans="1:17" hidden="1">
      <c r="A704" s="1" t="s">
        <v>712</v>
      </c>
      <c r="B704" s="1" t="s">
        <v>15</v>
      </c>
      <c r="C704" s="91">
        <v>125563294919</v>
      </c>
      <c r="D704" s="3">
        <v>5195.8500000000004</v>
      </c>
      <c r="E704" s="3">
        <v>11153196.98</v>
      </c>
      <c r="F704" s="35" t="s">
        <v>2750</v>
      </c>
      <c r="G704"/>
      <c r="H704"/>
      <c r="I704" s="27">
        <f>-IFERROR(VLOOKUP(C704,SIRCUPA!$A$21:$H$155,8,0),0)</f>
        <v>0</v>
      </c>
      <c r="J704" s="88">
        <f>-IFERROR(VLOOKUP(C704,SIRTAC!$A$16:$H$1288,8,0),0)</f>
        <v>-55</v>
      </c>
      <c r="K704" s="88">
        <f>-IFERROR(VLOOKUP(C704,Gastos!$A$9:$J$1281,10,0),0)</f>
        <v>-216.15</v>
      </c>
      <c r="L704" s="87">
        <f>-IFERROR(VLOOKUP(C704,IDC!$A$25:$H$1532,8,0),0)</f>
        <v>-33</v>
      </c>
      <c r="M704" s="122">
        <f t="shared" si="96"/>
        <v>5500</v>
      </c>
      <c r="N704"/>
      <c r="P704" s="35">
        <f t="shared" si="97"/>
        <v>-5500</v>
      </c>
      <c r="Q704" s="66">
        <f t="shared" si="98"/>
        <v>0</v>
      </c>
    </row>
    <row r="705" spans="1:17" hidden="1">
      <c r="A705" s="1" t="s">
        <v>712</v>
      </c>
      <c r="B705" s="1" t="s">
        <v>15</v>
      </c>
      <c r="C705" s="91">
        <v>125565056217</v>
      </c>
      <c r="D705" s="3">
        <v>35135.730000000003</v>
      </c>
      <c r="E705" s="3">
        <v>11188332.710000001</v>
      </c>
      <c r="F705" s="35" t="s">
        <v>2750</v>
      </c>
      <c r="G705"/>
      <c r="H705"/>
      <c r="I705" s="27">
        <f>-IFERROR(VLOOKUP(C705,SIRCUPA!$A$21:$H$155,8,0),0)</f>
        <v>0</v>
      </c>
      <c r="J705" s="88">
        <f>-IFERROR(VLOOKUP(C705,SIRTAC!$A$16:$H$1288,8,0),0)</f>
        <v>-387</v>
      </c>
      <c r="K705" s="88">
        <f>-IFERROR(VLOOKUP(C705,Gastos!$A$9:$J$1281,10,0),0)</f>
        <v>-2945.07</v>
      </c>
      <c r="L705" s="87">
        <f>-IFERROR(VLOOKUP(C705,IDC!$A$25:$H$1532,8,0),0)</f>
        <v>-232.2</v>
      </c>
      <c r="M705" s="122">
        <f t="shared" si="96"/>
        <v>38700</v>
      </c>
      <c r="N705"/>
      <c r="P705" s="35">
        <f t="shared" si="97"/>
        <v>-38700</v>
      </c>
      <c r="Q705" s="66">
        <f t="shared" si="98"/>
        <v>0</v>
      </c>
    </row>
    <row r="706" spans="1:17" hidden="1">
      <c r="A706" s="1" t="s">
        <v>712</v>
      </c>
      <c r="B706" s="1" t="s">
        <v>15</v>
      </c>
      <c r="C706" s="91">
        <v>125565748807</v>
      </c>
      <c r="D706" s="3">
        <v>29229</v>
      </c>
      <c r="E706" s="3">
        <v>11217561.710000001</v>
      </c>
      <c r="F706" s="35" t="s">
        <v>2750</v>
      </c>
      <c r="G706"/>
      <c r="H706"/>
      <c r="I706" s="27">
        <f>-IFERROR(VLOOKUP(C706,SIRCUPA!$A$21:$H$155,8,0),0)</f>
        <v>0</v>
      </c>
      <c r="J706" s="88">
        <f>-IFERROR(VLOOKUP(C706,SIRTAC!$A$16:$H$1288,8,0),0)</f>
        <v>-300</v>
      </c>
      <c r="K706" s="88">
        <f>-IFERROR(VLOOKUP(C706,Gastos!$A$9:$J$1281,10,0),0)</f>
        <v>-291</v>
      </c>
      <c r="L706" s="87">
        <f>-IFERROR(VLOOKUP(C706,IDC!$A$25:$H$1532,8,0),0)</f>
        <v>-180</v>
      </c>
      <c r="M706" s="122">
        <f t="shared" si="96"/>
        <v>30000</v>
      </c>
      <c r="N706"/>
      <c r="P706" s="35">
        <f t="shared" si="97"/>
        <v>-30000</v>
      </c>
      <c r="Q706" s="66">
        <f t="shared" si="98"/>
        <v>0</v>
      </c>
    </row>
    <row r="707" spans="1:17" hidden="1">
      <c r="A707" s="1" t="s">
        <v>712</v>
      </c>
      <c r="B707" s="1" t="s">
        <v>789</v>
      </c>
      <c r="C707" s="91">
        <v>126117918928</v>
      </c>
      <c r="D707" s="3">
        <v>1468.5</v>
      </c>
      <c r="E707" s="3">
        <v>11219030.210000001</v>
      </c>
      <c r="F707" s="2" t="s">
        <v>2750</v>
      </c>
      <c r="G707"/>
      <c r="H707"/>
      <c r="I707" s="27">
        <f>-IFERROR(VLOOKUP(C707,SIRCUPA!$A$21:$H$155,8,0),0)</f>
        <v>-22.5</v>
      </c>
      <c r="J707" s="88">
        <f>-IFERROR(VLOOKUP(C707,SIRTAC!$A$16:$H$1288,8,0),0)</f>
        <v>0</v>
      </c>
      <c r="K707" s="88">
        <f>-IFERROR(VLOOKUP(C707,Gastos!$A$9:$J$1281,10,0),0)</f>
        <v>0</v>
      </c>
      <c r="L707" s="87">
        <f>-IFERROR(VLOOKUP(C707,IDC!$A$25:$H$1532,8,0),0)</f>
        <v>-9</v>
      </c>
      <c r="M707" s="122">
        <f t="shared" si="96"/>
        <v>1500</v>
      </c>
      <c r="N707"/>
      <c r="P707" s="35">
        <f t="shared" si="97"/>
        <v>-1500</v>
      </c>
      <c r="Q707" s="66">
        <f t="shared" si="98"/>
        <v>0</v>
      </c>
    </row>
    <row r="708" spans="1:17" hidden="1">
      <c r="A708" s="1" t="s">
        <v>712</v>
      </c>
      <c r="B708" s="1" t="s">
        <v>15</v>
      </c>
      <c r="C708" s="91">
        <v>126118455600</v>
      </c>
      <c r="D708" s="3">
        <v>46857.120000000003</v>
      </c>
      <c r="E708" s="3">
        <v>11265887.33</v>
      </c>
      <c r="F708" s="35" t="s">
        <v>2750</v>
      </c>
      <c r="G708"/>
      <c r="H708"/>
      <c r="I708" s="27">
        <f>-IFERROR(VLOOKUP(C708,SIRCUPA!$A$21:$H$155,8,0),0)</f>
        <v>0</v>
      </c>
      <c r="J708" s="88">
        <f>-IFERROR(VLOOKUP(C708,SIRTAC!$A$16:$H$1288,8,0),0)</f>
        <v>-496</v>
      </c>
      <c r="K708" s="88">
        <f>-IFERROR(VLOOKUP(C708,Gastos!$A$9:$J$1281,10,0),0)</f>
        <v>-1949.28</v>
      </c>
      <c r="L708" s="87">
        <f>-IFERROR(VLOOKUP(C708,IDC!$A$25:$H$1532,8,0),0)</f>
        <v>-297.60000000000002</v>
      </c>
      <c r="M708" s="122">
        <f t="shared" si="96"/>
        <v>49600</v>
      </c>
      <c r="N708"/>
      <c r="P708" s="35">
        <f t="shared" si="97"/>
        <v>-49600</v>
      </c>
      <c r="Q708" s="66">
        <f t="shared" si="98"/>
        <v>0</v>
      </c>
    </row>
    <row r="709" spans="1:17" hidden="1">
      <c r="A709" s="1" t="s">
        <v>712</v>
      </c>
      <c r="B709" s="1" t="s">
        <v>15</v>
      </c>
      <c r="C709" s="91">
        <v>125566797827</v>
      </c>
      <c r="D709" s="3">
        <v>53470.02</v>
      </c>
      <c r="E709" s="3">
        <v>11319357.35</v>
      </c>
      <c r="F709" s="35" t="s">
        <v>2750</v>
      </c>
      <c r="G709"/>
      <c r="H709"/>
      <c r="I709" s="27">
        <f>-IFERROR(VLOOKUP(C709,SIRCUPA!$A$21:$H$155,8,0),0)</f>
        <v>0</v>
      </c>
      <c r="J709" s="88">
        <f>-IFERROR(VLOOKUP(C709,SIRTAC!$A$16:$H$1288,8,0),0)</f>
        <v>-566</v>
      </c>
      <c r="K709" s="88">
        <f>-IFERROR(VLOOKUP(C709,Gastos!$A$9:$J$1281,10,0),0)</f>
        <v>-2224.38</v>
      </c>
      <c r="L709" s="87">
        <f>-IFERROR(VLOOKUP(C709,IDC!$A$25:$H$1532,8,0),0)</f>
        <v>-339.6</v>
      </c>
      <c r="M709" s="122">
        <f t="shared" si="96"/>
        <v>56599.999999999993</v>
      </c>
      <c r="N709"/>
      <c r="P709" s="35">
        <f t="shared" si="97"/>
        <v>-56600</v>
      </c>
      <c r="Q709" s="66">
        <f t="shared" si="98"/>
        <v>0</v>
      </c>
    </row>
    <row r="710" spans="1:17" hidden="1">
      <c r="A710" s="1" t="s">
        <v>712</v>
      </c>
      <c r="B710" s="1" t="s">
        <v>15</v>
      </c>
      <c r="C710" s="91">
        <v>126120126774</v>
      </c>
      <c r="D710" s="3">
        <v>25999.22</v>
      </c>
      <c r="E710" s="3">
        <v>11345356.57</v>
      </c>
      <c r="F710" s="35" t="s">
        <v>2750</v>
      </c>
      <c r="G710"/>
      <c r="H710"/>
      <c r="I710" s="27">
        <f>-IFERROR(VLOOKUP(C710,SIRCUPA!$A$21:$H$155,8,0),0)</f>
        <v>0</v>
      </c>
      <c r="J710" s="88">
        <f>-IFERROR(VLOOKUP(C710,SIRTAC!$A$16:$H$1288,8,0),0)</f>
        <v>-277</v>
      </c>
      <c r="K710" s="88">
        <f>-IFERROR(VLOOKUP(C710,Gastos!$A$9:$J$1281,10,0),0)</f>
        <v>-1257.58</v>
      </c>
      <c r="L710" s="87">
        <f>-IFERROR(VLOOKUP(C710,IDC!$A$25:$H$1532,8,0),0)</f>
        <v>-166.2</v>
      </c>
      <c r="M710" s="122">
        <f t="shared" si="96"/>
        <v>27700.000000000004</v>
      </c>
      <c r="N710"/>
      <c r="P710" s="35">
        <f t="shared" si="97"/>
        <v>-27699.999999999996</v>
      </c>
      <c r="Q710" s="66">
        <f t="shared" si="98"/>
        <v>0</v>
      </c>
    </row>
    <row r="711" spans="1:17" hidden="1">
      <c r="A711" s="1" t="s">
        <v>712</v>
      </c>
      <c r="B711" s="1" t="s">
        <v>15</v>
      </c>
      <c r="C711" s="91">
        <v>126120191518</v>
      </c>
      <c r="D711" s="3">
        <v>29415.96</v>
      </c>
      <c r="E711" s="3">
        <v>11374772.529999999</v>
      </c>
      <c r="F711" s="35" t="s">
        <v>2750</v>
      </c>
      <c r="G711"/>
      <c r="H711"/>
      <c r="I711" s="27">
        <f>-IFERROR(VLOOKUP(C711,SIRCUPA!$A$21:$H$155,8,0),0)</f>
        <v>0</v>
      </c>
      <c r="J711" s="88">
        <f>-IFERROR(VLOOKUP(C711,SIRTAC!$A$16:$H$1288,8,0),0)</f>
        <v>-324</v>
      </c>
      <c r="K711" s="88">
        <f>-IFERROR(VLOOKUP(C711,Gastos!$A$9:$J$1281,10,0),0)</f>
        <v>-2465.64</v>
      </c>
      <c r="L711" s="87">
        <f>-IFERROR(VLOOKUP(C711,IDC!$A$25:$H$1532,8,0),0)</f>
        <v>-194.4</v>
      </c>
      <c r="M711" s="122">
        <f t="shared" si="96"/>
        <v>32400</v>
      </c>
      <c r="N711"/>
      <c r="P711" s="35">
        <f t="shared" si="97"/>
        <v>-32400</v>
      </c>
      <c r="Q711" s="66">
        <f t="shared" si="98"/>
        <v>0</v>
      </c>
    </row>
    <row r="712" spans="1:17" hidden="1">
      <c r="A712" s="1" t="s">
        <v>712</v>
      </c>
      <c r="B712" s="1" t="s">
        <v>15</v>
      </c>
      <c r="C712" s="91">
        <v>125569052645</v>
      </c>
      <c r="D712" s="3">
        <v>32249.33</v>
      </c>
      <c r="E712" s="3">
        <v>11407021.859999999</v>
      </c>
      <c r="F712" s="35" t="s">
        <v>2750</v>
      </c>
      <c r="G712"/>
      <c r="H712"/>
      <c r="I712" s="27">
        <f>-IFERROR(VLOOKUP(C712,SIRCUPA!$A$21:$H$155,8,0),0)</f>
        <v>0</v>
      </c>
      <c r="J712" s="88">
        <f>-IFERROR(VLOOKUP(C712,SIRTAC!$A$16:$H$1288,8,0),0)</f>
        <v>-331</v>
      </c>
      <c r="K712" s="88">
        <f>-IFERROR(VLOOKUP(C712,Gastos!$A$9:$J$1281,10,0),0)</f>
        <v>-321.07</v>
      </c>
      <c r="L712" s="87">
        <f>-IFERROR(VLOOKUP(C712,IDC!$A$25:$H$1532,8,0),0)</f>
        <v>-198.6</v>
      </c>
      <c r="M712" s="122">
        <f t="shared" si="96"/>
        <v>33100</v>
      </c>
      <c r="N712"/>
      <c r="P712" s="35">
        <f t="shared" si="97"/>
        <v>-33100</v>
      </c>
      <c r="Q712" s="66">
        <f t="shared" si="98"/>
        <v>0</v>
      </c>
    </row>
    <row r="713" spans="1:17" hidden="1">
      <c r="A713" s="1" t="s">
        <v>712</v>
      </c>
      <c r="B713" s="1" t="s">
        <v>15</v>
      </c>
      <c r="C713" s="91">
        <v>126121422420</v>
      </c>
      <c r="D713" s="3">
        <v>41992.33</v>
      </c>
      <c r="E713" s="3">
        <v>11449014.189999999</v>
      </c>
      <c r="F713" s="35" t="s">
        <v>2750</v>
      </c>
      <c r="G713"/>
      <c r="H713"/>
      <c r="I713" s="27">
        <f>-IFERROR(VLOOKUP(C713,SIRCUPA!$A$21:$H$155,8,0),0)</f>
        <v>0</v>
      </c>
      <c r="J713" s="88">
        <f>-IFERROR(VLOOKUP(C713,SIRTAC!$A$16:$H$1288,8,0),0)</f>
        <v>-431</v>
      </c>
      <c r="K713" s="88">
        <f>-IFERROR(VLOOKUP(C713,Gastos!$A$9:$J$1281,10,0),0)</f>
        <v>-418.07</v>
      </c>
      <c r="L713" s="87">
        <f>-IFERROR(VLOOKUP(C713,IDC!$A$25:$H$1532,8,0),0)</f>
        <v>-258.60000000000002</v>
      </c>
      <c r="M713" s="122">
        <f t="shared" si="96"/>
        <v>43100</v>
      </c>
      <c r="N713"/>
      <c r="P713" s="35">
        <f t="shared" si="97"/>
        <v>-43100</v>
      </c>
      <c r="Q713" s="66">
        <f t="shared" si="98"/>
        <v>0</v>
      </c>
    </row>
    <row r="714" spans="1:17" hidden="1">
      <c r="A714" s="1" t="s">
        <v>712</v>
      </c>
      <c r="B714" s="1" t="s">
        <v>15</v>
      </c>
      <c r="C714" s="91">
        <v>126121449144</v>
      </c>
      <c r="D714" s="3">
        <v>31469.89</v>
      </c>
      <c r="E714" s="3">
        <v>11480484.08</v>
      </c>
      <c r="F714" s="35" t="s">
        <v>2750</v>
      </c>
      <c r="G714"/>
      <c r="H714"/>
      <c r="I714" s="27">
        <f>-IFERROR(VLOOKUP(C714,SIRCUPA!$A$21:$H$155,8,0),0)</f>
        <v>0</v>
      </c>
      <c r="J714" s="88">
        <f>-IFERROR(VLOOKUP(C714,SIRTAC!$A$16:$H$1288,8,0),0)</f>
        <v>-323</v>
      </c>
      <c r="K714" s="88">
        <f>-IFERROR(VLOOKUP(C714,Gastos!$A$9:$J$1281,10,0),0)</f>
        <v>-313.31</v>
      </c>
      <c r="L714" s="87">
        <f>-IFERROR(VLOOKUP(C714,IDC!$A$25:$H$1532,8,0),0)</f>
        <v>-193.8</v>
      </c>
      <c r="M714" s="122">
        <f t="shared" si="96"/>
        <v>32300</v>
      </c>
      <c r="N714"/>
      <c r="P714" s="35">
        <f t="shared" si="97"/>
        <v>-32300</v>
      </c>
      <c r="Q714" s="66">
        <f t="shared" si="98"/>
        <v>0</v>
      </c>
    </row>
    <row r="715" spans="1:17" hidden="1">
      <c r="A715" s="1" t="s">
        <v>712</v>
      </c>
      <c r="B715" s="1" t="s">
        <v>798</v>
      </c>
      <c r="C715" s="91">
        <v>126121433118</v>
      </c>
      <c r="D715" s="3">
        <v>3162.17</v>
      </c>
      <c r="E715" s="3">
        <v>11483646.25</v>
      </c>
      <c r="F715" s="2" t="s">
        <v>2750</v>
      </c>
      <c r="G715"/>
      <c r="H715"/>
      <c r="I715" s="27">
        <f>-IFERROR(VLOOKUP(C715,SIRCUPA!$A$21:$H$155,8,0),0)</f>
        <v>-48.45</v>
      </c>
      <c r="J715" s="88">
        <f>-IFERROR(VLOOKUP(C715,SIRTAC!$A$16:$H$1288,8,0),0)</f>
        <v>0</v>
      </c>
      <c r="K715" s="88">
        <f>-IFERROR(VLOOKUP(C715,Gastos!$A$9:$J$1281,10,0),0)</f>
        <v>0</v>
      </c>
      <c r="L715" s="87">
        <f>-IFERROR(VLOOKUP(C715,IDC!$A$25:$H$1532,8,0),0)</f>
        <v>-19.38</v>
      </c>
      <c r="M715" s="122">
        <f t="shared" si="96"/>
        <v>3230</v>
      </c>
      <c r="N715"/>
      <c r="P715" s="35">
        <f t="shared" si="97"/>
        <v>-3229.9999999999995</v>
      </c>
      <c r="Q715" s="66">
        <f t="shared" si="98"/>
        <v>0</v>
      </c>
    </row>
    <row r="716" spans="1:17" hidden="1">
      <c r="A716" s="1" t="s">
        <v>712</v>
      </c>
      <c r="B716" s="1" t="s">
        <v>15</v>
      </c>
      <c r="C716" s="91">
        <v>126121361624</v>
      </c>
      <c r="D716" s="3">
        <v>62728.08</v>
      </c>
      <c r="E716" s="3">
        <v>11546374.33</v>
      </c>
      <c r="F716" s="35" t="s">
        <v>2750</v>
      </c>
      <c r="G716"/>
      <c r="H716"/>
      <c r="I716" s="27">
        <f>-IFERROR(VLOOKUP(C716,SIRCUPA!$A$21:$H$155,8,0),0)</f>
        <v>0</v>
      </c>
      <c r="J716" s="88">
        <f>-IFERROR(VLOOKUP(C716,SIRTAC!$A$16:$H$1288,8,0),0)</f>
        <v>-664</v>
      </c>
      <c r="K716" s="88">
        <f>-IFERROR(VLOOKUP(C716,Gastos!$A$9:$J$1281,10,0),0)</f>
        <v>-2609.52</v>
      </c>
      <c r="L716" s="87">
        <f>-IFERROR(VLOOKUP(C716,IDC!$A$25:$H$1532,8,0),0)</f>
        <v>-398.4</v>
      </c>
      <c r="M716" s="122">
        <f t="shared" si="96"/>
        <v>66400</v>
      </c>
      <c r="N716"/>
      <c r="P716" s="35">
        <f t="shared" si="97"/>
        <v>-66400</v>
      </c>
      <c r="Q716" s="66">
        <f t="shared" si="98"/>
        <v>0</v>
      </c>
    </row>
    <row r="717" spans="1:17" hidden="1">
      <c r="A717" s="1" t="s">
        <v>712</v>
      </c>
      <c r="B717" s="1" t="s">
        <v>15</v>
      </c>
      <c r="C717" s="91">
        <v>126121826612</v>
      </c>
      <c r="D717" s="3">
        <v>21532.03</v>
      </c>
      <c r="E717" s="3">
        <v>11567906.359999999</v>
      </c>
      <c r="F717" s="35" t="s">
        <v>2750</v>
      </c>
      <c r="G717"/>
      <c r="H717"/>
      <c r="I717" s="27">
        <f>-IFERROR(VLOOKUP(C717,SIRCUPA!$A$21:$H$155,8,0),0)</f>
        <v>0</v>
      </c>
      <c r="J717" s="88">
        <f>-IFERROR(VLOOKUP(C717,SIRTAC!$A$16:$H$1288,8,0),0)</f>
        <v>-221</v>
      </c>
      <c r="K717" s="88">
        <f>-IFERROR(VLOOKUP(C717,Gastos!$A$9:$J$1281,10,0),0)</f>
        <v>-214.37</v>
      </c>
      <c r="L717" s="87">
        <f>-IFERROR(VLOOKUP(C717,IDC!$A$25:$H$1532,8,0),0)</f>
        <v>-132.6</v>
      </c>
      <c r="M717" s="122">
        <f t="shared" si="96"/>
        <v>22099.999999999996</v>
      </c>
      <c r="N717"/>
      <c r="P717" s="35">
        <f t="shared" si="97"/>
        <v>-22100</v>
      </c>
      <c r="Q717" s="66">
        <f t="shared" si="98"/>
        <v>0</v>
      </c>
    </row>
    <row r="718" spans="1:17" hidden="1">
      <c r="A718" s="1" t="s">
        <v>712</v>
      </c>
      <c r="B718" s="1" t="s">
        <v>802</v>
      </c>
      <c r="C718" s="91">
        <v>125569350053</v>
      </c>
      <c r="D718" s="3">
        <v>1081.79</v>
      </c>
      <c r="E718" s="3">
        <v>11568988.15</v>
      </c>
      <c r="F718" s="2" t="s">
        <v>2750</v>
      </c>
      <c r="G718"/>
      <c r="H718"/>
      <c r="I718" s="27">
        <f>-IFERROR(VLOOKUP(C718,SIRCUPA!$A$21:$H$155,8,0),0)</f>
        <v>-16.579999999999998</v>
      </c>
      <c r="J718" s="88">
        <f>-IFERROR(VLOOKUP(C718,SIRTAC!$A$16:$H$1288,8,0),0)</f>
        <v>0</v>
      </c>
      <c r="K718" s="88">
        <f>-IFERROR(VLOOKUP(C718,Gastos!$A$9:$J$1281,10,0),0)</f>
        <v>0</v>
      </c>
      <c r="L718" s="87">
        <f>-IFERROR(VLOOKUP(C718,IDC!$A$25:$H$1532,8,0),0)</f>
        <v>-6.63</v>
      </c>
      <c r="M718" s="122">
        <f t="shared" si="96"/>
        <v>1105</v>
      </c>
      <c r="N718"/>
      <c r="P718" s="35">
        <f t="shared" si="97"/>
        <v>-1105</v>
      </c>
      <c r="Q718" s="66">
        <f t="shared" si="98"/>
        <v>0</v>
      </c>
    </row>
    <row r="719" spans="1:17" hidden="1">
      <c r="A719" s="1" t="s">
        <v>712</v>
      </c>
      <c r="B719" s="1" t="s">
        <v>15</v>
      </c>
      <c r="C719" s="91">
        <v>126122277928</v>
      </c>
      <c r="D719" s="3">
        <v>35993.07</v>
      </c>
      <c r="E719" s="3">
        <v>11604981.220000001</v>
      </c>
      <c r="F719" s="35" t="s">
        <v>2750</v>
      </c>
      <c r="G719"/>
      <c r="H719"/>
      <c r="I719" s="27">
        <f>-IFERROR(VLOOKUP(C719,SIRCUPA!$A$21:$H$155,8,0),0)</f>
        <v>0</v>
      </c>
      <c r="J719" s="88">
        <f>-IFERROR(VLOOKUP(C719,SIRTAC!$A$16:$H$1288,8,0),0)</f>
        <v>-381</v>
      </c>
      <c r="K719" s="88">
        <f>-IFERROR(VLOOKUP(C719,Gastos!$A$9:$J$1281,10,0),0)</f>
        <v>-1497.33</v>
      </c>
      <c r="L719" s="87">
        <f>-IFERROR(VLOOKUP(C719,IDC!$A$25:$H$1532,8,0),0)</f>
        <v>-228.6</v>
      </c>
      <c r="M719" s="122">
        <f t="shared" si="96"/>
        <v>38100</v>
      </c>
      <c r="N719"/>
      <c r="P719" s="35">
        <f t="shared" si="97"/>
        <v>-38100</v>
      </c>
      <c r="Q719" s="66">
        <f t="shared" si="98"/>
        <v>0</v>
      </c>
    </row>
    <row r="720" spans="1:17" hidden="1">
      <c r="A720" s="1" t="s">
        <v>712</v>
      </c>
      <c r="B720" s="1" t="s">
        <v>15</v>
      </c>
      <c r="C720" s="91">
        <v>126123126956</v>
      </c>
      <c r="D720" s="3">
        <v>38670.32</v>
      </c>
      <c r="E720" s="3">
        <v>11643651.539999999</v>
      </c>
      <c r="F720" s="35" t="s">
        <v>2750</v>
      </c>
      <c r="G720"/>
      <c r="H720"/>
      <c r="I720" s="27">
        <f>-IFERROR(VLOOKUP(C720,SIRCUPA!$A$21:$H$155,8,0),0)</f>
        <v>0</v>
      </c>
      <c r="J720" s="88">
        <f>-IFERROR(VLOOKUP(C720,SIRTAC!$A$16:$H$1288,8,0),0)</f>
        <v>-412</v>
      </c>
      <c r="K720" s="88">
        <f>-IFERROR(VLOOKUP(C720,Gastos!$A$9:$J$1281,10,0),0)</f>
        <v>-1870.48</v>
      </c>
      <c r="L720" s="87">
        <f>-IFERROR(VLOOKUP(C720,IDC!$A$25:$H$1532,8,0),0)</f>
        <v>-247.2</v>
      </c>
      <c r="M720" s="122">
        <f t="shared" si="96"/>
        <v>41200</v>
      </c>
      <c r="N720"/>
      <c r="P720" s="35">
        <f t="shared" si="97"/>
        <v>-41200</v>
      </c>
      <c r="Q720" s="66">
        <f t="shared" si="98"/>
        <v>0</v>
      </c>
    </row>
    <row r="721" spans="1:18" hidden="1">
      <c r="A721" s="1" t="s">
        <v>712</v>
      </c>
      <c r="B721" s="1" t="s">
        <v>15</v>
      </c>
      <c r="C721" s="91">
        <v>125571870311</v>
      </c>
      <c r="D721" s="3">
        <v>37120.83</v>
      </c>
      <c r="E721" s="3">
        <v>11680772.369999999</v>
      </c>
      <c r="F721" s="35" t="s">
        <v>2750</v>
      </c>
      <c r="G721"/>
      <c r="H721"/>
      <c r="I721" s="27">
        <f>-IFERROR(VLOOKUP(C721,SIRCUPA!$A$21:$H$155,8,0),0)</f>
        <v>0</v>
      </c>
      <c r="J721" s="88">
        <f>-IFERROR(VLOOKUP(C721,SIRTAC!$A$16:$H$1288,8,0),0)</f>
        <v>-381</v>
      </c>
      <c r="K721" s="88">
        <f>-IFERROR(VLOOKUP(C721,Gastos!$A$9:$J$1281,10,0),0)</f>
        <v>-369.57</v>
      </c>
      <c r="L721" s="87">
        <f>-IFERROR(VLOOKUP(C721,IDC!$A$25:$H$1532,8,0),0)</f>
        <v>-228.6</v>
      </c>
      <c r="M721" s="122">
        <f t="shared" si="96"/>
        <v>38100</v>
      </c>
      <c r="N721"/>
      <c r="P721" s="35">
        <f t="shared" si="97"/>
        <v>-38100</v>
      </c>
      <c r="Q721" s="66">
        <f t="shared" si="98"/>
        <v>0</v>
      </c>
    </row>
    <row r="722" spans="1:18" hidden="1">
      <c r="A722" s="1" t="s">
        <v>712</v>
      </c>
      <c r="B722" s="1" t="s">
        <v>15</v>
      </c>
      <c r="C722" s="91">
        <v>125571861443</v>
      </c>
      <c r="D722" s="3">
        <v>3410.05</v>
      </c>
      <c r="E722" s="3">
        <v>11684182.42</v>
      </c>
      <c r="F722" s="35" t="s">
        <v>2750</v>
      </c>
      <c r="G722"/>
      <c r="H722"/>
      <c r="I722" s="27">
        <f>-IFERROR(VLOOKUP(C722,SIRCUPA!$A$21:$H$155,8,0),0)</f>
        <v>0</v>
      </c>
      <c r="J722" s="88">
        <f>-IFERROR(VLOOKUP(C722,SIRTAC!$A$16:$H$1288,8,0),0)</f>
        <v>-35</v>
      </c>
      <c r="K722" s="88">
        <f>-IFERROR(VLOOKUP(C722,Gastos!$A$9:$J$1281,10,0),0)</f>
        <v>-33.950000000000003</v>
      </c>
      <c r="L722" s="87">
        <f>-IFERROR(VLOOKUP(C722,IDC!$A$25:$H$1532,8,0),0)</f>
        <v>-21</v>
      </c>
      <c r="M722" s="122">
        <f t="shared" si="96"/>
        <v>3500</v>
      </c>
      <c r="N722"/>
      <c r="P722" s="35">
        <f t="shared" si="97"/>
        <v>-3500</v>
      </c>
      <c r="Q722" s="66">
        <f t="shared" si="98"/>
        <v>0</v>
      </c>
    </row>
    <row r="723" spans="1:18" hidden="1">
      <c r="A723" s="1" t="s">
        <v>712</v>
      </c>
      <c r="B723" s="1" t="s">
        <v>15</v>
      </c>
      <c r="C723" s="91">
        <v>125571811845</v>
      </c>
      <c r="D723" s="3">
        <v>3410.05</v>
      </c>
      <c r="E723" s="3">
        <v>11687592.470000001</v>
      </c>
      <c r="F723" s="35" t="s">
        <v>2750</v>
      </c>
      <c r="G723"/>
      <c r="H723"/>
      <c r="I723" s="27">
        <f>-IFERROR(VLOOKUP(C723,SIRCUPA!$A$21:$H$155,8,0),0)</f>
        <v>0</v>
      </c>
      <c r="J723" s="88">
        <f>-IFERROR(VLOOKUP(C723,SIRTAC!$A$16:$H$1288,8,0),0)</f>
        <v>-35</v>
      </c>
      <c r="K723" s="88">
        <f>-IFERROR(VLOOKUP(C723,Gastos!$A$9:$J$1281,10,0),0)</f>
        <v>-33.950000000000003</v>
      </c>
      <c r="L723" s="87">
        <f>-IFERROR(VLOOKUP(C723,IDC!$A$25:$H$1532,8,0),0)</f>
        <v>-21</v>
      </c>
      <c r="M723" s="122">
        <f t="shared" si="96"/>
        <v>3500</v>
      </c>
      <c r="N723"/>
      <c r="P723" s="35">
        <f t="shared" si="97"/>
        <v>-3500</v>
      </c>
      <c r="Q723" s="66">
        <f t="shared" si="98"/>
        <v>0</v>
      </c>
    </row>
    <row r="724" spans="1:18" hidden="1">
      <c r="A724" s="1" t="s">
        <v>712</v>
      </c>
      <c r="B724" s="1" t="s">
        <v>15</v>
      </c>
      <c r="C724" s="91">
        <v>126124056584</v>
      </c>
      <c r="D724" s="3">
        <v>94603.18</v>
      </c>
      <c r="E724" s="3">
        <v>11782195.65</v>
      </c>
      <c r="F724" s="35" t="s">
        <v>2750</v>
      </c>
      <c r="G724"/>
      <c r="H724"/>
      <c r="I724" s="27">
        <f>-IFERROR(VLOOKUP(C724,SIRCUPA!$A$21:$H$155,8,0),0)</f>
        <v>0</v>
      </c>
      <c r="J724" s="88">
        <f>-IFERROR(VLOOKUP(C724,SIRTAC!$A$16:$H$1288,8,0),0)</f>
        <v>-1042</v>
      </c>
      <c r="K724" s="88">
        <f>-IFERROR(VLOOKUP(C724,Gastos!$A$9:$J$1281,10,0),0)</f>
        <v>-7929.62</v>
      </c>
      <c r="L724" s="87">
        <f>-IFERROR(VLOOKUP(C724,IDC!$A$25:$H$1532,8,0),0)</f>
        <v>-625.20000000000005</v>
      </c>
      <c r="M724" s="122">
        <f t="shared" si="96"/>
        <v>104199.99999999999</v>
      </c>
      <c r="N724"/>
      <c r="P724" s="35">
        <f t="shared" si="97"/>
        <v>-104200</v>
      </c>
      <c r="Q724" s="66">
        <f t="shared" si="98"/>
        <v>0</v>
      </c>
    </row>
    <row r="725" spans="1:18" hidden="1">
      <c r="A725" s="59" t="s">
        <v>936</v>
      </c>
      <c r="B725" s="59" t="s">
        <v>49</v>
      </c>
      <c r="C725" s="112">
        <v>126556131568</v>
      </c>
      <c r="D725" s="64">
        <v>-109543.14</v>
      </c>
      <c r="E725" s="3">
        <v>8961018.8800000008</v>
      </c>
      <c r="F725" s="63" t="s">
        <v>2751</v>
      </c>
      <c r="G725" s="65">
        <f>+D725/1.006</f>
        <v>-108889.80119284295</v>
      </c>
      <c r="H725" s="65">
        <f>+D725-G725</f>
        <v>-653.33880715705163</v>
      </c>
      <c r="I725" s="108">
        <f>-IFERROR(VLOOKUP(C725,SIRCUPA!$A$21:$H$155,8,0),0)</f>
        <v>0</v>
      </c>
      <c r="J725" s="108">
        <f>-IFERROR(VLOOKUP(C725,SIRTAC!$A$16:$H$1288,8,0),0)</f>
        <v>0</v>
      </c>
      <c r="K725" s="108">
        <f>-IFERROR(VLOOKUP(C725,Gastos!$A$9:$J$1281,10,0),0)</f>
        <v>0</v>
      </c>
      <c r="L725" s="65"/>
      <c r="M725" s="123">
        <f>+D725</f>
        <v>-109543.14</v>
      </c>
      <c r="N725" s="65"/>
      <c r="O725" s="59"/>
      <c r="Q725" s="3">
        <f>+D725</f>
        <v>-109543.14</v>
      </c>
      <c r="R725" s="66">
        <f t="shared" ref="R725" si="99">+M725-Q725</f>
        <v>0</v>
      </c>
    </row>
    <row r="726" spans="1:18" hidden="1">
      <c r="A726" s="1" t="s">
        <v>810</v>
      </c>
      <c r="B726" s="1" t="s">
        <v>15</v>
      </c>
      <c r="C726" s="91">
        <v>125572517133</v>
      </c>
      <c r="D726" s="3">
        <v>26695.82</v>
      </c>
      <c r="E726" s="3">
        <v>11808891.470000001</v>
      </c>
      <c r="F726" s="35" t="s">
        <v>2750</v>
      </c>
      <c r="G726"/>
      <c r="H726"/>
      <c r="I726" s="27">
        <f>-IFERROR(VLOOKUP(C726,SIRCUPA!$A$21:$H$155,8,0),0)</f>
        <v>0</v>
      </c>
      <c r="J726" s="88">
        <f>-IFERROR(VLOOKUP(C726,SIRTAC!$A$16:$H$1288,8,0),0)</f>
        <v>-274</v>
      </c>
      <c r="K726" s="88">
        <f>-IFERROR(VLOOKUP(C726,Gastos!$A$9:$J$1281,10,0),0)</f>
        <v>-265.77999999999997</v>
      </c>
      <c r="L726" s="87">
        <f>-IFERROR(VLOOKUP(C726,IDC!$A$25:$H$1532,8,0),0)</f>
        <v>-164.4</v>
      </c>
      <c r="M726" s="122">
        <f t="shared" ref="M726:M757" si="100">+D726-I726-J726-K726-L726</f>
        <v>27400</v>
      </c>
      <c r="N726"/>
      <c r="P726" s="35">
        <f t="shared" ref="P726:P789" si="101">+L726/0.006</f>
        <v>-27400</v>
      </c>
      <c r="Q726" s="66">
        <f t="shared" ref="Q726:Q789" si="102">+M726+P726</f>
        <v>0</v>
      </c>
    </row>
    <row r="727" spans="1:18" hidden="1">
      <c r="A727" s="1" t="s">
        <v>810</v>
      </c>
      <c r="B727" s="1" t="s">
        <v>15</v>
      </c>
      <c r="C727" s="91">
        <v>125572639149</v>
      </c>
      <c r="D727" s="3">
        <v>37976.94</v>
      </c>
      <c r="E727" s="3">
        <v>11846868.41</v>
      </c>
      <c r="F727" s="35" t="s">
        <v>2750</v>
      </c>
      <c r="G727"/>
      <c r="H727"/>
      <c r="I727" s="27">
        <f>-IFERROR(VLOOKUP(C727,SIRCUPA!$A$21:$H$155,8,0),0)</f>
        <v>0</v>
      </c>
      <c r="J727" s="88">
        <f>-IFERROR(VLOOKUP(C727,SIRTAC!$A$16:$H$1288,8,0),0)</f>
        <v>-402</v>
      </c>
      <c r="K727" s="88">
        <f>-IFERROR(VLOOKUP(C727,Gastos!$A$9:$J$1281,10,0),0)</f>
        <v>-1579.86</v>
      </c>
      <c r="L727" s="87">
        <f>-IFERROR(VLOOKUP(C727,IDC!$A$25:$H$1532,8,0),0)</f>
        <v>-241.2</v>
      </c>
      <c r="M727" s="122">
        <f t="shared" si="100"/>
        <v>40200</v>
      </c>
      <c r="N727"/>
      <c r="P727" s="35">
        <f t="shared" si="101"/>
        <v>-40200</v>
      </c>
      <c r="Q727" s="66">
        <f t="shared" si="102"/>
        <v>0</v>
      </c>
    </row>
    <row r="728" spans="1:18" hidden="1">
      <c r="A728" s="1" t="s">
        <v>810</v>
      </c>
      <c r="B728" s="1" t="s">
        <v>15</v>
      </c>
      <c r="C728" s="91">
        <v>126124937948</v>
      </c>
      <c r="D728" s="3">
        <v>15199.08</v>
      </c>
      <c r="E728" s="3">
        <v>11862067.49</v>
      </c>
      <c r="F728" s="35" t="s">
        <v>2750</v>
      </c>
      <c r="G728"/>
      <c r="H728"/>
      <c r="I728" s="27">
        <f>-IFERROR(VLOOKUP(C728,SIRCUPA!$A$21:$H$155,8,0),0)</f>
        <v>0</v>
      </c>
      <c r="J728" s="88">
        <f>-IFERROR(VLOOKUP(C728,SIRTAC!$A$16:$H$1288,8,0),0)</f>
        <v>-156</v>
      </c>
      <c r="K728" s="88">
        <f>-IFERROR(VLOOKUP(C728,Gastos!$A$9:$J$1281,10,0),0)</f>
        <v>-151.32</v>
      </c>
      <c r="L728" s="87">
        <f>-IFERROR(VLOOKUP(C728,IDC!$A$25:$H$1532,8,0),0)</f>
        <v>-93.6</v>
      </c>
      <c r="M728" s="122">
        <f t="shared" si="100"/>
        <v>15600</v>
      </c>
      <c r="N728"/>
      <c r="P728" s="35">
        <f t="shared" si="101"/>
        <v>-15599.999999999998</v>
      </c>
      <c r="Q728" s="66">
        <f t="shared" si="102"/>
        <v>0</v>
      </c>
    </row>
    <row r="729" spans="1:18" hidden="1">
      <c r="A729" s="1" t="s">
        <v>810</v>
      </c>
      <c r="B729" s="1" t="s">
        <v>15</v>
      </c>
      <c r="C729" s="91">
        <v>126125328454</v>
      </c>
      <c r="D729" s="3">
        <v>31080.17</v>
      </c>
      <c r="E729" s="3">
        <v>11893147.66</v>
      </c>
      <c r="F729" s="35" t="s">
        <v>2750</v>
      </c>
      <c r="G729"/>
      <c r="H729"/>
      <c r="I729" s="27">
        <f>-IFERROR(VLOOKUP(C729,SIRCUPA!$A$21:$H$155,8,0),0)</f>
        <v>0</v>
      </c>
      <c r="J729" s="88">
        <f>-IFERROR(VLOOKUP(C729,SIRTAC!$A$16:$H$1288,8,0),0)</f>
        <v>-319</v>
      </c>
      <c r="K729" s="88">
        <f>-IFERROR(VLOOKUP(C729,Gastos!$A$9:$J$1281,10,0),0)</f>
        <v>-309.43</v>
      </c>
      <c r="L729" s="87">
        <f>-IFERROR(VLOOKUP(C729,IDC!$A$25:$H$1532,8,0),0)</f>
        <v>-191.4</v>
      </c>
      <c r="M729" s="122">
        <f t="shared" si="100"/>
        <v>31900</v>
      </c>
      <c r="N729"/>
      <c r="P729" s="35">
        <f t="shared" si="101"/>
        <v>-31900</v>
      </c>
      <c r="Q729" s="66">
        <f t="shared" si="102"/>
        <v>0</v>
      </c>
    </row>
    <row r="730" spans="1:18" hidden="1">
      <c r="A730" s="1" t="s">
        <v>810</v>
      </c>
      <c r="B730" s="1" t="s">
        <v>15</v>
      </c>
      <c r="C730" s="91">
        <v>125573390505</v>
      </c>
      <c r="D730" s="3">
        <v>54755.66</v>
      </c>
      <c r="E730" s="3">
        <v>11947903.32</v>
      </c>
      <c r="F730" s="35" t="s">
        <v>2750</v>
      </c>
      <c r="G730"/>
      <c r="H730"/>
      <c r="I730" s="27">
        <f>-IFERROR(VLOOKUP(C730,SIRCUPA!$A$21:$H$155,8,0),0)</f>
        <v>0</v>
      </c>
      <c r="J730" s="88">
        <f>-IFERROR(VLOOKUP(C730,SIRTAC!$A$16:$H$1288,8,0),0)</f>
        <v>-562</v>
      </c>
      <c r="K730" s="88">
        <f>-IFERROR(VLOOKUP(C730,Gastos!$A$9:$J$1281,10,0),0)</f>
        <v>-545.14</v>
      </c>
      <c r="L730" s="87">
        <f>-IFERROR(VLOOKUP(C730,IDC!$A$25:$H$1532,8,0),0)</f>
        <v>-337.2</v>
      </c>
      <c r="M730" s="122">
        <f t="shared" si="100"/>
        <v>56200</v>
      </c>
      <c r="N730"/>
      <c r="P730" s="35">
        <f t="shared" si="101"/>
        <v>-56200</v>
      </c>
      <c r="Q730" s="66">
        <f t="shared" si="102"/>
        <v>0</v>
      </c>
    </row>
    <row r="731" spans="1:18" hidden="1">
      <c r="A731" s="1" t="s">
        <v>810</v>
      </c>
      <c r="B731" s="1" t="s">
        <v>816</v>
      </c>
      <c r="C731" s="91">
        <v>126125321516</v>
      </c>
      <c r="D731" s="3">
        <v>2750.99</v>
      </c>
      <c r="E731" s="3">
        <v>11950654.310000001</v>
      </c>
      <c r="F731" s="2" t="s">
        <v>2750</v>
      </c>
      <c r="G731"/>
      <c r="H731"/>
      <c r="I731" s="27">
        <f>-IFERROR(VLOOKUP(C731,SIRCUPA!$A$21:$H$155,8,0),0)</f>
        <v>-42.15</v>
      </c>
      <c r="J731" s="88">
        <f>-IFERROR(VLOOKUP(C731,SIRTAC!$A$16:$H$1288,8,0),0)</f>
        <v>0</v>
      </c>
      <c r="K731" s="88">
        <f>-IFERROR(VLOOKUP(C731,Gastos!$A$9:$J$1281,10,0),0)</f>
        <v>0</v>
      </c>
      <c r="L731" s="87">
        <f>-IFERROR(VLOOKUP(C731,IDC!$A$25:$H$1532,8,0),0)</f>
        <v>-16.86</v>
      </c>
      <c r="M731" s="122">
        <f t="shared" si="100"/>
        <v>2810</v>
      </c>
      <c r="N731"/>
      <c r="P731" s="35">
        <f t="shared" si="101"/>
        <v>-2810</v>
      </c>
      <c r="Q731" s="66">
        <f t="shared" si="102"/>
        <v>0</v>
      </c>
    </row>
    <row r="732" spans="1:18" hidden="1">
      <c r="A732" s="1" t="s">
        <v>810</v>
      </c>
      <c r="B732" s="1" t="s">
        <v>15</v>
      </c>
      <c r="C732" s="91">
        <v>126125616248</v>
      </c>
      <c r="D732" s="3">
        <v>2143.46</v>
      </c>
      <c r="E732" s="3">
        <v>11952797.77</v>
      </c>
      <c r="F732" s="35" t="s">
        <v>2750</v>
      </c>
      <c r="G732"/>
      <c r="H732"/>
      <c r="I732" s="27">
        <f>-IFERROR(VLOOKUP(C732,SIRCUPA!$A$21:$H$155,8,0),0)</f>
        <v>0</v>
      </c>
      <c r="J732" s="88">
        <f>-IFERROR(VLOOKUP(C732,SIRTAC!$A$16:$H$1288,8,0),0)</f>
        <v>-22</v>
      </c>
      <c r="K732" s="88">
        <f>-IFERROR(VLOOKUP(C732,Gastos!$A$9:$J$1281,10,0),0)</f>
        <v>-21.34</v>
      </c>
      <c r="L732" s="87">
        <f>-IFERROR(VLOOKUP(C732,IDC!$A$25:$H$1532,8,0),0)</f>
        <v>-13.2</v>
      </c>
      <c r="M732" s="122">
        <f t="shared" si="100"/>
        <v>2200</v>
      </c>
      <c r="N732"/>
      <c r="P732" s="35">
        <f t="shared" si="101"/>
        <v>-2200</v>
      </c>
      <c r="Q732" s="66">
        <f t="shared" si="102"/>
        <v>0</v>
      </c>
    </row>
    <row r="733" spans="1:18" hidden="1">
      <c r="A733" s="1" t="s">
        <v>810</v>
      </c>
      <c r="B733" s="1" t="s">
        <v>15</v>
      </c>
      <c r="C733" s="91">
        <v>126125649050</v>
      </c>
      <c r="D733" s="3">
        <v>65656.649999999994</v>
      </c>
      <c r="E733" s="3">
        <v>12018454.42</v>
      </c>
      <c r="F733" s="35" t="s">
        <v>2750</v>
      </c>
      <c r="G733"/>
      <c r="H733"/>
      <c r="I733" s="27">
        <f>-IFERROR(VLOOKUP(C733,SIRCUPA!$A$21:$H$155,8,0),0)</f>
        <v>0</v>
      </c>
      <c r="J733" s="88">
        <f>-IFERROR(VLOOKUP(C733,SIRTAC!$A$16:$H$1288,8,0),0)</f>
        <v>-695</v>
      </c>
      <c r="K733" s="88">
        <f>-IFERROR(VLOOKUP(C733,Gastos!$A$9:$J$1281,10,0),0)</f>
        <v>-2731.35</v>
      </c>
      <c r="L733" s="87">
        <f>-IFERROR(VLOOKUP(C733,IDC!$A$25:$H$1532,8,0),0)</f>
        <v>-417</v>
      </c>
      <c r="M733" s="122">
        <f t="shared" si="100"/>
        <v>69500</v>
      </c>
      <c r="N733"/>
      <c r="P733" s="35">
        <f t="shared" si="101"/>
        <v>-69500</v>
      </c>
      <c r="Q733" s="66">
        <f t="shared" si="102"/>
        <v>0</v>
      </c>
    </row>
    <row r="734" spans="1:18" hidden="1">
      <c r="A734" s="1" t="s">
        <v>810</v>
      </c>
      <c r="B734" s="1" t="s">
        <v>15</v>
      </c>
      <c r="C734" s="91">
        <v>125573766089</v>
      </c>
      <c r="D734" s="3">
        <v>6476.34</v>
      </c>
      <c r="E734" s="3">
        <v>12024930.76</v>
      </c>
      <c r="F734" s="35" t="s">
        <v>2750</v>
      </c>
      <c r="G734"/>
      <c r="H734"/>
      <c r="I734" s="27">
        <f>-IFERROR(VLOOKUP(C734,SIRCUPA!$A$21:$H$155,8,0),0)</f>
        <v>0</v>
      </c>
      <c r="J734" s="88">
        <f>-IFERROR(VLOOKUP(C734,SIRTAC!$A$16:$H$1288,8,0),0)</f>
        <v>-69</v>
      </c>
      <c r="K734" s="88">
        <f>-IFERROR(VLOOKUP(C734,Gastos!$A$9:$J$1281,10,0),0)</f>
        <v>-313.26</v>
      </c>
      <c r="L734" s="87">
        <f>-IFERROR(VLOOKUP(C734,IDC!$A$25:$H$1532,8,0),0)</f>
        <v>-41.4</v>
      </c>
      <c r="M734" s="122">
        <f t="shared" si="100"/>
        <v>6900</v>
      </c>
      <c r="N734"/>
      <c r="P734" s="35">
        <f t="shared" si="101"/>
        <v>-6900</v>
      </c>
      <c r="Q734" s="66">
        <f t="shared" si="102"/>
        <v>0</v>
      </c>
    </row>
    <row r="735" spans="1:18" hidden="1">
      <c r="A735" s="1" t="s">
        <v>810</v>
      </c>
      <c r="B735" s="1" t="s">
        <v>15</v>
      </c>
      <c r="C735" s="91">
        <v>126125844426</v>
      </c>
      <c r="D735" s="3">
        <v>87006.87</v>
      </c>
      <c r="E735" s="3">
        <v>12111937.630000001</v>
      </c>
      <c r="F735" s="35" t="s">
        <v>2750</v>
      </c>
      <c r="G735"/>
      <c r="H735"/>
      <c r="I735" s="27">
        <f>-IFERROR(VLOOKUP(C735,SIRCUPA!$A$21:$H$155,8,0),0)</f>
        <v>0</v>
      </c>
      <c r="J735" s="88">
        <f>-IFERROR(VLOOKUP(C735,SIRTAC!$A$16:$H$1288,8,0),0)</f>
        <v>-921</v>
      </c>
      <c r="K735" s="88">
        <f>-IFERROR(VLOOKUP(C735,Gastos!$A$9:$J$1281,10,0),0)</f>
        <v>-3619.53</v>
      </c>
      <c r="L735" s="87">
        <f>-IFERROR(VLOOKUP(C735,IDC!$A$25:$H$1532,8,0),0)</f>
        <v>-552.6</v>
      </c>
      <c r="M735" s="122">
        <f t="shared" si="100"/>
        <v>92100</v>
      </c>
      <c r="N735"/>
      <c r="P735" s="35">
        <f t="shared" si="101"/>
        <v>-92100</v>
      </c>
      <c r="Q735" s="66">
        <f t="shared" si="102"/>
        <v>0</v>
      </c>
    </row>
    <row r="736" spans="1:18" hidden="1">
      <c r="A736" s="1" t="s">
        <v>810</v>
      </c>
      <c r="B736" s="1" t="s">
        <v>15</v>
      </c>
      <c r="C736" s="91">
        <v>126125865338</v>
      </c>
      <c r="D736" s="3">
        <v>34670.49</v>
      </c>
      <c r="E736" s="3">
        <v>12146608.119999999</v>
      </c>
      <c r="F736" s="35" t="s">
        <v>2750</v>
      </c>
      <c r="G736"/>
      <c r="H736"/>
      <c r="I736" s="27">
        <f>-IFERROR(VLOOKUP(C736,SIRCUPA!$A$21:$H$155,8,0),0)</f>
        <v>0</v>
      </c>
      <c r="J736" s="88">
        <f>-IFERROR(VLOOKUP(C736,SIRTAC!$A$16:$H$1288,8,0),0)</f>
        <v>-367</v>
      </c>
      <c r="K736" s="88">
        <f>-IFERROR(VLOOKUP(C736,Gastos!$A$9:$J$1281,10,0),0)</f>
        <v>-1442.31</v>
      </c>
      <c r="L736" s="87">
        <f>-IFERROR(VLOOKUP(C736,IDC!$A$25:$H$1532,8,0),0)</f>
        <v>-220.2</v>
      </c>
      <c r="M736" s="122">
        <f t="shared" si="100"/>
        <v>36699.999999999993</v>
      </c>
      <c r="N736"/>
      <c r="P736" s="35">
        <f t="shared" si="101"/>
        <v>-36700</v>
      </c>
      <c r="Q736" s="66">
        <f t="shared" si="102"/>
        <v>0</v>
      </c>
    </row>
    <row r="737" spans="1:17" hidden="1">
      <c r="A737" s="1" t="s">
        <v>810</v>
      </c>
      <c r="B737" s="1" t="s">
        <v>15</v>
      </c>
      <c r="C737" s="91">
        <v>126126003700</v>
      </c>
      <c r="D737" s="3">
        <v>54073.65</v>
      </c>
      <c r="E737" s="3">
        <v>12200681.77</v>
      </c>
      <c r="F737" s="35" t="s">
        <v>2750</v>
      </c>
      <c r="G737"/>
      <c r="H737"/>
      <c r="I737" s="27">
        <f>-IFERROR(VLOOKUP(C737,SIRCUPA!$A$21:$H$155,8,0),0)</f>
        <v>0</v>
      </c>
      <c r="J737" s="88">
        <f>-IFERROR(VLOOKUP(C737,SIRTAC!$A$16:$H$1288,8,0),0)</f>
        <v>-555</v>
      </c>
      <c r="K737" s="88">
        <f>-IFERROR(VLOOKUP(C737,Gastos!$A$9:$J$1281,10,0),0)</f>
        <v>-538.35</v>
      </c>
      <c r="L737" s="87">
        <f>-IFERROR(VLOOKUP(C737,IDC!$A$25:$H$1532,8,0),0)</f>
        <v>-333</v>
      </c>
      <c r="M737" s="122">
        <f t="shared" si="100"/>
        <v>55500</v>
      </c>
      <c r="N737"/>
      <c r="P737" s="35">
        <f t="shared" si="101"/>
        <v>-55500</v>
      </c>
      <c r="Q737" s="66">
        <f t="shared" si="102"/>
        <v>0</v>
      </c>
    </row>
    <row r="738" spans="1:17" hidden="1">
      <c r="A738" s="1" t="s">
        <v>810</v>
      </c>
      <c r="B738" s="1" t="s">
        <v>15</v>
      </c>
      <c r="C738" s="91">
        <v>125574552839</v>
      </c>
      <c r="D738" s="3">
        <v>49397.01</v>
      </c>
      <c r="E738" s="3">
        <v>12250078.779999999</v>
      </c>
      <c r="F738" s="35" t="s">
        <v>2750</v>
      </c>
      <c r="G738"/>
      <c r="H738"/>
      <c r="I738" s="27">
        <f>-IFERROR(VLOOKUP(C738,SIRCUPA!$A$21:$H$155,8,0),0)</f>
        <v>0</v>
      </c>
      <c r="J738" s="88">
        <f>-IFERROR(VLOOKUP(C738,SIRTAC!$A$16:$H$1288,8,0),0)</f>
        <v>-507</v>
      </c>
      <c r="K738" s="88">
        <f>-IFERROR(VLOOKUP(C738,Gastos!$A$9:$J$1281,10,0),0)</f>
        <v>-491.79</v>
      </c>
      <c r="L738" s="87">
        <f>-IFERROR(VLOOKUP(C738,IDC!$A$25:$H$1532,8,0),0)</f>
        <v>-304.2</v>
      </c>
      <c r="M738" s="122">
        <f t="shared" si="100"/>
        <v>50700</v>
      </c>
      <c r="N738"/>
      <c r="P738" s="35">
        <f t="shared" si="101"/>
        <v>-50700</v>
      </c>
      <c r="Q738" s="66">
        <f t="shared" si="102"/>
        <v>0</v>
      </c>
    </row>
    <row r="739" spans="1:17" hidden="1">
      <c r="A739" s="1" t="s">
        <v>810</v>
      </c>
      <c r="B739" s="1" t="s">
        <v>825</v>
      </c>
      <c r="C739" s="91">
        <v>126126266778</v>
      </c>
      <c r="D739" s="3">
        <v>4963.53</v>
      </c>
      <c r="E739" s="3">
        <v>12255042.310000001</v>
      </c>
      <c r="F739" s="2" t="s">
        <v>2750</v>
      </c>
      <c r="G739"/>
      <c r="H739"/>
      <c r="I739" s="27">
        <f>-IFERROR(VLOOKUP(C739,SIRCUPA!$A$21:$H$155,8,0),0)</f>
        <v>-76.05</v>
      </c>
      <c r="J739" s="88">
        <f>-IFERROR(VLOOKUP(C739,SIRTAC!$A$16:$H$1288,8,0),0)</f>
        <v>0</v>
      </c>
      <c r="K739" s="88">
        <f>-IFERROR(VLOOKUP(C739,Gastos!$A$9:$J$1281,10,0),0)</f>
        <v>0</v>
      </c>
      <c r="L739" s="87">
        <f>-IFERROR(VLOOKUP(C739,IDC!$A$25:$H$1532,8,0),0)</f>
        <v>-30.42</v>
      </c>
      <c r="M739" s="122">
        <f t="shared" si="100"/>
        <v>5070</v>
      </c>
      <c r="N739"/>
      <c r="P739" s="35">
        <f t="shared" si="101"/>
        <v>-5070</v>
      </c>
      <c r="Q739" s="66">
        <f t="shared" si="102"/>
        <v>0</v>
      </c>
    </row>
    <row r="740" spans="1:17" hidden="1">
      <c r="A740" s="1" t="s">
        <v>810</v>
      </c>
      <c r="B740" s="1" t="s">
        <v>15</v>
      </c>
      <c r="C740" s="91">
        <v>126126279136</v>
      </c>
      <c r="D740" s="3">
        <v>43746.07</v>
      </c>
      <c r="E740" s="3">
        <v>12298788.380000001</v>
      </c>
      <c r="F740" s="35" t="s">
        <v>2750</v>
      </c>
      <c r="G740"/>
      <c r="H740"/>
      <c r="I740" s="27">
        <f>-IFERROR(VLOOKUP(C740,SIRCUPA!$A$21:$H$155,8,0),0)</f>
        <v>0</v>
      </c>
      <c r="J740" s="88">
        <f>-IFERROR(VLOOKUP(C740,SIRTAC!$A$16:$H$1288,8,0),0)</f>
        <v>-449</v>
      </c>
      <c r="K740" s="88">
        <f>-IFERROR(VLOOKUP(C740,Gastos!$A$9:$J$1281,10,0),0)</f>
        <v>-435.53</v>
      </c>
      <c r="L740" s="87">
        <f>-IFERROR(VLOOKUP(C740,IDC!$A$25:$H$1532,8,0),0)</f>
        <v>-269.39999999999998</v>
      </c>
      <c r="M740" s="122">
        <f t="shared" si="100"/>
        <v>44900</v>
      </c>
      <c r="N740"/>
      <c r="P740" s="35">
        <f t="shared" si="101"/>
        <v>-44899.999999999993</v>
      </c>
      <c r="Q740" s="66">
        <f t="shared" si="102"/>
        <v>0</v>
      </c>
    </row>
    <row r="741" spans="1:17" hidden="1">
      <c r="A741" s="1" t="s">
        <v>810</v>
      </c>
      <c r="B741" s="1" t="s">
        <v>15</v>
      </c>
      <c r="C741" s="91">
        <v>125575047745</v>
      </c>
      <c r="D741" s="3">
        <v>47801.82</v>
      </c>
      <c r="E741" s="3">
        <v>12346590.199999999</v>
      </c>
      <c r="F741" s="35" t="s">
        <v>2750</v>
      </c>
      <c r="G741"/>
      <c r="H741"/>
      <c r="I741" s="27">
        <f>-IFERROR(VLOOKUP(C741,SIRCUPA!$A$21:$H$155,8,0),0)</f>
        <v>0</v>
      </c>
      <c r="J741" s="88">
        <f>-IFERROR(VLOOKUP(C741,SIRTAC!$A$16:$H$1288,8,0),0)</f>
        <v>-506</v>
      </c>
      <c r="K741" s="88">
        <f>-IFERROR(VLOOKUP(C741,Gastos!$A$9:$J$1281,10,0),0)</f>
        <v>-1988.58</v>
      </c>
      <c r="L741" s="87">
        <f>-IFERROR(VLOOKUP(C741,IDC!$A$25:$H$1532,8,0),0)</f>
        <v>-303.60000000000002</v>
      </c>
      <c r="M741" s="122">
        <f t="shared" si="100"/>
        <v>50600</v>
      </c>
      <c r="N741"/>
      <c r="P741" s="35">
        <f t="shared" si="101"/>
        <v>-50600</v>
      </c>
      <c r="Q741" s="66">
        <f t="shared" si="102"/>
        <v>0</v>
      </c>
    </row>
    <row r="742" spans="1:17" hidden="1">
      <c r="A742" s="1" t="s">
        <v>810</v>
      </c>
      <c r="B742" s="1" t="s">
        <v>15</v>
      </c>
      <c r="C742" s="91">
        <v>126127444242</v>
      </c>
      <c r="D742" s="3">
        <v>34009.199999999997</v>
      </c>
      <c r="E742" s="3">
        <v>12380599.4</v>
      </c>
      <c r="F742" s="35" t="s">
        <v>2750</v>
      </c>
      <c r="G742"/>
      <c r="H742"/>
      <c r="I742" s="27">
        <f>-IFERROR(VLOOKUP(C742,SIRCUPA!$A$21:$H$155,8,0),0)</f>
        <v>0</v>
      </c>
      <c r="J742" s="88">
        <f>-IFERROR(VLOOKUP(C742,SIRTAC!$A$16:$H$1288,8,0),0)</f>
        <v>-360</v>
      </c>
      <c r="K742" s="88">
        <f>-IFERROR(VLOOKUP(C742,Gastos!$A$9:$J$1281,10,0),0)</f>
        <v>-1414.8</v>
      </c>
      <c r="L742" s="87">
        <f>-IFERROR(VLOOKUP(C742,IDC!$A$25:$H$1532,8,0),0)</f>
        <v>-216</v>
      </c>
      <c r="M742" s="122">
        <f t="shared" si="100"/>
        <v>36000</v>
      </c>
      <c r="N742"/>
      <c r="P742" s="35">
        <f t="shared" si="101"/>
        <v>-36000</v>
      </c>
      <c r="Q742" s="66">
        <f t="shared" si="102"/>
        <v>0</v>
      </c>
    </row>
    <row r="743" spans="1:17" hidden="1">
      <c r="A743" s="1" t="s">
        <v>810</v>
      </c>
      <c r="B743" s="1" t="s">
        <v>15</v>
      </c>
      <c r="C743" s="91">
        <v>125575646461</v>
      </c>
      <c r="D743" s="3">
        <v>64888.38</v>
      </c>
      <c r="E743" s="3">
        <v>12445487.779999999</v>
      </c>
      <c r="F743" s="35" t="s">
        <v>2750</v>
      </c>
      <c r="G743"/>
      <c r="H743"/>
      <c r="I743" s="27">
        <f>-IFERROR(VLOOKUP(C743,SIRCUPA!$A$21:$H$155,8,0),0)</f>
        <v>0</v>
      </c>
      <c r="J743" s="88">
        <f>-IFERROR(VLOOKUP(C743,SIRTAC!$A$16:$H$1288,8,0),0)</f>
        <v>-666</v>
      </c>
      <c r="K743" s="88">
        <f>-IFERROR(VLOOKUP(C743,Gastos!$A$9:$J$1281,10,0),0)</f>
        <v>-646.02</v>
      </c>
      <c r="L743" s="87">
        <f>-IFERROR(VLOOKUP(C743,IDC!$A$25:$H$1532,8,0),0)</f>
        <v>-399.6</v>
      </c>
      <c r="M743" s="122">
        <f t="shared" si="100"/>
        <v>66600.000000000015</v>
      </c>
      <c r="N743"/>
      <c r="P743" s="35">
        <f t="shared" si="101"/>
        <v>-66600</v>
      </c>
      <c r="Q743" s="66">
        <f t="shared" si="102"/>
        <v>0</v>
      </c>
    </row>
    <row r="744" spans="1:17" hidden="1">
      <c r="A744" s="1" t="s">
        <v>810</v>
      </c>
      <c r="B744" s="1" t="s">
        <v>15</v>
      </c>
      <c r="C744" s="91">
        <v>126127972920</v>
      </c>
      <c r="D744" s="3">
        <v>8768.7000000000007</v>
      </c>
      <c r="E744" s="3">
        <v>12454256.48</v>
      </c>
      <c r="F744" s="35" t="s">
        <v>2750</v>
      </c>
      <c r="G744"/>
      <c r="H744"/>
      <c r="I744" s="27">
        <f>-IFERROR(VLOOKUP(C744,SIRCUPA!$A$21:$H$155,8,0),0)</f>
        <v>0</v>
      </c>
      <c r="J744" s="88">
        <f>-IFERROR(VLOOKUP(C744,SIRTAC!$A$16:$H$1288,8,0),0)</f>
        <v>-90</v>
      </c>
      <c r="K744" s="88">
        <f>-IFERROR(VLOOKUP(C744,Gastos!$A$9:$J$1281,10,0),0)</f>
        <v>-87.3</v>
      </c>
      <c r="L744" s="87">
        <f>-IFERROR(VLOOKUP(C744,IDC!$A$25:$H$1532,8,0),0)</f>
        <v>-54</v>
      </c>
      <c r="M744" s="122">
        <f t="shared" si="100"/>
        <v>9000</v>
      </c>
      <c r="N744"/>
      <c r="P744" s="35">
        <f t="shared" si="101"/>
        <v>-9000</v>
      </c>
      <c r="Q744" s="66">
        <f t="shared" si="102"/>
        <v>0</v>
      </c>
    </row>
    <row r="745" spans="1:17" hidden="1">
      <c r="A745" s="1" t="s">
        <v>810</v>
      </c>
      <c r="B745" s="1" t="s">
        <v>15</v>
      </c>
      <c r="C745" s="91">
        <v>125575777739</v>
      </c>
      <c r="D745" s="3">
        <v>17571.419999999998</v>
      </c>
      <c r="E745" s="3">
        <v>12471827.9</v>
      </c>
      <c r="F745" s="35" t="s">
        <v>2750</v>
      </c>
      <c r="G745"/>
      <c r="H745"/>
      <c r="I745" s="27">
        <f>-IFERROR(VLOOKUP(C745,SIRCUPA!$A$21:$H$155,8,0),0)</f>
        <v>0</v>
      </c>
      <c r="J745" s="88">
        <f>-IFERROR(VLOOKUP(C745,SIRTAC!$A$16:$H$1288,8,0),0)</f>
        <v>-186</v>
      </c>
      <c r="K745" s="88">
        <f>-IFERROR(VLOOKUP(C745,Gastos!$A$9:$J$1281,10,0),0)</f>
        <v>-730.98</v>
      </c>
      <c r="L745" s="87">
        <f>-IFERROR(VLOOKUP(C745,IDC!$A$25:$H$1532,8,0),0)</f>
        <v>-111.6</v>
      </c>
      <c r="M745" s="122">
        <f t="shared" si="100"/>
        <v>18599.999999999996</v>
      </c>
      <c r="N745"/>
      <c r="P745" s="35">
        <f t="shared" si="101"/>
        <v>-18600</v>
      </c>
      <c r="Q745" s="66">
        <f t="shared" si="102"/>
        <v>0</v>
      </c>
    </row>
    <row r="746" spans="1:17" hidden="1">
      <c r="A746" s="1" t="s">
        <v>810</v>
      </c>
      <c r="B746" s="1" t="s">
        <v>15</v>
      </c>
      <c r="C746" s="91">
        <v>126128300134</v>
      </c>
      <c r="D746" s="3">
        <v>35142.839999999997</v>
      </c>
      <c r="E746" s="3">
        <v>12506970.74</v>
      </c>
      <c r="F746" s="35" t="s">
        <v>2750</v>
      </c>
      <c r="G746"/>
      <c r="H746"/>
      <c r="I746" s="27">
        <f>-IFERROR(VLOOKUP(C746,SIRCUPA!$A$21:$H$155,8,0),0)</f>
        <v>0</v>
      </c>
      <c r="J746" s="88">
        <f>-IFERROR(VLOOKUP(C746,SIRTAC!$A$16:$H$1288,8,0),0)</f>
        <v>-372</v>
      </c>
      <c r="K746" s="88">
        <f>-IFERROR(VLOOKUP(C746,Gastos!$A$9:$J$1281,10,0),0)</f>
        <v>-1461.96</v>
      </c>
      <c r="L746" s="87">
        <f>-IFERROR(VLOOKUP(C746,IDC!$A$25:$H$1532,8,0),0)</f>
        <v>-223.2</v>
      </c>
      <c r="M746" s="122">
        <f t="shared" si="100"/>
        <v>37199.999999999993</v>
      </c>
      <c r="N746"/>
      <c r="P746" s="35">
        <f t="shared" si="101"/>
        <v>-37200</v>
      </c>
      <c r="Q746" s="66">
        <f t="shared" si="102"/>
        <v>0</v>
      </c>
    </row>
    <row r="747" spans="1:17" hidden="1">
      <c r="A747" s="1" t="s">
        <v>810</v>
      </c>
      <c r="B747" s="1" t="s">
        <v>15</v>
      </c>
      <c r="C747" s="91">
        <v>126128476864</v>
      </c>
      <c r="D747" s="3">
        <v>118085.16</v>
      </c>
      <c r="E747" s="3">
        <v>12625055.9</v>
      </c>
      <c r="F747" s="35" t="s">
        <v>2750</v>
      </c>
      <c r="G747"/>
      <c r="H747"/>
      <c r="I747" s="27">
        <f>-IFERROR(VLOOKUP(C747,SIRCUPA!$A$21:$H$155,8,0),0)</f>
        <v>0</v>
      </c>
      <c r="J747" s="88">
        <f>-IFERROR(VLOOKUP(C747,SIRTAC!$A$16:$H$1288,8,0),0)</f>
        <v>-1212</v>
      </c>
      <c r="K747" s="88">
        <f>-IFERROR(VLOOKUP(C747,Gastos!$A$9:$J$1281,10,0),0)</f>
        <v>-1175.6400000000001</v>
      </c>
      <c r="L747" s="87">
        <f>-IFERROR(VLOOKUP(C747,IDC!$A$25:$H$1532,8,0),0)</f>
        <v>-727.2</v>
      </c>
      <c r="M747" s="122">
        <f t="shared" si="100"/>
        <v>121200</v>
      </c>
      <c r="N747"/>
      <c r="P747" s="35">
        <f t="shared" si="101"/>
        <v>-121200</v>
      </c>
      <c r="Q747" s="66">
        <f t="shared" si="102"/>
        <v>0</v>
      </c>
    </row>
    <row r="748" spans="1:17" hidden="1">
      <c r="A748" s="1" t="s">
        <v>810</v>
      </c>
      <c r="B748" s="1" t="s">
        <v>15</v>
      </c>
      <c r="C748" s="91">
        <v>126128502728</v>
      </c>
      <c r="D748" s="3">
        <v>16800.939999999999</v>
      </c>
      <c r="E748" s="3">
        <v>12641856.84</v>
      </c>
      <c r="F748" s="35" t="s">
        <v>2750</v>
      </c>
      <c r="G748"/>
      <c r="H748"/>
      <c r="I748" s="27">
        <f>-IFERROR(VLOOKUP(C748,SIRCUPA!$A$21:$H$155,8,0),0)</f>
        <v>0</v>
      </c>
      <c r="J748" s="88">
        <f>-IFERROR(VLOOKUP(C748,SIRTAC!$A$16:$H$1288,8,0),0)</f>
        <v>-179</v>
      </c>
      <c r="K748" s="88">
        <f>-IFERROR(VLOOKUP(C748,Gastos!$A$9:$J$1281,10,0),0)</f>
        <v>-812.66</v>
      </c>
      <c r="L748" s="87">
        <f>-IFERROR(VLOOKUP(C748,IDC!$A$25:$H$1532,8,0),0)</f>
        <v>-107.4</v>
      </c>
      <c r="M748" s="122">
        <f t="shared" si="100"/>
        <v>17900</v>
      </c>
      <c r="N748"/>
      <c r="P748" s="35">
        <f t="shared" si="101"/>
        <v>-17900</v>
      </c>
      <c r="Q748" s="66">
        <f t="shared" si="102"/>
        <v>0</v>
      </c>
    </row>
    <row r="749" spans="1:17" hidden="1">
      <c r="A749" s="1" t="s">
        <v>810</v>
      </c>
      <c r="B749" s="1" t="s">
        <v>15</v>
      </c>
      <c r="C749" s="91">
        <v>125576351683</v>
      </c>
      <c r="D749" s="3">
        <v>38582.28</v>
      </c>
      <c r="E749" s="3">
        <v>12680439.119999999</v>
      </c>
      <c r="F749" s="35" t="s">
        <v>2750</v>
      </c>
      <c r="G749"/>
      <c r="H749"/>
      <c r="I749" s="27">
        <f>-IFERROR(VLOOKUP(C749,SIRCUPA!$A$21:$H$155,8,0),0)</f>
        <v>0</v>
      </c>
      <c r="J749" s="88">
        <f>-IFERROR(VLOOKUP(C749,SIRTAC!$A$16:$H$1288,8,0),0)</f>
        <v>-396</v>
      </c>
      <c r="K749" s="88">
        <f>-IFERROR(VLOOKUP(C749,Gastos!$A$9:$J$1281,10,0),0)</f>
        <v>-384.12</v>
      </c>
      <c r="L749" s="87">
        <f>-IFERROR(VLOOKUP(C749,IDC!$A$25:$H$1532,8,0),0)</f>
        <v>-237.6</v>
      </c>
      <c r="M749" s="122">
        <f t="shared" si="100"/>
        <v>39600</v>
      </c>
      <c r="N749"/>
      <c r="P749" s="35">
        <f t="shared" si="101"/>
        <v>-39600</v>
      </c>
      <c r="Q749" s="66">
        <f t="shared" si="102"/>
        <v>0</v>
      </c>
    </row>
    <row r="750" spans="1:17" hidden="1">
      <c r="A750" s="1" t="s">
        <v>810</v>
      </c>
      <c r="B750" s="1" t="s">
        <v>837</v>
      </c>
      <c r="C750" s="91">
        <v>125576459167</v>
      </c>
      <c r="D750" s="3">
        <v>3876.84</v>
      </c>
      <c r="E750" s="3">
        <v>12684315.960000001</v>
      </c>
      <c r="F750" s="2" t="s">
        <v>2750</v>
      </c>
      <c r="G750"/>
      <c r="H750"/>
      <c r="I750" s="27">
        <f>-IFERROR(VLOOKUP(C750,SIRCUPA!$A$21:$H$155,8,0),0)</f>
        <v>-59.4</v>
      </c>
      <c r="J750" s="88">
        <f>-IFERROR(VLOOKUP(C750,SIRTAC!$A$16:$H$1288,8,0),0)</f>
        <v>0</v>
      </c>
      <c r="K750" s="88">
        <f>-IFERROR(VLOOKUP(C750,Gastos!$A$9:$J$1281,10,0),0)</f>
        <v>0</v>
      </c>
      <c r="L750" s="87">
        <f>-IFERROR(VLOOKUP(C750,IDC!$A$25:$H$1532,8,0),0)</f>
        <v>-23.76</v>
      </c>
      <c r="M750" s="122">
        <f t="shared" si="100"/>
        <v>3960.0000000000005</v>
      </c>
      <c r="N750"/>
      <c r="P750" s="35">
        <f t="shared" si="101"/>
        <v>-3960</v>
      </c>
      <c r="Q750" s="66">
        <f t="shared" si="102"/>
        <v>0</v>
      </c>
    </row>
    <row r="751" spans="1:17" hidden="1">
      <c r="A751" s="1" t="s">
        <v>810</v>
      </c>
      <c r="B751" s="1" t="s">
        <v>15</v>
      </c>
      <c r="C751" s="91">
        <v>125576738331</v>
      </c>
      <c r="D751" s="3">
        <v>65005.64</v>
      </c>
      <c r="E751" s="3">
        <v>12749321.6</v>
      </c>
      <c r="F751" s="35" t="s">
        <v>2750</v>
      </c>
      <c r="G751"/>
      <c r="H751"/>
      <c r="I751" s="27">
        <f>-IFERROR(VLOOKUP(C751,SIRCUPA!$A$21:$H$155,8,0),0)</f>
        <v>0</v>
      </c>
      <c r="J751" s="88">
        <f>-IFERROR(VLOOKUP(C751,SIRTAC!$A$16:$H$1288,8,0),0)</f>
        <v>-716</v>
      </c>
      <c r="K751" s="88">
        <f>-IFERROR(VLOOKUP(C751,Gastos!$A$9:$J$1281,10,0),0)</f>
        <v>-5448.76</v>
      </c>
      <c r="L751" s="87">
        <f>-IFERROR(VLOOKUP(C751,IDC!$A$25:$H$1532,8,0),0)</f>
        <v>-429.6</v>
      </c>
      <c r="M751" s="122">
        <f t="shared" si="100"/>
        <v>71600</v>
      </c>
      <c r="N751"/>
      <c r="P751" s="35">
        <f t="shared" si="101"/>
        <v>-71600</v>
      </c>
      <c r="Q751" s="66">
        <f t="shared" si="102"/>
        <v>0</v>
      </c>
    </row>
    <row r="752" spans="1:17" hidden="1">
      <c r="A752" s="1" t="s">
        <v>810</v>
      </c>
      <c r="B752" s="1" t="s">
        <v>15</v>
      </c>
      <c r="C752" s="91">
        <v>125576972801</v>
      </c>
      <c r="D752" s="3">
        <v>5163.79</v>
      </c>
      <c r="E752" s="3">
        <v>12754485.390000001</v>
      </c>
      <c r="F752" s="35" t="s">
        <v>2750</v>
      </c>
      <c r="G752"/>
      <c r="H752"/>
      <c r="I752" s="27">
        <f>-IFERROR(VLOOKUP(C752,SIRCUPA!$A$21:$H$155,8,0),0)</f>
        <v>0</v>
      </c>
      <c r="J752" s="88">
        <f>-IFERROR(VLOOKUP(C752,SIRTAC!$A$16:$H$1288,8,0),0)</f>
        <v>-53</v>
      </c>
      <c r="K752" s="88">
        <f>-IFERROR(VLOOKUP(C752,Gastos!$A$9:$J$1281,10,0),0)</f>
        <v>-51.41</v>
      </c>
      <c r="L752" s="87">
        <f>-IFERROR(VLOOKUP(C752,IDC!$A$25:$H$1532,8,0),0)</f>
        <v>-31.8</v>
      </c>
      <c r="M752" s="122">
        <f t="shared" si="100"/>
        <v>5300</v>
      </c>
      <c r="N752"/>
      <c r="P752" s="35">
        <f t="shared" si="101"/>
        <v>-5300</v>
      </c>
      <c r="Q752" s="66">
        <f t="shared" si="102"/>
        <v>0</v>
      </c>
    </row>
    <row r="753" spans="1:17" hidden="1">
      <c r="A753" s="1" t="s">
        <v>810</v>
      </c>
      <c r="B753" s="1" t="s">
        <v>15</v>
      </c>
      <c r="C753" s="91">
        <v>126128875098</v>
      </c>
      <c r="D753" s="3">
        <v>14906.79</v>
      </c>
      <c r="E753" s="3">
        <v>12769392.18</v>
      </c>
      <c r="F753" s="35" t="s">
        <v>2750</v>
      </c>
      <c r="G753"/>
      <c r="H753"/>
      <c r="I753" s="27">
        <f>-IFERROR(VLOOKUP(C753,SIRCUPA!$A$21:$H$155,8,0),0)</f>
        <v>0</v>
      </c>
      <c r="J753" s="88">
        <f>-IFERROR(VLOOKUP(C753,SIRTAC!$A$16:$H$1288,8,0),0)</f>
        <v>-153</v>
      </c>
      <c r="K753" s="88">
        <f>-IFERROR(VLOOKUP(C753,Gastos!$A$9:$J$1281,10,0),0)</f>
        <v>-148.41</v>
      </c>
      <c r="L753" s="87">
        <f>-IFERROR(VLOOKUP(C753,IDC!$A$25:$H$1532,8,0),0)</f>
        <v>-91.8</v>
      </c>
      <c r="M753" s="122">
        <f t="shared" si="100"/>
        <v>15300</v>
      </c>
      <c r="N753"/>
      <c r="P753" s="35">
        <f t="shared" si="101"/>
        <v>-15300</v>
      </c>
      <c r="Q753" s="66">
        <f t="shared" si="102"/>
        <v>0</v>
      </c>
    </row>
    <row r="754" spans="1:17" hidden="1">
      <c r="A754" s="1" t="s">
        <v>810</v>
      </c>
      <c r="B754" s="1" t="s">
        <v>15</v>
      </c>
      <c r="C754" s="91">
        <v>126128849374</v>
      </c>
      <c r="D754" s="3">
        <v>5163.79</v>
      </c>
      <c r="E754" s="3">
        <v>12774555.970000001</v>
      </c>
      <c r="F754" s="35" t="s">
        <v>2750</v>
      </c>
      <c r="G754"/>
      <c r="H754"/>
      <c r="I754" s="27">
        <f>-IFERROR(VLOOKUP(C754,SIRCUPA!$A$21:$H$155,8,0),0)</f>
        <v>0</v>
      </c>
      <c r="J754" s="88">
        <f>-IFERROR(VLOOKUP(C754,SIRTAC!$A$16:$H$1288,8,0),0)</f>
        <v>-53</v>
      </c>
      <c r="K754" s="88">
        <f>-IFERROR(VLOOKUP(C754,Gastos!$A$9:$J$1281,10,0),0)</f>
        <v>-51.41</v>
      </c>
      <c r="L754" s="87">
        <f>-IFERROR(VLOOKUP(C754,IDC!$A$25:$H$1532,8,0),0)</f>
        <v>-31.8</v>
      </c>
      <c r="M754" s="122">
        <f t="shared" si="100"/>
        <v>5300</v>
      </c>
      <c r="N754"/>
      <c r="P754" s="35">
        <f t="shared" si="101"/>
        <v>-5300</v>
      </c>
      <c r="Q754" s="66">
        <f t="shared" si="102"/>
        <v>0</v>
      </c>
    </row>
    <row r="755" spans="1:17" hidden="1">
      <c r="A755" s="1" t="s">
        <v>810</v>
      </c>
      <c r="B755" s="1" t="s">
        <v>843</v>
      </c>
      <c r="C755" s="91">
        <v>125576891613</v>
      </c>
      <c r="D755" s="2">
        <v>518.87</v>
      </c>
      <c r="E755" s="3">
        <v>12775074.84</v>
      </c>
      <c r="F755" s="2" t="s">
        <v>2750</v>
      </c>
      <c r="G755"/>
      <c r="H755"/>
      <c r="I755" s="27">
        <f>-IFERROR(VLOOKUP(C755,SIRCUPA!$A$21:$H$155,8,0),0)</f>
        <v>-7.95</v>
      </c>
      <c r="J755" s="88">
        <f>-IFERROR(VLOOKUP(C755,SIRTAC!$A$16:$H$1288,8,0),0)</f>
        <v>0</v>
      </c>
      <c r="K755" s="88">
        <f>-IFERROR(VLOOKUP(C755,Gastos!$A$9:$J$1281,10,0),0)</f>
        <v>0</v>
      </c>
      <c r="L755" s="87">
        <f>-IFERROR(VLOOKUP(C755,IDC!$A$25:$H$1532,8,0),0)</f>
        <v>-3.18</v>
      </c>
      <c r="M755" s="122">
        <f t="shared" si="100"/>
        <v>530</v>
      </c>
      <c r="N755"/>
      <c r="P755" s="35">
        <f t="shared" si="101"/>
        <v>-530</v>
      </c>
      <c r="Q755" s="66">
        <f t="shared" si="102"/>
        <v>0</v>
      </c>
    </row>
    <row r="756" spans="1:17" hidden="1">
      <c r="A756" s="1" t="s">
        <v>810</v>
      </c>
      <c r="B756" s="1" t="s">
        <v>15</v>
      </c>
      <c r="C756" s="91">
        <v>126128996208</v>
      </c>
      <c r="D756" s="3">
        <v>3799.77</v>
      </c>
      <c r="E756" s="3">
        <v>12778874.609999999</v>
      </c>
      <c r="F756" s="35" t="s">
        <v>2750</v>
      </c>
      <c r="G756"/>
      <c r="H756"/>
      <c r="I756" s="27">
        <f>-IFERROR(VLOOKUP(C756,SIRCUPA!$A$21:$H$155,8,0),0)</f>
        <v>0</v>
      </c>
      <c r="J756" s="88">
        <f>-IFERROR(VLOOKUP(C756,SIRTAC!$A$16:$H$1288,8,0),0)</f>
        <v>-39</v>
      </c>
      <c r="K756" s="88">
        <f>-IFERROR(VLOOKUP(C756,Gastos!$A$9:$J$1281,10,0),0)</f>
        <v>-37.83</v>
      </c>
      <c r="L756" s="87">
        <f>-IFERROR(VLOOKUP(C756,IDC!$A$25:$H$1532,8,0),0)</f>
        <v>-23.4</v>
      </c>
      <c r="M756" s="122">
        <f t="shared" si="100"/>
        <v>3900</v>
      </c>
      <c r="N756"/>
      <c r="P756" s="35">
        <f t="shared" si="101"/>
        <v>-3899.9999999999995</v>
      </c>
      <c r="Q756" s="66">
        <f t="shared" si="102"/>
        <v>0</v>
      </c>
    </row>
    <row r="757" spans="1:17" hidden="1">
      <c r="A757" s="1" t="s">
        <v>810</v>
      </c>
      <c r="B757" s="1" t="s">
        <v>15</v>
      </c>
      <c r="C757" s="91">
        <v>126128807772</v>
      </c>
      <c r="D757" s="3">
        <v>10035.290000000001</v>
      </c>
      <c r="E757" s="3">
        <v>12788909.9</v>
      </c>
      <c r="F757" s="35" t="s">
        <v>2750</v>
      </c>
      <c r="G757"/>
      <c r="H757"/>
      <c r="I757" s="27">
        <f>-IFERROR(VLOOKUP(C757,SIRCUPA!$A$21:$H$155,8,0),0)</f>
        <v>0</v>
      </c>
      <c r="J757" s="88">
        <f>-IFERROR(VLOOKUP(C757,SIRTAC!$A$16:$H$1288,8,0),0)</f>
        <v>-103</v>
      </c>
      <c r="K757" s="88">
        <f>-IFERROR(VLOOKUP(C757,Gastos!$A$9:$J$1281,10,0),0)</f>
        <v>-99.91</v>
      </c>
      <c r="L757" s="87">
        <f>-IFERROR(VLOOKUP(C757,IDC!$A$25:$H$1532,8,0),0)</f>
        <v>-61.8</v>
      </c>
      <c r="M757" s="122">
        <f t="shared" si="100"/>
        <v>10300</v>
      </c>
      <c r="N757"/>
      <c r="P757" s="35">
        <f t="shared" si="101"/>
        <v>-10300</v>
      </c>
      <c r="Q757" s="66">
        <f t="shared" si="102"/>
        <v>0</v>
      </c>
    </row>
    <row r="758" spans="1:17" hidden="1">
      <c r="A758" s="1" t="s">
        <v>810</v>
      </c>
      <c r="B758" s="1" t="s">
        <v>15</v>
      </c>
      <c r="C758" s="91">
        <v>125576905955</v>
      </c>
      <c r="D758" s="3">
        <v>9258.06</v>
      </c>
      <c r="E758" s="3">
        <v>12798167.960000001</v>
      </c>
      <c r="F758" s="35" t="s">
        <v>2750</v>
      </c>
      <c r="G758"/>
      <c r="H758"/>
      <c r="I758" s="27">
        <f>-IFERROR(VLOOKUP(C758,SIRCUPA!$A$21:$H$155,8,0),0)</f>
        <v>0</v>
      </c>
      <c r="J758" s="88">
        <f>-IFERROR(VLOOKUP(C758,SIRTAC!$A$16:$H$1288,8,0),0)</f>
        <v>-98</v>
      </c>
      <c r="K758" s="88">
        <f>-IFERROR(VLOOKUP(C758,Gastos!$A$9:$J$1281,10,0),0)</f>
        <v>-385.14</v>
      </c>
      <c r="L758" s="87">
        <f>-IFERROR(VLOOKUP(C758,IDC!$A$25:$H$1532,8,0),0)</f>
        <v>-58.8</v>
      </c>
      <c r="M758" s="122">
        <f t="shared" ref="M758:M789" si="103">+D758-I758-J758-K758-L758</f>
        <v>9799.9999999999982</v>
      </c>
      <c r="N758"/>
      <c r="P758" s="35">
        <f t="shared" si="101"/>
        <v>-9800</v>
      </c>
      <c r="Q758" s="66">
        <f t="shared" si="102"/>
        <v>0</v>
      </c>
    </row>
    <row r="759" spans="1:17" hidden="1">
      <c r="A759" s="1" t="s">
        <v>810</v>
      </c>
      <c r="B759" s="1" t="s">
        <v>15</v>
      </c>
      <c r="C759" s="91">
        <v>125577184425</v>
      </c>
      <c r="D759" s="3">
        <v>25136.94</v>
      </c>
      <c r="E759" s="3">
        <v>12823304.9</v>
      </c>
      <c r="F759" s="35" t="s">
        <v>2750</v>
      </c>
      <c r="G759"/>
      <c r="H759"/>
      <c r="I759" s="27">
        <f>-IFERROR(VLOOKUP(C759,SIRCUPA!$A$21:$H$155,8,0),0)</f>
        <v>0</v>
      </c>
      <c r="J759" s="88">
        <f>-IFERROR(VLOOKUP(C759,SIRTAC!$A$16:$H$1288,8,0),0)</f>
        <v>-258</v>
      </c>
      <c r="K759" s="88">
        <f>-IFERROR(VLOOKUP(C759,Gastos!$A$9:$J$1281,10,0),0)</f>
        <v>-250.26</v>
      </c>
      <c r="L759" s="87">
        <f>-IFERROR(VLOOKUP(C759,IDC!$A$25:$H$1532,8,0),0)</f>
        <v>-154.80000000000001</v>
      </c>
      <c r="M759" s="122">
        <f t="shared" si="103"/>
        <v>25799.999999999996</v>
      </c>
      <c r="N759"/>
      <c r="P759" s="35">
        <f t="shared" si="101"/>
        <v>-25800</v>
      </c>
      <c r="Q759" s="66">
        <f t="shared" si="102"/>
        <v>0</v>
      </c>
    </row>
    <row r="760" spans="1:17" hidden="1">
      <c r="A760" s="1" t="s">
        <v>810</v>
      </c>
      <c r="B760" s="1" t="s">
        <v>15</v>
      </c>
      <c r="C760" s="91">
        <v>125577313229</v>
      </c>
      <c r="D760" s="3">
        <v>16075.95</v>
      </c>
      <c r="E760" s="3">
        <v>12839380.85</v>
      </c>
      <c r="F760" s="35" t="s">
        <v>2750</v>
      </c>
      <c r="G760"/>
      <c r="H760"/>
      <c r="I760" s="27">
        <f>-IFERROR(VLOOKUP(C760,SIRCUPA!$A$21:$H$155,8,0),0)</f>
        <v>0</v>
      </c>
      <c r="J760" s="88">
        <f>-IFERROR(VLOOKUP(C760,SIRTAC!$A$16:$H$1288,8,0),0)</f>
        <v>-165</v>
      </c>
      <c r="K760" s="88">
        <f>-IFERROR(VLOOKUP(C760,Gastos!$A$9:$J$1281,10,0),0)</f>
        <v>-160.05000000000001</v>
      </c>
      <c r="L760" s="87">
        <f>-IFERROR(VLOOKUP(C760,IDC!$A$25:$H$1532,8,0),0)</f>
        <v>-99</v>
      </c>
      <c r="M760" s="122">
        <f t="shared" si="103"/>
        <v>16500</v>
      </c>
      <c r="N760"/>
      <c r="P760" s="35">
        <f t="shared" si="101"/>
        <v>-16500</v>
      </c>
      <c r="Q760" s="66">
        <f t="shared" si="102"/>
        <v>0</v>
      </c>
    </row>
    <row r="761" spans="1:17" hidden="1">
      <c r="A761" s="1" t="s">
        <v>810</v>
      </c>
      <c r="B761" s="1" t="s">
        <v>15</v>
      </c>
      <c r="C761" s="91">
        <v>125577491253</v>
      </c>
      <c r="D761" s="3">
        <v>40310.76</v>
      </c>
      <c r="E761" s="3">
        <v>12879691.609999999</v>
      </c>
      <c r="F761" s="35" t="s">
        <v>2750</v>
      </c>
      <c r="G761"/>
      <c r="H761"/>
      <c r="I761" s="27">
        <f>-IFERROR(VLOOKUP(C761,SIRCUPA!$A$21:$H$155,8,0),0)</f>
        <v>0</v>
      </c>
      <c r="J761" s="88">
        <f>-IFERROR(VLOOKUP(C761,SIRTAC!$A$16:$H$1288,8,0),0)</f>
        <v>-444</v>
      </c>
      <c r="K761" s="88">
        <f>-IFERROR(VLOOKUP(C761,Gastos!$A$9:$J$1281,10,0),0)</f>
        <v>-3378.84</v>
      </c>
      <c r="L761" s="87">
        <f>-IFERROR(VLOOKUP(C761,IDC!$A$25:$H$1532,8,0),0)</f>
        <v>-266.39999999999998</v>
      </c>
      <c r="M761" s="122">
        <f t="shared" si="103"/>
        <v>44400.000000000007</v>
      </c>
      <c r="N761"/>
      <c r="P761" s="35">
        <f t="shared" si="101"/>
        <v>-44399.999999999993</v>
      </c>
      <c r="Q761" s="66">
        <f t="shared" si="102"/>
        <v>0</v>
      </c>
    </row>
    <row r="762" spans="1:17" hidden="1">
      <c r="A762" s="1" t="s">
        <v>810</v>
      </c>
      <c r="B762" s="1" t="s">
        <v>15</v>
      </c>
      <c r="C762" s="91">
        <v>126129426494</v>
      </c>
      <c r="D762" s="3">
        <v>11336.4</v>
      </c>
      <c r="E762" s="3">
        <v>12891028.01</v>
      </c>
      <c r="F762" s="35" t="s">
        <v>2750</v>
      </c>
      <c r="G762"/>
      <c r="H762"/>
      <c r="I762" s="27">
        <f>-IFERROR(VLOOKUP(C762,SIRCUPA!$A$21:$H$155,8,0),0)</f>
        <v>0</v>
      </c>
      <c r="J762" s="88">
        <f>-IFERROR(VLOOKUP(C762,SIRTAC!$A$16:$H$1288,8,0),0)</f>
        <v>-120</v>
      </c>
      <c r="K762" s="88">
        <f>-IFERROR(VLOOKUP(C762,Gastos!$A$9:$J$1281,10,0),0)</f>
        <v>-471.6</v>
      </c>
      <c r="L762" s="87">
        <f>-IFERROR(VLOOKUP(C762,IDC!$A$25:$H$1532,8,0),0)</f>
        <v>-72</v>
      </c>
      <c r="M762" s="122">
        <f t="shared" si="103"/>
        <v>12000</v>
      </c>
      <c r="N762"/>
      <c r="P762" s="35">
        <f t="shared" si="101"/>
        <v>-12000</v>
      </c>
      <c r="Q762" s="66">
        <f t="shared" si="102"/>
        <v>0</v>
      </c>
    </row>
    <row r="763" spans="1:17" hidden="1">
      <c r="A763" s="1" t="s">
        <v>810</v>
      </c>
      <c r="B763" s="1" t="s">
        <v>15</v>
      </c>
      <c r="C763" s="91">
        <v>126129504564</v>
      </c>
      <c r="D763" s="3">
        <v>50273.88</v>
      </c>
      <c r="E763" s="3">
        <v>12941301.890000001</v>
      </c>
      <c r="F763" s="35" t="s">
        <v>2750</v>
      </c>
      <c r="G763"/>
      <c r="H763"/>
      <c r="I763" s="27">
        <f>-IFERROR(VLOOKUP(C763,SIRCUPA!$A$21:$H$155,8,0),0)</f>
        <v>0</v>
      </c>
      <c r="J763" s="88">
        <f>-IFERROR(VLOOKUP(C763,SIRTAC!$A$16:$H$1288,8,0),0)</f>
        <v>-516</v>
      </c>
      <c r="K763" s="88">
        <f>-IFERROR(VLOOKUP(C763,Gastos!$A$9:$J$1281,10,0),0)</f>
        <v>-500.52</v>
      </c>
      <c r="L763" s="87">
        <f>-IFERROR(VLOOKUP(C763,IDC!$A$25:$H$1532,8,0),0)</f>
        <v>-309.60000000000002</v>
      </c>
      <c r="M763" s="122">
        <f t="shared" si="103"/>
        <v>51599.999999999993</v>
      </c>
      <c r="N763"/>
      <c r="P763" s="35">
        <f t="shared" si="101"/>
        <v>-51600</v>
      </c>
      <c r="Q763" s="66">
        <f t="shared" si="102"/>
        <v>0</v>
      </c>
    </row>
    <row r="764" spans="1:17" hidden="1">
      <c r="A764" s="1" t="s">
        <v>810</v>
      </c>
      <c r="B764" s="1" t="s">
        <v>15</v>
      </c>
      <c r="C764" s="91">
        <v>125578259241</v>
      </c>
      <c r="D764" s="3">
        <v>3660.54</v>
      </c>
      <c r="E764" s="3">
        <v>12944962.43</v>
      </c>
      <c r="F764" s="35" t="s">
        <v>2750</v>
      </c>
      <c r="G764"/>
      <c r="H764"/>
      <c r="I764" s="27">
        <f>-IFERROR(VLOOKUP(C764,SIRCUPA!$A$21:$H$155,8,0),0)</f>
        <v>0</v>
      </c>
      <c r="J764" s="88">
        <f>-IFERROR(VLOOKUP(C764,SIRTAC!$A$16:$H$1288,8,0),0)</f>
        <v>-39</v>
      </c>
      <c r="K764" s="88">
        <f>-IFERROR(VLOOKUP(C764,Gastos!$A$9:$J$1281,10,0),0)</f>
        <v>-177.06</v>
      </c>
      <c r="L764" s="87">
        <f>-IFERROR(VLOOKUP(C764,IDC!$A$25:$H$1532,8,0),0)</f>
        <v>-23.4</v>
      </c>
      <c r="M764" s="122">
        <f t="shared" si="103"/>
        <v>3900</v>
      </c>
      <c r="N764"/>
      <c r="P764" s="35">
        <f t="shared" si="101"/>
        <v>-3899.9999999999995</v>
      </c>
      <c r="Q764" s="66">
        <f t="shared" si="102"/>
        <v>0</v>
      </c>
    </row>
    <row r="765" spans="1:17" hidden="1">
      <c r="A765" s="1" t="s">
        <v>810</v>
      </c>
      <c r="B765" s="1" t="s">
        <v>15</v>
      </c>
      <c r="C765" s="91">
        <v>125578192035</v>
      </c>
      <c r="D765" s="3">
        <v>15209.67</v>
      </c>
      <c r="E765" s="3">
        <v>12960172.1</v>
      </c>
      <c r="F765" s="35" t="s">
        <v>2750</v>
      </c>
      <c r="G765"/>
      <c r="H765"/>
      <c r="I765" s="27">
        <f>-IFERROR(VLOOKUP(C765,SIRCUPA!$A$21:$H$155,8,0),0)</f>
        <v>0</v>
      </c>
      <c r="J765" s="88">
        <f>-IFERROR(VLOOKUP(C765,SIRTAC!$A$16:$H$1288,8,0),0)</f>
        <v>-161</v>
      </c>
      <c r="K765" s="88">
        <f>-IFERROR(VLOOKUP(C765,Gastos!$A$9:$J$1281,10,0),0)</f>
        <v>-632.73</v>
      </c>
      <c r="L765" s="87">
        <f>-IFERROR(VLOOKUP(C765,IDC!$A$25:$H$1532,8,0),0)</f>
        <v>-96.6</v>
      </c>
      <c r="M765" s="122">
        <f t="shared" si="103"/>
        <v>16100</v>
      </c>
      <c r="N765"/>
      <c r="P765" s="35">
        <f t="shared" si="101"/>
        <v>-16099.999999999998</v>
      </c>
      <c r="Q765" s="66">
        <f t="shared" si="102"/>
        <v>0</v>
      </c>
    </row>
    <row r="766" spans="1:17" hidden="1">
      <c r="A766" s="1" t="s">
        <v>810</v>
      </c>
      <c r="B766" s="1" t="s">
        <v>15</v>
      </c>
      <c r="C766" s="91">
        <v>126130624264</v>
      </c>
      <c r="D766" s="3">
        <v>7321.08</v>
      </c>
      <c r="E766" s="3">
        <v>12967493.18</v>
      </c>
      <c r="F766" s="35" t="s">
        <v>2750</v>
      </c>
      <c r="G766"/>
      <c r="H766"/>
      <c r="I766" s="27">
        <f>-IFERROR(VLOOKUP(C766,SIRCUPA!$A$21:$H$155,8,0),0)</f>
        <v>0</v>
      </c>
      <c r="J766" s="88">
        <f>-IFERROR(VLOOKUP(C766,SIRTAC!$A$16:$H$1288,8,0),0)</f>
        <v>-78</v>
      </c>
      <c r="K766" s="88">
        <f>-IFERROR(VLOOKUP(C766,Gastos!$A$9:$J$1281,10,0),0)</f>
        <v>-354.12</v>
      </c>
      <c r="L766" s="87">
        <f>-IFERROR(VLOOKUP(C766,IDC!$A$25:$H$1532,8,0),0)</f>
        <v>-46.8</v>
      </c>
      <c r="M766" s="122">
        <f t="shared" si="103"/>
        <v>7800</v>
      </c>
      <c r="N766"/>
      <c r="P766" s="35">
        <f t="shared" si="101"/>
        <v>-7799.9999999999991</v>
      </c>
      <c r="Q766" s="66">
        <f t="shared" si="102"/>
        <v>0</v>
      </c>
    </row>
    <row r="767" spans="1:17" hidden="1">
      <c r="A767" s="1" t="s">
        <v>810</v>
      </c>
      <c r="B767" s="1" t="s">
        <v>15</v>
      </c>
      <c r="C767" s="91">
        <v>126131114974</v>
      </c>
      <c r="D767" s="3">
        <v>55158.9</v>
      </c>
      <c r="E767" s="3">
        <v>13022652.08</v>
      </c>
      <c r="F767" s="35" t="s">
        <v>2750</v>
      </c>
      <c r="G767"/>
      <c r="H767"/>
      <c r="I767" s="27">
        <f>-IFERROR(VLOOKUP(C767,SIRCUPA!$A$21:$H$155,8,0),0)</f>
        <v>0</v>
      </c>
      <c r="J767" s="88">
        <f>-IFERROR(VLOOKUP(C767,SIRTAC!$A$16:$H$1288,8,0),0)</f>
        <v>-570</v>
      </c>
      <c r="K767" s="88">
        <f>-IFERROR(VLOOKUP(C767,Gastos!$A$9:$J$1281,10,0),0)</f>
        <v>-929.1</v>
      </c>
      <c r="L767" s="87">
        <f>-IFERROR(VLOOKUP(C767,IDC!$A$25:$H$1532,8,0),0)</f>
        <v>-342</v>
      </c>
      <c r="M767" s="122">
        <f t="shared" si="103"/>
        <v>57000</v>
      </c>
      <c r="N767"/>
      <c r="P767" s="35">
        <f t="shared" si="101"/>
        <v>-57000</v>
      </c>
      <c r="Q767" s="66">
        <f t="shared" si="102"/>
        <v>0</v>
      </c>
    </row>
    <row r="768" spans="1:17" hidden="1">
      <c r="A768" s="1" t="s">
        <v>810</v>
      </c>
      <c r="B768" s="1" t="s">
        <v>15</v>
      </c>
      <c r="C768" s="91">
        <v>126131164784</v>
      </c>
      <c r="D768" s="3">
        <v>23806.44</v>
      </c>
      <c r="E768" s="3">
        <v>13046458.52</v>
      </c>
      <c r="F768" s="35" t="s">
        <v>2750</v>
      </c>
      <c r="G768"/>
      <c r="H768"/>
      <c r="I768" s="27">
        <f>-IFERROR(VLOOKUP(C768,SIRCUPA!$A$21:$H$155,8,0),0)</f>
        <v>0</v>
      </c>
      <c r="J768" s="88">
        <f>-IFERROR(VLOOKUP(C768,SIRTAC!$A$16:$H$1288,8,0),0)</f>
        <v>-252</v>
      </c>
      <c r="K768" s="88">
        <f>-IFERROR(VLOOKUP(C768,Gastos!$A$9:$J$1281,10,0),0)</f>
        <v>-990.36</v>
      </c>
      <c r="L768" s="87">
        <f>-IFERROR(VLOOKUP(C768,IDC!$A$25:$H$1532,8,0),0)</f>
        <v>-151.19999999999999</v>
      </c>
      <c r="M768" s="122">
        <f t="shared" si="103"/>
        <v>25200</v>
      </c>
      <c r="N768"/>
      <c r="P768" s="35">
        <f t="shared" si="101"/>
        <v>-25199.999999999996</v>
      </c>
      <c r="Q768" s="66">
        <f t="shared" si="102"/>
        <v>0</v>
      </c>
    </row>
    <row r="769" spans="1:17" hidden="1">
      <c r="A769" s="1" t="s">
        <v>810</v>
      </c>
      <c r="B769" s="1" t="s">
        <v>15</v>
      </c>
      <c r="C769" s="91">
        <v>126131278306</v>
      </c>
      <c r="D769" s="3">
        <v>19388.57</v>
      </c>
      <c r="E769" s="3">
        <v>13065847.09</v>
      </c>
      <c r="F769" s="35" t="s">
        <v>2750</v>
      </c>
      <c r="G769"/>
      <c r="H769"/>
      <c r="I769" s="27">
        <f>-IFERROR(VLOOKUP(C769,SIRCUPA!$A$21:$H$155,8,0),0)</f>
        <v>0</v>
      </c>
      <c r="J769" s="88">
        <f>-IFERROR(VLOOKUP(C769,SIRTAC!$A$16:$H$1288,8,0),0)</f>
        <v>-199</v>
      </c>
      <c r="K769" s="88">
        <f>-IFERROR(VLOOKUP(C769,Gastos!$A$9:$J$1281,10,0),0)</f>
        <v>-193.03</v>
      </c>
      <c r="L769" s="87">
        <f>-IFERROR(VLOOKUP(C769,IDC!$A$25:$H$1532,8,0),0)</f>
        <v>-119.4</v>
      </c>
      <c r="M769" s="122">
        <f t="shared" si="103"/>
        <v>19900</v>
      </c>
      <c r="N769"/>
      <c r="P769" s="35">
        <f t="shared" si="101"/>
        <v>-19900</v>
      </c>
      <c r="Q769" s="66">
        <f t="shared" si="102"/>
        <v>0</v>
      </c>
    </row>
    <row r="770" spans="1:17" hidden="1">
      <c r="A770" s="1" t="s">
        <v>810</v>
      </c>
      <c r="B770" s="1" t="s">
        <v>859</v>
      </c>
      <c r="C770" s="91">
        <v>125578968239</v>
      </c>
      <c r="D770" s="2">
        <v>974.1</v>
      </c>
      <c r="E770" s="3">
        <v>13066821.189999999</v>
      </c>
      <c r="F770" s="2" t="s">
        <v>2750</v>
      </c>
      <c r="G770"/>
      <c r="H770"/>
      <c r="I770" s="27">
        <f>-IFERROR(VLOOKUP(C770,SIRCUPA!$A$21:$H$155,8,0),0)</f>
        <v>-14.93</v>
      </c>
      <c r="J770" s="88">
        <f>-IFERROR(VLOOKUP(C770,SIRTAC!$A$16:$H$1288,8,0),0)</f>
        <v>0</v>
      </c>
      <c r="K770" s="88">
        <f>-IFERROR(VLOOKUP(C770,Gastos!$A$9:$J$1281,10,0),0)</f>
        <v>0</v>
      </c>
      <c r="L770" s="87">
        <f>-IFERROR(VLOOKUP(C770,IDC!$A$25:$H$1532,8,0),0)</f>
        <v>-5.97</v>
      </c>
      <c r="M770" s="122">
        <f t="shared" si="103"/>
        <v>995</v>
      </c>
      <c r="N770"/>
      <c r="P770" s="35">
        <f t="shared" si="101"/>
        <v>-994.99999999999989</v>
      </c>
      <c r="Q770" s="66">
        <f t="shared" si="102"/>
        <v>0</v>
      </c>
    </row>
    <row r="771" spans="1:17" hidden="1">
      <c r="A771" s="1" t="s">
        <v>810</v>
      </c>
      <c r="B771" s="1" t="s">
        <v>15</v>
      </c>
      <c r="C771" s="91">
        <v>125578892085</v>
      </c>
      <c r="D771" s="3">
        <v>12763.33</v>
      </c>
      <c r="E771" s="3">
        <v>13079584.52</v>
      </c>
      <c r="F771" s="35" t="s">
        <v>2750</v>
      </c>
      <c r="G771"/>
      <c r="H771"/>
      <c r="I771" s="27">
        <f>-IFERROR(VLOOKUP(C771,SIRCUPA!$A$21:$H$155,8,0),0)</f>
        <v>0</v>
      </c>
      <c r="J771" s="88">
        <f>-IFERROR(VLOOKUP(C771,SIRTAC!$A$16:$H$1288,8,0),0)</f>
        <v>-131</v>
      </c>
      <c r="K771" s="88">
        <f>-IFERROR(VLOOKUP(C771,Gastos!$A$9:$J$1281,10,0),0)</f>
        <v>-127.07</v>
      </c>
      <c r="L771" s="87">
        <f>-IFERROR(VLOOKUP(C771,IDC!$A$25:$H$1532,8,0),0)</f>
        <v>-78.599999999999994</v>
      </c>
      <c r="M771" s="122">
        <f t="shared" si="103"/>
        <v>13100</v>
      </c>
      <c r="N771"/>
      <c r="P771" s="35">
        <f t="shared" si="101"/>
        <v>-13099.999999999998</v>
      </c>
      <c r="Q771" s="66">
        <f t="shared" si="102"/>
        <v>0</v>
      </c>
    </row>
    <row r="772" spans="1:17" hidden="1">
      <c r="A772" s="1" t="s">
        <v>810</v>
      </c>
      <c r="B772" s="1" t="s">
        <v>15</v>
      </c>
      <c r="C772" s="91">
        <v>126131480124</v>
      </c>
      <c r="D772" s="3">
        <v>22334.34</v>
      </c>
      <c r="E772" s="3">
        <v>13101918.859999999</v>
      </c>
      <c r="F772" s="35" t="s">
        <v>2750</v>
      </c>
      <c r="G772"/>
      <c r="H772"/>
      <c r="I772" s="27">
        <f>-IFERROR(VLOOKUP(C772,SIRCUPA!$A$21:$H$155,8,0),0)</f>
        <v>0</v>
      </c>
      <c r="J772" s="88">
        <f>-IFERROR(VLOOKUP(C772,SIRTAC!$A$16:$H$1288,8,0),0)</f>
        <v>-246</v>
      </c>
      <c r="K772" s="88">
        <f>-IFERROR(VLOOKUP(C772,Gastos!$A$9:$J$1281,10,0),0)</f>
        <v>-1872.06</v>
      </c>
      <c r="L772" s="87">
        <f>-IFERROR(VLOOKUP(C772,IDC!$A$25:$H$1532,8,0),0)</f>
        <v>-147.6</v>
      </c>
      <c r="M772" s="122">
        <f t="shared" si="103"/>
        <v>24600</v>
      </c>
      <c r="N772"/>
      <c r="P772" s="35">
        <f t="shared" si="101"/>
        <v>-24600</v>
      </c>
      <c r="Q772" s="66">
        <f t="shared" si="102"/>
        <v>0</v>
      </c>
    </row>
    <row r="773" spans="1:17" hidden="1">
      <c r="A773" s="1" t="s">
        <v>810</v>
      </c>
      <c r="B773" s="1" t="s">
        <v>863</v>
      </c>
      <c r="C773" s="91">
        <v>126131385030</v>
      </c>
      <c r="D773" s="3">
        <v>2408.34</v>
      </c>
      <c r="E773" s="3">
        <v>13104327.199999999</v>
      </c>
      <c r="F773" s="2" t="s">
        <v>2750</v>
      </c>
      <c r="G773"/>
      <c r="H773"/>
      <c r="I773" s="27">
        <f>-IFERROR(VLOOKUP(C773,SIRCUPA!$A$21:$H$155,8,0),0)</f>
        <v>-36.9</v>
      </c>
      <c r="J773" s="88">
        <f>-IFERROR(VLOOKUP(C773,SIRTAC!$A$16:$H$1288,8,0),0)</f>
        <v>0</v>
      </c>
      <c r="K773" s="88">
        <f>-IFERROR(VLOOKUP(C773,Gastos!$A$9:$J$1281,10,0),0)</f>
        <v>0</v>
      </c>
      <c r="L773" s="87">
        <f>-IFERROR(VLOOKUP(C773,IDC!$A$25:$H$1532,8,0),0)</f>
        <v>-14.76</v>
      </c>
      <c r="M773" s="122">
        <f t="shared" si="103"/>
        <v>2460.0000000000005</v>
      </c>
      <c r="N773"/>
      <c r="P773" s="35">
        <f t="shared" si="101"/>
        <v>-2460</v>
      </c>
      <c r="Q773" s="66">
        <f t="shared" si="102"/>
        <v>0</v>
      </c>
    </row>
    <row r="774" spans="1:17" hidden="1">
      <c r="A774" s="1" t="s">
        <v>810</v>
      </c>
      <c r="B774" s="1" t="s">
        <v>15</v>
      </c>
      <c r="C774" s="91">
        <v>125579030099</v>
      </c>
      <c r="D774" s="3">
        <v>20362.87</v>
      </c>
      <c r="E774" s="3">
        <v>13124690.07</v>
      </c>
      <c r="F774" s="35" t="s">
        <v>2750</v>
      </c>
      <c r="G774"/>
      <c r="H774"/>
      <c r="I774" s="27">
        <f>-IFERROR(VLOOKUP(C774,SIRCUPA!$A$21:$H$155,8,0),0)</f>
        <v>0</v>
      </c>
      <c r="J774" s="88">
        <f>-IFERROR(VLOOKUP(C774,SIRTAC!$A$16:$H$1288,8,0),0)</f>
        <v>-209</v>
      </c>
      <c r="K774" s="88">
        <f>-IFERROR(VLOOKUP(C774,Gastos!$A$9:$J$1281,10,0),0)</f>
        <v>-202.73</v>
      </c>
      <c r="L774" s="87">
        <f>-IFERROR(VLOOKUP(C774,IDC!$A$25:$H$1532,8,0),0)</f>
        <v>-125.4</v>
      </c>
      <c r="M774" s="122">
        <f t="shared" si="103"/>
        <v>20900</v>
      </c>
      <c r="N774"/>
      <c r="P774" s="35">
        <f t="shared" si="101"/>
        <v>-20900</v>
      </c>
      <c r="Q774" s="66">
        <f t="shared" si="102"/>
        <v>0</v>
      </c>
    </row>
    <row r="775" spans="1:17" hidden="1">
      <c r="A775" s="1" t="s">
        <v>810</v>
      </c>
      <c r="B775" s="1" t="s">
        <v>15</v>
      </c>
      <c r="C775" s="91">
        <v>125579346241</v>
      </c>
      <c r="D775" s="3">
        <v>29143.59</v>
      </c>
      <c r="E775" s="3">
        <v>13153833.66</v>
      </c>
      <c r="F775" s="35" t="s">
        <v>2750</v>
      </c>
      <c r="G775"/>
      <c r="H775"/>
      <c r="I775" s="27">
        <f>-IFERROR(VLOOKUP(C775,SIRCUPA!$A$21:$H$155,8,0),0)</f>
        <v>0</v>
      </c>
      <c r="J775" s="88">
        <f>-IFERROR(VLOOKUP(C775,SIRTAC!$A$16:$H$1288,8,0),0)</f>
        <v>-321</v>
      </c>
      <c r="K775" s="88">
        <f>-IFERROR(VLOOKUP(C775,Gastos!$A$9:$J$1281,10,0),0)</f>
        <v>-2442.81</v>
      </c>
      <c r="L775" s="87">
        <f>-IFERROR(VLOOKUP(C775,IDC!$A$25:$H$1532,8,0),0)</f>
        <v>-192.6</v>
      </c>
      <c r="M775" s="122">
        <f t="shared" si="103"/>
        <v>32100</v>
      </c>
      <c r="N775"/>
      <c r="P775" s="35">
        <f t="shared" si="101"/>
        <v>-32100</v>
      </c>
      <c r="Q775" s="66">
        <f t="shared" si="102"/>
        <v>0</v>
      </c>
    </row>
    <row r="776" spans="1:17" hidden="1">
      <c r="A776" s="1" t="s">
        <v>810</v>
      </c>
      <c r="B776" s="1" t="s">
        <v>15</v>
      </c>
      <c r="C776" s="91">
        <v>125579320835</v>
      </c>
      <c r="D776" s="3">
        <v>11052.99</v>
      </c>
      <c r="E776" s="3">
        <v>13164886.65</v>
      </c>
      <c r="F776" s="35" t="s">
        <v>2750</v>
      </c>
      <c r="G776"/>
      <c r="H776"/>
      <c r="I776" s="27">
        <f>-IFERROR(VLOOKUP(C776,SIRCUPA!$A$21:$H$155,8,0),0)</f>
        <v>0</v>
      </c>
      <c r="J776" s="88">
        <f>-IFERROR(VLOOKUP(C776,SIRTAC!$A$16:$H$1288,8,0),0)</f>
        <v>-117</v>
      </c>
      <c r="K776" s="88">
        <f>-IFERROR(VLOOKUP(C776,Gastos!$A$9:$J$1281,10,0),0)</f>
        <v>-459.81</v>
      </c>
      <c r="L776" s="87">
        <f>-IFERROR(VLOOKUP(C776,IDC!$A$25:$H$1532,8,0),0)</f>
        <v>-70.2</v>
      </c>
      <c r="M776" s="122">
        <f t="shared" si="103"/>
        <v>11700</v>
      </c>
      <c r="N776"/>
      <c r="P776" s="35">
        <f t="shared" si="101"/>
        <v>-11700</v>
      </c>
      <c r="Q776" s="66">
        <f t="shared" si="102"/>
        <v>0</v>
      </c>
    </row>
    <row r="777" spans="1:17" hidden="1">
      <c r="A777" s="1" t="s">
        <v>810</v>
      </c>
      <c r="B777" s="1" t="s">
        <v>15</v>
      </c>
      <c r="C777" s="91">
        <v>126131790334</v>
      </c>
      <c r="D777" s="3">
        <v>24747.22</v>
      </c>
      <c r="E777" s="3">
        <v>13189633.869999999</v>
      </c>
      <c r="F777" s="35" t="s">
        <v>2750</v>
      </c>
      <c r="G777"/>
      <c r="H777"/>
      <c r="I777" s="27">
        <f>-IFERROR(VLOOKUP(C777,SIRCUPA!$A$21:$H$155,8,0),0)</f>
        <v>0</v>
      </c>
      <c r="J777" s="88">
        <f>-IFERROR(VLOOKUP(C777,SIRTAC!$A$16:$H$1288,8,0),0)</f>
        <v>-254</v>
      </c>
      <c r="K777" s="88">
        <f>-IFERROR(VLOOKUP(C777,Gastos!$A$9:$J$1281,10,0),0)</f>
        <v>-246.38</v>
      </c>
      <c r="L777" s="87">
        <f>-IFERROR(VLOOKUP(C777,IDC!$A$25:$H$1532,8,0),0)</f>
        <v>-152.4</v>
      </c>
      <c r="M777" s="122">
        <f t="shared" si="103"/>
        <v>25400.000000000004</v>
      </c>
      <c r="N777"/>
      <c r="P777" s="35">
        <f t="shared" si="101"/>
        <v>-25400</v>
      </c>
      <c r="Q777" s="66">
        <f t="shared" si="102"/>
        <v>0</v>
      </c>
    </row>
    <row r="778" spans="1:17" hidden="1">
      <c r="A778" s="1" t="s">
        <v>810</v>
      </c>
      <c r="B778" s="1" t="s">
        <v>15</v>
      </c>
      <c r="C778" s="91">
        <v>126131685768</v>
      </c>
      <c r="D778" s="3">
        <v>59529.73</v>
      </c>
      <c r="E778" s="3">
        <v>13249163.6</v>
      </c>
      <c r="F778" s="35" t="s">
        <v>2750</v>
      </c>
      <c r="G778"/>
      <c r="H778"/>
      <c r="I778" s="27">
        <f>-IFERROR(VLOOKUP(C778,SIRCUPA!$A$21:$H$155,8,0),0)</f>
        <v>0</v>
      </c>
      <c r="J778" s="88">
        <f>-IFERROR(VLOOKUP(C778,SIRTAC!$A$16:$H$1288,8,0),0)</f>
        <v>-611</v>
      </c>
      <c r="K778" s="88">
        <f>-IFERROR(VLOOKUP(C778,Gastos!$A$9:$J$1281,10,0),0)</f>
        <v>-592.66999999999996</v>
      </c>
      <c r="L778" s="87">
        <f>-IFERROR(VLOOKUP(C778,IDC!$A$25:$H$1532,8,0),0)</f>
        <v>-366.6</v>
      </c>
      <c r="M778" s="122">
        <f t="shared" si="103"/>
        <v>61100</v>
      </c>
      <c r="N778"/>
      <c r="P778" s="35">
        <f t="shared" si="101"/>
        <v>-61100</v>
      </c>
      <c r="Q778" s="66">
        <f t="shared" si="102"/>
        <v>0</v>
      </c>
    </row>
    <row r="779" spans="1:17" hidden="1">
      <c r="A779" s="1" t="s">
        <v>810</v>
      </c>
      <c r="B779" s="1" t="s">
        <v>15</v>
      </c>
      <c r="C779" s="91">
        <v>126131769430</v>
      </c>
      <c r="D779" s="3">
        <v>7794.4</v>
      </c>
      <c r="E779" s="3">
        <v>13256958</v>
      </c>
      <c r="F779" s="35" t="s">
        <v>2750</v>
      </c>
      <c r="G779"/>
      <c r="H779"/>
      <c r="I779" s="27">
        <f>-IFERROR(VLOOKUP(C779,SIRCUPA!$A$21:$H$155,8,0),0)</f>
        <v>0</v>
      </c>
      <c r="J779" s="88">
        <f>-IFERROR(VLOOKUP(C779,SIRTAC!$A$16:$H$1288,8,0),0)</f>
        <v>-80</v>
      </c>
      <c r="K779" s="88">
        <f>-IFERROR(VLOOKUP(C779,Gastos!$A$9:$J$1281,10,0),0)</f>
        <v>-77.599999999999994</v>
      </c>
      <c r="L779" s="87">
        <f>-IFERROR(VLOOKUP(C779,IDC!$A$25:$H$1532,8,0),0)</f>
        <v>-48</v>
      </c>
      <c r="M779" s="122">
        <f t="shared" si="103"/>
        <v>8000</v>
      </c>
      <c r="N779"/>
      <c r="P779" s="35">
        <f t="shared" si="101"/>
        <v>-8000</v>
      </c>
      <c r="Q779" s="66">
        <f t="shared" si="102"/>
        <v>0</v>
      </c>
    </row>
    <row r="780" spans="1:17" hidden="1">
      <c r="A780" s="1" t="s">
        <v>810</v>
      </c>
      <c r="B780" s="1" t="s">
        <v>15</v>
      </c>
      <c r="C780" s="91">
        <v>125579567091</v>
      </c>
      <c r="D780" s="3">
        <v>26306.1</v>
      </c>
      <c r="E780" s="3">
        <v>13283264.1</v>
      </c>
      <c r="F780" s="35" t="s">
        <v>2750</v>
      </c>
      <c r="G780"/>
      <c r="H780"/>
      <c r="I780" s="27">
        <f>-IFERROR(VLOOKUP(C780,SIRCUPA!$A$21:$H$155,8,0),0)</f>
        <v>0</v>
      </c>
      <c r="J780" s="88">
        <f>-IFERROR(VLOOKUP(C780,SIRTAC!$A$16:$H$1288,8,0),0)</f>
        <v>-270</v>
      </c>
      <c r="K780" s="88">
        <f>-IFERROR(VLOOKUP(C780,Gastos!$A$9:$J$1281,10,0),0)</f>
        <v>-261.89999999999998</v>
      </c>
      <c r="L780" s="87">
        <f>-IFERROR(VLOOKUP(C780,IDC!$A$25:$H$1532,8,0),0)</f>
        <v>-162</v>
      </c>
      <c r="M780" s="122">
        <f t="shared" si="103"/>
        <v>27000</v>
      </c>
      <c r="N780"/>
      <c r="P780" s="35">
        <f t="shared" si="101"/>
        <v>-27000</v>
      </c>
      <c r="Q780" s="66">
        <f t="shared" si="102"/>
        <v>0</v>
      </c>
    </row>
    <row r="781" spans="1:17" hidden="1">
      <c r="A781" s="1" t="s">
        <v>810</v>
      </c>
      <c r="B781" s="1" t="s">
        <v>15</v>
      </c>
      <c r="C781" s="91">
        <v>125579583955</v>
      </c>
      <c r="D781" s="3">
        <v>9255.85</v>
      </c>
      <c r="E781" s="3">
        <v>13292519.949999999</v>
      </c>
      <c r="F781" s="35" t="s">
        <v>2750</v>
      </c>
      <c r="G781"/>
      <c r="H781"/>
      <c r="I781" s="27">
        <f>-IFERROR(VLOOKUP(C781,SIRCUPA!$A$21:$H$155,8,0),0)</f>
        <v>0</v>
      </c>
      <c r="J781" s="88">
        <f>-IFERROR(VLOOKUP(C781,SIRTAC!$A$16:$H$1288,8,0),0)</f>
        <v>-95</v>
      </c>
      <c r="K781" s="88">
        <f>-IFERROR(VLOOKUP(C781,Gastos!$A$9:$J$1281,10,0),0)</f>
        <v>-92.15</v>
      </c>
      <c r="L781" s="87">
        <f>-IFERROR(VLOOKUP(C781,IDC!$A$25:$H$1532,8,0),0)</f>
        <v>-57</v>
      </c>
      <c r="M781" s="122">
        <f t="shared" si="103"/>
        <v>9500</v>
      </c>
      <c r="N781"/>
      <c r="P781" s="35">
        <f t="shared" si="101"/>
        <v>-9500</v>
      </c>
      <c r="Q781" s="66">
        <f t="shared" si="102"/>
        <v>0</v>
      </c>
    </row>
    <row r="782" spans="1:17" hidden="1">
      <c r="A782" s="1" t="s">
        <v>810</v>
      </c>
      <c r="B782" s="1" t="s">
        <v>15</v>
      </c>
      <c r="C782" s="91">
        <v>125641694887</v>
      </c>
      <c r="D782" s="3">
        <v>10717.3</v>
      </c>
      <c r="E782" s="3">
        <v>13303237.25</v>
      </c>
      <c r="F782" s="35" t="s">
        <v>2750</v>
      </c>
      <c r="G782"/>
      <c r="H782"/>
      <c r="I782" s="27">
        <f>-IFERROR(VLOOKUP(C782,SIRCUPA!$A$21:$H$155,8,0),0)</f>
        <v>0</v>
      </c>
      <c r="J782" s="88">
        <f>-IFERROR(VLOOKUP(C782,SIRTAC!$A$16:$H$1288,8,0),0)</f>
        <v>-110</v>
      </c>
      <c r="K782" s="88">
        <f>-IFERROR(VLOOKUP(C782,Gastos!$A$9:$J$1281,10,0),0)</f>
        <v>-106.7</v>
      </c>
      <c r="L782" s="87">
        <f>-IFERROR(VLOOKUP(C782,IDC!$A$25:$H$1532,8,0),0)</f>
        <v>-66</v>
      </c>
      <c r="M782" s="122">
        <f t="shared" si="103"/>
        <v>11000</v>
      </c>
      <c r="N782"/>
      <c r="P782" s="35">
        <f t="shared" si="101"/>
        <v>-11000</v>
      </c>
      <c r="Q782" s="66">
        <f t="shared" si="102"/>
        <v>0</v>
      </c>
    </row>
    <row r="783" spans="1:17" hidden="1">
      <c r="A783" s="1" t="s">
        <v>810</v>
      </c>
      <c r="B783" s="1" t="s">
        <v>874</v>
      </c>
      <c r="C783" s="91">
        <v>125641720659</v>
      </c>
      <c r="D783" s="2">
        <v>538.45000000000005</v>
      </c>
      <c r="E783" s="3">
        <v>13303775.699999999</v>
      </c>
      <c r="F783" s="2" t="s">
        <v>2750</v>
      </c>
      <c r="G783"/>
      <c r="H783"/>
      <c r="I783" s="27">
        <f>-IFERROR(VLOOKUP(C783,SIRCUPA!$A$21:$H$155,8,0),0)</f>
        <v>-8.25</v>
      </c>
      <c r="J783" s="88">
        <f>-IFERROR(VLOOKUP(C783,SIRTAC!$A$16:$H$1288,8,0),0)</f>
        <v>0</v>
      </c>
      <c r="K783" s="88">
        <f>-IFERROR(VLOOKUP(C783,Gastos!$A$9:$J$1281,10,0),0)</f>
        <v>0</v>
      </c>
      <c r="L783" s="87">
        <f>-IFERROR(VLOOKUP(C783,IDC!$A$25:$H$1532,8,0),0)</f>
        <v>-3.3</v>
      </c>
      <c r="M783" s="122">
        <f t="shared" si="103"/>
        <v>550</v>
      </c>
      <c r="N783"/>
      <c r="P783" s="35">
        <f t="shared" si="101"/>
        <v>-550</v>
      </c>
      <c r="Q783" s="66">
        <f t="shared" si="102"/>
        <v>0</v>
      </c>
    </row>
    <row r="784" spans="1:17" hidden="1">
      <c r="A784" s="1" t="s">
        <v>810</v>
      </c>
      <c r="B784" s="1" t="s">
        <v>15</v>
      </c>
      <c r="C784" s="91">
        <v>126195667264</v>
      </c>
      <c r="D784" s="3">
        <v>8502.2999999999993</v>
      </c>
      <c r="E784" s="3">
        <v>13312278</v>
      </c>
      <c r="F784" s="35" t="s">
        <v>2750</v>
      </c>
      <c r="G784"/>
      <c r="H784"/>
      <c r="I784" s="27">
        <f>-IFERROR(VLOOKUP(C784,SIRCUPA!$A$21:$H$155,8,0),0)</f>
        <v>0</v>
      </c>
      <c r="J784" s="88">
        <f>-IFERROR(VLOOKUP(C784,SIRTAC!$A$16:$H$1288,8,0),0)</f>
        <v>-90</v>
      </c>
      <c r="K784" s="88">
        <f>-IFERROR(VLOOKUP(C784,Gastos!$A$9:$J$1281,10,0),0)</f>
        <v>-353.7</v>
      </c>
      <c r="L784" s="87">
        <f>-IFERROR(VLOOKUP(C784,IDC!$A$25:$H$1532,8,0),0)</f>
        <v>-54</v>
      </c>
      <c r="M784" s="122">
        <f t="shared" si="103"/>
        <v>9000</v>
      </c>
      <c r="N784"/>
      <c r="P784" s="35">
        <f t="shared" si="101"/>
        <v>-9000</v>
      </c>
      <c r="Q784" s="66">
        <f t="shared" si="102"/>
        <v>0</v>
      </c>
    </row>
    <row r="785" spans="1:17" hidden="1">
      <c r="A785" s="1" t="s">
        <v>810</v>
      </c>
      <c r="B785" s="1" t="s">
        <v>15</v>
      </c>
      <c r="C785" s="91">
        <v>125647221653</v>
      </c>
      <c r="D785" s="3">
        <v>7599.54</v>
      </c>
      <c r="E785" s="3">
        <v>13319877.539999999</v>
      </c>
      <c r="F785" s="35" t="s">
        <v>2750</v>
      </c>
      <c r="G785"/>
      <c r="H785"/>
      <c r="I785" s="27">
        <f>-IFERROR(VLOOKUP(C785,SIRCUPA!$A$21:$H$155,8,0),0)</f>
        <v>0</v>
      </c>
      <c r="J785" s="88">
        <f>-IFERROR(VLOOKUP(C785,SIRTAC!$A$16:$H$1288,8,0),0)</f>
        <v>-78</v>
      </c>
      <c r="K785" s="88">
        <f>-IFERROR(VLOOKUP(C785,Gastos!$A$9:$J$1281,10,0),0)</f>
        <v>-75.66</v>
      </c>
      <c r="L785" s="87">
        <f>-IFERROR(VLOOKUP(C785,IDC!$A$25:$H$1532,8,0),0)</f>
        <v>-46.8</v>
      </c>
      <c r="M785" s="122">
        <f t="shared" si="103"/>
        <v>7800</v>
      </c>
      <c r="N785"/>
      <c r="P785" s="35">
        <f t="shared" si="101"/>
        <v>-7799.9999999999991</v>
      </c>
      <c r="Q785" s="66">
        <f t="shared" si="102"/>
        <v>0</v>
      </c>
    </row>
    <row r="786" spans="1:17" hidden="1">
      <c r="A786" s="1" t="s">
        <v>810</v>
      </c>
      <c r="B786" s="1" t="s">
        <v>878</v>
      </c>
      <c r="C786" s="91">
        <v>125647203977</v>
      </c>
      <c r="D786" s="2">
        <v>763.62</v>
      </c>
      <c r="E786" s="3">
        <v>13320641.16</v>
      </c>
      <c r="F786" s="2" t="s">
        <v>2750</v>
      </c>
      <c r="G786"/>
      <c r="H786"/>
      <c r="I786" s="27">
        <f>-IFERROR(VLOOKUP(C786,SIRCUPA!$A$21:$H$155,8,0),0)</f>
        <v>-11.7</v>
      </c>
      <c r="J786" s="88">
        <f>-IFERROR(VLOOKUP(C786,SIRTAC!$A$16:$H$1288,8,0),0)</f>
        <v>0</v>
      </c>
      <c r="K786" s="88">
        <f>-IFERROR(VLOOKUP(C786,Gastos!$A$9:$J$1281,10,0),0)</f>
        <v>0</v>
      </c>
      <c r="L786" s="87">
        <f>-IFERROR(VLOOKUP(C786,IDC!$A$25:$H$1532,8,0),0)</f>
        <v>-4.68</v>
      </c>
      <c r="M786" s="122">
        <f t="shared" si="103"/>
        <v>780</v>
      </c>
      <c r="N786"/>
      <c r="P786" s="35">
        <f t="shared" si="101"/>
        <v>-779.99999999999989</v>
      </c>
      <c r="Q786" s="66">
        <f t="shared" si="102"/>
        <v>0</v>
      </c>
    </row>
    <row r="787" spans="1:17" hidden="1">
      <c r="A787" s="1" t="s">
        <v>810</v>
      </c>
      <c r="B787" s="1" t="s">
        <v>15</v>
      </c>
      <c r="C787" s="91">
        <v>126199806570</v>
      </c>
      <c r="D787" s="3">
        <v>22408.9</v>
      </c>
      <c r="E787" s="3">
        <v>13343050.060000001</v>
      </c>
      <c r="F787" s="35" t="s">
        <v>2750</v>
      </c>
      <c r="G787"/>
      <c r="H787"/>
      <c r="I787" s="27">
        <f>-IFERROR(VLOOKUP(C787,SIRCUPA!$A$21:$H$155,8,0),0)</f>
        <v>0</v>
      </c>
      <c r="J787" s="88">
        <f>-IFERROR(VLOOKUP(C787,SIRTAC!$A$16:$H$1288,8,0),0)</f>
        <v>-230</v>
      </c>
      <c r="K787" s="88">
        <f>-IFERROR(VLOOKUP(C787,Gastos!$A$9:$J$1281,10,0),0)</f>
        <v>-223.1</v>
      </c>
      <c r="L787" s="87">
        <f>-IFERROR(VLOOKUP(C787,IDC!$A$25:$H$1532,8,0),0)</f>
        <v>-138</v>
      </c>
      <c r="M787" s="122">
        <f t="shared" si="103"/>
        <v>23000</v>
      </c>
      <c r="N787"/>
      <c r="P787" s="35">
        <f t="shared" si="101"/>
        <v>-23000</v>
      </c>
      <c r="Q787" s="66">
        <f t="shared" si="102"/>
        <v>0</v>
      </c>
    </row>
    <row r="788" spans="1:17" hidden="1">
      <c r="A788" s="1" t="s">
        <v>810</v>
      </c>
      <c r="B788" s="1" t="s">
        <v>15</v>
      </c>
      <c r="C788" s="91">
        <v>125648509125</v>
      </c>
      <c r="D788" s="3">
        <v>5163.79</v>
      </c>
      <c r="E788" s="3">
        <v>13348213.85</v>
      </c>
      <c r="F788" s="35" t="s">
        <v>2750</v>
      </c>
      <c r="G788"/>
      <c r="H788"/>
      <c r="I788" s="27">
        <f>-IFERROR(VLOOKUP(C788,SIRCUPA!$A$21:$H$155,8,0),0)</f>
        <v>0</v>
      </c>
      <c r="J788" s="88">
        <f>-IFERROR(VLOOKUP(C788,SIRTAC!$A$16:$H$1288,8,0),0)</f>
        <v>-53</v>
      </c>
      <c r="K788" s="88">
        <f>-IFERROR(VLOOKUP(C788,Gastos!$A$9:$J$1281,10,0),0)</f>
        <v>-51.41</v>
      </c>
      <c r="L788" s="87">
        <f>-IFERROR(VLOOKUP(C788,IDC!$A$25:$H$1532,8,0),0)</f>
        <v>-31.8</v>
      </c>
      <c r="M788" s="122">
        <f t="shared" si="103"/>
        <v>5300</v>
      </c>
      <c r="N788"/>
      <c r="P788" s="35">
        <f t="shared" si="101"/>
        <v>-5300</v>
      </c>
      <c r="Q788" s="66">
        <f t="shared" si="102"/>
        <v>0</v>
      </c>
    </row>
    <row r="789" spans="1:17" hidden="1">
      <c r="A789" s="1" t="s">
        <v>810</v>
      </c>
      <c r="B789" s="1" t="s">
        <v>15</v>
      </c>
      <c r="C789" s="91">
        <v>126202107638</v>
      </c>
      <c r="D789" s="3">
        <v>24513.3</v>
      </c>
      <c r="E789" s="3">
        <v>13372727.15</v>
      </c>
      <c r="F789" s="35" t="s">
        <v>2750</v>
      </c>
      <c r="G789"/>
      <c r="H789"/>
      <c r="I789" s="27">
        <f>-IFERROR(VLOOKUP(C789,SIRCUPA!$A$21:$H$155,8,0),0)</f>
        <v>0</v>
      </c>
      <c r="J789" s="88">
        <f>-IFERROR(VLOOKUP(C789,SIRTAC!$A$16:$H$1288,8,0),0)</f>
        <v>-270</v>
      </c>
      <c r="K789" s="88">
        <f>-IFERROR(VLOOKUP(C789,Gastos!$A$9:$J$1281,10,0),0)</f>
        <v>-2054.6999999999998</v>
      </c>
      <c r="L789" s="87">
        <f>-IFERROR(VLOOKUP(C789,IDC!$A$25:$H$1532,8,0),0)</f>
        <v>-162</v>
      </c>
      <c r="M789" s="122">
        <f t="shared" si="103"/>
        <v>27000</v>
      </c>
      <c r="N789"/>
      <c r="P789" s="35">
        <f t="shared" si="101"/>
        <v>-27000</v>
      </c>
      <c r="Q789" s="66">
        <f t="shared" si="102"/>
        <v>0</v>
      </c>
    </row>
    <row r="790" spans="1:17" hidden="1">
      <c r="A790" s="1" t="s">
        <v>810</v>
      </c>
      <c r="B790" s="1" t="s">
        <v>15</v>
      </c>
      <c r="C790" s="91">
        <v>125650842711</v>
      </c>
      <c r="D790" s="3">
        <v>20877.87</v>
      </c>
      <c r="E790" s="3">
        <v>13393605.02</v>
      </c>
      <c r="F790" s="35" t="s">
        <v>2750</v>
      </c>
      <c r="G790"/>
      <c r="H790"/>
      <c r="I790" s="27">
        <f>-IFERROR(VLOOKUP(C790,SIRCUPA!$A$21:$H$155,8,0),0)</f>
        <v>0</v>
      </c>
      <c r="J790" s="88">
        <f>-IFERROR(VLOOKUP(C790,SIRTAC!$A$16:$H$1288,8,0),0)</f>
        <v>-221</v>
      </c>
      <c r="K790" s="88">
        <f>-IFERROR(VLOOKUP(C790,Gastos!$A$9:$J$1281,10,0),0)</f>
        <v>-868.53</v>
      </c>
      <c r="L790" s="87">
        <f>-IFERROR(VLOOKUP(C790,IDC!$A$25:$H$1532,8,0),0)</f>
        <v>-132.6</v>
      </c>
      <c r="M790" s="122">
        <f t="shared" ref="M790:M809" si="104">+D790-I790-J790-K790-L790</f>
        <v>22099.999999999996</v>
      </c>
      <c r="N790"/>
      <c r="P790" s="35">
        <f t="shared" ref="P790:P809" si="105">+L790/0.006</f>
        <v>-22100</v>
      </c>
      <c r="Q790" s="66">
        <f t="shared" ref="Q790:Q809" si="106">+M790+P790</f>
        <v>0</v>
      </c>
    </row>
    <row r="791" spans="1:17" hidden="1">
      <c r="A791" s="1" t="s">
        <v>810</v>
      </c>
      <c r="B791" s="1" t="s">
        <v>15</v>
      </c>
      <c r="C791" s="91">
        <v>126208398932</v>
      </c>
      <c r="D791" s="3">
        <v>37023.4</v>
      </c>
      <c r="E791" s="3">
        <v>13430628.42</v>
      </c>
      <c r="F791" s="35" t="s">
        <v>2750</v>
      </c>
      <c r="G791"/>
      <c r="H791"/>
      <c r="I791" s="27">
        <f>-IFERROR(VLOOKUP(C791,SIRCUPA!$A$21:$H$155,8,0),0)</f>
        <v>0</v>
      </c>
      <c r="J791" s="88">
        <f>-IFERROR(VLOOKUP(C791,SIRTAC!$A$16:$H$1288,8,0),0)</f>
        <v>-380</v>
      </c>
      <c r="K791" s="88">
        <f>-IFERROR(VLOOKUP(C791,Gastos!$A$9:$J$1281,10,0),0)</f>
        <v>-368.6</v>
      </c>
      <c r="L791" s="87">
        <f>-IFERROR(VLOOKUP(C791,IDC!$A$25:$H$1532,8,0),0)</f>
        <v>-228</v>
      </c>
      <c r="M791" s="122">
        <f t="shared" si="104"/>
        <v>38000</v>
      </c>
      <c r="N791"/>
      <c r="P791" s="35">
        <f t="shared" si="105"/>
        <v>-38000</v>
      </c>
      <c r="Q791" s="66">
        <f t="shared" si="106"/>
        <v>0</v>
      </c>
    </row>
    <row r="792" spans="1:17" hidden="1">
      <c r="A792" s="1" t="s">
        <v>810</v>
      </c>
      <c r="B792" s="1" t="s">
        <v>15</v>
      </c>
      <c r="C792" s="91">
        <v>125656403991</v>
      </c>
      <c r="D792" s="3">
        <v>18121.98</v>
      </c>
      <c r="E792" s="3">
        <v>13448750.4</v>
      </c>
      <c r="F792" s="35" t="s">
        <v>2750</v>
      </c>
      <c r="G792"/>
      <c r="H792"/>
      <c r="I792" s="27">
        <f>-IFERROR(VLOOKUP(C792,SIRCUPA!$A$21:$H$155,8,0),0)</f>
        <v>0</v>
      </c>
      <c r="J792" s="88">
        <f>-IFERROR(VLOOKUP(C792,SIRTAC!$A$16:$H$1288,8,0),0)</f>
        <v>-186</v>
      </c>
      <c r="K792" s="88">
        <f>-IFERROR(VLOOKUP(C792,Gastos!$A$9:$J$1281,10,0),0)</f>
        <v>-180.42</v>
      </c>
      <c r="L792" s="87">
        <f>-IFERROR(VLOOKUP(C792,IDC!$A$25:$H$1532,8,0),0)</f>
        <v>-111.6</v>
      </c>
      <c r="M792" s="122">
        <f t="shared" si="104"/>
        <v>18599.999999999996</v>
      </c>
      <c r="N792"/>
      <c r="P792" s="35">
        <f t="shared" si="105"/>
        <v>-18600</v>
      </c>
      <c r="Q792" s="66">
        <f t="shared" si="106"/>
        <v>0</v>
      </c>
    </row>
    <row r="793" spans="1:17" hidden="1">
      <c r="A793" s="1" t="s">
        <v>810</v>
      </c>
      <c r="B793" s="1" t="s">
        <v>15</v>
      </c>
      <c r="C793" s="91">
        <v>126209525276</v>
      </c>
      <c r="D793" s="3">
        <v>13547.8</v>
      </c>
      <c r="E793" s="3">
        <v>13462298.199999999</v>
      </c>
      <c r="F793" s="35" t="s">
        <v>2750</v>
      </c>
      <c r="G793"/>
      <c r="H793"/>
      <c r="I793" s="27">
        <f>-IFERROR(VLOOKUP(C793,SIRCUPA!$A$21:$H$155,8,0),0)</f>
        <v>0</v>
      </c>
      <c r="J793" s="88">
        <f>-IFERROR(VLOOKUP(C793,SIRTAC!$A$16:$H$1288,8,0),0)</f>
        <v>-140</v>
      </c>
      <c r="K793" s="88">
        <f>-IFERROR(VLOOKUP(C793,Gastos!$A$9:$J$1281,10,0),0)</f>
        <v>-228.2</v>
      </c>
      <c r="L793" s="87">
        <f>-IFERROR(VLOOKUP(C793,IDC!$A$25:$H$1532,8,0),0)</f>
        <v>-84</v>
      </c>
      <c r="M793" s="122">
        <f t="shared" si="104"/>
        <v>14000</v>
      </c>
      <c r="N793"/>
      <c r="P793" s="35">
        <f t="shared" si="105"/>
        <v>-14000</v>
      </c>
      <c r="Q793" s="66">
        <f t="shared" si="106"/>
        <v>0</v>
      </c>
    </row>
    <row r="794" spans="1:17" hidden="1">
      <c r="A794" s="1" t="s">
        <v>810</v>
      </c>
      <c r="B794" s="1" t="s">
        <v>15</v>
      </c>
      <c r="C794" s="91">
        <v>126210057176</v>
      </c>
      <c r="D794" s="3">
        <v>21608.02</v>
      </c>
      <c r="E794" s="3">
        <v>13483906.220000001</v>
      </c>
      <c r="F794" s="35" t="s">
        <v>2750</v>
      </c>
      <c r="G794"/>
      <c r="H794"/>
      <c r="I794" s="27">
        <f>-IFERROR(VLOOKUP(C794,SIRCUPA!$A$21:$H$155,8,0),0)</f>
        <v>0</v>
      </c>
      <c r="J794" s="88">
        <f>-IFERROR(VLOOKUP(C794,SIRTAC!$A$16:$H$1288,8,0),0)</f>
        <v>-238</v>
      </c>
      <c r="K794" s="88">
        <f>-IFERROR(VLOOKUP(C794,Gastos!$A$9:$J$1281,10,0),0)</f>
        <v>-1811.18</v>
      </c>
      <c r="L794" s="87">
        <f>-IFERROR(VLOOKUP(C794,IDC!$A$25:$H$1532,8,0),0)</f>
        <v>-142.80000000000001</v>
      </c>
      <c r="M794" s="122">
        <f t="shared" si="104"/>
        <v>23800</v>
      </c>
      <c r="N794"/>
      <c r="P794" s="35">
        <f t="shared" si="105"/>
        <v>-23800</v>
      </c>
      <c r="Q794" s="66">
        <f t="shared" si="106"/>
        <v>0</v>
      </c>
    </row>
    <row r="795" spans="1:17" hidden="1">
      <c r="A795" s="1" t="s">
        <v>810</v>
      </c>
      <c r="B795" s="1" t="s">
        <v>15</v>
      </c>
      <c r="C795" s="91">
        <v>126211365010</v>
      </c>
      <c r="D795" s="3">
        <v>31469.89</v>
      </c>
      <c r="E795" s="3">
        <v>13515376.109999999</v>
      </c>
      <c r="F795" s="35" t="s">
        <v>2750</v>
      </c>
      <c r="G795"/>
      <c r="H795"/>
      <c r="I795" s="27">
        <f>-IFERROR(VLOOKUP(C795,SIRCUPA!$A$21:$H$155,8,0),0)</f>
        <v>0</v>
      </c>
      <c r="J795" s="88">
        <f>-IFERROR(VLOOKUP(C795,SIRTAC!$A$16:$H$1288,8,0),0)</f>
        <v>-323</v>
      </c>
      <c r="K795" s="88">
        <f>-IFERROR(VLOOKUP(C795,Gastos!$A$9:$J$1281,10,0),0)</f>
        <v>-313.31</v>
      </c>
      <c r="L795" s="87">
        <f>-IFERROR(VLOOKUP(C795,IDC!$A$25:$H$1532,8,0),0)</f>
        <v>-193.8</v>
      </c>
      <c r="M795" s="122">
        <f t="shared" si="104"/>
        <v>32300</v>
      </c>
      <c r="N795"/>
      <c r="P795" s="35">
        <f t="shared" si="105"/>
        <v>-32300</v>
      </c>
      <c r="Q795" s="66">
        <f t="shared" si="106"/>
        <v>0</v>
      </c>
    </row>
    <row r="796" spans="1:17" hidden="1">
      <c r="A796" s="1" t="s">
        <v>810</v>
      </c>
      <c r="B796" s="1" t="s">
        <v>15</v>
      </c>
      <c r="C796" s="91">
        <v>125659456895</v>
      </c>
      <c r="D796" s="3">
        <v>8378.98</v>
      </c>
      <c r="E796" s="3">
        <v>13523755.09</v>
      </c>
      <c r="F796" s="35" t="s">
        <v>2750</v>
      </c>
      <c r="G796"/>
      <c r="H796"/>
      <c r="I796" s="27">
        <f>-IFERROR(VLOOKUP(C796,SIRCUPA!$A$21:$H$155,8,0),0)</f>
        <v>0</v>
      </c>
      <c r="J796" s="88">
        <f>-IFERROR(VLOOKUP(C796,SIRTAC!$A$16:$H$1288,8,0),0)</f>
        <v>-86</v>
      </c>
      <c r="K796" s="88">
        <f>-IFERROR(VLOOKUP(C796,Gastos!$A$9:$J$1281,10,0),0)</f>
        <v>-83.42</v>
      </c>
      <c r="L796" s="87">
        <f>-IFERROR(VLOOKUP(C796,IDC!$A$25:$H$1532,8,0),0)</f>
        <v>-51.6</v>
      </c>
      <c r="M796" s="122">
        <f t="shared" si="104"/>
        <v>8600</v>
      </c>
      <c r="N796"/>
      <c r="P796" s="35">
        <f t="shared" si="105"/>
        <v>-8600</v>
      </c>
      <c r="Q796" s="66">
        <f t="shared" si="106"/>
        <v>0</v>
      </c>
    </row>
    <row r="797" spans="1:17" hidden="1">
      <c r="A797" s="1" t="s">
        <v>810</v>
      </c>
      <c r="B797" s="1" t="s">
        <v>15</v>
      </c>
      <c r="C797" s="91">
        <v>125659954419</v>
      </c>
      <c r="D797" s="3">
        <v>39361.72</v>
      </c>
      <c r="E797" s="3">
        <v>13563116.810000001</v>
      </c>
      <c r="F797" s="35" t="s">
        <v>2750</v>
      </c>
      <c r="G797"/>
      <c r="H797"/>
      <c r="I797" s="27">
        <f>-IFERROR(VLOOKUP(C797,SIRCUPA!$A$21:$H$155,8,0),0)</f>
        <v>0</v>
      </c>
      <c r="J797" s="88">
        <f>-IFERROR(VLOOKUP(C797,SIRTAC!$A$16:$H$1288,8,0),0)</f>
        <v>-404</v>
      </c>
      <c r="K797" s="88">
        <f>-IFERROR(VLOOKUP(C797,Gastos!$A$9:$J$1281,10,0),0)</f>
        <v>-391.88</v>
      </c>
      <c r="L797" s="87">
        <f>-IFERROR(VLOOKUP(C797,IDC!$A$25:$H$1532,8,0),0)</f>
        <v>-242.4</v>
      </c>
      <c r="M797" s="122">
        <f t="shared" si="104"/>
        <v>40400</v>
      </c>
      <c r="N797"/>
      <c r="P797" s="35">
        <f t="shared" si="105"/>
        <v>-40400</v>
      </c>
      <c r="Q797" s="66">
        <f t="shared" si="106"/>
        <v>0</v>
      </c>
    </row>
    <row r="798" spans="1:17" hidden="1">
      <c r="A798" s="1" t="s">
        <v>810</v>
      </c>
      <c r="B798" s="1" t="s">
        <v>15</v>
      </c>
      <c r="C798" s="91">
        <v>125659996117</v>
      </c>
      <c r="D798" s="3">
        <v>42674.34</v>
      </c>
      <c r="E798" s="3">
        <v>13605791.15</v>
      </c>
      <c r="F798" s="35" t="s">
        <v>2750</v>
      </c>
      <c r="G798"/>
      <c r="H798"/>
      <c r="I798" s="27">
        <f>-IFERROR(VLOOKUP(C798,SIRCUPA!$A$21:$H$155,8,0),0)</f>
        <v>0</v>
      </c>
      <c r="J798" s="88">
        <f>-IFERROR(VLOOKUP(C798,SIRTAC!$A$16:$H$1288,8,0),0)</f>
        <v>-438</v>
      </c>
      <c r="K798" s="88">
        <f>-IFERROR(VLOOKUP(C798,Gastos!$A$9:$J$1281,10,0),0)</f>
        <v>-424.86</v>
      </c>
      <c r="L798" s="87">
        <f>-IFERROR(VLOOKUP(C798,IDC!$A$25:$H$1532,8,0),0)</f>
        <v>-262.8</v>
      </c>
      <c r="M798" s="122">
        <f t="shared" si="104"/>
        <v>43800</v>
      </c>
      <c r="N798"/>
      <c r="P798" s="35">
        <f t="shared" si="105"/>
        <v>-43800</v>
      </c>
      <c r="Q798" s="66">
        <f t="shared" si="106"/>
        <v>0</v>
      </c>
    </row>
    <row r="799" spans="1:17" hidden="1">
      <c r="A799" s="1" t="s">
        <v>810</v>
      </c>
      <c r="B799" s="1" t="s">
        <v>15</v>
      </c>
      <c r="C799" s="91">
        <v>126212628608</v>
      </c>
      <c r="D799" s="3">
        <v>9730.41</v>
      </c>
      <c r="E799" s="3">
        <v>13615521.560000001</v>
      </c>
      <c r="F799" s="35" t="s">
        <v>2750</v>
      </c>
      <c r="G799"/>
      <c r="H799"/>
      <c r="I799" s="27">
        <f>-IFERROR(VLOOKUP(C799,SIRCUPA!$A$21:$H$155,8,0),0)</f>
        <v>0</v>
      </c>
      <c r="J799" s="88">
        <f>-IFERROR(VLOOKUP(C799,SIRTAC!$A$16:$H$1288,8,0),0)</f>
        <v>-103</v>
      </c>
      <c r="K799" s="88">
        <f>-IFERROR(VLOOKUP(C799,Gastos!$A$9:$J$1281,10,0),0)</f>
        <v>-404.79</v>
      </c>
      <c r="L799" s="87">
        <f>-IFERROR(VLOOKUP(C799,IDC!$A$25:$H$1532,8,0),0)</f>
        <v>-61.8</v>
      </c>
      <c r="M799" s="122">
        <f t="shared" si="104"/>
        <v>10300</v>
      </c>
      <c r="N799"/>
      <c r="P799" s="35">
        <f t="shared" si="105"/>
        <v>-10300</v>
      </c>
      <c r="Q799" s="66">
        <f t="shared" si="106"/>
        <v>0</v>
      </c>
    </row>
    <row r="800" spans="1:17" hidden="1">
      <c r="A800" s="1" t="s">
        <v>810</v>
      </c>
      <c r="B800" s="1" t="s">
        <v>15</v>
      </c>
      <c r="C800" s="91">
        <v>126213107032</v>
      </c>
      <c r="D800" s="3">
        <v>28157.27</v>
      </c>
      <c r="E800" s="3">
        <v>13643678.83</v>
      </c>
      <c r="F800" s="35" t="s">
        <v>2750</v>
      </c>
      <c r="G800"/>
      <c r="H800"/>
      <c r="I800" s="27">
        <f>-IFERROR(VLOOKUP(C800,SIRCUPA!$A$21:$H$155,8,0),0)</f>
        <v>0</v>
      </c>
      <c r="J800" s="88">
        <f>-IFERROR(VLOOKUP(C800,SIRTAC!$A$16:$H$1288,8,0),0)</f>
        <v>-289</v>
      </c>
      <c r="K800" s="88">
        <f>-IFERROR(VLOOKUP(C800,Gastos!$A$9:$J$1281,10,0),0)</f>
        <v>-280.33</v>
      </c>
      <c r="L800" s="87">
        <f>-IFERROR(VLOOKUP(C800,IDC!$A$25:$H$1532,8,0),0)</f>
        <v>-173.4</v>
      </c>
      <c r="M800" s="122">
        <f t="shared" si="104"/>
        <v>28900.000000000004</v>
      </c>
      <c r="N800"/>
      <c r="P800" s="35">
        <f t="shared" si="105"/>
        <v>-28900</v>
      </c>
      <c r="Q800" s="66">
        <f t="shared" si="106"/>
        <v>0</v>
      </c>
    </row>
    <row r="801" spans="1:18" hidden="1">
      <c r="A801" s="1" t="s">
        <v>810</v>
      </c>
      <c r="B801" s="1" t="s">
        <v>15</v>
      </c>
      <c r="C801" s="91">
        <v>126213201364</v>
      </c>
      <c r="D801" s="3">
        <v>76872.27</v>
      </c>
      <c r="E801" s="3">
        <v>13720551.1</v>
      </c>
      <c r="F801" s="35" t="s">
        <v>2750</v>
      </c>
      <c r="G801"/>
      <c r="H801"/>
      <c r="I801" s="27">
        <f>-IFERROR(VLOOKUP(C801,SIRCUPA!$A$21:$H$155,8,0),0)</f>
        <v>0</v>
      </c>
      <c r="J801" s="88">
        <f>-IFERROR(VLOOKUP(C801,SIRTAC!$A$16:$H$1288,8,0),0)</f>
        <v>-789</v>
      </c>
      <c r="K801" s="88">
        <f>-IFERROR(VLOOKUP(C801,Gastos!$A$9:$J$1281,10,0),0)</f>
        <v>-765.33</v>
      </c>
      <c r="L801" s="87">
        <f>-IFERROR(VLOOKUP(C801,IDC!$A$25:$H$1532,8,0),0)</f>
        <v>-473.4</v>
      </c>
      <c r="M801" s="122">
        <f t="shared" si="104"/>
        <v>78900</v>
      </c>
      <c r="N801"/>
      <c r="P801" s="35">
        <f t="shared" si="105"/>
        <v>-78900</v>
      </c>
      <c r="Q801" s="66">
        <f t="shared" si="106"/>
        <v>0</v>
      </c>
    </row>
    <row r="802" spans="1:18" hidden="1">
      <c r="A802" s="1" t="s">
        <v>810</v>
      </c>
      <c r="B802" s="1" t="s">
        <v>15</v>
      </c>
      <c r="C802" s="91">
        <v>126213444444</v>
      </c>
      <c r="D802" s="3">
        <v>4384.3500000000004</v>
      </c>
      <c r="E802" s="3">
        <v>13724935.449999999</v>
      </c>
      <c r="F802" s="35" t="s">
        <v>2750</v>
      </c>
      <c r="G802"/>
      <c r="H802"/>
      <c r="I802" s="27">
        <f>-IFERROR(VLOOKUP(C802,SIRCUPA!$A$21:$H$155,8,0),0)</f>
        <v>0</v>
      </c>
      <c r="J802" s="88">
        <f>-IFERROR(VLOOKUP(C802,SIRTAC!$A$16:$H$1288,8,0),0)</f>
        <v>-45</v>
      </c>
      <c r="K802" s="88">
        <f>-IFERROR(VLOOKUP(C802,Gastos!$A$9:$J$1281,10,0),0)</f>
        <v>-43.65</v>
      </c>
      <c r="L802" s="87">
        <f>-IFERROR(VLOOKUP(C802,IDC!$A$25:$H$1532,8,0),0)</f>
        <v>-27</v>
      </c>
      <c r="M802" s="122">
        <f t="shared" si="104"/>
        <v>4500</v>
      </c>
      <c r="N802"/>
      <c r="P802" s="35">
        <f t="shared" si="105"/>
        <v>-4500</v>
      </c>
      <c r="Q802" s="66">
        <f t="shared" si="106"/>
        <v>0</v>
      </c>
    </row>
    <row r="803" spans="1:18" hidden="1">
      <c r="A803" s="1" t="s">
        <v>810</v>
      </c>
      <c r="B803" s="1" t="s">
        <v>15</v>
      </c>
      <c r="C803" s="91">
        <v>125661802007</v>
      </c>
      <c r="D803" s="3">
        <v>66129</v>
      </c>
      <c r="E803" s="3">
        <v>13791064.449999999</v>
      </c>
      <c r="F803" s="35" t="s">
        <v>2750</v>
      </c>
      <c r="G803"/>
      <c r="H803"/>
      <c r="I803" s="27">
        <f>-IFERROR(VLOOKUP(C803,SIRCUPA!$A$21:$H$155,8,0),0)</f>
        <v>0</v>
      </c>
      <c r="J803" s="88">
        <f>-IFERROR(VLOOKUP(C803,SIRTAC!$A$16:$H$1288,8,0),0)</f>
        <v>-700</v>
      </c>
      <c r="K803" s="88">
        <f>-IFERROR(VLOOKUP(C803,Gastos!$A$9:$J$1281,10,0),0)</f>
        <v>-2751</v>
      </c>
      <c r="L803" s="87">
        <f>-IFERROR(VLOOKUP(C803,IDC!$A$25:$H$1532,8,0),0)</f>
        <v>-420</v>
      </c>
      <c r="M803" s="122">
        <f t="shared" si="104"/>
        <v>70000</v>
      </c>
      <c r="N803"/>
      <c r="P803" s="35">
        <f t="shared" si="105"/>
        <v>-70000</v>
      </c>
      <c r="Q803" s="66">
        <f t="shared" si="106"/>
        <v>0</v>
      </c>
    </row>
    <row r="804" spans="1:18" hidden="1">
      <c r="A804" s="1" t="s">
        <v>810</v>
      </c>
      <c r="B804" s="1" t="s">
        <v>15</v>
      </c>
      <c r="C804" s="91">
        <v>125662278353</v>
      </c>
      <c r="D804" s="3">
        <v>19973.150000000001</v>
      </c>
      <c r="E804" s="3">
        <v>13811037.6</v>
      </c>
      <c r="F804" s="35" t="s">
        <v>2750</v>
      </c>
      <c r="G804"/>
      <c r="H804"/>
      <c r="I804" s="27">
        <f>-IFERROR(VLOOKUP(C804,SIRCUPA!$A$21:$H$155,8,0),0)</f>
        <v>0</v>
      </c>
      <c r="J804" s="88">
        <f>-IFERROR(VLOOKUP(C804,SIRTAC!$A$16:$H$1288,8,0),0)</f>
        <v>-205</v>
      </c>
      <c r="K804" s="88">
        <f>-IFERROR(VLOOKUP(C804,Gastos!$A$9:$J$1281,10,0),0)</f>
        <v>-198.85</v>
      </c>
      <c r="L804" s="87">
        <f>-IFERROR(VLOOKUP(C804,IDC!$A$25:$H$1532,8,0),0)</f>
        <v>-123</v>
      </c>
      <c r="M804" s="122">
        <f t="shared" si="104"/>
        <v>20500</v>
      </c>
      <c r="N804"/>
      <c r="P804" s="35">
        <f t="shared" si="105"/>
        <v>-20500</v>
      </c>
      <c r="Q804" s="66">
        <f t="shared" si="106"/>
        <v>0</v>
      </c>
    </row>
    <row r="805" spans="1:18" hidden="1">
      <c r="A805" s="1" t="s">
        <v>810</v>
      </c>
      <c r="B805" s="1" t="s">
        <v>15</v>
      </c>
      <c r="C805" s="91">
        <v>126214829960</v>
      </c>
      <c r="D805" s="3">
        <v>47740.7</v>
      </c>
      <c r="E805" s="3">
        <v>13858778.300000001</v>
      </c>
      <c r="F805" s="35" t="s">
        <v>2750</v>
      </c>
      <c r="G805"/>
      <c r="H805"/>
      <c r="I805" s="27">
        <f>-IFERROR(VLOOKUP(C805,SIRCUPA!$A$21:$H$155,8,0),0)</f>
        <v>0</v>
      </c>
      <c r="J805" s="88">
        <f>-IFERROR(VLOOKUP(C805,SIRTAC!$A$16:$H$1288,8,0),0)</f>
        <v>-490</v>
      </c>
      <c r="K805" s="88">
        <f>-IFERROR(VLOOKUP(C805,Gastos!$A$9:$J$1281,10,0),0)</f>
        <v>-475.3</v>
      </c>
      <c r="L805" s="87">
        <f>-IFERROR(VLOOKUP(C805,IDC!$A$25:$H$1532,8,0),0)</f>
        <v>-294</v>
      </c>
      <c r="M805" s="122">
        <f t="shared" si="104"/>
        <v>49000</v>
      </c>
      <c r="N805"/>
      <c r="P805" s="35">
        <f t="shared" si="105"/>
        <v>-49000</v>
      </c>
      <c r="Q805" s="66">
        <f t="shared" si="106"/>
        <v>0</v>
      </c>
    </row>
    <row r="806" spans="1:18" hidden="1">
      <c r="A806" s="1" t="s">
        <v>810</v>
      </c>
      <c r="B806" s="1" t="s">
        <v>15</v>
      </c>
      <c r="C806" s="91">
        <v>125662860685</v>
      </c>
      <c r="D806" s="3">
        <v>39582.93</v>
      </c>
      <c r="E806" s="3">
        <v>13898361.23</v>
      </c>
      <c r="F806" s="35" t="s">
        <v>2750</v>
      </c>
      <c r="G806"/>
      <c r="H806"/>
      <c r="I806" s="27">
        <f>-IFERROR(VLOOKUP(C806,SIRCUPA!$A$21:$H$155,8,0),0)</f>
        <v>0</v>
      </c>
      <c r="J806" s="88">
        <f>-IFERROR(VLOOKUP(C806,SIRTAC!$A$16:$H$1288,8,0),0)</f>
        <v>-419</v>
      </c>
      <c r="K806" s="88">
        <f>-IFERROR(VLOOKUP(C806,Gastos!$A$9:$J$1281,10,0),0)</f>
        <v>-1646.67</v>
      </c>
      <c r="L806" s="87">
        <f>-IFERROR(VLOOKUP(C806,IDC!$A$25:$H$1532,8,0),0)</f>
        <v>-251.4</v>
      </c>
      <c r="M806" s="122">
        <f t="shared" si="104"/>
        <v>41900</v>
      </c>
      <c r="N806"/>
      <c r="P806" s="35">
        <f t="shared" si="105"/>
        <v>-41900</v>
      </c>
      <c r="Q806" s="66">
        <f t="shared" si="106"/>
        <v>0</v>
      </c>
    </row>
    <row r="807" spans="1:18" hidden="1">
      <c r="A807" s="1" t="s">
        <v>810</v>
      </c>
      <c r="B807" s="1" t="s">
        <v>15</v>
      </c>
      <c r="C807" s="91">
        <v>125663240327</v>
      </c>
      <c r="D807" s="3">
        <v>11241.93</v>
      </c>
      <c r="E807" s="3">
        <v>13909603.16</v>
      </c>
      <c r="F807" s="35" t="s">
        <v>2750</v>
      </c>
      <c r="G807"/>
      <c r="H807"/>
      <c r="I807" s="27">
        <f>-IFERROR(VLOOKUP(C807,SIRCUPA!$A$21:$H$155,8,0),0)</f>
        <v>0</v>
      </c>
      <c r="J807" s="88">
        <f>-IFERROR(VLOOKUP(C807,SIRTAC!$A$16:$H$1288,8,0),0)</f>
        <v>-119</v>
      </c>
      <c r="K807" s="88">
        <f>-IFERROR(VLOOKUP(C807,Gastos!$A$9:$J$1281,10,0),0)</f>
        <v>-467.67</v>
      </c>
      <c r="L807" s="87">
        <f>-IFERROR(VLOOKUP(C807,IDC!$A$25:$H$1532,8,0),0)</f>
        <v>-71.400000000000006</v>
      </c>
      <c r="M807" s="122">
        <f t="shared" si="104"/>
        <v>11900</v>
      </c>
      <c r="N807"/>
      <c r="P807" s="35">
        <f t="shared" si="105"/>
        <v>-11900</v>
      </c>
      <c r="Q807" s="66">
        <f t="shared" si="106"/>
        <v>0</v>
      </c>
    </row>
    <row r="808" spans="1:18" hidden="1">
      <c r="A808" s="1" t="s">
        <v>810</v>
      </c>
      <c r="B808" s="1" t="s">
        <v>15</v>
      </c>
      <c r="C808" s="91">
        <v>125663262315</v>
      </c>
      <c r="D808" s="3">
        <v>17342.54</v>
      </c>
      <c r="E808" s="3">
        <v>13926945.699999999</v>
      </c>
      <c r="F808" s="35" t="s">
        <v>2750</v>
      </c>
      <c r="G808"/>
      <c r="H808"/>
      <c r="I808" s="27">
        <f>-IFERROR(VLOOKUP(C808,SIRCUPA!$A$21:$H$155,8,0),0)</f>
        <v>0</v>
      </c>
      <c r="J808" s="88">
        <f>-IFERROR(VLOOKUP(C808,SIRTAC!$A$16:$H$1288,8,0),0)</f>
        <v>-178</v>
      </c>
      <c r="K808" s="88">
        <f>-IFERROR(VLOOKUP(C808,Gastos!$A$9:$J$1281,10,0),0)</f>
        <v>-172.66</v>
      </c>
      <c r="L808" s="87">
        <f>-IFERROR(VLOOKUP(C808,IDC!$A$25:$H$1532,8,0),0)</f>
        <v>-106.8</v>
      </c>
      <c r="M808" s="122">
        <f t="shared" si="104"/>
        <v>17800</v>
      </c>
      <c r="N808"/>
      <c r="P808" s="35">
        <f t="shared" si="105"/>
        <v>-17800</v>
      </c>
      <c r="Q808" s="66">
        <f t="shared" si="106"/>
        <v>0</v>
      </c>
    </row>
    <row r="809" spans="1:18" hidden="1">
      <c r="A809" s="1" t="s">
        <v>810</v>
      </c>
      <c r="B809" s="1" t="s">
        <v>15</v>
      </c>
      <c r="C809" s="91">
        <v>126215681054</v>
      </c>
      <c r="D809" s="3">
        <v>41094.449999999997</v>
      </c>
      <c r="E809" s="3">
        <v>13968040.15</v>
      </c>
      <c r="F809" s="35" t="s">
        <v>2750</v>
      </c>
      <c r="G809"/>
      <c r="H809"/>
      <c r="I809" s="27">
        <f>-IFERROR(VLOOKUP(C809,SIRCUPA!$A$21:$H$155,8,0),0)</f>
        <v>0</v>
      </c>
      <c r="J809" s="88">
        <f>-IFERROR(VLOOKUP(C809,SIRTAC!$A$16:$H$1288,8,0),0)</f>
        <v>-435</v>
      </c>
      <c r="K809" s="88">
        <f>-IFERROR(VLOOKUP(C809,Gastos!$A$9:$J$1281,10,0),0)</f>
        <v>-1709.55</v>
      </c>
      <c r="L809" s="87">
        <f>-IFERROR(VLOOKUP(C809,IDC!$A$25:$H$1532,8,0),0)</f>
        <v>-261</v>
      </c>
      <c r="M809" s="122">
        <f t="shared" si="104"/>
        <v>43500</v>
      </c>
      <c r="N809"/>
      <c r="P809" s="35">
        <f t="shared" si="105"/>
        <v>-43500</v>
      </c>
      <c r="Q809" s="66">
        <f t="shared" si="106"/>
        <v>0</v>
      </c>
    </row>
    <row r="810" spans="1:18" hidden="1">
      <c r="A810" s="59" t="s">
        <v>1303</v>
      </c>
      <c r="B810" s="59" t="s">
        <v>49</v>
      </c>
      <c r="C810" s="112">
        <v>127363517828</v>
      </c>
      <c r="D810" s="64">
        <v>-184602.4</v>
      </c>
      <c r="E810" s="3">
        <v>7895141.2400000002</v>
      </c>
      <c r="F810" s="63" t="s">
        <v>2751</v>
      </c>
      <c r="G810" s="65">
        <f>+D810/1.006</f>
        <v>-183501.39165009939</v>
      </c>
      <c r="H810" s="65">
        <f>+D810-G810</f>
        <v>-1101.0083499005996</v>
      </c>
      <c r="I810" s="108">
        <f>-IFERROR(VLOOKUP(C810,SIRCUPA!$A$21:$H$155,8,0),0)</f>
        <v>0</v>
      </c>
      <c r="J810" s="108">
        <f>-IFERROR(VLOOKUP(C810,SIRTAC!$A$16:$H$1288,8,0),0)</f>
        <v>0</v>
      </c>
      <c r="K810" s="108">
        <f>-IFERROR(VLOOKUP(C810,Gastos!$A$9:$J$1281,10,0),0)</f>
        <v>0</v>
      </c>
      <c r="L810" s="65"/>
      <c r="M810" s="123">
        <f t="shared" ref="M810:M811" si="107">+D810</f>
        <v>-184602.4</v>
      </c>
      <c r="N810" s="65"/>
      <c r="O810" s="59"/>
      <c r="Q810" s="3">
        <f t="shared" ref="Q810:Q811" si="108">+D810</f>
        <v>-184602.4</v>
      </c>
      <c r="R810" s="66">
        <f t="shared" ref="R810:R811" si="109">+M810-Q810</f>
        <v>0</v>
      </c>
    </row>
    <row r="811" spans="1:18" hidden="1">
      <c r="A811" s="59" t="s">
        <v>1303</v>
      </c>
      <c r="B811" s="59" t="s">
        <v>49</v>
      </c>
      <c r="C811" s="112">
        <v>127365725240</v>
      </c>
      <c r="D811" s="64">
        <v>-325277.90000000002</v>
      </c>
      <c r="E811" s="3">
        <v>7568755.7300000004</v>
      </c>
      <c r="F811" s="63" t="s">
        <v>2751</v>
      </c>
      <c r="G811" s="65">
        <f>+D811/1.006</f>
        <v>-323337.87276341952</v>
      </c>
      <c r="H811" s="65">
        <f>+D811-G811</f>
        <v>-1940.0272365804994</v>
      </c>
      <c r="I811" s="108">
        <f>-IFERROR(VLOOKUP(C811,SIRCUPA!$A$21:$H$155,8,0),0)</f>
        <v>0</v>
      </c>
      <c r="J811" s="108">
        <f>-IFERROR(VLOOKUP(C811,SIRTAC!$A$16:$H$1288,8,0),0)</f>
        <v>0</v>
      </c>
      <c r="K811" s="108">
        <f>-IFERROR(VLOOKUP(C811,Gastos!$A$9:$J$1281,10,0),0)</f>
        <v>0</v>
      </c>
      <c r="L811" s="65"/>
      <c r="M811" s="123">
        <f t="shared" si="107"/>
        <v>-325277.90000000002</v>
      </c>
      <c r="N811" s="65"/>
      <c r="O811" s="59"/>
      <c r="Q811" s="3">
        <f t="shared" si="108"/>
        <v>-325277.90000000002</v>
      </c>
      <c r="R811" s="66">
        <f t="shared" si="109"/>
        <v>0</v>
      </c>
    </row>
    <row r="812" spans="1:18" hidden="1">
      <c r="A812" s="1" t="s">
        <v>903</v>
      </c>
      <c r="B812" s="1" t="s">
        <v>15</v>
      </c>
      <c r="C812" s="91">
        <v>125664117927</v>
      </c>
      <c r="D812" s="3">
        <v>57288.84</v>
      </c>
      <c r="E812" s="3">
        <v>14025328.99</v>
      </c>
      <c r="F812" s="35" t="s">
        <v>2750</v>
      </c>
      <c r="G812"/>
      <c r="H812"/>
      <c r="I812" s="27">
        <f>-IFERROR(VLOOKUP(C812,SIRCUPA!$A$21:$H$155,8,0),0)</f>
        <v>0</v>
      </c>
      <c r="J812" s="88">
        <f>-IFERROR(VLOOKUP(C812,SIRTAC!$A$16:$H$1288,8,0),0)</f>
        <v>-588</v>
      </c>
      <c r="K812" s="88">
        <f>-IFERROR(VLOOKUP(C812,Gastos!$A$9:$J$1281,10,0),0)</f>
        <v>-570.36</v>
      </c>
      <c r="L812" s="87">
        <f>-IFERROR(VLOOKUP(C812,IDC!$A$25:$H$1532,8,0),0)</f>
        <v>-352.8</v>
      </c>
      <c r="M812" s="122">
        <f t="shared" ref="M812:M822" si="110">+D812-I812-J812-K812-L812</f>
        <v>58800</v>
      </c>
      <c r="N812"/>
      <c r="P812" s="35">
        <f t="shared" ref="P812:P822" si="111">+L812/0.006</f>
        <v>-58800</v>
      </c>
      <c r="Q812" s="66">
        <f t="shared" ref="Q812:Q822" si="112">+M812+P812</f>
        <v>0</v>
      </c>
    </row>
    <row r="813" spans="1:18" hidden="1">
      <c r="A813" s="1" t="s">
        <v>903</v>
      </c>
      <c r="B813" s="1" t="s">
        <v>15</v>
      </c>
      <c r="C813" s="91">
        <v>126216706478</v>
      </c>
      <c r="D813" s="3">
        <v>83692.37</v>
      </c>
      <c r="E813" s="3">
        <v>14109021.359999999</v>
      </c>
      <c r="F813" s="35" t="s">
        <v>2750</v>
      </c>
      <c r="G813"/>
      <c r="H813"/>
      <c r="I813" s="27">
        <f>-IFERROR(VLOOKUP(C813,SIRCUPA!$A$21:$H$155,8,0),0)</f>
        <v>0</v>
      </c>
      <c r="J813" s="88">
        <f>-IFERROR(VLOOKUP(C813,SIRTAC!$A$16:$H$1288,8,0),0)</f>
        <v>-859</v>
      </c>
      <c r="K813" s="88">
        <f>-IFERROR(VLOOKUP(C813,Gastos!$A$9:$J$1281,10,0),0)</f>
        <v>-833.23</v>
      </c>
      <c r="L813" s="87">
        <f>-IFERROR(VLOOKUP(C813,IDC!$A$25:$H$1532,8,0),0)</f>
        <v>-515.4</v>
      </c>
      <c r="M813" s="122">
        <f t="shared" si="110"/>
        <v>85899.999999999985</v>
      </c>
      <c r="N813"/>
      <c r="P813" s="35">
        <f t="shared" si="111"/>
        <v>-85900</v>
      </c>
      <c r="Q813" s="66">
        <f t="shared" si="112"/>
        <v>0</v>
      </c>
    </row>
    <row r="814" spans="1:18" hidden="1">
      <c r="A814" s="1" t="s">
        <v>903</v>
      </c>
      <c r="B814" s="1" t="s">
        <v>15</v>
      </c>
      <c r="C814" s="91">
        <v>126216657442</v>
      </c>
      <c r="D814" s="3">
        <v>31630.82</v>
      </c>
      <c r="E814" s="3">
        <v>14140652.18</v>
      </c>
      <c r="F814" s="35" t="s">
        <v>2750</v>
      </c>
      <c r="G814"/>
      <c r="H814"/>
      <c r="I814" s="27">
        <f>-IFERROR(VLOOKUP(C814,SIRCUPA!$A$21:$H$155,8,0),0)</f>
        <v>0</v>
      </c>
      <c r="J814" s="88">
        <f>-IFERROR(VLOOKUP(C814,SIRTAC!$A$16:$H$1288,8,0),0)</f>
        <v>-337</v>
      </c>
      <c r="K814" s="88">
        <f>-IFERROR(VLOOKUP(C814,Gastos!$A$9:$J$1281,10,0),0)</f>
        <v>-1529.98</v>
      </c>
      <c r="L814" s="87">
        <f>-IFERROR(VLOOKUP(C814,IDC!$A$25:$H$1532,8,0),0)</f>
        <v>-202.2</v>
      </c>
      <c r="M814" s="122">
        <f t="shared" si="110"/>
        <v>33700</v>
      </c>
      <c r="N814"/>
      <c r="P814" s="35">
        <f t="shared" si="111"/>
        <v>-33700</v>
      </c>
      <c r="Q814" s="66">
        <f t="shared" si="112"/>
        <v>0</v>
      </c>
    </row>
    <row r="815" spans="1:18" hidden="1">
      <c r="A815" s="1" t="s">
        <v>903</v>
      </c>
      <c r="B815" s="1" t="s">
        <v>15</v>
      </c>
      <c r="C815" s="91">
        <v>126216807538</v>
      </c>
      <c r="D815" s="3">
        <v>22896.05</v>
      </c>
      <c r="E815" s="3">
        <v>14163548.23</v>
      </c>
      <c r="F815" s="35" t="s">
        <v>2750</v>
      </c>
      <c r="G815"/>
      <c r="H815"/>
      <c r="I815" s="27">
        <f>-IFERROR(VLOOKUP(C815,SIRCUPA!$A$21:$H$155,8,0),0)</f>
        <v>0</v>
      </c>
      <c r="J815" s="88">
        <f>-IFERROR(VLOOKUP(C815,SIRTAC!$A$16:$H$1288,8,0),0)</f>
        <v>-235</v>
      </c>
      <c r="K815" s="88">
        <f>-IFERROR(VLOOKUP(C815,Gastos!$A$9:$J$1281,10,0),0)</f>
        <v>-227.95</v>
      </c>
      <c r="L815" s="87">
        <f>-IFERROR(VLOOKUP(C815,IDC!$A$25:$H$1532,8,0),0)</f>
        <v>-141</v>
      </c>
      <c r="M815" s="122">
        <f t="shared" si="110"/>
        <v>23500</v>
      </c>
      <c r="N815"/>
      <c r="P815" s="35">
        <f t="shared" si="111"/>
        <v>-23500</v>
      </c>
      <c r="Q815" s="66">
        <f t="shared" si="112"/>
        <v>0</v>
      </c>
    </row>
    <row r="816" spans="1:18" hidden="1">
      <c r="A816" s="1" t="s">
        <v>903</v>
      </c>
      <c r="B816" s="1" t="s">
        <v>15</v>
      </c>
      <c r="C816" s="91">
        <v>126217102720</v>
      </c>
      <c r="D816" s="3">
        <v>26988.11</v>
      </c>
      <c r="E816" s="3">
        <v>14190536.34</v>
      </c>
      <c r="F816" s="35" t="s">
        <v>2750</v>
      </c>
      <c r="G816"/>
      <c r="H816"/>
      <c r="I816" s="27">
        <f>-IFERROR(VLOOKUP(C816,SIRCUPA!$A$21:$H$155,8,0),0)</f>
        <v>0</v>
      </c>
      <c r="J816" s="88">
        <f>-IFERROR(VLOOKUP(C816,SIRTAC!$A$16:$H$1288,8,0),0)</f>
        <v>-277</v>
      </c>
      <c r="K816" s="88">
        <f>-IFERROR(VLOOKUP(C816,Gastos!$A$9:$J$1281,10,0),0)</f>
        <v>-268.69</v>
      </c>
      <c r="L816" s="87">
        <f>-IFERROR(VLOOKUP(C816,IDC!$A$25:$H$1532,8,0),0)</f>
        <v>-166.2</v>
      </c>
      <c r="M816" s="122">
        <f t="shared" si="110"/>
        <v>27700</v>
      </c>
      <c r="N816"/>
      <c r="P816" s="35">
        <f t="shared" si="111"/>
        <v>-27699.999999999996</v>
      </c>
      <c r="Q816" s="66">
        <f t="shared" si="112"/>
        <v>0</v>
      </c>
    </row>
    <row r="817" spans="1:18" hidden="1">
      <c r="A817" s="1" t="s">
        <v>903</v>
      </c>
      <c r="B817" s="1" t="s">
        <v>15</v>
      </c>
      <c r="C817" s="91">
        <v>126217490808</v>
      </c>
      <c r="D817" s="3">
        <v>8768.7000000000007</v>
      </c>
      <c r="E817" s="3">
        <v>14199305.039999999</v>
      </c>
      <c r="F817" s="35" t="s">
        <v>2750</v>
      </c>
      <c r="G817"/>
      <c r="H817"/>
      <c r="I817" s="27">
        <f>-IFERROR(VLOOKUP(C817,SIRCUPA!$A$21:$H$155,8,0),0)</f>
        <v>0</v>
      </c>
      <c r="J817" s="88">
        <f>-IFERROR(VLOOKUP(C817,SIRTAC!$A$16:$H$1288,8,0),0)</f>
        <v>-90</v>
      </c>
      <c r="K817" s="88">
        <f>-IFERROR(VLOOKUP(C817,Gastos!$A$9:$J$1281,10,0),0)</f>
        <v>-87.3</v>
      </c>
      <c r="L817" s="87">
        <f>-IFERROR(VLOOKUP(C817,IDC!$A$25:$H$1532,8,0),0)</f>
        <v>-54</v>
      </c>
      <c r="M817" s="122">
        <f t="shared" si="110"/>
        <v>9000</v>
      </c>
      <c r="N817"/>
      <c r="P817" s="35">
        <f t="shared" si="111"/>
        <v>-9000</v>
      </c>
      <c r="Q817" s="66">
        <f t="shared" si="112"/>
        <v>0</v>
      </c>
    </row>
    <row r="818" spans="1:18" hidden="1">
      <c r="A818" s="1" t="s">
        <v>903</v>
      </c>
      <c r="B818" s="1" t="s">
        <v>15</v>
      </c>
      <c r="C818" s="91">
        <v>126217984052</v>
      </c>
      <c r="D818" s="3">
        <v>48812.43</v>
      </c>
      <c r="E818" s="3">
        <v>14248117.470000001</v>
      </c>
      <c r="F818" s="35" t="s">
        <v>2750</v>
      </c>
      <c r="G818"/>
      <c r="H818"/>
      <c r="I818" s="27">
        <f>-IFERROR(VLOOKUP(C818,SIRCUPA!$A$21:$H$155,8,0),0)</f>
        <v>0</v>
      </c>
      <c r="J818" s="88">
        <f>-IFERROR(VLOOKUP(C818,SIRTAC!$A$16:$H$1288,8,0),0)</f>
        <v>-501</v>
      </c>
      <c r="K818" s="88">
        <f>-IFERROR(VLOOKUP(C818,Gastos!$A$9:$J$1281,10,0),0)</f>
        <v>-485.97</v>
      </c>
      <c r="L818" s="87">
        <f>-IFERROR(VLOOKUP(C818,IDC!$A$25:$H$1532,8,0),0)</f>
        <v>-300.60000000000002</v>
      </c>
      <c r="M818" s="122">
        <f t="shared" si="110"/>
        <v>50100</v>
      </c>
      <c r="N818"/>
      <c r="P818" s="35">
        <f t="shared" si="111"/>
        <v>-50100</v>
      </c>
      <c r="Q818" s="66">
        <f t="shared" si="112"/>
        <v>0</v>
      </c>
    </row>
    <row r="819" spans="1:18" hidden="1">
      <c r="A819" s="1" t="s">
        <v>903</v>
      </c>
      <c r="B819" s="1" t="s">
        <v>911</v>
      </c>
      <c r="C819" s="91">
        <v>126218156282</v>
      </c>
      <c r="D819" s="3">
        <v>4904.79</v>
      </c>
      <c r="E819" s="3">
        <v>14253022.26</v>
      </c>
      <c r="F819" s="2" t="s">
        <v>2750</v>
      </c>
      <c r="G819"/>
      <c r="H819"/>
      <c r="I819" s="27">
        <f>-IFERROR(VLOOKUP(C819,SIRCUPA!$A$21:$H$155,8,0),0)</f>
        <v>-75.150000000000006</v>
      </c>
      <c r="J819" s="88">
        <f>-IFERROR(VLOOKUP(C819,SIRTAC!$A$16:$H$1288,8,0),0)</f>
        <v>0</v>
      </c>
      <c r="K819" s="88">
        <f>-IFERROR(VLOOKUP(C819,Gastos!$A$9:$J$1281,10,0),0)</f>
        <v>0</v>
      </c>
      <c r="L819" s="87">
        <f>-IFERROR(VLOOKUP(C819,IDC!$A$25:$H$1532,8,0),0)</f>
        <v>-30.06</v>
      </c>
      <c r="M819" s="122">
        <f t="shared" si="110"/>
        <v>5010</v>
      </c>
      <c r="N819"/>
      <c r="P819" s="35">
        <f t="shared" si="111"/>
        <v>-5010</v>
      </c>
      <c r="Q819" s="66">
        <f t="shared" si="112"/>
        <v>0</v>
      </c>
    </row>
    <row r="820" spans="1:18" hidden="1">
      <c r="A820" s="1" t="s">
        <v>903</v>
      </c>
      <c r="B820" s="1" t="s">
        <v>15</v>
      </c>
      <c r="C820" s="91">
        <v>126218238140</v>
      </c>
      <c r="D820" s="3">
        <v>35172.230000000003</v>
      </c>
      <c r="E820" s="3">
        <v>14288194.49</v>
      </c>
      <c r="F820" s="35" t="s">
        <v>2750</v>
      </c>
      <c r="G820"/>
      <c r="H820"/>
      <c r="I820" s="27">
        <f>-IFERROR(VLOOKUP(C820,SIRCUPA!$A$21:$H$155,8,0),0)</f>
        <v>0</v>
      </c>
      <c r="J820" s="88">
        <f>-IFERROR(VLOOKUP(C820,SIRTAC!$A$16:$H$1288,8,0),0)</f>
        <v>-361</v>
      </c>
      <c r="K820" s="88">
        <f>-IFERROR(VLOOKUP(C820,Gastos!$A$9:$J$1281,10,0),0)</f>
        <v>-350.17</v>
      </c>
      <c r="L820" s="87">
        <f>-IFERROR(VLOOKUP(C820,IDC!$A$25:$H$1532,8,0),0)</f>
        <v>-216.6</v>
      </c>
      <c r="M820" s="122">
        <f t="shared" si="110"/>
        <v>36100</v>
      </c>
      <c r="N820"/>
      <c r="P820" s="35">
        <f t="shared" si="111"/>
        <v>-36100</v>
      </c>
      <c r="Q820" s="66">
        <f t="shared" si="112"/>
        <v>0</v>
      </c>
    </row>
    <row r="821" spans="1:18" hidden="1">
      <c r="A821" s="35" t="s">
        <v>903</v>
      </c>
      <c r="B821" s="35" t="s">
        <v>15</v>
      </c>
      <c r="C821" s="91">
        <v>126218221652</v>
      </c>
      <c r="D821" s="3">
        <v>21063.279999999999</v>
      </c>
      <c r="E821" s="3">
        <v>14309257.77</v>
      </c>
      <c r="F821" s="35" t="s">
        <v>2750</v>
      </c>
      <c r="G821" s="35"/>
      <c r="H821" s="35"/>
      <c r="I821" s="27">
        <f>-IFERROR(VLOOKUP(C821,SIRCUPA!$A$21:$H$155,8,0),0)</f>
        <v>0</v>
      </c>
      <c r="J821" s="88">
        <f>-IFERROR(VLOOKUP(C821,SIRTAC!$A$16:$H$1288,8,0),0)</f>
        <v>-232</v>
      </c>
      <c r="K821" s="88">
        <f>-IFERROR(VLOOKUP(C821,Gastos!$A$9:$J$1281,10,0),0)</f>
        <v>-1765.52</v>
      </c>
      <c r="L821" s="87">
        <f>-IFERROR(VLOOKUP(C821,IDC!$A$25:$H$1532,8,0),0)</f>
        <v>-139.19999999999999</v>
      </c>
      <c r="M821" s="122">
        <f t="shared" si="110"/>
        <v>23200</v>
      </c>
      <c r="N821" s="35"/>
      <c r="O821" s="35"/>
      <c r="P821" s="35">
        <f t="shared" si="111"/>
        <v>-23199.999999999996</v>
      </c>
      <c r="Q821" s="66">
        <f t="shared" si="112"/>
        <v>0</v>
      </c>
    </row>
    <row r="822" spans="1:18" s="59" customFormat="1" hidden="1">
      <c r="A822" s="35" t="s">
        <v>903</v>
      </c>
      <c r="B822" s="35" t="s">
        <v>15</v>
      </c>
      <c r="C822" s="91">
        <v>125666113965</v>
      </c>
      <c r="D822" s="3">
        <v>37607.980000000003</v>
      </c>
      <c r="E822" s="3">
        <v>14346865.75</v>
      </c>
      <c r="F822" s="35" t="s">
        <v>2750</v>
      </c>
      <c r="G822" s="35"/>
      <c r="H822" s="35"/>
      <c r="I822" s="27">
        <f>-IFERROR(VLOOKUP(C822,SIRCUPA!$A$21:$H$155,8,0),0)</f>
        <v>0</v>
      </c>
      <c r="J822" s="88">
        <f>-IFERROR(VLOOKUP(C822,SIRTAC!$A$16:$H$1288,8,0),0)</f>
        <v>-386</v>
      </c>
      <c r="K822" s="88">
        <f>-IFERROR(VLOOKUP(C822,Gastos!$A$9:$J$1281,10,0),0)</f>
        <v>-374.42</v>
      </c>
      <c r="L822" s="87">
        <f>-IFERROR(VLOOKUP(C822,IDC!$A$25:$H$1532,8,0),0)</f>
        <v>-231.6</v>
      </c>
      <c r="M822" s="122">
        <f t="shared" si="110"/>
        <v>38600</v>
      </c>
      <c r="N822" s="35"/>
      <c r="O822" s="35"/>
      <c r="P822" s="35">
        <f t="shared" si="111"/>
        <v>-38600</v>
      </c>
      <c r="Q822" s="66">
        <f t="shared" si="112"/>
        <v>0</v>
      </c>
    </row>
    <row r="823" spans="1:18" s="59" customFormat="1" hidden="1">
      <c r="A823" s="59" t="s">
        <v>14</v>
      </c>
      <c r="B823" s="59" t="s">
        <v>29</v>
      </c>
      <c r="C823" s="112">
        <v>124454118654</v>
      </c>
      <c r="D823" s="64">
        <v>-273665.15999999997</v>
      </c>
      <c r="E823" s="3">
        <v>12453121.779999999</v>
      </c>
      <c r="F823" s="63" t="s">
        <v>2751</v>
      </c>
      <c r="G823" s="65">
        <f t="shared" ref="G823:G848" si="113">+D823/1.006</f>
        <v>-272032.96222664014</v>
      </c>
      <c r="H823" s="65">
        <f t="shared" ref="H823:H848" si="114">+D823-G823</f>
        <v>-1632.1977733598324</v>
      </c>
      <c r="I823" s="108">
        <f>-IFERROR(VLOOKUP(C823,SIRCUPA!$A$21:$H$155,8,0),0)</f>
        <v>0</v>
      </c>
      <c r="J823" s="108">
        <f>-IFERROR(VLOOKUP(C823,SIRTAC!$A$16:$H$1288,8,0),0)</f>
        <v>0</v>
      </c>
      <c r="K823" s="108">
        <f>-IFERROR(VLOOKUP(C823,Gastos!$A$9:$J$1281,10,0),0)</f>
        <v>0</v>
      </c>
      <c r="L823" s="65"/>
      <c r="M823" s="123">
        <f t="shared" ref="M823:M827" si="115">+D823</f>
        <v>-273665.15999999997</v>
      </c>
      <c r="N823" s="65"/>
      <c r="Q823" s="3">
        <f t="shared" ref="Q823:Q827" si="116">+D823</f>
        <v>-273665.15999999997</v>
      </c>
      <c r="R823" s="66">
        <f t="shared" ref="R823:R848" si="117">+M823-Q823</f>
        <v>0</v>
      </c>
    </row>
    <row r="824" spans="1:18" hidden="1">
      <c r="A824" s="59" t="s">
        <v>466</v>
      </c>
      <c r="B824" s="59" t="s">
        <v>29</v>
      </c>
      <c r="C824" s="112">
        <v>125360500974</v>
      </c>
      <c r="D824" s="64">
        <v>-270624.43</v>
      </c>
      <c r="E824" s="3">
        <v>12023488.58</v>
      </c>
      <c r="F824" s="63" t="s">
        <v>2751</v>
      </c>
      <c r="G824" s="65">
        <f t="shared" si="113"/>
        <v>-269010.36779324053</v>
      </c>
      <c r="H824" s="65">
        <f t="shared" si="114"/>
        <v>-1614.0622067594668</v>
      </c>
      <c r="I824" s="108">
        <f>-IFERROR(VLOOKUP(C824,SIRCUPA!$A$21:$H$155,8,0),0)</f>
        <v>0</v>
      </c>
      <c r="J824" s="108">
        <f>-IFERROR(VLOOKUP(C824,SIRTAC!$A$16:$H$1288,8,0),0)</f>
        <v>0</v>
      </c>
      <c r="K824" s="108">
        <f>-IFERROR(VLOOKUP(C824,Gastos!$A$9:$J$1281,10,0),0)</f>
        <v>0</v>
      </c>
      <c r="L824" s="65"/>
      <c r="M824" s="123">
        <f t="shared" si="115"/>
        <v>-270624.43</v>
      </c>
      <c r="N824" s="65"/>
      <c r="O824" s="59"/>
      <c r="Q824" s="3">
        <f t="shared" si="116"/>
        <v>-270624.43</v>
      </c>
      <c r="R824" s="66">
        <f t="shared" si="117"/>
        <v>0</v>
      </c>
    </row>
    <row r="825" spans="1:18" hidden="1">
      <c r="A825" s="59" t="s">
        <v>903</v>
      </c>
      <c r="B825" s="59" t="s">
        <v>29</v>
      </c>
      <c r="C825" s="112">
        <v>125715190737</v>
      </c>
      <c r="D825" s="64">
        <v>-264542.99</v>
      </c>
      <c r="E825" s="3">
        <v>12408268.34</v>
      </c>
      <c r="F825" s="63" t="s">
        <v>2751</v>
      </c>
      <c r="G825" s="65">
        <f t="shared" si="113"/>
        <v>-262965.19880715705</v>
      </c>
      <c r="H825" s="65">
        <f t="shared" si="114"/>
        <v>-1577.7911928429385</v>
      </c>
      <c r="I825" s="108">
        <f>-IFERROR(VLOOKUP(C825,SIRCUPA!$A$21:$H$155,8,0),0)</f>
        <v>0</v>
      </c>
      <c r="J825" s="108">
        <f>-IFERROR(VLOOKUP(C825,SIRTAC!$A$16:$H$1288,8,0),0)</f>
        <v>0</v>
      </c>
      <c r="K825" s="108">
        <f>-IFERROR(VLOOKUP(C825,Gastos!$A$9:$J$1281,10,0),0)</f>
        <v>0</v>
      </c>
      <c r="L825" s="65"/>
      <c r="M825" s="123">
        <f t="shared" si="115"/>
        <v>-264542.99</v>
      </c>
      <c r="N825" s="65"/>
      <c r="O825" s="59"/>
      <c r="Q825" s="3">
        <f t="shared" si="116"/>
        <v>-264542.99</v>
      </c>
      <c r="R825" s="66">
        <f t="shared" si="117"/>
        <v>0</v>
      </c>
    </row>
    <row r="826" spans="1:18" hidden="1">
      <c r="A826" s="59" t="s">
        <v>1282</v>
      </c>
      <c r="B826" s="59" t="s">
        <v>29</v>
      </c>
      <c r="C826" s="112">
        <v>127124821744</v>
      </c>
      <c r="D826" s="64">
        <v>-176361.99</v>
      </c>
      <c r="E826" s="3">
        <v>9813043.6099999994</v>
      </c>
      <c r="F826" s="63" t="s">
        <v>2751</v>
      </c>
      <c r="G826" s="65">
        <f t="shared" si="113"/>
        <v>-175310.12922465208</v>
      </c>
      <c r="H826" s="65">
        <f t="shared" si="114"/>
        <v>-1051.8607753479155</v>
      </c>
      <c r="I826" s="108">
        <f>-IFERROR(VLOOKUP(C826,SIRCUPA!$A$21:$H$155,8,0),0)</f>
        <v>0</v>
      </c>
      <c r="J826" s="108">
        <f>-IFERROR(VLOOKUP(C826,SIRTAC!$A$16:$H$1288,8,0),0)</f>
        <v>0</v>
      </c>
      <c r="K826" s="108">
        <f>-IFERROR(VLOOKUP(C826,Gastos!$A$9:$J$1281,10,0),0)</f>
        <v>0</v>
      </c>
      <c r="L826" s="65"/>
      <c r="M826" s="123">
        <f t="shared" si="115"/>
        <v>-176361.99</v>
      </c>
      <c r="N826" s="65"/>
      <c r="O826" s="59"/>
      <c r="Q826" s="3">
        <f t="shared" si="116"/>
        <v>-176361.99</v>
      </c>
      <c r="R826" s="66">
        <f t="shared" si="117"/>
        <v>0</v>
      </c>
    </row>
    <row r="827" spans="1:18" s="59" customFormat="1" hidden="1">
      <c r="A827" s="59" t="s">
        <v>1683</v>
      </c>
      <c r="B827" s="59" t="s">
        <v>29</v>
      </c>
      <c r="C827" s="112">
        <v>127373558177</v>
      </c>
      <c r="D827" s="64">
        <v>-261502.26</v>
      </c>
      <c r="E827" s="3">
        <v>12258965.01</v>
      </c>
      <c r="F827" s="63" t="s">
        <v>2751</v>
      </c>
      <c r="G827" s="65">
        <f t="shared" si="113"/>
        <v>-259942.60437375747</v>
      </c>
      <c r="H827" s="65">
        <f t="shared" si="114"/>
        <v>-1559.6556262425438</v>
      </c>
      <c r="I827" s="108">
        <f>-IFERROR(VLOOKUP(C827,SIRCUPA!$A$21:$H$155,8,0),0)</f>
        <v>0</v>
      </c>
      <c r="J827" s="108">
        <f>-IFERROR(VLOOKUP(C827,SIRTAC!$A$16:$H$1288,8,0),0)</f>
        <v>0</v>
      </c>
      <c r="K827" s="108">
        <f>-IFERROR(VLOOKUP(C827,Gastos!$A$9:$J$1281,10,0),0)</f>
        <v>0</v>
      </c>
      <c r="L827" s="65"/>
      <c r="M827" s="123">
        <f t="shared" si="115"/>
        <v>-261502.26</v>
      </c>
      <c r="N827" s="65"/>
      <c r="Q827" s="3">
        <f t="shared" si="116"/>
        <v>-261502.26</v>
      </c>
      <c r="R827" s="66">
        <f t="shared" si="117"/>
        <v>0</v>
      </c>
    </row>
    <row r="828" spans="1:18" s="59" customFormat="1">
      <c r="A828" s="35" t="s">
        <v>132</v>
      </c>
      <c r="B828" s="35" t="s">
        <v>189</v>
      </c>
      <c r="C828" s="91">
        <v>124474681067</v>
      </c>
      <c r="D828" s="3">
        <v>-2213333.84</v>
      </c>
      <c r="E828" s="3">
        <v>6963485.04</v>
      </c>
      <c r="F828" s="2" t="s">
        <v>2752</v>
      </c>
      <c r="G828" s="4">
        <f t="shared" si="113"/>
        <v>-2200133.041749503</v>
      </c>
      <c r="H828" s="4">
        <f t="shared" si="114"/>
        <v>-13200.798250496853</v>
      </c>
      <c r="I828" s="27">
        <f>-IFERROR(VLOOKUP(C828,SIRCUPA!$A$21:$H$155,8,0),0)</f>
        <v>0</v>
      </c>
      <c r="J828" s="88">
        <f>-IFERROR(VLOOKUP(C828,SIRTAC!$A$16:$H$1288,8,0),0)</f>
        <v>0</v>
      </c>
      <c r="K828" s="88">
        <f>-IFERROR(VLOOKUP(C828,Gastos!$A$9:$J$1281,10,0),0)</f>
        <v>0</v>
      </c>
      <c r="L828" s="87">
        <f>+H828</f>
        <v>-13200.798250496853</v>
      </c>
      <c r="M828" s="121">
        <f>+D828-I828-J828-K828-L828</f>
        <v>-2200133.041749503</v>
      </c>
      <c r="N828" s="4"/>
      <c r="O828" s="35"/>
      <c r="Q828" s="35">
        <f t="shared" ref="Q828:Q847" si="118">+L828/0.006</f>
        <v>-2200133.0417494755</v>
      </c>
      <c r="R828" s="66">
        <f t="shared" si="117"/>
        <v>-2.7474015951156616E-8</v>
      </c>
    </row>
    <row r="829" spans="1:18" s="59" customFormat="1">
      <c r="A829" s="35" t="s">
        <v>1282</v>
      </c>
      <c r="B829" s="35" t="s">
        <v>189</v>
      </c>
      <c r="C829" s="91">
        <v>126558339359</v>
      </c>
      <c r="D829" s="3">
        <v>-527435.88</v>
      </c>
      <c r="E829" s="3">
        <v>10882841.75</v>
      </c>
      <c r="F829" s="2" t="s">
        <v>2752</v>
      </c>
      <c r="G829" s="4">
        <f t="shared" si="113"/>
        <v>-524290.13916500995</v>
      </c>
      <c r="H829" s="4">
        <f t="shared" si="114"/>
        <v>-3145.7408349900506</v>
      </c>
      <c r="I829" s="27">
        <f>-IFERROR(VLOOKUP(C829,SIRCUPA!$A$21:$H$155,8,0),0)</f>
        <v>0</v>
      </c>
      <c r="J829" s="88">
        <f>-IFERROR(VLOOKUP(C829,SIRTAC!$A$16:$H$1288,8,0),0)</f>
        <v>0</v>
      </c>
      <c r="K829" s="88">
        <f>-IFERROR(VLOOKUP(C829,Gastos!$A$9:$J$1281,10,0),0)</f>
        <v>0</v>
      </c>
      <c r="L829" s="87">
        <f>+H829</f>
        <v>-3145.7408349900506</v>
      </c>
      <c r="M829" s="121">
        <f>+D829-I829-J829-K829-L829</f>
        <v>-524290.13916500995</v>
      </c>
      <c r="N829" s="4"/>
      <c r="O829" s="35"/>
      <c r="Q829" s="35">
        <f t="shared" si="118"/>
        <v>-524290.13916500844</v>
      </c>
      <c r="R829" s="66">
        <f t="shared" si="117"/>
        <v>-1.5133991837501526E-9</v>
      </c>
    </row>
    <row r="830" spans="1:18" s="59" customFormat="1">
      <c r="A830" s="35" t="s">
        <v>1282</v>
      </c>
      <c r="B830" s="35" t="s">
        <v>189</v>
      </c>
      <c r="C830" s="91">
        <v>127135771494</v>
      </c>
      <c r="D830" s="3">
        <v>-736855.88</v>
      </c>
      <c r="E830" s="3">
        <v>8760140.9000000004</v>
      </c>
      <c r="F830" s="2" t="s">
        <v>2752</v>
      </c>
      <c r="G830" s="4">
        <f t="shared" si="113"/>
        <v>-732461.11332007952</v>
      </c>
      <c r="H830" s="4">
        <f t="shared" si="114"/>
        <v>-4394.766679920489</v>
      </c>
      <c r="I830" s="27">
        <f>-IFERROR(VLOOKUP(C830,SIRCUPA!$A$21:$H$155,8,0),0)</f>
        <v>0</v>
      </c>
      <c r="J830" s="88">
        <f>-IFERROR(VLOOKUP(C830,SIRTAC!$A$16:$H$1288,8,0),0)</f>
        <v>0</v>
      </c>
      <c r="K830" s="88">
        <f>-IFERROR(VLOOKUP(C830,Gastos!$A$9:$J$1281,10,0),0)</f>
        <v>0</v>
      </c>
      <c r="L830" s="87">
        <f>+H830</f>
        <v>-4394.766679920489</v>
      </c>
      <c r="M830" s="121">
        <f>+D830-I830-J830-K830-L830</f>
        <v>-732461.11332007952</v>
      </c>
      <c r="N830" s="4"/>
      <c r="O830" s="35"/>
      <c r="Q830" s="35">
        <f t="shared" si="118"/>
        <v>-732461.11332008149</v>
      </c>
      <c r="R830" s="66">
        <f t="shared" si="117"/>
        <v>1.9790604710578918E-9</v>
      </c>
    </row>
    <row r="831" spans="1:18" s="59" customFormat="1">
      <c r="A831" s="35" t="s">
        <v>1713</v>
      </c>
      <c r="B831" s="35" t="s">
        <v>189</v>
      </c>
      <c r="C831" s="91">
        <v>128067663200</v>
      </c>
      <c r="D831" s="3">
        <v>-71540.38</v>
      </c>
      <c r="E831" s="3">
        <v>10882608.51</v>
      </c>
      <c r="F831" s="2" t="s">
        <v>2752</v>
      </c>
      <c r="G831" s="4">
        <f t="shared" si="113"/>
        <v>-71113.697813121282</v>
      </c>
      <c r="H831" s="4">
        <f t="shared" si="114"/>
        <v>-426.68218687872286</v>
      </c>
      <c r="I831" s="27">
        <f>-IFERROR(VLOOKUP(C831,SIRCUPA!$A$21:$H$155,8,0),0)</f>
        <v>0</v>
      </c>
      <c r="J831" s="88">
        <f>-IFERROR(VLOOKUP(C831,SIRTAC!$A$16:$H$1288,8,0),0)</f>
        <v>0</v>
      </c>
      <c r="K831" s="88">
        <f>-IFERROR(VLOOKUP(C831,Gastos!$A$9:$J$1281,10,0),0)</f>
        <v>0</v>
      </c>
      <c r="L831" s="87">
        <f>+H831</f>
        <v>-426.68218687872286</v>
      </c>
      <c r="M831" s="121">
        <f>+D831-I831-J831-K831-L831</f>
        <v>-71113.697813121282</v>
      </c>
      <c r="N831" s="4"/>
      <c r="O831" s="35"/>
      <c r="Q831" s="35">
        <f t="shared" si="118"/>
        <v>-71113.697813120481</v>
      </c>
      <c r="R831" s="66">
        <f t="shared" si="117"/>
        <v>-8.0035533756017685E-10</v>
      </c>
    </row>
    <row r="832" spans="1:18" s="59" customFormat="1" hidden="1">
      <c r="A832" s="35" t="s">
        <v>65</v>
      </c>
      <c r="B832" s="35" t="s">
        <v>81</v>
      </c>
      <c r="C832" s="91">
        <v>124295531407</v>
      </c>
      <c r="D832" s="3">
        <v>-21729.59</v>
      </c>
      <c r="E832" s="3">
        <v>8448248.3800000008</v>
      </c>
      <c r="F832" s="35" t="s">
        <v>2751</v>
      </c>
      <c r="G832" s="4">
        <f t="shared" si="113"/>
        <v>-21599.990059642147</v>
      </c>
      <c r="H832" s="4">
        <f t="shared" si="114"/>
        <v>-129.59994035785348</v>
      </c>
      <c r="I832" s="27">
        <f>-IFERROR(VLOOKUP(C832,SIRCUPA!$A$21:$H$155,8,0),0)</f>
        <v>0</v>
      </c>
      <c r="J832" s="88">
        <f>-IFERROR(VLOOKUP(C832,SIRTAC!$A$16:$H$1288,8,0),0)</f>
        <v>0</v>
      </c>
      <c r="K832" s="88">
        <f>-IFERROR(VLOOKUP(C832,Gastos!$A$9:$J$1281,10,0),0)</f>
        <v>0</v>
      </c>
      <c r="L832" s="87">
        <f>+D832-G832</f>
        <v>-129.59994035785348</v>
      </c>
      <c r="M832" s="121">
        <f t="shared" ref="M832:M834" si="119">+D832-I832-J832-K832-L832</f>
        <v>-21599.990059642147</v>
      </c>
      <c r="N832" s="4"/>
      <c r="O832" s="35" t="s">
        <v>1736</v>
      </c>
      <c r="Q832" s="35">
        <f t="shared" si="118"/>
        <v>-21599.990059642249</v>
      </c>
      <c r="R832" s="66">
        <f t="shared" si="117"/>
        <v>1.0186340659856796E-10</v>
      </c>
    </row>
    <row r="833" spans="1:18" s="59" customFormat="1" hidden="1">
      <c r="A833" s="35" t="s">
        <v>903</v>
      </c>
      <c r="B833" s="35" t="s">
        <v>81</v>
      </c>
      <c r="C833" s="91">
        <v>126316363178</v>
      </c>
      <c r="D833" s="3">
        <v>-21729.59</v>
      </c>
      <c r="E833" s="3">
        <v>11463548.85</v>
      </c>
      <c r="F833" s="35" t="s">
        <v>2751</v>
      </c>
      <c r="G833" s="4">
        <f t="shared" si="113"/>
        <v>-21599.990059642147</v>
      </c>
      <c r="H833" s="4">
        <f t="shared" si="114"/>
        <v>-129.59994035785348</v>
      </c>
      <c r="I833" s="27">
        <f>-IFERROR(VLOOKUP(C833,SIRCUPA!$A$21:$H$155,8,0),0)</f>
        <v>0</v>
      </c>
      <c r="J833" s="88">
        <f>-IFERROR(VLOOKUP(C833,SIRTAC!$A$16:$H$1288,8,0),0)</f>
        <v>0</v>
      </c>
      <c r="K833" s="88">
        <f>-IFERROR(VLOOKUP(C833,Gastos!$A$9:$J$1281,10,0),0)</f>
        <v>0</v>
      </c>
      <c r="L833" s="87">
        <f>+D833-G833</f>
        <v>-129.59994035785348</v>
      </c>
      <c r="M833" s="121">
        <f t="shared" si="119"/>
        <v>-21599.990059642147</v>
      </c>
      <c r="N833" s="4"/>
      <c r="O833" s="35" t="s">
        <v>1736</v>
      </c>
      <c r="Q833" s="35">
        <f t="shared" si="118"/>
        <v>-21599.990059642249</v>
      </c>
      <c r="R833" s="66">
        <f t="shared" si="117"/>
        <v>1.0186340659856796E-10</v>
      </c>
    </row>
    <row r="834" spans="1:18" s="59" customFormat="1" hidden="1">
      <c r="A834" s="35" t="s">
        <v>1683</v>
      </c>
      <c r="B834" s="35" t="s">
        <v>81</v>
      </c>
      <c r="C834" s="91">
        <v>127934358644</v>
      </c>
      <c r="D834" s="3">
        <v>-46356.45</v>
      </c>
      <c r="E834" s="3">
        <v>13718586.619999999</v>
      </c>
      <c r="F834" s="35" t="s">
        <v>2751</v>
      </c>
      <c r="G834" s="4">
        <f t="shared" si="113"/>
        <v>-46079.970178926436</v>
      </c>
      <c r="H834" s="4">
        <f t="shared" si="114"/>
        <v>-276.47982107356074</v>
      </c>
      <c r="I834" s="27">
        <f>-IFERROR(VLOOKUP(C834,SIRCUPA!$A$21:$H$155,8,0),0)</f>
        <v>0</v>
      </c>
      <c r="J834" s="88">
        <f>-IFERROR(VLOOKUP(C834,SIRTAC!$A$16:$H$1288,8,0),0)</f>
        <v>0</v>
      </c>
      <c r="K834" s="88">
        <f>-IFERROR(VLOOKUP(C834,Gastos!$A$9:$J$1281,10,0),0)</f>
        <v>0</v>
      </c>
      <c r="L834" s="87">
        <f>+D834-G834</f>
        <v>-276.47982107356074</v>
      </c>
      <c r="M834" s="121">
        <f t="shared" si="119"/>
        <v>-46079.970178926436</v>
      </c>
      <c r="N834" s="4"/>
      <c r="O834" s="35" t="s">
        <v>1736</v>
      </c>
      <c r="Q834" s="35">
        <f t="shared" si="118"/>
        <v>-46079.970178926793</v>
      </c>
      <c r="R834" s="66">
        <f t="shared" si="117"/>
        <v>3.5652192309498787E-10</v>
      </c>
    </row>
    <row r="835" spans="1:18" s="59" customFormat="1" hidden="1">
      <c r="A835" s="59" t="s">
        <v>14</v>
      </c>
      <c r="B835" s="59" t="s">
        <v>33</v>
      </c>
      <c r="C835" s="112">
        <v>124489977054</v>
      </c>
      <c r="D835" s="64">
        <v>-168677.75</v>
      </c>
      <c r="E835" s="3">
        <v>12044736.16</v>
      </c>
      <c r="F835" s="59" t="s">
        <v>2751</v>
      </c>
      <c r="G835" s="65">
        <f t="shared" si="113"/>
        <v>-167671.71968190855</v>
      </c>
      <c r="H835" s="65">
        <f t="shared" si="114"/>
        <v>-1006.0303180914489</v>
      </c>
      <c r="I835" s="108">
        <f>-IFERROR(VLOOKUP(C835,SIRCUPA!$A$21:$H$155,8,0),0)</f>
        <v>0</v>
      </c>
      <c r="J835" s="108">
        <f>-IFERROR(VLOOKUP(C835,SIRTAC!$A$16:$H$1288,8,0),0)</f>
        <v>0</v>
      </c>
      <c r="K835" s="108">
        <f>-IFERROR(VLOOKUP(C835,Gastos!$A$9:$J$1281,10,0),0)</f>
        <v>0</v>
      </c>
      <c r="L835" s="65"/>
      <c r="M835" s="123">
        <f>+D835</f>
        <v>-168677.75</v>
      </c>
      <c r="N835" s="65"/>
      <c r="Q835" s="3">
        <f>+D835</f>
        <v>-168677.75</v>
      </c>
      <c r="R835" s="66">
        <f t="shared" si="117"/>
        <v>0</v>
      </c>
    </row>
    <row r="836" spans="1:18" s="59" customFormat="1" hidden="1">
      <c r="A836" s="59" t="s">
        <v>35</v>
      </c>
      <c r="B836" s="59" t="s">
        <v>36</v>
      </c>
      <c r="C836" s="112">
        <v>124014458903</v>
      </c>
      <c r="D836" s="64">
        <v>-982084.1</v>
      </c>
      <c r="E836" s="3">
        <v>11061639.99</v>
      </c>
      <c r="F836" s="59" t="s">
        <v>2751</v>
      </c>
      <c r="G836" s="65">
        <f t="shared" si="113"/>
        <v>-976226.73956262425</v>
      </c>
      <c r="H836" s="65">
        <f t="shared" si="114"/>
        <v>-5857.3604373757262</v>
      </c>
      <c r="I836" s="108">
        <f>-IFERROR(VLOOKUP(C836,SIRCUPA!$A$21:$H$155,8,0),0)</f>
        <v>0</v>
      </c>
      <c r="J836" s="108">
        <f>-IFERROR(VLOOKUP(C836,SIRTAC!$A$16:$H$1288,8,0),0)</f>
        <v>0</v>
      </c>
      <c r="K836" s="108">
        <f>-IFERROR(VLOOKUP(C836,Gastos!$A$9:$J$1281,10,0),0)</f>
        <v>0</v>
      </c>
      <c r="L836" s="65"/>
      <c r="M836" s="123">
        <f t="shared" ref="M836:M843" si="120">+D836</f>
        <v>-982084.1</v>
      </c>
      <c r="N836" s="65"/>
      <c r="Q836" s="3">
        <f t="shared" ref="Q836:Q843" si="121">+D836</f>
        <v>-982084.1</v>
      </c>
      <c r="R836" s="66">
        <f t="shared" si="117"/>
        <v>0</v>
      </c>
    </row>
    <row r="837" spans="1:18" s="59" customFormat="1" hidden="1">
      <c r="A837" s="59" t="s">
        <v>936</v>
      </c>
      <c r="B837" s="59" t="s">
        <v>36</v>
      </c>
      <c r="C837" s="112">
        <v>126006760321</v>
      </c>
      <c r="D837" s="64">
        <v>-1052954.1000000001</v>
      </c>
      <c r="E837" s="3">
        <v>7907407.5199999996</v>
      </c>
      <c r="F837" s="59" t="s">
        <v>2751</v>
      </c>
      <c r="G837" s="65">
        <f t="shared" si="113"/>
        <v>-1046674.0556660041</v>
      </c>
      <c r="H837" s="65">
        <f t="shared" si="114"/>
        <v>-6280.0443339960184</v>
      </c>
      <c r="I837" s="108">
        <f>-IFERROR(VLOOKUP(C837,SIRCUPA!$A$21:$H$155,8,0),0)</f>
        <v>0</v>
      </c>
      <c r="J837" s="108">
        <f>-IFERROR(VLOOKUP(C837,SIRTAC!$A$16:$H$1288,8,0),0)</f>
        <v>0</v>
      </c>
      <c r="K837" s="108">
        <f>-IFERROR(VLOOKUP(C837,Gastos!$A$9:$J$1281,10,0),0)</f>
        <v>0</v>
      </c>
      <c r="L837" s="65"/>
      <c r="M837" s="123">
        <f t="shared" si="120"/>
        <v>-1052954.1000000001</v>
      </c>
      <c r="N837" s="65"/>
      <c r="Q837" s="3">
        <f t="shared" si="121"/>
        <v>-1052954.1000000001</v>
      </c>
      <c r="R837" s="66">
        <f t="shared" si="117"/>
        <v>0</v>
      </c>
    </row>
    <row r="838" spans="1:18" s="59" customFormat="1" hidden="1">
      <c r="A838" s="59" t="s">
        <v>132</v>
      </c>
      <c r="B838" s="59" t="s">
        <v>187</v>
      </c>
      <c r="C838" s="112">
        <v>124420739261</v>
      </c>
      <c r="D838" s="64">
        <v>-433268.17</v>
      </c>
      <c r="E838" s="3">
        <v>9179418.4900000002</v>
      </c>
      <c r="F838" s="59" t="s">
        <v>2751</v>
      </c>
      <c r="G838" s="65">
        <f t="shared" si="113"/>
        <v>-430684.06560636184</v>
      </c>
      <c r="H838" s="65">
        <f t="shared" si="114"/>
        <v>-2584.1043936381466</v>
      </c>
      <c r="I838" s="108">
        <f>-IFERROR(VLOOKUP(C838,SIRCUPA!$A$21:$H$155,8,0),0)</f>
        <v>0</v>
      </c>
      <c r="J838" s="108">
        <f>-IFERROR(VLOOKUP(C838,SIRTAC!$A$16:$H$1288,8,0),0)</f>
        <v>0</v>
      </c>
      <c r="K838" s="108">
        <f>-IFERROR(VLOOKUP(C838,Gastos!$A$9:$J$1281,10,0),0)</f>
        <v>0</v>
      </c>
      <c r="L838" s="65"/>
      <c r="M838" s="123">
        <f t="shared" si="120"/>
        <v>-433268.17</v>
      </c>
      <c r="N838" s="65"/>
      <c r="Q838" s="3">
        <f t="shared" si="121"/>
        <v>-433268.17</v>
      </c>
      <c r="R838" s="66">
        <f t="shared" si="117"/>
        <v>0</v>
      </c>
    </row>
    <row r="839" spans="1:18" s="59" customFormat="1" hidden="1">
      <c r="A839" s="59" t="s">
        <v>485</v>
      </c>
      <c r="B839" s="59" t="s">
        <v>486</v>
      </c>
      <c r="C839" s="112">
        <v>125490840846</v>
      </c>
      <c r="D839" s="64">
        <v>-155963.28</v>
      </c>
      <c r="E839" s="3">
        <v>8563174.4000000004</v>
      </c>
      <c r="F839" s="59" t="s">
        <v>2751</v>
      </c>
      <c r="G839" s="65">
        <f t="shared" si="113"/>
        <v>-155033.0815109344</v>
      </c>
      <c r="H839" s="65">
        <f t="shared" si="114"/>
        <v>-930.19848906560219</v>
      </c>
      <c r="I839" s="108">
        <f>-IFERROR(VLOOKUP(C839,SIRCUPA!$A$21:$H$155,8,0),0)</f>
        <v>0</v>
      </c>
      <c r="J839" s="108">
        <f>-IFERROR(VLOOKUP(C839,SIRTAC!$A$16:$H$1288,8,0),0)</f>
        <v>0</v>
      </c>
      <c r="K839" s="108">
        <f>-IFERROR(VLOOKUP(C839,Gastos!$A$9:$J$1281,10,0),0)</f>
        <v>0</v>
      </c>
      <c r="L839" s="65"/>
      <c r="M839" s="123">
        <f t="shared" si="120"/>
        <v>-155963.28</v>
      </c>
      <c r="N839" s="65"/>
      <c r="Q839" s="3">
        <f t="shared" si="121"/>
        <v>-155963.28</v>
      </c>
      <c r="R839" s="66">
        <f t="shared" si="117"/>
        <v>0</v>
      </c>
    </row>
    <row r="840" spans="1:18" s="59" customFormat="1" hidden="1">
      <c r="A840" s="59" t="s">
        <v>529</v>
      </c>
      <c r="B840" s="59" t="s">
        <v>562</v>
      </c>
      <c r="C840" s="112">
        <v>125259476811</v>
      </c>
      <c r="D840" s="64">
        <v>-162750</v>
      </c>
      <c r="E840" s="3">
        <v>7550182.2999999998</v>
      </c>
      <c r="F840" s="59" t="s">
        <v>2751</v>
      </c>
      <c r="G840" s="65">
        <f t="shared" si="113"/>
        <v>-161779.32405566602</v>
      </c>
      <c r="H840" s="65">
        <f t="shared" si="114"/>
        <v>-970.67594433398335</v>
      </c>
      <c r="I840" s="108">
        <f>-IFERROR(VLOOKUP(C840,SIRCUPA!$A$21:$H$155,8,0),0)</f>
        <v>0</v>
      </c>
      <c r="J840" s="108">
        <f>-IFERROR(VLOOKUP(C840,SIRTAC!$A$16:$H$1288,8,0),0)</f>
        <v>0</v>
      </c>
      <c r="K840" s="108">
        <f>-IFERROR(VLOOKUP(C840,Gastos!$A$9:$J$1281,10,0),0)</f>
        <v>0</v>
      </c>
      <c r="L840" s="65"/>
      <c r="M840" s="123">
        <f t="shared" si="120"/>
        <v>-162750</v>
      </c>
      <c r="N840" s="65"/>
      <c r="Q840" s="3">
        <f t="shared" si="121"/>
        <v>-162750</v>
      </c>
      <c r="R840" s="66">
        <f t="shared" si="117"/>
        <v>0</v>
      </c>
    </row>
    <row r="841" spans="1:18" s="59" customFormat="1" hidden="1">
      <c r="A841" s="59" t="s">
        <v>14</v>
      </c>
      <c r="B841" s="59" t="s">
        <v>26</v>
      </c>
      <c r="C841" s="112">
        <v>124446003662</v>
      </c>
      <c r="D841" s="64">
        <v>-91714.5</v>
      </c>
      <c r="E841" s="3">
        <v>12727337.23</v>
      </c>
      <c r="F841" s="59" t="s">
        <v>2751</v>
      </c>
      <c r="G841" s="65">
        <f t="shared" si="113"/>
        <v>-91167.495029821075</v>
      </c>
      <c r="H841" s="65">
        <f t="shared" si="114"/>
        <v>-547.00497017892485</v>
      </c>
      <c r="I841" s="108">
        <f>-IFERROR(VLOOKUP(C841,SIRCUPA!$A$21:$H$155,8,0),0)</f>
        <v>0</v>
      </c>
      <c r="J841" s="108">
        <f>-IFERROR(VLOOKUP(C841,SIRTAC!$A$16:$H$1288,8,0),0)</f>
        <v>0</v>
      </c>
      <c r="K841" s="108">
        <f>-IFERROR(VLOOKUP(C841,Gastos!$A$9:$J$1281,10,0),0)</f>
        <v>0</v>
      </c>
      <c r="L841" s="65"/>
      <c r="M841" s="123">
        <f t="shared" si="120"/>
        <v>-91714.5</v>
      </c>
      <c r="N841" s="65"/>
      <c r="Q841" s="3">
        <f t="shared" si="121"/>
        <v>-91714.5</v>
      </c>
      <c r="R841" s="66">
        <f t="shared" si="117"/>
        <v>0</v>
      </c>
    </row>
    <row r="842" spans="1:18" s="59" customFormat="1" hidden="1">
      <c r="A842" s="59" t="s">
        <v>466</v>
      </c>
      <c r="B842" s="59" t="s">
        <v>26</v>
      </c>
      <c r="C842" s="112">
        <v>125391966586</v>
      </c>
      <c r="D842" s="64">
        <v>-95058.37</v>
      </c>
      <c r="E842" s="3">
        <v>10581210.43</v>
      </c>
      <c r="F842" s="59" t="s">
        <v>2751</v>
      </c>
      <c r="G842" s="65">
        <f t="shared" si="113"/>
        <v>-94491.421471172958</v>
      </c>
      <c r="H842" s="65">
        <f t="shared" si="114"/>
        <v>-566.94852882703708</v>
      </c>
      <c r="I842" s="108">
        <f>-IFERROR(VLOOKUP(C842,SIRCUPA!$A$21:$H$155,8,0),0)</f>
        <v>0</v>
      </c>
      <c r="J842" s="108">
        <f>-IFERROR(VLOOKUP(C842,SIRTAC!$A$16:$H$1288,8,0),0)</f>
        <v>0</v>
      </c>
      <c r="K842" s="108">
        <f>-IFERROR(VLOOKUP(C842,Gastos!$A$9:$J$1281,10,0),0)</f>
        <v>0</v>
      </c>
      <c r="L842" s="65"/>
      <c r="M842" s="123">
        <f t="shared" si="120"/>
        <v>-95058.37</v>
      </c>
      <c r="N842" s="65"/>
      <c r="Q842" s="3">
        <f t="shared" si="121"/>
        <v>-95058.37</v>
      </c>
      <c r="R842" s="66">
        <f t="shared" si="117"/>
        <v>0</v>
      </c>
    </row>
    <row r="843" spans="1:18" s="59" customFormat="1" hidden="1">
      <c r="A843" s="59" t="s">
        <v>1030</v>
      </c>
      <c r="B843" s="59" t="s">
        <v>26</v>
      </c>
      <c r="C843" s="112">
        <v>126240876525</v>
      </c>
      <c r="D843" s="64">
        <v>-149573.5</v>
      </c>
      <c r="E843" s="3">
        <v>7954893.54</v>
      </c>
      <c r="F843" s="59" t="s">
        <v>2751</v>
      </c>
      <c r="G843" s="65">
        <f t="shared" si="113"/>
        <v>-148681.41153081512</v>
      </c>
      <c r="H843" s="65">
        <f t="shared" si="114"/>
        <v>-892.08846918487689</v>
      </c>
      <c r="I843" s="108">
        <f>-IFERROR(VLOOKUP(C843,SIRCUPA!$A$21:$H$155,8,0),0)</f>
        <v>0</v>
      </c>
      <c r="J843" s="108">
        <f>-IFERROR(VLOOKUP(C843,SIRTAC!$A$16:$H$1288,8,0),0)</f>
        <v>0</v>
      </c>
      <c r="K843" s="108">
        <f>-IFERROR(VLOOKUP(C843,Gastos!$A$9:$J$1281,10,0),0)</f>
        <v>0</v>
      </c>
      <c r="L843" s="65"/>
      <c r="M843" s="123">
        <f t="shared" si="120"/>
        <v>-149573.5</v>
      </c>
      <c r="N843" s="65"/>
      <c r="Q843" s="3">
        <f t="shared" si="121"/>
        <v>-149573.5</v>
      </c>
      <c r="R843" s="66">
        <f t="shared" si="117"/>
        <v>0</v>
      </c>
    </row>
    <row r="844" spans="1:18" s="59" customFormat="1" hidden="1">
      <c r="A844" s="35" t="s">
        <v>466</v>
      </c>
      <c r="B844" s="23" t="s">
        <v>478</v>
      </c>
      <c r="C844" s="92">
        <v>124814220147</v>
      </c>
      <c r="D844" s="33">
        <v>-991916</v>
      </c>
      <c r="E844" s="3">
        <v>11029948.83</v>
      </c>
      <c r="F844" s="35" t="s">
        <v>2753</v>
      </c>
      <c r="G844" s="4">
        <f t="shared" si="113"/>
        <v>-986000</v>
      </c>
      <c r="H844" s="4">
        <f t="shared" si="114"/>
        <v>-5916</v>
      </c>
      <c r="I844" s="27">
        <f>-IFERROR(VLOOKUP(C844,SIRCUPA!$A$21:$H$155,8,0),0)</f>
        <v>0</v>
      </c>
      <c r="J844" s="88">
        <f>-IFERROR(VLOOKUP(C844,SIRTAC!$A$16:$H$1288,8,0),0)</f>
        <v>0</v>
      </c>
      <c r="K844" s="88">
        <f>-IFERROR(VLOOKUP(C844,Gastos!$A$9:$J$1281,10,0),0)</f>
        <v>0</v>
      </c>
      <c r="L844" s="87">
        <f>+D844-G844</f>
        <v>-5916</v>
      </c>
      <c r="M844" s="121">
        <f>+D844-I844-J844-K844-L844</f>
        <v>-986000</v>
      </c>
      <c r="N844" s="4"/>
      <c r="O844" s="35"/>
      <c r="Q844" s="35">
        <f t="shared" si="118"/>
        <v>-986000</v>
      </c>
      <c r="R844" s="66">
        <f t="shared" si="117"/>
        <v>0</v>
      </c>
    </row>
    <row r="845" spans="1:18" hidden="1">
      <c r="A845" s="35" t="s">
        <v>466</v>
      </c>
      <c r="B845" s="23" t="s">
        <v>478</v>
      </c>
      <c r="C845" s="92">
        <v>125402462672</v>
      </c>
      <c r="D845" s="33">
        <v>-1861502.4</v>
      </c>
      <c r="E845" s="3">
        <v>8719137.6799999997</v>
      </c>
      <c r="F845" s="35" t="s">
        <v>2753</v>
      </c>
      <c r="G845" s="4">
        <f t="shared" si="113"/>
        <v>-1850400</v>
      </c>
      <c r="H845" s="4">
        <f t="shared" si="114"/>
        <v>-11102.399999999907</v>
      </c>
      <c r="I845" s="27">
        <f>-IFERROR(VLOOKUP(C845,SIRCUPA!$A$21:$H$155,8,0),0)</f>
        <v>0</v>
      </c>
      <c r="J845" s="88">
        <f>-IFERROR(VLOOKUP(C845,SIRTAC!$A$16:$H$1288,8,0),0)</f>
        <v>0</v>
      </c>
      <c r="K845" s="88">
        <f>-IFERROR(VLOOKUP(C845,Gastos!$A$9:$J$1281,10,0),0)</f>
        <v>0</v>
      </c>
      <c r="L845" s="87">
        <f>+D845-G845</f>
        <v>-11102.399999999907</v>
      </c>
      <c r="M845" s="121">
        <f t="shared" ref="M845:M847" si="122">+D845-I845-J845-K845-L845</f>
        <v>-1850400</v>
      </c>
      <c r="O845" s="35"/>
      <c r="Q845" s="35">
        <f t="shared" si="118"/>
        <v>-1850399.9999999844</v>
      </c>
      <c r="R845" s="66">
        <f t="shared" si="117"/>
        <v>-1.5599653124809265E-8</v>
      </c>
    </row>
    <row r="846" spans="1:18" hidden="1">
      <c r="A846" s="35" t="s">
        <v>903</v>
      </c>
      <c r="B846" s="23" t="s">
        <v>478</v>
      </c>
      <c r="C846" s="92">
        <v>126258081176</v>
      </c>
      <c r="D846" s="33">
        <v>-857112</v>
      </c>
      <c r="E846" s="3">
        <v>12672811.33</v>
      </c>
      <c r="F846" s="35" t="s">
        <v>2753</v>
      </c>
      <c r="G846" s="4">
        <f t="shared" si="113"/>
        <v>-852000</v>
      </c>
      <c r="H846" s="4">
        <f t="shared" si="114"/>
        <v>-5112</v>
      </c>
      <c r="I846" s="27">
        <f>-IFERROR(VLOOKUP(C846,SIRCUPA!$A$21:$H$155,8,0),0)</f>
        <v>0</v>
      </c>
      <c r="J846" s="88">
        <f>-IFERROR(VLOOKUP(C846,SIRTAC!$A$16:$H$1288,8,0),0)</f>
        <v>0</v>
      </c>
      <c r="K846" s="88">
        <f>-IFERROR(VLOOKUP(C846,Gastos!$A$9:$J$1281,10,0),0)</f>
        <v>0</v>
      </c>
      <c r="L846" s="87">
        <f>+D846-G846</f>
        <v>-5112</v>
      </c>
      <c r="M846" s="121">
        <f t="shared" si="122"/>
        <v>-852000</v>
      </c>
      <c r="O846" s="35"/>
      <c r="Q846" s="35">
        <f t="shared" si="118"/>
        <v>-852000</v>
      </c>
      <c r="R846" s="66">
        <f t="shared" si="117"/>
        <v>0</v>
      </c>
    </row>
    <row r="847" spans="1:18" hidden="1">
      <c r="A847" s="35" t="s">
        <v>960</v>
      </c>
      <c r="B847" s="23" t="s">
        <v>478</v>
      </c>
      <c r="C847" s="92">
        <v>126672617220</v>
      </c>
      <c r="D847" s="33">
        <v>-989904</v>
      </c>
      <c r="E847" s="3">
        <v>7620810.7199999997</v>
      </c>
      <c r="F847" s="35" t="s">
        <v>2753</v>
      </c>
      <c r="G847" s="4">
        <f t="shared" si="113"/>
        <v>-984000</v>
      </c>
      <c r="H847" s="4">
        <f t="shared" si="114"/>
        <v>-5904</v>
      </c>
      <c r="I847" s="27">
        <f>-IFERROR(VLOOKUP(C847,SIRCUPA!$A$21:$H$155,8,0),0)</f>
        <v>0</v>
      </c>
      <c r="J847" s="88">
        <f>-IFERROR(VLOOKUP(C847,SIRTAC!$A$16:$H$1288,8,0),0)</f>
        <v>0</v>
      </c>
      <c r="K847" s="88">
        <f>-IFERROR(VLOOKUP(C847,Gastos!$A$9:$J$1281,10,0),0)</f>
        <v>0</v>
      </c>
      <c r="L847" s="87">
        <f>+D847-G847</f>
        <v>-5904</v>
      </c>
      <c r="M847" s="121">
        <f t="shared" si="122"/>
        <v>-984000</v>
      </c>
      <c r="O847" s="35"/>
      <c r="Q847" s="35">
        <f t="shared" si="118"/>
        <v>-984000</v>
      </c>
      <c r="R847" s="66">
        <f t="shared" si="117"/>
        <v>0</v>
      </c>
    </row>
    <row r="848" spans="1:18" hidden="1">
      <c r="A848" s="59" t="s">
        <v>1382</v>
      </c>
      <c r="B848" s="59" t="s">
        <v>1434</v>
      </c>
      <c r="C848" s="112">
        <v>127087676739</v>
      </c>
      <c r="D848" s="64">
        <v>-233204.26</v>
      </c>
      <c r="E848" s="3">
        <v>8004216.1299999999</v>
      </c>
      <c r="F848" s="59" t="s">
        <v>2751</v>
      </c>
      <c r="G848" s="65">
        <f t="shared" si="113"/>
        <v>-231813.37972166997</v>
      </c>
      <c r="H848" s="65">
        <f t="shared" si="114"/>
        <v>-1390.8802783300343</v>
      </c>
      <c r="I848" s="108">
        <f>-IFERROR(VLOOKUP(C848,SIRCUPA!$A$21:$H$155,8,0),0)</f>
        <v>0</v>
      </c>
      <c r="J848" s="108">
        <f>-IFERROR(VLOOKUP(C848,SIRTAC!$A$16:$H$1288,8,0),0)</f>
        <v>0</v>
      </c>
      <c r="K848" s="108">
        <f>-IFERROR(VLOOKUP(C848,Gastos!$A$9:$J$1281,10,0),0)</f>
        <v>0</v>
      </c>
      <c r="L848" s="65"/>
      <c r="M848" s="123">
        <f>+D848</f>
        <v>-233204.26</v>
      </c>
      <c r="N848" s="65"/>
      <c r="O848" s="59"/>
      <c r="Q848" s="3">
        <f>+D848</f>
        <v>-233204.26</v>
      </c>
      <c r="R848" s="66">
        <f t="shared" si="117"/>
        <v>0</v>
      </c>
    </row>
    <row r="849" spans="1:17" hidden="1">
      <c r="A849" s="1" t="s">
        <v>936</v>
      </c>
      <c r="B849" s="1" t="s">
        <v>15</v>
      </c>
      <c r="C849" s="91">
        <v>126032999989</v>
      </c>
      <c r="D849" s="3">
        <v>8378.98</v>
      </c>
      <c r="E849" s="3">
        <v>7909468.7800000003</v>
      </c>
      <c r="F849" s="35" t="s">
        <v>2750</v>
      </c>
      <c r="G849"/>
      <c r="H849"/>
      <c r="I849" s="27">
        <f>-IFERROR(VLOOKUP(C849,SIRCUPA!$A$21:$H$155,8,0),0)</f>
        <v>0</v>
      </c>
      <c r="J849" s="88">
        <f>-IFERROR(VLOOKUP(C849,SIRTAC!$A$16:$H$1288,8,0),0)</f>
        <v>-86</v>
      </c>
      <c r="K849" s="88">
        <f>-IFERROR(VLOOKUP(C849,Gastos!$A$9:$J$1281,10,0),0)</f>
        <v>-83.42</v>
      </c>
      <c r="L849" s="87">
        <f>-IFERROR(VLOOKUP(C849,IDC!$A$25:$H$1532,8,0),0)</f>
        <v>-51.6</v>
      </c>
      <c r="M849" s="122">
        <f t="shared" ref="M849:M880" si="123">+D849-I849-J849-K849-L849</f>
        <v>8600</v>
      </c>
      <c r="N849"/>
      <c r="P849" s="35">
        <f t="shared" ref="P849:P912" si="124">+L849/0.006</f>
        <v>-8600</v>
      </c>
      <c r="Q849" s="66">
        <f t="shared" ref="Q849:Q912" si="125">+M849+P849</f>
        <v>0</v>
      </c>
    </row>
    <row r="850" spans="1:17" hidden="1">
      <c r="A850" s="1" t="s">
        <v>936</v>
      </c>
      <c r="B850" s="1" t="s">
        <v>15</v>
      </c>
      <c r="C850" s="91">
        <v>126591409114</v>
      </c>
      <c r="D850" s="3">
        <v>8124.42</v>
      </c>
      <c r="E850" s="3">
        <v>7917593.2000000002</v>
      </c>
      <c r="F850" s="35" t="s">
        <v>2750</v>
      </c>
      <c r="G850"/>
      <c r="H850"/>
      <c r="I850" s="27">
        <f>-IFERROR(VLOOKUP(C850,SIRCUPA!$A$21:$H$155,8,0),0)</f>
        <v>0</v>
      </c>
      <c r="J850" s="88">
        <f>-IFERROR(VLOOKUP(C850,SIRTAC!$A$16:$H$1288,8,0),0)</f>
        <v>-86</v>
      </c>
      <c r="K850" s="88">
        <f>-IFERROR(VLOOKUP(C850,Gastos!$A$9:$J$1281,10,0),0)</f>
        <v>-337.98</v>
      </c>
      <c r="L850" s="87">
        <f>-IFERROR(VLOOKUP(C850,IDC!$A$25:$H$1532,8,0),0)</f>
        <v>-51.6</v>
      </c>
      <c r="M850" s="122">
        <f t="shared" si="123"/>
        <v>8600</v>
      </c>
      <c r="N850"/>
      <c r="P850" s="35">
        <f t="shared" si="124"/>
        <v>-8600</v>
      </c>
      <c r="Q850" s="66">
        <f t="shared" si="125"/>
        <v>0</v>
      </c>
    </row>
    <row r="851" spans="1:17" hidden="1">
      <c r="A851" s="1" t="s">
        <v>936</v>
      </c>
      <c r="B851" s="1" t="s">
        <v>15</v>
      </c>
      <c r="C851" s="91">
        <v>126036386561</v>
      </c>
      <c r="D851" s="3">
        <v>12568.47</v>
      </c>
      <c r="E851" s="3">
        <v>7930161.6699999999</v>
      </c>
      <c r="F851" s="35" t="s">
        <v>2750</v>
      </c>
      <c r="G851"/>
      <c r="H851"/>
      <c r="I851" s="27">
        <f>-IFERROR(VLOOKUP(C851,SIRCUPA!$A$21:$H$155,8,0),0)</f>
        <v>0</v>
      </c>
      <c r="J851" s="88">
        <f>-IFERROR(VLOOKUP(C851,SIRTAC!$A$16:$H$1288,8,0),0)</f>
        <v>-129</v>
      </c>
      <c r="K851" s="88">
        <f>-IFERROR(VLOOKUP(C851,Gastos!$A$9:$J$1281,10,0),0)</f>
        <v>-125.13</v>
      </c>
      <c r="L851" s="87">
        <f>-IFERROR(VLOOKUP(C851,IDC!$A$25:$H$1532,8,0),0)</f>
        <v>-77.400000000000006</v>
      </c>
      <c r="M851" s="122">
        <f t="shared" si="123"/>
        <v>12899.999999999998</v>
      </c>
      <c r="N851"/>
      <c r="P851" s="35">
        <f t="shared" si="124"/>
        <v>-12900</v>
      </c>
      <c r="Q851" s="66">
        <f t="shared" si="125"/>
        <v>0</v>
      </c>
    </row>
    <row r="852" spans="1:17" hidden="1">
      <c r="A852" s="1" t="s">
        <v>936</v>
      </c>
      <c r="B852" s="1" t="s">
        <v>15</v>
      </c>
      <c r="C852" s="91">
        <v>126594945894</v>
      </c>
      <c r="D852" s="3">
        <v>9446.06</v>
      </c>
      <c r="E852" s="3">
        <v>7939607.7300000004</v>
      </c>
      <c r="F852" s="35" t="s">
        <v>2750</v>
      </c>
      <c r="G852"/>
      <c r="H852"/>
      <c r="I852" s="27">
        <f>-IFERROR(VLOOKUP(C852,SIRCUPA!$A$21:$H$155,8,0),0)</f>
        <v>0</v>
      </c>
      <c r="J852" s="88">
        <f>-IFERROR(VLOOKUP(C852,SIRTAC!$A$16:$H$1288,8,0),0)</f>
        <v>-99.99</v>
      </c>
      <c r="K852" s="88">
        <f>-IFERROR(VLOOKUP(C852,Gastos!$A$9:$J$1281,10,0),0)</f>
        <v>-392.96</v>
      </c>
      <c r="L852" s="87">
        <f>-IFERROR(VLOOKUP(C852,IDC!$A$25:$H$1532,8,0),0)</f>
        <v>-59.99</v>
      </c>
      <c r="M852" s="122">
        <f t="shared" si="123"/>
        <v>9998.9999999999982</v>
      </c>
      <c r="N852"/>
      <c r="P852" s="35">
        <f t="shared" si="124"/>
        <v>-9998.3333333333339</v>
      </c>
      <c r="Q852" s="66">
        <f t="shared" si="125"/>
        <v>0.66666666666424135</v>
      </c>
    </row>
    <row r="853" spans="1:17" hidden="1">
      <c r="A853" s="1" t="s">
        <v>936</v>
      </c>
      <c r="B853" s="1" t="s">
        <v>15</v>
      </c>
      <c r="C853" s="91">
        <v>126597067472</v>
      </c>
      <c r="D853" s="3">
        <v>8378.98</v>
      </c>
      <c r="E853" s="3">
        <v>7947986.71</v>
      </c>
      <c r="F853" s="35" t="s">
        <v>2750</v>
      </c>
      <c r="G853"/>
      <c r="H853"/>
      <c r="I853" s="27">
        <f>-IFERROR(VLOOKUP(C853,SIRCUPA!$A$21:$H$155,8,0),0)</f>
        <v>0</v>
      </c>
      <c r="J853" s="88">
        <f>-IFERROR(VLOOKUP(C853,SIRTAC!$A$16:$H$1288,8,0),0)</f>
        <v>-86</v>
      </c>
      <c r="K853" s="88">
        <f>-IFERROR(VLOOKUP(C853,Gastos!$A$9:$J$1281,10,0),0)</f>
        <v>-83.42</v>
      </c>
      <c r="L853" s="87">
        <f>-IFERROR(VLOOKUP(C853,IDC!$A$25:$H$1532,8,0),0)</f>
        <v>-51.6</v>
      </c>
      <c r="M853" s="122">
        <f t="shared" si="123"/>
        <v>8600</v>
      </c>
      <c r="N853"/>
      <c r="P853" s="35">
        <f t="shared" si="124"/>
        <v>-8600</v>
      </c>
      <c r="Q853" s="66">
        <f t="shared" si="125"/>
        <v>0</v>
      </c>
    </row>
    <row r="854" spans="1:17" hidden="1">
      <c r="A854" s="1" t="s">
        <v>936</v>
      </c>
      <c r="B854" s="1" t="s">
        <v>15</v>
      </c>
      <c r="C854" s="91">
        <v>126597591802</v>
      </c>
      <c r="D854" s="3">
        <v>37704.44</v>
      </c>
      <c r="E854" s="3">
        <v>7985691.1500000004</v>
      </c>
      <c r="F854" s="35" t="s">
        <v>2750</v>
      </c>
      <c r="G854"/>
      <c r="H854"/>
      <c r="I854" s="27">
        <f>-IFERROR(VLOOKUP(C854,SIRCUPA!$A$21:$H$155,8,0),0)</f>
        <v>0</v>
      </c>
      <c r="J854" s="88">
        <f>-IFERROR(VLOOKUP(C854,SIRTAC!$A$16:$H$1288,8,0),0)</f>
        <v>-386.99</v>
      </c>
      <c r="K854" s="88">
        <f>-IFERROR(VLOOKUP(C854,Gastos!$A$9:$J$1281,10,0),0)</f>
        <v>-375.38</v>
      </c>
      <c r="L854" s="87">
        <f>-IFERROR(VLOOKUP(C854,IDC!$A$25:$H$1532,8,0),0)</f>
        <v>-232.19</v>
      </c>
      <c r="M854" s="122">
        <f t="shared" si="123"/>
        <v>38699</v>
      </c>
      <c r="N854"/>
      <c r="P854" s="35">
        <f t="shared" si="124"/>
        <v>-38698.333333333336</v>
      </c>
      <c r="Q854" s="66">
        <f t="shared" si="125"/>
        <v>0.66666666666424135</v>
      </c>
    </row>
    <row r="855" spans="1:17" hidden="1">
      <c r="A855" s="1" t="s">
        <v>936</v>
      </c>
      <c r="B855" s="1" t="s">
        <v>15</v>
      </c>
      <c r="C855" s="91">
        <v>126043752843</v>
      </c>
      <c r="D855" s="3">
        <v>42576.86</v>
      </c>
      <c r="E855" s="3">
        <v>8028268.0099999998</v>
      </c>
      <c r="F855" s="35" t="s">
        <v>2750</v>
      </c>
      <c r="G855"/>
      <c r="H855"/>
      <c r="I855" s="27">
        <f>-IFERROR(VLOOKUP(C855,SIRCUPA!$A$21:$H$155,8,0),0)</f>
        <v>0</v>
      </c>
      <c r="J855" s="88">
        <f>-IFERROR(VLOOKUP(C855,SIRTAC!$A$16:$H$1288,8,0),0)</f>
        <v>-439.98</v>
      </c>
      <c r="K855" s="88">
        <f>-IFERROR(VLOOKUP(C855,Gastos!$A$9:$J$1281,10,0),0)</f>
        <v>-717.17</v>
      </c>
      <c r="L855" s="87">
        <f>-IFERROR(VLOOKUP(C855,IDC!$A$25:$H$1532,8,0),0)</f>
        <v>-263.99</v>
      </c>
      <c r="M855" s="122">
        <f t="shared" si="123"/>
        <v>43998</v>
      </c>
      <c r="N855"/>
      <c r="P855" s="35">
        <f t="shared" si="124"/>
        <v>-43998.333333333336</v>
      </c>
      <c r="Q855" s="66">
        <f t="shared" si="125"/>
        <v>-0.33333333333575865</v>
      </c>
    </row>
    <row r="856" spans="1:17" hidden="1">
      <c r="A856" s="1" t="s">
        <v>936</v>
      </c>
      <c r="B856" s="1" t="s">
        <v>15</v>
      </c>
      <c r="C856" s="91">
        <v>126600508822</v>
      </c>
      <c r="D856" s="3">
        <v>19291.14</v>
      </c>
      <c r="E856" s="3">
        <v>8047559.1500000004</v>
      </c>
      <c r="F856" s="35" t="s">
        <v>2750</v>
      </c>
      <c r="G856"/>
      <c r="H856"/>
      <c r="I856" s="27">
        <f>-IFERROR(VLOOKUP(C856,SIRCUPA!$A$21:$H$155,8,0),0)</f>
        <v>0</v>
      </c>
      <c r="J856" s="88">
        <f>-IFERROR(VLOOKUP(C856,SIRTAC!$A$16:$H$1288,8,0),0)</f>
        <v>-198</v>
      </c>
      <c r="K856" s="88">
        <f>-IFERROR(VLOOKUP(C856,Gastos!$A$9:$J$1281,10,0),0)</f>
        <v>-192.06</v>
      </c>
      <c r="L856" s="87">
        <f>-IFERROR(VLOOKUP(C856,IDC!$A$25:$H$1532,8,0),0)</f>
        <v>-118.8</v>
      </c>
      <c r="M856" s="122">
        <f t="shared" si="123"/>
        <v>19800</v>
      </c>
      <c r="N856"/>
      <c r="P856" s="35">
        <f t="shared" si="124"/>
        <v>-19800</v>
      </c>
      <c r="Q856" s="66">
        <f t="shared" si="125"/>
        <v>0</v>
      </c>
    </row>
    <row r="857" spans="1:17" hidden="1">
      <c r="A857" s="1" t="s">
        <v>936</v>
      </c>
      <c r="B857" s="1" t="s">
        <v>15</v>
      </c>
      <c r="C857" s="91">
        <v>126045198407</v>
      </c>
      <c r="D857" s="3">
        <v>25136.94</v>
      </c>
      <c r="E857" s="3">
        <v>8072696.0899999999</v>
      </c>
      <c r="F857" s="35" t="s">
        <v>2750</v>
      </c>
      <c r="G857"/>
      <c r="H857"/>
      <c r="I857" s="27">
        <f>-IFERROR(VLOOKUP(C857,SIRCUPA!$A$21:$H$155,8,0),0)</f>
        <v>0</v>
      </c>
      <c r="J857" s="88">
        <f>-IFERROR(VLOOKUP(C857,SIRTAC!$A$16:$H$1288,8,0),0)</f>
        <v>-258</v>
      </c>
      <c r="K857" s="88">
        <f>-IFERROR(VLOOKUP(C857,Gastos!$A$9:$J$1281,10,0),0)</f>
        <v>-250.26</v>
      </c>
      <c r="L857" s="87">
        <f>-IFERROR(VLOOKUP(C857,IDC!$A$25:$H$1532,8,0),0)</f>
        <v>-154.80000000000001</v>
      </c>
      <c r="M857" s="122">
        <f t="shared" si="123"/>
        <v>25799.999999999996</v>
      </c>
      <c r="N857"/>
      <c r="P857" s="35">
        <f t="shared" si="124"/>
        <v>-25800</v>
      </c>
      <c r="Q857" s="66">
        <f t="shared" si="125"/>
        <v>0</v>
      </c>
    </row>
    <row r="858" spans="1:17" hidden="1">
      <c r="A858" s="1" t="s">
        <v>936</v>
      </c>
      <c r="B858" s="1" t="s">
        <v>15</v>
      </c>
      <c r="C858" s="91">
        <v>126046694901</v>
      </c>
      <c r="D858" s="3">
        <v>49643.01</v>
      </c>
      <c r="E858" s="3">
        <v>8122339.0999999996</v>
      </c>
      <c r="F858" s="35" t="s">
        <v>2750</v>
      </c>
      <c r="G858"/>
      <c r="H858"/>
      <c r="I858" s="27">
        <f>-IFERROR(VLOOKUP(C858,SIRCUPA!$A$21:$H$155,8,0),0)</f>
        <v>0</v>
      </c>
      <c r="J858" s="88">
        <f>-IFERROR(VLOOKUP(C858,SIRTAC!$A$16:$H$1288,8,0),0)</f>
        <v>-513</v>
      </c>
      <c r="K858" s="88">
        <f>-IFERROR(VLOOKUP(C858,Gastos!$A$9:$J$1281,10,0),0)</f>
        <v>-836.19</v>
      </c>
      <c r="L858" s="87">
        <f>-IFERROR(VLOOKUP(C858,IDC!$A$25:$H$1532,8,0),0)</f>
        <v>-307.8</v>
      </c>
      <c r="M858" s="122">
        <f t="shared" si="123"/>
        <v>51300.000000000007</v>
      </c>
      <c r="N858"/>
      <c r="P858" s="35">
        <f t="shared" si="124"/>
        <v>-51300</v>
      </c>
      <c r="Q858" s="66">
        <f t="shared" si="125"/>
        <v>0</v>
      </c>
    </row>
    <row r="859" spans="1:17" hidden="1">
      <c r="A859" s="1" t="s">
        <v>936</v>
      </c>
      <c r="B859" s="1" t="s">
        <v>15</v>
      </c>
      <c r="C859" s="91">
        <v>126046661655</v>
      </c>
      <c r="D859" s="3">
        <v>69467.59</v>
      </c>
      <c r="E859" s="3">
        <v>8191806.6900000004</v>
      </c>
      <c r="F859" s="35" t="s">
        <v>2750</v>
      </c>
      <c r="G859"/>
      <c r="H859"/>
      <c r="I859" s="27">
        <f>-IFERROR(VLOOKUP(C859,SIRCUPA!$A$21:$H$155,8,0),0)</f>
        <v>0</v>
      </c>
      <c r="J859" s="88">
        <f>-IFERROR(VLOOKUP(C859,SIRTAC!$A$16:$H$1288,8,0),0)</f>
        <v>-713</v>
      </c>
      <c r="K859" s="88">
        <f>-IFERROR(VLOOKUP(C859,Gastos!$A$9:$J$1281,10,0),0)</f>
        <v>-691.61</v>
      </c>
      <c r="L859" s="87">
        <f>-IFERROR(VLOOKUP(C859,IDC!$A$25:$H$1532,8,0),0)</f>
        <v>-427.8</v>
      </c>
      <c r="M859" s="122">
        <f t="shared" si="123"/>
        <v>71300</v>
      </c>
      <c r="N859"/>
      <c r="P859" s="35">
        <f t="shared" si="124"/>
        <v>-71300</v>
      </c>
      <c r="Q859" s="66">
        <f t="shared" si="125"/>
        <v>0</v>
      </c>
    </row>
    <row r="860" spans="1:17" hidden="1">
      <c r="A860" s="1" t="s">
        <v>936</v>
      </c>
      <c r="B860" s="1" t="s">
        <v>15</v>
      </c>
      <c r="C860" s="91">
        <v>126047122521</v>
      </c>
      <c r="D860" s="3">
        <v>8378.98</v>
      </c>
      <c r="E860" s="3">
        <v>8200185.6699999999</v>
      </c>
      <c r="F860" s="35" t="s">
        <v>2750</v>
      </c>
      <c r="G860"/>
      <c r="H860"/>
      <c r="I860" s="27">
        <f>-IFERROR(VLOOKUP(C860,SIRCUPA!$A$21:$H$155,8,0),0)</f>
        <v>0</v>
      </c>
      <c r="J860" s="88">
        <f>-IFERROR(VLOOKUP(C860,SIRTAC!$A$16:$H$1288,8,0),0)</f>
        <v>-86</v>
      </c>
      <c r="K860" s="88">
        <f>-IFERROR(VLOOKUP(C860,Gastos!$A$9:$J$1281,10,0),0)</f>
        <v>-83.42</v>
      </c>
      <c r="L860" s="87">
        <f>-IFERROR(VLOOKUP(C860,IDC!$A$25:$H$1532,8,0),0)</f>
        <v>-51.6</v>
      </c>
      <c r="M860" s="122">
        <f t="shared" si="123"/>
        <v>8600</v>
      </c>
      <c r="N860"/>
      <c r="P860" s="35">
        <f t="shared" si="124"/>
        <v>-8600</v>
      </c>
      <c r="Q860" s="66">
        <f t="shared" si="125"/>
        <v>0</v>
      </c>
    </row>
    <row r="861" spans="1:17" hidden="1">
      <c r="A861" s="1" t="s">
        <v>936</v>
      </c>
      <c r="B861" s="1" t="s">
        <v>15</v>
      </c>
      <c r="C861" s="91">
        <v>126047460401</v>
      </c>
      <c r="D861" s="3">
        <v>19484.05</v>
      </c>
      <c r="E861" s="3">
        <v>8219669.7199999997</v>
      </c>
      <c r="F861" s="35" t="s">
        <v>2750</v>
      </c>
      <c r="G861"/>
      <c r="H861"/>
      <c r="I861" s="27">
        <f>-IFERROR(VLOOKUP(C861,SIRCUPA!$A$21:$H$155,8,0),0)</f>
        <v>0</v>
      </c>
      <c r="J861" s="88">
        <f>-IFERROR(VLOOKUP(C861,SIRTAC!$A$16:$H$1288,8,0),0)</f>
        <v>-199.98</v>
      </c>
      <c r="K861" s="88">
        <f>-IFERROR(VLOOKUP(C861,Gastos!$A$9:$J$1281,10,0),0)</f>
        <v>-193.98</v>
      </c>
      <c r="L861" s="87">
        <f>-IFERROR(VLOOKUP(C861,IDC!$A$25:$H$1532,8,0),0)</f>
        <v>-119.99</v>
      </c>
      <c r="M861" s="122">
        <f t="shared" si="123"/>
        <v>19998</v>
      </c>
      <c r="N861"/>
      <c r="P861" s="35">
        <f t="shared" si="124"/>
        <v>-19998.333333333332</v>
      </c>
      <c r="Q861" s="66">
        <f t="shared" si="125"/>
        <v>-0.33333333333212067</v>
      </c>
    </row>
    <row r="862" spans="1:17" hidden="1">
      <c r="A862" s="1" t="s">
        <v>936</v>
      </c>
      <c r="B862" s="1" t="s">
        <v>15</v>
      </c>
      <c r="C862" s="91">
        <v>126602656096</v>
      </c>
      <c r="D862" s="3">
        <v>33223.629999999997</v>
      </c>
      <c r="E862" s="3">
        <v>8252893.3499999996</v>
      </c>
      <c r="F862" s="35" t="s">
        <v>2750</v>
      </c>
      <c r="G862"/>
      <c r="H862"/>
      <c r="I862" s="27">
        <f>-IFERROR(VLOOKUP(C862,SIRCUPA!$A$21:$H$155,8,0),0)</f>
        <v>0</v>
      </c>
      <c r="J862" s="88">
        <f>-IFERROR(VLOOKUP(C862,SIRTAC!$A$16:$H$1288,8,0),0)</f>
        <v>-341</v>
      </c>
      <c r="K862" s="88">
        <f>-IFERROR(VLOOKUP(C862,Gastos!$A$9:$J$1281,10,0),0)</f>
        <v>-330.77</v>
      </c>
      <c r="L862" s="87">
        <f>-IFERROR(VLOOKUP(C862,IDC!$A$25:$H$1532,8,0),0)</f>
        <v>-204.6</v>
      </c>
      <c r="M862" s="122">
        <f t="shared" si="123"/>
        <v>34099.999999999993</v>
      </c>
      <c r="N862"/>
      <c r="P862" s="35">
        <f t="shared" si="124"/>
        <v>-34100</v>
      </c>
      <c r="Q862" s="66">
        <f t="shared" si="125"/>
        <v>0</v>
      </c>
    </row>
    <row r="863" spans="1:17" hidden="1">
      <c r="A863" s="1" t="s">
        <v>936</v>
      </c>
      <c r="B863" s="1" t="s">
        <v>15</v>
      </c>
      <c r="C863" s="91">
        <v>126603090892</v>
      </c>
      <c r="D863" s="3">
        <v>33320.089999999997</v>
      </c>
      <c r="E863" s="3">
        <v>8286213.4400000004</v>
      </c>
      <c r="F863" s="35" t="s">
        <v>2750</v>
      </c>
      <c r="G863"/>
      <c r="H863"/>
      <c r="I863" s="27">
        <f>-IFERROR(VLOOKUP(C863,SIRCUPA!$A$21:$H$155,8,0),0)</f>
        <v>0</v>
      </c>
      <c r="J863" s="88">
        <f>-IFERROR(VLOOKUP(C863,SIRTAC!$A$16:$H$1288,8,0),0)</f>
        <v>-341.99</v>
      </c>
      <c r="K863" s="88">
        <f>-IFERROR(VLOOKUP(C863,Gastos!$A$9:$J$1281,10,0),0)</f>
        <v>-331.73</v>
      </c>
      <c r="L863" s="87">
        <f>-IFERROR(VLOOKUP(C863,IDC!$A$25:$H$1532,8,0),0)</f>
        <v>-205.19</v>
      </c>
      <c r="M863" s="122">
        <f t="shared" si="123"/>
        <v>34199</v>
      </c>
      <c r="N863"/>
      <c r="P863" s="35">
        <f t="shared" si="124"/>
        <v>-34198.333333333336</v>
      </c>
      <c r="Q863" s="66">
        <f t="shared" si="125"/>
        <v>0.66666666666424135</v>
      </c>
    </row>
    <row r="864" spans="1:17" hidden="1">
      <c r="A864" s="1" t="s">
        <v>936</v>
      </c>
      <c r="B864" s="1" t="s">
        <v>15</v>
      </c>
      <c r="C864" s="91">
        <v>126603719712</v>
      </c>
      <c r="D864" s="3">
        <v>4189.49</v>
      </c>
      <c r="E864" s="3">
        <v>8290402.9299999997</v>
      </c>
      <c r="F864" s="35" t="s">
        <v>2750</v>
      </c>
      <c r="G864"/>
      <c r="H864"/>
      <c r="I864" s="27">
        <f>-IFERROR(VLOOKUP(C864,SIRCUPA!$A$21:$H$155,8,0),0)</f>
        <v>0</v>
      </c>
      <c r="J864" s="88">
        <f>-IFERROR(VLOOKUP(C864,SIRTAC!$A$16:$H$1288,8,0),0)</f>
        <v>-43</v>
      </c>
      <c r="K864" s="88">
        <f>-IFERROR(VLOOKUP(C864,Gastos!$A$9:$J$1281,10,0),0)</f>
        <v>-41.71</v>
      </c>
      <c r="L864" s="87">
        <f>-IFERROR(VLOOKUP(C864,IDC!$A$25:$H$1532,8,0),0)</f>
        <v>-25.8</v>
      </c>
      <c r="M864" s="122">
        <f t="shared" si="123"/>
        <v>4300</v>
      </c>
      <c r="N864"/>
      <c r="P864" s="35">
        <f t="shared" si="124"/>
        <v>-4300</v>
      </c>
      <c r="Q864" s="66">
        <f t="shared" si="125"/>
        <v>0</v>
      </c>
    </row>
    <row r="865" spans="1:17" hidden="1">
      <c r="A865" s="1" t="s">
        <v>936</v>
      </c>
      <c r="B865" s="1" t="s">
        <v>15</v>
      </c>
      <c r="C865" s="91">
        <v>126604501712</v>
      </c>
      <c r="D865" s="3">
        <v>19778.29</v>
      </c>
      <c r="E865" s="3">
        <v>8310181.2199999997</v>
      </c>
      <c r="F865" s="35" t="s">
        <v>2750</v>
      </c>
      <c r="G865"/>
      <c r="H865"/>
      <c r="I865" s="27">
        <f>-IFERROR(VLOOKUP(C865,SIRCUPA!$A$21:$H$155,8,0),0)</f>
        <v>0</v>
      </c>
      <c r="J865" s="88">
        <f>-IFERROR(VLOOKUP(C865,SIRTAC!$A$16:$H$1288,8,0),0)</f>
        <v>-203</v>
      </c>
      <c r="K865" s="88">
        <f>-IFERROR(VLOOKUP(C865,Gastos!$A$9:$J$1281,10,0),0)</f>
        <v>-196.91</v>
      </c>
      <c r="L865" s="87">
        <f>-IFERROR(VLOOKUP(C865,IDC!$A$25:$H$1532,8,0),0)</f>
        <v>-121.8</v>
      </c>
      <c r="M865" s="122">
        <f t="shared" si="123"/>
        <v>20300</v>
      </c>
      <c r="N865"/>
      <c r="P865" s="35">
        <f t="shared" si="124"/>
        <v>-20300</v>
      </c>
      <c r="Q865" s="66">
        <f t="shared" si="125"/>
        <v>0</v>
      </c>
    </row>
    <row r="866" spans="1:17" hidden="1">
      <c r="A866" s="1" t="s">
        <v>936</v>
      </c>
      <c r="B866" s="1" t="s">
        <v>15</v>
      </c>
      <c r="C866" s="91">
        <v>126604962718</v>
      </c>
      <c r="D866" s="3">
        <v>27961.439999999999</v>
      </c>
      <c r="E866" s="3">
        <v>8338142.6600000001</v>
      </c>
      <c r="F866" s="35" t="s">
        <v>2750</v>
      </c>
      <c r="G866"/>
      <c r="H866"/>
      <c r="I866" s="27">
        <f>-IFERROR(VLOOKUP(C866,SIRCUPA!$A$21:$H$155,8,0),0)</f>
        <v>0</v>
      </c>
      <c r="J866" s="88">
        <f>-IFERROR(VLOOKUP(C866,SIRTAC!$A$16:$H$1288,8,0),0)</f>
        <v>-286.99</v>
      </c>
      <c r="K866" s="88">
        <f>-IFERROR(VLOOKUP(C866,Gastos!$A$9:$J$1281,10,0),0)</f>
        <v>-278.38</v>
      </c>
      <c r="L866" s="87">
        <f>-IFERROR(VLOOKUP(C866,IDC!$A$25:$H$1532,8,0),0)</f>
        <v>-172.19</v>
      </c>
      <c r="M866" s="122">
        <f t="shared" si="123"/>
        <v>28699</v>
      </c>
      <c r="N866"/>
      <c r="P866" s="35">
        <f t="shared" si="124"/>
        <v>-28698.333333333332</v>
      </c>
      <c r="Q866" s="66">
        <f t="shared" si="125"/>
        <v>0.66666666666787933</v>
      </c>
    </row>
    <row r="867" spans="1:17" hidden="1">
      <c r="A867" s="1" t="s">
        <v>936</v>
      </c>
      <c r="B867" s="1" t="s">
        <v>15</v>
      </c>
      <c r="C867" s="91">
        <v>126605063444</v>
      </c>
      <c r="D867" s="3">
        <v>79732.679999999993</v>
      </c>
      <c r="E867" s="3">
        <v>8417875.3399999999</v>
      </c>
      <c r="F867" s="35" t="s">
        <v>2750</v>
      </c>
      <c r="G867"/>
      <c r="H867"/>
      <c r="I867" s="27">
        <f>-IFERROR(VLOOKUP(C867,SIRCUPA!$A$21:$H$155,8,0),0)</f>
        <v>0</v>
      </c>
      <c r="J867" s="88">
        <f>-IFERROR(VLOOKUP(C867,SIRTAC!$A$16:$H$1288,8,0),0)</f>
        <v>-844</v>
      </c>
      <c r="K867" s="88">
        <f>-IFERROR(VLOOKUP(C867,Gastos!$A$9:$J$1281,10,0),0)</f>
        <v>-3316.92</v>
      </c>
      <c r="L867" s="87">
        <f>-IFERROR(VLOOKUP(C867,IDC!$A$25:$H$1532,8,0),0)</f>
        <v>-506.4</v>
      </c>
      <c r="M867" s="122">
        <f t="shared" si="123"/>
        <v>84399.999999999985</v>
      </c>
      <c r="N867"/>
      <c r="P867" s="35">
        <f t="shared" si="124"/>
        <v>-84400</v>
      </c>
      <c r="Q867" s="66">
        <f t="shared" si="125"/>
        <v>0</v>
      </c>
    </row>
    <row r="868" spans="1:17" hidden="1">
      <c r="A868" s="1" t="s">
        <v>960</v>
      </c>
      <c r="B868" s="1" t="s">
        <v>15</v>
      </c>
      <c r="C868" s="91">
        <v>126050976059</v>
      </c>
      <c r="D868" s="3">
        <v>9743</v>
      </c>
      <c r="E868" s="3">
        <v>8427618.3399999999</v>
      </c>
      <c r="F868" s="35" t="s">
        <v>2750</v>
      </c>
      <c r="G868"/>
      <c r="H868"/>
      <c r="I868" s="27">
        <f>-IFERROR(VLOOKUP(C868,SIRCUPA!$A$21:$H$155,8,0),0)</f>
        <v>0</v>
      </c>
      <c r="J868" s="88">
        <f>-IFERROR(VLOOKUP(C868,SIRTAC!$A$16:$H$1288,8,0),0)</f>
        <v>-100</v>
      </c>
      <c r="K868" s="88">
        <f>-IFERROR(VLOOKUP(C868,Gastos!$A$9:$J$1281,10,0),0)</f>
        <v>-97</v>
      </c>
      <c r="L868" s="87">
        <f>-IFERROR(VLOOKUP(C868,IDC!$A$25:$H$1532,8,0),0)</f>
        <v>-60</v>
      </c>
      <c r="M868" s="122">
        <f t="shared" si="123"/>
        <v>10000</v>
      </c>
      <c r="N868"/>
      <c r="P868" s="35">
        <f t="shared" si="124"/>
        <v>-10000</v>
      </c>
      <c r="Q868" s="66">
        <f t="shared" si="125"/>
        <v>0</v>
      </c>
    </row>
    <row r="869" spans="1:17" hidden="1">
      <c r="A869" s="1" t="s">
        <v>960</v>
      </c>
      <c r="B869" s="1" t="s">
        <v>15</v>
      </c>
      <c r="C869" s="91">
        <v>126606760284</v>
      </c>
      <c r="D869" s="3">
        <v>49388.86</v>
      </c>
      <c r="E869" s="3">
        <v>8477007.1999999993</v>
      </c>
      <c r="F869" s="35" t="s">
        <v>2750</v>
      </c>
      <c r="G869"/>
      <c r="H869"/>
      <c r="I869" s="27">
        <f>-IFERROR(VLOOKUP(C869,SIRCUPA!$A$21:$H$155,8,0),0)</f>
        <v>0</v>
      </c>
      <c r="J869" s="88">
        <f>-IFERROR(VLOOKUP(C869,SIRTAC!$A$16:$H$1288,8,0),0)</f>
        <v>-543.99</v>
      </c>
      <c r="K869" s="88">
        <f>-IFERROR(VLOOKUP(C869,Gastos!$A$9:$J$1281,10,0),0)</f>
        <v>-4139.76</v>
      </c>
      <c r="L869" s="87">
        <f>-IFERROR(VLOOKUP(C869,IDC!$A$25:$H$1532,8,0),0)</f>
        <v>-326.39</v>
      </c>
      <c r="M869" s="122">
        <f t="shared" si="123"/>
        <v>54399</v>
      </c>
      <c r="N869"/>
      <c r="P869" s="35">
        <f t="shared" si="124"/>
        <v>-54398.333333333328</v>
      </c>
      <c r="Q869" s="66">
        <f t="shared" si="125"/>
        <v>0.66666666667151731</v>
      </c>
    </row>
    <row r="870" spans="1:17" hidden="1">
      <c r="A870" s="1" t="s">
        <v>960</v>
      </c>
      <c r="B870" s="1" t="s">
        <v>15</v>
      </c>
      <c r="C870" s="91">
        <v>126607039216</v>
      </c>
      <c r="D870" s="3">
        <v>7807.94</v>
      </c>
      <c r="E870" s="3">
        <v>8484815.1400000006</v>
      </c>
      <c r="F870" s="35" t="s">
        <v>2750</v>
      </c>
      <c r="G870"/>
      <c r="H870"/>
      <c r="I870" s="27">
        <f>-IFERROR(VLOOKUP(C870,SIRCUPA!$A$21:$H$155,8,0),0)</f>
        <v>0</v>
      </c>
      <c r="J870" s="88">
        <f>-IFERROR(VLOOKUP(C870,SIRTAC!$A$16:$H$1288,8,0),0)</f>
        <v>-86</v>
      </c>
      <c r="K870" s="88">
        <f>-IFERROR(VLOOKUP(C870,Gastos!$A$9:$J$1281,10,0),0)</f>
        <v>-654.46</v>
      </c>
      <c r="L870" s="87">
        <f>-IFERROR(VLOOKUP(C870,IDC!$A$25:$H$1532,8,0),0)</f>
        <v>-51.6</v>
      </c>
      <c r="M870" s="122">
        <f t="shared" si="123"/>
        <v>8600</v>
      </c>
      <c r="N870"/>
      <c r="P870" s="35">
        <f t="shared" si="124"/>
        <v>-8600</v>
      </c>
      <c r="Q870" s="66">
        <f t="shared" si="125"/>
        <v>0</v>
      </c>
    </row>
    <row r="871" spans="1:17" hidden="1">
      <c r="A871" s="1" t="s">
        <v>960</v>
      </c>
      <c r="B871" s="1" t="s">
        <v>15</v>
      </c>
      <c r="C871" s="91">
        <v>126608518506</v>
      </c>
      <c r="D871" s="3">
        <v>8596.77</v>
      </c>
      <c r="E871" s="3">
        <v>8493411.9100000001</v>
      </c>
      <c r="F871" s="35" t="s">
        <v>2750</v>
      </c>
      <c r="G871"/>
      <c r="H871"/>
      <c r="I871" s="27">
        <f>-IFERROR(VLOOKUP(C871,SIRCUPA!$A$21:$H$155,8,0),0)</f>
        <v>0</v>
      </c>
      <c r="J871" s="88">
        <f>-IFERROR(VLOOKUP(C871,SIRTAC!$A$16:$H$1288,8,0),0)</f>
        <v>-91</v>
      </c>
      <c r="K871" s="88">
        <f>-IFERROR(VLOOKUP(C871,Gastos!$A$9:$J$1281,10,0),0)</f>
        <v>-357.63</v>
      </c>
      <c r="L871" s="87">
        <f>-IFERROR(VLOOKUP(C871,IDC!$A$25:$H$1532,8,0),0)</f>
        <v>-54.6</v>
      </c>
      <c r="M871" s="122">
        <f t="shared" si="123"/>
        <v>9100</v>
      </c>
      <c r="N871"/>
      <c r="P871" s="35">
        <f t="shared" si="124"/>
        <v>-9100</v>
      </c>
      <c r="Q871" s="66">
        <f t="shared" si="125"/>
        <v>0</v>
      </c>
    </row>
    <row r="872" spans="1:17" hidden="1">
      <c r="A872" s="1" t="s">
        <v>960</v>
      </c>
      <c r="B872" s="1" t="s">
        <v>15</v>
      </c>
      <c r="C872" s="91">
        <v>126053089055</v>
      </c>
      <c r="D872" s="3">
        <v>49785.760000000002</v>
      </c>
      <c r="E872" s="3">
        <v>8543197.6699999999</v>
      </c>
      <c r="F872" s="35" t="s">
        <v>2750</v>
      </c>
      <c r="G872"/>
      <c r="H872"/>
      <c r="I872" s="27">
        <f>-IFERROR(VLOOKUP(C872,SIRCUPA!$A$21:$H$155,8,0),0)</f>
        <v>0</v>
      </c>
      <c r="J872" s="88">
        <f>-IFERROR(VLOOKUP(C872,SIRTAC!$A$16:$H$1288,8,0),0)</f>
        <v>-510.99</v>
      </c>
      <c r="K872" s="88">
        <f>-IFERROR(VLOOKUP(C872,Gastos!$A$9:$J$1281,10,0),0)</f>
        <v>-495.66</v>
      </c>
      <c r="L872" s="87">
        <f>-IFERROR(VLOOKUP(C872,IDC!$A$25:$H$1532,8,0),0)</f>
        <v>-306.58999999999997</v>
      </c>
      <c r="M872" s="122">
        <f t="shared" si="123"/>
        <v>51099</v>
      </c>
      <c r="N872"/>
      <c r="P872" s="35">
        <f t="shared" si="124"/>
        <v>-51098.333333333328</v>
      </c>
      <c r="Q872" s="66">
        <f t="shared" si="125"/>
        <v>0.66666666667151731</v>
      </c>
    </row>
    <row r="873" spans="1:17" hidden="1">
      <c r="A873" s="1" t="s">
        <v>960</v>
      </c>
      <c r="B873" s="1" t="s">
        <v>15</v>
      </c>
      <c r="C873" s="91">
        <v>126608907260</v>
      </c>
      <c r="D873" s="3">
        <v>42868.23</v>
      </c>
      <c r="E873" s="3">
        <v>8586065.9000000004</v>
      </c>
      <c r="F873" s="35" t="s">
        <v>2750</v>
      </c>
      <c r="G873"/>
      <c r="H873"/>
      <c r="I873" s="27">
        <f>-IFERROR(VLOOKUP(C873,SIRCUPA!$A$21:$H$155,8,0),0)</f>
        <v>0</v>
      </c>
      <c r="J873" s="88">
        <f>-IFERROR(VLOOKUP(C873,SIRTAC!$A$16:$H$1288,8,0),0)</f>
        <v>-439.99</v>
      </c>
      <c r="K873" s="88">
        <f>-IFERROR(VLOOKUP(C873,Gastos!$A$9:$J$1281,10,0),0)</f>
        <v>-426.79</v>
      </c>
      <c r="L873" s="87">
        <f>-IFERROR(VLOOKUP(C873,IDC!$A$25:$H$1532,8,0),0)</f>
        <v>-263.99</v>
      </c>
      <c r="M873" s="122">
        <f t="shared" si="123"/>
        <v>43999</v>
      </c>
      <c r="N873"/>
      <c r="P873" s="35">
        <f t="shared" si="124"/>
        <v>-43998.333333333336</v>
      </c>
      <c r="Q873" s="66">
        <f t="shared" si="125"/>
        <v>0.66666666666424135</v>
      </c>
    </row>
    <row r="874" spans="1:17" hidden="1">
      <c r="A874" s="1" t="s">
        <v>960</v>
      </c>
      <c r="B874" s="1" t="s">
        <v>15</v>
      </c>
      <c r="C874" s="91">
        <v>126054219383</v>
      </c>
      <c r="D874" s="3">
        <v>24648.82</v>
      </c>
      <c r="E874" s="3">
        <v>8610714.7200000007</v>
      </c>
      <c r="F874" s="35" t="s">
        <v>2750</v>
      </c>
      <c r="G874"/>
      <c r="H874"/>
      <c r="I874" s="27">
        <f>-IFERROR(VLOOKUP(C874,SIRCUPA!$A$21:$H$155,8,0),0)</f>
        <v>0</v>
      </c>
      <c r="J874" s="88">
        <f>-IFERROR(VLOOKUP(C874,SIRTAC!$A$16:$H$1288,8,0),0)</f>
        <v>-252.99</v>
      </c>
      <c r="K874" s="88">
        <f>-IFERROR(VLOOKUP(C874,Gastos!$A$9:$J$1281,10,0),0)</f>
        <v>-245.4</v>
      </c>
      <c r="L874" s="87">
        <f>-IFERROR(VLOOKUP(C874,IDC!$A$25:$H$1532,8,0),0)</f>
        <v>-151.79</v>
      </c>
      <c r="M874" s="122">
        <f t="shared" si="123"/>
        <v>25299.000000000004</v>
      </c>
      <c r="N874"/>
      <c r="P874" s="35">
        <f t="shared" si="124"/>
        <v>-25298.333333333332</v>
      </c>
      <c r="Q874" s="66">
        <f t="shared" si="125"/>
        <v>0.66666666667151731</v>
      </c>
    </row>
    <row r="875" spans="1:17" hidden="1">
      <c r="A875" s="35" t="s">
        <v>960</v>
      </c>
      <c r="B875" s="35" t="s">
        <v>15</v>
      </c>
      <c r="C875" s="91">
        <v>126157000377</v>
      </c>
      <c r="D875" s="3">
        <v>8171.1</v>
      </c>
      <c r="E875" s="3">
        <v>7628981.8200000003</v>
      </c>
      <c r="F875" s="35" t="s">
        <v>2750</v>
      </c>
      <c r="G875" s="35"/>
      <c r="H875" s="35"/>
      <c r="I875" s="27">
        <f>-IFERROR(VLOOKUP(C875,SIRCUPA!$A$21:$H$155,8,0),0)</f>
        <v>0</v>
      </c>
      <c r="J875" s="88">
        <f>-IFERROR(VLOOKUP(C875,SIRTAC!$A$16:$H$1288,8,0),0)</f>
        <v>-90</v>
      </c>
      <c r="K875" s="88">
        <f>-IFERROR(VLOOKUP(C875,Gastos!$A$9:$J$1281,10,0),0)</f>
        <v>-684.9</v>
      </c>
      <c r="L875" s="87">
        <f>-IFERROR(VLOOKUP(C875,IDC!$A$25:$H$1532,8,0),0)</f>
        <v>-54</v>
      </c>
      <c r="M875" s="122">
        <f t="shared" si="123"/>
        <v>9000</v>
      </c>
      <c r="N875" s="35"/>
      <c r="O875" s="35"/>
      <c r="P875" s="35">
        <f t="shared" si="124"/>
        <v>-9000</v>
      </c>
      <c r="Q875" s="66">
        <f t="shared" si="125"/>
        <v>0</v>
      </c>
    </row>
    <row r="876" spans="1:17" hidden="1">
      <c r="A876" s="1" t="s">
        <v>960</v>
      </c>
      <c r="B876" s="1" t="s">
        <v>15</v>
      </c>
      <c r="C876" s="91">
        <v>126159013621</v>
      </c>
      <c r="D876" s="3">
        <v>4189.49</v>
      </c>
      <c r="E876" s="3">
        <v>7633171.3099999996</v>
      </c>
      <c r="F876" s="35" t="s">
        <v>2750</v>
      </c>
      <c r="G876"/>
      <c r="H876"/>
      <c r="I876" s="27">
        <f>-IFERROR(VLOOKUP(C876,SIRCUPA!$A$21:$H$155,8,0),0)</f>
        <v>0</v>
      </c>
      <c r="J876" s="88">
        <f>-IFERROR(VLOOKUP(C876,SIRTAC!$A$16:$H$1288,8,0),0)</f>
        <v>-43</v>
      </c>
      <c r="K876" s="88">
        <f>-IFERROR(VLOOKUP(C876,Gastos!$A$9:$J$1281,10,0),0)</f>
        <v>-41.71</v>
      </c>
      <c r="L876" s="87">
        <f>-IFERROR(VLOOKUP(C876,IDC!$A$25:$H$1532,8,0),0)</f>
        <v>-25.8</v>
      </c>
      <c r="M876" s="122">
        <f t="shared" si="123"/>
        <v>4300</v>
      </c>
      <c r="N876"/>
      <c r="P876" s="35">
        <f t="shared" si="124"/>
        <v>-4300</v>
      </c>
      <c r="Q876" s="66">
        <f t="shared" si="125"/>
        <v>0</v>
      </c>
    </row>
    <row r="877" spans="1:17" hidden="1">
      <c r="A877" s="1" t="s">
        <v>960</v>
      </c>
      <c r="B877" s="1" t="s">
        <v>15</v>
      </c>
      <c r="C877" s="91">
        <v>126715334666</v>
      </c>
      <c r="D877" s="3">
        <v>25136.94</v>
      </c>
      <c r="E877" s="3">
        <v>7658308.25</v>
      </c>
      <c r="F877" s="35" t="s">
        <v>2750</v>
      </c>
      <c r="G877"/>
      <c r="H877"/>
      <c r="I877" s="27">
        <f>-IFERROR(VLOOKUP(C877,SIRCUPA!$A$21:$H$155,8,0),0)</f>
        <v>0</v>
      </c>
      <c r="J877" s="88">
        <f>-IFERROR(VLOOKUP(C877,SIRTAC!$A$16:$H$1288,8,0),0)</f>
        <v>-258</v>
      </c>
      <c r="K877" s="88">
        <f>-IFERROR(VLOOKUP(C877,Gastos!$A$9:$J$1281,10,0),0)</f>
        <v>-250.26</v>
      </c>
      <c r="L877" s="87">
        <f>-IFERROR(VLOOKUP(C877,IDC!$A$25:$H$1532,8,0),0)</f>
        <v>-154.80000000000001</v>
      </c>
      <c r="M877" s="122">
        <f t="shared" si="123"/>
        <v>25799.999999999996</v>
      </c>
      <c r="N877"/>
      <c r="P877" s="35">
        <f t="shared" si="124"/>
        <v>-25800</v>
      </c>
      <c r="Q877" s="66">
        <f t="shared" si="125"/>
        <v>0</v>
      </c>
    </row>
    <row r="878" spans="1:17" hidden="1">
      <c r="A878" s="1" t="s">
        <v>960</v>
      </c>
      <c r="B878" s="1" t="s">
        <v>15</v>
      </c>
      <c r="C878" s="91">
        <v>126717656802</v>
      </c>
      <c r="D878" s="3">
        <v>4189.49</v>
      </c>
      <c r="E878" s="3">
        <v>7662497.7400000002</v>
      </c>
      <c r="F878" s="35" t="s">
        <v>2750</v>
      </c>
      <c r="G878"/>
      <c r="H878"/>
      <c r="I878" s="27">
        <f>-IFERROR(VLOOKUP(C878,SIRCUPA!$A$21:$H$155,8,0),0)</f>
        <v>0</v>
      </c>
      <c r="J878" s="88">
        <f>-IFERROR(VLOOKUP(C878,SIRTAC!$A$16:$H$1288,8,0),0)</f>
        <v>-43</v>
      </c>
      <c r="K878" s="88">
        <f>-IFERROR(VLOOKUP(C878,Gastos!$A$9:$J$1281,10,0),0)</f>
        <v>-41.71</v>
      </c>
      <c r="L878" s="87">
        <f>-IFERROR(VLOOKUP(C878,IDC!$A$25:$H$1532,8,0),0)</f>
        <v>-25.8</v>
      </c>
      <c r="M878" s="122">
        <f t="shared" si="123"/>
        <v>4300</v>
      </c>
      <c r="N878"/>
      <c r="P878" s="35">
        <f t="shared" si="124"/>
        <v>-4300</v>
      </c>
      <c r="Q878" s="66">
        <f t="shared" si="125"/>
        <v>0</v>
      </c>
    </row>
    <row r="879" spans="1:17" hidden="1">
      <c r="A879" s="1" t="s">
        <v>960</v>
      </c>
      <c r="B879" s="1" t="s">
        <v>15</v>
      </c>
      <c r="C879" s="91">
        <v>126163201675</v>
      </c>
      <c r="D879" s="3">
        <v>8378.98</v>
      </c>
      <c r="E879" s="3">
        <v>7670876.7199999997</v>
      </c>
      <c r="F879" s="35" t="s">
        <v>2750</v>
      </c>
      <c r="G879"/>
      <c r="H879"/>
      <c r="I879" s="27">
        <f>-IFERROR(VLOOKUP(C879,SIRCUPA!$A$21:$H$155,8,0),0)</f>
        <v>0</v>
      </c>
      <c r="J879" s="88">
        <f>-IFERROR(VLOOKUP(C879,SIRTAC!$A$16:$H$1288,8,0),0)</f>
        <v>-86</v>
      </c>
      <c r="K879" s="88">
        <f>-IFERROR(VLOOKUP(C879,Gastos!$A$9:$J$1281,10,0),0)</f>
        <v>-83.42</v>
      </c>
      <c r="L879" s="87">
        <f>-IFERROR(VLOOKUP(C879,IDC!$A$25:$H$1532,8,0),0)</f>
        <v>-51.6</v>
      </c>
      <c r="M879" s="122">
        <f t="shared" si="123"/>
        <v>8600</v>
      </c>
      <c r="N879"/>
      <c r="P879" s="35">
        <f t="shared" si="124"/>
        <v>-8600</v>
      </c>
      <c r="Q879" s="66">
        <f t="shared" si="125"/>
        <v>0</v>
      </c>
    </row>
    <row r="880" spans="1:17" hidden="1">
      <c r="A880" s="1" t="s">
        <v>960</v>
      </c>
      <c r="B880" s="1" t="s">
        <v>15</v>
      </c>
      <c r="C880" s="91">
        <v>126163696217</v>
      </c>
      <c r="D880" s="3">
        <v>21971.18</v>
      </c>
      <c r="E880" s="3">
        <v>7692847.9000000004</v>
      </c>
      <c r="F880" s="35" t="s">
        <v>2750</v>
      </c>
      <c r="G880"/>
      <c r="H880"/>
      <c r="I880" s="27">
        <f>-IFERROR(VLOOKUP(C880,SIRCUPA!$A$21:$H$155,8,0),0)</f>
        <v>0</v>
      </c>
      <c r="J880" s="88">
        <f>-IFERROR(VLOOKUP(C880,SIRTAC!$A$16:$H$1288,8,0),0)</f>
        <v>-242</v>
      </c>
      <c r="K880" s="88">
        <f>-IFERROR(VLOOKUP(C880,Gastos!$A$9:$J$1281,10,0),0)</f>
        <v>-1841.62</v>
      </c>
      <c r="L880" s="87">
        <f>-IFERROR(VLOOKUP(C880,IDC!$A$25:$H$1532,8,0),0)</f>
        <v>-145.19999999999999</v>
      </c>
      <c r="M880" s="122">
        <f t="shared" si="123"/>
        <v>24200</v>
      </c>
      <c r="N880"/>
      <c r="P880" s="35">
        <f t="shared" si="124"/>
        <v>-24199.999999999996</v>
      </c>
      <c r="Q880" s="66">
        <f t="shared" si="125"/>
        <v>0</v>
      </c>
    </row>
    <row r="881" spans="1:17" hidden="1">
      <c r="A881" s="1" t="s">
        <v>960</v>
      </c>
      <c r="B881" s="1" t="s">
        <v>15</v>
      </c>
      <c r="C881" s="91">
        <v>126720176148</v>
      </c>
      <c r="D881" s="3">
        <v>48572.65</v>
      </c>
      <c r="E881" s="3">
        <v>7741420.5499999998</v>
      </c>
      <c r="F881" s="35" t="s">
        <v>2750</v>
      </c>
      <c r="G881"/>
      <c r="H881"/>
      <c r="I881" s="27">
        <f>-IFERROR(VLOOKUP(C881,SIRCUPA!$A$21:$H$155,8,0),0)</f>
        <v>0</v>
      </c>
      <c r="J881" s="88">
        <f>-IFERROR(VLOOKUP(C881,SIRTAC!$A$16:$H$1288,8,0),0)</f>
        <v>-535</v>
      </c>
      <c r="K881" s="88">
        <f>-IFERROR(VLOOKUP(C881,Gastos!$A$9:$J$1281,10,0),0)</f>
        <v>-4071.35</v>
      </c>
      <c r="L881" s="87">
        <f>-IFERROR(VLOOKUP(C881,IDC!$A$25:$H$1532,8,0),0)</f>
        <v>-321</v>
      </c>
      <c r="M881" s="122">
        <f t="shared" ref="M881:M912" si="126">+D881-I881-J881-K881-L881</f>
        <v>53500</v>
      </c>
      <c r="N881"/>
      <c r="P881" s="35">
        <f t="shared" si="124"/>
        <v>-53500</v>
      </c>
      <c r="Q881" s="66">
        <f t="shared" si="125"/>
        <v>0</v>
      </c>
    </row>
    <row r="882" spans="1:17" hidden="1">
      <c r="A882" s="1" t="s">
        <v>960</v>
      </c>
      <c r="B882" s="1" t="s">
        <v>15</v>
      </c>
      <c r="C882" s="91">
        <v>126720731270</v>
      </c>
      <c r="D882" s="3">
        <v>4189.49</v>
      </c>
      <c r="E882" s="3">
        <v>7745610.04</v>
      </c>
      <c r="F882" s="35" t="s">
        <v>2750</v>
      </c>
      <c r="G882"/>
      <c r="H882"/>
      <c r="I882" s="27">
        <f>-IFERROR(VLOOKUP(C882,SIRCUPA!$A$21:$H$155,8,0),0)</f>
        <v>0</v>
      </c>
      <c r="J882" s="88">
        <f>-IFERROR(VLOOKUP(C882,SIRTAC!$A$16:$H$1288,8,0),0)</f>
        <v>-43</v>
      </c>
      <c r="K882" s="88">
        <f>-IFERROR(VLOOKUP(C882,Gastos!$A$9:$J$1281,10,0),0)</f>
        <v>-41.71</v>
      </c>
      <c r="L882" s="87">
        <f>-IFERROR(VLOOKUP(C882,IDC!$A$25:$H$1532,8,0),0)</f>
        <v>-25.8</v>
      </c>
      <c r="M882" s="122">
        <f t="shared" si="126"/>
        <v>4300</v>
      </c>
      <c r="N882"/>
      <c r="P882" s="35">
        <f t="shared" si="124"/>
        <v>-4300</v>
      </c>
      <c r="Q882" s="66">
        <f t="shared" si="125"/>
        <v>0</v>
      </c>
    </row>
    <row r="883" spans="1:17" hidden="1">
      <c r="A883" s="1" t="s">
        <v>960</v>
      </c>
      <c r="B883" s="1" t="s">
        <v>15</v>
      </c>
      <c r="C883" s="91">
        <v>126165274867</v>
      </c>
      <c r="D883" s="3">
        <v>4062.21</v>
      </c>
      <c r="E883" s="3">
        <v>7749672.25</v>
      </c>
      <c r="F883" s="35" t="s">
        <v>2750</v>
      </c>
      <c r="G883"/>
      <c r="H883"/>
      <c r="I883" s="27">
        <f>-IFERROR(VLOOKUP(C883,SIRCUPA!$A$21:$H$155,8,0),0)</f>
        <v>0</v>
      </c>
      <c r="J883" s="88">
        <f>-IFERROR(VLOOKUP(C883,SIRTAC!$A$16:$H$1288,8,0),0)</f>
        <v>-43</v>
      </c>
      <c r="K883" s="88">
        <f>-IFERROR(VLOOKUP(C883,Gastos!$A$9:$J$1281,10,0),0)</f>
        <v>-168.99</v>
      </c>
      <c r="L883" s="87">
        <f>-IFERROR(VLOOKUP(C883,IDC!$A$25:$H$1532,8,0),0)</f>
        <v>-25.8</v>
      </c>
      <c r="M883" s="122">
        <f t="shared" si="126"/>
        <v>4300</v>
      </c>
      <c r="N883"/>
      <c r="P883" s="35">
        <f t="shared" si="124"/>
        <v>-4300</v>
      </c>
      <c r="Q883" s="66">
        <f t="shared" si="125"/>
        <v>0</v>
      </c>
    </row>
    <row r="884" spans="1:17" hidden="1">
      <c r="A884" s="1" t="s">
        <v>960</v>
      </c>
      <c r="B884" s="1" t="s">
        <v>15</v>
      </c>
      <c r="C884" s="91">
        <v>126723007268</v>
      </c>
      <c r="D884" s="3">
        <v>7172.41</v>
      </c>
      <c r="E884" s="3">
        <v>7756844.6600000001</v>
      </c>
      <c r="F884" s="35" t="s">
        <v>2750</v>
      </c>
      <c r="G884"/>
      <c r="H884"/>
      <c r="I884" s="27">
        <f>-IFERROR(VLOOKUP(C884,SIRCUPA!$A$21:$H$155,8,0),0)</f>
        <v>0</v>
      </c>
      <c r="J884" s="88">
        <f>-IFERROR(VLOOKUP(C884,SIRTAC!$A$16:$H$1288,8,0),0)</f>
        <v>-79</v>
      </c>
      <c r="K884" s="88">
        <f>-IFERROR(VLOOKUP(C884,Gastos!$A$9:$J$1281,10,0),0)</f>
        <v>-601.19000000000005</v>
      </c>
      <c r="L884" s="87">
        <f>-IFERROR(VLOOKUP(C884,IDC!$A$25:$H$1532,8,0),0)</f>
        <v>-47.4</v>
      </c>
      <c r="M884" s="122">
        <f t="shared" si="126"/>
        <v>7900</v>
      </c>
      <c r="N884"/>
      <c r="P884" s="35">
        <f t="shared" si="124"/>
        <v>-7900</v>
      </c>
      <c r="Q884" s="66">
        <f t="shared" si="125"/>
        <v>0</v>
      </c>
    </row>
    <row r="885" spans="1:17" hidden="1">
      <c r="A885" s="1" t="s">
        <v>960</v>
      </c>
      <c r="B885" s="1" t="s">
        <v>15</v>
      </c>
      <c r="C885" s="91">
        <v>126723539042</v>
      </c>
      <c r="D885" s="3">
        <v>4062.21</v>
      </c>
      <c r="E885" s="3">
        <v>7760906.8700000001</v>
      </c>
      <c r="F885" s="35" t="s">
        <v>2750</v>
      </c>
      <c r="G885"/>
      <c r="H885"/>
      <c r="I885" s="27">
        <f>-IFERROR(VLOOKUP(C885,SIRCUPA!$A$21:$H$155,8,0),0)</f>
        <v>0</v>
      </c>
      <c r="J885" s="88">
        <f>-IFERROR(VLOOKUP(C885,SIRTAC!$A$16:$H$1288,8,0),0)</f>
        <v>-43</v>
      </c>
      <c r="K885" s="88">
        <f>-IFERROR(VLOOKUP(C885,Gastos!$A$9:$J$1281,10,0),0)</f>
        <v>-168.99</v>
      </c>
      <c r="L885" s="87">
        <f>-IFERROR(VLOOKUP(C885,IDC!$A$25:$H$1532,8,0),0)</f>
        <v>-25.8</v>
      </c>
      <c r="M885" s="122">
        <f t="shared" si="126"/>
        <v>4300</v>
      </c>
      <c r="N885"/>
      <c r="P885" s="35">
        <f t="shared" si="124"/>
        <v>-4300</v>
      </c>
      <c r="Q885" s="66">
        <f t="shared" si="125"/>
        <v>0</v>
      </c>
    </row>
    <row r="886" spans="1:17" hidden="1">
      <c r="A886" s="1" t="s">
        <v>960</v>
      </c>
      <c r="B886" s="1" t="s">
        <v>15</v>
      </c>
      <c r="C886" s="91">
        <v>126723765408</v>
      </c>
      <c r="D886" s="3">
        <v>4189.49</v>
      </c>
      <c r="E886" s="3">
        <v>7765096.3600000003</v>
      </c>
      <c r="F886" s="35" t="s">
        <v>2750</v>
      </c>
      <c r="G886"/>
      <c r="H886"/>
      <c r="I886" s="27">
        <f>-IFERROR(VLOOKUP(C886,SIRCUPA!$A$21:$H$155,8,0),0)</f>
        <v>0</v>
      </c>
      <c r="J886" s="88">
        <f>-IFERROR(VLOOKUP(C886,SIRTAC!$A$16:$H$1288,8,0),0)</f>
        <v>-43</v>
      </c>
      <c r="K886" s="88">
        <f>-IFERROR(VLOOKUP(C886,Gastos!$A$9:$J$1281,10,0),0)</f>
        <v>-41.71</v>
      </c>
      <c r="L886" s="87">
        <f>-IFERROR(VLOOKUP(C886,IDC!$A$25:$H$1532,8,0),0)</f>
        <v>-25.8</v>
      </c>
      <c r="M886" s="122">
        <f t="shared" si="126"/>
        <v>4300</v>
      </c>
      <c r="N886"/>
      <c r="P886" s="35">
        <f t="shared" si="124"/>
        <v>-4300</v>
      </c>
      <c r="Q886" s="66">
        <f t="shared" si="125"/>
        <v>0</v>
      </c>
    </row>
    <row r="887" spans="1:17" hidden="1">
      <c r="A887" s="1" t="s">
        <v>960</v>
      </c>
      <c r="B887" s="1" t="s">
        <v>15</v>
      </c>
      <c r="C887" s="91">
        <v>126724104590</v>
      </c>
      <c r="D887" s="3">
        <v>8974.65</v>
      </c>
      <c r="E887" s="3">
        <v>7774071.0099999998</v>
      </c>
      <c r="F887" s="35" t="s">
        <v>2750</v>
      </c>
      <c r="G887"/>
      <c r="H887"/>
      <c r="I887" s="27">
        <f>-IFERROR(VLOOKUP(C887,SIRCUPA!$A$21:$H$155,8,0),0)</f>
        <v>0</v>
      </c>
      <c r="J887" s="88">
        <f>-IFERROR(VLOOKUP(C887,SIRTAC!$A$16:$H$1288,8,0),0)</f>
        <v>-95</v>
      </c>
      <c r="K887" s="88">
        <f>-IFERROR(VLOOKUP(C887,Gastos!$A$9:$J$1281,10,0),0)</f>
        <v>-373.35</v>
      </c>
      <c r="L887" s="87">
        <f>-IFERROR(VLOOKUP(C887,IDC!$A$25:$H$1532,8,0),0)</f>
        <v>-57</v>
      </c>
      <c r="M887" s="122">
        <f t="shared" si="126"/>
        <v>9500</v>
      </c>
      <c r="N887"/>
      <c r="P887" s="35">
        <f t="shared" si="124"/>
        <v>-9500</v>
      </c>
      <c r="Q887" s="66">
        <f t="shared" si="125"/>
        <v>0</v>
      </c>
    </row>
    <row r="888" spans="1:17" hidden="1">
      <c r="A888" s="1" t="s">
        <v>960</v>
      </c>
      <c r="B888" s="1" t="s">
        <v>15</v>
      </c>
      <c r="C888" s="91">
        <v>126724308446</v>
      </c>
      <c r="D888" s="3">
        <v>4189.49</v>
      </c>
      <c r="E888" s="3">
        <v>7778260.5</v>
      </c>
      <c r="F888" s="35" t="s">
        <v>2750</v>
      </c>
      <c r="G888"/>
      <c r="H888"/>
      <c r="I888" s="27">
        <f>-IFERROR(VLOOKUP(C888,SIRCUPA!$A$21:$H$155,8,0),0)</f>
        <v>0</v>
      </c>
      <c r="J888" s="88">
        <f>-IFERROR(VLOOKUP(C888,SIRTAC!$A$16:$H$1288,8,0),0)</f>
        <v>-43</v>
      </c>
      <c r="K888" s="88">
        <f>-IFERROR(VLOOKUP(C888,Gastos!$A$9:$J$1281,10,0),0)</f>
        <v>-41.71</v>
      </c>
      <c r="L888" s="87">
        <f>-IFERROR(VLOOKUP(C888,IDC!$A$25:$H$1532,8,0),0)</f>
        <v>-25.8</v>
      </c>
      <c r="M888" s="122">
        <f t="shared" si="126"/>
        <v>4300</v>
      </c>
      <c r="N888"/>
      <c r="P888" s="35">
        <f t="shared" si="124"/>
        <v>-4300</v>
      </c>
      <c r="Q888" s="66">
        <f t="shared" si="125"/>
        <v>0</v>
      </c>
    </row>
    <row r="889" spans="1:17" hidden="1">
      <c r="A889" s="1" t="s">
        <v>960</v>
      </c>
      <c r="B889" s="1" t="s">
        <v>15</v>
      </c>
      <c r="C889" s="91">
        <v>126724304832</v>
      </c>
      <c r="D889" s="3">
        <v>3799.77</v>
      </c>
      <c r="E889" s="3">
        <v>7782060.2699999996</v>
      </c>
      <c r="F889" s="35" t="s">
        <v>2750</v>
      </c>
      <c r="G889"/>
      <c r="H889"/>
      <c r="I889" s="27">
        <f>-IFERROR(VLOOKUP(C889,SIRCUPA!$A$21:$H$155,8,0),0)</f>
        <v>0</v>
      </c>
      <c r="J889" s="88">
        <f>-IFERROR(VLOOKUP(C889,SIRTAC!$A$16:$H$1288,8,0),0)</f>
        <v>-39</v>
      </c>
      <c r="K889" s="88">
        <f>-IFERROR(VLOOKUP(C889,Gastos!$A$9:$J$1281,10,0),0)</f>
        <v>-37.83</v>
      </c>
      <c r="L889" s="87">
        <f>-IFERROR(VLOOKUP(C889,IDC!$A$25:$H$1532,8,0),0)</f>
        <v>-23.4</v>
      </c>
      <c r="M889" s="122">
        <f t="shared" si="126"/>
        <v>3900</v>
      </c>
      <c r="N889"/>
      <c r="P889" s="35">
        <f t="shared" si="124"/>
        <v>-3899.9999999999995</v>
      </c>
      <c r="Q889" s="66">
        <f t="shared" si="125"/>
        <v>0</v>
      </c>
    </row>
    <row r="890" spans="1:17" hidden="1">
      <c r="A890" s="1" t="s">
        <v>960</v>
      </c>
      <c r="B890" s="1" t="s">
        <v>15</v>
      </c>
      <c r="C890" s="91">
        <v>126169270677</v>
      </c>
      <c r="D890" s="3">
        <v>5553.51</v>
      </c>
      <c r="E890" s="3">
        <v>7787613.7800000003</v>
      </c>
      <c r="F890" s="35" t="s">
        <v>2750</v>
      </c>
      <c r="G890"/>
      <c r="H890"/>
      <c r="I890" s="27">
        <f>-IFERROR(VLOOKUP(C890,SIRCUPA!$A$21:$H$155,8,0),0)</f>
        <v>0</v>
      </c>
      <c r="J890" s="88">
        <f>-IFERROR(VLOOKUP(C890,SIRTAC!$A$16:$H$1288,8,0),0)</f>
        <v>-57</v>
      </c>
      <c r="K890" s="88">
        <f>-IFERROR(VLOOKUP(C890,Gastos!$A$9:$J$1281,10,0),0)</f>
        <v>-55.29</v>
      </c>
      <c r="L890" s="87">
        <f>-IFERROR(VLOOKUP(C890,IDC!$A$25:$H$1532,8,0),0)</f>
        <v>-34.200000000000003</v>
      </c>
      <c r="M890" s="122">
        <f t="shared" si="126"/>
        <v>5700</v>
      </c>
      <c r="N890"/>
      <c r="P890" s="35">
        <f t="shared" si="124"/>
        <v>-5700</v>
      </c>
      <c r="Q890" s="66">
        <f t="shared" si="125"/>
        <v>0</v>
      </c>
    </row>
    <row r="891" spans="1:17" hidden="1">
      <c r="A891" s="1" t="s">
        <v>960</v>
      </c>
      <c r="B891" s="1" t="s">
        <v>15</v>
      </c>
      <c r="C891" s="91">
        <v>126725418364</v>
      </c>
      <c r="D891" s="3">
        <v>3410.05</v>
      </c>
      <c r="E891" s="3">
        <v>7791023.8300000001</v>
      </c>
      <c r="F891" s="35" t="s">
        <v>2750</v>
      </c>
      <c r="G891"/>
      <c r="H891"/>
      <c r="I891" s="27">
        <f>-IFERROR(VLOOKUP(C891,SIRCUPA!$A$21:$H$155,8,0),0)</f>
        <v>0</v>
      </c>
      <c r="J891" s="88">
        <f>-IFERROR(VLOOKUP(C891,SIRTAC!$A$16:$H$1288,8,0),0)</f>
        <v>-35</v>
      </c>
      <c r="K891" s="88">
        <f>-IFERROR(VLOOKUP(C891,Gastos!$A$9:$J$1281,10,0),0)</f>
        <v>-33.950000000000003</v>
      </c>
      <c r="L891" s="87">
        <f>-IFERROR(VLOOKUP(C891,IDC!$A$25:$H$1532,8,0),0)</f>
        <v>-21</v>
      </c>
      <c r="M891" s="122">
        <f t="shared" si="126"/>
        <v>3500</v>
      </c>
      <c r="N891"/>
      <c r="P891" s="35">
        <f t="shared" si="124"/>
        <v>-3500</v>
      </c>
      <c r="Q891" s="66">
        <f t="shared" si="125"/>
        <v>0</v>
      </c>
    </row>
    <row r="892" spans="1:17" hidden="1">
      <c r="A892" s="1" t="s">
        <v>960</v>
      </c>
      <c r="B892" s="1" t="s">
        <v>15</v>
      </c>
      <c r="C892" s="91">
        <v>126725608370</v>
      </c>
      <c r="D892" s="3">
        <v>3410.05</v>
      </c>
      <c r="E892" s="3">
        <v>7794433.8799999999</v>
      </c>
      <c r="F892" s="35" t="s">
        <v>2750</v>
      </c>
      <c r="G892"/>
      <c r="H892"/>
      <c r="I892" s="27">
        <f>-IFERROR(VLOOKUP(C892,SIRCUPA!$A$21:$H$155,8,0),0)</f>
        <v>0</v>
      </c>
      <c r="J892" s="88">
        <f>-IFERROR(VLOOKUP(C892,SIRTAC!$A$16:$H$1288,8,0),0)</f>
        <v>-35</v>
      </c>
      <c r="K892" s="88">
        <f>-IFERROR(VLOOKUP(C892,Gastos!$A$9:$J$1281,10,0),0)</f>
        <v>-33.950000000000003</v>
      </c>
      <c r="L892" s="87">
        <f>-IFERROR(VLOOKUP(C892,IDC!$A$25:$H$1532,8,0),0)</f>
        <v>-21</v>
      </c>
      <c r="M892" s="122">
        <f t="shared" si="126"/>
        <v>3500</v>
      </c>
      <c r="N892"/>
      <c r="P892" s="35">
        <f t="shared" si="124"/>
        <v>-3500</v>
      </c>
      <c r="Q892" s="66">
        <f t="shared" si="125"/>
        <v>0</v>
      </c>
    </row>
    <row r="893" spans="1:17" hidden="1">
      <c r="A893" s="1" t="s">
        <v>960</v>
      </c>
      <c r="B893" s="1" t="s">
        <v>15</v>
      </c>
      <c r="C893" s="91">
        <v>126170159241</v>
      </c>
      <c r="D893" s="3">
        <v>37032.239999999998</v>
      </c>
      <c r="E893" s="3">
        <v>7831466.1200000001</v>
      </c>
      <c r="F893" s="35" t="s">
        <v>2750</v>
      </c>
      <c r="G893"/>
      <c r="H893"/>
      <c r="I893" s="27">
        <f>-IFERROR(VLOOKUP(C893,SIRCUPA!$A$21:$H$155,8,0),0)</f>
        <v>0</v>
      </c>
      <c r="J893" s="88">
        <f>-IFERROR(VLOOKUP(C893,SIRTAC!$A$16:$H$1288,8,0),0)</f>
        <v>-392</v>
      </c>
      <c r="K893" s="88">
        <f>-IFERROR(VLOOKUP(C893,Gastos!$A$9:$J$1281,10,0),0)</f>
        <v>-1540.56</v>
      </c>
      <c r="L893" s="87">
        <f>-IFERROR(VLOOKUP(C893,IDC!$A$25:$H$1532,8,0),0)</f>
        <v>-235.2</v>
      </c>
      <c r="M893" s="122">
        <f t="shared" si="126"/>
        <v>39199.999999999993</v>
      </c>
      <c r="N893"/>
      <c r="P893" s="35">
        <f t="shared" si="124"/>
        <v>-39200</v>
      </c>
      <c r="Q893" s="66">
        <f t="shared" si="125"/>
        <v>0</v>
      </c>
    </row>
    <row r="894" spans="1:17" hidden="1">
      <c r="A894" s="1" t="s">
        <v>960</v>
      </c>
      <c r="B894" s="1" t="s">
        <v>15</v>
      </c>
      <c r="C894" s="91">
        <v>126171003423</v>
      </c>
      <c r="D894" s="3">
        <v>3410.05</v>
      </c>
      <c r="E894" s="3">
        <v>7834876.1699999999</v>
      </c>
      <c r="F894" s="35" t="s">
        <v>2750</v>
      </c>
      <c r="G894"/>
      <c r="H894"/>
      <c r="I894" s="27">
        <f>-IFERROR(VLOOKUP(C894,SIRCUPA!$A$21:$H$155,8,0),0)</f>
        <v>0</v>
      </c>
      <c r="J894" s="88">
        <f>-IFERROR(VLOOKUP(C894,SIRTAC!$A$16:$H$1288,8,0),0)</f>
        <v>-35</v>
      </c>
      <c r="K894" s="88">
        <f>-IFERROR(VLOOKUP(C894,Gastos!$A$9:$J$1281,10,0),0)</f>
        <v>-33.950000000000003</v>
      </c>
      <c r="L894" s="87">
        <f>-IFERROR(VLOOKUP(C894,IDC!$A$25:$H$1532,8,0),0)</f>
        <v>-21</v>
      </c>
      <c r="M894" s="122">
        <f t="shared" si="126"/>
        <v>3500</v>
      </c>
      <c r="N894"/>
      <c r="P894" s="35">
        <f t="shared" si="124"/>
        <v>-3500</v>
      </c>
      <c r="Q894" s="66">
        <f t="shared" si="125"/>
        <v>0</v>
      </c>
    </row>
    <row r="895" spans="1:17" hidden="1">
      <c r="A895" s="1" t="s">
        <v>960</v>
      </c>
      <c r="B895" s="1" t="s">
        <v>15</v>
      </c>
      <c r="C895" s="91">
        <v>126171264709</v>
      </c>
      <c r="D895" s="3">
        <v>4189.49</v>
      </c>
      <c r="E895" s="3">
        <v>7839065.6600000001</v>
      </c>
      <c r="F895" s="35" t="s">
        <v>2750</v>
      </c>
      <c r="G895"/>
      <c r="H895"/>
      <c r="I895" s="27">
        <f>-IFERROR(VLOOKUP(C895,SIRCUPA!$A$21:$H$155,8,0),0)</f>
        <v>0</v>
      </c>
      <c r="J895" s="88">
        <f>-IFERROR(VLOOKUP(C895,SIRTAC!$A$16:$H$1288,8,0),0)</f>
        <v>-43</v>
      </c>
      <c r="K895" s="88">
        <f>-IFERROR(VLOOKUP(C895,Gastos!$A$9:$J$1281,10,0),0)</f>
        <v>-41.71</v>
      </c>
      <c r="L895" s="87">
        <f>-IFERROR(VLOOKUP(C895,IDC!$A$25:$H$1532,8,0),0)</f>
        <v>-25.8</v>
      </c>
      <c r="M895" s="122">
        <f t="shared" si="126"/>
        <v>4300</v>
      </c>
      <c r="N895"/>
      <c r="P895" s="35">
        <f t="shared" si="124"/>
        <v>-4300</v>
      </c>
      <c r="Q895" s="66">
        <f t="shared" si="125"/>
        <v>0</v>
      </c>
    </row>
    <row r="896" spans="1:17" hidden="1">
      <c r="A896" s="1" t="s">
        <v>960</v>
      </c>
      <c r="B896" s="1" t="s">
        <v>15</v>
      </c>
      <c r="C896" s="91">
        <v>126171958661</v>
      </c>
      <c r="D896" s="3">
        <v>11886.46</v>
      </c>
      <c r="E896" s="3">
        <v>7850952.1200000001</v>
      </c>
      <c r="F896" s="35" t="s">
        <v>2750</v>
      </c>
      <c r="G896"/>
      <c r="H896"/>
      <c r="I896" s="27">
        <f>-IFERROR(VLOOKUP(C896,SIRCUPA!$A$21:$H$155,8,0),0)</f>
        <v>0</v>
      </c>
      <c r="J896" s="88">
        <f>-IFERROR(VLOOKUP(C896,SIRTAC!$A$16:$H$1288,8,0),0)</f>
        <v>-122</v>
      </c>
      <c r="K896" s="88">
        <f>-IFERROR(VLOOKUP(C896,Gastos!$A$9:$J$1281,10,0),0)</f>
        <v>-118.34</v>
      </c>
      <c r="L896" s="87">
        <f>-IFERROR(VLOOKUP(C896,IDC!$A$25:$H$1532,8,0),0)</f>
        <v>-73.2</v>
      </c>
      <c r="M896" s="122">
        <f t="shared" si="126"/>
        <v>12200</v>
      </c>
      <c r="N896"/>
      <c r="P896" s="35">
        <f t="shared" si="124"/>
        <v>-12200</v>
      </c>
      <c r="Q896" s="66">
        <f t="shared" si="125"/>
        <v>0</v>
      </c>
    </row>
    <row r="897" spans="1:17" hidden="1">
      <c r="A897" s="1" t="s">
        <v>960</v>
      </c>
      <c r="B897" s="1" t="s">
        <v>15</v>
      </c>
      <c r="C897" s="91">
        <v>126728336370</v>
      </c>
      <c r="D897" s="3">
        <v>4062.21</v>
      </c>
      <c r="E897" s="3">
        <v>7855014.3300000001</v>
      </c>
      <c r="F897" s="35" t="s">
        <v>2750</v>
      </c>
      <c r="G897"/>
      <c r="H897"/>
      <c r="I897" s="27">
        <f>-IFERROR(VLOOKUP(C897,SIRCUPA!$A$21:$H$155,8,0),0)</f>
        <v>0</v>
      </c>
      <c r="J897" s="88">
        <f>-IFERROR(VLOOKUP(C897,SIRTAC!$A$16:$H$1288,8,0),0)</f>
        <v>-43</v>
      </c>
      <c r="K897" s="88">
        <f>-IFERROR(VLOOKUP(C897,Gastos!$A$9:$J$1281,10,0),0)</f>
        <v>-168.99</v>
      </c>
      <c r="L897" s="87">
        <f>-IFERROR(VLOOKUP(C897,IDC!$A$25:$H$1532,8,0),0)</f>
        <v>-25.8</v>
      </c>
      <c r="M897" s="122">
        <f t="shared" si="126"/>
        <v>4300</v>
      </c>
      <c r="N897"/>
      <c r="P897" s="35">
        <f t="shared" si="124"/>
        <v>-4300</v>
      </c>
      <c r="Q897" s="66">
        <f t="shared" si="125"/>
        <v>0</v>
      </c>
    </row>
    <row r="898" spans="1:17" hidden="1">
      <c r="A898" s="1" t="s">
        <v>960</v>
      </c>
      <c r="B898" s="1" t="s">
        <v>15</v>
      </c>
      <c r="C898" s="91">
        <v>126172507849</v>
      </c>
      <c r="D898" s="3">
        <v>7414.94</v>
      </c>
      <c r="E898" s="3">
        <v>7862429.2699999996</v>
      </c>
      <c r="F898" s="35" t="s">
        <v>2750</v>
      </c>
      <c r="G898"/>
      <c r="H898"/>
      <c r="I898" s="27">
        <f>-IFERROR(VLOOKUP(C898,SIRCUPA!$A$21:$H$155,8,0),0)</f>
        <v>0</v>
      </c>
      <c r="J898" s="88">
        <f>-IFERROR(VLOOKUP(C898,SIRTAC!$A$16:$H$1288,8,0),0)</f>
        <v>-79</v>
      </c>
      <c r="K898" s="88">
        <f>-IFERROR(VLOOKUP(C898,Gastos!$A$9:$J$1281,10,0),0)</f>
        <v>-358.66</v>
      </c>
      <c r="L898" s="87">
        <f>-IFERROR(VLOOKUP(C898,IDC!$A$25:$H$1532,8,0),0)</f>
        <v>-47.4</v>
      </c>
      <c r="M898" s="122">
        <f t="shared" si="126"/>
        <v>7899.9999999999991</v>
      </c>
      <c r="N898"/>
      <c r="P898" s="35">
        <f t="shared" si="124"/>
        <v>-7900</v>
      </c>
      <c r="Q898" s="66">
        <f t="shared" si="125"/>
        <v>0</v>
      </c>
    </row>
    <row r="899" spans="1:17" hidden="1">
      <c r="A899" s="1" t="s">
        <v>960</v>
      </c>
      <c r="B899" s="1" t="s">
        <v>15</v>
      </c>
      <c r="C899" s="91">
        <v>126172609131</v>
      </c>
      <c r="D899" s="3">
        <v>18043.77</v>
      </c>
      <c r="E899" s="3">
        <v>7880473.04</v>
      </c>
      <c r="F899" s="35" t="s">
        <v>2750</v>
      </c>
      <c r="G899"/>
      <c r="H899"/>
      <c r="I899" s="27">
        <f>-IFERROR(VLOOKUP(C899,SIRCUPA!$A$21:$H$155,8,0),0)</f>
        <v>0</v>
      </c>
      <c r="J899" s="88">
        <f>-IFERROR(VLOOKUP(C899,SIRTAC!$A$16:$H$1288,8,0),0)</f>
        <v>-191</v>
      </c>
      <c r="K899" s="88">
        <f>-IFERROR(VLOOKUP(C899,Gastos!$A$9:$J$1281,10,0),0)</f>
        <v>-750.63</v>
      </c>
      <c r="L899" s="87">
        <f>-IFERROR(VLOOKUP(C899,IDC!$A$25:$H$1532,8,0),0)</f>
        <v>-114.6</v>
      </c>
      <c r="M899" s="122">
        <f t="shared" si="126"/>
        <v>19100</v>
      </c>
      <c r="N899"/>
      <c r="P899" s="35">
        <f t="shared" si="124"/>
        <v>-19100</v>
      </c>
      <c r="Q899" s="66">
        <f t="shared" si="125"/>
        <v>0</v>
      </c>
    </row>
    <row r="900" spans="1:17" hidden="1">
      <c r="A900" s="1" t="s">
        <v>960</v>
      </c>
      <c r="B900" s="1" t="s">
        <v>15</v>
      </c>
      <c r="C900" s="91">
        <v>126728677538</v>
      </c>
      <c r="D900" s="3">
        <v>4062.21</v>
      </c>
      <c r="E900" s="3">
        <v>7884535.25</v>
      </c>
      <c r="F900" s="35" t="s">
        <v>2750</v>
      </c>
      <c r="G900"/>
      <c r="H900"/>
      <c r="I900" s="27">
        <f>-IFERROR(VLOOKUP(C900,SIRCUPA!$A$21:$H$155,8,0),0)</f>
        <v>0</v>
      </c>
      <c r="J900" s="88">
        <f>-IFERROR(VLOOKUP(C900,SIRTAC!$A$16:$H$1288,8,0),0)</f>
        <v>-43</v>
      </c>
      <c r="K900" s="88">
        <f>-IFERROR(VLOOKUP(C900,Gastos!$A$9:$J$1281,10,0),0)</f>
        <v>-168.99</v>
      </c>
      <c r="L900" s="87">
        <f>-IFERROR(VLOOKUP(C900,IDC!$A$25:$H$1532,8,0),0)</f>
        <v>-25.8</v>
      </c>
      <c r="M900" s="122">
        <f t="shared" si="126"/>
        <v>4300</v>
      </c>
      <c r="N900"/>
      <c r="P900" s="35">
        <f t="shared" si="124"/>
        <v>-4300</v>
      </c>
      <c r="Q900" s="66">
        <f t="shared" si="125"/>
        <v>0</v>
      </c>
    </row>
    <row r="901" spans="1:17" hidden="1">
      <c r="A901" s="1" t="s">
        <v>960</v>
      </c>
      <c r="B901" s="1" t="s">
        <v>15</v>
      </c>
      <c r="C901" s="91">
        <v>126729380342</v>
      </c>
      <c r="D901" s="3">
        <v>4189.49</v>
      </c>
      <c r="E901" s="3">
        <v>7888724.7400000002</v>
      </c>
      <c r="F901" s="35" t="s">
        <v>2750</v>
      </c>
      <c r="G901"/>
      <c r="H901"/>
      <c r="I901" s="27">
        <f>-IFERROR(VLOOKUP(C901,SIRCUPA!$A$21:$H$155,8,0),0)</f>
        <v>0</v>
      </c>
      <c r="J901" s="88">
        <f>-IFERROR(VLOOKUP(C901,SIRTAC!$A$16:$H$1288,8,0),0)</f>
        <v>-43</v>
      </c>
      <c r="K901" s="88">
        <f>-IFERROR(VLOOKUP(C901,Gastos!$A$9:$J$1281,10,0),0)</f>
        <v>-41.71</v>
      </c>
      <c r="L901" s="87">
        <f>-IFERROR(VLOOKUP(C901,IDC!$A$25:$H$1532,8,0),0)</f>
        <v>-25.8</v>
      </c>
      <c r="M901" s="122">
        <f t="shared" si="126"/>
        <v>4300</v>
      </c>
      <c r="N901"/>
      <c r="P901" s="35">
        <f t="shared" si="124"/>
        <v>-4300</v>
      </c>
      <c r="Q901" s="66">
        <f t="shared" si="125"/>
        <v>0</v>
      </c>
    </row>
    <row r="902" spans="1:17" hidden="1">
      <c r="A902" s="1" t="s">
        <v>960</v>
      </c>
      <c r="B902" s="1" t="s">
        <v>15</v>
      </c>
      <c r="C902" s="91">
        <v>126729257882</v>
      </c>
      <c r="D902" s="3">
        <v>5163.79</v>
      </c>
      <c r="E902" s="3">
        <v>7893888.5300000003</v>
      </c>
      <c r="F902" s="35" t="s">
        <v>2750</v>
      </c>
      <c r="G902"/>
      <c r="H902"/>
      <c r="I902" s="27">
        <f>-IFERROR(VLOOKUP(C902,SIRCUPA!$A$21:$H$155,8,0),0)</f>
        <v>0</v>
      </c>
      <c r="J902" s="88">
        <f>-IFERROR(VLOOKUP(C902,SIRTAC!$A$16:$H$1288,8,0),0)</f>
        <v>-53</v>
      </c>
      <c r="K902" s="88">
        <f>-IFERROR(VLOOKUP(C902,Gastos!$A$9:$J$1281,10,0),0)</f>
        <v>-51.41</v>
      </c>
      <c r="L902" s="87">
        <f>-IFERROR(VLOOKUP(C902,IDC!$A$25:$H$1532,8,0),0)</f>
        <v>-31.8</v>
      </c>
      <c r="M902" s="122">
        <f t="shared" si="126"/>
        <v>5300</v>
      </c>
      <c r="N902"/>
      <c r="P902" s="35">
        <f t="shared" si="124"/>
        <v>-5300</v>
      </c>
      <c r="Q902" s="66">
        <f t="shared" si="125"/>
        <v>0</v>
      </c>
    </row>
    <row r="903" spans="1:17" hidden="1">
      <c r="A903" s="1" t="s">
        <v>960</v>
      </c>
      <c r="B903" s="1" t="s">
        <v>15</v>
      </c>
      <c r="C903" s="91">
        <v>126729595734</v>
      </c>
      <c r="D903" s="3">
        <v>4062.21</v>
      </c>
      <c r="E903" s="3">
        <v>7897950.7400000002</v>
      </c>
      <c r="F903" s="35" t="s">
        <v>2750</v>
      </c>
      <c r="G903"/>
      <c r="H903"/>
      <c r="I903" s="27">
        <f>-IFERROR(VLOOKUP(C903,SIRCUPA!$A$21:$H$155,8,0),0)</f>
        <v>0</v>
      </c>
      <c r="J903" s="88">
        <f>-IFERROR(VLOOKUP(C903,SIRTAC!$A$16:$H$1288,8,0),0)</f>
        <v>-43</v>
      </c>
      <c r="K903" s="88">
        <f>-IFERROR(VLOOKUP(C903,Gastos!$A$9:$J$1281,10,0),0)</f>
        <v>-168.99</v>
      </c>
      <c r="L903" s="87">
        <f>-IFERROR(VLOOKUP(C903,IDC!$A$25:$H$1532,8,0),0)</f>
        <v>-25.8</v>
      </c>
      <c r="M903" s="122">
        <f t="shared" si="126"/>
        <v>4300</v>
      </c>
      <c r="N903"/>
      <c r="P903" s="35">
        <f t="shared" si="124"/>
        <v>-4300</v>
      </c>
      <c r="Q903" s="66">
        <f t="shared" si="125"/>
        <v>0</v>
      </c>
    </row>
    <row r="904" spans="1:17" hidden="1">
      <c r="A904" s="1" t="s">
        <v>960</v>
      </c>
      <c r="B904" s="1" t="s">
        <v>15</v>
      </c>
      <c r="C904" s="91">
        <v>126729997528</v>
      </c>
      <c r="D904" s="3">
        <v>4035.98</v>
      </c>
      <c r="E904" s="3">
        <v>7901986.7199999997</v>
      </c>
      <c r="F904" s="35" t="s">
        <v>2750</v>
      </c>
      <c r="G904"/>
      <c r="H904"/>
      <c r="I904" s="27">
        <f>-IFERROR(VLOOKUP(C904,SIRCUPA!$A$21:$H$155,8,0),0)</f>
        <v>0</v>
      </c>
      <c r="J904" s="88">
        <f>-IFERROR(VLOOKUP(C904,SIRTAC!$A$16:$H$1288,8,0),0)</f>
        <v>-43</v>
      </c>
      <c r="K904" s="88">
        <f>-IFERROR(VLOOKUP(C904,Gastos!$A$9:$J$1281,10,0),0)</f>
        <v>-195.22</v>
      </c>
      <c r="L904" s="87">
        <f>-IFERROR(VLOOKUP(C904,IDC!$A$25:$H$1532,8,0),0)</f>
        <v>-25.8</v>
      </c>
      <c r="M904" s="122">
        <f t="shared" si="126"/>
        <v>4300</v>
      </c>
      <c r="N904"/>
      <c r="P904" s="35">
        <f t="shared" si="124"/>
        <v>-4300</v>
      </c>
      <c r="Q904" s="66">
        <f t="shared" si="125"/>
        <v>0</v>
      </c>
    </row>
    <row r="905" spans="1:17" hidden="1">
      <c r="A905" s="1" t="s">
        <v>960</v>
      </c>
      <c r="B905" s="1" t="s">
        <v>15</v>
      </c>
      <c r="C905" s="91">
        <v>126173864405</v>
      </c>
      <c r="D905" s="3">
        <v>16757.96</v>
      </c>
      <c r="E905" s="3">
        <v>7918744.6799999997</v>
      </c>
      <c r="F905" s="35" t="s">
        <v>2750</v>
      </c>
      <c r="G905"/>
      <c r="H905"/>
      <c r="I905" s="27">
        <f>-IFERROR(VLOOKUP(C905,SIRCUPA!$A$21:$H$155,8,0),0)</f>
        <v>0</v>
      </c>
      <c r="J905" s="88">
        <f>-IFERROR(VLOOKUP(C905,SIRTAC!$A$16:$H$1288,8,0),0)</f>
        <v>-172</v>
      </c>
      <c r="K905" s="88">
        <f>-IFERROR(VLOOKUP(C905,Gastos!$A$9:$J$1281,10,0),0)</f>
        <v>-166.84</v>
      </c>
      <c r="L905" s="87">
        <f>-IFERROR(VLOOKUP(C905,IDC!$A$25:$H$1532,8,0),0)</f>
        <v>-103.2</v>
      </c>
      <c r="M905" s="122">
        <f t="shared" si="126"/>
        <v>17200</v>
      </c>
      <c r="N905"/>
      <c r="P905" s="35">
        <f t="shared" si="124"/>
        <v>-17200</v>
      </c>
      <c r="Q905" s="66">
        <f t="shared" si="125"/>
        <v>0</v>
      </c>
    </row>
    <row r="906" spans="1:17" hidden="1">
      <c r="A906" s="1" t="s">
        <v>960</v>
      </c>
      <c r="B906" s="1" t="s">
        <v>15</v>
      </c>
      <c r="C906" s="91">
        <v>126730400096</v>
      </c>
      <c r="D906" s="3">
        <v>54755.66</v>
      </c>
      <c r="E906" s="3">
        <v>7973500.3399999999</v>
      </c>
      <c r="F906" s="35" t="s">
        <v>2750</v>
      </c>
      <c r="G906"/>
      <c r="H906"/>
      <c r="I906" s="27">
        <f>-IFERROR(VLOOKUP(C906,SIRCUPA!$A$21:$H$155,8,0),0)</f>
        <v>0</v>
      </c>
      <c r="J906" s="88">
        <f>-IFERROR(VLOOKUP(C906,SIRTAC!$A$16:$H$1288,8,0),0)</f>
        <v>-562</v>
      </c>
      <c r="K906" s="88">
        <f>-IFERROR(VLOOKUP(C906,Gastos!$A$9:$J$1281,10,0),0)</f>
        <v>-545.14</v>
      </c>
      <c r="L906" s="87">
        <f>-IFERROR(VLOOKUP(C906,IDC!$A$25:$H$1532,8,0),0)</f>
        <v>-337.2</v>
      </c>
      <c r="M906" s="122">
        <f t="shared" si="126"/>
        <v>56200</v>
      </c>
      <c r="N906"/>
      <c r="P906" s="35">
        <f t="shared" si="124"/>
        <v>-56200</v>
      </c>
      <c r="Q906" s="66">
        <f t="shared" si="125"/>
        <v>0</v>
      </c>
    </row>
    <row r="907" spans="1:17" hidden="1">
      <c r="A907" s="1" t="s">
        <v>960</v>
      </c>
      <c r="B907" s="1" t="s">
        <v>1001</v>
      </c>
      <c r="C907" s="91">
        <v>126173878017</v>
      </c>
      <c r="D907" s="3">
        <v>2750.99</v>
      </c>
      <c r="E907" s="3">
        <v>7976251.3300000001</v>
      </c>
      <c r="F907" s="2" t="s">
        <v>2750</v>
      </c>
      <c r="G907"/>
      <c r="H907"/>
      <c r="I907" s="27">
        <f>-IFERROR(VLOOKUP(C907,SIRCUPA!$A$21:$H$155,8,0),0)</f>
        <v>-42.15</v>
      </c>
      <c r="J907" s="88">
        <f>-IFERROR(VLOOKUP(C907,SIRTAC!$A$16:$H$1288,8,0),0)</f>
        <v>0</v>
      </c>
      <c r="K907" s="88">
        <f>-IFERROR(VLOOKUP(C907,Gastos!$A$9:$J$1281,10,0),0)</f>
        <v>0</v>
      </c>
      <c r="L907" s="87">
        <f>-IFERROR(VLOOKUP(C907,IDC!$A$25:$H$1532,8,0),0)</f>
        <v>-16.86</v>
      </c>
      <c r="M907" s="122">
        <f t="shared" si="126"/>
        <v>2810</v>
      </c>
      <c r="N907"/>
      <c r="P907" s="35">
        <f t="shared" si="124"/>
        <v>-2810</v>
      </c>
      <c r="Q907" s="66">
        <f t="shared" si="125"/>
        <v>0</v>
      </c>
    </row>
    <row r="908" spans="1:17" hidden="1">
      <c r="A908" s="1" t="s">
        <v>960</v>
      </c>
      <c r="B908" s="1" t="s">
        <v>15</v>
      </c>
      <c r="C908" s="91">
        <v>126730576680</v>
      </c>
      <c r="D908" s="3">
        <v>20850.02</v>
      </c>
      <c r="E908" s="3">
        <v>7997101.3499999996</v>
      </c>
      <c r="F908" s="35" t="s">
        <v>2750</v>
      </c>
      <c r="G908"/>
      <c r="H908"/>
      <c r="I908" s="27">
        <f>-IFERROR(VLOOKUP(C908,SIRCUPA!$A$21:$H$155,8,0),0)</f>
        <v>0</v>
      </c>
      <c r="J908" s="88">
        <f>-IFERROR(VLOOKUP(C908,SIRTAC!$A$16:$H$1288,8,0),0)</f>
        <v>-214</v>
      </c>
      <c r="K908" s="88">
        <f>-IFERROR(VLOOKUP(C908,Gastos!$A$9:$J$1281,10,0),0)</f>
        <v>-207.58</v>
      </c>
      <c r="L908" s="87">
        <f>-IFERROR(VLOOKUP(C908,IDC!$A$25:$H$1532,8,0),0)</f>
        <v>-128.4</v>
      </c>
      <c r="M908" s="122">
        <f t="shared" si="126"/>
        <v>21400.000000000004</v>
      </c>
      <c r="N908"/>
      <c r="P908" s="35">
        <f t="shared" si="124"/>
        <v>-21400</v>
      </c>
      <c r="Q908" s="66">
        <f t="shared" si="125"/>
        <v>0</v>
      </c>
    </row>
    <row r="909" spans="1:17" hidden="1">
      <c r="A909" s="1" t="s">
        <v>960</v>
      </c>
      <c r="B909" s="1" t="s">
        <v>15</v>
      </c>
      <c r="C909" s="91">
        <v>126730666812</v>
      </c>
      <c r="D909" s="3">
        <v>3410.05</v>
      </c>
      <c r="E909" s="3">
        <v>8000511.4000000004</v>
      </c>
      <c r="F909" s="35" t="s">
        <v>2750</v>
      </c>
      <c r="G909"/>
      <c r="H909"/>
      <c r="I909" s="27">
        <f>-IFERROR(VLOOKUP(C909,SIRCUPA!$A$21:$H$155,8,0),0)</f>
        <v>0</v>
      </c>
      <c r="J909" s="88">
        <f>-IFERROR(VLOOKUP(C909,SIRTAC!$A$16:$H$1288,8,0),0)</f>
        <v>-35</v>
      </c>
      <c r="K909" s="88">
        <f>-IFERROR(VLOOKUP(C909,Gastos!$A$9:$J$1281,10,0),0)</f>
        <v>-33.950000000000003</v>
      </c>
      <c r="L909" s="87">
        <f>-IFERROR(VLOOKUP(C909,IDC!$A$25:$H$1532,8,0),0)</f>
        <v>-21</v>
      </c>
      <c r="M909" s="122">
        <f t="shared" si="126"/>
        <v>3500</v>
      </c>
      <c r="N909"/>
      <c r="P909" s="35">
        <f t="shared" si="124"/>
        <v>-3500</v>
      </c>
      <c r="Q909" s="66">
        <f t="shared" si="125"/>
        <v>0</v>
      </c>
    </row>
    <row r="910" spans="1:17" hidden="1">
      <c r="A910" s="1" t="s">
        <v>960</v>
      </c>
      <c r="B910" s="1" t="s">
        <v>15</v>
      </c>
      <c r="C910" s="91">
        <v>126730724768</v>
      </c>
      <c r="D910" s="3">
        <v>4189.49</v>
      </c>
      <c r="E910" s="3">
        <v>8004700.8899999997</v>
      </c>
      <c r="F910" s="35" t="s">
        <v>2750</v>
      </c>
      <c r="G910"/>
      <c r="H910"/>
      <c r="I910" s="27">
        <f>-IFERROR(VLOOKUP(C910,SIRCUPA!$A$21:$H$155,8,0),0)</f>
        <v>0</v>
      </c>
      <c r="J910" s="88">
        <f>-IFERROR(VLOOKUP(C910,SIRTAC!$A$16:$H$1288,8,0),0)</f>
        <v>-43</v>
      </c>
      <c r="K910" s="88">
        <f>-IFERROR(VLOOKUP(C910,Gastos!$A$9:$J$1281,10,0),0)</f>
        <v>-41.71</v>
      </c>
      <c r="L910" s="87">
        <f>-IFERROR(VLOOKUP(C910,IDC!$A$25:$H$1532,8,0),0)</f>
        <v>-25.8</v>
      </c>
      <c r="M910" s="122">
        <f t="shared" si="126"/>
        <v>4300</v>
      </c>
      <c r="N910"/>
      <c r="P910" s="35">
        <f t="shared" si="124"/>
        <v>-4300</v>
      </c>
      <c r="Q910" s="66">
        <f t="shared" si="125"/>
        <v>0</v>
      </c>
    </row>
    <row r="911" spans="1:17" hidden="1">
      <c r="A911" s="1" t="s">
        <v>960</v>
      </c>
      <c r="B911" s="1" t="s">
        <v>15</v>
      </c>
      <c r="C911" s="91">
        <v>126174840651</v>
      </c>
      <c r="D911" s="3">
        <v>52417.34</v>
      </c>
      <c r="E911" s="3">
        <v>8057118.2300000004</v>
      </c>
      <c r="F911" s="35" t="s">
        <v>2750</v>
      </c>
      <c r="G911"/>
      <c r="H911"/>
      <c r="I911" s="27">
        <f>-IFERROR(VLOOKUP(C911,SIRCUPA!$A$21:$H$155,8,0),0)</f>
        <v>0</v>
      </c>
      <c r="J911" s="88">
        <f>-IFERROR(VLOOKUP(C911,SIRTAC!$A$16:$H$1288,8,0),0)</f>
        <v>-538</v>
      </c>
      <c r="K911" s="88">
        <f>-IFERROR(VLOOKUP(C911,Gastos!$A$9:$J$1281,10,0),0)</f>
        <v>-521.86</v>
      </c>
      <c r="L911" s="87">
        <f>-IFERROR(VLOOKUP(C911,IDC!$A$25:$H$1532,8,0),0)</f>
        <v>-322.8</v>
      </c>
      <c r="M911" s="122">
        <f t="shared" si="126"/>
        <v>53800</v>
      </c>
      <c r="N911"/>
      <c r="P911" s="35">
        <f t="shared" si="124"/>
        <v>-53800</v>
      </c>
      <c r="Q911" s="66">
        <f t="shared" si="125"/>
        <v>0</v>
      </c>
    </row>
    <row r="912" spans="1:17" hidden="1">
      <c r="A912" s="1" t="s">
        <v>960</v>
      </c>
      <c r="B912" s="1" t="s">
        <v>15</v>
      </c>
      <c r="C912" s="91">
        <v>126730960018</v>
      </c>
      <c r="D912" s="3">
        <v>3410.05</v>
      </c>
      <c r="E912" s="3">
        <v>8060528.2800000003</v>
      </c>
      <c r="F912" s="35" t="s">
        <v>2750</v>
      </c>
      <c r="G912"/>
      <c r="H912"/>
      <c r="I912" s="27">
        <f>-IFERROR(VLOOKUP(C912,SIRCUPA!$A$21:$H$155,8,0),0)</f>
        <v>0</v>
      </c>
      <c r="J912" s="88">
        <f>-IFERROR(VLOOKUP(C912,SIRTAC!$A$16:$H$1288,8,0),0)</f>
        <v>-35</v>
      </c>
      <c r="K912" s="88">
        <f>-IFERROR(VLOOKUP(C912,Gastos!$A$9:$J$1281,10,0),0)</f>
        <v>-33.950000000000003</v>
      </c>
      <c r="L912" s="87">
        <f>-IFERROR(VLOOKUP(C912,IDC!$A$25:$H$1532,8,0),0)</f>
        <v>-21</v>
      </c>
      <c r="M912" s="122">
        <f t="shared" si="126"/>
        <v>3500</v>
      </c>
      <c r="N912"/>
      <c r="P912" s="35">
        <f t="shared" si="124"/>
        <v>-3500</v>
      </c>
      <c r="Q912" s="66">
        <f t="shared" si="125"/>
        <v>0</v>
      </c>
    </row>
    <row r="913" spans="1:17" hidden="1">
      <c r="A913" s="1" t="s">
        <v>960</v>
      </c>
      <c r="B913" s="1" t="s">
        <v>15</v>
      </c>
      <c r="C913" s="91">
        <v>126175205521</v>
      </c>
      <c r="D913" s="3">
        <v>13347.91</v>
      </c>
      <c r="E913" s="3">
        <v>8073876.1900000004</v>
      </c>
      <c r="F913" s="35" t="s">
        <v>2750</v>
      </c>
      <c r="G913"/>
      <c r="H913"/>
      <c r="I913" s="27">
        <f>-IFERROR(VLOOKUP(C913,SIRCUPA!$A$21:$H$155,8,0),0)</f>
        <v>0</v>
      </c>
      <c r="J913" s="88">
        <f>-IFERROR(VLOOKUP(C913,SIRTAC!$A$16:$H$1288,8,0),0)</f>
        <v>-137</v>
      </c>
      <c r="K913" s="88">
        <f>-IFERROR(VLOOKUP(C913,Gastos!$A$9:$J$1281,10,0),0)</f>
        <v>-132.88999999999999</v>
      </c>
      <c r="L913" s="87">
        <f>-IFERROR(VLOOKUP(C913,IDC!$A$25:$H$1532,8,0),0)</f>
        <v>-82.2</v>
      </c>
      <c r="M913" s="122">
        <f t="shared" ref="M913:M932" si="127">+D913-I913-J913-K913-L913</f>
        <v>13700</v>
      </c>
      <c r="N913"/>
      <c r="P913" s="35">
        <f t="shared" ref="P913:P931" si="128">+L913/0.006</f>
        <v>-13700</v>
      </c>
      <c r="Q913" s="66">
        <f t="shared" ref="Q913:Q931" si="129">+M913+P913</f>
        <v>0</v>
      </c>
    </row>
    <row r="914" spans="1:17" hidden="1">
      <c r="A914" s="1" t="s">
        <v>960</v>
      </c>
      <c r="B914" s="1" t="s">
        <v>15</v>
      </c>
      <c r="C914" s="91">
        <v>126176306385</v>
      </c>
      <c r="D914" s="3">
        <v>8378.98</v>
      </c>
      <c r="E914" s="3">
        <v>8082255.1699999999</v>
      </c>
      <c r="F914" s="35" t="s">
        <v>2750</v>
      </c>
      <c r="G914"/>
      <c r="H914"/>
      <c r="I914" s="27">
        <f>-IFERROR(VLOOKUP(C914,SIRCUPA!$A$21:$H$155,8,0),0)</f>
        <v>0</v>
      </c>
      <c r="J914" s="88">
        <f>-IFERROR(VLOOKUP(C914,SIRTAC!$A$16:$H$1288,8,0),0)</f>
        <v>-86</v>
      </c>
      <c r="K914" s="88">
        <f>-IFERROR(VLOOKUP(C914,Gastos!$A$9:$J$1281,10,0),0)</f>
        <v>-83.42</v>
      </c>
      <c r="L914" s="87">
        <f>-IFERROR(VLOOKUP(C914,IDC!$A$25:$H$1532,8,0),0)</f>
        <v>-51.6</v>
      </c>
      <c r="M914" s="122">
        <f t="shared" si="127"/>
        <v>8600</v>
      </c>
      <c r="N914"/>
      <c r="P914" s="35">
        <f t="shared" si="128"/>
        <v>-8600</v>
      </c>
      <c r="Q914" s="66">
        <f t="shared" si="129"/>
        <v>0</v>
      </c>
    </row>
    <row r="915" spans="1:17" hidden="1">
      <c r="A915" s="1" t="s">
        <v>960</v>
      </c>
      <c r="B915" s="1" t="s">
        <v>15</v>
      </c>
      <c r="C915" s="91">
        <v>126176356419</v>
      </c>
      <c r="D915" s="3">
        <v>8378.98</v>
      </c>
      <c r="E915" s="3">
        <v>8090634.1500000004</v>
      </c>
      <c r="F915" s="35" t="s">
        <v>2750</v>
      </c>
      <c r="G915"/>
      <c r="H915"/>
      <c r="I915" s="27">
        <f>-IFERROR(VLOOKUP(C915,SIRCUPA!$A$21:$H$155,8,0),0)</f>
        <v>0</v>
      </c>
      <c r="J915" s="88">
        <f>-IFERROR(VLOOKUP(C915,SIRTAC!$A$16:$H$1288,8,0),0)</f>
        <v>-86</v>
      </c>
      <c r="K915" s="88">
        <f>-IFERROR(VLOOKUP(C915,Gastos!$A$9:$J$1281,10,0),0)</f>
        <v>-83.42</v>
      </c>
      <c r="L915" s="87">
        <f>-IFERROR(VLOOKUP(C915,IDC!$A$25:$H$1532,8,0),0)</f>
        <v>-51.6</v>
      </c>
      <c r="M915" s="122">
        <f t="shared" si="127"/>
        <v>8600</v>
      </c>
      <c r="N915"/>
      <c r="P915" s="35">
        <f t="shared" si="128"/>
        <v>-8600</v>
      </c>
      <c r="Q915" s="66">
        <f t="shared" si="129"/>
        <v>0</v>
      </c>
    </row>
    <row r="916" spans="1:17" hidden="1">
      <c r="A916" s="1" t="s">
        <v>960</v>
      </c>
      <c r="B916" s="1" t="s">
        <v>15</v>
      </c>
      <c r="C916" s="91">
        <v>126176295955</v>
      </c>
      <c r="D916" s="3">
        <v>14419.64</v>
      </c>
      <c r="E916" s="3">
        <v>8105053.79</v>
      </c>
      <c r="F916" s="35" t="s">
        <v>2750</v>
      </c>
      <c r="G916"/>
      <c r="H916"/>
      <c r="I916" s="27">
        <f>-IFERROR(VLOOKUP(C916,SIRCUPA!$A$21:$H$155,8,0),0)</f>
        <v>0</v>
      </c>
      <c r="J916" s="88">
        <f>-IFERROR(VLOOKUP(C916,SIRTAC!$A$16:$H$1288,8,0),0)</f>
        <v>-148</v>
      </c>
      <c r="K916" s="88">
        <f>-IFERROR(VLOOKUP(C916,Gastos!$A$9:$J$1281,10,0),0)</f>
        <v>-143.56</v>
      </c>
      <c r="L916" s="87">
        <f>-IFERROR(VLOOKUP(C916,IDC!$A$25:$H$1532,8,0),0)</f>
        <v>-88.8</v>
      </c>
      <c r="M916" s="122">
        <f t="shared" si="127"/>
        <v>14799.999999999998</v>
      </c>
      <c r="N916"/>
      <c r="P916" s="35">
        <f t="shared" si="128"/>
        <v>-14800</v>
      </c>
      <c r="Q916" s="66">
        <f t="shared" si="129"/>
        <v>0</v>
      </c>
    </row>
    <row r="917" spans="1:17" hidden="1">
      <c r="A917" s="1" t="s">
        <v>960</v>
      </c>
      <c r="B917" s="1" t="s">
        <v>15</v>
      </c>
      <c r="C917" s="91">
        <v>126733342172</v>
      </c>
      <c r="D917" s="3">
        <v>24122.02</v>
      </c>
      <c r="E917" s="3">
        <v>8129175.8099999996</v>
      </c>
      <c r="F917" s="35" t="s">
        <v>2750</v>
      </c>
      <c r="G917"/>
      <c r="H917"/>
      <c r="I917" s="27">
        <f>-IFERROR(VLOOKUP(C917,SIRCUPA!$A$21:$H$155,8,0),0)</f>
        <v>0</v>
      </c>
      <c r="J917" s="88">
        <f>-IFERROR(VLOOKUP(C917,SIRTAC!$A$16:$H$1288,8,0),0)</f>
        <v>-257</v>
      </c>
      <c r="K917" s="88">
        <f>-IFERROR(VLOOKUP(C917,Gastos!$A$9:$J$1281,10,0),0)</f>
        <v>-1166.78</v>
      </c>
      <c r="L917" s="87">
        <f>-IFERROR(VLOOKUP(C917,IDC!$A$25:$H$1532,8,0),0)</f>
        <v>-154.19999999999999</v>
      </c>
      <c r="M917" s="122">
        <f t="shared" si="127"/>
        <v>25700</v>
      </c>
      <c r="N917"/>
      <c r="P917" s="35">
        <f t="shared" si="128"/>
        <v>-25699.999999999996</v>
      </c>
      <c r="Q917" s="66">
        <f t="shared" si="129"/>
        <v>0</v>
      </c>
    </row>
    <row r="918" spans="1:17" hidden="1">
      <c r="A918" s="1" t="s">
        <v>960</v>
      </c>
      <c r="B918" s="1" t="s">
        <v>15</v>
      </c>
      <c r="C918" s="91">
        <v>126177394425</v>
      </c>
      <c r="D918" s="3">
        <v>5163.79</v>
      </c>
      <c r="E918" s="3">
        <v>8134339.5999999996</v>
      </c>
      <c r="F918" s="35" t="s">
        <v>2750</v>
      </c>
      <c r="G918"/>
      <c r="H918"/>
      <c r="I918" s="27">
        <f>-IFERROR(VLOOKUP(C918,SIRCUPA!$A$21:$H$155,8,0),0)</f>
        <v>0</v>
      </c>
      <c r="J918" s="88">
        <f>-IFERROR(VLOOKUP(C918,SIRTAC!$A$16:$H$1288,8,0),0)</f>
        <v>-53</v>
      </c>
      <c r="K918" s="88">
        <f>-IFERROR(VLOOKUP(C918,Gastos!$A$9:$J$1281,10,0),0)</f>
        <v>-51.41</v>
      </c>
      <c r="L918" s="87">
        <f>-IFERROR(VLOOKUP(C918,IDC!$A$25:$H$1532,8,0),0)</f>
        <v>-31.8</v>
      </c>
      <c r="M918" s="122">
        <f t="shared" si="127"/>
        <v>5300</v>
      </c>
      <c r="N918"/>
      <c r="P918" s="35">
        <f t="shared" si="128"/>
        <v>-5300</v>
      </c>
      <c r="Q918" s="66">
        <f t="shared" si="129"/>
        <v>0</v>
      </c>
    </row>
    <row r="919" spans="1:17" hidden="1">
      <c r="A919" s="1" t="s">
        <v>960</v>
      </c>
      <c r="B919" s="1" t="s">
        <v>15</v>
      </c>
      <c r="C919" s="91">
        <v>126733789902</v>
      </c>
      <c r="D919" s="3">
        <v>10327.58</v>
      </c>
      <c r="E919" s="3">
        <v>8144667.1799999997</v>
      </c>
      <c r="F919" s="35" t="s">
        <v>2750</v>
      </c>
      <c r="G919"/>
      <c r="H919"/>
      <c r="I919" s="27">
        <f>-IFERROR(VLOOKUP(C919,SIRCUPA!$A$21:$H$155,8,0),0)</f>
        <v>0</v>
      </c>
      <c r="J919" s="88">
        <f>-IFERROR(VLOOKUP(C919,SIRTAC!$A$16:$H$1288,8,0),0)</f>
        <v>-106</v>
      </c>
      <c r="K919" s="88">
        <f>-IFERROR(VLOOKUP(C919,Gastos!$A$9:$J$1281,10,0),0)</f>
        <v>-102.82</v>
      </c>
      <c r="L919" s="87">
        <f>-IFERROR(VLOOKUP(C919,IDC!$A$25:$H$1532,8,0),0)</f>
        <v>-63.6</v>
      </c>
      <c r="M919" s="122">
        <f t="shared" si="127"/>
        <v>10600</v>
      </c>
      <c r="N919"/>
      <c r="P919" s="35">
        <f t="shared" si="128"/>
        <v>-10600</v>
      </c>
      <c r="Q919" s="66">
        <f t="shared" si="129"/>
        <v>0</v>
      </c>
    </row>
    <row r="920" spans="1:17" hidden="1">
      <c r="A920" s="1" t="s">
        <v>960</v>
      </c>
      <c r="B920" s="1" t="s">
        <v>15</v>
      </c>
      <c r="C920" s="91">
        <v>126177858555</v>
      </c>
      <c r="D920" s="3">
        <v>104444.96</v>
      </c>
      <c r="E920" s="3">
        <v>8249112.1399999997</v>
      </c>
      <c r="F920" s="35" t="s">
        <v>2750</v>
      </c>
      <c r="G920"/>
      <c r="H920"/>
      <c r="I920" s="27">
        <f>-IFERROR(VLOOKUP(C920,SIRCUPA!$A$21:$H$155,8,0),0)</f>
        <v>0</v>
      </c>
      <c r="J920" s="88">
        <f>-IFERROR(VLOOKUP(C920,SIRTAC!$A$16:$H$1288,8,0),0)</f>
        <v>-1072</v>
      </c>
      <c r="K920" s="88">
        <f>-IFERROR(VLOOKUP(C920,Gastos!$A$9:$J$1281,10,0),0)</f>
        <v>-1039.8399999999999</v>
      </c>
      <c r="L920" s="87">
        <f>-IFERROR(VLOOKUP(C920,IDC!$A$25:$H$1532,8,0),0)</f>
        <v>-643.20000000000005</v>
      </c>
      <c r="M920" s="122">
        <f t="shared" si="127"/>
        <v>107200</v>
      </c>
      <c r="N920"/>
      <c r="P920" s="35">
        <f t="shared" si="128"/>
        <v>-107200</v>
      </c>
      <c r="Q920" s="66">
        <f t="shared" si="129"/>
        <v>0</v>
      </c>
    </row>
    <row r="921" spans="1:17" hidden="1">
      <c r="A921" s="1" t="s">
        <v>960</v>
      </c>
      <c r="B921" s="1" t="s">
        <v>1016</v>
      </c>
      <c r="C921" s="91">
        <v>126734105004</v>
      </c>
      <c r="D921" s="3">
        <v>5247.44</v>
      </c>
      <c r="E921" s="3">
        <v>8254359.5800000001</v>
      </c>
      <c r="F921" s="2" t="s">
        <v>2750</v>
      </c>
      <c r="G921"/>
      <c r="H921"/>
      <c r="I921" s="27">
        <f>-IFERROR(VLOOKUP(C921,SIRCUPA!$A$21:$H$155,8,0),0)</f>
        <v>-80.400000000000006</v>
      </c>
      <c r="J921" s="88">
        <f>-IFERROR(VLOOKUP(C921,SIRTAC!$A$16:$H$1288,8,0),0)</f>
        <v>0</v>
      </c>
      <c r="K921" s="88">
        <f>-IFERROR(VLOOKUP(C921,Gastos!$A$9:$J$1281,10,0),0)</f>
        <v>0</v>
      </c>
      <c r="L921" s="87">
        <f>-IFERROR(VLOOKUP(C921,IDC!$A$25:$H$1532,8,0),0)</f>
        <v>-32.159999999999997</v>
      </c>
      <c r="M921" s="122">
        <f t="shared" si="127"/>
        <v>5359.9999999999991</v>
      </c>
      <c r="N921"/>
      <c r="P921" s="35">
        <f t="shared" si="128"/>
        <v>-5359.9999999999991</v>
      </c>
      <c r="Q921" s="66">
        <f t="shared" si="129"/>
        <v>0</v>
      </c>
    </row>
    <row r="922" spans="1:17" hidden="1">
      <c r="A922" s="1" t="s">
        <v>960</v>
      </c>
      <c r="B922" s="1" t="s">
        <v>15</v>
      </c>
      <c r="C922" s="91">
        <v>126734101344</v>
      </c>
      <c r="D922" s="3">
        <v>8378.98</v>
      </c>
      <c r="E922" s="3">
        <v>8262738.5599999996</v>
      </c>
      <c r="F922" s="35" t="s">
        <v>2750</v>
      </c>
      <c r="G922"/>
      <c r="H922"/>
      <c r="I922" s="27">
        <f>-IFERROR(VLOOKUP(C922,SIRCUPA!$A$21:$H$155,8,0),0)</f>
        <v>0</v>
      </c>
      <c r="J922" s="88">
        <f>-IFERROR(VLOOKUP(C922,SIRTAC!$A$16:$H$1288,8,0),0)</f>
        <v>-86</v>
      </c>
      <c r="K922" s="88">
        <f>-IFERROR(VLOOKUP(C922,Gastos!$A$9:$J$1281,10,0),0)</f>
        <v>-83.42</v>
      </c>
      <c r="L922" s="87">
        <f>-IFERROR(VLOOKUP(C922,IDC!$A$25:$H$1532,8,0),0)</f>
        <v>-51.6</v>
      </c>
      <c r="M922" s="122">
        <f t="shared" si="127"/>
        <v>8600</v>
      </c>
      <c r="N922"/>
      <c r="P922" s="35">
        <f t="shared" si="128"/>
        <v>-8600</v>
      </c>
      <c r="Q922" s="66">
        <f t="shared" si="129"/>
        <v>0</v>
      </c>
    </row>
    <row r="923" spans="1:17" hidden="1">
      <c r="A923" s="1" t="s">
        <v>960</v>
      </c>
      <c r="B923" s="1" t="s">
        <v>15</v>
      </c>
      <c r="C923" s="91">
        <v>126177996273</v>
      </c>
      <c r="D923" s="3">
        <v>16757.96</v>
      </c>
      <c r="E923" s="3">
        <v>8279496.5199999996</v>
      </c>
      <c r="F923" s="35" t="s">
        <v>2750</v>
      </c>
      <c r="G923"/>
      <c r="H923"/>
      <c r="I923" s="27">
        <f>-IFERROR(VLOOKUP(C923,SIRCUPA!$A$21:$H$155,8,0),0)</f>
        <v>0</v>
      </c>
      <c r="J923" s="88">
        <f>-IFERROR(VLOOKUP(C923,SIRTAC!$A$16:$H$1288,8,0),0)</f>
        <v>-172</v>
      </c>
      <c r="K923" s="88">
        <f>-IFERROR(VLOOKUP(C923,Gastos!$A$9:$J$1281,10,0),0)</f>
        <v>-166.84</v>
      </c>
      <c r="L923" s="87">
        <f>-IFERROR(VLOOKUP(C923,IDC!$A$25:$H$1532,8,0),0)</f>
        <v>-103.2</v>
      </c>
      <c r="M923" s="122">
        <f t="shared" si="127"/>
        <v>17200</v>
      </c>
      <c r="N923"/>
      <c r="P923" s="35">
        <f t="shared" si="128"/>
        <v>-17200</v>
      </c>
      <c r="Q923" s="66">
        <f t="shared" si="129"/>
        <v>0</v>
      </c>
    </row>
    <row r="924" spans="1:17" hidden="1">
      <c r="A924" s="1" t="s">
        <v>960</v>
      </c>
      <c r="B924" s="1" t="s">
        <v>15</v>
      </c>
      <c r="C924" s="91">
        <v>126734131932</v>
      </c>
      <c r="D924" s="3">
        <v>4189.49</v>
      </c>
      <c r="E924" s="3">
        <v>8283686.0099999998</v>
      </c>
      <c r="F924" s="35" t="s">
        <v>2750</v>
      </c>
      <c r="G924"/>
      <c r="H924"/>
      <c r="I924" s="27">
        <f>-IFERROR(VLOOKUP(C924,SIRCUPA!$A$21:$H$155,8,0),0)</f>
        <v>0</v>
      </c>
      <c r="J924" s="88">
        <f>-IFERROR(VLOOKUP(C924,SIRTAC!$A$16:$H$1288,8,0),0)</f>
        <v>-43</v>
      </c>
      <c r="K924" s="88">
        <f>-IFERROR(VLOOKUP(C924,Gastos!$A$9:$J$1281,10,0),0)</f>
        <v>-41.71</v>
      </c>
      <c r="L924" s="87">
        <f>-IFERROR(VLOOKUP(C924,IDC!$A$25:$H$1532,8,0),0)</f>
        <v>-25.8</v>
      </c>
      <c r="M924" s="122">
        <f t="shared" si="127"/>
        <v>4300</v>
      </c>
      <c r="N924"/>
      <c r="P924" s="35">
        <f t="shared" si="128"/>
        <v>-4300</v>
      </c>
      <c r="Q924" s="66">
        <f t="shared" si="129"/>
        <v>0</v>
      </c>
    </row>
    <row r="925" spans="1:17" hidden="1">
      <c r="A925" s="1" t="s">
        <v>960</v>
      </c>
      <c r="B925" s="1" t="s">
        <v>15</v>
      </c>
      <c r="C925" s="91">
        <v>126734488490</v>
      </c>
      <c r="D925" s="3">
        <v>21337.17</v>
      </c>
      <c r="E925" s="3">
        <v>8305023.1799999997</v>
      </c>
      <c r="F925" s="35" t="s">
        <v>2750</v>
      </c>
      <c r="G925"/>
      <c r="H925"/>
      <c r="I925" s="27">
        <f>-IFERROR(VLOOKUP(C925,SIRCUPA!$A$21:$H$155,8,0),0)</f>
        <v>0</v>
      </c>
      <c r="J925" s="88">
        <f>-IFERROR(VLOOKUP(C925,SIRTAC!$A$16:$H$1288,8,0),0)</f>
        <v>-219</v>
      </c>
      <c r="K925" s="88">
        <f>-IFERROR(VLOOKUP(C925,Gastos!$A$9:$J$1281,10,0),0)</f>
        <v>-212.43</v>
      </c>
      <c r="L925" s="87">
        <f>-IFERROR(VLOOKUP(C925,IDC!$A$25:$H$1532,8,0),0)</f>
        <v>-131.4</v>
      </c>
      <c r="M925" s="122">
        <f t="shared" si="127"/>
        <v>21900</v>
      </c>
      <c r="N925"/>
      <c r="P925" s="35">
        <f t="shared" si="128"/>
        <v>-21900</v>
      </c>
      <c r="Q925" s="66">
        <f t="shared" si="129"/>
        <v>0</v>
      </c>
    </row>
    <row r="926" spans="1:17" hidden="1">
      <c r="A926" s="1" t="s">
        <v>960</v>
      </c>
      <c r="B926" s="1" t="s">
        <v>15</v>
      </c>
      <c r="C926" s="91">
        <v>126178996297</v>
      </c>
      <c r="D926" s="3">
        <v>8378.98</v>
      </c>
      <c r="E926" s="3">
        <v>8313402.1600000001</v>
      </c>
      <c r="F926" s="35" t="s">
        <v>2750</v>
      </c>
      <c r="G926"/>
      <c r="H926"/>
      <c r="I926" s="27">
        <f>-IFERROR(VLOOKUP(C926,SIRCUPA!$A$21:$H$155,8,0),0)</f>
        <v>0</v>
      </c>
      <c r="J926" s="88">
        <f>-IFERROR(VLOOKUP(C926,SIRTAC!$A$16:$H$1288,8,0),0)</f>
        <v>-86</v>
      </c>
      <c r="K926" s="88">
        <f>-IFERROR(VLOOKUP(C926,Gastos!$A$9:$J$1281,10,0),0)</f>
        <v>-83.42</v>
      </c>
      <c r="L926" s="87">
        <f>-IFERROR(VLOOKUP(C926,IDC!$A$25:$H$1532,8,0),0)</f>
        <v>-51.6</v>
      </c>
      <c r="M926" s="122">
        <f t="shared" si="127"/>
        <v>8600</v>
      </c>
      <c r="N926"/>
      <c r="P926" s="35">
        <f t="shared" si="128"/>
        <v>-8600</v>
      </c>
      <c r="Q926" s="66">
        <f t="shared" si="129"/>
        <v>0</v>
      </c>
    </row>
    <row r="927" spans="1:17" hidden="1">
      <c r="A927" s="1" t="s">
        <v>960</v>
      </c>
      <c r="B927" s="1" t="s">
        <v>15</v>
      </c>
      <c r="C927" s="91">
        <v>126179218399</v>
      </c>
      <c r="D927" s="3">
        <v>9353.2800000000007</v>
      </c>
      <c r="E927" s="3">
        <v>8322755.4400000004</v>
      </c>
      <c r="F927" s="35" t="s">
        <v>2750</v>
      </c>
      <c r="G927"/>
      <c r="H927"/>
      <c r="I927" s="27">
        <f>-IFERROR(VLOOKUP(C927,SIRCUPA!$A$21:$H$155,8,0),0)</f>
        <v>0</v>
      </c>
      <c r="J927" s="88">
        <f>-IFERROR(VLOOKUP(C927,SIRTAC!$A$16:$H$1288,8,0),0)</f>
        <v>-96</v>
      </c>
      <c r="K927" s="88">
        <f>-IFERROR(VLOOKUP(C927,Gastos!$A$9:$J$1281,10,0),0)</f>
        <v>-93.12</v>
      </c>
      <c r="L927" s="87">
        <f>-IFERROR(VLOOKUP(C927,IDC!$A$25:$H$1532,8,0),0)</f>
        <v>-57.6</v>
      </c>
      <c r="M927" s="122">
        <f t="shared" si="127"/>
        <v>9600.0000000000018</v>
      </c>
      <c r="N927"/>
      <c r="P927" s="35">
        <f t="shared" si="128"/>
        <v>-9600</v>
      </c>
      <c r="Q927" s="66">
        <f t="shared" si="129"/>
        <v>0</v>
      </c>
    </row>
    <row r="928" spans="1:17" hidden="1">
      <c r="A928" s="1" t="s">
        <v>960</v>
      </c>
      <c r="B928" s="1" t="s">
        <v>1024</v>
      </c>
      <c r="C928" s="91">
        <v>126179069627</v>
      </c>
      <c r="D928" s="2">
        <v>469.92</v>
      </c>
      <c r="E928" s="3">
        <v>8323225.3600000003</v>
      </c>
      <c r="F928" s="2" t="s">
        <v>2750</v>
      </c>
      <c r="G928"/>
      <c r="H928"/>
      <c r="I928" s="27">
        <f>-IFERROR(VLOOKUP(C928,SIRCUPA!$A$21:$H$155,8,0),0)</f>
        <v>-7.2</v>
      </c>
      <c r="J928" s="88">
        <f>-IFERROR(VLOOKUP(C928,SIRTAC!$A$16:$H$1288,8,0),0)</f>
        <v>0</v>
      </c>
      <c r="K928" s="88">
        <f>-IFERROR(VLOOKUP(C928,Gastos!$A$9:$J$1281,10,0),0)</f>
        <v>0</v>
      </c>
      <c r="L928" s="87">
        <f>-IFERROR(VLOOKUP(C928,IDC!$A$25:$H$1532,8,0),0)</f>
        <v>-2.88</v>
      </c>
      <c r="M928" s="122">
        <f t="shared" si="127"/>
        <v>480</v>
      </c>
      <c r="N928"/>
      <c r="P928" s="35">
        <f t="shared" si="128"/>
        <v>-480</v>
      </c>
      <c r="Q928" s="66">
        <f t="shared" si="129"/>
        <v>0</v>
      </c>
    </row>
    <row r="929" spans="1:18" hidden="1">
      <c r="A929" s="1" t="s">
        <v>960</v>
      </c>
      <c r="B929" s="1" t="s">
        <v>15</v>
      </c>
      <c r="C929" s="91">
        <v>126735130040</v>
      </c>
      <c r="D929" s="3">
        <v>3410.05</v>
      </c>
      <c r="E929" s="3">
        <v>8326635.4100000001</v>
      </c>
      <c r="F929" s="35" t="s">
        <v>2750</v>
      </c>
      <c r="G929"/>
      <c r="H929"/>
      <c r="I929" s="27">
        <f>-IFERROR(VLOOKUP(C929,SIRCUPA!$A$21:$H$155,8,0),0)</f>
        <v>0</v>
      </c>
      <c r="J929" s="88">
        <f>-IFERROR(VLOOKUP(C929,SIRTAC!$A$16:$H$1288,8,0),0)</f>
        <v>-35</v>
      </c>
      <c r="K929" s="88">
        <f>-IFERROR(VLOOKUP(C929,Gastos!$A$9:$J$1281,10,0),0)</f>
        <v>-33.950000000000003</v>
      </c>
      <c r="L929" s="87">
        <f>-IFERROR(VLOOKUP(C929,IDC!$A$25:$H$1532,8,0),0)</f>
        <v>-21</v>
      </c>
      <c r="M929" s="122">
        <f t="shared" si="127"/>
        <v>3500</v>
      </c>
      <c r="N929"/>
      <c r="P929" s="35">
        <f t="shared" si="128"/>
        <v>-3500</v>
      </c>
      <c r="Q929" s="66">
        <f t="shared" si="129"/>
        <v>0</v>
      </c>
    </row>
    <row r="930" spans="1:18" hidden="1">
      <c r="A930" s="1" t="s">
        <v>960</v>
      </c>
      <c r="B930" s="1" t="s">
        <v>1027</v>
      </c>
      <c r="C930" s="91">
        <v>126179214869</v>
      </c>
      <c r="D930" s="2">
        <v>171.32</v>
      </c>
      <c r="E930" s="3">
        <v>8326806.7300000004</v>
      </c>
      <c r="F930" s="2" t="s">
        <v>2750</v>
      </c>
      <c r="G930"/>
      <c r="H930"/>
      <c r="I930" s="27">
        <f>-IFERROR(VLOOKUP(C930,SIRCUPA!$A$21:$H$155,8,0),0)</f>
        <v>-2.63</v>
      </c>
      <c r="J930" s="88">
        <f>-IFERROR(VLOOKUP(C930,SIRTAC!$A$16:$H$1288,8,0),0)</f>
        <v>0</v>
      </c>
      <c r="K930" s="88">
        <f>-IFERROR(VLOOKUP(C930,Gastos!$A$9:$J$1281,10,0),0)</f>
        <v>0</v>
      </c>
      <c r="L930" s="87">
        <f>-IFERROR(VLOOKUP(C930,IDC!$A$25:$H$1532,8,0),0)</f>
        <v>-1.05</v>
      </c>
      <c r="M930" s="122">
        <f t="shared" si="127"/>
        <v>175</v>
      </c>
      <c r="N930"/>
      <c r="P930" s="35">
        <f t="shared" si="128"/>
        <v>-175</v>
      </c>
      <c r="Q930" s="66">
        <f t="shared" si="129"/>
        <v>0</v>
      </c>
    </row>
    <row r="931" spans="1:18" hidden="1">
      <c r="A931" s="1" t="s">
        <v>960</v>
      </c>
      <c r="B931" s="1" t="s">
        <v>15</v>
      </c>
      <c r="C931" s="91">
        <v>126735538284</v>
      </c>
      <c r="D931" s="3">
        <v>9060.99</v>
      </c>
      <c r="E931" s="3">
        <v>8335867.7199999997</v>
      </c>
      <c r="F931" s="35" t="s">
        <v>2750</v>
      </c>
      <c r="G931"/>
      <c r="H931"/>
      <c r="I931" s="27">
        <f>-IFERROR(VLOOKUP(C931,SIRCUPA!$A$21:$H$155,8,0),0)</f>
        <v>0</v>
      </c>
      <c r="J931" s="88">
        <f>-IFERROR(VLOOKUP(C931,SIRTAC!$A$16:$H$1288,8,0),0)</f>
        <v>-93</v>
      </c>
      <c r="K931" s="88">
        <f>-IFERROR(VLOOKUP(C931,Gastos!$A$9:$J$1281,10,0),0)</f>
        <v>-90.21</v>
      </c>
      <c r="L931" s="87">
        <f>-IFERROR(VLOOKUP(C931,IDC!$A$25:$H$1532,8,0),0)</f>
        <v>-55.8</v>
      </c>
      <c r="M931" s="122">
        <f t="shared" si="127"/>
        <v>9299.9999999999982</v>
      </c>
      <c r="N931"/>
      <c r="P931" s="35">
        <f t="shared" si="128"/>
        <v>-9300</v>
      </c>
      <c r="Q931" s="66">
        <f t="shared" si="129"/>
        <v>0</v>
      </c>
    </row>
    <row r="932" spans="1:18" hidden="1">
      <c r="A932" s="1" t="s">
        <v>35</v>
      </c>
      <c r="B932" s="35" t="s">
        <v>38</v>
      </c>
      <c r="C932" s="91">
        <v>124018294619</v>
      </c>
      <c r="D932" s="3">
        <v>-423171.26</v>
      </c>
      <c r="E932" s="3">
        <v>10632576.23</v>
      </c>
      <c r="F932" s="35" t="s">
        <v>2751</v>
      </c>
      <c r="G932" s="4">
        <f t="shared" ref="G932:G942" si="130">+D932/1.006</f>
        <v>-420647.37574552686</v>
      </c>
      <c r="H932" s="4">
        <f t="shared" ref="H932:H942" si="131">+D932-G932</f>
        <v>-2523.8842544731451</v>
      </c>
      <c r="I932" s="27">
        <f>-IFERROR(VLOOKUP(C932,SIRCUPA!$A$21:$H$155,8,0),0)</f>
        <v>0</v>
      </c>
      <c r="J932" s="88">
        <f>-IFERROR(VLOOKUP(C932,SIRTAC!$A$16:$H$1288,8,0),0)</f>
        <v>0</v>
      </c>
      <c r="K932" s="88">
        <f>-IFERROR(VLOOKUP(C932,Gastos!$A$9:$J$1281,10,0),0)</f>
        <v>0</v>
      </c>
      <c r="L932" s="87">
        <f t="shared" ref="L932:L938" si="132">+D932-G932</f>
        <v>-2523.8842544731451</v>
      </c>
      <c r="M932" s="121">
        <f t="shared" si="127"/>
        <v>-420647.37574552686</v>
      </c>
      <c r="Q932" s="35">
        <f t="shared" ref="Q932:Q942" si="133">+L932/0.006</f>
        <v>-420647.37574552419</v>
      </c>
      <c r="R932" s="66">
        <f t="shared" ref="R932:R942" si="134">+M932-Q932</f>
        <v>-2.6775524020195007E-9</v>
      </c>
    </row>
    <row r="933" spans="1:18" hidden="1">
      <c r="A933" s="35" t="s">
        <v>132</v>
      </c>
      <c r="B933" s="35" t="s">
        <v>38</v>
      </c>
      <c r="C933" s="91">
        <v>124490574149</v>
      </c>
      <c r="D933" s="3">
        <v>-385845.67</v>
      </c>
      <c r="E933" s="3">
        <v>6577639.3700000001</v>
      </c>
      <c r="F933" s="35" t="s">
        <v>2751</v>
      </c>
      <c r="G933" s="4">
        <f t="shared" si="130"/>
        <v>-383544.40357852879</v>
      </c>
      <c r="H933" s="4">
        <f t="shared" si="131"/>
        <v>-2301.2664214711986</v>
      </c>
      <c r="I933" s="27">
        <f>-IFERROR(VLOOKUP(C933,SIRCUPA!$A$21:$H$155,8,0),0)</f>
        <v>0</v>
      </c>
      <c r="J933" s="88">
        <f>-IFERROR(VLOOKUP(C933,SIRTAC!$A$16:$H$1288,8,0),0)</f>
        <v>0</v>
      </c>
      <c r="K933" s="88">
        <f>-IFERROR(VLOOKUP(C933,Gastos!$A$9:$J$1281,10,0),0)</f>
        <v>0</v>
      </c>
      <c r="L933" s="87">
        <f t="shared" si="132"/>
        <v>-2301.2664214711986</v>
      </c>
      <c r="M933" s="121">
        <f t="shared" ref="M933:M942" si="135">+D933-I933-J933-K933-L933</f>
        <v>-383544.40357852879</v>
      </c>
      <c r="O933" s="35"/>
      <c r="Q933" s="35">
        <f t="shared" si="133"/>
        <v>-383544.40357853309</v>
      </c>
      <c r="R933" s="66">
        <f t="shared" si="134"/>
        <v>4.3073669075965881E-9</v>
      </c>
    </row>
    <row r="934" spans="1:18" hidden="1">
      <c r="A934" s="35" t="s">
        <v>132</v>
      </c>
      <c r="B934" s="35" t="s">
        <v>38</v>
      </c>
      <c r="C934" s="91">
        <v>125037170650</v>
      </c>
      <c r="D934" s="3">
        <v>-138386.69</v>
      </c>
      <c r="E934" s="3">
        <v>6439252.6799999997</v>
      </c>
      <c r="F934" s="35" t="s">
        <v>2751</v>
      </c>
      <c r="G934" s="4">
        <f t="shared" si="130"/>
        <v>-137561.32206759445</v>
      </c>
      <c r="H934" s="4">
        <f t="shared" si="131"/>
        <v>-825.36793240555562</v>
      </c>
      <c r="I934" s="27">
        <f>-IFERROR(VLOOKUP(C934,SIRCUPA!$A$21:$H$155,8,0),0)</f>
        <v>0</v>
      </c>
      <c r="J934" s="88">
        <f>-IFERROR(VLOOKUP(C934,SIRTAC!$A$16:$H$1288,8,0),0)</f>
        <v>0</v>
      </c>
      <c r="K934" s="88">
        <f>-IFERROR(VLOOKUP(C934,Gastos!$A$9:$J$1281,10,0),0)</f>
        <v>0</v>
      </c>
      <c r="L934" s="87">
        <f t="shared" si="132"/>
        <v>-825.36793240555562</v>
      </c>
      <c r="M934" s="121">
        <f t="shared" si="135"/>
        <v>-137561.32206759445</v>
      </c>
      <c r="O934" s="35"/>
      <c r="Q934" s="35">
        <f t="shared" si="133"/>
        <v>-137561.32206759261</v>
      </c>
      <c r="R934" s="66">
        <f t="shared" si="134"/>
        <v>-1.8335413187742233E-9</v>
      </c>
    </row>
    <row r="935" spans="1:18" hidden="1">
      <c r="A935" s="35" t="s">
        <v>529</v>
      </c>
      <c r="B935" s="35" t="s">
        <v>38</v>
      </c>
      <c r="C935" s="91">
        <v>125774258702</v>
      </c>
      <c r="D935" s="3">
        <v>-446172.78</v>
      </c>
      <c r="E935" s="3">
        <v>8629825.3599999994</v>
      </c>
      <c r="F935" s="35" t="s">
        <v>2751</v>
      </c>
      <c r="G935" s="4">
        <f t="shared" si="130"/>
        <v>-443511.70974155073</v>
      </c>
      <c r="H935" s="4">
        <f t="shared" si="131"/>
        <v>-2661.0702584492974</v>
      </c>
      <c r="I935" s="27">
        <f>-IFERROR(VLOOKUP(C935,SIRCUPA!$A$21:$H$155,8,0),0)</f>
        <v>0</v>
      </c>
      <c r="J935" s="88">
        <f>-IFERROR(VLOOKUP(C935,SIRTAC!$A$16:$H$1288,8,0),0)</f>
        <v>0</v>
      </c>
      <c r="K935" s="88">
        <f>-IFERROR(VLOOKUP(C935,Gastos!$A$9:$J$1281,10,0),0)</f>
        <v>0</v>
      </c>
      <c r="L935" s="87">
        <f t="shared" si="132"/>
        <v>-2661.0702584492974</v>
      </c>
      <c r="M935" s="121">
        <f t="shared" si="135"/>
        <v>-443511.70974155073</v>
      </c>
      <c r="O935" s="35"/>
      <c r="Q935" s="35">
        <f t="shared" si="133"/>
        <v>-443511.70974154957</v>
      </c>
      <c r="R935" s="66">
        <f t="shared" si="134"/>
        <v>-1.1641532182693481E-9</v>
      </c>
    </row>
    <row r="936" spans="1:18" hidden="1">
      <c r="A936" s="35" t="s">
        <v>1030</v>
      </c>
      <c r="B936" s="35" t="s">
        <v>38</v>
      </c>
      <c r="C936" s="91">
        <v>126797263370</v>
      </c>
      <c r="D936" s="3">
        <v>-492940</v>
      </c>
      <c r="E936" s="3">
        <v>8104467.04</v>
      </c>
      <c r="F936" s="35" t="s">
        <v>2751</v>
      </c>
      <c r="G936" s="4">
        <f t="shared" si="130"/>
        <v>-490000</v>
      </c>
      <c r="H936" s="4">
        <f t="shared" si="131"/>
        <v>-2940</v>
      </c>
      <c r="I936" s="27">
        <f>-IFERROR(VLOOKUP(C936,SIRCUPA!$A$21:$H$155,8,0),0)</f>
        <v>0</v>
      </c>
      <c r="J936" s="88">
        <f>-IFERROR(VLOOKUP(C936,SIRTAC!$A$16:$H$1288,8,0),0)</f>
        <v>0</v>
      </c>
      <c r="K936" s="88">
        <f>-IFERROR(VLOOKUP(C936,Gastos!$A$9:$J$1281,10,0),0)</f>
        <v>0</v>
      </c>
      <c r="L936" s="87">
        <f t="shared" si="132"/>
        <v>-2940</v>
      </c>
      <c r="M936" s="121">
        <f t="shared" si="135"/>
        <v>-490000</v>
      </c>
      <c r="O936" s="35"/>
      <c r="Q936" s="35">
        <f t="shared" si="133"/>
        <v>-490000</v>
      </c>
      <c r="R936" s="66">
        <f t="shared" si="134"/>
        <v>0</v>
      </c>
    </row>
    <row r="937" spans="1:18" hidden="1">
      <c r="A937" s="35" t="s">
        <v>1282</v>
      </c>
      <c r="B937" s="35" t="s">
        <v>38</v>
      </c>
      <c r="C937" s="91">
        <v>127137463700</v>
      </c>
      <c r="D937" s="3">
        <v>-286218.19</v>
      </c>
      <c r="E937" s="3">
        <v>8473922.7100000009</v>
      </c>
      <c r="F937" s="35" t="s">
        <v>2751</v>
      </c>
      <c r="G937" s="4">
        <f t="shared" si="130"/>
        <v>-284511.12326043739</v>
      </c>
      <c r="H937" s="4">
        <f t="shared" si="131"/>
        <v>-1707.0667395626078</v>
      </c>
      <c r="I937" s="27">
        <f>-IFERROR(VLOOKUP(C937,SIRCUPA!$A$21:$H$155,8,0),0)</f>
        <v>0</v>
      </c>
      <c r="J937" s="88">
        <f>-IFERROR(VLOOKUP(C937,SIRTAC!$A$16:$H$1288,8,0),0)</f>
        <v>0</v>
      </c>
      <c r="K937" s="88">
        <f>-IFERROR(VLOOKUP(C937,Gastos!$A$9:$J$1281,10,0),0)</f>
        <v>0</v>
      </c>
      <c r="L937" s="87">
        <f t="shared" si="132"/>
        <v>-1707.0667395626078</v>
      </c>
      <c r="M937" s="121">
        <f t="shared" si="135"/>
        <v>-284511.12326043739</v>
      </c>
      <c r="O937" s="35"/>
      <c r="Q937" s="35">
        <f t="shared" si="133"/>
        <v>-284511.12326043466</v>
      </c>
      <c r="R937" s="66">
        <f t="shared" si="134"/>
        <v>-2.7357600629329681E-9</v>
      </c>
    </row>
    <row r="938" spans="1:18" hidden="1">
      <c r="A938" s="35" t="s">
        <v>1713</v>
      </c>
      <c r="B938" s="35" t="s">
        <v>38</v>
      </c>
      <c r="C938" s="91">
        <v>128059423494</v>
      </c>
      <c r="D938" s="3">
        <v>-694305.25</v>
      </c>
      <c r="E938" s="3">
        <v>10954148.890000001</v>
      </c>
      <c r="F938" s="35" t="s">
        <v>2751</v>
      </c>
      <c r="G938" s="4">
        <f t="shared" si="130"/>
        <v>-690164.26441351883</v>
      </c>
      <c r="H938" s="4">
        <f t="shared" si="131"/>
        <v>-4140.9855864811689</v>
      </c>
      <c r="I938" s="27">
        <f>-IFERROR(VLOOKUP(C938,SIRCUPA!$A$21:$H$155,8,0),0)</f>
        <v>0</v>
      </c>
      <c r="J938" s="88">
        <f>-IFERROR(VLOOKUP(C938,SIRTAC!$A$16:$H$1288,8,0),0)</f>
        <v>0</v>
      </c>
      <c r="K938" s="88">
        <f>-IFERROR(VLOOKUP(C938,Gastos!$A$9:$J$1281,10,0),0)</f>
        <v>0</v>
      </c>
      <c r="L938" s="87">
        <f t="shared" si="132"/>
        <v>-4140.9855864811689</v>
      </c>
      <c r="M938" s="121">
        <f t="shared" si="135"/>
        <v>-690164.26441351883</v>
      </c>
      <c r="O938" s="35"/>
      <c r="Q938" s="35">
        <f t="shared" si="133"/>
        <v>-690164.26441352814</v>
      </c>
      <c r="R938" s="66">
        <f t="shared" si="134"/>
        <v>9.3132257461547852E-9</v>
      </c>
    </row>
    <row r="939" spans="1:18" hidden="1">
      <c r="A939" s="59" t="s">
        <v>466</v>
      </c>
      <c r="B939" s="59" t="s">
        <v>481</v>
      </c>
      <c r="C939" s="112">
        <v>125385837094</v>
      </c>
      <c r="D939" s="64">
        <v>-261840.61</v>
      </c>
      <c r="E939" s="3">
        <v>10677839.84</v>
      </c>
      <c r="F939" s="59" t="s">
        <v>2751</v>
      </c>
      <c r="G939" s="65">
        <f t="shared" si="130"/>
        <v>-260278.93638170973</v>
      </c>
      <c r="H939" s="65">
        <f t="shared" si="131"/>
        <v>-1561.6736182902532</v>
      </c>
      <c r="I939" s="108">
        <f>-IFERROR(VLOOKUP(C939,SIRCUPA!$A$21:$H$155,8,0),0)</f>
        <v>0</v>
      </c>
      <c r="J939" s="108">
        <f>-IFERROR(VLOOKUP(C939,SIRTAC!$A$16:$H$1288,8,0),0)</f>
        <v>0</v>
      </c>
      <c r="K939" s="108">
        <f>-IFERROR(VLOOKUP(C939,Gastos!$A$9:$J$1281,10,0),0)</f>
        <v>0</v>
      </c>
      <c r="L939" s="65"/>
      <c r="M939" s="123">
        <f>+D939</f>
        <v>-261840.61</v>
      </c>
      <c r="N939" s="65"/>
      <c r="O939" s="59"/>
      <c r="Q939" s="3">
        <f>+D939</f>
        <v>-261840.61</v>
      </c>
      <c r="R939" s="66">
        <f t="shared" si="134"/>
        <v>0</v>
      </c>
    </row>
    <row r="940" spans="1:18" hidden="1">
      <c r="A940" s="35" t="s">
        <v>14</v>
      </c>
      <c r="B940" s="35" t="s">
        <v>24</v>
      </c>
      <c r="C940" s="91">
        <v>123897475515</v>
      </c>
      <c r="D940" s="3">
        <v>-161786.93</v>
      </c>
      <c r="E940" s="3">
        <v>12819051.73</v>
      </c>
      <c r="F940" s="35" t="s">
        <v>2751</v>
      </c>
      <c r="G940" s="4">
        <f t="shared" si="130"/>
        <v>-160821.99801192843</v>
      </c>
      <c r="H940" s="4">
        <f t="shared" si="131"/>
        <v>-964.93198807156296</v>
      </c>
      <c r="I940" s="27">
        <f>-IFERROR(VLOOKUP(C940,SIRCUPA!$A$21:$H$155,8,0),0)</f>
        <v>0</v>
      </c>
      <c r="J940" s="88">
        <f>-IFERROR(VLOOKUP(C940,SIRTAC!$A$16:$H$1288,8,0),0)</f>
        <v>0</v>
      </c>
      <c r="K940" s="88">
        <f>-IFERROR(VLOOKUP(C940,Gastos!$A$9:$J$1281,10,0),0)</f>
        <v>0</v>
      </c>
      <c r="L940" s="87">
        <f>+D940-G940</f>
        <v>-964.93198807156296</v>
      </c>
      <c r="M940" s="121">
        <f t="shared" si="135"/>
        <v>-160821.99801192843</v>
      </c>
      <c r="O940" s="35"/>
      <c r="Q940" s="35">
        <f t="shared" si="133"/>
        <v>-160821.99801192715</v>
      </c>
      <c r="R940" s="66">
        <f t="shared" si="134"/>
        <v>-1.280568540096283E-9</v>
      </c>
    </row>
    <row r="941" spans="1:18" hidden="1">
      <c r="A941" s="35" t="s">
        <v>903</v>
      </c>
      <c r="B941" s="35" t="s">
        <v>24</v>
      </c>
      <c r="C941" s="91">
        <v>125735003593</v>
      </c>
      <c r="D941" s="3">
        <v>-16055.76</v>
      </c>
      <c r="E941" s="3">
        <v>11840213.550000001</v>
      </c>
      <c r="F941" s="35" t="s">
        <v>2751</v>
      </c>
      <c r="G941" s="4">
        <f t="shared" si="130"/>
        <v>-15960</v>
      </c>
      <c r="H941" s="4">
        <f t="shared" si="131"/>
        <v>-95.760000000000218</v>
      </c>
      <c r="I941" s="27">
        <f>-IFERROR(VLOOKUP(C941,SIRCUPA!$A$21:$H$155,8,0),0)</f>
        <v>0</v>
      </c>
      <c r="J941" s="88">
        <f>-IFERROR(VLOOKUP(C941,SIRTAC!$A$16:$H$1288,8,0),0)</f>
        <v>0</v>
      </c>
      <c r="K941" s="88">
        <f>-IFERROR(VLOOKUP(C941,Gastos!$A$9:$J$1281,10,0),0)</f>
        <v>0</v>
      </c>
      <c r="L941" s="87">
        <f>+D941-G941</f>
        <v>-95.760000000000218</v>
      </c>
      <c r="M941" s="121">
        <f t="shared" si="135"/>
        <v>-15960</v>
      </c>
      <c r="O941" s="35"/>
      <c r="Q941" s="35">
        <f t="shared" si="133"/>
        <v>-15960.000000000036</v>
      </c>
      <c r="R941" s="66">
        <f t="shared" si="134"/>
        <v>3.637978807091713E-11</v>
      </c>
    </row>
    <row r="942" spans="1:18" hidden="1">
      <c r="A942" s="35" t="s">
        <v>903</v>
      </c>
      <c r="B942" s="35" t="s">
        <v>24</v>
      </c>
      <c r="C942" s="91">
        <v>126288428012</v>
      </c>
      <c r="D942" s="3">
        <v>-26107.51</v>
      </c>
      <c r="E942" s="3">
        <v>11814106.039999999</v>
      </c>
      <c r="F942" s="35" t="s">
        <v>2751</v>
      </c>
      <c r="G942" s="4">
        <f t="shared" si="130"/>
        <v>-25951.799204771371</v>
      </c>
      <c r="H942" s="4">
        <f t="shared" si="131"/>
        <v>-155.71079522862783</v>
      </c>
      <c r="I942" s="27">
        <f>-IFERROR(VLOOKUP(C942,SIRCUPA!$A$21:$H$155,8,0),0)</f>
        <v>0</v>
      </c>
      <c r="J942" s="88">
        <f>-IFERROR(VLOOKUP(C942,SIRTAC!$A$16:$H$1288,8,0),0)</f>
        <v>0</v>
      </c>
      <c r="K942" s="88">
        <f>-IFERROR(VLOOKUP(C942,Gastos!$A$9:$J$1281,10,0),0)</f>
        <v>0</v>
      </c>
      <c r="L942" s="87">
        <f>+D942-G942</f>
        <v>-155.71079522862783</v>
      </c>
      <c r="M942" s="121">
        <f t="shared" si="135"/>
        <v>-25951.799204771371</v>
      </c>
      <c r="O942" s="35"/>
      <c r="Q942" s="35">
        <f t="shared" si="133"/>
        <v>-25951.799204771305</v>
      </c>
      <c r="R942" s="66">
        <f t="shared" si="134"/>
        <v>-6.5483618527650833E-11</v>
      </c>
    </row>
    <row r="943" spans="1:18" hidden="1">
      <c r="A943" s="1" t="s">
        <v>1030</v>
      </c>
      <c r="B943" s="1" t="s">
        <v>15</v>
      </c>
      <c r="C943" s="91">
        <v>126735449040</v>
      </c>
      <c r="D943" s="3">
        <v>4035.98</v>
      </c>
      <c r="E943" s="3">
        <v>8339903.7000000002</v>
      </c>
      <c r="F943" s="35" t="s">
        <v>2750</v>
      </c>
      <c r="G943"/>
      <c r="H943"/>
      <c r="I943" s="27">
        <f>-IFERROR(VLOOKUP(C943,SIRCUPA!$A$21:$H$155,8,0),0)</f>
        <v>0</v>
      </c>
      <c r="J943" s="88">
        <f>-IFERROR(VLOOKUP(C943,SIRTAC!$A$16:$H$1288,8,0),0)</f>
        <v>-43</v>
      </c>
      <c r="K943" s="88">
        <f>-IFERROR(VLOOKUP(C943,Gastos!$A$9:$J$1281,10,0),0)</f>
        <v>-195.22</v>
      </c>
      <c r="L943" s="87">
        <f>-IFERROR(VLOOKUP(C943,IDC!$A$25:$H$1532,8,0),0)</f>
        <v>-25.8</v>
      </c>
      <c r="M943" s="122">
        <f t="shared" ref="M943:M985" si="136">+D943-I943-J943-K943-L943</f>
        <v>4300</v>
      </c>
      <c r="N943"/>
      <c r="P943" s="35">
        <f t="shared" ref="P943:P985" si="137">+L943/0.006</f>
        <v>-4300</v>
      </c>
      <c r="Q943" s="66">
        <f t="shared" ref="Q943:Q985" si="138">+M943+P943</f>
        <v>0</v>
      </c>
    </row>
    <row r="944" spans="1:18" hidden="1">
      <c r="A944" s="1" t="s">
        <v>1030</v>
      </c>
      <c r="B944" s="1" t="s">
        <v>15</v>
      </c>
      <c r="C944" s="91">
        <v>126179338967</v>
      </c>
      <c r="D944" s="3">
        <v>4062.21</v>
      </c>
      <c r="E944" s="3">
        <v>8343965.9100000001</v>
      </c>
      <c r="F944" s="35" t="s">
        <v>2750</v>
      </c>
      <c r="G944"/>
      <c r="H944"/>
      <c r="I944" s="27">
        <f>-IFERROR(VLOOKUP(C944,SIRCUPA!$A$21:$H$155,8,0),0)</f>
        <v>0</v>
      </c>
      <c r="J944" s="88">
        <f>-IFERROR(VLOOKUP(C944,SIRTAC!$A$16:$H$1288,8,0),0)</f>
        <v>-43</v>
      </c>
      <c r="K944" s="88">
        <f>-IFERROR(VLOOKUP(C944,Gastos!$A$9:$J$1281,10,0),0)</f>
        <v>-168.99</v>
      </c>
      <c r="L944" s="87">
        <f>-IFERROR(VLOOKUP(C944,IDC!$A$25:$H$1532,8,0),0)</f>
        <v>-25.8</v>
      </c>
      <c r="M944" s="122">
        <f t="shared" si="136"/>
        <v>4300</v>
      </c>
      <c r="N944"/>
      <c r="P944" s="35">
        <f t="shared" si="137"/>
        <v>-4300</v>
      </c>
      <c r="Q944" s="66">
        <f t="shared" si="138"/>
        <v>0</v>
      </c>
    </row>
    <row r="945" spans="1:17" hidden="1">
      <c r="A945" s="1" t="s">
        <v>1030</v>
      </c>
      <c r="B945" s="1" t="s">
        <v>15</v>
      </c>
      <c r="C945" s="91">
        <v>126179317665</v>
      </c>
      <c r="D945" s="3">
        <v>8124.42</v>
      </c>
      <c r="E945" s="3">
        <v>8352090.3300000001</v>
      </c>
      <c r="F945" s="35" t="s">
        <v>2750</v>
      </c>
      <c r="G945"/>
      <c r="H945"/>
      <c r="I945" s="27">
        <f>-IFERROR(VLOOKUP(C945,SIRCUPA!$A$21:$H$155,8,0),0)</f>
        <v>0</v>
      </c>
      <c r="J945" s="88">
        <f>-IFERROR(VLOOKUP(C945,SIRTAC!$A$16:$H$1288,8,0),0)</f>
        <v>-86</v>
      </c>
      <c r="K945" s="88">
        <f>-IFERROR(VLOOKUP(C945,Gastos!$A$9:$J$1281,10,0),0)</f>
        <v>-337.98</v>
      </c>
      <c r="L945" s="87">
        <f>-IFERROR(VLOOKUP(C945,IDC!$A$25:$H$1532,8,0),0)</f>
        <v>-51.6</v>
      </c>
      <c r="M945" s="122">
        <f t="shared" si="136"/>
        <v>8600</v>
      </c>
      <c r="N945"/>
      <c r="P945" s="35">
        <f t="shared" si="137"/>
        <v>-8600</v>
      </c>
      <c r="Q945" s="66">
        <f t="shared" si="138"/>
        <v>0</v>
      </c>
    </row>
    <row r="946" spans="1:17" hidden="1">
      <c r="A946" s="1" t="s">
        <v>1030</v>
      </c>
      <c r="B946" s="1" t="s">
        <v>15</v>
      </c>
      <c r="C946" s="91">
        <v>126179543345</v>
      </c>
      <c r="D946" s="3">
        <v>12568.47</v>
      </c>
      <c r="E946" s="3">
        <v>8364658.7999999998</v>
      </c>
      <c r="F946" s="35" t="s">
        <v>2750</v>
      </c>
      <c r="G946"/>
      <c r="H946"/>
      <c r="I946" s="27">
        <f>-IFERROR(VLOOKUP(C946,SIRCUPA!$A$21:$H$155,8,0),0)</f>
        <v>0</v>
      </c>
      <c r="J946" s="88">
        <f>-IFERROR(VLOOKUP(C946,SIRTAC!$A$16:$H$1288,8,0),0)</f>
        <v>-129</v>
      </c>
      <c r="K946" s="88">
        <f>-IFERROR(VLOOKUP(C946,Gastos!$A$9:$J$1281,10,0),0)</f>
        <v>-125.13</v>
      </c>
      <c r="L946" s="87">
        <f>-IFERROR(VLOOKUP(C946,IDC!$A$25:$H$1532,8,0),0)</f>
        <v>-77.400000000000006</v>
      </c>
      <c r="M946" s="122">
        <f t="shared" si="136"/>
        <v>12899.999999999998</v>
      </c>
      <c r="N946"/>
      <c r="P946" s="35">
        <f t="shared" si="137"/>
        <v>-12900</v>
      </c>
      <c r="Q946" s="66">
        <f t="shared" si="138"/>
        <v>0</v>
      </c>
    </row>
    <row r="947" spans="1:17" hidden="1">
      <c r="A947" s="1" t="s">
        <v>1030</v>
      </c>
      <c r="B947" s="1" t="s">
        <v>15</v>
      </c>
      <c r="C947" s="91">
        <v>126736088642</v>
      </c>
      <c r="D947" s="3">
        <v>20752.59</v>
      </c>
      <c r="E947" s="3">
        <v>8385411.3899999997</v>
      </c>
      <c r="F947" s="35" t="s">
        <v>2750</v>
      </c>
      <c r="G947"/>
      <c r="H947"/>
      <c r="I947" s="27">
        <f>-IFERROR(VLOOKUP(C947,SIRCUPA!$A$21:$H$155,8,0),0)</f>
        <v>0</v>
      </c>
      <c r="J947" s="88">
        <f>-IFERROR(VLOOKUP(C947,SIRTAC!$A$16:$H$1288,8,0),0)</f>
        <v>-213</v>
      </c>
      <c r="K947" s="88">
        <f>-IFERROR(VLOOKUP(C947,Gastos!$A$9:$J$1281,10,0),0)</f>
        <v>-206.61</v>
      </c>
      <c r="L947" s="87">
        <f>-IFERROR(VLOOKUP(C947,IDC!$A$25:$H$1532,8,0),0)</f>
        <v>-127.8</v>
      </c>
      <c r="M947" s="122">
        <f t="shared" si="136"/>
        <v>21300</v>
      </c>
      <c r="N947"/>
      <c r="P947" s="35">
        <f t="shared" si="137"/>
        <v>-21300</v>
      </c>
      <c r="Q947" s="66">
        <f t="shared" si="138"/>
        <v>0</v>
      </c>
    </row>
    <row r="948" spans="1:17" hidden="1">
      <c r="A948" s="1" t="s">
        <v>1030</v>
      </c>
      <c r="B948" s="1" t="s">
        <v>15</v>
      </c>
      <c r="C948" s="91">
        <v>126736031606</v>
      </c>
      <c r="D948" s="3">
        <v>4384.3500000000004</v>
      </c>
      <c r="E948" s="3">
        <v>8389795.7400000002</v>
      </c>
      <c r="F948" s="35" t="s">
        <v>2750</v>
      </c>
      <c r="G948"/>
      <c r="H948"/>
      <c r="I948" s="27">
        <f>-IFERROR(VLOOKUP(C948,SIRCUPA!$A$21:$H$155,8,0),0)</f>
        <v>0</v>
      </c>
      <c r="J948" s="88">
        <f>-IFERROR(VLOOKUP(C948,SIRTAC!$A$16:$H$1288,8,0),0)</f>
        <v>-45</v>
      </c>
      <c r="K948" s="88">
        <f>-IFERROR(VLOOKUP(C948,Gastos!$A$9:$J$1281,10,0),0)</f>
        <v>-43.65</v>
      </c>
      <c r="L948" s="87">
        <f>-IFERROR(VLOOKUP(C948,IDC!$A$25:$H$1532,8,0),0)</f>
        <v>-27</v>
      </c>
      <c r="M948" s="122">
        <f t="shared" si="136"/>
        <v>4500</v>
      </c>
      <c r="N948"/>
      <c r="P948" s="35">
        <f t="shared" si="137"/>
        <v>-4500</v>
      </c>
      <c r="Q948" s="66">
        <f t="shared" si="138"/>
        <v>0</v>
      </c>
    </row>
    <row r="949" spans="1:17" hidden="1">
      <c r="A949" s="1" t="s">
        <v>1030</v>
      </c>
      <c r="B949" s="1" t="s">
        <v>15</v>
      </c>
      <c r="C949" s="91">
        <v>126179853579</v>
      </c>
      <c r="D949" s="3">
        <v>9060.99</v>
      </c>
      <c r="E949" s="3">
        <v>8398856.7300000004</v>
      </c>
      <c r="F949" s="35" t="s">
        <v>2750</v>
      </c>
      <c r="G949"/>
      <c r="H949"/>
      <c r="I949" s="27">
        <f>-IFERROR(VLOOKUP(C949,SIRCUPA!$A$21:$H$155,8,0),0)</f>
        <v>0</v>
      </c>
      <c r="J949" s="88">
        <f>-IFERROR(VLOOKUP(C949,SIRTAC!$A$16:$H$1288,8,0),0)</f>
        <v>-93</v>
      </c>
      <c r="K949" s="88">
        <f>-IFERROR(VLOOKUP(C949,Gastos!$A$9:$J$1281,10,0),0)</f>
        <v>-90.21</v>
      </c>
      <c r="L949" s="87">
        <f>-IFERROR(VLOOKUP(C949,IDC!$A$25:$H$1532,8,0),0)</f>
        <v>-55.8</v>
      </c>
      <c r="M949" s="122">
        <f t="shared" si="136"/>
        <v>9299.9999999999982</v>
      </c>
      <c r="N949"/>
      <c r="P949" s="35">
        <f t="shared" si="137"/>
        <v>-9300</v>
      </c>
      <c r="Q949" s="66">
        <f t="shared" si="138"/>
        <v>0</v>
      </c>
    </row>
    <row r="950" spans="1:17" hidden="1">
      <c r="A950" s="1" t="s">
        <v>1030</v>
      </c>
      <c r="B950" s="1" t="s">
        <v>15</v>
      </c>
      <c r="C950" s="91">
        <v>126736781276</v>
      </c>
      <c r="D950" s="3">
        <v>7807.94</v>
      </c>
      <c r="E950" s="3">
        <v>8406664.6699999999</v>
      </c>
      <c r="F950" s="35" t="s">
        <v>2750</v>
      </c>
      <c r="G950"/>
      <c r="H950"/>
      <c r="I950" s="27">
        <f>-IFERROR(VLOOKUP(C950,SIRCUPA!$A$21:$H$155,8,0),0)</f>
        <v>0</v>
      </c>
      <c r="J950" s="88">
        <f>-IFERROR(VLOOKUP(C950,SIRTAC!$A$16:$H$1288,8,0),0)</f>
        <v>-86</v>
      </c>
      <c r="K950" s="88">
        <f>-IFERROR(VLOOKUP(C950,Gastos!$A$9:$J$1281,10,0),0)</f>
        <v>-654.46</v>
      </c>
      <c r="L950" s="87">
        <f>-IFERROR(VLOOKUP(C950,IDC!$A$25:$H$1532,8,0),0)</f>
        <v>-51.6</v>
      </c>
      <c r="M950" s="122">
        <f t="shared" si="136"/>
        <v>8600</v>
      </c>
      <c r="N950"/>
      <c r="P950" s="35">
        <f t="shared" si="137"/>
        <v>-8600</v>
      </c>
      <c r="Q950" s="66">
        <f t="shared" si="138"/>
        <v>0</v>
      </c>
    </row>
    <row r="951" spans="1:17" hidden="1">
      <c r="A951" s="1" t="s">
        <v>1030</v>
      </c>
      <c r="B951" s="1" t="s">
        <v>15</v>
      </c>
      <c r="C951" s="91">
        <v>126736925278</v>
      </c>
      <c r="D951" s="3">
        <v>21728.1</v>
      </c>
      <c r="E951" s="3">
        <v>8428392.7699999996</v>
      </c>
      <c r="F951" s="35" t="s">
        <v>2750</v>
      </c>
      <c r="G951"/>
      <c r="H951"/>
      <c r="I951" s="27">
        <f>-IFERROR(VLOOKUP(C951,SIRCUPA!$A$21:$H$155,8,0),0)</f>
        <v>0</v>
      </c>
      <c r="J951" s="88">
        <f>-IFERROR(VLOOKUP(C951,SIRTAC!$A$16:$H$1288,8,0),0)</f>
        <v>-230</v>
      </c>
      <c r="K951" s="88">
        <f>-IFERROR(VLOOKUP(C951,Gastos!$A$9:$J$1281,10,0),0)</f>
        <v>-903.9</v>
      </c>
      <c r="L951" s="87">
        <f>-IFERROR(VLOOKUP(C951,IDC!$A$25:$H$1532,8,0),0)</f>
        <v>-138</v>
      </c>
      <c r="M951" s="122">
        <f t="shared" si="136"/>
        <v>23000</v>
      </c>
      <c r="N951"/>
      <c r="P951" s="35">
        <f t="shared" si="137"/>
        <v>-23000</v>
      </c>
      <c r="Q951" s="66">
        <f t="shared" si="138"/>
        <v>0</v>
      </c>
    </row>
    <row r="952" spans="1:17" hidden="1">
      <c r="A952" s="1" t="s">
        <v>1030</v>
      </c>
      <c r="B952" s="1" t="s">
        <v>15</v>
      </c>
      <c r="C952" s="91">
        <v>126180519317</v>
      </c>
      <c r="D952" s="3">
        <v>65862.679999999993</v>
      </c>
      <c r="E952" s="3">
        <v>8494255.4499999993</v>
      </c>
      <c r="F952" s="35" t="s">
        <v>2750</v>
      </c>
      <c r="G952"/>
      <c r="H952"/>
      <c r="I952" s="27">
        <f>-IFERROR(VLOOKUP(C952,SIRCUPA!$A$21:$H$155,8,0),0)</f>
        <v>0</v>
      </c>
      <c r="J952" s="88">
        <f>-IFERROR(VLOOKUP(C952,SIRTAC!$A$16:$H$1288,8,0),0)</f>
        <v>-676</v>
      </c>
      <c r="K952" s="88">
        <f>-IFERROR(VLOOKUP(C952,Gastos!$A$9:$J$1281,10,0),0)</f>
        <v>-655.72</v>
      </c>
      <c r="L952" s="87">
        <f>-IFERROR(VLOOKUP(C952,IDC!$A$25:$H$1532,8,0),0)</f>
        <v>-405.6</v>
      </c>
      <c r="M952" s="122">
        <f t="shared" si="136"/>
        <v>67600</v>
      </c>
      <c r="N952"/>
      <c r="P952" s="35">
        <f t="shared" si="137"/>
        <v>-67600</v>
      </c>
      <c r="Q952" s="66">
        <f t="shared" si="138"/>
        <v>0</v>
      </c>
    </row>
    <row r="953" spans="1:17" hidden="1">
      <c r="A953" s="1" t="s">
        <v>1030</v>
      </c>
      <c r="B953" s="1" t="s">
        <v>15</v>
      </c>
      <c r="C953" s="91">
        <v>126180758335</v>
      </c>
      <c r="D953" s="3">
        <v>19522.88</v>
      </c>
      <c r="E953" s="3">
        <v>8513778.3300000001</v>
      </c>
      <c r="F953" s="35" t="s">
        <v>2750</v>
      </c>
      <c r="G953"/>
      <c r="H953"/>
      <c r="I953" s="27">
        <f>-IFERROR(VLOOKUP(C953,SIRCUPA!$A$21:$H$155,8,0),0)</f>
        <v>0</v>
      </c>
      <c r="J953" s="88">
        <f>-IFERROR(VLOOKUP(C953,SIRTAC!$A$16:$H$1288,8,0),0)</f>
        <v>-208</v>
      </c>
      <c r="K953" s="88">
        <f>-IFERROR(VLOOKUP(C953,Gastos!$A$9:$J$1281,10,0),0)</f>
        <v>-944.32</v>
      </c>
      <c r="L953" s="87">
        <f>-IFERROR(VLOOKUP(C953,IDC!$A$25:$H$1532,8,0),0)</f>
        <v>-124.8</v>
      </c>
      <c r="M953" s="122">
        <f t="shared" si="136"/>
        <v>20800</v>
      </c>
      <c r="N953"/>
      <c r="P953" s="35">
        <f t="shared" si="137"/>
        <v>-20800</v>
      </c>
      <c r="Q953" s="66">
        <f t="shared" si="138"/>
        <v>0</v>
      </c>
    </row>
    <row r="954" spans="1:17" hidden="1">
      <c r="A954" s="1" t="s">
        <v>1030</v>
      </c>
      <c r="B954" s="1" t="s">
        <v>15</v>
      </c>
      <c r="C954" s="91">
        <v>126736920096</v>
      </c>
      <c r="D954" s="3">
        <v>81338.67</v>
      </c>
      <c r="E954" s="3">
        <v>8595117</v>
      </c>
      <c r="F954" s="35" t="s">
        <v>2750</v>
      </c>
      <c r="G954"/>
      <c r="H954"/>
      <c r="I954" s="27">
        <f>-IFERROR(VLOOKUP(C954,SIRCUPA!$A$21:$H$155,8,0),0)</f>
        <v>0</v>
      </c>
      <c r="J954" s="88">
        <f>-IFERROR(VLOOKUP(C954,SIRTAC!$A$16:$H$1288,8,0),0)</f>
        <v>-861</v>
      </c>
      <c r="K954" s="88">
        <f>-IFERROR(VLOOKUP(C954,Gastos!$A$9:$J$1281,10,0),0)</f>
        <v>-3383.73</v>
      </c>
      <c r="L954" s="87">
        <f>-IFERROR(VLOOKUP(C954,IDC!$A$25:$H$1532,8,0),0)</f>
        <v>-516.6</v>
      </c>
      <c r="M954" s="122">
        <f t="shared" si="136"/>
        <v>86100</v>
      </c>
      <c r="N954"/>
      <c r="P954" s="35">
        <f t="shared" si="137"/>
        <v>-86100</v>
      </c>
      <c r="Q954" s="66">
        <f t="shared" si="138"/>
        <v>0</v>
      </c>
    </row>
    <row r="955" spans="1:17" hidden="1">
      <c r="A955" s="1" t="s">
        <v>1030</v>
      </c>
      <c r="B955" s="1" t="s">
        <v>15</v>
      </c>
      <c r="C955" s="91">
        <v>126737086952</v>
      </c>
      <c r="D955" s="3">
        <v>16425.5</v>
      </c>
      <c r="E955" s="3">
        <v>8611542.5</v>
      </c>
      <c r="F955" s="35" t="s">
        <v>2750</v>
      </c>
      <c r="G955"/>
      <c r="H955"/>
      <c r="I955" s="27">
        <f>-IFERROR(VLOOKUP(C955,SIRCUPA!$A$21:$H$155,8,0),0)</f>
        <v>0</v>
      </c>
      <c r="J955" s="88">
        <f>-IFERROR(VLOOKUP(C955,SIRTAC!$A$16:$H$1288,8,0),0)</f>
        <v>-175</v>
      </c>
      <c r="K955" s="88">
        <f>-IFERROR(VLOOKUP(C955,Gastos!$A$9:$J$1281,10,0),0)</f>
        <v>-794.5</v>
      </c>
      <c r="L955" s="87">
        <f>-IFERROR(VLOOKUP(C955,IDC!$A$25:$H$1532,8,0),0)</f>
        <v>-105</v>
      </c>
      <c r="M955" s="122">
        <f t="shared" si="136"/>
        <v>17500</v>
      </c>
      <c r="N955"/>
      <c r="P955" s="35">
        <f t="shared" si="137"/>
        <v>-17500</v>
      </c>
      <c r="Q955" s="66">
        <f t="shared" si="138"/>
        <v>0</v>
      </c>
    </row>
    <row r="956" spans="1:17" hidden="1">
      <c r="A956" s="1" t="s">
        <v>1030</v>
      </c>
      <c r="B956" s="1" t="s">
        <v>15</v>
      </c>
      <c r="C956" s="91">
        <v>126737129400</v>
      </c>
      <c r="D956" s="3">
        <v>9060.99</v>
      </c>
      <c r="E956" s="3">
        <v>8620603.4900000002</v>
      </c>
      <c r="F956" s="35" t="s">
        <v>2750</v>
      </c>
      <c r="G956"/>
      <c r="H956"/>
      <c r="I956" s="27">
        <f>-IFERROR(VLOOKUP(C956,SIRCUPA!$A$21:$H$155,8,0),0)</f>
        <v>0</v>
      </c>
      <c r="J956" s="88">
        <f>-IFERROR(VLOOKUP(C956,SIRTAC!$A$16:$H$1288,8,0),0)</f>
        <v>-93</v>
      </c>
      <c r="K956" s="88">
        <f>-IFERROR(VLOOKUP(C956,Gastos!$A$9:$J$1281,10,0),0)</f>
        <v>-90.21</v>
      </c>
      <c r="L956" s="87">
        <f>-IFERROR(VLOOKUP(C956,IDC!$A$25:$H$1532,8,0),0)</f>
        <v>-55.8</v>
      </c>
      <c r="M956" s="122">
        <f t="shared" si="136"/>
        <v>9299.9999999999982</v>
      </c>
      <c r="N956"/>
      <c r="P956" s="35">
        <f t="shared" si="137"/>
        <v>-9300</v>
      </c>
      <c r="Q956" s="66">
        <f t="shared" si="138"/>
        <v>0</v>
      </c>
    </row>
    <row r="957" spans="1:17" hidden="1">
      <c r="A957" s="1" t="s">
        <v>1030</v>
      </c>
      <c r="B957" s="1" t="s">
        <v>15</v>
      </c>
      <c r="C957" s="91">
        <v>126181139963</v>
      </c>
      <c r="D957" s="3">
        <v>12568.47</v>
      </c>
      <c r="E957" s="3">
        <v>8633171.9600000009</v>
      </c>
      <c r="F957" s="35" t="s">
        <v>2750</v>
      </c>
      <c r="G957"/>
      <c r="H957"/>
      <c r="I957" s="27">
        <f>-IFERROR(VLOOKUP(C957,SIRCUPA!$A$21:$H$155,8,0),0)</f>
        <v>0</v>
      </c>
      <c r="J957" s="88">
        <f>-IFERROR(VLOOKUP(C957,SIRTAC!$A$16:$H$1288,8,0),0)</f>
        <v>-129</v>
      </c>
      <c r="K957" s="88">
        <f>-IFERROR(VLOOKUP(C957,Gastos!$A$9:$J$1281,10,0),0)</f>
        <v>-125.13</v>
      </c>
      <c r="L957" s="87">
        <f>-IFERROR(VLOOKUP(C957,IDC!$A$25:$H$1532,8,0),0)</f>
        <v>-77.400000000000006</v>
      </c>
      <c r="M957" s="122">
        <f t="shared" si="136"/>
        <v>12899.999999999998</v>
      </c>
      <c r="N957"/>
      <c r="P957" s="35">
        <f t="shared" si="137"/>
        <v>-12900</v>
      </c>
      <c r="Q957" s="66">
        <f t="shared" si="138"/>
        <v>0</v>
      </c>
    </row>
    <row r="958" spans="1:17" hidden="1">
      <c r="A958" s="1" t="s">
        <v>1030</v>
      </c>
      <c r="B958" s="1" t="s">
        <v>15</v>
      </c>
      <c r="C958" s="91">
        <v>126181421567</v>
      </c>
      <c r="D958" s="3">
        <v>31859.61</v>
      </c>
      <c r="E958" s="3">
        <v>8665031.5700000003</v>
      </c>
      <c r="F958" s="35" t="s">
        <v>2750</v>
      </c>
      <c r="G958"/>
      <c r="H958"/>
      <c r="I958" s="27">
        <f>-IFERROR(VLOOKUP(C958,SIRCUPA!$A$21:$H$155,8,0),0)</f>
        <v>0</v>
      </c>
      <c r="J958" s="88">
        <f>-IFERROR(VLOOKUP(C958,SIRTAC!$A$16:$H$1288,8,0),0)</f>
        <v>-327</v>
      </c>
      <c r="K958" s="88">
        <f>-IFERROR(VLOOKUP(C958,Gastos!$A$9:$J$1281,10,0),0)</f>
        <v>-317.19</v>
      </c>
      <c r="L958" s="87">
        <f>-IFERROR(VLOOKUP(C958,IDC!$A$25:$H$1532,8,0),0)</f>
        <v>-196.2</v>
      </c>
      <c r="M958" s="122">
        <f t="shared" si="136"/>
        <v>32700</v>
      </c>
      <c r="N958"/>
      <c r="P958" s="35">
        <f t="shared" si="137"/>
        <v>-32699.999999999996</v>
      </c>
      <c r="Q958" s="66">
        <f t="shared" si="138"/>
        <v>0</v>
      </c>
    </row>
    <row r="959" spans="1:17" hidden="1">
      <c r="A959" s="1" t="s">
        <v>1030</v>
      </c>
      <c r="B959" s="1" t="s">
        <v>15</v>
      </c>
      <c r="C959" s="91">
        <v>126182042267</v>
      </c>
      <c r="D959" s="3">
        <v>21921.75</v>
      </c>
      <c r="E959" s="3">
        <v>8686953.3200000003</v>
      </c>
      <c r="F959" s="35" t="s">
        <v>2750</v>
      </c>
      <c r="G959"/>
      <c r="H959"/>
      <c r="I959" s="27">
        <f>-IFERROR(VLOOKUP(C959,SIRCUPA!$A$21:$H$155,8,0),0)</f>
        <v>0</v>
      </c>
      <c r="J959" s="88">
        <f>-IFERROR(VLOOKUP(C959,SIRTAC!$A$16:$H$1288,8,0),0)</f>
        <v>-225</v>
      </c>
      <c r="K959" s="88">
        <f>-IFERROR(VLOOKUP(C959,Gastos!$A$9:$J$1281,10,0),0)</f>
        <v>-218.25</v>
      </c>
      <c r="L959" s="87">
        <f>-IFERROR(VLOOKUP(C959,IDC!$A$25:$H$1532,8,0),0)</f>
        <v>-135</v>
      </c>
      <c r="M959" s="122">
        <f t="shared" si="136"/>
        <v>22500</v>
      </c>
      <c r="N959"/>
      <c r="P959" s="35">
        <f t="shared" si="137"/>
        <v>-22500</v>
      </c>
      <c r="Q959" s="66">
        <f t="shared" si="138"/>
        <v>0</v>
      </c>
    </row>
    <row r="960" spans="1:17" hidden="1">
      <c r="A960" s="1" t="s">
        <v>1030</v>
      </c>
      <c r="B960" s="1" t="s">
        <v>15</v>
      </c>
      <c r="C960" s="91">
        <v>126738333100</v>
      </c>
      <c r="D960" s="3">
        <v>34100.5</v>
      </c>
      <c r="E960" s="3">
        <v>8721053.8200000003</v>
      </c>
      <c r="F960" s="35" t="s">
        <v>2750</v>
      </c>
      <c r="G960"/>
      <c r="H960"/>
      <c r="I960" s="27">
        <f>-IFERROR(VLOOKUP(C960,SIRCUPA!$A$21:$H$155,8,0),0)</f>
        <v>0</v>
      </c>
      <c r="J960" s="88">
        <f>-IFERROR(VLOOKUP(C960,SIRTAC!$A$16:$H$1288,8,0),0)</f>
        <v>-350</v>
      </c>
      <c r="K960" s="88">
        <f>-IFERROR(VLOOKUP(C960,Gastos!$A$9:$J$1281,10,0),0)</f>
        <v>-339.5</v>
      </c>
      <c r="L960" s="87">
        <f>-IFERROR(VLOOKUP(C960,IDC!$A$25:$H$1532,8,0),0)</f>
        <v>-210</v>
      </c>
      <c r="M960" s="122">
        <f t="shared" si="136"/>
        <v>35000</v>
      </c>
      <c r="N960"/>
      <c r="P960" s="35">
        <f t="shared" si="137"/>
        <v>-35000</v>
      </c>
      <c r="Q960" s="66">
        <f t="shared" si="138"/>
        <v>0</v>
      </c>
    </row>
    <row r="961" spans="1:17" hidden="1">
      <c r="A961" s="1" t="s">
        <v>1030</v>
      </c>
      <c r="B961" s="1" t="s">
        <v>15</v>
      </c>
      <c r="C961" s="91">
        <v>126738441012</v>
      </c>
      <c r="D961" s="3">
        <v>13250.48</v>
      </c>
      <c r="E961" s="3">
        <v>8734304.3000000007</v>
      </c>
      <c r="F961" s="35" t="s">
        <v>2750</v>
      </c>
      <c r="G961"/>
      <c r="H961"/>
      <c r="I961" s="27">
        <f>-IFERROR(VLOOKUP(C961,SIRCUPA!$A$21:$H$155,8,0),0)</f>
        <v>0</v>
      </c>
      <c r="J961" s="88">
        <f>-IFERROR(VLOOKUP(C961,SIRTAC!$A$16:$H$1288,8,0),0)</f>
        <v>-136</v>
      </c>
      <c r="K961" s="88">
        <f>-IFERROR(VLOOKUP(C961,Gastos!$A$9:$J$1281,10,0),0)</f>
        <v>-131.91999999999999</v>
      </c>
      <c r="L961" s="87">
        <f>-IFERROR(VLOOKUP(C961,IDC!$A$25:$H$1532,8,0),0)</f>
        <v>-81.599999999999994</v>
      </c>
      <c r="M961" s="122">
        <f t="shared" si="136"/>
        <v>13600</v>
      </c>
      <c r="N961"/>
      <c r="P961" s="35">
        <f t="shared" si="137"/>
        <v>-13599.999999999998</v>
      </c>
      <c r="Q961" s="66">
        <f t="shared" si="138"/>
        <v>0</v>
      </c>
    </row>
    <row r="962" spans="1:17" hidden="1">
      <c r="A962" s="1" t="s">
        <v>1030</v>
      </c>
      <c r="B962" s="1" t="s">
        <v>15</v>
      </c>
      <c r="C962" s="91">
        <v>126738655450</v>
      </c>
      <c r="D962" s="3">
        <v>13250.48</v>
      </c>
      <c r="E962" s="3">
        <v>8747554.7799999993</v>
      </c>
      <c r="F962" s="35" t="s">
        <v>2750</v>
      </c>
      <c r="G962"/>
      <c r="H962"/>
      <c r="I962" s="27">
        <f>-IFERROR(VLOOKUP(C962,SIRCUPA!$A$21:$H$155,8,0),0)</f>
        <v>0</v>
      </c>
      <c r="J962" s="88">
        <f>-IFERROR(VLOOKUP(C962,SIRTAC!$A$16:$H$1288,8,0),0)</f>
        <v>-136</v>
      </c>
      <c r="K962" s="88">
        <f>-IFERROR(VLOOKUP(C962,Gastos!$A$9:$J$1281,10,0),0)</f>
        <v>-131.91999999999999</v>
      </c>
      <c r="L962" s="87">
        <f>-IFERROR(VLOOKUP(C962,IDC!$A$25:$H$1532,8,0),0)</f>
        <v>-81.599999999999994</v>
      </c>
      <c r="M962" s="122">
        <f t="shared" si="136"/>
        <v>13600</v>
      </c>
      <c r="N962"/>
      <c r="P962" s="35">
        <f t="shared" si="137"/>
        <v>-13599.999999999998</v>
      </c>
      <c r="Q962" s="66">
        <f t="shared" si="138"/>
        <v>0</v>
      </c>
    </row>
    <row r="963" spans="1:17" hidden="1">
      <c r="A963" s="1" t="s">
        <v>1030</v>
      </c>
      <c r="B963" s="1" t="s">
        <v>1027</v>
      </c>
      <c r="C963" s="91">
        <v>126182237529</v>
      </c>
      <c r="D963" s="2">
        <v>665.72</v>
      </c>
      <c r="E963" s="3">
        <v>8748220.5</v>
      </c>
      <c r="F963" s="2" t="s">
        <v>2750</v>
      </c>
      <c r="G963"/>
      <c r="H963"/>
      <c r="I963" s="27">
        <f>-IFERROR(VLOOKUP(C963,SIRCUPA!$A$21:$H$155,8,0),0)</f>
        <v>-10.199999999999999</v>
      </c>
      <c r="J963" s="88">
        <f>-IFERROR(VLOOKUP(C963,SIRTAC!$A$16:$H$1288,8,0),0)</f>
        <v>0</v>
      </c>
      <c r="K963" s="88">
        <f>-IFERROR(VLOOKUP(C963,Gastos!$A$9:$J$1281,10,0),0)</f>
        <v>0</v>
      </c>
      <c r="L963" s="87">
        <f>-IFERROR(VLOOKUP(C963,IDC!$A$25:$H$1532,8,0),0)</f>
        <v>-4.08</v>
      </c>
      <c r="M963" s="122">
        <f t="shared" si="136"/>
        <v>680.00000000000011</v>
      </c>
      <c r="N963"/>
      <c r="P963" s="35">
        <f t="shared" si="137"/>
        <v>-680</v>
      </c>
      <c r="Q963" s="66">
        <f t="shared" si="138"/>
        <v>0</v>
      </c>
    </row>
    <row r="964" spans="1:17" hidden="1">
      <c r="A964" s="1" t="s">
        <v>1030</v>
      </c>
      <c r="B964" s="1" t="s">
        <v>15</v>
      </c>
      <c r="C964" s="91">
        <v>126738940502</v>
      </c>
      <c r="D964" s="3">
        <v>3799.77</v>
      </c>
      <c r="E964" s="3">
        <v>8752020.2699999996</v>
      </c>
      <c r="F964" s="35" t="s">
        <v>2750</v>
      </c>
      <c r="G964"/>
      <c r="H964"/>
      <c r="I964" s="27">
        <f>-IFERROR(VLOOKUP(C964,SIRCUPA!$A$21:$H$155,8,0),0)</f>
        <v>0</v>
      </c>
      <c r="J964" s="88">
        <f>-IFERROR(VLOOKUP(C964,SIRTAC!$A$16:$H$1288,8,0),0)</f>
        <v>-39</v>
      </c>
      <c r="K964" s="88">
        <f>-IFERROR(VLOOKUP(C964,Gastos!$A$9:$J$1281,10,0),0)</f>
        <v>-37.83</v>
      </c>
      <c r="L964" s="87">
        <f>-IFERROR(VLOOKUP(C964,IDC!$A$25:$H$1532,8,0),0)</f>
        <v>-23.4</v>
      </c>
      <c r="M964" s="122">
        <f t="shared" si="136"/>
        <v>3900</v>
      </c>
      <c r="N964"/>
      <c r="P964" s="35">
        <f t="shared" si="137"/>
        <v>-3899.9999999999995</v>
      </c>
      <c r="Q964" s="66">
        <f t="shared" si="138"/>
        <v>0</v>
      </c>
    </row>
    <row r="965" spans="1:17" hidden="1">
      <c r="A965" s="1" t="s">
        <v>1030</v>
      </c>
      <c r="B965" s="1" t="s">
        <v>15</v>
      </c>
      <c r="C965" s="91">
        <v>126182746591</v>
      </c>
      <c r="D965" s="3">
        <v>23285.77</v>
      </c>
      <c r="E965" s="3">
        <v>8775306.0399999991</v>
      </c>
      <c r="F965" s="35" t="s">
        <v>2750</v>
      </c>
      <c r="G965"/>
      <c r="H965"/>
      <c r="I965" s="27">
        <f>-IFERROR(VLOOKUP(C965,SIRCUPA!$A$21:$H$155,8,0),0)</f>
        <v>0</v>
      </c>
      <c r="J965" s="88">
        <f>-IFERROR(VLOOKUP(C965,SIRTAC!$A$16:$H$1288,8,0),0)</f>
        <v>-239</v>
      </c>
      <c r="K965" s="88">
        <f>-IFERROR(VLOOKUP(C965,Gastos!$A$9:$J$1281,10,0),0)</f>
        <v>-231.83</v>
      </c>
      <c r="L965" s="87">
        <f>-IFERROR(VLOOKUP(C965,IDC!$A$25:$H$1532,8,0),0)</f>
        <v>-143.4</v>
      </c>
      <c r="M965" s="122">
        <f t="shared" si="136"/>
        <v>23900.000000000004</v>
      </c>
      <c r="N965"/>
      <c r="P965" s="35">
        <f t="shared" si="137"/>
        <v>-23900</v>
      </c>
      <c r="Q965" s="66">
        <f t="shared" si="138"/>
        <v>0</v>
      </c>
    </row>
    <row r="966" spans="1:17" hidden="1">
      <c r="A966" s="1" t="s">
        <v>1030</v>
      </c>
      <c r="B966" s="1" t="s">
        <v>15</v>
      </c>
      <c r="C966" s="91">
        <v>126182861281</v>
      </c>
      <c r="D966" s="3">
        <v>3799.77</v>
      </c>
      <c r="E966" s="3">
        <v>8779105.8100000005</v>
      </c>
      <c r="F966" s="35" t="s">
        <v>2750</v>
      </c>
      <c r="G966"/>
      <c r="H966"/>
      <c r="I966" s="27">
        <f>-IFERROR(VLOOKUP(C966,SIRCUPA!$A$21:$H$155,8,0),0)</f>
        <v>0</v>
      </c>
      <c r="J966" s="88">
        <f>-IFERROR(VLOOKUP(C966,SIRTAC!$A$16:$H$1288,8,0),0)</f>
        <v>-39</v>
      </c>
      <c r="K966" s="88">
        <f>-IFERROR(VLOOKUP(C966,Gastos!$A$9:$J$1281,10,0),0)</f>
        <v>-37.83</v>
      </c>
      <c r="L966" s="87">
        <f>-IFERROR(VLOOKUP(C966,IDC!$A$25:$H$1532,8,0),0)</f>
        <v>-23.4</v>
      </c>
      <c r="M966" s="122">
        <f t="shared" si="136"/>
        <v>3900</v>
      </c>
      <c r="N966"/>
      <c r="P966" s="35">
        <f t="shared" si="137"/>
        <v>-3899.9999999999995</v>
      </c>
      <c r="Q966" s="66">
        <f t="shared" si="138"/>
        <v>0</v>
      </c>
    </row>
    <row r="967" spans="1:17" hidden="1">
      <c r="A967" s="1" t="s">
        <v>1030</v>
      </c>
      <c r="B967" s="1" t="s">
        <v>15</v>
      </c>
      <c r="C967" s="91">
        <v>126183222931</v>
      </c>
      <c r="D967" s="3">
        <v>7989.26</v>
      </c>
      <c r="E967" s="3">
        <v>8787095.0700000003</v>
      </c>
      <c r="F967" s="35" t="s">
        <v>2750</v>
      </c>
      <c r="G967"/>
      <c r="H967"/>
      <c r="I967" s="27">
        <f>-IFERROR(VLOOKUP(C967,SIRCUPA!$A$21:$H$155,8,0),0)</f>
        <v>0</v>
      </c>
      <c r="J967" s="88">
        <f>-IFERROR(VLOOKUP(C967,SIRTAC!$A$16:$H$1288,8,0),0)</f>
        <v>-82</v>
      </c>
      <c r="K967" s="88">
        <f>-IFERROR(VLOOKUP(C967,Gastos!$A$9:$J$1281,10,0),0)</f>
        <v>-79.540000000000006</v>
      </c>
      <c r="L967" s="87">
        <f>-IFERROR(VLOOKUP(C967,IDC!$A$25:$H$1532,8,0),0)</f>
        <v>-49.2</v>
      </c>
      <c r="M967" s="122">
        <f t="shared" si="136"/>
        <v>8200</v>
      </c>
      <c r="N967"/>
      <c r="P967" s="35">
        <f t="shared" si="137"/>
        <v>-8200</v>
      </c>
      <c r="Q967" s="66">
        <f t="shared" si="138"/>
        <v>0</v>
      </c>
    </row>
    <row r="968" spans="1:17" hidden="1">
      <c r="A968" s="1" t="s">
        <v>1030</v>
      </c>
      <c r="B968" s="1" t="s">
        <v>15</v>
      </c>
      <c r="C968" s="91">
        <v>126183344315</v>
      </c>
      <c r="D968" s="3">
        <v>61186.04</v>
      </c>
      <c r="E968" s="3">
        <v>8848281.1099999994</v>
      </c>
      <c r="F968" s="35" t="s">
        <v>2750</v>
      </c>
      <c r="G968"/>
      <c r="H968"/>
      <c r="I968" s="27">
        <f>-IFERROR(VLOOKUP(C968,SIRCUPA!$A$21:$H$155,8,0),0)</f>
        <v>0</v>
      </c>
      <c r="J968" s="88">
        <f>-IFERROR(VLOOKUP(C968,SIRTAC!$A$16:$H$1288,8,0),0)</f>
        <v>-628</v>
      </c>
      <c r="K968" s="88">
        <f>-IFERROR(VLOOKUP(C968,Gastos!$A$9:$J$1281,10,0),0)</f>
        <v>-609.16</v>
      </c>
      <c r="L968" s="87">
        <f>-IFERROR(VLOOKUP(C968,IDC!$A$25:$H$1532,8,0),0)</f>
        <v>-376.8</v>
      </c>
      <c r="M968" s="122">
        <f t="shared" si="136"/>
        <v>62800.000000000007</v>
      </c>
      <c r="N968"/>
      <c r="P968" s="35">
        <f t="shared" si="137"/>
        <v>-62800</v>
      </c>
      <c r="Q968" s="66">
        <f t="shared" si="138"/>
        <v>0</v>
      </c>
    </row>
    <row r="969" spans="1:17" hidden="1">
      <c r="A969" s="1" t="s">
        <v>1030</v>
      </c>
      <c r="B969" s="1" t="s">
        <v>15</v>
      </c>
      <c r="C969" s="91">
        <v>126183314795</v>
      </c>
      <c r="D969" s="3">
        <v>9060.99</v>
      </c>
      <c r="E969" s="3">
        <v>8857342.0999999996</v>
      </c>
      <c r="F969" s="35" t="s">
        <v>2750</v>
      </c>
      <c r="G969"/>
      <c r="H969"/>
      <c r="I969" s="27">
        <f>-IFERROR(VLOOKUP(C969,SIRCUPA!$A$21:$H$155,8,0),0)</f>
        <v>0</v>
      </c>
      <c r="J969" s="88">
        <f>-IFERROR(VLOOKUP(C969,SIRTAC!$A$16:$H$1288,8,0),0)</f>
        <v>-93</v>
      </c>
      <c r="K969" s="88">
        <f>-IFERROR(VLOOKUP(C969,Gastos!$A$9:$J$1281,10,0),0)</f>
        <v>-90.21</v>
      </c>
      <c r="L969" s="87">
        <f>-IFERROR(VLOOKUP(C969,IDC!$A$25:$H$1532,8,0),0)</f>
        <v>-55.8</v>
      </c>
      <c r="M969" s="122">
        <f t="shared" si="136"/>
        <v>9299.9999999999982</v>
      </c>
      <c r="N969"/>
      <c r="P969" s="35">
        <f t="shared" si="137"/>
        <v>-9300</v>
      </c>
      <c r="Q969" s="66">
        <f t="shared" si="138"/>
        <v>0</v>
      </c>
    </row>
    <row r="970" spans="1:17" hidden="1">
      <c r="A970" s="1" t="s">
        <v>1030</v>
      </c>
      <c r="B970" s="1" t="s">
        <v>15</v>
      </c>
      <c r="C970" s="91">
        <v>126183517159</v>
      </c>
      <c r="D970" s="3">
        <v>4189.49</v>
      </c>
      <c r="E970" s="3">
        <v>8861531.5899999999</v>
      </c>
      <c r="F970" s="35" t="s">
        <v>2750</v>
      </c>
      <c r="G970"/>
      <c r="H970"/>
      <c r="I970" s="27">
        <f>-IFERROR(VLOOKUP(C970,SIRCUPA!$A$21:$H$155,8,0),0)</f>
        <v>0</v>
      </c>
      <c r="J970" s="88">
        <f>-IFERROR(VLOOKUP(C970,SIRTAC!$A$16:$H$1288,8,0),0)</f>
        <v>-43</v>
      </c>
      <c r="K970" s="88">
        <f>-IFERROR(VLOOKUP(C970,Gastos!$A$9:$J$1281,10,0),0)</f>
        <v>-41.71</v>
      </c>
      <c r="L970" s="87">
        <f>-IFERROR(VLOOKUP(C970,IDC!$A$25:$H$1532,8,0),0)</f>
        <v>-25.8</v>
      </c>
      <c r="M970" s="122">
        <f t="shared" si="136"/>
        <v>4300</v>
      </c>
      <c r="N970"/>
      <c r="P970" s="35">
        <f t="shared" si="137"/>
        <v>-4300</v>
      </c>
      <c r="Q970" s="66">
        <f t="shared" si="138"/>
        <v>0</v>
      </c>
    </row>
    <row r="971" spans="1:17" hidden="1">
      <c r="A971" s="1" t="s">
        <v>1030</v>
      </c>
      <c r="B971" s="1" t="s">
        <v>15</v>
      </c>
      <c r="C971" s="91">
        <v>126740106866</v>
      </c>
      <c r="D971" s="3">
        <v>4871.5</v>
      </c>
      <c r="E971" s="3">
        <v>8866403.0899999999</v>
      </c>
      <c r="F971" s="35" t="s">
        <v>2750</v>
      </c>
      <c r="G971"/>
      <c r="H971"/>
      <c r="I971" s="27">
        <f>-IFERROR(VLOOKUP(C971,SIRCUPA!$A$21:$H$155,8,0),0)</f>
        <v>0</v>
      </c>
      <c r="J971" s="88">
        <f>-IFERROR(VLOOKUP(C971,SIRTAC!$A$16:$H$1288,8,0),0)</f>
        <v>-50</v>
      </c>
      <c r="K971" s="88">
        <f>-IFERROR(VLOOKUP(C971,Gastos!$A$9:$J$1281,10,0),0)</f>
        <v>-48.5</v>
      </c>
      <c r="L971" s="87">
        <f>-IFERROR(VLOOKUP(C971,IDC!$A$25:$H$1532,8,0),0)</f>
        <v>-30</v>
      </c>
      <c r="M971" s="122">
        <f t="shared" si="136"/>
        <v>5000</v>
      </c>
      <c r="N971"/>
      <c r="P971" s="35">
        <f t="shared" si="137"/>
        <v>-5000</v>
      </c>
      <c r="Q971" s="66">
        <f t="shared" si="138"/>
        <v>0</v>
      </c>
    </row>
    <row r="972" spans="1:17" hidden="1">
      <c r="A972" s="1" t="s">
        <v>1030</v>
      </c>
      <c r="B972" s="1" t="s">
        <v>15</v>
      </c>
      <c r="C972" s="91">
        <v>126183601699</v>
      </c>
      <c r="D972" s="3">
        <v>3177.65</v>
      </c>
      <c r="E972" s="3">
        <v>8869580.7400000002</v>
      </c>
      <c r="F972" s="35" t="s">
        <v>2750</v>
      </c>
      <c r="G972"/>
      <c r="H972"/>
      <c r="I972" s="27">
        <f>-IFERROR(VLOOKUP(C972,SIRCUPA!$A$21:$H$155,8,0),0)</f>
        <v>0</v>
      </c>
      <c r="J972" s="88">
        <f>-IFERROR(VLOOKUP(C972,SIRTAC!$A$16:$H$1288,8,0),0)</f>
        <v>-35</v>
      </c>
      <c r="K972" s="88">
        <f>-IFERROR(VLOOKUP(C972,Gastos!$A$9:$J$1281,10,0),0)</f>
        <v>-266.35000000000002</v>
      </c>
      <c r="L972" s="87">
        <f>-IFERROR(VLOOKUP(C972,IDC!$A$25:$H$1532,8,0),0)</f>
        <v>-21</v>
      </c>
      <c r="M972" s="122">
        <f t="shared" si="136"/>
        <v>3500</v>
      </c>
      <c r="N972"/>
      <c r="P972" s="35">
        <f t="shared" si="137"/>
        <v>-3500</v>
      </c>
      <c r="Q972" s="66">
        <f t="shared" si="138"/>
        <v>0</v>
      </c>
    </row>
    <row r="973" spans="1:17" hidden="1">
      <c r="A973" s="1" t="s">
        <v>1030</v>
      </c>
      <c r="B973" s="1" t="s">
        <v>15</v>
      </c>
      <c r="C973" s="91">
        <v>126183676019</v>
      </c>
      <c r="D973" s="3">
        <v>12568.47</v>
      </c>
      <c r="E973" s="3">
        <v>8882149.2100000009</v>
      </c>
      <c r="F973" s="35" t="s">
        <v>2750</v>
      </c>
      <c r="G973"/>
      <c r="H973"/>
      <c r="I973" s="27">
        <f>-IFERROR(VLOOKUP(C973,SIRCUPA!$A$21:$H$155,8,0),0)</f>
        <v>0</v>
      </c>
      <c r="J973" s="88">
        <f>-IFERROR(VLOOKUP(C973,SIRTAC!$A$16:$H$1288,8,0),0)</f>
        <v>-129</v>
      </c>
      <c r="K973" s="88">
        <f>-IFERROR(VLOOKUP(C973,Gastos!$A$9:$J$1281,10,0),0)</f>
        <v>-125.13</v>
      </c>
      <c r="L973" s="87">
        <f>-IFERROR(VLOOKUP(C973,IDC!$A$25:$H$1532,8,0),0)</f>
        <v>-77.400000000000006</v>
      </c>
      <c r="M973" s="122">
        <f t="shared" si="136"/>
        <v>12899.999999999998</v>
      </c>
      <c r="N973"/>
      <c r="P973" s="35">
        <f t="shared" si="137"/>
        <v>-12900</v>
      </c>
      <c r="Q973" s="66">
        <f t="shared" si="138"/>
        <v>0</v>
      </c>
    </row>
    <row r="974" spans="1:17" hidden="1">
      <c r="A974" s="1" t="s">
        <v>1030</v>
      </c>
      <c r="B974" s="1" t="s">
        <v>15</v>
      </c>
      <c r="C974" s="91">
        <v>126740392456</v>
      </c>
      <c r="D974" s="3">
        <v>8184.12</v>
      </c>
      <c r="E974" s="3">
        <v>8890333.3300000001</v>
      </c>
      <c r="F974" s="35" t="s">
        <v>2750</v>
      </c>
      <c r="G974"/>
      <c r="H974"/>
      <c r="I974" s="27">
        <f>-IFERROR(VLOOKUP(C974,SIRCUPA!$A$21:$H$155,8,0),0)</f>
        <v>0</v>
      </c>
      <c r="J974" s="88">
        <f>-IFERROR(VLOOKUP(C974,SIRTAC!$A$16:$H$1288,8,0),0)</f>
        <v>-84</v>
      </c>
      <c r="K974" s="88">
        <f>-IFERROR(VLOOKUP(C974,Gastos!$A$9:$J$1281,10,0),0)</f>
        <v>-81.48</v>
      </c>
      <c r="L974" s="87">
        <f>-IFERROR(VLOOKUP(C974,IDC!$A$25:$H$1532,8,0),0)</f>
        <v>-50.4</v>
      </c>
      <c r="M974" s="122">
        <f t="shared" si="136"/>
        <v>8399.9999999999982</v>
      </c>
      <c r="N974"/>
      <c r="P974" s="35">
        <f t="shared" si="137"/>
        <v>-8400</v>
      </c>
      <c r="Q974" s="66">
        <f t="shared" si="138"/>
        <v>0</v>
      </c>
    </row>
    <row r="975" spans="1:17" hidden="1">
      <c r="A975" s="1" t="s">
        <v>1030</v>
      </c>
      <c r="B975" s="1" t="s">
        <v>15</v>
      </c>
      <c r="C975" s="91">
        <v>126740494230</v>
      </c>
      <c r="D975" s="3">
        <v>5350.02</v>
      </c>
      <c r="E975" s="3">
        <v>8895683.3499999996</v>
      </c>
      <c r="F975" s="35" t="s">
        <v>2750</v>
      </c>
      <c r="G975"/>
      <c r="H975"/>
      <c r="I975" s="27">
        <f>-IFERROR(VLOOKUP(C975,SIRCUPA!$A$21:$H$155,8,0),0)</f>
        <v>0</v>
      </c>
      <c r="J975" s="88">
        <f>-IFERROR(VLOOKUP(C975,SIRTAC!$A$16:$H$1288,8,0),0)</f>
        <v>-57</v>
      </c>
      <c r="K975" s="88">
        <f>-IFERROR(VLOOKUP(C975,Gastos!$A$9:$J$1281,10,0),0)</f>
        <v>-258.77999999999997</v>
      </c>
      <c r="L975" s="87">
        <f>-IFERROR(VLOOKUP(C975,IDC!$A$25:$H$1532,8,0),0)</f>
        <v>-34.200000000000003</v>
      </c>
      <c r="M975" s="122">
        <f t="shared" si="136"/>
        <v>5700</v>
      </c>
      <c r="N975"/>
      <c r="P975" s="35">
        <f t="shared" si="137"/>
        <v>-5700</v>
      </c>
      <c r="Q975" s="66">
        <f t="shared" si="138"/>
        <v>0</v>
      </c>
    </row>
    <row r="976" spans="1:17" hidden="1">
      <c r="A976" s="35" t="s">
        <v>1030</v>
      </c>
      <c r="B976" s="35" t="s">
        <v>15</v>
      </c>
      <c r="C976" s="91">
        <v>126740171940</v>
      </c>
      <c r="D976" s="3">
        <v>4871.5</v>
      </c>
      <c r="E976" s="3">
        <v>8900554.8499999996</v>
      </c>
      <c r="F976" s="35" t="s">
        <v>2750</v>
      </c>
      <c r="G976" s="35"/>
      <c r="H976" s="35"/>
      <c r="I976" s="27">
        <f>-IFERROR(VLOOKUP(C976,SIRCUPA!$A$21:$H$155,8,0),0)</f>
        <v>0</v>
      </c>
      <c r="J976" s="88">
        <f>-IFERROR(VLOOKUP(C976,SIRTAC!$A$16:$H$1288,8,0),0)</f>
        <v>-50</v>
      </c>
      <c r="K976" s="88">
        <f>-IFERROR(VLOOKUP(C976,Gastos!$A$9:$J$1281,10,0),0)</f>
        <v>-48.5</v>
      </c>
      <c r="L976" s="87">
        <f>-IFERROR(VLOOKUP(C976,IDC!$A$25:$H$1532,8,0),0)</f>
        <v>-30</v>
      </c>
      <c r="M976" s="122">
        <f t="shared" si="136"/>
        <v>5000</v>
      </c>
      <c r="N976" s="35"/>
      <c r="O976" s="35"/>
      <c r="P976" s="35">
        <f t="shared" si="137"/>
        <v>-5000</v>
      </c>
      <c r="Q976" s="66">
        <f t="shared" si="138"/>
        <v>0</v>
      </c>
    </row>
    <row r="977" spans="1:18" hidden="1">
      <c r="A977" s="35" t="s">
        <v>1030</v>
      </c>
      <c r="B977" s="35" t="s">
        <v>15</v>
      </c>
      <c r="C977" s="91">
        <v>126184382547</v>
      </c>
      <c r="D977" s="3">
        <v>51053.32</v>
      </c>
      <c r="E977" s="3">
        <v>8951608.1699999999</v>
      </c>
      <c r="F977" s="35" t="s">
        <v>2750</v>
      </c>
      <c r="G977" s="35"/>
      <c r="H977" s="35"/>
      <c r="I977" s="27">
        <f>-IFERROR(VLOOKUP(C977,SIRCUPA!$A$21:$H$155,8,0),0)</f>
        <v>0</v>
      </c>
      <c r="J977" s="88">
        <f>-IFERROR(VLOOKUP(C977,SIRTAC!$A$16:$H$1288,8,0),0)</f>
        <v>-524</v>
      </c>
      <c r="K977" s="88">
        <f>-IFERROR(VLOOKUP(C977,Gastos!$A$9:$J$1281,10,0),0)</f>
        <v>-508.28</v>
      </c>
      <c r="L977" s="87">
        <f>-IFERROR(VLOOKUP(C977,IDC!$A$25:$H$1532,8,0),0)</f>
        <v>-314.39999999999998</v>
      </c>
      <c r="M977" s="122">
        <f t="shared" si="136"/>
        <v>52400</v>
      </c>
      <c r="N977" s="35"/>
      <c r="O977" s="35"/>
      <c r="P977" s="35">
        <f t="shared" si="137"/>
        <v>-52399.999999999993</v>
      </c>
      <c r="Q977" s="66">
        <f t="shared" si="138"/>
        <v>0</v>
      </c>
    </row>
    <row r="978" spans="1:18" s="59" customFormat="1" hidden="1">
      <c r="A978" s="35" t="s">
        <v>1030</v>
      </c>
      <c r="B978" s="35" t="s">
        <v>15</v>
      </c>
      <c r="C978" s="91">
        <v>126740843732</v>
      </c>
      <c r="D978" s="3">
        <v>9353.2800000000007</v>
      </c>
      <c r="E978" s="3">
        <v>8960961.4499999993</v>
      </c>
      <c r="F978" s="35" t="s">
        <v>2750</v>
      </c>
      <c r="G978" s="35"/>
      <c r="H978" s="35"/>
      <c r="I978" s="27">
        <f>-IFERROR(VLOOKUP(C978,SIRCUPA!$A$21:$H$155,8,0),0)</f>
        <v>0</v>
      </c>
      <c r="J978" s="88">
        <f>-IFERROR(VLOOKUP(C978,SIRTAC!$A$16:$H$1288,8,0),0)</f>
        <v>-96</v>
      </c>
      <c r="K978" s="88">
        <f>-IFERROR(VLOOKUP(C978,Gastos!$A$9:$J$1281,10,0),0)</f>
        <v>-93.12</v>
      </c>
      <c r="L978" s="87">
        <f>-IFERROR(VLOOKUP(C978,IDC!$A$25:$H$1532,8,0),0)</f>
        <v>-57.6</v>
      </c>
      <c r="M978" s="122">
        <f t="shared" si="136"/>
        <v>9600.0000000000018</v>
      </c>
      <c r="N978" s="35"/>
      <c r="O978" s="35"/>
      <c r="P978" s="35">
        <f t="shared" si="137"/>
        <v>-9600</v>
      </c>
      <c r="Q978" s="66">
        <f t="shared" si="138"/>
        <v>0</v>
      </c>
    </row>
    <row r="979" spans="1:18" s="59" customFormat="1" hidden="1">
      <c r="A979" s="35" t="s">
        <v>1030</v>
      </c>
      <c r="B979" s="35" t="s">
        <v>15</v>
      </c>
      <c r="C979" s="91">
        <v>126741631900</v>
      </c>
      <c r="D979" s="3">
        <v>11983.89</v>
      </c>
      <c r="E979" s="3">
        <v>8972945.3399999999</v>
      </c>
      <c r="F979" s="35" t="s">
        <v>2750</v>
      </c>
      <c r="G979" s="35"/>
      <c r="H979" s="35"/>
      <c r="I979" s="27">
        <f>-IFERROR(VLOOKUP(C979,SIRCUPA!$A$21:$H$155,8,0),0)</f>
        <v>0</v>
      </c>
      <c r="J979" s="88">
        <f>-IFERROR(VLOOKUP(C979,SIRTAC!$A$16:$H$1288,8,0),0)</f>
        <v>-123</v>
      </c>
      <c r="K979" s="88">
        <f>-IFERROR(VLOOKUP(C979,Gastos!$A$9:$J$1281,10,0),0)</f>
        <v>-119.31</v>
      </c>
      <c r="L979" s="87">
        <f>-IFERROR(VLOOKUP(C979,IDC!$A$25:$H$1532,8,0),0)</f>
        <v>-73.8</v>
      </c>
      <c r="M979" s="122">
        <f t="shared" si="136"/>
        <v>12299.999999999998</v>
      </c>
      <c r="N979" s="35"/>
      <c r="O979" s="35"/>
      <c r="P979" s="35">
        <f t="shared" si="137"/>
        <v>-12300</v>
      </c>
      <c r="Q979" s="66">
        <f t="shared" si="138"/>
        <v>0</v>
      </c>
    </row>
    <row r="980" spans="1:18" s="59" customFormat="1" hidden="1">
      <c r="A980" s="35" t="s">
        <v>1030</v>
      </c>
      <c r="B980" s="35" t="s">
        <v>15</v>
      </c>
      <c r="C980" s="91">
        <v>126185585139</v>
      </c>
      <c r="D980" s="3">
        <v>23090.91</v>
      </c>
      <c r="E980" s="3">
        <v>8996036.25</v>
      </c>
      <c r="F980" s="35" t="s">
        <v>2750</v>
      </c>
      <c r="G980" s="35"/>
      <c r="H980" s="35"/>
      <c r="I980" s="27">
        <f>-IFERROR(VLOOKUP(C980,SIRCUPA!$A$21:$H$155,8,0),0)</f>
        <v>0</v>
      </c>
      <c r="J980" s="88">
        <f>-IFERROR(VLOOKUP(C980,SIRTAC!$A$16:$H$1288,8,0),0)</f>
        <v>-237</v>
      </c>
      <c r="K980" s="88">
        <f>-IFERROR(VLOOKUP(C980,Gastos!$A$9:$J$1281,10,0),0)</f>
        <v>-229.89</v>
      </c>
      <c r="L980" s="87">
        <f>-IFERROR(VLOOKUP(C980,IDC!$A$25:$H$1532,8,0),0)</f>
        <v>-142.19999999999999</v>
      </c>
      <c r="M980" s="122">
        <f t="shared" si="136"/>
        <v>23700</v>
      </c>
      <c r="N980" s="35"/>
      <c r="O980" s="35"/>
      <c r="P980" s="35">
        <f t="shared" si="137"/>
        <v>-23699.999999999996</v>
      </c>
      <c r="Q980" s="66">
        <f t="shared" si="138"/>
        <v>0</v>
      </c>
    </row>
    <row r="981" spans="1:18" s="59" customFormat="1" hidden="1">
      <c r="A981" s="35" t="s">
        <v>1030</v>
      </c>
      <c r="B981" s="35" t="s">
        <v>15</v>
      </c>
      <c r="C981" s="91">
        <v>126185692955</v>
      </c>
      <c r="D981" s="3">
        <v>16368.24</v>
      </c>
      <c r="E981" s="3">
        <v>9012404.4900000002</v>
      </c>
      <c r="F981" s="35" t="s">
        <v>2750</v>
      </c>
      <c r="G981" s="35"/>
      <c r="H981" s="35"/>
      <c r="I981" s="27">
        <f>-IFERROR(VLOOKUP(C981,SIRCUPA!$A$21:$H$155,8,0),0)</f>
        <v>0</v>
      </c>
      <c r="J981" s="88">
        <f>-IFERROR(VLOOKUP(C981,SIRTAC!$A$16:$H$1288,8,0),0)</f>
        <v>-168</v>
      </c>
      <c r="K981" s="88">
        <f>-IFERROR(VLOOKUP(C981,Gastos!$A$9:$J$1281,10,0),0)</f>
        <v>-162.96</v>
      </c>
      <c r="L981" s="87">
        <f>-IFERROR(VLOOKUP(C981,IDC!$A$25:$H$1532,8,0),0)</f>
        <v>-100.8</v>
      </c>
      <c r="M981" s="122">
        <f t="shared" si="136"/>
        <v>16799.999999999996</v>
      </c>
      <c r="N981" s="35"/>
      <c r="O981" s="35"/>
      <c r="P981" s="35">
        <f t="shared" si="137"/>
        <v>-16800</v>
      </c>
      <c r="Q981" s="66">
        <f t="shared" si="138"/>
        <v>0</v>
      </c>
    </row>
    <row r="982" spans="1:18" s="59" customFormat="1" hidden="1">
      <c r="A982" s="35" t="s">
        <v>1030</v>
      </c>
      <c r="B982" s="35" t="s">
        <v>15</v>
      </c>
      <c r="C982" s="91">
        <v>126185509995</v>
      </c>
      <c r="D982" s="3">
        <v>22408.9</v>
      </c>
      <c r="E982" s="3">
        <v>9034813.3900000006</v>
      </c>
      <c r="F982" s="35" t="s">
        <v>2750</v>
      </c>
      <c r="G982" s="35"/>
      <c r="H982" s="35"/>
      <c r="I982" s="27">
        <f>-IFERROR(VLOOKUP(C982,SIRCUPA!$A$21:$H$155,8,0),0)</f>
        <v>0</v>
      </c>
      <c r="J982" s="88">
        <f>-IFERROR(VLOOKUP(C982,SIRTAC!$A$16:$H$1288,8,0),0)</f>
        <v>-230</v>
      </c>
      <c r="K982" s="88">
        <f>-IFERROR(VLOOKUP(C982,Gastos!$A$9:$J$1281,10,0),0)</f>
        <v>-223.1</v>
      </c>
      <c r="L982" s="87">
        <f>-IFERROR(VLOOKUP(C982,IDC!$A$25:$H$1532,8,0),0)</f>
        <v>-138</v>
      </c>
      <c r="M982" s="122">
        <f t="shared" si="136"/>
        <v>23000</v>
      </c>
      <c r="N982" s="35"/>
      <c r="O982" s="35"/>
      <c r="P982" s="35">
        <f t="shared" si="137"/>
        <v>-23000</v>
      </c>
      <c r="Q982" s="66">
        <f t="shared" si="138"/>
        <v>0</v>
      </c>
    </row>
    <row r="983" spans="1:18" s="59" customFormat="1" hidden="1">
      <c r="A983" s="35" t="s">
        <v>1030</v>
      </c>
      <c r="B983" s="35" t="s">
        <v>15</v>
      </c>
      <c r="C983" s="91">
        <v>126185693425</v>
      </c>
      <c r="D983" s="3">
        <v>44915.23</v>
      </c>
      <c r="E983" s="3">
        <v>9079728.6199999992</v>
      </c>
      <c r="F983" s="35" t="s">
        <v>2750</v>
      </c>
      <c r="G983" s="35"/>
      <c r="H983" s="35"/>
      <c r="I983" s="27">
        <f>-IFERROR(VLOOKUP(C983,SIRCUPA!$A$21:$H$155,8,0),0)</f>
        <v>0</v>
      </c>
      <c r="J983" s="88">
        <f>-IFERROR(VLOOKUP(C983,SIRTAC!$A$16:$H$1288,8,0),0)</f>
        <v>-461</v>
      </c>
      <c r="K983" s="88">
        <f>-IFERROR(VLOOKUP(C983,Gastos!$A$9:$J$1281,10,0),0)</f>
        <v>-447.17</v>
      </c>
      <c r="L983" s="87">
        <f>-IFERROR(VLOOKUP(C983,IDC!$A$25:$H$1532,8,0),0)</f>
        <v>-276.60000000000002</v>
      </c>
      <c r="M983" s="122">
        <f t="shared" si="136"/>
        <v>46100</v>
      </c>
      <c r="N983" s="35"/>
      <c r="O983" s="35"/>
      <c r="P983" s="35">
        <f t="shared" si="137"/>
        <v>-46100</v>
      </c>
      <c r="Q983" s="66">
        <f t="shared" si="138"/>
        <v>0</v>
      </c>
    </row>
    <row r="984" spans="1:18" hidden="1">
      <c r="A984" s="35" t="s">
        <v>1030</v>
      </c>
      <c r="B984" s="35" t="s">
        <v>15</v>
      </c>
      <c r="C984" s="91">
        <v>126741893182</v>
      </c>
      <c r="D984" s="3">
        <v>18302.7</v>
      </c>
      <c r="E984" s="3">
        <v>9098031.3200000003</v>
      </c>
      <c r="F984" s="35" t="s">
        <v>2750</v>
      </c>
      <c r="G984" s="35"/>
      <c r="H984" s="35"/>
      <c r="I984" s="27">
        <f>-IFERROR(VLOOKUP(C984,SIRCUPA!$A$21:$H$155,8,0),0)</f>
        <v>0</v>
      </c>
      <c r="J984" s="88">
        <f>-IFERROR(VLOOKUP(C984,SIRTAC!$A$16:$H$1288,8,0),0)</f>
        <v>-195</v>
      </c>
      <c r="K984" s="88">
        <f>-IFERROR(VLOOKUP(C984,Gastos!$A$9:$J$1281,10,0),0)</f>
        <v>-885.3</v>
      </c>
      <c r="L984" s="87">
        <f>-IFERROR(VLOOKUP(C984,IDC!$A$25:$H$1532,8,0),0)</f>
        <v>-117</v>
      </c>
      <c r="M984" s="122">
        <f t="shared" si="136"/>
        <v>19500</v>
      </c>
      <c r="N984" s="35"/>
      <c r="O984" s="35"/>
      <c r="P984" s="35">
        <f t="shared" si="137"/>
        <v>-19500</v>
      </c>
      <c r="Q984" s="66">
        <f t="shared" si="138"/>
        <v>0</v>
      </c>
    </row>
    <row r="985" spans="1:18" hidden="1">
      <c r="A985" s="35" t="s">
        <v>1030</v>
      </c>
      <c r="B985" s="35" t="s">
        <v>15</v>
      </c>
      <c r="C985" s="91">
        <v>126185826419</v>
      </c>
      <c r="D985" s="3">
        <v>7599.54</v>
      </c>
      <c r="E985" s="3">
        <v>9105630.8599999994</v>
      </c>
      <c r="F985" s="35" t="s">
        <v>2750</v>
      </c>
      <c r="G985" s="35"/>
      <c r="H985" s="35"/>
      <c r="I985" s="27">
        <f>-IFERROR(VLOOKUP(C985,SIRCUPA!$A$21:$H$155,8,0),0)</f>
        <v>0</v>
      </c>
      <c r="J985" s="88">
        <f>-IFERROR(VLOOKUP(C985,SIRTAC!$A$16:$H$1288,8,0),0)</f>
        <v>-78</v>
      </c>
      <c r="K985" s="88">
        <f>-IFERROR(VLOOKUP(C985,Gastos!$A$9:$J$1281,10,0),0)</f>
        <v>-75.66</v>
      </c>
      <c r="L985" s="87">
        <f>-IFERROR(VLOOKUP(C985,IDC!$A$25:$H$1532,8,0),0)</f>
        <v>-46.8</v>
      </c>
      <c r="M985" s="122">
        <f t="shared" si="136"/>
        <v>7800</v>
      </c>
      <c r="N985" s="35"/>
      <c r="O985" s="35"/>
      <c r="P985" s="35">
        <f t="shared" si="137"/>
        <v>-7799.9999999999991</v>
      </c>
      <c r="Q985" s="66">
        <f t="shared" si="138"/>
        <v>0</v>
      </c>
    </row>
    <row r="986" spans="1:18" s="59" customFormat="1" hidden="1">
      <c r="A986" s="35" t="s">
        <v>903</v>
      </c>
      <c r="B986" s="35" t="s">
        <v>24</v>
      </c>
      <c r="C986" s="91">
        <v>126288909182</v>
      </c>
      <c r="D986" s="3">
        <v>-214992.66</v>
      </c>
      <c r="E986" s="3">
        <v>11599113.380000001</v>
      </c>
      <c r="F986" s="35" t="s">
        <v>2751</v>
      </c>
      <c r="G986" s="4">
        <f>+D986/1.006</f>
        <v>-213710.3976143141</v>
      </c>
      <c r="H986" s="4">
        <f>+D986-G986</f>
        <v>-1282.2623856858991</v>
      </c>
      <c r="I986" s="27">
        <f>-IFERROR(VLOOKUP(C986,SIRCUPA!$A$21:$H$155,8,0),0)</f>
        <v>0</v>
      </c>
      <c r="J986" s="88">
        <f>-IFERROR(VLOOKUP(C986,SIRTAC!$A$16:$H$1288,8,0),0)</f>
        <v>0</v>
      </c>
      <c r="K986" s="88">
        <f>-IFERROR(VLOOKUP(C986,Gastos!$A$9:$J$1281,10,0),0)</f>
        <v>0</v>
      </c>
      <c r="L986" s="87">
        <f>+D986-G986</f>
        <v>-1282.2623856858991</v>
      </c>
      <c r="M986" s="121">
        <f t="shared" ref="M986" si="139">+D986-I986-J986-K986-L986</f>
        <v>-213710.3976143141</v>
      </c>
      <c r="N986" s="4"/>
      <c r="O986" s="35"/>
      <c r="Q986" s="35">
        <f t="shared" ref="Q986" si="140">+L986/0.006</f>
        <v>-213710.39761431652</v>
      </c>
      <c r="R986" s="66">
        <f t="shared" ref="R986:R987" si="141">+M986-Q986</f>
        <v>2.4156179279088974E-9</v>
      </c>
    </row>
    <row r="987" spans="1:18" s="59" customFormat="1" hidden="1">
      <c r="A987" s="59" t="s">
        <v>1030</v>
      </c>
      <c r="B987" s="59" t="s">
        <v>1074</v>
      </c>
      <c r="C987" s="112">
        <v>126770445030</v>
      </c>
      <c r="D987" s="64">
        <v>-90750</v>
      </c>
      <c r="E987" s="3">
        <v>9014880.8599999994</v>
      </c>
      <c r="F987" s="59" t="s">
        <v>2751</v>
      </c>
      <c r="G987" s="65">
        <f>+D987/1.006</f>
        <v>-90208.74751491053</v>
      </c>
      <c r="H987" s="65">
        <f>+D987-G987</f>
        <v>-541.2524850894697</v>
      </c>
      <c r="I987" s="108">
        <f>-IFERROR(VLOOKUP(C987,SIRCUPA!$A$21:$H$155,8,0),0)</f>
        <v>0</v>
      </c>
      <c r="J987" s="108">
        <f>-IFERROR(VLOOKUP(C987,SIRTAC!$A$16:$H$1288,8,0),0)</f>
        <v>0</v>
      </c>
      <c r="K987" s="108">
        <f>-IFERROR(VLOOKUP(C987,Gastos!$A$9:$J$1281,10,0),0)</f>
        <v>0</v>
      </c>
      <c r="L987" s="65"/>
      <c r="M987" s="123">
        <f>+D987</f>
        <v>-90750</v>
      </c>
      <c r="N987" s="65"/>
      <c r="Q987" s="3">
        <f>+D987</f>
        <v>-90750</v>
      </c>
      <c r="R987" s="66">
        <f t="shared" si="141"/>
        <v>0</v>
      </c>
    </row>
    <row r="988" spans="1:18" hidden="1">
      <c r="A988" s="35" t="s">
        <v>1030</v>
      </c>
      <c r="B988" s="35" t="s">
        <v>15</v>
      </c>
      <c r="C988" s="91">
        <v>126284532553</v>
      </c>
      <c r="D988" s="3">
        <v>8124.42</v>
      </c>
      <c r="E988" s="3">
        <v>7342063.7599999998</v>
      </c>
      <c r="F988" s="35" t="s">
        <v>2750</v>
      </c>
      <c r="G988" s="35"/>
      <c r="H988" s="35"/>
      <c r="I988" s="27">
        <f>-IFERROR(VLOOKUP(C988,SIRCUPA!$A$21:$H$155,8,0),0)</f>
        <v>0</v>
      </c>
      <c r="J988" s="88">
        <f>-IFERROR(VLOOKUP(C988,SIRTAC!$A$16:$H$1288,8,0),0)</f>
        <v>-86</v>
      </c>
      <c r="K988" s="88">
        <f>-IFERROR(VLOOKUP(C988,Gastos!$A$9:$J$1281,10,0),0)</f>
        <v>-337.98</v>
      </c>
      <c r="L988" s="87">
        <f>-IFERROR(VLOOKUP(C988,IDC!$A$25:$H$1532,8,0),0)</f>
        <v>-51.6</v>
      </c>
      <c r="M988" s="122">
        <f t="shared" ref="M988:M1013" si="142">+D988-I988-J988-K988-L988</f>
        <v>8600</v>
      </c>
      <c r="N988" s="35"/>
      <c r="O988" s="35" t="s">
        <v>1740</v>
      </c>
      <c r="P988" s="35">
        <f t="shared" ref="P988:P1013" si="143">+L988/0.006</f>
        <v>-8600</v>
      </c>
      <c r="Q988" s="66">
        <f t="shared" ref="Q988:Q1013" si="144">+M988+P988</f>
        <v>0</v>
      </c>
    </row>
    <row r="989" spans="1:18" hidden="1">
      <c r="A989" s="1" t="s">
        <v>1030</v>
      </c>
      <c r="B989" s="1" t="s">
        <v>15</v>
      </c>
      <c r="C989" s="91">
        <v>126292935665</v>
      </c>
      <c r="D989" s="3">
        <v>3684.33</v>
      </c>
      <c r="E989" s="3">
        <v>7345748.0899999999</v>
      </c>
      <c r="F989" s="35" t="s">
        <v>2750</v>
      </c>
      <c r="G989" s="35"/>
      <c r="H989" s="35"/>
      <c r="I989" s="27">
        <f>-IFERROR(VLOOKUP(C989,SIRCUPA!$A$21:$H$155,8,0),0)</f>
        <v>0</v>
      </c>
      <c r="J989" s="88">
        <f>-IFERROR(VLOOKUP(C989,SIRTAC!$A$16:$H$1288,8,0),0)</f>
        <v>-39</v>
      </c>
      <c r="K989" s="88">
        <f>-IFERROR(VLOOKUP(C989,Gastos!$A$9:$J$1281,10,0),0)</f>
        <v>-153.27000000000001</v>
      </c>
      <c r="L989" s="87">
        <f>-IFERROR(VLOOKUP(C989,IDC!$A$25:$H$1532,8,0),0)</f>
        <v>-23.4</v>
      </c>
      <c r="M989" s="122">
        <f t="shared" si="142"/>
        <v>3900</v>
      </c>
      <c r="N989" s="35"/>
      <c r="O989" s="35"/>
      <c r="P989" s="35">
        <f t="shared" si="143"/>
        <v>-3899.9999999999995</v>
      </c>
      <c r="Q989" s="66">
        <f t="shared" si="144"/>
        <v>0</v>
      </c>
    </row>
    <row r="990" spans="1:18" hidden="1">
      <c r="A990" s="1" t="s">
        <v>1030</v>
      </c>
      <c r="B990" s="1" t="s">
        <v>15</v>
      </c>
      <c r="C990" s="91">
        <v>126295087115</v>
      </c>
      <c r="D990" s="3">
        <v>8768.7000000000007</v>
      </c>
      <c r="E990" s="3">
        <v>7354516.79</v>
      </c>
      <c r="F990" s="35" t="s">
        <v>2750</v>
      </c>
      <c r="G990"/>
      <c r="H990"/>
      <c r="I990" s="27">
        <f>-IFERROR(VLOOKUP(C990,SIRCUPA!$A$21:$H$155,8,0),0)</f>
        <v>0</v>
      </c>
      <c r="J990" s="88">
        <f>-IFERROR(VLOOKUP(C990,SIRTAC!$A$16:$H$1288,8,0),0)</f>
        <v>-90</v>
      </c>
      <c r="K990" s="88">
        <f>-IFERROR(VLOOKUP(C990,Gastos!$A$9:$J$1281,10,0),0)</f>
        <v>-87.3</v>
      </c>
      <c r="L990" s="87">
        <f>-IFERROR(VLOOKUP(C990,IDC!$A$25:$H$1532,8,0),0)</f>
        <v>-54</v>
      </c>
      <c r="M990" s="122">
        <f t="shared" si="142"/>
        <v>9000</v>
      </c>
      <c r="N990"/>
      <c r="O990" s="35"/>
      <c r="P990" s="35">
        <f t="shared" si="143"/>
        <v>-9000</v>
      </c>
      <c r="Q990" s="66">
        <f t="shared" si="144"/>
        <v>0</v>
      </c>
    </row>
    <row r="991" spans="1:18" hidden="1">
      <c r="A991" s="1" t="s">
        <v>1030</v>
      </c>
      <c r="B991" s="1" t="s">
        <v>15</v>
      </c>
      <c r="C991" s="91">
        <v>126853170834</v>
      </c>
      <c r="D991" s="3">
        <v>8502.2999999999993</v>
      </c>
      <c r="E991" s="3">
        <v>7363019.0899999999</v>
      </c>
      <c r="F991" s="35" t="s">
        <v>2750</v>
      </c>
      <c r="G991"/>
      <c r="H991"/>
      <c r="I991" s="27">
        <f>-IFERROR(VLOOKUP(C991,SIRCUPA!$A$21:$H$155,8,0),0)</f>
        <v>0</v>
      </c>
      <c r="J991" s="88">
        <f>-IFERROR(VLOOKUP(C991,SIRTAC!$A$16:$H$1288,8,0),0)</f>
        <v>-90</v>
      </c>
      <c r="K991" s="88">
        <f>-IFERROR(VLOOKUP(C991,Gastos!$A$9:$J$1281,10,0),0)</f>
        <v>-353.7</v>
      </c>
      <c r="L991" s="87">
        <f>-IFERROR(VLOOKUP(C991,IDC!$A$25:$H$1532,8,0),0)</f>
        <v>-54</v>
      </c>
      <c r="M991" s="122">
        <f t="shared" si="142"/>
        <v>9000</v>
      </c>
      <c r="N991"/>
      <c r="P991" s="35">
        <f t="shared" si="143"/>
        <v>-9000</v>
      </c>
      <c r="Q991" s="66">
        <f t="shared" si="144"/>
        <v>0</v>
      </c>
    </row>
    <row r="992" spans="1:18" hidden="1">
      <c r="A992" s="1" t="s">
        <v>1030</v>
      </c>
      <c r="B992" s="1" t="s">
        <v>15</v>
      </c>
      <c r="C992" s="91">
        <v>126296416437</v>
      </c>
      <c r="D992" s="3">
        <v>8124.42</v>
      </c>
      <c r="E992" s="3">
        <v>7371143.5099999998</v>
      </c>
      <c r="F992" s="35" t="s">
        <v>2750</v>
      </c>
      <c r="G992"/>
      <c r="H992"/>
      <c r="I992" s="27">
        <f>-IFERROR(VLOOKUP(C992,SIRCUPA!$A$21:$H$155,8,0),0)</f>
        <v>0</v>
      </c>
      <c r="J992" s="88">
        <f>-IFERROR(VLOOKUP(C992,SIRTAC!$A$16:$H$1288,8,0),0)</f>
        <v>-86</v>
      </c>
      <c r="K992" s="88">
        <f>-IFERROR(VLOOKUP(C992,Gastos!$A$9:$J$1281,10,0),0)</f>
        <v>-337.98</v>
      </c>
      <c r="L992" s="87">
        <f>-IFERROR(VLOOKUP(C992,IDC!$A$25:$H$1532,8,0),0)</f>
        <v>-51.6</v>
      </c>
      <c r="M992" s="122">
        <f t="shared" si="142"/>
        <v>8600</v>
      </c>
      <c r="N992"/>
      <c r="P992" s="35">
        <f t="shared" si="143"/>
        <v>-8600</v>
      </c>
      <c r="Q992" s="66">
        <f t="shared" si="144"/>
        <v>0</v>
      </c>
    </row>
    <row r="993" spans="1:17" hidden="1">
      <c r="A993" s="1" t="s">
        <v>1030</v>
      </c>
      <c r="B993" s="1" t="s">
        <v>15</v>
      </c>
      <c r="C993" s="91">
        <v>126298474467</v>
      </c>
      <c r="D993" s="3">
        <v>8768.7000000000007</v>
      </c>
      <c r="E993" s="3">
        <v>7379912.21</v>
      </c>
      <c r="F993" s="35" t="s">
        <v>2750</v>
      </c>
      <c r="G993"/>
      <c r="H993"/>
      <c r="I993" s="27">
        <f>-IFERROR(VLOOKUP(C993,SIRCUPA!$A$21:$H$155,8,0),0)</f>
        <v>0</v>
      </c>
      <c r="J993" s="88">
        <f>-IFERROR(VLOOKUP(C993,SIRTAC!$A$16:$H$1288,8,0),0)</f>
        <v>-90</v>
      </c>
      <c r="K993" s="88">
        <f>-IFERROR(VLOOKUP(C993,Gastos!$A$9:$J$1281,10,0),0)</f>
        <v>-87.3</v>
      </c>
      <c r="L993" s="87">
        <f>-IFERROR(VLOOKUP(C993,IDC!$A$25:$H$1532,8,0),0)</f>
        <v>-54</v>
      </c>
      <c r="M993" s="122">
        <f t="shared" si="142"/>
        <v>9000</v>
      </c>
      <c r="N993"/>
      <c r="P993" s="35">
        <f t="shared" si="143"/>
        <v>-9000</v>
      </c>
      <c r="Q993" s="66">
        <f t="shared" si="144"/>
        <v>0</v>
      </c>
    </row>
    <row r="994" spans="1:17" hidden="1">
      <c r="A994" s="1" t="s">
        <v>1030</v>
      </c>
      <c r="B994" s="1" t="s">
        <v>15</v>
      </c>
      <c r="C994" s="91">
        <v>126298554027</v>
      </c>
      <c r="D994" s="3">
        <v>8768.7000000000007</v>
      </c>
      <c r="E994" s="3">
        <v>7388680.9100000001</v>
      </c>
      <c r="F994" s="35" t="s">
        <v>2750</v>
      </c>
      <c r="G994"/>
      <c r="H994"/>
      <c r="I994" s="27">
        <f>-IFERROR(VLOOKUP(C994,SIRCUPA!$A$21:$H$155,8,0),0)</f>
        <v>0</v>
      </c>
      <c r="J994" s="88">
        <f>-IFERROR(VLOOKUP(C994,SIRTAC!$A$16:$H$1288,8,0),0)</f>
        <v>-90</v>
      </c>
      <c r="K994" s="88">
        <f>-IFERROR(VLOOKUP(C994,Gastos!$A$9:$J$1281,10,0),0)</f>
        <v>-87.3</v>
      </c>
      <c r="L994" s="87">
        <f>-IFERROR(VLOOKUP(C994,IDC!$A$25:$H$1532,8,0),0)</f>
        <v>-54</v>
      </c>
      <c r="M994" s="122">
        <f t="shared" si="142"/>
        <v>9000</v>
      </c>
      <c r="N994"/>
      <c r="P994" s="35">
        <f t="shared" si="143"/>
        <v>-9000</v>
      </c>
      <c r="Q994" s="66">
        <f t="shared" si="144"/>
        <v>0</v>
      </c>
    </row>
    <row r="995" spans="1:17" hidden="1">
      <c r="A995" s="1" t="s">
        <v>1030</v>
      </c>
      <c r="B995" s="1" t="s">
        <v>15</v>
      </c>
      <c r="C995" s="91">
        <v>126299319221</v>
      </c>
      <c r="D995" s="3">
        <v>20612.009999999998</v>
      </c>
      <c r="E995" s="3">
        <v>7409292.9199999999</v>
      </c>
      <c r="F995" s="35" t="s">
        <v>2750</v>
      </c>
      <c r="G995"/>
      <c r="H995"/>
      <c r="I995" s="27">
        <f>-IFERROR(VLOOKUP(C995,SIRCUPA!$A$21:$H$155,8,0),0)</f>
        <v>0</v>
      </c>
      <c r="J995" s="88">
        <f>-IFERROR(VLOOKUP(C995,SIRTAC!$A$16:$H$1288,8,0),0)</f>
        <v>-213</v>
      </c>
      <c r="K995" s="88">
        <f>-IFERROR(VLOOKUP(C995,Gastos!$A$9:$J$1281,10,0),0)</f>
        <v>-347.19</v>
      </c>
      <c r="L995" s="87">
        <f>-IFERROR(VLOOKUP(C995,IDC!$A$25:$H$1532,8,0),0)</f>
        <v>-127.8</v>
      </c>
      <c r="M995" s="122">
        <f t="shared" si="142"/>
        <v>21299.999999999996</v>
      </c>
      <c r="N995"/>
      <c r="P995" s="35">
        <f t="shared" si="143"/>
        <v>-21300</v>
      </c>
      <c r="Q995" s="66">
        <f t="shared" si="144"/>
        <v>0</v>
      </c>
    </row>
    <row r="996" spans="1:17" hidden="1">
      <c r="A996" s="1" t="s">
        <v>1030</v>
      </c>
      <c r="B996" s="1" t="s">
        <v>15</v>
      </c>
      <c r="C996" s="91">
        <v>126859782450</v>
      </c>
      <c r="D996" s="3">
        <v>4035.98</v>
      </c>
      <c r="E996" s="3">
        <v>7413328.9000000004</v>
      </c>
      <c r="F996" s="35" t="s">
        <v>2750</v>
      </c>
      <c r="G996"/>
      <c r="H996"/>
      <c r="I996" s="27">
        <f>-IFERROR(VLOOKUP(C996,SIRCUPA!$A$21:$H$155,8,0),0)</f>
        <v>0</v>
      </c>
      <c r="J996" s="88">
        <f>-IFERROR(VLOOKUP(C996,SIRTAC!$A$16:$H$1288,8,0),0)</f>
        <v>-43</v>
      </c>
      <c r="K996" s="88">
        <f>-IFERROR(VLOOKUP(C996,Gastos!$A$9:$J$1281,10,0),0)</f>
        <v>-195.22</v>
      </c>
      <c r="L996" s="87">
        <f>-IFERROR(VLOOKUP(C996,IDC!$A$25:$H$1532,8,0),0)</f>
        <v>-25.8</v>
      </c>
      <c r="M996" s="122">
        <f t="shared" si="142"/>
        <v>4300</v>
      </c>
      <c r="N996"/>
      <c r="P996" s="35">
        <f t="shared" si="143"/>
        <v>-4300</v>
      </c>
      <c r="Q996" s="66">
        <f t="shared" si="144"/>
        <v>0</v>
      </c>
    </row>
    <row r="997" spans="1:17" hidden="1">
      <c r="A997" s="1" t="s">
        <v>1030</v>
      </c>
      <c r="B997" s="1" t="s">
        <v>15</v>
      </c>
      <c r="C997" s="91">
        <v>126304421967</v>
      </c>
      <c r="D997" s="3">
        <v>46961.26</v>
      </c>
      <c r="E997" s="3">
        <v>7460290.1600000001</v>
      </c>
      <c r="F997" s="35" t="s">
        <v>2750</v>
      </c>
      <c r="G997"/>
      <c r="H997"/>
      <c r="I997" s="27">
        <f>-IFERROR(VLOOKUP(C997,SIRCUPA!$A$21:$H$155,8,0),0)</f>
        <v>0</v>
      </c>
      <c r="J997" s="88">
        <f>-IFERROR(VLOOKUP(C997,SIRTAC!$A$16:$H$1288,8,0),0)</f>
        <v>-482</v>
      </c>
      <c r="K997" s="88">
        <f>-IFERROR(VLOOKUP(C997,Gastos!$A$9:$J$1281,10,0),0)</f>
        <v>-467.54</v>
      </c>
      <c r="L997" s="87">
        <f>-IFERROR(VLOOKUP(C997,IDC!$A$25:$H$1532,8,0),0)</f>
        <v>-289.2</v>
      </c>
      <c r="M997" s="122">
        <f t="shared" si="142"/>
        <v>48200</v>
      </c>
      <c r="N997"/>
      <c r="P997" s="35">
        <f t="shared" si="143"/>
        <v>-48200</v>
      </c>
      <c r="Q997" s="66">
        <f t="shared" si="144"/>
        <v>0</v>
      </c>
    </row>
    <row r="998" spans="1:17" hidden="1">
      <c r="A998" s="1" t="s">
        <v>1030</v>
      </c>
      <c r="B998" s="1" t="s">
        <v>15</v>
      </c>
      <c r="C998" s="91">
        <v>126861716336</v>
      </c>
      <c r="D998" s="3">
        <v>5163.79</v>
      </c>
      <c r="E998" s="3">
        <v>7465453.9500000002</v>
      </c>
      <c r="F998" s="35" t="s">
        <v>2750</v>
      </c>
      <c r="G998"/>
      <c r="H998"/>
      <c r="I998" s="27">
        <f>-IFERROR(VLOOKUP(C998,SIRCUPA!$A$21:$H$155,8,0),0)</f>
        <v>0</v>
      </c>
      <c r="J998" s="88">
        <f>-IFERROR(VLOOKUP(C998,SIRTAC!$A$16:$H$1288,8,0),0)</f>
        <v>-53</v>
      </c>
      <c r="K998" s="88">
        <f>-IFERROR(VLOOKUP(C998,Gastos!$A$9:$J$1281,10,0),0)</f>
        <v>-51.41</v>
      </c>
      <c r="L998" s="87">
        <f>-IFERROR(VLOOKUP(C998,IDC!$A$25:$H$1532,8,0),0)</f>
        <v>-31.8</v>
      </c>
      <c r="M998" s="122">
        <f t="shared" si="142"/>
        <v>5300</v>
      </c>
      <c r="N998"/>
      <c r="P998" s="35">
        <f t="shared" si="143"/>
        <v>-5300</v>
      </c>
      <c r="Q998" s="66">
        <f t="shared" si="144"/>
        <v>0</v>
      </c>
    </row>
    <row r="999" spans="1:17" hidden="1">
      <c r="A999" s="1" t="s">
        <v>1030</v>
      </c>
      <c r="B999" s="1" t="s">
        <v>593</v>
      </c>
      <c r="C999" s="91">
        <v>126861692506</v>
      </c>
      <c r="D999" s="2">
        <v>259.43</v>
      </c>
      <c r="E999" s="3">
        <v>7465713.3799999999</v>
      </c>
      <c r="F999" s="2" t="s">
        <v>2750</v>
      </c>
      <c r="G999"/>
      <c r="H999"/>
      <c r="I999" s="27">
        <f>-IFERROR(VLOOKUP(C999,SIRCUPA!$A$21:$H$155,8,0),0)</f>
        <v>-3.98</v>
      </c>
      <c r="J999" s="88">
        <f>-IFERROR(VLOOKUP(C999,SIRTAC!$A$16:$H$1288,8,0),0)</f>
        <v>0</v>
      </c>
      <c r="K999" s="88">
        <f>-IFERROR(VLOOKUP(C999,Gastos!$A$9:$J$1281,10,0),0)</f>
        <v>0</v>
      </c>
      <c r="L999" s="87">
        <f>-IFERROR(VLOOKUP(C999,IDC!$A$25:$H$1532,8,0),0)</f>
        <v>-1.59</v>
      </c>
      <c r="M999" s="122">
        <f t="shared" si="142"/>
        <v>265</v>
      </c>
      <c r="N999"/>
      <c r="P999" s="35">
        <f t="shared" si="143"/>
        <v>-265</v>
      </c>
      <c r="Q999" s="66">
        <f t="shared" si="144"/>
        <v>0</v>
      </c>
    </row>
    <row r="1000" spans="1:17" hidden="1">
      <c r="A1000" s="1" t="s">
        <v>1030</v>
      </c>
      <c r="B1000" s="1" t="s">
        <v>15</v>
      </c>
      <c r="C1000" s="91">
        <v>126862230908</v>
      </c>
      <c r="D1000" s="3">
        <v>3799.77</v>
      </c>
      <c r="E1000" s="3">
        <v>7469513.1500000004</v>
      </c>
      <c r="F1000" s="35" t="s">
        <v>2750</v>
      </c>
      <c r="G1000"/>
      <c r="H1000"/>
      <c r="I1000" s="27">
        <f>-IFERROR(VLOOKUP(C1000,SIRCUPA!$A$21:$H$155,8,0),0)</f>
        <v>0</v>
      </c>
      <c r="J1000" s="88">
        <f>-IFERROR(VLOOKUP(C1000,SIRTAC!$A$16:$H$1288,8,0),0)</f>
        <v>-39</v>
      </c>
      <c r="K1000" s="88">
        <f>-IFERROR(VLOOKUP(C1000,Gastos!$A$9:$J$1281,10,0),0)</f>
        <v>-37.83</v>
      </c>
      <c r="L1000" s="87">
        <f>-IFERROR(VLOOKUP(C1000,IDC!$A$25:$H$1532,8,0),0)</f>
        <v>-23.4</v>
      </c>
      <c r="M1000" s="122">
        <f t="shared" si="142"/>
        <v>3900</v>
      </c>
      <c r="N1000"/>
      <c r="P1000" s="35">
        <f t="shared" si="143"/>
        <v>-3899.9999999999995</v>
      </c>
      <c r="Q1000" s="66">
        <f t="shared" si="144"/>
        <v>0</v>
      </c>
    </row>
    <row r="1001" spans="1:17" hidden="1">
      <c r="A1001" s="1" t="s">
        <v>1030</v>
      </c>
      <c r="B1001" s="1" t="s">
        <v>15</v>
      </c>
      <c r="C1001" s="91">
        <v>126306563085</v>
      </c>
      <c r="D1001" s="3">
        <v>26013.81</v>
      </c>
      <c r="E1001" s="3">
        <v>7495526.96</v>
      </c>
      <c r="F1001" s="35" t="s">
        <v>2750</v>
      </c>
      <c r="G1001"/>
      <c r="H1001"/>
      <c r="I1001" s="27">
        <f>-IFERROR(VLOOKUP(C1001,SIRCUPA!$A$21:$H$155,8,0),0)</f>
        <v>0</v>
      </c>
      <c r="J1001" s="88">
        <f>-IFERROR(VLOOKUP(C1001,SIRTAC!$A$16:$H$1288,8,0),0)</f>
        <v>-267</v>
      </c>
      <c r="K1001" s="88">
        <f>-IFERROR(VLOOKUP(C1001,Gastos!$A$9:$J$1281,10,0),0)</f>
        <v>-258.99</v>
      </c>
      <c r="L1001" s="87">
        <f>-IFERROR(VLOOKUP(C1001,IDC!$A$25:$H$1532,8,0),0)</f>
        <v>-160.19999999999999</v>
      </c>
      <c r="M1001" s="122">
        <f t="shared" si="142"/>
        <v>26700.000000000004</v>
      </c>
      <c r="N1001"/>
      <c r="P1001" s="35">
        <f t="shared" si="143"/>
        <v>-26699.999999999996</v>
      </c>
      <c r="Q1001" s="66">
        <f t="shared" si="144"/>
        <v>0</v>
      </c>
    </row>
    <row r="1002" spans="1:17" hidden="1">
      <c r="A1002" s="1" t="s">
        <v>1030</v>
      </c>
      <c r="B1002" s="1" t="s">
        <v>15</v>
      </c>
      <c r="C1002" s="91">
        <v>126308248317</v>
      </c>
      <c r="D1002" s="3">
        <v>8768.7000000000007</v>
      </c>
      <c r="E1002" s="3">
        <v>7504295.6600000001</v>
      </c>
      <c r="F1002" s="35" t="s">
        <v>2750</v>
      </c>
      <c r="G1002"/>
      <c r="H1002"/>
      <c r="I1002" s="27">
        <f>-IFERROR(VLOOKUP(C1002,SIRCUPA!$A$21:$H$155,8,0),0)</f>
        <v>0</v>
      </c>
      <c r="J1002" s="88">
        <f>-IFERROR(VLOOKUP(C1002,SIRTAC!$A$16:$H$1288,8,0),0)</f>
        <v>-90</v>
      </c>
      <c r="K1002" s="88">
        <f>-IFERROR(VLOOKUP(C1002,Gastos!$A$9:$J$1281,10,0),0)</f>
        <v>-87.3</v>
      </c>
      <c r="L1002" s="87">
        <f>-IFERROR(VLOOKUP(C1002,IDC!$A$25:$H$1532,8,0),0)</f>
        <v>-54</v>
      </c>
      <c r="M1002" s="122">
        <f t="shared" si="142"/>
        <v>9000</v>
      </c>
      <c r="N1002"/>
      <c r="P1002" s="35">
        <f t="shared" si="143"/>
        <v>-9000</v>
      </c>
      <c r="Q1002" s="66">
        <f t="shared" si="144"/>
        <v>0</v>
      </c>
    </row>
    <row r="1003" spans="1:17" hidden="1">
      <c r="A1003" s="1" t="s">
        <v>1030</v>
      </c>
      <c r="B1003" s="1" t="s">
        <v>15</v>
      </c>
      <c r="C1003" s="91">
        <v>126865877842</v>
      </c>
      <c r="D1003" s="3">
        <v>33914.730000000003</v>
      </c>
      <c r="E1003" s="3">
        <v>7538210.3899999997</v>
      </c>
      <c r="F1003" s="35" t="s">
        <v>2750</v>
      </c>
      <c r="G1003"/>
      <c r="H1003"/>
      <c r="I1003" s="27">
        <f>-IFERROR(VLOOKUP(C1003,SIRCUPA!$A$21:$H$155,8,0),0)</f>
        <v>0</v>
      </c>
      <c r="J1003" s="88">
        <f>-IFERROR(VLOOKUP(C1003,SIRTAC!$A$16:$H$1288,8,0),0)</f>
        <v>-359</v>
      </c>
      <c r="K1003" s="88">
        <f>-IFERROR(VLOOKUP(C1003,Gastos!$A$9:$J$1281,10,0),0)</f>
        <v>-1410.87</v>
      </c>
      <c r="L1003" s="87">
        <f>-IFERROR(VLOOKUP(C1003,IDC!$A$25:$H$1532,8,0),0)</f>
        <v>-215.4</v>
      </c>
      <c r="M1003" s="122">
        <f t="shared" si="142"/>
        <v>35900.000000000007</v>
      </c>
      <c r="N1003"/>
      <c r="P1003" s="35">
        <f t="shared" si="143"/>
        <v>-35900</v>
      </c>
      <c r="Q1003" s="66">
        <f t="shared" si="144"/>
        <v>0</v>
      </c>
    </row>
    <row r="1004" spans="1:17" hidden="1">
      <c r="A1004" s="1" t="s">
        <v>1030</v>
      </c>
      <c r="B1004" s="1" t="s">
        <v>15</v>
      </c>
      <c r="C1004" s="91">
        <v>126309333557</v>
      </c>
      <c r="D1004" s="3">
        <v>44395.78</v>
      </c>
      <c r="E1004" s="3">
        <v>7582606.1699999999</v>
      </c>
      <c r="F1004" s="35" t="s">
        <v>2750</v>
      </c>
      <c r="G1004"/>
      <c r="H1004"/>
      <c r="I1004" s="27">
        <f>-IFERROR(VLOOKUP(C1004,SIRCUPA!$A$21:$H$155,8,0),0)</f>
        <v>0</v>
      </c>
      <c r="J1004" s="88">
        <f>-IFERROR(VLOOKUP(C1004,SIRTAC!$A$16:$H$1288,8,0),0)</f>
        <v>-473</v>
      </c>
      <c r="K1004" s="88">
        <f>-IFERROR(VLOOKUP(C1004,Gastos!$A$9:$J$1281,10,0),0)</f>
        <v>-2147.42</v>
      </c>
      <c r="L1004" s="87">
        <f>-IFERROR(VLOOKUP(C1004,IDC!$A$25:$H$1532,8,0),0)</f>
        <v>-283.8</v>
      </c>
      <c r="M1004" s="122">
        <f t="shared" si="142"/>
        <v>47300</v>
      </c>
      <c r="N1004"/>
      <c r="P1004" s="35">
        <f t="shared" si="143"/>
        <v>-47300</v>
      </c>
      <c r="Q1004" s="66">
        <f t="shared" si="144"/>
        <v>0</v>
      </c>
    </row>
    <row r="1005" spans="1:17" hidden="1">
      <c r="A1005" s="1" t="s">
        <v>1030</v>
      </c>
      <c r="B1005" s="1" t="s">
        <v>15</v>
      </c>
      <c r="C1005" s="91">
        <v>126868129818</v>
      </c>
      <c r="D1005" s="3">
        <v>58555.43</v>
      </c>
      <c r="E1005" s="3">
        <v>7641161.5999999996</v>
      </c>
      <c r="F1005" s="35" t="s">
        <v>2750</v>
      </c>
      <c r="G1005"/>
      <c r="H1005"/>
      <c r="I1005" s="27">
        <f>-IFERROR(VLOOKUP(C1005,SIRCUPA!$A$21:$H$155,8,0),0)</f>
        <v>0</v>
      </c>
      <c r="J1005" s="88">
        <f>-IFERROR(VLOOKUP(C1005,SIRTAC!$A$16:$H$1288,8,0),0)</f>
        <v>-601</v>
      </c>
      <c r="K1005" s="88">
        <f>-IFERROR(VLOOKUP(C1005,Gastos!$A$9:$J$1281,10,0),0)</f>
        <v>-582.97</v>
      </c>
      <c r="L1005" s="87">
        <f>-IFERROR(VLOOKUP(C1005,IDC!$A$25:$H$1532,8,0),0)</f>
        <v>-360.6</v>
      </c>
      <c r="M1005" s="122">
        <f t="shared" si="142"/>
        <v>60100</v>
      </c>
      <c r="N1005"/>
      <c r="P1005" s="35">
        <f t="shared" si="143"/>
        <v>-60100</v>
      </c>
      <c r="Q1005" s="66">
        <f t="shared" si="144"/>
        <v>0</v>
      </c>
    </row>
    <row r="1006" spans="1:17" hidden="1">
      <c r="A1006" s="1" t="s">
        <v>1030</v>
      </c>
      <c r="B1006" s="1" t="s">
        <v>15</v>
      </c>
      <c r="C1006" s="91">
        <v>126311741457</v>
      </c>
      <c r="D1006" s="3">
        <v>34685.08</v>
      </c>
      <c r="E1006" s="3">
        <v>7675846.6799999997</v>
      </c>
      <c r="F1006" s="35" t="s">
        <v>2750</v>
      </c>
      <c r="G1006"/>
      <c r="H1006"/>
      <c r="I1006" s="27">
        <f>-IFERROR(VLOOKUP(C1006,SIRCUPA!$A$21:$H$155,8,0),0)</f>
        <v>0</v>
      </c>
      <c r="J1006" s="88">
        <f>-IFERROR(VLOOKUP(C1006,SIRTAC!$A$16:$H$1288,8,0),0)</f>
        <v>-356</v>
      </c>
      <c r="K1006" s="88">
        <f>-IFERROR(VLOOKUP(C1006,Gastos!$A$9:$J$1281,10,0),0)</f>
        <v>-345.32</v>
      </c>
      <c r="L1006" s="87">
        <f>-IFERROR(VLOOKUP(C1006,IDC!$A$25:$H$1532,8,0),0)</f>
        <v>-213.6</v>
      </c>
      <c r="M1006" s="122">
        <f t="shared" si="142"/>
        <v>35600</v>
      </c>
      <c r="N1006"/>
      <c r="P1006" s="35">
        <f t="shared" si="143"/>
        <v>-35600</v>
      </c>
      <c r="Q1006" s="66">
        <f t="shared" si="144"/>
        <v>0</v>
      </c>
    </row>
    <row r="1007" spans="1:17" hidden="1">
      <c r="A1007" s="1" t="s">
        <v>1030</v>
      </c>
      <c r="B1007" s="1" t="s">
        <v>15</v>
      </c>
      <c r="C1007" s="91">
        <v>126312348037</v>
      </c>
      <c r="D1007" s="3">
        <v>3799.77</v>
      </c>
      <c r="E1007" s="3">
        <v>7679646.4500000002</v>
      </c>
      <c r="F1007" s="35" t="s">
        <v>2750</v>
      </c>
      <c r="G1007"/>
      <c r="H1007"/>
      <c r="I1007" s="27">
        <f>-IFERROR(VLOOKUP(C1007,SIRCUPA!$A$21:$H$155,8,0),0)</f>
        <v>0</v>
      </c>
      <c r="J1007" s="88">
        <f>-IFERROR(VLOOKUP(C1007,SIRTAC!$A$16:$H$1288,8,0),0)</f>
        <v>-39</v>
      </c>
      <c r="K1007" s="88">
        <f>-IFERROR(VLOOKUP(C1007,Gastos!$A$9:$J$1281,10,0),0)</f>
        <v>-37.83</v>
      </c>
      <c r="L1007" s="87">
        <f>-IFERROR(VLOOKUP(C1007,IDC!$A$25:$H$1532,8,0),0)</f>
        <v>-23.4</v>
      </c>
      <c r="M1007" s="122">
        <f t="shared" si="142"/>
        <v>3900</v>
      </c>
      <c r="N1007"/>
      <c r="P1007" s="35">
        <f t="shared" si="143"/>
        <v>-3899.9999999999995</v>
      </c>
      <c r="Q1007" s="66">
        <f t="shared" si="144"/>
        <v>0</v>
      </c>
    </row>
    <row r="1008" spans="1:17" hidden="1">
      <c r="A1008" s="1" t="s">
        <v>1030</v>
      </c>
      <c r="B1008" s="1" t="s">
        <v>15</v>
      </c>
      <c r="C1008" s="91">
        <v>126869531676</v>
      </c>
      <c r="D1008" s="3">
        <v>16248.84</v>
      </c>
      <c r="E1008" s="3">
        <v>7695895.29</v>
      </c>
      <c r="F1008" s="35" t="s">
        <v>2750</v>
      </c>
      <c r="G1008"/>
      <c r="H1008"/>
      <c r="I1008" s="27">
        <f>-IFERROR(VLOOKUP(C1008,SIRCUPA!$A$21:$H$155,8,0),0)</f>
        <v>0</v>
      </c>
      <c r="J1008" s="88">
        <f>-IFERROR(VLOOKUP(C1008,SIRTAC!$A$16:$H$1288,8,0),0)</f>
        <v>-172</v>
      </c>
      <c r="K1008" s="88">
        <f>-IFERROR(VLOOKUP(C1008,Gastos!$A$9:$J$1281,10,0),0)</f>
        <v>-675.96</v>
      </c>
      <c r="L1008" s="87">
        <f>-IFERROR(VLOOKUP(C1008,IDC!$A$25:$H$1532,8,0),0)</f>
        <v>-103.2</v>
      </c>
      <c r="M1008" s="122">
        <f t="shared" si="142"/>
        <v>17200</v>
      </c>
      <c r="N1008"/>
      <c r="P1008" s="35">
        <f t="shared" si="143"/>
        <v>-17200</v>
      </c>
      <c r="Q1008" s="66">
        <f t="shared" si="144"/>
        <v>0</v>
      </c>
    </row>
    <row r="1009" spans="1:18" hidden="1">
      <c r="A1009" s="1" t="s">
        <v>1030</v>
      </c>
      <c r="B1009" s="1" t="s">
        <v>15</v>
      </c>
      <c r="C1009" s="91">
        <v>126869842594</v>
      </c>
      <c r="D1009" s="3">
        <v>9447</v>
      </c>
      <c r="E1009" s="3">
        <v>7705342.29</v>
      </c>
      <c r="F1009" s="35" t="s">
        <v>2750</v>
      </c>
      <c r="G1009"/>
      <c r="H1009"/>
      <c r="I1009" s="27">
        <f>-IFERROR(VLOOKUP(C1009,SIRCUPA!$A$21:$H$155,8,0),0)</f>
        <v>0</v>
      </c>
      <c r="J1009" s="88">
        <f>-IFERROR(VLOOKUP(C1009,SIRTAC!$A$16:$H$1288,8,0),0)</f>
        <v>-100</v>
      </c>
      <c r="K1009" s="88">
        <f>-IFERROR(VLOOKUP(C1009,Gastos!$A$9:$J$1281,10,0),0)</f>
        <v>-393</v>
      </c>
      <c r="L1009" s="87">
        <f>-IFERROR(VLOOKUP(C1009,IDC!$A$25:$H$1532,8,0),0)</f>
        <v>-60</v>
      </c>
      <c r="M1009" s="122">
        <f t="shared" si="142"/>
        <v>10000</v>
      </c>
      <c r="N1009"/>
      <c r="P1009" s="35">
        <f t="shared" si="143"/>
        <v>-10000</v>
      </c>
      <c r="Q1009" s="66">
        <f t="shared" si="144"/>
        <v>0</v>
      </c>
    </row>
    <row r="1010" spans="1:18" hidden="1">
      <c r="A1010" s="1" t="s">
        <v>1030</v>
      </c>
      <c r="B1010" s="1" t="s">
        <v>15</v>
      </c>
      <c r="C1010" s="91">
        <v>126870052406</v>
      </c>
      <c r="D1010" s="3">
        <v>46762.65</v>
      </c>
      <c r="E1010" s="3">
        <v>7752104.9400000004</v>
      </c>
      <c r="F1010" s="35" t="s">
        <v>2750</v>
      </c>
      <c r="G1010"/>
      <c r="H1010"/>
      <c r="I1010" s="27">
        <f>-IFERROR(VLOOKUP(C1010,SIRCUPA!$A$21:$H$155,8,0),0)</f>
        <v>0</v>
      </c>
      <c r="J1010" s="88">
        <f>-IFERROR(VLOOKUP(C1010,SIRTAC!$A$16:$H$1288,8,0),0)</f>
        <v>-495</v>
      </c>
      <c r="K1010" s="88">
        <f>-IFERROR(VLOOKUP(C1010,Gastos!$A$9:$J$1281,10,0),0)</f>
        <v>-1945.35</v>
      </c>
      <c r="L1010" s="87">
        <f>-IFERROR(VLOOKUP(C1010,IDC!$A$25:$H$1532,8,0),0)</f>
        <v>-297</v>
      </c>
      <c r="M1010" s="122">
        <f t="shared" si="142"/>
        <v>49500</v>
      </c>
      <c r="N1010"/>
      <c r="P1010" s="35">
        <f t="shared" si="143"/>
        <v>-49500</v>
      </c>
      <c r="Q1010" s="66">
        <f t="shared" si="144"/>
        <v>0</v>
      </c>
    </row>
    <row r="1011" spans="1:18" hidden="1">
      <c r="A1011" s="1" t="s">
        <v>1030</v>
      </c>
      <c r="B1011" s="1" t="s">
        <v>15</v>
      </c>
      <c r="C1011" s="91">
        <v>126871817554</v>
      </c>
      <c r="D1011" s="3">
        <v>16757.96</v>
      </c>
      <c r="E1011" s="3">
        <v>7768862.9000000004</v>
      </c>
      <c r="F1011" s="35" t="s">
        <v>2750</v>
      </c>
      <c r="G1011"/>
      <c r="H1011"/>
      <c r="I1011" s="27">
        <f>-IFERROR(VLOOKUP(C1011,SIRCUPA!$A$21:$H$155,8,0),0)</f>
        <v>0</v>
      </c>
      <c r="J1011" s="88">
        <f>-IFERROR(VLOOKUP(C1011,SIRTAC!$A$16:$H$1288,8,0),0)</f>
        <v>-172</v>
      </c>
      <c r="K1011" s="88">
        <f>-IFERROR(VLOOKUP(C1011,Gastos!$A$9:$J$1281,10,0),0)</f>
        <v>-166.84</v>
      </c>
      <c r="L1011" s="87">
        <f>-IFERROR(VLOOKUP(C1011,IDC!$A$25:$H$1532,8,0),0)</f>
        <v>-103.2</v>
      </c>
      <c r="M1011" s="122">
        <f t="shared" si="142"/>
        <v>17200</v>
      </c>
      <c r="N1011"/>
      <c r="P1011" s="35">
        <f t="shared" si="143"/>
        <v>-17200</v>
      </c>
      <c r="Q1011" s="66">
        <f t="shared" si="144"/>
        <v>0</v>
      </c>
    </row>
    <row r="1012" spans="1:18" hidden="1">
      <c r="A1012" s="1" t="s">
        <v>1030</v>
      </c>
      <c r="B1012" s="1" t="s">
        <v>15</v>
      </c>
      <c r="C1012" s="91">
        <v>126314909589</v>
      </c>
      <c r="D1012" s="3">
        <v>4871.5</v>
      </c>
      <c r="E1012" s="3">
        <v>7773734.4000000004</v>
      </c>
      <c r="F1012" s="35" t="s">
        <v>2750</v>
      </c>
      <c r="G1012"/>
      <c r="H1012"/>
      <c r="I1012" s="27">
        <f>-IFERROR(VLOOKUP(C1012,SIRCUPA!$A$21:$H$155,8,0),0)</f>
        <v>0</v>
      </c>
      <c r="J1012" s="88">
        <f>-IFERROR(VLOOKUP(C1012,SIRTAC!$A$16:$H$1288,8,0),0)</f>
        <v>-50</v>
      </c>
      <c r="K1012" s="88">
        <f>-IFERROR(VLOOKUP(C1012,Gastos!$A$9:$J$1281,10,0),0)</f>
        <v>-48.5</v>
      </c>
      <c r="L1012" s="87">
        <f>-IFERROR(VLOOKUP(C1012,IDC!$A$25:$H$1532,8,0),0)</f>
        <v>-30</v>
      </c>
      <c r="M1012" s="122">
        <f t="shared" si="142"/>
        <v>5000</v>
      </c>
      <c r="N1012"/>
      <c r="P1012" s="35">
        <f t="shared" si="143"/>
        <v>-5000</v>
      </c>
      <c r="Q1012" s="66">
        <f t="shared" si="144"/>
        <v>0</v>
      </c>
    </row>
    <row r="1013" spans="1:18" hidden="1">
      <c r="A1013" s="1" t="s">
        <v>1030</v>
      </c>
      <c r="B1013" s="1" t="s">
        <v>15</v>
      </c>
      <c r="C1013" s="91">
        <v>126873074156</v>
      </c>
      <c r="D1013" s="3">
        <v>4189.49</v>
      </c>
      <c r="E1013" s="3">
        <v>7777923.8899999997</v>
      </c>
      <c r="F1013" s="35" t="s">
        <v>2750</v>
      </c>
      <c r="G1013"/>
      <c r="H1013"/>
      <c r="I1013" s="27">
        <f>-IFERROR(VLOOKUP(C1013,SIRCUPA!$A$21:$H$155,8,0),0)</f>
        <v>0</v>
      </c>
      <c r="J1013" s="88">
        <f>-IFERROR(VLOOKUP(C1013,SIRTAC!$A$16:$H$1288,8,0),0)</f>
        <v>-43</v>
      </c>
      <c r="K1013" s="88">
        <f>-IFERROR(VLOOKUP(C1013,Gastos!$A$9:$J$1281,10,0),0)</f>
        <v>-41.71</v>
      </c>
      <c r="L1013" s="87">
        <f>-IFERROR(VLOOKUP(C1013,IDC!$A$25:$H$1532,8,0),0)</f>
        <v>-25.8</v>
      </c>
      <c r="M1013" s="122">
        <f t="shared" si="142"/>
        <v>4300</v>
      </c>
      <c r="N1013"/>
      <c r="P1013" s="35">
        <f t="shared" si="143"/>
        <v>-4300</v>
      </c>
      <c r="Q1013" s="66">
        <f t="shared" si="144"/>
        <v>0</v>
      </c>
    </row>
    <row r="1014" spans="1:18" hidden="1">
      <c r="A1014" s="1" t="s">
        <v>903</v>
      </c>
      <c r="B1014" s="1" t="s">
        <v>916</v>
      </c>
      <c r="C1014" s="91">
        <v>125698300455</v>
      </c>
      <c r="D1014" s="3">
        <v>-816942.42</v>
      </c>
      <c r="E1014" s="3">
        <v>13529923.33</v>
      </c>
      <c r="F1014" s="35" t="s">
        <v>2751</v>
      </c>
      <c r="G1014" s="4">
        <f>+D1014/1.006</f>
        <v>-812070</v>
      </c>
      <c r="H1014" s="4">
        <f>+D1014-G1014</f>
        <v>-4872.4200000000419</v>
      </c>
      <c r="I1014" s="27">
        <f>-IFERROR(VLOOKUP(C1014,SIRCUPA!$A$21:$H$155,8,0),0)</f>
        <v>0</v>
      </c>
      <c r="J1014" s="88">
        <f>-IFERROR(VLOOKUP(C1014,SIRTAC!$A$16:$H$1288,8,0),0)</f>
        <v>0</v>
      </c>
      <c r="K1014" s="88">
        <f>-IFERROR(VLOOKUP(C1014,Gastos!$A$9:$J$1281,10,0),0)</f>
        <v>0</v>
      </c>
      <c r="L1014" s="87">
        <f>+D1014-G1014</f>
        <v>-4872.4200000000419</v>
      </c>
      <c r="M1014" s="121">
        <f t="shared" ref="M1014:M1015" si="145">+D1014-I1014-J1014-K1014-L1014</f>
        <v>-812070</v>
      </c>
      <c r="Q1014" s="35">
        <f t="shared" ref="Q1014:Q1015" si="146">+L1014/0.006</f>
        <v>-812070.00000000698</v>
      </c>
      <c r="R1014" s="66">
        <f t="shared" ref="R1014:R1015" si="147">+M1014-Q1014</f>
        <v>6.9849193096160889E-9</v>
      </c>
    </row>
    <row r="1015" spans="1:18" hidden="1">
      <c r="A1015" s="1" t="s">
        <v>1282</v>
      </c>
      <c r="B1015" s="1" t="s">
        <v>916</v>
      </c>
      <c r="C1015" s="91">
        <v>126561112907</v>
      </c>
      <c r="D1015" s="3">
        <v>-823539.27</v>
      </c>
      <c r="E1015" s="3">
        <v>10059302.48</v>
      </c>
      <c r="F1015" s="35" t="s">
        <v>2751</v>
      </c>
      <c r="G1015" s="4">
        <f>+D1015/1.006</f>
        <v>-818627.50497017894</v>
      </c>
      <c r="H1015" s="4">
        <f>+D1015-G1015</f>
        <v>-4911.7650298210792</v>
      </c>
      <c r="I1015" s="27">
        <f>-IFERROR(VLOOKUP(C1015,SIRCUPA!$A$21:$H$155,8,0),0)</f>
        <v>0</v>
      </c>
      <c r="J1015" s="88">
        <f>-IFERROR(VLOOKUP(C1015,SIRTAC!$A$16:$H$1288,8,0),0)</f>
        <v>0</v>
      </c>
      <c r="K1015" s="88">
        <f>-IFERROR(VLOOKUP(C1015,Gastos!$A$9:$J$1281,10,0),0)</f>
        <v>0</v>
      </c>
      <c r="L1015" s="87">
        <f>+D1015-G1015</f>
        <v>-4911.7650298210792</v>
      </c>
      <c r="M1015" s="121">
        <f t="shared" si="145"/>
        <v>-818627.50497017894</v>
      </c>
      <c r="Q1015" s="35">
        <f t="shared" si="146"/>
        <v>-818627.50497017987</v>
      </c>
      <c r="R1015" s="66">
        <f t="shared" si="147"/>
        <v>9.3132257461547852E-10</v>
      </c>
    </row>
    <row r="1016" spans="1:18" hidden="1">
      <c r="A1016" s="1" t="s">
        <v>1111</v>
      </c>
      <c r="B1016" s="1" t="s">
        <v>15</v>
      </c>
      <c r="C1016" s="91">
        <v>126316225841</v>
      </c>
      <c r="D1016" s="3">
        <v>1851.17</v>
      </c>
      <c r="E1016" s="3">
        <v>7779775.0599999996</v>
      </c>
      <c r="F1016" s="35" t="s">
        <v>2750</v>
      </c>
      <c r="G1016"/>
      <c r="H1016"/>
      <c r="I1016" s="27">
        <f>-IFERROR(VLOOKUP(C1016,SIRCUPA!$A$21:$H$155,8,0),0)</f>
        <v>0</v>
      </c>
      <c r="J1016" s="88">
        <f>-IFERROR(VLOOKUP(C1016,SIRTAC!$A$16:$H$1288,8,0),0)</f>
        <v>-19</v>
      </c>
      <c r="K1016" s="88">
        <f>-IFERROR(VLOOKUP(C1016,Gastos!$A$9:$J$1281,10,0),0)</f>
        <v>-18.43</v>
      </c>
      <c r="L1016" s="87">
        <f>-IFERROR(VLOOKUP(C1016,IDC!$A$25:$H$1532,8,0),0)</f>
        <v>-11.4</v>
      </c>
      <c r="M1016" s="122">
        <f t="shared" ref="M1016:M1047" si="148">+D1016-I1016-J1016-K1016-L1016</f>
        <v>1900.0000000000002</v>
      </c>
      <c r="N1016"/>
      <c r="P1016" s="35">
        <f t="shared" ref="P1016:P1079" si="149">+L1016/0.006</f>
        <v>-1900</v>
      </c>
      <c r="Q1016" s="66">
        <f t="shared" ref="Q1016:Q1079" si="150">+M1016+P1016</f>
        <v>0</v>
      </c>
    </row>
    <row r="1017" spans="1:18" hidden="1">
      <c r="A1017" s="1" t="s">
        <v>1111</v>
      </c>
      <c r="B1017" s="1" t="s">
        <v>1113</v>
      </c>
      <c r="C1017" s="91">
        <v>126873295184</v>
      </c>
      <c r="D1017" s="2">
        <v>93</v>
      </c>
      <c r="E1017" s="3">
        <v>7779868.0599999996</v>
      </c>
      <c r="F1017" s="2" t="s">
        <v>2750</v>
      </c>
      <c r="G1017"/>
      <c r="H1017"/>
      <c r="I1017" s="27">
        <f>-IFERROR(VLOOKUP(C1017,SIRCUPA!$A$21:$H$155,8,0),0)</f>
        <v>-1.43</v>
      </c>
      <c r="J1017" s="88">
        <f>-IFERROR(VLOOKUP(C1017,SIRTAC!$A$16:$H$1288,8,0),0)</f>
        <v>0</v>
      </c>
      <c r="K1017" s="88">
        <f>-IFERROR(VLOOKUP(C1017,Gastos!$A$9:$J$1281,10,0),0)</f>
        <v>0</v>
      </c>
      <c r="L1017" s="87">
        <f>-IFERROR(VLOOKUP(C1017,IDC!$A$25:$H$1532,8,0),0)</f>
        <v>-0.56999999999999995</v>
      </c>
      <c r="M1017" s="122">
        <f t="shared" si="148"/>
        <v>95</v>
      </c>
      <c r="N1017"/>
      <c r="P1017" s="35">
        <f t="shared" si="149"/>
        <v>-94.999999999999986</v>
      </c>
      <c r="Q1017" s="66">
        <f t="shared" si="150"/>
        <v>0</v>
      </c>
    </row>
    <row r="1018" spans="1:18" hidden="1">
      <c r="A1018" s="1" t="s">
        <v>1111</v>
      </c>
      <c r="B1018" s="1" t="s">
        <v>15</v>
      </c>
      <c r="C1018" s="91">
        <v>126874886990</v>
      </c>
      <c r="D1018" s="3">
        <v>67734.990000000005</v>
      </c>
      <c r="E1018" s="3">
        <v>7847603.0499999998</v>
      </c>
      <c r="F1018" s="35" t="s">
        <v>2750</v>
      </c>
      <c r="G1018"/>
      <c r="H1018"/>
      <c r="I1018" s="27">
        <f>-IFERROR(VLOOKUP(C1018,SIRCUPA!$A$21:$H$155,8,0),0)</f>
        <v>0</v>
      </c>
      <c r="J1018" s="88">
        <f>-IFERROR(VLOOKUP(C1018,SIRTAC!$A$16:$H$1288,8,0),0)</f>
        <v>-717</v>
      </c>
      <c r="K1018" s="88">
        <f>-IFERROR(VLOOKUP(C1018,Gastos!$A$9:$J$1281,10,0),0)</f>
        <v>-2817.81</v>
      </c>
      <c r="L1018" s="87">
        <f>-IFERROR(VLOOKUP(C1018,IDC!$A$25:$H$1532,8,0),0)</f>
        <v>-430.2</v>
      </c>
      <c r="M1018" s="122">
        <f t="shared" si="148"/>
        <v>71700</v>
      </c>
      <c r="N1018"/>
      <c r="P1018" s="35">
        <f t="shared" si="149"/>
        <v>-71700</v>
      </c>
      <c r="Q1018" s="66">
        <f t="shared" si="150"/>
        <v>0</v>
      </c>
    </row>
    <row r="1019" spans="1:18" hidden="1">
      <c r="A1019" s="1" t="s">
        <v>1111</v>
      </c>
      <c r="B1019" s="1" t="s">
        <v>15</v>
      </c>
      <c r="C1019" s="91">
        <v>126875041098</v>
      </c>
      <c r="D1019" s="3">
        <v>14831.79</v>
      </c>
      <c r="E1019" s="3">
        <v>7862434.8399999999</v>
      </c>
      <c r="F1019" s="35" t="s">
        <v>2750</v>
      </c>
      <c r="G1019"/>
      <c r="H1019"/>
      <c r="I1019" s="27">
        <f>-IFERROR(VLOOKUP(C1019,SIRCUPA!$A$21:$H$155,8,0),0)</f>
        <v>0</v>
      </c>
      <c r="J1019" s="88">
        <f>-IFERROR(VLOOKUP(C1019,SIRTAC!$A$16:$H$1288,8,0),0)</f>
        <v>-157</v>
      </c>
      <c r="K1019" s="88">
        <f>-IFERROR(VLOOKUP(C1019,Gastos!$A$9:$J$1281,10,0),0)</f>
        <v>-617.01</v>
      </c>
      <c r="L1019" s="87">
        <f>-IFERROR(VLOOKUP(C1019,IDC!$A$25:$H$1532,8,0),0)</f>
        <v>-94.2</v>
      </c>
      <c r="M1019" s="122">
        <f t="shared" si="148"/>
        <v>15700.000000000002</v>
      </c>
      <c r="N1019"/>
      <c r="P1019" s="35">
        <f t="shared" si="149"/>
        <v>-15700</v>
      </c>
      <c r="Q1019" s="66">
        <f t="shared" si="150"/>
        <v>0</v>
      </c>
    </row>
    <row r="1020" spans="1:18" hidden="1">
      <c r="A1020" s="1" t="s">
        <v>1111</v>
      </c>
      <c r="B1020" s="1" t="s">
        <v>15</v>
      </c>
      <c r="C1020" s="91">
        <v>126318205615</v>
      </c>
      <c r="D1020" s="3">
        <v>7696.97</v>
      </c>
      <c r="E1020" s="3">
        <v>7870131.8099999996</v>
      </c>
      <c r="F1020" s="35" t="s">
        <v>2750</v>
      </c>
      <c r="G1020"/>
      <c r="H1020"/>
      <c r="I1020" s="27">
        <f>-IFERROR(VLOOKUP(C1020,SIRCUPA!$A$21:$H$155,8,0),0)</f>
        <v>0</v>
      </c>
      <c r="J1020" s="88">
        <f>-IFERROR(VLOOKUP(C1020,SIRTAC!$A$16:$H$1288,8,0),0)</f>
        <v>-79</v>
      </c>
      <c r="K1020" s="88">
        <f>-IFERROR(VLOOKUP(C1020,Gastos!$A$9:$J$1281,10,0),0)</f>
        <v>-76.63</v>
      </c>
      <c r="L1020" s="87">
        <f>-IFERROR(VLOOKUP(C1020,IDC!$A$25:$H$1532,8,0),0)</f>
        <v>-47.4</v>
      </c>
      <c r="M1020" s="122">
        <f t="shared" si="148"/>
        <v>7900</v>
      </c>
      <c r="N1020"/>
      <c r="P1020" s="35">
        <f t="shared" si="149"/>
        <v>-7900</v>
      </c>
      <c r="Q1020" s="66">
        <f t="shared" si="150"/>
        <v>0</v>
      </c>
    </row>
    <row r="1021" spans="1:18" hidden="1">
      <c r="A1021" s="1" t="s">
        <v>1111</v>
      </c>
      <c r="B1021" s="1" t="s">
        <v>15</v>
      </c>
      <c r="C1021" s="91">
        <v>126875172028</v>
      </c>
      <c r="D1021" s="3">
        <v>4871.5</v>
      </c>
      <c r="E1021" s="3">
        <v>7875003.3099999996</v>
      </c>
      <c r="F1021" s="35" t="s">
        <v>2750</v>
      </c>
      <c r="G1021"/>
      <c r="H1021"/>
      <c r="I1021" s="27">
        <f>-IFERROR(VLOOKUP(C1021,SIRCUPA!$A$21:$H$155,8,0),0)</f>
        <v>0</v>
      </c>
      <c r="J1021" s="88">
        <f>-IFERROR(VLOOKUP(C1021,SIRTAC!$A$16:$H$1288,8,0),0)</f>
        <v>-50</v>
      </c>
      <c r="K1021" s="88">
        <f>-IFERROR(VLOOKUP(C1021,Gastos!$A$9:$J$1281,10,0),0)</f>
        <v>-48.5</v>
      </c>
      <c r="L1021" s="87">
        <f>-IFERROR(VLOOKUP(C1021,IDC!$A$25:$H$1532,8,0),0)</f>
        <v>-30</v>
      </c>
      <c r="M1021" s="122">
        <f t="shared" si="148"/>
        <v>5000</v>
      </c>
      <c r="N1021"/>
      <c r="P1021" s="35">
        <f t="shared" si="149"/>
        <v>-5000</v>
      </c>
      <c r="Q1021" s="66">
        <f t="shared" si="150"/>
        <v>0</v>
      </c>
    </row>
    <row r="1022" spans="1:18" hidden="1">
      <c r="A1022" s="1" t="s">
        <v>1111</v>
      </c>
      <c r="B1022" s="1" t="s">
        <v>15</v>
      </c>
      <c r="C1022" s="91">
        <v>126876254088</v>
      </c>
      <c r="D1022" s="3">
        <v>4189.49</v>
      </c>
      <c r="E1022" s="3">
        <v>7879192.7999999998</v>
      </c>
      <c r="F1022" s="35" t="s">
        <v>2750</v>
      </c>
      <c r="G1022"/>
      <c r="H1022"/>
      <c r="I1022" s="27">
        <f>-IFERROR(VLOOKUP(C1022,SIRCUPA!$A$21:$H$155,8,0),0)</f>
        <v>0</v>
      </c>
      <c r="J1022" s="88">
        <f>-IFERROR(VLOOKUP(C1022,SIRTAC!$A$16:$H$1288,8,0),0)</f>
        <v>-43</v>
      </c>
      <c r="K1022" s="88">
        <f>-IFERROR(VLOOKUP(C1022,Gastos!$A$9:$J$1281,10,0),0)</f>
        <v>-41.71</v>
      </c>
      <c r="L1022" s="87">
        <f>-IFERROR(VLOOKUP(C1022,IDC!$A$25:$H$1532,8,0),0)</f>
        <v>-25.8</v>
      </c>
      <c r="M1022" s="122">
        <f t="shared" si="148"/>
        <v>4300</v>
      </c>
      <c r="N1022"/>
      <c r="P1022" s="35">
        <f t="shared" si="149"/>
        <v>-4300</v>
      </c>
      <c r="Q1022" s="66">
        <f t="shared" si="150"/>
        <v>0</v>
      </c>
    </row>
    <row r="1023" spans="1:18" hidden="1">
      <c r="A1023" s="1" t="s">
        <v>1111</v>
      </c>
      <c r="B1023" s="1" t="s">
        <v>15</v>
      </c>
      <c r="C1023" s="91">
        <v>126876381400</v>
      </c>
      <c r="D1023" s="3">
        <v>6820.1</v>
      </c>
      <c r="E1023" s="3">
        <v>7886012.9000000004</v>
      </c>
      <c r="F1023" s="35" t="s">
        <v>2750</v>
      </c>
      <c r="G1023"/>
      <c r="H1023"/>
      <c r="I1023" s="27">
        <f>-IFERROR(VLOOKUP(C1023,SIRCUPA!$A$21:$H$155,8,0),0)</f>
        <v>0</v>
      </c>
      <c r="J1023" s="88">
        <f>-IFERROR(VLOOKUP(C1023,SIRTAC!$A$16:$H$1288,8,0),0)</f>
        <v>-70</v>
      </c>
      <c r="K1023" s="88">
        <f>-IFERROR(VLOOKUP(C1023,Gastos!$A$9:$J$1281,10,0),0)</f>
        <v>-67.900000000000006</v>
      </c>
      <c r="L1023" s="87">
        <f>-IFERROR(VLOOKUP(C1023,IDC!$A$25:$H$1532,8,0),0)</f>
        <v>-42</v>
      </c>
      <c r="M1023" s="122">
        <f t="shared" si="148"/>
        <v>7000</v>
      </c>
      <c r="N1023"/>
      <c r="P1023" s="35">
        <f t="shared" si="149"/>
        <v>-7000</v>
      </c>
      <c r="Q1023" s="66">
        <f t="shared" si="150"/>
        <v>0</v>
      </c>
    </row>
    <row r="1024" spans="1:18" hidden="1">
      <c r="A1024" s="1" t="s">
        <v>1111</v>
      </c>
      <c r="B1024" s="1" t="s">
        <v>15</v>
      </c>
      <c r="C1024" s="91">
        <v>126319844955</v>
      </c>
      <c r="D1024" s="3">
        <v>30105.87</v>
      </c>
      <c r="E1024" s="3">
        <v>7916118.7699999996</v>
      </c>
      <c r="F1024" s="35" t="s">
        <v>2750</v>
      </c>
      <c r="G1024"/>
      <c r="H1024"/>
      <c r="I1024" s="27">
        <f>-IFERROR(VLOOKUP(C1024,SIRCUPA!$A$21:$H$155,8,0),0)</f>
        <v>0</v>
      </c>
      <c r="J1024" s="88">
        <f>-IFERROR(VLOOKUP(C1024,SIRTAC!$A$16:$H$1288,8,0),0)</f>
        <v>-309</v>
      </c>
      <c r="K1024" s="88">
        <f>-IFERROR(VLOOKUP(C1024,Gastos!$A$9:$J$1281,10,0),0)</f>
        <v>-299.73</v>
      </c>
      <c r="L1024" s="87">
        <f>-IFERROR(VLOOKUP(C1024,IDC!$A$25:$H$1532,8,0),0)</f>
        <v>-185.4</v>
      </c>
      <c r="M1024" s="122">
        <f t="shared" si="148"/>
        <v>30900</v>
      </c>
      <c r="N1024"/>
      <c r="P1024" s="35">
        <f t="shared" si="149"/>
        <v>-30900</v>
      </c>
      <c r="Q1024" s="66">
        <f t="shared" si="150"/>
        <v>0</v>
      </c>
    </row>
    <row r="1025" spans="1:17" hidden="1">
      <c r="A1025" s="1" t="s">
        <v>1111</v>
      </c>
      <c r="B1025" s="1" t="s">
        <v>15</v>
      </c>
      <c r="C1025" s="91">
        <v>126320141423</v>
      </c>
      <c r="D1025" s="3">
        <v>12958.19</v>
      </c>
      <c r="E1025" s="3">
        <v>7929076.96</v>
      </c>
      <c r="F1025" s="35" t="s">
        <v>2750</v>
      </c>
      <c r="G1025"/>
      <c r="H1025"/>
      <c r="I1025" s="27">
        <f>-IFERROR(VLOOKUP(C1025,SIRCUPA!$A$21:$H$155,8,0),0)</f>
        <v>0</v>
      </c>
      <c r="J1025" s="88">
        <f>-IFERROR(VLOOKUP(C1025,SIRTAC!$A$16:$H$1288,8,0),0)</f>
        <v>-133</v>
      </c>
      <c r="K1025" s="88">
        <f>-IFERROR(VLOOKUP(C1025,Gastos!$A$9:$J$1281,10,0),0)</f>
        <v>-129.01</v>
      </c>
      <c r="L1025" s="87">
        <f>-IFERROR(VLOOKUP(C1025,IDC!$A$25:$H$1532,8,0),0)</f>
        <v>-79.8</v>
      </c>
      <c r="M1025" s="122">
        <f t="shared" si="148"/>
        <v>13300</v>
      </c>
      <c r="N1025"/>
      <c r="P1025" s="35">
        <f t="shared" si="149"/>
        <v>-13300</v>
      </c>
      <c r="Q1025" s="66">
        <f t="shared" si="150"/>
        <v>0</v>
      </c>
    </row>
    <row r="1026" spans="1:17" hidden="1">
      <c r="A1026" s="1" t="s">
        <v>1111</v>
      </c>
      <c r="B1026" s="1" t="s">
        <v>15</v>
      </c>
      <c r="C1026" s="91">
        <v>126320288243</v>
      </c>
      <c r="D1026" s="3">
        <v>4189.49</v>
      </c>
      <c r="E1026" s="3">
        <v>7933266.4500000002</v>
      </c>
      <c r="F1026" s="35" t="s">
        <v>2750</v>
      </c>
      <c r="G1026"/>
      <c r="H1026"/>
      <c r="I1026" s="27">
        <f>-IFERROR(VLOOKUP(C1026,SIRCUPA!$A$21:$H$155,8,0),0)</f>
        <v>0</v>
      </c>
      <c r="J1026" s="88">
        <f>-IFERROR(VLOOKUP(C1026,SIRTAC!$A$16:$H$1288,8,0),0)</f>
        <v>-43</v>
      </c>
      <c r="K1026" s="88">
        <f>-IFERROR(VLOOKUP(C1026,Gastos!$A$9:$J$1281,10,0),0)</f>
        <v>-41.71</v>
      </c>
      <c r="L1026" s="87">
        <f>-IFERROR(VLOOKUP(C1026,IDC!$A$25:$H$1532,8,0),0)</f>
        <v>-25.8</v>
      </c>
      <c r="M1026" s="122">
        <f t="shared" si="148"/>
        <v>4300</v>
      </c>
      <c r="N1026"/>
      <c r="P1026" s="35">
        <f t="shared" si="149"/>
        <v>-4300</v>
      </c>
      <c r="Q1026" s="66">
        <f t="shared" si="150"/>
        <v>0</v>
      </c>
    </row>
    <row r="1027" spans="1:17" hidden="1">
      <c r="A1027" s="1" t="s">
        <v>1111</v>
      </c>
      <c r="B1027" s="1" t="s">
        <v>15</v>
      </c>
      <c r="C1027" s="91">
        <v>126320241659</v>
      </c>
      <c r="D1027" s="3">
        <v>11128.55</v>
      </c>
      <c r="E1027" s="3">
        <v>7944395</v>
      </c>
      <c r="F1027" s="35" t="s">
        <v>2750</v>
      </c>
      <c r="G1027"/>
      <c r="H1027"/>
      <c r="I1027" s="27">
        <f>-IFERROR(VLOOKUP(C1027,SIRCUPA!$A$21:$H$155,8,0),0)</f>
        <v>0</v>
      </c>
      <c r="J1027" s="88">
        <f>-IFERROR(VLOOKUP(C1027,SIRTAC!$A$16:$H$1288,8,0),0)</f>
        <v>-115</v>
      </c>
      <c r="K1027" s="88">
        <f>-IFERROR(VLOOKUP(C1027,Gastos!$A$9:$J$1281,10,0),0)</f>
        <v>-187.45</v>
      </c>
      <c r="L1027" s="87">
        <f>-IFERROR(VLOOKUP(C1027,IDC!$A$25:$H$1532,8,0),0)</f>
        <v>-69</v>
      </c>
      <c r="M1027" s="122">
        <f t="shared" si="148"/>
        <v>11500</v>
      </c>
      <c r="N1027"/>
      <c r="P1027" s="35">
        <f t="shared" si="149"/>
        <v>-11500</v>
      </c>
      <c r="Q1027" s="66">
        <f t="shared" si="150"/>
        <v>0</v>
      </c>
    </row>
    <row r="1028" spans="1:17" hidden="1">
      <c r="A1028" s="1" t="s">
        <v>1111</v>
      </c>
      <c r="B1028" s="1" t="s">
        <v>1125</v>
      </c>
      <c r="C1028" s="91">
        <v>126320241673</v>
      </c>
      <c r="D1028" s="3">
        <v>1688.77</v>
      </c>
      <c r="E1028" s="3">
        <v>7946083.7699999996</v>
      </c>
      <c r="F1028" s="2" t="s">
        <v>2750</v>
      </c>
      <c r="G1028"/>
      <c r="H1028"/>
      <c r="I1028" s="27">
        <f>-IFERROR(VLOOKUP(C1028,SIRCUPA!$A$21:$H$155,8,0),0)</f>
        <v>-25.88</v>
      </c>
      <c r="J1028" s="88">
        <f>-IFERROR(VLOOKUP(C1028,SIRTAC!$A$16:$H$1288,8,0),0)</f>
        <v>0</v>
      </c>
      <c r="K1028" s="88">
        <f>-IFERROR(VLOOKUP(C1028,Gastos!$A$9:$J$1281,10,0),0)</f>
        <v>0</v>
      </c>
      <c r="L1028" s="87">
        <f>-IFERROR(VLOOKUP(C1028,IDC!$A$25:$H$1532,8,0),0)</f>
        <v>-10.35</v>
      </c>
      <c r="M1028" s="122">
        <f t="shared" si="148"/>
        <v>1725</v>
      </c>
      <c r="N1028"/>
      <c r="P1028" s="35">
        <f t="shared" si="149"/>
        <v>-1725</v>
      </c>
      <c r="Q1028" s="66">
        <f t="shared" si="150"/>
        <v>0</v>
      </c>
    </row>
    <row r="1029" spans="1:17" hidden="1">
      <c r="A1029" s="1" t="s">
        <v>1111</v>
      </c>
      <c r="B1029" s="1" t="s">
        <v>15</v>
      </c>
      <c r="C1029" s="91">
        <v>126877870800</v>
      </c>
      <c r="D1029" s="3">
        <v>9158.42</v>
      </c>
      <c r="E1029" s="3">
        <v>7955242.1900000004</v>
      </c>
      <c r="F1029" s="35" t="s">
        <v>2750</v>
      </c>
      <c r="G1029"/>
      <c r="H1029"/>
      <c r="I1029" s="27">
        <f>-IFERROR(VLOOKUP(C1029,SIRCUPA!$A$21:$H$155,8,0),0)</f>
        <v>0</v>
      </c>
      <c r="J1029" s="88">
        <f>-IFERROR(VLOOKUP(C1029,SIRTAC!$A$16:$H$1288,8,0),0)</f>
        <v>-94</v>
      </c>
      <c r="K1029" s="88">
        <f>-IFERROR(VLOOKUP(C1029,Gastos!$A$9:$J$1281,10,0),0)</f>
        <v>-91.18</v>
      </c>
      <c r="L1029" s="87">
        <f>-IFERROR(VLOOKUP(C1029,IDC!$A$25:$H$1532,8,0),0)</f>
        <v>-56.4</v>
      </c>
      <c r="M1029" s="122">
        <f t="shared" si="148"/>
        <v>9400</v>
      </c>
      <c r="N1029"/>
      <c r="P1029" s="35">
        <f t="shared" si="149"/>
        <v>-9400</v>
      </c>
      <c r="Q1029" s="66">
        <f t="shared" si="150"/>
        <v>0</v>
      </c>
    </row>
    <row r="1030" spans="1:17" hidden="1">
      <c r="A1030" s="1" t="s">
        <v>1111</v>
      </c>
      <c r="B1030" s="1" t="s">
        <v>15</v>
      </c>
      <c r="C1030" s="91">
        <v>126878375750</v>
      </c>
      <c r="D1030" s="3">
        <v>224700.84</v>
      </c>
      <c r="E1030" s="3">
        <v>8179943.0300000003</v>
      </c>
      <c r="F1030" s="35" t="s">
        <v>2750</v>
      </c>
      <c r="G1030"/>
      <c r="H1030"/>
      <c r="I1030" s="27">
        <f>-IFERROR(VLOOKUP(C1030,SIRCUPA!$A$21:$H$155,8,0),0)</f>
        <v>0</v>
      </c>
      <c r="J1030" s="88">
        <f>-IFERROR(VLOOKUP(C1030,SIRTAC!$A$16:$H$1288,8,0),0)</f>
        <v>-2394</v>
      </c>
      <c r="K1030" s="88">
        <f>-IFERROR(VLOOKUP(C1030,Gastos!$A$9:$J$1281,10,0),0)</f>
        <v>-10868.76</v>
      </c>
      <c r="L1030" s="87">
        <f>-IFERROR(VLOOKUP(C1030,IDC!$A$25:$H$1532,8,0),0)</f>
        <v>-1436.4</v>
      </c>
      <c r="M1030" s="122">
        <f t="shared" si="148"/>
        <v>239400</v>
      </c>
      <c r="N1030"/>
      <c r="P1030" s="35">
        <f t="shared" si="149"/>
        <v>-239400</v>
      </c>
      <c r="Q1030" s="66">
        <f t="shared" si="150"/>
        <v>0</v>
      </c>
    </row>
    <row r="1031" spans="1:17" hidden="1">
      <c r="A1031" s="1" t="s">
        <v>1111</v>
      </c>
      <c r="B1031" s="1" t="s">
        <v>15</v>
      </c>
      <c r="C1031" s="91">
        <v>126321636735</v>
      </c>
      <c r="D1031" s="3">
        <v>41700.04</v>
      </c>
      <c r="E1031" s="3">
        <v>8221643.0700000003</v>
      </c>
      <c r="F1031" s="35" t="s">
        <v>2750</v>
      </c>
      <c r="G1031"/>
      <c r="H1031"/>
      <c r="I1031" s="27">
        <f>-IFERROR(VLOOKUP(C1031,SIRCUPA!$A$21:$H$155,8,0),0)</f>
        <v>0</v>
      </c>
      <c r="J1031" s="88">
        <f>-IFERROR(VLOOKUP(C1031,SIRTAC!$A$16:$H$1288,8,0),0)</f>
        <v>-428</v>
      </c>
      <c r="K1031" s="88">
        <f>-IFERROR(VLOOKUP(C1031,Gastos!$A$9:$J$1281,10,0),0)</f>
        <v>-415.16</v>
      </c>
      <c r="L1031" s="87">
        <f>-IFERROR(VLOOKUP(C1031,IDC!$A$25:$H$1532,8,0),0)</f>
        <v>-256.8</v>
      </c>
      <c r="M1031" s="122">
        <f t="shared" si="148"/>
        <v>42800.000000000007</v>
      </c>
      <c r="N1031"/>
      <c r="P1031" s="35">
        <f t="shared" si="149"/>
        <v>-42800</v>
      </c>
      <c r="Q1031" s="66">
        <f t="shared" si="150"/>
        <v>0</v>
      </c>
    </row>
    <row r="1032" spans="1:17" hidden="1">
      <c r="A1032" s="1" t="s">
        <v>1111</v>
      </c>
      <c r="B1032" s="1" t="s">
        <v>15</v>
      </c>
      <c r="C1032" s="91">
        <v>126322107825</v>
      </c>
      <c r="D1032" s="3">
        <v>62728.08</v>
      </c>
      <c r="E1032" s="3">
        <v>8284371.1500000004</v>
      </c>
      <c r="F1032" s="35" t="s">
        <v>2750</v>
      </c>
      <c r="G1032"/>
      <c r="H1032"/>
      <c r="I1032" s="27">
        <f>-IFERROR(VLOOKUP(C1032,SIRCUPA!$A$21:$H$155,8,0),0)</f>
        <v>0</v>
      </c>
      <c r="J1032" s="88">
        <f>-IFERROR(VLOOKUP(C1032,SIRTAC!$A$16:$H$1288,8,0),0)</f>
        <v>-664</v>
      </c>
      <c r="K1032" s="88">
        <f>-IFERROR(VLOOKUP(C1032,Gastos!$A$9:$J$1281,10,0),0)</f>
        <v>-2609.52</v>
      </c>
      <c r="L1032" s="87">
        <f>-IFERROR(VLOOKUP(C1032,IDC!$A$25:$H$1532,8,0),0)</f>
        <v>-398.4</v>
      </c>
      <c r="M1032" s="122">
        <f t="shared" si="148"/>
        <v>66400</v>
      </c>
      <c r="N1032"/>
      <c r="P1032" s="35">
        <f t="shared" si="149"/>
        <v>-66400</v>
      </c>
      <c r="Q1032" s="66">
        <f t="shared" si="150"/>
        <v>0</v>
      </c>
    </row>
    <row r="1033" spans="1:17" hidden="1">
      <c r="A1033" s="1" t="s">
        <v>1111</v>
      </c>
      <c r="B1033" s="1" t="s">
        <v>15</v>
      </c>
      <c r="C1033" s="91">
        <v>126879442386</v>
      </c>
      <c r="D1033" s="3">
        <v>43363.32</v>
      </c>
      <c r="E1033" s="3">
        <v>8327734.4699999997</v>
      </c>
      <c r="F1033" s="35" t="s">
        <v>2750</v>
      </c>
      <c r="G1033"/>
      <c r="H1033"/>
      <c r="I1033" s="27">
        <f>-IFERROR(VLOOKUP(C1033,SIRCUPA!$A$21:$H$155,8,0),0)</f>
        <v>0</v>
      </c>
      <c r="J1033" s="88">
        <f>-IFERROR(VLOOKUP(C1033,SIRTAC!$A$16:$H$1288,8,0),0)</f>
        <v>-462</v>
      </c>
      <c r="K1033" s="88">
        <f>-IFERROR(VLOOKUP(C1033,Gastos!$A$9:$J$1281,10,0),0)</f>
        <v>-2097.48</v>
      </c>
      <c r="L1033" s="87">
        <f>-IFERROR(VLOOKUP(C1033,IDC!$A$25:$H$1532,8,0),0)</f>
        <v>-277.2</v>
      </c>
      <c r="M1033" s="122">
        <f t="shared" si="148"/>
        <v>46200</v>
      </c>
      <c r="N1033"/>
      <c r="P1033" s="35">
        <f t="shared" si="149"/>
        <v>-46200</v>
      </c>
      <c r="Q1033" s="66">
        <f t="shared" si="150"/>
        <v>0</v>
      </c>
    </row>
    <row r="1034" spans="1:17" hidden="1">
      <c r="A1034" s="1" t="s">
        <v>1111</v>
      </c>
      <c r="B1034" s="1" t="s">
        <v>15</v>
      </c>
      <c r="C1034" s="91">
        <v>126322416275</v>
      </c>
      <c r="D1034" s="3">
        <v>9743</v>
      </c>
      <c r="E1034" s="3">
        <v>8337477.4699999997</v>
      </c>
      <c r="F1034" s="35" t="s">
        <v>2750</v>
      </c>
      <c r="G1034"/>
      <c r="H1034"/>
      <c r="I1034" s="27">
        <f>-IFERROR(VLOOKUP(C1034,SIRCUPA!$A$21:$H$155,8,0),0)</f>
        <v>0</v>
      </c>
      <c r="J1034" s="88">
        <f>-IFERROR(VLOOKUP(C1034,SIRTAC!$A$16:$H$1288,8,0),0)</f>
        <v>-100</v>
      </c>
      <c r="K1034" s="88">
        <f>-IFERROR(VLOOKUP(C1034,Gastos!$A$9:$J$1281,10,0),0)</f>
        <v>-97</v>
      </c>
      <c r="L1034" s="87">
        <f>-IFERROR(VLOOKUP(C1034,IDC!$A$25:$H$1532,8,0),0)</f>
        <v>-60</v>
      </c>
      <c r="M1034" s="122">
        <f t="shared" si="148"/>
        <v>10000</v>
      </c>
      <c r="N1034"/>
      <c r="P1034" s="35">
        <f t="shared" si="149"/>
        <v>-10000</v>
      </c>
      <c r="Q1034" s="66">
        <f t="shared" si="150"/>
        <v>0</v>
      </c>
    </row>
    <row r="1035" spans="1:17" hidden="1">
      <c r="A1035" s="1" t="s">
        <v>1111</v>
      </c>
      <c r="B1035" s="1" t="s">
        <v>15</v>
      </c>
      <c r="C1035" s="91">
        <v>126322363921</v>
      </c>
      <c r="D1035" s="3">
        <v>49981.59</v>
      </c>
      <c r="E1035" s="3">
        <v>8387459.0599999996</v>
      </c>
      <c r="F1035" s="35" t="s">
        <v>2750</v>
      </c>
      <c r="G1035"/>
      <c r="H1035"/>
      <c r="I1035" s="27">
        <f>-IFERROR(VLOOKUP(C1035,SIRCUPA!$A$21:$H$155,8,0),0)</f>
        <v>0</v>
      </c>
      <c r="J1035" s="88">
        <f>-IFERROR(VLOOKUP(C1035,SIRTAC!$A$16:$H$1288,8,0),0)</f>
        <v>-513</v>
      </c>
      <c r="K1035" s="88">
        <f>-IFERROR(VLOOKUP(C1035,Gastos!$A$9:$J$1281,10,0),0)</f>
        <v>-497.61</v>
      </c>
      <c r="L1035" s="87">
        <f>-IFERROR(VLOOKUP(C1035,IDC!$A$25:$H$1532,8,0),0)</f>
        <v>-307.8</v>
      </c>
      <c r="M1035" s="122">
        <f t="shared" si="148"/>
        <v>51300</v>
      </c>
      <c r="N1035"/>
      <c r="P1035" s="35">
        <f t="shared" si="149"/>
        <v>-51300</v>
      </c>
      <c r="Q1035" s="66">
        <f t="shared" si="150"/>
        <v>0</v>
      </c>
    </row>
    <row r="1036" spans="1:17" hidden="1">
      <c r="A1036" s="1" t="s">
        <v>1111</v>
      </c>
      <c r="B1036" s="1" t="s">
        <v>15</v>
      </c>
      <c r="C1036" s="91">
        <v>126322417111</v>
      </c>
      <c r="D1036" s="3">
        <v>12665.9</v>
      </c>
      <c r="E1036" s="3">
        <v>8400124.9600000009</v>
      </c>
      <c r="F1036" s="35" t="s">
        <v>2750</v>
      </c>
      <c r="G1036"/>
      <c r="H1036"/>
      <c r="I1036" s="27">
        <f>-IFERROR(VLOOKUP(C1036,SIRCUPA!$A$21:$H$155,8,0),0)</f>
        <v>0</v>
      </c>
      <c r="J1036" s="88">
        <f>-IFERROR(VLOOKUP(C1036,SIRTAC!$A$16:$H$1288,8,0),0)</f>
        <v>-130</v>
      </c>
      <c r="K1036" s="88">
        <f>-IFERROR(VLOOKUP(C1036,Gastos!$A$9:$J$1281,10,0),0)</f>
        <v>-126.1</v>
      </c>
      <c r="L1036" s="87">
        <f>-IFERROR(VLOOKUP(C1036,IDC!$A$25:$H$1532,8,0),0)</f>
        <v>-78</v>
      </c>
      <c r="M1036" s="122">
        <f t="shared" si="148"/>
        <v>13000</v>
      </c>
      <c r="N1036"/>
      <c r="P1036" s="35">
        <f t="shared" si="149"/>
        <v>-13000</v>
      </c>
      <c r="Q1036" s="66">
        <f t="shared" si="150"/>
        <v>0</v>
      </c>
    </row>
    <row r="1037" spans="1:17" hidden="1">
      <c r="A1037" s="1" t="s">
        <v>1111</v>
      </c>
      <c r="B1037" s="1" t="s">
        <v>15</v>
      </c>
      <c r="C1037" s="91">
        <v>126879711336</v>
      </c>
      <c r="D1037" s="3">
        <v>8502.2999999999993</v>
      </c>
      <c r="E1037" s="3">
        <v>8408627.2599999998</v>
      </c>
      <c r="F1037" s="35" t="s">
        <v>2750</v>
      </c>
      <c r="G1037"/>
      <c r="H1037"/>
      <c r="I1037" s="27">
        <f>-IFERROR(VLOOKUP(C1037,SIRCUPA!$A$21:$H$155,8,0),0)</f>
        <v>0</v>
      </c>
      <c r="J1037" s="88">
        <f>-IFERROR(VLOOKUP(C1037,SIRTAC!$A$16:$H$1288,8,0),0)</f>
        <v>-90</v>
      </c>
      <c r="K1037" s="88">
        <f>-IFERROR(VLOOKUP(C1037,Gastos!$A$9:$J$1281,10,0),0)</f>
        <v>-353.7</v>
      </c>
      <c r="L1037" s="87">
        <f>-IFERROR(VLOOKUP(C1037,IDC!$A$25:$H$1532,8,0),0)</f>
        <v>-54</v>
      </c>
      <c r="M1037" s="122">
        <f t="shared" si="148"/>
        <v>9000</v>
      </c>
      <c r="N1037"/>
      <c r="P1037" s="35">
        <f t="shared" si="149"/>
        <v>-9000</v>
      </c>
      <c r="Q1037" s="66">
        <f t="shared" si="150"/>
        <v>0</v>
      </c>
    </row>
    <row r="1038" spans="1:17" hidden="1">
      <c r="A1038" s="1" t="s">
        <v>1111</v>
      </c>
      <c r="B1038" s="1" t="s">
        <v>15</v>
      </c>
      <c r="C1038" s="91">
        <v>126879997894</v>
      </c>
      <c r="D1038" s="3">
        <v>65960.11</v>
      </c>
      <c r="E1038" s="3">
        <v>8474587.3699999992</v>
      </c>
      <c r="F1038" s="35" t="s">
        <v>2750</v>
      </c>
      <c r="G1038"/>
      <c r="H1038"/>
      <c r="I1038" s="27">
        <f>-IFERROR(VLOOKUP(C1038,SIRCUPA!$A$21:$H$155,8,0),0)</f>
        <v>0</v>
      </c>
      <c r="J1038" s="88">
        <f>-IFERROR(VLOOKUP(C1038,SIRTAC!$A$16:$H$1288,8,0),0)</f>
        <v>-677</v>
      </c>
      <c r="K1038" s="88">
        <f>-IFERROR(VLOOKUP(C1038,Gastos!$A$9:$J$1281,10,0),0)</f>
        <v>-656.69</v>
      </c>
      <c r="L1038" s="87">
        <f>-IFERROR(VLOOKUP(C1038,IDC!$A$25:$H$1532,8,0),0)</f>
        <v>-406.2</v>
      </c>
      <c r="M1038" s="122">
        <f t="shared" si="148"/>
        <v>67700</v>
      </c>
      <c r="N1038"/>
      <c r="P1038" s="35">
        <f t="shared" si="149"/>
        <v>-67700</v>
      </c>
      <c r="Q1038" s="66">
        <f t="shared" si="150"/>
        <v>0</v>
      </c>
    </row>
    <row r="1039" spans="1:17" hidden="1">
      <c r="A1039" s="1" t="s">
        <v>1111</v>
      </c>
      <c r="B1039" s="1" t="s">
        <v>15</v>
      </c>
      <c r="C1039" s="91">
        <v>126322987383</v>
      </c>
      <c r="D1039" s="3">
        <v>44038.36</v>
      </c>
      <c r="E1039" s="3">
        <v>8518625.7300000004</v>
      </c>
      <c r="F1039" s="35" t="s">
        <v>2750</v>
      </c>
      <c r="G1039"/>
      <c r="H1039"/>
      <c r="I1039" s="27">
        <f>-IFERROR(VLOOKUP(C1039,SIRCUPA!$A$21:$H$155,8,0),0)</f>
        <v>0</v>
      </c>
      <c r="J1039" s="88">
        <f>-IFERROR(VLOOKUP(C1039,SIRTAC!$A$16:$H$1288,8,0),0)</f>
        <v>-452</v>
      </c>
      <c r="K1039" s="88">
        <f>-IFERROR(VLOOKUP(C1039,Gastos!$A$9:$J$1281,10,0),0)</f>
        <v>-438.44</v>
      </c>
      <c r="L1039" s="87">
        <f>-IFERROR(VLOOKUP(C1039,IDC!$A$25:$H$1532,8,0),0)</f>
        <v>-271.2</v>
      </c>
      <c r="M1039" s="122">
        <f t="shared" si="148"/>
        <v>45200</v>
      </c>
      <c r="N1039"/>
      <c r="P1039" s="35">
        <f t="shared" si="149"/>
        <v>-45200</v>
      </c>
      <c r="Q1039" s="66">
        <f t="shared" si="150"/>
        <v>0</v>
      </c>
    </row>
    <row r="1040" spans="1:17" hidden="1">
      <c r="A1040" s="1" t="s">
        <v>1111</v>
      </c>
      <c r="B1040" s="1" t="s">
        <v>15</v>
      </c>
      <c r="C1040" s="91">
        <v>126323027433</v>
      </c>
      <c r="D1040" s="3">
        <v>22389.39</v>
      </c>
      <c r="E1040" s="3">
        <v>8541015.1199999992</v>
      </c>
      <c r="F1040" s="35" t="s">
        <v>2750</v>
      </c>
      <c r="G1040"/>
      <c r="H1040"/>
      <c r="I1040" s="27">
        <f>-IFERROR(VLOOKUP(C1040,SIRCUPA!$A$21:$H$155,8,0),0)</f>
        <v>0</v>
      </c>
      <c r="J1040" s="88">
        <f>-IFERROR(VLOOKUP(C1040,SIRTAC!$A$16:$H$1288,8,0),0)</f>
        <v>-237</v>
      </c>
      <c r="K1040" s="88">
        <f>-IFERROR(VLOOKUP(C1040,Gastos!$A$9:$J$1281,10,0),0)</f>
        <v>-931.41</v>
      </c>
      <c r="L1040" s="87">
        <f>-IFERROR(VLOOKUP(C1040,IDC!$A$25:$H$1532,8,0),0)</f>
        <v>-142.19999999999999</v>
      </c>
      <c r="M1040" s="122">
        <f t="shared" si="148"/>
        <v>23700</v>
      </c>
      <c r="N1040"/>
      <c r="P1040" s="35">
        <f t="shared" si="149"/>
        <v>-23699.999999999996</v>
      </c>
      <c r="Q1040" s="66">
        <f t="shared" si="150"/>
        <v>0</v>
      </c>
    </row>
    <row r="1041" spans="1:17" hidden="1">
      <c r="A1041" s="1" t="s">
        <v>1111</v>
      </c>
      <c r="B1041" s="1" t="s">
        <v>15</v>
      </c>
      <c r="C1041" s="91">
        <v>126960677984</v>
      </c>
      <c r="D1041" s="3">
        <v>11903.22</v>
      </c>
      <c r="E1041" s="3">
        <v>8552918.3399999999</v>
      </c>
      <c r="F1041" s="35" t="s">
        <v>2750</v>
      </c>
      <c r="G1041"/>
      <c r="H1041"/>
      <c r="I1041" s="27">
        <f>-IFERROR(VLOOKUP(C1041,SIRCUPA!$A$21:$H$155,8,0),0)</f>
        <v>0</v>
      </c>
      <c r="J1041" s="88">
        <f>-IFERROR(VLOOKUP(C1041,SIRTAC!$A$16:$H$1288,8,0),0)</f>
        <v>-126</v>
      </c>
      <c r="K1041" s="88">
        <f>-IFERROR(VLOOKUP(C1041,Gastos!$A$9:$J$1281,10,0),0)</f>
        <v>-495.18</v>
      </c>
      <c r="L1041" s="87">
        <f>-IFERROR(VLOOKUP(C1041,IDC!$A$25:$H$1532,8,0),0)</f>
        <v>-75.599999999999994</v>
      </c>
      <c r="M1041" s="122">
        <f t="shared" si="148"/>
        <v>12600</v>
      </c>
      <c r="N1041"/>
      <c r="P1041" s="35">
        <f t="shared" si="149"/>
        <v>-12599.999999999998</v>
      </c>
      <c r="Q1041" s="66">
        <f t="shared" si="150"/>
        <v>0</v>
      </c>
    </row>
    <row r="1042" spans="1:17" hidden="1">
      <c r="A1042" s="1" t="s">
        <v>1111</v>
      </c>
      <c r="B1042" s="1" t="s">
        <v>15</v>
      </c>
      <c r="C1042" s="91">
        <v>126410121599</v>
      </c>
      <c r="D1042" s="3">
        <v>5163.79</v>
      </c>
      <c r="E1042" s="3">
        <v>8558082.1300000008</v>
      </c>
      <c r="F1042" s="35" t="s">
        <v>2750</v>
      </c>
      <c r="G1042"/>
      <c r="H1042"/>
      <c r="I1042" s="27">
        <f>-IFERROR(VLOOKUP(C1042,SIRCUPA!$A$21:$H$155,8,0),0)</f>
        <v>0</v>
      </c>
      <c r="J1042" s="88">
        <f>-IFERROR(VLOOKUP(C1042,SIRTAC!$A$16:$H$1288,8,0),0)</f>
        <v>-53</v>
      </c>
      <c r="K1042" s="88">
        <f>-IFERROR(VLOOKUP(C1042,Gastos!$A$9:$J$1281,10,0),0)</f>
        <v>-51.41</v>
      </c>
      <c r="L1042" s="87">
        <f>-IFERROR(VLOOKUP(C1042,IDC!$A$25:$H$1532,8,0),0)</f>
        <v>-31.8</v>
      </c>
      <c r="M1042" s="122">
        <f t="shared" si="148"/>
        <v>5300</v>
      </c>
      <c r="N1042"/>
      <c r="P1042" s="35">
        <f t="shared" si="149"/>
        <v>-5300</v>
      </c>
      <c r="Q1042" s="66">
        <f t="shared" si="150"/>
        <v>0</v>
      </c>
    </row>
    <row r="1043" spans="1:17" hidden="1">
      <c r="A1043" s="1" t="s">
        <v>1111</v>
      </c>
      <c r="B1043" s="1" t="s">
        <v>15</v>
      </c>
      <c r="C1043" s="91">
        <v>126410422343</v>
      </c>
      <c r="D1043" s="3">
        <v>4189.49</v>
      </c>
      <c r="E1043" s="3">
        <v>8562271.6199999992</v>
      </c>
      <c r="F1043" s="35" t="s">
        <v>2750</v>
      </c>
      <c r="G1043"/>
      <c r="H1043"/>
      <c r="I1043" s="27">
        <f>-IFERROR(VLOOKUP(C1043,SIRCUPA!$A$21:$H$155,8,0),0)</f>
        <v>0</v>
      </c>
      <c r="J1043" s="88">
        <f>-IFERROR(VLOOKUP(C1043,SIRTAC!$A$16:$H$1288,8,0),0)</f>
        <v>-43</v>
      </c>
      <c r="K1043" s="88">
        <f>-IFERROR(VLOOKUP(C1043,Gastos!$A$9:$J$1281,10,0),0)</f>
        <v>-41.71</v>
      </c>
      <c r="L1043" s="87">
        <f>-IFERROR(VLOOKUP(C1043,IDC!$A$25:$H$1532,8,0),0)</f>
        <v>-25.8</v>
      </c>
      <c r="M1043" s="122">
        <f t="shared" si="148"/>
        <v>4300</v>
      </c>
      <c r="N1043"/>
      <c r="P1043" s="35">
        <f t="shared" si="149"/>
        <v>-4300</v>
      </c>
      <c r="Q1043" s="66">
        <f t="shared" si="150"/>
        <v>0</v>
      </c>
    </row>
    <row r="1044" spans="1:17" hidden="1">
      <c r="A1044" s="1" t="s">
        <v>1111</v>
      </c>
      <c r="B1044" s="1" t="s">
        <v>15</v>
      </c>
      <c r="C1044" s="91">
        <v>126412724811</v>
      </c>
      <c r="D1044" s="3">
        <v>7368.66</v>
      </c>
      <c r="E1044" s="3">
        <v>8569640.2799999993</v>
      </c>
      <c r="F1044" s="35" t="s">
        <v>2750</v>
      </c>
      <c r="G1044"/>
      <c r="H1044"/>
      <c r="I1044" s="27">
        <f>-IFERROR(VLOOKUP(C1044,SIRCUPA!$A$21:$H$155,8,0),0)</f>
        <v>0</v>
      </c>
      <c r="J1044" s="88">
        <f>-IFERROR(VLOOKUP(C1044,SIRTAC!$A$16:$H$1288,8,0),0)</f>
        <v>-78</v>
      </c>
      <c r="K1044" s="88">
        <f>-IFERROR(VLOOKUP(C1044,Gastos!$A$9:$J$1281,10,0),0)</f>
        <v>-306.54000000000002</v>
      </c>
      <c r="L1044" s="87">
        <f>-IFERROR(VLOOKUP(C1044,IDC!$A$25:$H$1532,8,0),0)</f>
        <v>-46.8</v>
      </c>
      <c r="M1044" s="122">
        <f t="shared" si="148"/>
        <v>7800</v>
      </c>
      <c r="N1044"/>
      <c r="P1044" s="35">
        <f t="shared" si="149"/>
        <v>-7799.9999999999991</v>
      </c>
      <c r="Q1044" s="66">
        <f t="shared" si="150"/>
        <v>0</v>
      </c>
    </row>
    <row r="1045" spans="1:17" hidden="1">
      <c r="A1045" s="1" t="s">
        <v>1111</v>
      </c>
      <c r="B1045" s="1" t="s">
        <v>15</v>
      </c>
      <c r="C1045" s="91">
        <v>126970599066</v>
      </c>
      <c r="D1045" s="3">
        <v>3903.97</v>
      </c>
      <c r="E1045" s="3">
        <v>8573544.25</v>
      </c>
      <c r="F1045" s="35" t="s">
        <v>2750</v>
      </c>
      <c r="G1045"/>
      <c r="H1045"/>
      <c r="I1045" s="27">
        <f>-IFERROR(VLOOKUP(C1045,SIRCUPA!$A$21:$H$155,8,0),0)</f>
        <v>0</v>
      </c>
      <c r="J1045" s="88">
        <f>-IFERROR(VLOOKUP(C1045,SIRTAC!$A$16:$H$1288,8,0),0)</f>
        <v>-43</v>
      </c>
      <c r="K1045" s="88">
        <f>-IFERROR(VLOOKUP(C1045,Gastos!$A$9:$J$1281,10,0),0)</f>
        <v>-327.23</v>
      </c>
      <c r="L1045" s="87">
        <f>-IFERROR(VLOOKUP(C1045,IDC!$A$25:$H$1532,8,0),0)</f>
        <v>-25.8</v>
      </c>
      <c r="M1045" s="122">
        <f t="shared" si="148"/>
        <v>4300</v>
      </c>
      <c r="N1045"/>
      <c r="P1045" s="35">
        <f t="shared" si="149"/>
        <v>-4300</v>
      </c>
      <c r="Q1045" s="66">
        <f t="shared" si="150"/>
        <v>0</v>
      </c>
    </row>
    <row r="1046" spans="1:17" hidden="1">
      <c r="A1046" s="1" t="s">
        <v>1111</v>
      </c>
      <c r="B1046" s="1" t="s">
        <v>15</v>
      </c>
      <c r="C1046" s="91">
        <v>126971190364</v>
      </c>
      <c r="D1046" s="3">
        <v>7508.8</v>
      </c>
      <c r="E1046" s="3">
        <v>8581053.0500000007</v>
      </c>
      <c r="F1046" s="35" t="s">
        <v>2750</v>
      </c>
      <c r="G1046"/>
      <c r="H1046"/>
      <c r="I1046" s="27">
        <f>-IFERROR(VLOOKUP(C1046,SIRCUPA!$A$21:$H$155,8,0),0)</f>
        <v>0</v>
      </c>
      <c r="J1046" s="88">
        <f>-IFERROR(VLOOKUP(C1046,SIRTAC!$A$16:$H$1288,8,0),0)</f>
        <v>-80</v>
      </c>
      <c r="K1046" s="88">
        <f>-IFERROR(VLOOKUP(C1046,Gastos!$A$9:$J$1281,10,0),0)</f>
        <v>-363.2</v>
      </c>
      <c r="L1046" s="87">
        <f>-IFERROR(VLOOKUP(C1046,IDC!$A$25:$H$1532,8,0),0)</f>
        <v>-48</v>
      </c>
      <c r="M1046" s="122">
        <f t="shared" si="148"/>
        <v>8000</v>
      </c>
      <c r="N1046"/>
      <c r="P1046" s="35">
        <f t="shared" si="149"/>
        <v>-8000</v>
      </c>
      <c r="Q1046" s="66">
        <f t="shared" si="150"/>
        <v>0</v>
      </c>
    </row>
    <row r="1047" spans="1:17" hidden="1">
      <c r="A1047" s="1" t="s">
        <v>1111</v>
      </c>
      <c r="B1047" s="1" t="s">
        <v>15</v>
      </c>
      <c r="C1047" s="91">
        <v>126415952795</v>
      </c>
      <c r="D1047" s="3">
        <v>3799.77</v>
      </c>
      <c r="E1047" s="3">
        <v>8584852.8200000003</v>
      </c>
      <c r="F1047" s="35" t="s">
        <v>2750</v>
      </c>
      <c r="G1047"/>
      <c r="H1047"/>
      <c r="I1047" s="27">
        <f>-IFERROR(VLOOKUP(C1047,SIRCUPA!$A$21:$H$155,8,0),0)</f>
        <v>0</v>
      </c>
      <c r="J1047" s="88">
        <f>-IFERROR(VLOOKUP(C1047,SIRTAC!$A$16:$H$1288,8,0),0)</f>
        <v>-39</v>
      </c>
      <c r="K1047" s="88">
        <f>-IFERROR(VLOOKUP(C1047,Gastos!$A$9:$J$1281,10,0),0)</f>
        <v>-37.83</v>
      </c>
      <c r="L1047" s="87">
        <f>-IFERROR(VLOOKUP(C1047,IDC!$A$25:$H$1532,8,0),0)</f>
        <v>-23.4</v>
      </c>
      <c r="M1047" s="122">
        <f t="shared" si="148"/>
        <v>3900</v>
      </c>
      <c r="N1047"/>
      <c r="P1047" s="35">
        <f t="shared" si="149"/>
        <v>-3899.9999999999995</v>
      </c>
      <c r="Q1047" s="66">
        <f t="shared" si="150"/>
        <v>0</v>
      </c>
    </row>
    <row r="1048" spans="1:17" hidden="1">
      <c r="A1048" s="1" t="s">
        <v>1111</v>
      </c>
      <c r="B1048" s="1" t="s">
        <v>15</v>
      </c>
      <c r="C1048" s="91">
        <v>126416100771</v>
      </c>
      <c r="D1048" s="3">
        <v>18095.990000000002</v>
      </c>
      <c r="E1048" s="3">
        <v>8602948.8100000005</v>
      </c>
      <c r="F1048" s="35" t="s">
        <v>2750</v>
      </c>
      <c r="G1048"/>
      <c r="H1048"/>
      <c r="I1048" s="27">
        <f>-IFERROR(VLOOKUP(C1048,SIRCUPA!$A$21:$H$155,8,0),0)</f>
        <v>0</v>
      </c>
      <c r="J1048" s="88">
        <f>-IFERROR(VLOOKUP(C1048,SIRTAC!$A$16:$H$1288,8,0),0)</f>
        <v>-187</v>
      </c>
      <c r="K1048" s="88">
        <f>-IFERROR(VLOOKUP(C1048,Gastos!$A$9:$J$1281,10,0),0)</f>
        <v>-304.81</v>
      </c>
      <c r="L1048" s="87">
        <f>-IFERROR(VLOOKUP(C1048,IDC!$A$25:$H$1532,8,0),0)</f>
        <v>-112.2</v>
      </c>
      <c r="M1048" s="122">
        <f t="shared" ref="M1048:M1079" si="151">+D1048-I1048-J1048-K1048-L1048</f>
        <v>18700.000000000004</v>
      </c>
      <c r="N1048"/>
      <c r="P1048" s="35">
        <f t="shared" si="149"/>
        <v>-18700</v>
      </c>
      <c r="Q1048" s="66">
        <f t="shared" si="150"/>
        <v>0</v>
      </c>
    </row>
    <row r="1049" spans="1:17" hidden="1">
      <c r="A1049" s="1" t="s">
        <v>1111</v>
      </c>
      <c r="B1049" s="1" t="s">
        <v>15</v>
      </c>
      <c r="C1049" s="91">
        <v>126416744717</v>
      </c>
      <c r="D1049" s="3">
        <v>7368.66</v>
      </c>
      <c r="E1049" s="3">
        <v>8610317.4700000007</v>
      </c>
      <c r="F1049" s="35" t="s">
        <v>2750</v>
      </c>
      <c r="G1049"/>
      <c r="H1049"/>
      <c r="I1049" s="27">
        <f>-IFERROR(VLOOKUP(C1049,SIRCUPA!$A$21:$H$155,8,0),0)</f>
        <v>0</v>
      </c>
      <c r="J1049" s="88">
        <f>-IFERROR(VLOOKUP(C1049,SIRTAC!$A$16:$H$1288,8,0),0)</f>
        <v>-78</v>
      </c>
      <c r="K1049" s="88">
        <f>-IFERROR(VLOOKUP(C1049,Gastos!$A$9:$J$1281,10,0),0)</f>
        <v>-306.54000000000002</v>
      </c>
      <c r="L1049" s="87">
        <f>-IFERROR(VLOOKUP(C1049,IDC!$A$25:$H$1532,8,0),0)</f>
        <v>-46.8</v>
      </c>
      <c r="M1049" s="122">
        <f t="shared" si="151"/>
        <v>7800</v>
      </c>
      <c r="N1049"/>
      <c r="P1049" s="35">
        <f t="shared" si="149"/>
        <v>-7799.9999999999991</v>
      </c>
      <c r="Q1049" s="66">
        <f t="shared" si="150"/>
        <v>0</v>
      </c>
    </row>
    <row r="1050" spans="1:17" hidden="1">
      <c r="A1050" s="1" t="s">
        <v>1111</v>
      </c>
      <c r="B1050" s="1" t="s">
        <v>15</v>
      </c>
      <c r="C1050" s="91">
        <v>126417189235</v>
      </c>
      <c r="D1050" s="3">
        <v>55548.36</v>
      </c>
      <c r="E1050" s="3">
        <v>8665865.8300000001</v>
      </c>
      <c r="F1050" s="35" t="s">
        <v>2750</v>
      </c>
      <c r="G1050"/>
      <c r="H1050"/>
      <c r="I1050" s="27">
        <f>-IFERROR(VLOOKUP(C1050,SIRCUPA!$A$21:$H$155,8,0),0)</f>
        <v>0</v>
      </c>
      <c r="J1050" s="88">
        <f>-IFERROR(VLOOKUP(C1050,SIRTAC!$A$16:$H$1288,8,0),0)</f>
        <v>-588</v>
      </c>
      <c r="K1050" s="88">
        <f>-IFERROR(VLOOKUP(C1050,Gastos!$A$9:$J$1281,10,0),0)</f>
        <v>-2310.84</v>
      </c>
      <c r="L1050" s="87">
        <f>-IFERROR(VLOOKUP(C1050,IDC!$A$25:$H$1532,8,0),0)</f>
        <v>-352.8</v>
      </c>
      <c r="M1050" s="122">
        <f t="shared" si="151"/>
        <v>58800</v>
      </c>
      <c r="N1050"/>
      <c r="P1050" s="35">
        <f t="shared" si="149"/>
        <v>-58800</v>
      </c>
      <c r="Q1050" s="66">
        <f t="shared" si="150"/>
        <v>0</v>
      </c>
    </row>
    <row r="1051" spans="1:17" hidden="1">
      <c r="A1051" s="1" t="s">
        <v>1111</v>
      </c>
      <c r="B1051" s="1" t="s">
        <v>15</v>
      </c>
      <c r="C1051" s="91">
        <v>126417744443</v>
      </c>
      <c r="D1051" s="3">
        <v>17537.400000000001</v>
      </c>
      <c r="E1051" s="3">
        <v>8683403.2300000004</v>
      </c>
      <c r="F1051" s="35" t="s">
        <v>2750</v>
      </c>
      <c r="G1051"/>
      <c r="H1051"/>
      <c r="I1051" s="27">
        <f>-IFERROR(VLOOKUP(C1051,SIRCUPA!$A$21:$H$155,8,0),0)</f>
        <v>0</v>
      </c>
      <c r="J1051" s="88">
        <f>-IFERROR(VLOOKUP(C1051,SIRTAC!$A$16:$H$1288,8,0),0)</f>
        <v>-180</v>
      </c>
      <c r="K1051" s="88">
        <f>-IFERROR(VLOOKUP(C1051,Gastos!$A$9:$J$1281,10,0),0)</f>
        <v>-174.6</v>
      </c>
      <c r="L1051" s="87">
        <f>-IFERROR(VLOOKUP(C1051,IDC!$A$25:$H$1532,8,0),0)</f>
        <v>-108</v>
      </c>
      <c r="M1051" s="122">
        <f t="shared" si="151"/>
        <v>18000</v>
      </c>
      <c r="N1051"/>
      <c r="P1051" s="35">
        <f t="shared" si="149"/>
        <v>-18000</v>
      </c>
      <c r="Q1051" s="66">
        <f t="shared" si="150"/>
        <v>0</v>
      </c>
    </row>
    <row r="1052" spans="1:17" hidden="1">
      <c r="A1052" s="1" t="s">
        <v>1111</v>
      </c>
      <c r="B1052" s="1" t="s">
        <v>15</v>
      </c>
      <c r="C1052" s="91">
        <v>126418008273</v>
      </c>
      <c r="D1052" s="3">
        <v>26598.39</v>
      </c>
      <c r="E1052" s="3">
        <v>8710001.6199999992</v>
      </c>
      <c r="F1052" s="35" t="s">
        <v>2750</v>
      </c>
      <c r="G1052"/>
      <c r="H1052"/>
      <c r="I1052" s="27">
        <f>-IFERROR(VLOOKUP(C1052,SIRCUPA!$A$21:$H$155,8,0),0)</f>
        <v>0</v>
      </c>
      <c r="J1052" s="88">
        <f>-IFERROR(VLOOKUP(C1052,SIRTAC!$A$16:$H$1288,8,0),0)</f>
        <v>-273</v>
      </c>
      <c r="K1052" s="88">
        <f>-IFERROR(VLOOKUP(C1052,Gastos!$A$9:$J$1281,10,0),0)</f>
        <v>-264.81</v>
      </c>
      <c r="L1052" s="87">
        <f>-IFERROR(VLOOKUP(C1052,IDC!$A$25:$H$1532,8,0),0)</f>
        <v>-163.80000000000001</v>
      </c>
      <c r="M1052" s="122">
        <f t="shared" si="151"/>
        <v>27300</v>
      </c>
      <c r="N1052"/>
      <c r="P1052" s="35">
        <f t="shared" si="149"/>
        <v>-27300</v>
      </c>
      <c r="Q1052" s="66">
        <f t="shared" si="150"/>
        <v>0</v>
      </c>
    </row>
    <row r="1053" spans="1:17" hidden="1">
      <c r="A1053" s="1" t="s">
        <v>1111</v>
      </c>
      <c r="B1053" s="1" t="s">
        <v>1151</v>
      </c>
      <c r="C1053" s="91">
        <v>126417976831</v>
      </c>
      <c r="D1053" s="3">
        <v>1336.33</v>
      </c>
      <c r="E1053" s="3">
        <v>8711337.9499999993</v>
      </c>
      <c r="F1053" s="2" t="s">
        <v>2750</v>
      </c>
      <c r="G1053"/>
      <c r="H1053"/>
      <c r="I1053" s="27">
        <f>-IFERROR(VLOOKUP(C1053,SIRCUPA!$A$21:$H$155,8,0),0)</f>
        <v>-20.48</v>
      </c>
      <c r="J1053" s="88">
        <f>-IFERROR(VLOOKUP(C1053,SIRTAC!$A$16:$H$1288,8,0),0)</f>
        <v>0</v>
      </c>
      <c r="K1053" s="88">
        <f>-IFERROR(VLOOKUP(C1053,Gastos!$A$9:$J$1281,10,0),0)</f>
        <v>0</v>
      </c>
      <c r="L1053" s="87">
        <f>-IFERROR(VLOOKUP(C1053,IDC!$A$25:$H$1532,8,0),0)</f>
        <v>-8.19</v>
      </c>
      <c r="M1053" s="122">
        <f t="shared" si="151"/>
        <v>1365</v>
      </c>
      <c r="N1053"/>
      <c r="P1053" s="35">
        <f t="shared" si="149"/>
        <v>-1365</v>
      </c>
      <c r="Q1053" s="66">
        <f t="shared" si="150"/>
        <v>0</v>
      </c>
    </row>
    <row r="1054" spans="1:17" hidden="1">
      <c r="A1054" s="1" t="s">
        <v>1111</v>
      </c>
      <c r="B1054" s="1" t="s">
        <v>15</v>
      </c>
      <c r="C1054" s="91">
        <v>126418419939</v>
      </c>
      <c r="D1054" s="3">
        <v>12763.33</v>
      </c>
      <c r="E1054" s="3">
        <v>8724101.2799999993</v>
      </c>
      <c r="F1054" s="35" t="s">
        <v>2750</v>
      </c>
      <c r="G1054"/>
      <c r="H1054"/>
      <c r="I1054" s="27">
        <f>-IFERROR(VLOOKUP(C1054,SIRCUPA!$A$21:$H$155,8,0),0)</f>
        <v>0</v>
      </c>
      <c r="J1054" s="88">
        <f>-IFERROR(VLOOKUP(C1054,SIRTAC!$A$16:$H$1288,8,0),0)</f>
        <v>-131</v>
      </c>
      <c r="K1054" s="88">
        <f>-IFERROR(VLOOKUP(C1054,Gastos!$A$9:$J$1281,10,0),0)</f>
        <v>-127.07</v>
      </c>
      <c r="L1054" s="87">
        <f>-IFERROR(VLOOKUP(C1054,IDC!$A$25:$H$1532,8,0),0)</f>
        <v>-78.599999999999994</v>
      </c>
      <c r="M1054" s="122">
        <f t="shared" si="151"/>
        <v>13100</v>
      </c>
      <c r="N1054"/>
      <c r="P1054" s="35">
        <f t="shared" si="149"/>
        <v>-13099.999999999998</v>
      </c>
      <c r="Q1054" s="66">
        <f t="shared" si="150"/>
        <v>0</v>
      </c>
    </row>
    <row r="1055" spans="1:17" hidden="1">
      <c r="A1055" s="1" t="s">
        <v>1111</v>
      </c>
      <c r="B1055" s="1" t="s">
        <v>1154</v>
      </c>
      <c r="C1055" s="91">
        <v>126418469315</v>
      </c>
      <c r="D1055" s="2">
        <v>641.24</v>
      </c>
      <c r="E1055" s="3">
        <v>8724742.5199999996</v>
      </c>
      <c r="F1055" s="2" t="s">
        <v>2750</v>
      </c>
      <c r="G1055"/>
      <c r="H1055"/>
      <c r="I1055" s="27">
        <f>-IFERROR(VLOOKUP(C1055,SIRCUPA!$A$21:$H$155,8,0),0)</f>
        <v>-9.83</v>
      </c>
      <c r="J1055" s="88">
        <f>-IFERROR(VLOOKUP(C1055,SIRTAC!$A$16:$H$1288,8,0),0)</f>
        <v>0</v>
      </c>
      <c r="K1055" s="88">
        <f>-IFERROR(VLOOKUP(C1055,Gastos!$A$9:$J$1281,10,0),0)</f>
        <v>0</v>
      </c>
      <c r="L1055" s="87">
        <f>-IFERROR(VLOOKUP(C1055,IDC!$A$25:$H$1532,8,0),0)</f>
        <v>-3.93</v>
      </c>
      <c r="M1055" s="122">
        <f t="shared" si="151"/>
        <v>655</v>
      </c>
      <c r="N1055"/>
      <c r="P1055" s="35">
        <f t="shared" si="149"/>
        <v>-655</v>
      </c>
      <c r="Q1055" s="66">
        <f t="shared" si="150"/>
        <v>0</v>
      </c>
    </row>
    <row r="1056" spans="1:17" hidden="1">
      <c r="A1056" s="1" t="s">
        <v>1111</v>
      </c>
      <c r="B1056" s="1" t="s">
        <v>15</v>
      </c>
      <c r="C1056" s="91">
        <v>126978302556</v>
      </c>
      <c r="D1056" s="3">
        <v>27377.83</v>
      </c>
      <c r="E1056" s="3">
        <v>8752120.3499999996</v>
      </c>
      <c r="F1056" s="35" t="s">
        <v>2750</v>
      </c>
      <c r="G1056"/>
      <c r="H1056"/>
      <c r="I1056" s="27">
        <f>-IFERROR(VLOOKUP(C1056,SIRCUPA!$A$21:$H$155,8,0),0)</f>
        <v>0</v>
      </c>
      <c r="J1056" s="88">
        <f>-IFERROR(VLOOKUP(C1056,SIRTAC!$A$16:$H$1288,8,0),0)</f>
        <v>-281</v>
      </c>
      <c r="K1056" s="88">
        <f>-IFERROR(VLOOKUP(C1056,Gastos!$A$9:$J$1281,10,0),0)</f>
        <v>-272.57</v>
      </c>
      <c r="L1056" s="87">
        <f>-IFERROR(VLOOKUP(C1056,IDC!$A$25:$H$1532,8,0),0)</f>
        <v>-168.6</v>
      </c>
      <c r="M1056" s="122">
        <f t="shared" si="151"/>
        <v>28100</v>
      </c>
      <c r="N1056"/>
      <c r="P1056" s="35">
        <f t="shared" si="149"/>
        <v>-28100</v>
      </c>
      <c r="Q1056" s="66">
        <f t="shared" si="150"/>
        <v>0</v>
      </c>
    </row>
    <row r="1057" spans="1:17" hidden="1">
      <c r="A1057" s="1" t="s">
        <v>1111</v>
      </c>
      <c r="B1057" s="1" t="s">
        <v>15</v>
      </c>
      <c r="C1057" s="91">
        <v>126979157826</v>
      </c>
      <c r="D1057" s="3">
        <v>34292.61</v>
      </c>
      <c r="E1057" s="3">
        <v>8786412.9600000009</v>
      </c>
      <c r="F1057" s="35" t="s">
        <v>2750</v>
      </c>
      <c r="G1057"/>
      <c r="H1057"/>
      <c r="I1057" s="27">
        <f>-IFERROR(VLOOKUP(C1057,SIRCUPA!$A$21:$H$155,8,0),0)</f>
        <v>0</v>
      </c>
      <c r="J1057" s="88">
        <f>-IFERROR(VLOOKUP(C1057,SIRTAC!$A$16:$H$1288,8,0),0)</f>
        <v>-363</v>
      </c>
      <c r="K1057" s="88">
        <f>-IFERROR(VLOOKUP(C1057,Gastos!$A$9:$J$1281,10,0),0)</f>
        <v>-1426.59</v>
      </c>
      <c r="L1057" s="87">
        <f>-IFERROR(VLOOKUP(C1057,IDC!$A$25:$H$1532,8,0),0)</f>
        <v>-217.8</v>
      </c>
      <c r="M1057" s="122">
        <f t="shared" si="151"/>
        <v>36300</v>
      </c>
      <c r="N1057"/>
      <c r="P1057" s="35">
        <f t="shared" si="149"/>
        <v>-36300</v>
      </c>
      <c r="Q1057" s="66">
        <f t="shared" si="150"/>
        <v>0</v>
      </c>
    </row>
    <row r="1058" spans="1:17" hidden="1">
      <c r="A1058" s="1" t="s">
        <v>1111</v>
      </c>
      <c r="B1058" s="1" t="s">
        <v>15</v>
      </c>
      <c r="C1058" s="91">
        <v>126421871761</v>
      </c>
      <c r="D1058" s="3">
        <v>8378.98</v>
      </c>
      <c r="E1058" s="3">
        <v>8794791.9399999995</v>
      </c>
      <c r="F1058" s="35" t="s">
        <v>2750</v>
      </c>
      <c r="G1058"/>
      <c r="H1058"/>
      <c r="I1058" s="27">
        <f>-IFERROR(VLOOKUP(C1058,SIRCUPA!$A$21:$H$155,8,0),0)</f>
        <v>0</v>
      </c>
      <c r="J1058" s="88">
        <f>-IFERROR(VLOOKUP(C1058,SIRTAC!$A$16:$H$1288,8,0),0)</f>
        <v>-86</v>
      </c>
      <c r="K1058" s="88">
        <f>-IFERROR(VLOOKUP(C1058,Gastos!$A$9:$J$1281,10,0),0)</f>
        <v>-83.42</v>
      </c>
      <c r="L1058" s="87">
        <f>-IFERROR(VLOOKUP(C1058,IDC!$A$25:$H$1532,8,0),0)</f>
        <v>-51.6</v>
      </c>
      <c r="M1058" s="122">
        <f t="shared" si="151"/>
        <v>8600</v>
      </c>
      <c r="N1058"/>
      <c r="P1058" s="35">
        <f t="shared" si="149"/>
        <v>-8600</v>
      </c>
      <c r="Q1058" s="66">
        <f t="shared" si="150"/>
        <v>0</v>
      </c>
    </row>
    <row r="1059" spans="1:17" hidden="1">
      <c r="A1059" s="1" t="s">
        <v>1111</v>
      </c>
      <c r="B1059" s="1" t="s">
        <v>15</v>
      </c>
      <c r="C1059" s="91">
        <v>126980936250</v>
      </c>
      <c r="D1059" s="3">
        <v>20700.12</v>
      </c>
      <c r="E1059" s="3">
        <v>8815492.0600000005</v>
      </c>
      <c r="F1059" s="35" t="s">
        <v>2750</v>
      </c>
      <c r="G1059"/>
      <c r="H1059"/>
      <c r="I1059" s="27">
        <f>-IFERROR(VLOOKUP(C1059,SIRCUPA!$A$21:$H$155,8,0),0)</f>
        <v>0</v>
      </c>
      <c r="J1059" s="88">
        <f>-IFERROR(VLOOKUP(C1059,SIRTAC!$A$16:$H$1288,8,0),0)</f>
        <v>-228</v>
      </c>
      <c r="K1059" s="88">
        <f>-IFERROR(VLOOKUP(C1059,Gastos!$A$9:$J$1281,10,0),0)</f>
        <v>-1735.08</v>
      </c>
      <c r="L1059" s="87">
        <f>-IFERROR(VLOOKUP(C1059,IDC!$A$25:$H$1532,8,0),0)</f>
        <v>-136.80000000000001</v>
      </c>
      <c r="M1059" s="122">
        <f t="shared" si="151"/>
        <v>22799.999999999996</v>
      </c>
      <c r="N1059"/>
      <c r="P1059" s="35">
        <f t="shared" si="149"/>
        <v>-22800</v>
      </c>
      <c r="Q1059" s="66">
        <f t="shared" si="150"/>
        <v>0</v>
      </c>
    </row>
    <row r="1060" spans="1:17" hidden="1">
      <c r="A1060" s="1" t="s">
        <v>1111</v>
      </c>
      <c r="B1060" s="1" t="s">
        <v>15</v>
      </c>
      <c r="C1060" s="91">
        <v>126423501303</v>
      </c>
      <c r="D1060" s="3">
        <v>23334.09</v>
      </c>
      <c r="E1060" s="3">
        <v>8838826.1500000004</v>
      </c>
      <c r="F1060" s="35" t="s">
        <v>2750</v>
      </c>
      <c r="G1060"/>
      <c r="H1060"/>
      <c r="I1060" s="27">
        <f>-IFERROR(VLOOKUP(C1060,SIRCUPA!$A$21:$H$155,8,0),0)</f>
        <v>0</v>
      </c>
      <c r="J1060" s="88">
        <f>-IFERROR(VLOOKUP(C1060,SIRTAC!$A$16:$H$1288,8,0),0)</f>
        <v>-247</v>
      </c>
      <c r="K1060" s="88">
        <f>-IFERROR(VLOOKUP(C1060,Gastos!$A$9:$J$1281,10,0),0)</f>
        <v>-970.71</v>
      </c>
      <c r="L1060" s="87">
        <f>-IFERROR(VLOOKUP(C1060,IDC!$A$25:$H$1532,8,0),0)</f>
        <v>-148.19999999999999</v>
      </c>
      <c r="M1060" s="122">
        <f t="shared" si="151"/>
        <v>24700</v>
      </c>
      <c r="N1060"/>
      <c r="P1060" s="35">
        <f t="shared" si="149"/>
        <v>-24699.999999999996</v>
      </c>
      <c r="Q1060" s="66">
        <f t="shared" si="150"/>
        <v>0</v>
      </c>
    </row>
    <row r="1061" spans="1:17" hidden="1">
      <c r="A1061" s="1" t="s">
        <v>1111</v>
      </c>
      <c r="B1061" s="1" t="s">
        <v>15</v>
      </c>
      <c r="C1061" s="91">
        <v>126423667935</v>
      </c>
      <c r="D1061" s="3">
        <v>30142.28</v>
      </c>
      <c r="E1061" s="3">
        <v>8868968.4299999997</v>
      </c>
      <c r="F1061" s="35" t="s">
        <v>2750</v>
      </c>
      <c r="G1061"/>
      <c r="H1061"/>
      <c r="I1061" s="27">
        <f>-IFERROR(VLOOKUP(C1061,SIRCUPA!$A$21:$H$155,8,0),0)</f>
        <v>0</v>
      </c>
      <c r="J1061" s="88">
        <f>-IFERROR(VLOOKUP(C1061,SIRTAC!$A$16:$H$1288,8,0),0)</f>
        <v>-332</v>
      </c>
      <c r="K1061" s="88">
        <f>-IFERROR(VLOOKUP(C1061,Gastos!$A$9:$J$1281,10,0),0)</f>
        <v>-2526.52</v>
      </c>
      <c r="L1061" s="87">
        <f>-IFERROR(VLOOKUP(C1061,IDC!$A$25:$H$1532,8,0),0)</f>
        <v>-199.2</v>
      </c>
      <c r="M1061" s="122">
        <f t="shared" si="151"/>
        <v>33199.999999999993</v>
      </c>
      <c r="N1061"/>
      <c r="P1061" s="35">
        <f t="shared" si="149"/>
        <v>-33200</v>
      </c>
      <c r="Q1061" s="66">
        <f t="shared" si="150"/>
        <v>0</v>
      </c>
    </row>
    <row r="1062" spans="1:17" hidden="1">
      <c r="A1062" s="1" t="s">
        <v>1111</v>
      </c>
      <c r="B1062" s="1" t="s">
        <v>15</v>
      </c>
      <c r="C1062" s="91">
        <v>126981776406</v>
      </c>
      <c r="D1062" s="3">
        <v>32875.56</v>
      </c>
      <c r="E1062" s="3">
        <v>8901843.9900000002</v>
      </c>
      <c r="F1062" s="35" t="s">
        <v>2750</v>
      </c>
      <c r="G1062"/>
      <c r="H1062"/>
      <c r="I1062" s="27">
        <f>-IFERROR(VLOOKUP(C1062,SIRCUPA!$A$21:$H$155,8,0),0)</f>
        <v>0</v>
      </c>
      <c r="J1062" s="88">
        <f>-IFERROR(VLOOKUP(C1062,SIRTAC!$A$16:$H$1288,8,0),0)</f>
        <v>-348</v>
      </c>
      <c r="K1062" s="88">
        <f>-IFERROR(VLOOKUP(C1062,Gastos!$A$9:$J$1281,10,0),0)</f>
        <v>-1367.64</v>
      </c>
      <c r="L1062" s="87">
        <f>-IFERROR(VLOOKUP(C1062,IDC!$A$25:$H$1532,8,0),0)</f>
        <v>-208.8</v>
      </c>
      <c r="M1062" s="122">
        <f t="shared" si="151"/>
        <v>34800</v>
      </c>
      <c r="N1062"/>
      <c r="P1062" s="35">
        <f t="shared" si="149"/>
        <v>-34800</v>
      </c>
      <c r="Q1062" s="66">
        <f t="shared" si="150"/>
        <v>0</v>
      </c>
    </row>
    <row r="1063" spans="1:17" hidden="1">
      <c r="A1063" s="1" t="s">
        <v>1111</v>
      </c>
      <c r="B1063" s="1" t="s">
        <v>15</v>
      </c>
      <c r="C1063" s="91">
        <v>126981700000</v>
      </c>
      <c r="D1063" s="3">
        <v>71419.320000000007</v>
      </c>
      <c r="E1063" s="3">
        <v>8973263.3100000005</v>
      </c>
      <c r="F1063" s="35" t="s">
        <v>2750</v>
      </c>
      <c r="G1063"/>
      <c r="H1063"/>
      <c r="I1063" s="27">
        <f>-IFERROR(VLOOKUP(C1063,SIRCUPA!$A$21:$H$155,8,0),0)</f>
        <v>0</v>
      </c>
      <c r="J1063" s="88">
        <f>-IFERROR(VLOOKUP(C1063,SIRTAC!$A$16:$H$1288,8,0),0)</f>
        <v>-756</v>
      </c>
      <c r="K1063" s="88">
        <f>-IFERROR(VLOOKUP(C1063,Gastos!$A$9:$J$1281,10,0),0)</f>
        <v>-2971.08</v>
      </c>
      <c r="L1063" s="87">
        <f>-IFERROR(VLOOKUP(C1063,IDC!$A$25:$H$1532,8,0),0)</f>
        <v>-453.6</v>
      </c>
      <c r="M1063" s="122">
        <f t="shared" si="151"/>
        <v>75600.000000000015</v>
      </c>
      <c r="N1063"/>
      <c r="P1063" s="35">
        <f t="shared" si="149"/>
        <v>-75600</v>
      </c>
      <c r="Q1063" s="66">
        <f t="shared" si="150"/>
        <v>0</v>
      </c>
    </row>
    <row r="1064" spans="1:17" hidden="1">
      <c r="A1064" s="1" t="s">
        <v>1111</v>
      </c>
      <c r="B1064" s="1" t="s">
        <v>15</v>
      </c>
      <c r="C1064" s="91">
        <v>126424486673</v>
      </c>
      <c r="D1064" s="3">
        <v>10257.620000000001</v>
      </c>
      <c r="E1064" s="3">
        <v>8983520.9299999997</v>
      </c>
      <c r="F1064" s="35" t="s">
        <v>2750</v>
      </c>
      <c r="G1064"/>
      <c r="H1064"/>
      <c r="I1064" s="27">
        <f>-IFERROR(VLOOKUP(C1064,SIRCUPA!$A$21:$H$155,8,0),0)</f>
        <v>0</v>
      </c>
      <c r="J1064" s="88">
        <f>-IFERROR(VLOOKUP(C1064,SIRTAC!$A$16:$H$1288,8,0),0)</f>
        <v>-106</v>
      </c>
      <c r="K1064" s="88">
        <f>-IFERROR(VLOOKUP(C1064,Gastos!$A$9:$J$1281,10,0),0)</f>
        <v>-172.78</v>
      </c>
      <c r="L1064" s="87">
        <f>-IFERROR(VLOOKUP(C1064,IDC!$A$25:$H$1532,8,0),0)</f>
        <v>-63.6</v>
      </c>
      <c r="M1064" s="122">
        <f t="shared" si="151"/>
        <v>10600.000000000002</v>
      </c>
      <c r="N1064"/>
      <c r="P1064" s="35">
        <f t="shared" si="149"/>
        <v>-10600</v>
      </c>
      <c r="Q1064" s="66">
        <f t="shared" si="150"/>
        <v>0</v>
      </c>
    </row>
    <row r="1065" spans="1:17" hidden="1">
      <c r="A1065" s="1" t="s">
        <v>1111</v>
      </c>
      <c r="B1065" s="1" t="s">
        <v>15</v>
      </c>
      <c r="C1065" s="91">
        <v>126424804149</v>
      </c>
      <c r="D1065" s="3">
        <v>50955.89</v>
      </c>
      <c r="E1065" s="3">
        <v>9034476.8200000003</v>
      </c>
      <c r="F1065" s="35" t="s">
        <v>2750</v>
      </c>
      <c r="G1065"/>
      <c r="H1065"/>
      <c r="I1065" s="27">
        <f>-IFERROR(VLOOKUP(C1065,SIRCUPA!$A$21:$H$155,8,0),0)</f>
        <v>0</v>
      </c>
      <c r="J1065" s="88">
        <f>-IFERROR(VLOOKUP(C1065,SIRTAC!$A$16:$H$1288,8,0),0)</f>
        <v>-523</v>
      </c>
      <c r="K1065" s="88">
        <f>-IFERROR(VLOOKUP(C1065,Gastos!$A$9:$J$1281,10,0),0)</f>
        <v>-507.31</v>
      </c>
      <c r="L1065" s="87">
        <f>-IFERROR(VLOOKUP(C1065,IDC!$A$25:$H$1532,8,0),0)</f>
        <v>-313.8</v>
      </c>
      <c r="M1065" s="122">
        <f t="shared" si="151"/>
        <v>52300</v>
      </c>
      <c r="N1065"/>
      <c r="P1065" s="35">
        <f t="shared" si="149"/>
        <v>-52300</v>
      </c>
      <c r="Q1065" s="66">
        <f t="shared" si="150"/>
        <v>0</v>
      </c>
    </row>
    <row r="1066" spans="1:17" hidden="1">
      <c r="A1066" s="1" t="s">
        <v>1111</v>
      </c>
      <c r="B1066" s="1" t="s">
        <v>15</v>
      </c>
      <c r="C1066" s="91">
        <v>126425131863</v>
      </c>
      <c r="D1066" s="3">
        <v>25317.96</v>
      </c>
      <c r="E1066" s="3">
        <v>9059794.7799999993</v>
      </c>
      <c r="F1066" s="35" t="s">
        <v>2750</v>
      </c>
      <c r="G1066"/>
      <c r="H1066"/>
      <c r="I1066" s="27">
        <f>-IFERROR(VLOOKUP(C1066,SIRCUPA!$A$21:$H$155,8,0),0)</f>
        <v>0</v>
      </c>
      <c r="J1066" s="88">
        <f>-IFERROR(VLOOKUP(C1066,SIRTAC!$A$16:$H$1288,8,0),0)</f>
        <v>-268</v>
      </c>
      <c r="K1066" s="88">
        <f>-IFERROR(VLOOKUP(C1066,Gastos!$A$9:$J$1281,10,0),0)</f>
        <v>-1053.24</v>
      </c>
      <c r="L1066" s="87">
        <f>-IFERROR(VLOOKUP(C1066,IDC!$A$25:$H$1532,8,0),0)</f>
        <v>-160.80000000000001</v>
      </c>
      <c r="M1066" s="122">
        <f t="shared" si="151"/>
        <v>26800</v>
      </c>
      <c r="N1066"/>
      <c r="P1066" s="35">
        <f t="shared" si="149"/>
        <v>-26800</v>
      </c>
      <c r="Q1066" s="66">
        <f t="shared" si="150"/>
        <v>0</v>
      </c>
    </row>
    <row r="1067" spans="1:17" hidden="1">
      <c r="A1067" s="1" t="s">
        <v>1111</v>
      </c>
      <c r="B1067" s="1" t="s">
        <v>15</v>
      </c>
      <c r="C1067" s="91">
        <v>126982959770</v>
      </c>
      <c r="D1067" s="3">
        <v>10619.87</v>
      </c>
      <c r="E1067" s="3">
        <v>9070414.6500000004</v>
      </c>
      <c r="F1067" s="35" t="s">
        <v>2750</v>
      </c>
      <c r="G1067"/>
      <c r="H1067"/>
      <c r="I1067" s="27">
        <f>-IFERROR(VLOOKUP(C1067,SIRCUPA!$A$21:$H$155,8,0),0)</f>
        <v>0</v>
      </c>
      <c r="J1067" s="88">
        <f>-IFERROR(VLOOKUP(C1067,SIRTAC!$A$16:$H$1288,8,0),0)</f>
        <v>-109</v>
      </c>
      <c r="K1067" s="88">
        <f>-IFERROR(VLOOKUP(C1067,Gastos!$A$9:$J$1281,10,0),0)</f>
        <v>-105.73</v>
      </c>
      <c r="L1067" s="87">
        <f>-IFERROR(VLOOKUP(C1067,IDC!$A$25:$H$1532,8,0),0)</f>
        <v>-65.400000000000006</v>
      </c>
      <c r="M1067" s="122">
        <f t="shared" si="151"/>
        <v>10900</v>
      </c>
      <c r="N1067"/>
      <c r="P1067" s="35">
        <f t="shared" si="149"/>
        <v>-10900</v>
      </c>
      <c r="Q1067" s="66">
        <f t="shared" si="150"/>
        <v>0</v>
      </c>
    </row>
    <row r="1068" spans="1:17" hidden="1">
      <c r="A1068" s="1" t="s">
        <v>1111</v>
      </c>
      <c r="B1068" s="1" t="s">
        <v>15</v>
      </c>
      <c r="C1068" s="91">
        <v>126983145714</v>
      </c>
      <c r="D1068" s="3">
        <v>8378.98</v>
      </c>
      <c r="E1068" s="3">
        <v>9078793.6300000008</v>
      </c>
      <c r="F1068" s="35" t="s">
        <v>2750</v>
      </c>
      <c r="G1068"/>
      <c r="H1068"/>
      <c r="I1068" s="27">
        <f>-IFERROR(VLOOKUP(C1068,SIRCUPA!$A$21:$H$155,8,0),0)</f>
        <v>0</v>
      </c>
      <c r="J1068" s="88">
        <f>-IFERROR(VLOOKUP(C1068,SIRTAC!$A$16:$H$1288,8,0),0)</f>
        <v>-86</v>
      </c>
      <c r="K1068" s="88">
        <f>-IFERROR(VLOOKUP(C1068,Gastos!$A$9:$J$1281,10,0),0)</f>
        <v>-83.42</v>
      </c>
      <c r="L1068" s="87">
        <f>-IFERROR(VLOOKUP(C1068,IDC!$A$25:$H$1532,8,0),0)</f>
        <v>-51.6</v>
      </c>
      <c r="M1068" s="122">
        <f t="shared" si="151"/>
        <v>8600</v>
      </c>
      <c r="N1068"/>
      <c r="P1068" s="35">
        <f t="shared" si="149"/>
        <v>-8600</v>
      </c>
      <c r="Q1068" s="66">
        <f t="shared" si="150"/>
        <v>0</v>
      </c>
    </row>
    <row r="1069" spans="1:17" hidden="1">
      <c r="A1069" s="1" t="s">
        <v>1111</v>
      </c>
      <c r="B1069" s="1" t="s">
        <v>15</v>
      </c>
      <c r="C1069" s="91">
        <v>126426033467</v>
      </c>
      <c r="D1069" s="3">
        <v>37218.26</v>
      </c>
      <c r="E1069" s="3">
        <v>9116011.8900000006</v>
      </c>
      <c r="F1069" s="35" t="s">
        <v>2750</v>
      </c>
      <c r="G1069"/>
      <c r="H1069"/>
      <c r="I1069" s="27">
        <f>-IFERROR(VLOOKUP(C1069,SIRCUPA!$A$21:$H$155,8,0),0)</f>
        <v>0</v>
      </c>
      <c r="J1069" s="88">
        <f>-IFERROR(VLOOKUP(C1069,SIRTAC!$A$16:$H$1288,8,0),0)</f>
        <v>-382</v>
      </c>
      <c r="K1069" s="88">
        <f>-IFERROR(VLOOKUP(C1069,Gastos!$A$9:$J$1281,10,0),0)</f>
        <v>-370.54</v>
      </c>
      <c r="L1069" s="87">
        <f>-IFERROR(VLOOKUP(C1069,IDC!$A$25:$H$1532,8,0),0)</f>
        <v>-229.2</v>
      </c>
      <c r="M1069" s="122">
        <f t="shared" si="151"/>
        <v>38200</v>
      </c>
      <c r="N1069"/>
      <c r="P1069" s="35">
        <f t="shared" si="149"/>
        <v>-38200</v>
      </c>
      <c r="Q1069" s="66">
        <f t="shared" si="150"/>
        <v>0</v>
      </c>
    </row>
    <row r="1070" spans="1:17" hidden="1">
      <c r="A1070" s="1" t="s">
        <v>1111</v>
      </c>
      <c r="B1070" s="1" t="s">
        <v>1170</v>
      </c>
      <c r="C1070" s="91">
        <v>126983513620</v>
      </c>
      <c r="D1070" s="3">
        <v>1869.89</v>
      </c>
      <c r="E1070" s="3">
        <v>9117881.7799999993</v>
      </c>
      <c r="F1070" s="2" t="s">
        <v>2750</v>
      </c>
      <c r="G1070"/>
      <c r="H1070"/>
      <c r="I1070" s="27">
        <f>-IFERROR(VLOOKUP(C1070,SIRCUPA!$A$21:$H$155,8,0),0)</f>
        <v>-28.65</v>
      </c>
      <c r="J1070" s="88">
        <f>-IFERROR(VLOOKUP(C1070,SIRTAC!$A$16:$H$1288,8,0),0)</f>
        <v>0</v>
      </c>
      <c r="K1070" s="88">
        <f>-IFERROR(VLOOKUP(C1070,Gastos!$A$9:$J$1281,10,0),0)</f>
        <v>0</v>
      </c>
      <c r="L1070" s="87">
        <f>-IFERROR(VLOOKUP(C1070,IDC!$A$25:$H$1532,8,0),0)</f>
        <v>-11.46</v>
      </c>
      <c r="M1070" s="122">
        <f t="shared" si="151"/>
        <v>1910.0000000000002</v>
      </c>
      <c r="N1070"/>
      <c r="P1070" s="35">
        <f t="shared" si="149"/>
        <v>-1910</v>
      </c>
      <c r="Q1070" s="66">
        <f t="shared" si="150"/>
        <v>0</v>
      </c>
    </row>
    <row r="1071" spans="1:17" hidden="1">
      <c r="A1071" s="1" t="s">
        <v>1111</v>
      </c>
      <c r="B1071" s="1" t="s">
        <v>15</v>
      </c>
      <c r="C1071" s="91">
        <v>126983720944</v>
      </c>
      <c r="D1071" s="3">
        <v>40336.019999999997</v>
      </c>
      <c r="E1071" s="3">
        <v>9158217.8000000007</v>
      </c>
      <c r="F1071" s="35" t="s">
        <v>2750</v>
      </c>
      <c r="G1071"/>
      <c r="H1071"/>
      <c r="I1071" s="27">
        <f>-IFERROR(VLOOKUP(C1071,SIRCUPA!$A$21:$H$155,8,0),0)</f>
        <v>0</v>
      </c>
      <c r="J1071" s="88">
        <f>-IFERROR(VLOOKUP(C1071,SIRTAC!$A$16:$H$1288,8,0),0)</f>
        <v>-414</v>
      </c>
      <c r="K1071" s="88">
        <f>-IFERROR(VLOOKUP(C1071,Gastos!$A$9:$J$1281,10,0),0)</f>
        <v>-401.58</v>
      </c>
      <c r="L1071" s="87">
        <f>-IFERROR(VLOOKUP(C1071,IDC!$A$25:$H$1532,8,0),0)</f>
        <v>-248.4</v>
      </c>
      <c r="M1071" s="122">
        <f t="shared" si="151"/>
        <v>41400</v>
      </c>
      <c r="N1071"/>
      <c r="P1071" s="35">
        <f t="shared" si="149"/>
        <v>-41400</v>
      </c>
      <c r="Q1071" s="66">
        <f t="shared" si="150"/>
        <v>0</v>
      </c>
    </row>
    <row r="1072" spans="1:17" hidden="1">
      <c r="A1072" s="1" t="s">
        <v>1111</v>
      </c>
      <c r="B1072" s="1" t="s">
        <v>15</v>
      </c>
      <c r="C1072" s="91">
        <v>126983964624</v>
      </c>
      <c r="D1072" s="3">
        <v>70831.61</v>
      </c>
      <c r="E1072" s="3">
        <v>9229049.4100000001</v>
      </c>
      <c r="F1072" s="35" t="s">
        <v>2750</v>
      </c>
      <c r="G1072"/>
      <c r="H1072"/>
      <c r="I1072" s="27">
        <f>-IFERROR(VLOOKUP(C1072,SIRCUPA!$A$21:$H$155,8,0),0)</f>
        <v>0</v>
      </c>
      <c r="J1072" s="88">
        <f>-IFERROR(VLOOKUP(C1072,SIRTAC!$A$16:$H$1288,8,0),0)</f>
        <v>-727</v>
      </c>
      <c r="K1072" s="88">
        <f>-IFERROR(VLOOKUP(C1072,Gastos!$A$9:$J$1281,10,0),0)</f>
        <v>-705.19</v>
      </c>
      <c r="L1072" s="87">
        <f>-IFERROR(VLOOKUP(C1072,IDC!$A$25:$H$1532,8,0),0)</f>
        <v>-436.2</v>
      </c>
      <c r="M1072" s="122">
        <f t="shared" si="151"/>
        <v>72700</v>
      </c>
      <c r="N1072"/>
      <c r="P1072" s="35">
        <f t="shared" si="149"/>
        <v>-72700</v>
      </c>
      <c r="Q1072" s="66">
        <f t="shared" si="150"/>
        <v>0</v>
      </c>
    </row>
    <row r="1073" spans="1:17" hidden="1">
      <c r="A1073" s="1" t="s">
        <v>1111</v>
      </c>
      <c r="B1073" s="1" t="s">
        <v>15</v>
      </c>
      <c r="C1073" s="91">
        <v>126426592653</v>
      </c>
      <c r="D1073" s="3">
        <v>39751.440000000002</v>
      </c>
      <c r="E1073" s="3">
        <v>9268800.8499999996</v>
      </c>
      <c r="F1073" s="35" t="s">
        <v>2750</v>
      </c>
      <c r="G1073"/>
      <c r="H1073"/>
      <c r="I1073" s="27">
        <f>-IFERROR(VLOOKUP(C1073,SIRCUPA!$A$21:$H$155,8,0),0)</f>
        <v>0</v>
      </c>
      <c r="J1073" s="88">
        <f>-IFERROR(VLOOKUP(C1073,SIRTAC!$A$16:$H$1288,8,0),0)</f>
        <v>-408</v>
      </c>
      <c r="K1073" s="88">
        <f>-IFERROR(VLOOKUP(C1073,Gastos!$A$9:$J$1281,10,0),0)</f>
        <v>-395.76</v>
      </c>
      <c r="L1073" s="87">
        <f>-IFERROR(VLOOKUP(C1073,IDC!$A$25:$H$1532,8,0),0)</f>
        <v>-244.8</v>
      </c>
      <c r="M1073" s="122">
        <f t="shared" si="151"/>
        <v>40800.000000000007</v>
      </c>
      <c r="N1073"/>
      <c r="P1073" s="35">
        <f t="shared" si="149"/>
        <v>-40800</v>
      </c>
      <c r="Q1073" s="66">
        <f t="shared" si="150"/>
        <v>0</v>
      </c>
    </row>
    <row r="1074" spans="1:17" hidden="1">
      <c r="A1074" s="1" t="s">
        <v>1111</v>
      </c>
      <c r="B1074" s="1" t="s">
        <v>15</v>
      </c>
      <c r="C1074" s="91">
        <v>126426524043</v>
      </c>
      <c r="D1074" s="3">
        <v>27585.24</v>
      </c>
      <c r="E1074" s="3">
        <v>9296386.0899999999</v>
      </c>
      <c r="F1074" s="35" t="s">
        <v>2750</v>
      </c>
      <c r="G1074"/>
      <c r="H1074"/>
      <c r="I1074" s="27">
        <f>-IFERROR(VLOOKUP(C1074,SIRCUPA!$A$21:$H$155,8,0),0)</f>
        <v>0</v>
      </c>
      <c r="J1074" s="88">
        <f>-IFERROR(VLOOKUP(C1074,SIRTAC!$A$16:$H$1288,8,0),0)</f>
        <v>-292</v>
      </c>
      <c r="K1074" s="88">
        <f>-IFERROR(VLOOKUP(C1074,Gastos!$A$9:$J$1281,10,0),0)</f>
        <v>-1147.56</v>
      </c>
      <c r="L1074" s="87">
        <f>-IFERROR(VLOOKUP(C1074,IDC!$A$25:$H$1532,8,0),0)</f>
        <v>-175.2</v>
      </c>
      <c r="M1074" s="122">
        <f t="shared" si="151"/>
        <v>29200.000000000004</v>
      </c>
      <c r="N1074"/>
      <c r="P1074" s="35">
        <f t="shared" si="149"/>
        <v>-29199.999999999996</v>
      </c>
      <c r="Q1074" s="66">
        <f t="shared" si="150"/>
        <v>0</v>
      </c>
    </row>
    <row r="1075" spans="1:17" hidden="1">
      <c r="A1075" s="1" t="s">
        <v>1111</v>
      </c>
      <c r="B1075" s="1" t="s">
        <v>15</v>
      </c>
      <c r="C1075" s="91">
        <v>126984441946</v>
      </c>
      <c r="D1075" s="3">
        <v>20405.52</v>
      </c>
      <c r="E1075" s="3">
        <v>9316791.6099999994</v>
      </c>
      <c r="F1075" s="35" t="s">
        <v>2750</v>
      </c>
      <c r="G1075"/>
      <c r="H1075"/>
      <c r="I1075" s="27">
        <f>-IFERROR(VLOOKUP(C1075,SIRCUPA!$A$21:$H$155,8,0),0)</f>
        <v>0</v>
      </c>
      <c r="J1075" s="88">
        <f>-IFERROR(VLOOKUP(C1075,SIRTAC!$A$16:$H$1288,8,0),0)</f>
        <v>-216</v>
      </c>
      <c r="K1075" s="88">
        <f>-IFERROR(VLOOKUP(C1075,Gastos!$A$9:$J$1281,10,0),0)</f>
        <v>-848.88</v>
      </c>
      <c r="L1075" s="87">
        <f>-IFERROR(VLOOKUP(C1075,IDC!$A$25:$H$1532,8,0),0)</f>
        <v>-129.6</v>
      </c>
      <c r="M1075" s="122">
        <f t="shared" si="151"/>
        <v>21600</v>
      </c>
      <c r="N1075"/>
      <c r="P1075" s="35">
        <f t="shared" si="149"/>
        <v>-21600</v>
      </c>
      <c r="Q1075" s="66">
        <f t="shared" si="150"/>
        <v>0</v>
      </c>
    </row>
    <row r="1076" spans="1:17" hidden="1">
      <c r="A1076" s="1" t="s">
        <v>1111</v>
      </c>
      <c r="B1076" s="1" t="s">
        <v>15</v>
      </c>
      <c r="C1076" s="91">
        <v>126984992484</v>
      </c>
      <c r="D1076" s="3">
        <v>32541.62</v>
      </c>
      <c r="E1076" s="3">
        <v>9349333.2300000004</v>
      </c>
      <c r="F1076" s="35" t="s">
        <v>2750</v>
      </c>
      <c r="G1076"/>
      <c r="H1076"/>
      <c r="I1076" s="27">
        <f>-IFERROR(VLOOKUP(C1076,SIRCUPA!$A$21:$H$155,8,0),0)</f>
        <v>0</v>
      </c>
      <c r="J1076" s="88">
        <f>-IFERROR(VLOOKUP(C1076,SIRTAC!$A$16:$H$1288,8,0),0)</f>
        <v>-334</v>
      </c>
      <c r="K1076" s="88">
        <f>-IFERROR(VLOOKUP(C1076,Gastos!$A$9:$J$1281,10,0),0)</f>
        <v>-323.98</v>
      </c>
      <c r="L1076" s="87">
        <f>-IFERROR(VLOOKUP(C1076,IDC!$A$25:$H$1532,8,0),0)</f>
        <v>-200.4</v>
      </c>
      <c r="M1076" s="122">
        <f t="shared" si="151"/>
        <v>33400</v>
      </c>
      <c r="N1076"/>
      <c r="P1076" s="35">
        <f t="shared" si="149"/>
        <v>-33400</v>
      </c>
      <c r="Q1076" s="66">
        <f t="shared" si="150"/>
        <v>0</v>
      </c>
    </row>
    <row r="1077" spans="1:17" hidden="1">
      <c r="A1077" s="1" t="s">
        <v>1111</v>
      </c>
      <c r="B1077" s="1" t="s">
        <v>15</v>
      </c>
      <c r="C1077" s="91">
        <v>126984981826</v>
      </c>
      <c r="D1077" s="3">
        <v>30230.400000000001</v>
      </c>
      <c r="E1077" s="3">
        <v>9379563.6300000008</v>
      </c>
      <c r="F1077" s="35" t="s">
        <v>2750</v>
      </c>
      <c r="G1077"/>
      <c r="H1077"/>
      <c r="I1077" s="27">
        <f>-IFERROR(VLOOKUP(C1077,SIRCUPA!$A$21:$H$155,8,0),0)</f>
        <v>0</v>
      </c>
      <c r="J1077" s="88">
        <f>-IFERROR(VLOOKUP(C1077,SIRTAC!$A$16:$H$1288,8,0),0)</f>
        <v>-320</v>
      </c>
      <c r="K1077" s="88">
        <f>-IFERROR(VLOOKUP(C1077,Gastos!$A$9:$J$1281,10,0),0)</f>
        <v>-1257.5999999999999</v>
      </c>
      <c r="L1077" s="87">
        <f>-IFERROR(VLOOKUP(C1077,IDC!$A$25:$H$1532,8,0),0)</f>
        <v>-192</v>
      </c>
      <c r="M1077" s="122">
        <f t="shared" si="151"/>
        <v>32000</v>
      </c>
      <c r="N1077"/>
      <c r="P1077" s="35">
        <f t="shared" si="149"/>
        <v>-32000</v>
      </c>
      <c r="Q1077" s="66">
        <f t="shared" si="150"/>
        <v>0</v>
      </c>
    </row>
    <row r="1078" spans="1:17" hidden="1">
      <c r="A1078" s="1" t="s">
        <v>1111</v>
      </c>
      <c r="B1078" s="1" t="s">
        <v>15</v>
      </c>
      <c r="C1078" s="91">
        <v>126427734197</v>
      </c>
      <c r="D1078" s="3">
        <v>7307.25</v>
      </c>
      <c r="E1078" s="3">
        <v>9386870.8800000008</v>
      </c>
      <c r="F1078" s="35" t="s">
        <v>2750</v>
      </c>
      <c r="G1078"/>
      <c r="H1078"/>
      <c r="I1078" s="27">
        <f>-IFERROR(VLOOKUP(C1078,SIRCUPA!$A$21:$H$155,8,0),0)</f>
        <v>0</v>
      </c>
      <c r="J1078" s="88">
        <f>-IFERROR(VLOOKUP(C1078,SIRTAC!$A$16:$H$1288,8,0),0)</f>
        <v>-75</v>
      </c>
      <c r="K1078" s="88">
        <f>-IFERROR(VLOOKUP(C1078,Gastos!$A$9:$J$1281,10,0),0)</f>
        <v>-72.75</v>
      </c>
      <c r="L1078" s="87">
        <f>-IFERROR(VLOOKUP(C1078,IDC!$A$25:$H$1532,8,0),0)</f>
        <v>-45</v>
      </c>
      <c r="M1078" s="122">
        <f t="shared" si="151"/>
        <v>7500</v>
      </c>
      <c r="N1078"/>
      <c r="P1078" s="35">
        <f t="shared" si="149"/>
        <v>-7500</v>
      </c>
      <c r="Q1078" s="66">
        <f t="shared" si="150"/>
        <v>0</v>
      </c>
    </row>
    <row r="1079" spans="1:17" hidden="1">
      <c r="A1079" s="1" t="s">
        <v>1111</v>
      </c>
      <c r="B1079" s="1" t="s">
        <v>1180</v>
      </c>
      <c r="C1079" s="91">
        <v>126427704535</v>
      </c>
      <c r="D1079" s="2">
        <v>734.25</v>
      </c>
      <c r="E1079" s="3">
        <v>9387605.1300000008</v>
      </c>
      <c r="F1079" s="2" t="s">
        <v>2750</v>
      </c>
      <c r="G1079"/>
      <c r="H1079"/>
      <c r="I1079" s="27">
        <f>-IFERROR(VLOOKUP(C1079,SIRCUPA!$A$21:$H$155,8,0),0)</f>
        <v>-11.25</v>
      </c>
      <c r="J1079" s="88">
        <f>-IFERROR(VLOOKUP(C1079,SIRTAC!$A$16:$H$1288,8,0),0)</f>
        <v>0</v>
      </c>
      <c r="K1079" s="88">
        <f>-IFERROR(VLOOKUP(C1079,Gastos!$A$9:$J$1281,10,0),0)</f>
        <v>0</v>
      </c>
      <c r="L1079" s="87">
        <f>-IFERROR(VLOOKUP(C1079,IDC!$A$25:$H$1532,8,0),0)</f>
        <v>-4.5</v>
      </c>
      <c r="M1079" s="122">
        <f t="shared" si="151"/>
        <v>750</v>
      </c>
      <c r="N1079"/>
      <c r="P1079" s="35">
        <f t="shared" si="149"/>
        <v>-750</v>
      </c>
      <c r="Q1079" s="66">
        <f t="shared" si="150"/>
        <v>0</v>
      </c>
    </row>
    <row r="1080" spans="1:17" hidden="1">
      <c r="A1080" s="1" t="s">
        <v>1111</v>
      </c>
      <c r="B1080" s="1" t="s">
        <v>15</v>
      </c>
      <c r="C1080" s="91">
        <v>126985153914</v>
      </c>
      <c r="D1080" s="3">
        <v>3799.77</v>
      </c>
      <c r="E1080" s="3">
        <v>9391404.9000000004</v>
      </c>
      <c r="F1080" s="35" t="s">
        <v>2750</v>
      </c>
      <c r="G1080"/>
      <c r="H1080"/>
      <c r="I1080" s="27">
        <f>-IFERROR(VLOOKUP(C1080,SIRCUPA!$A$21:$H$155,8,0),0)</f>
        <v>0</v>
      </c>
      <c r="J1080" s="88">
        <f>-IFERROR(VLOOKUP(C1080,SIRTAC!$A$16:$H$1288,8,0),0)</f>
        <v>-39</v>
      </c>
      <c r="K1080" s="88">
        <f>-IFERROR(VLOOKUP(C1080,Gastos!$A$9:$J$1281,10,0),0)</f>
        <v>-37.83</v>
      </c>
      <c r="L1080" s="87">
        <f>-IFERROR(VLOOKUP(C1080,IDC!$A$25:$H$1532,8,0),0)</f>
        <v>-23.4</v>
      </c>
      <c r="M1080" s="122">
        <f t="shared" ref="M1080:M1111" si="152">+D1080-I1080-J1080-K1080-L1080</f>
        <v>3900</v>
      </c>
      <c r="N1080"/>
      <c r="P1080" s="35">
        <f t="shared" ref="P1080:P1143" si="153">+L1080/0.006</f>
        <v>-3899.9999999999995</v>
      </c>
      <c r="Q1080" s="66">
        <f t="shared" ref="Q1080:Q1143" si="154">+M1080+P1080</f>
        <v>0</v>
      </c>
    </row>
    <row r="1081" spans="1:17" hidden="1">
      <c r="A1081" s="1" t="s">
        <v>1111</v>
      </c>
      <c r="B1081" s="1" t="s">
        <v>15</v>
      </c>
      <c r="C1081" s="91">
        <v>126427840519</v>
      </c>
      <c r="D1081" s="3">
        <v>32541.62</v>
      </c>
      <c r="E1081" s="3">
        <v>9423946.5199999996</v>
      </c>
      <c r="F1081" s="35" t="s">
        <v>2750</v>
      </c>
      <c r="G1081"/>
      <c r="H1081"/>
      <c r="I1081" s="27">
        <f>-IFERROR(VLOOKUP(C1081,SIRCUPA!$A$21:$H$155,8,0),0)</f>
        <v>0</v>
      </c>
      <c r="J1081" s="88">
        <f>-IFERROR(VLOOKUP(C1081,SIRTAC!$A$16:$H$1288,8,0),0)</f>
        <v>-334</v>
      </c>
      <c r="K1081" s="88">
        <f>-IFERROR(VLOOKUP(C1081,Gastos!$A$9:$J$1281,10,0),0)</f>
        <v>-323.98</v>
      </c>
      <c r="L1081" s="87">
        <f>-IFERROR(VLOOKUP(C1081,IDC!$A$25:$H$1532,8,0),0)</f>
        <v>-200.4</v>
      </c>
      <c r="M1081" s="122">
        <f t="shared" si="152"/>
        <v>33400</v>
      </c>
      <c r="N1081"/>
      <c r="P1081" s="35">
        <f t="shared" si="153"/>
        <v>-33400</v>
      </c>
      <c r="Q1081" s="66">
        <f t="shared" si="154"/>
        <v>0</v>
      </c>
    </row>
    <row r="1082" spans="1:17" hidden="1">
      <c r="A1082" s="1" t="s">
        <v>1111</v>
      </c>
      <c r="B1082" s="1" t="s">
        <v>1184</v>
      </c>
      <c r="C1082" s="91">
        <v>126427745647</v>
      </c>
      <c r="D1082" s="3">
        <v>1634.93</v>
      </c>
      <c r="E1082" s="3">
        <v>9425581.4499999993</v>
      </c>
      <c r="F1082" s="2" t="s">
        <v>2750</v>
      </c>
      <c r="G1082"/>
      <c r="H1082"/>
      <c r="I1082" s="27">
        <f>-IFERROR(VLOOKUP(C1082,SIRCUPA!$A$21:$H$155,8,0),0)</f>
        <v>-25.05</v>
      </c>
      <c r="J1082" s="88">
        <f>-IFERROR(VLOOKUP(C1082,SIRTAC!$A$16:$H$1288,8,0),0)</f>
        <v>0</v>
      </c>
      <c r="K1082" s="88">
        <f>-IFERROR(VLOOKUP(C1082,Gastos!$A$9:$J$1281,10,0),0)</f>
        <v>0</v>
      </c>
      <c r="L1082" s="87">
        <f>-IFERROR(VLOOKUP(C1082,IDC!$A$25:$H$1532,8,0),0)</f>
        <v>-10.02</v>
      </c>
      <c r="M1082" s="122">
        <f t="shared" si="152"/>
        <v>1670</v>
      </c>
      <c r="N1082"/>
      <c r="P1082" s="35">
        <f t="shared" si="153"/>
        <v>-1670</v>
      </c>
      <c r="Q1082" s="66">
        <f t="shared" si="154"/>
        <v>0</v>
      </c>
    </row>
    <row r="1083" spans="1:17" hidden="1">
      <c r="A1083" s="1" t="s">
        <v>1111</v>
      </c>
      <c r="B1083" s="1" t="s">
        <v>15</v>
      </c>
      <c r="C1083" s="91">
        <v>126428154421</v>
      </c>
      <c r="D1083" s="3">
        <v>9743</v>
      </c>
      <c r="E1083" s="3">
        <v>9435324.4499999993</v>
      </c>
      <c r="F1083" s="35" t="s">
        <v>2750</v>
      </c>
      <c r="G1083"/>
      <c r="H1083"/>
      <c r="I1083" s="27">
        <f>-IFERROR(VLOOKUP(C1083,SIRCUPA!$A$21:$H$155,8,0),0)</f>
        <v>0</v>
      </c>
      <c r="J1083" s="88">
        <f>-IFERROR(VLOOKUP(C1083,SIRTAC!$A$16:$H$1288,8,0),0)</f>
        <v>-100</v>
      </c>
      <c r="K1083" s="88">
        <f>-IFERROR(VLOOKUP(C1083,Gastos!$A$9:$J$1281,10,0),0)</f>
        <v>-97</v>
      </c>
      <c r="L1083" s="87">
        <f>-IFERROR(VLOOKUP(C1083,IDC!$A$25:$H$1532,8,0),0)</f>
        <v>-60</v>
      </c>
      <c r="M1083" s="122">
        <f t="shared" si="152"/>
        <v>10000</v>
      </c>
      <c r="N1083"/>
      <c r="P1083" s="35">
        <f t="shared" si="153"/>
        <v>-10000</v>
      </c>
      <c r="Q1083" s="66">
        <f t="shared" si="154"/>
        <v>0</v>
      </c>
    </row>
    <row r="1084" spans="1:17" hidden="1">
      <c r="A1084" s="1" t="s">
        <v>1111</v>
      </c>
      <c r="B1084" s="1" t="s">
        <v>15</v>
      </c>
      <c r="C1084" s="91">
        <v>126428160507</v>
      </c>
      <c r="D1084" s="3">
        <v>37544</v>
      </c>
      <c r="E1084" s="3">
        <v>9472868.4499999993</v>
      </c>
      <c r="F1084" s="35" t="s">
        <v>2750</v>
      </c>
      <c r="G1084"/>
      <c r="H1084"/>
      <c r="I1084" s="27">
        <f>-IFERROR(VLOOKUP(C1084,SIRCUPA!$A$21:$H$155,8,0),0)</f>
        <v>0</v>
      </c>
      <c r="J1084" s="88">
        <f>-IFERROR(VLOOKUP(C1084,SIRTAC!$A$16:$H$1288,8,0),0)</f>
        <v>-400</v>
      </c>
      <c r="K1084" s="88">
        <f>-IFERROR(VLOOKUP(C1084,Gastos!$A$9:$J$1281,10,0),0)</f>
        <v>-1816</v>
      </c>
      <c r="L1084" s="87">
        <f>-IFERROR(VLOOKUP(C1084,IDC!$A$25:$H$1532,8,0),0)</f>
        <v>-240</v>
      </c>
      <c r="M1084" s="122">
        <f t="shared" si="152"/>
        <v>40000</v>
      </c>
      <c r="N1084"/>
      <c r="P1084" s="35">
        <f t="shared" si="153"/>
        <v>-40000</v>
      </c>
      <c r="Q1084" s="66">
        <f t="shared" si="154"/>
        <v>0</v>
      </c>
    </row>
    <row r="1085" spans="1:17" hidden="1">
      <c r="A1085" s="1" t="s">
        <v>1111</v>
      </c>
      <c r="B1085" s="1" t="s">
        <v>15</v>
      </c>
      <c r="C1085" s="91">
        <v>126985881488</v>
      </c>
      <c r="D1085" s="3">
        <v>69624.39</v>
      </c>
      <c r="E1085" s="3">
        <v>9542492.8399999999</v>
      </c>
      <c r="F1085" s="35" t="s">
        <v>2750</v>
      </c>
      <c r="G1085"/>
      <c r="H1085"/>
      <c r="I1085" s="27">
        <f>-IFERROR(VLOOKUP(C1085,SIRCUPA!$A$21:$H$155,8,0),0)</f>
        <v>0</v>
      </c>
      <c r="J1085" s="88">
        <f>-IFERROR(VLOOKUP(C1085,SIRTAC!$A$16:$H$1288,8,0),0)</f>
        <v>-737</v>
      </c>
      <c r="K1085" s="88">
        <f>-IFERROR(VLOOKUP(C1085,Gastos!$A$9:$J$1281,10,0),0)</f>
        <v>-2896.41</v>
      </c>
      <c r="L1085" s="87">
        <f>-IFERROR(VLOOKUP(C1085,IDC!$A$25:$H$1532,8,0),0)</f>
        <v>-442.2</v>
      </c>
      <c r="M1085" s="122">
        <f t="shared" si="152"/>
        <v>73700</v>
      </c>
      <c r="N1085"/>
      <c r="P1085" s="35">
        <f t="shared" si="153"/>
        <v>-73700</v>
      </c>
      <c r="Q1085" s="66">
        <f t="shared" si="154"/>
        <v>0</v>
      </c>
    </row>
    <row r="1086" spans="1:17" hidden="1">
      <c r="A1086" s="1" t="s">
        <v>1111</v>
      </c>
      <c r="B1086" s="1" t="s">
        <v>15</v>
      </c>
      <c r="C1086" s="91">
        <v>126428591035</v>
      </c>
      <c r="D1086" s="3">
        <v>37221.18</v>
      </c>
      <c r="E1086" s="3">
        <v>9579714.0199999996</v>
      </c>
      <c r="F1086" s="35" t="s">
        <v>2750</v>
      </c>
      <c r="G1086"/>
      <c r="H1086"/>
      <c r="I1086" s="27">
        <f>-IFERROR(VLOOKUP(C1086,SIRCUPA!$A$21:$H$155,8,0),0)</f>
        <v>0</v>
      </c>
      <c r="J1086" s="88">
        <f>-IFERROR(VLOOKUP(C1086,SIRTAC!$A$16:$H$1288,8,0),0)</f>
        <v>-394</v>
      </c>
      <c r="K1086" s="88">
        <f>-IFERROR(VLOOKUP(C1086,Gastos!$A$9:$J$1281,10,0),0)</f>
        <v>-1548.42</v>
      </c>
      <c r="L1086" s="87">
        <f>-IFERROR(VLOOKUP(C1086,IDC!$A$25:$H$1532,8,0),0)</f>
        <v>-236.4</v>
      </c>
      <c r="M1086" s="122">
        <f t="shared" si="152"/>
        <v>39400</v>
      </c>
      <c r="N1086"/>
      <c r="P1086" s="35">
        <f t="shared" si="153"/>
        <v>-39400</v>
      </c>
      <c r="Q1086" s="66">
        <f t="shared" si="154"/>
        <v>0</v>
      </c>
    </row>
    <row r="1087" spans="1:17" hidden="1">
      <c r="A1087" s="1" t="s">
        <v>1111</v>
      </c>
      <c r="B1087" s="1" t="s">
        <v>15</v>
      </c>
      <c r="C1087" s="91">
        <v>126986201156</v>
      </c>
      <c r="D1087" s="3">
        <v>35048.370000000003</v>
      </c>
      <c r="E1087" s="3">
        <v>9614762.3900000006</v>
      </c>
      <c r="F1087" s="35" t="s">
        <v>2750</v>
      </c>
      <c r="G1087"/>
      <c r="H1087"/>
      <c r="I1087" s="27">
        <f>-IFERROR(VLOOKUP(C1087,SIRCUPA!$A$21:$H$155,8,0),0)</f>
        <v>0</v>
      </c>
      <c r="J1087" s="88">
        <f>-IFERROR(VLOOKUP(C1087,SIRTAC!$A$16:$H$1288,8,0),0)</f>
        <v>-371</v>
      </c>
      <c r="K1087" s="88">
        <f>-IFERROR(VLOOKUP(C1087,Gastos!$A$9:$J$1281,10,0),0)</f>
        <v>-1458.03</v>
      </c>
      <c r="L1087" s="87">
        <f>-IFERROR(VLOOKUP(C1087,IDC!$A$25:$H$1532,8,0),0)</f>
        <v>-222.6</v>
      </c>
      <c r="M1087" s="122">
        <f t="shared" si="152"/>
        <v>37100</v>
      </c>
      <c r="N1087"/>
      <c r="P1087" s="35">
        <f t="shared" si="153"/>
        <v>-37100</v>
      </c>
      <c r="Q1087" s="66">
        <f t="shared" si="154"/>
        <v>0</v>
      </c>
    </row>
    <row r="1088" spans="1:17" hidden="1">
      <c r="A1088" s="1" t="s">
        <v>1111</v>
      </c>
      <c r="B1088" s="1" t="s">
        <v>15</v>
      </c>
      <c r="C1088" s="91">
        <v>126428827067</v>
      </c>
      <c r="D1088" s="3">
        <v>45012.66</v>
      </c>
      <c r="E1088" s="3">
        <v>9659775.0500000007</v>
      </c>
      <c r="F1088" s="35" t="s">
        <v>2750</v>
      </c>
      <c r="G1088"/>
      <c r="H1088"/>
      <c r="I1088" s="27">
        <f>-IFERROR(VLOOKUP(C1088,SIRCUPA!$A$21:$H$155,8,0),0)</f>
        <v>0</v>
      </c>
      <c r="J1088" s="88">
        <f>-IFERROR(VLOOKUP(C1088,SIRTAC!$A$16:$H$1288,8,0),0)</f>
        <v>-462</v>
      </c>
      <c r="K1088" s="88">
        <f>-IFERROR(VLOOKUP(C1088,Gastos!$A$9:$J$1281,10,0),0)</f>
        <v>-448.14</v>
      </c>
      <c r="L1088" s="87">
        <f>-IFERROR(VLOOKUP(C1088,IDC!$A$25:$H$1532,8,0),0)</f>
        <v>-277.2</v>
      </c>
      <c r="M1088" s="122">
        <f t="shared" si="152"/>
        <v>46200</v>
      </c>
      <c r="N1088"/>
      <c r="P1088" s="35">
        <f t="shared" si="153"/>
        <v>-46200</v>
      </c>
      <c r="Q1088" s="66">
        <f t="shared" si="154"/>
        <v>0</v>
      </c>
    </row>
    <row r="1089" spans="1:17" hidden="1">
      <c r="A1089" s="1" t="s">
        <v>1111</v>
      </c>
      <c r="B1089" s="1" t="s">
        <v>1192</v>
      </c>
      <c r="C1089" s="91">
        <v>126986375372</v>
      </c>
      <c r="D1089" s="3">
        <v>2261.4899999999998</v>
      </c>
      <c r="E1089" s="3">
        <v>9662036.5399999991</v>
      </c>
      <c r="F1089" s="2" t="s">
        <v>2750</v>
      </c>
      <c r="G1089"/>
      <c r="H1089"/>
      <c r="I1089" s="27">
        <f>-IFERROR(VLOOKUP(C1089,SIRCUPA!$A$21:$H$155,8,0),0)</f>
        <v>-34.65</v>
      </c>
      <c r="J1089" s="88">
        <f>-IFERROR(VLOOKUP(C1089,SIRTAC!$A$16:$H$1288,8,0),0)</f>
        <v>0</v>
      </c>
      <c r="K1089" s="88">
        <f>-IFERROR(VLOOKUP(C1089,Gastos!$A$9:$J$1281,10,0),0)</f>
        <v>0</v>
      </c>
      <c r="L1089" s="87">
        <f>-IFERROR(VLOOKUP(C1089,IDC!$A$25:$H$1532,8,0),0)</f>
        <v>-13.86</v>
      </c>
      <c r="M1089" s="122">
        <f t="shared" si="152"/>
        <v>2310</v>
      </c>
      <c r="N1089"/>
      <c r="P1089" s="35">
        <f t="shared" si="153"/>
        <v>-2310</v>
      </c>
      <c r="Q1089" s="66">
        <f t="shared" si="154"/>
        <v>0</v>
      </c>
    </row>
    <row r="1090" spans="1:17" hidden="1">
      <c r="A1090" s="1" t="s">
        <v>1111</v>
      </c>
      <c r="B1090" s="1" t="s">
        <v>15</v>
      </c>
      <c r="C1090" s="91">
        <v>126986728354</v>
      </c>
      <c r="D1090" s="3">
        <v>8785.7099999999991</v>
      </c>
      <c r="E1090" s="3">
        <v>9670822.25</v>
      </c>
      <c r="F1090" s="35" t="s">
        <v>2750</v>
      </c>
      <c r="G1090"/>
      <c r="H1090"/>
      <c r="I1090" s="27">
        <f>-IFERROR(VLOOKUP(C1090,SIRCUPA!$A$21:$H$155,8,0),0)</f>
        <v>0</v>
      </c>
      <c r="J1090" s="88">
        <f>-IFERROR(VLOOKUP(C1090,SIRTAC!$A$16:$H$1288,8,0),0)</f>
        <v>-93</v>
      </c>
      <c r="K1090" s="88">
        <f>-IFERROR(VLOOKUP(C1090,Gastos!$A$9:$J$1281,10,0),0)</f>
        <v>-365.49</v>
      </c>
      <c r="L1090" s="87">
        <f>-IFERROR(VLOOKUP(C1090,IDC!$A$25:$H$1532,8,0),0)</f>
        <v>-55.8</v>
      </c>
      <c r="M1090" s="122">
        <f t="shared" si="152"/>
        <v>9299.9999999999982</v>
      </c>
      <c r="N1090"/>
      <c r="P1090" s="35">
        <f t="shared" si="153"/>
        <v>-9300</v>
      </c>
      <c r="Q1090" s="66">
        <f t="shared" si="154"/>
        <v>0</v>
      </c>
    </row>
    <row r="1091" spans="1:17" hidden="1">
      <c r="A1091" s="1" t="s">
        <v>1111</v>
      </c>
      <c r="B1091" s="1" t="s">
        <v>15</v>
      </c>
      <c r="C1091" s="91">
        <v>126429190877</v>
      </c>
      <c r="D1091" s="3">
        <v>50320.4</v>
      </c>
      <c r="E1091" s="3">
        <v>9721142.6500000004</v>
      </c>
      <c r="F1091" s="35" t="s">
        <v>2750</v>
      </c>
      <c r="G1091"/>
      <c r="H1091"/>
      <c r="I1091" s="27">
        <f>-IFERROR(VLOOKUP(C1091,SIRCUPA!$A$21:$H$155,8,0),0)</f>
        <v>0</v>
      </c>
      <c r="J1091" s="88">
        <f>-IFERROR(VLOOKUP(C1091,SIRTAC!$A$16:$H$1288,8,0),0)</f>
        <v>-520</v>
      </c>
      <c r="K1091" s="88">
        <f>-IFERROR(VLOOKUP(C1091,Gastos!$A$9:$J$1281,10,0),0)</f>
        <v>-847.6</v>
      </c>
      <c r="L1091" s="87">
        <f>-IFERROR(VLOOKUP(C1091,IDC!$A$25:$H$1532,8,0),0)</f>
        <v>-312</v>
      </c>
      <c r="M1091" s="122">
        <f t="shared" si="152"/>
        <v>52000</v>
      </c>
      <c r="N1091"/>
      <c r="P1091" s="35">
        <f t="shared" si="153"/>
        <v>-52000</v>
      </c>
      <c r="Q1091" s="66">
        <f t="shared" si="154"/>
        <v>0</v>
      </c>
    </row>
    <row r="1092" spans="1:17" hidden="1">
      <c r="A1092" s="1" t="s">
        <v>1111</v>
      </c>
      <c r="B1092" s="1" t="s">
        <v>15</v>
      </c>
      <c r="C1092" s="91">
        <v>126986973700</v>
      </c>
      <c r="D1092" s="3">
        <v>10327.58</v>
      </c>
      <c r="E1092" s="3">
        <v>9731470.2300000004</v>
      </c>
      <c r="F1092" s="35" t="s">
        <v>2750</v>
      </c>
      <c r="G1092"/>
      <c r="H1092"/>
      <c r="I1092" s="27">
        <f>-IFERROR(VLOOKUP(C1092,SIRCUPA!$A$21:$H$155,8,0),0)</f>
        <v>0</v>
      </c>
      <c r="J1092" s="88">
        <f>-IFERROR(VLOOKUP(C1092,SIRTAC!$A$16:$H$1288,8,0),0)</f>
        <v>-106</v>
      </c>
      <c r="K1092" s="88">
        <f>-IFERROR(VLOOKUP(C1092,Gastos!$A$9:$J$1281,10,0),0)</f>
        <v>-102.82</v>
      </c>
      <c r="L1092" s="87">
        <f>-IFERROR(VLOOKUP(C1092,IDC!$A$25:$H$1532,8,0),0)</f>
        <v>-63.6</v>
      </c>
      <c r="M1092" s="122">
        <f t="shared" si="152"/>
        <v>10600</v>
      </c>
      <c r="N1092"/>
      <c r="P1092" s="35">
        <f t="shared" si="153"/>
        <v>-10600</v>
      </c>
      <c r="Q1092" s="66">
        <f t="shared" si="154"/>
        <v>0</v>
      </c>
    </row>
    <row r="1093" spans="1:17" hidden="1">
      <c r="A1093" s="1" t="s">
        <v>1111</v>
      </c>
      <c r="B1093" s="1" t="s">
        <v>15</v>
      </c>
      <c r="C1093" s="91">
        <v>126987554710</v>
      </c>
      <c r="D1093" s="3">
        <v>25999.22</v>
      </c>
      <c r="E1093" s="3">
        <v>9757469.4499999993</v>
      </c>
      <c r="F1093" s="35" t="s">
        <v>2750</v>
      </c>
      <c r="G1093"/>
      <c r="H1093"/>
      <c r="I1093" s="27">
        <f>-IFERROR(VLOOKUP(C1093,SIRCUPA!$A$21:$H$155,8,0),0)</f>
        <v>0</v>
      </c>
      <c r="J1093" s="88">
        <f>-IFERROR(VLOOKUP(C1093,SIRTAC!$A$16:$H$1288,8,0),0)</f>
        <v>-277</v>
      </c>
      <c r="K1093" s="88">
        <f>-IFERROR(VLOOKUP(C1093,Gastos!$A$9:$J$1281,10,0),0)</f>
        <v>-1257.58</v>
      </c>
      <c r="L1093" s="87">
        <f>-IFERROR(VLOOKUP(C1093,IDC!$A$25:$H$1532,8,0),0)</f>
        <v>-166.2</v>
      </c>
      <c r="M1093" s="122">
        <f t="shared" si="152"/>
        <v>27700.000000000004</v>
      </c>
      <c r="N1093"/>
      <c r="P1093" s="35">
        <f t="shared" si="153"/>
        <v>-27699.999999999996</v>
      </c>
      <c r="Q1093" s="66">
        <f t="shared" si="154"/>
        <v>0</v>
      </c>
    </row>
    <row r="1094" spans="1:17" hidden="1">
      <c r="A1094" s="1" t="s">
        <v>1198</v>
      </c>
      <c r="B1094" s="1" t="s">
        <v>15</v>
      </c>
      <c r="C1094" s="91">
        <v>126430310225</v>
      </c>
      <c r="D1094" s="3">
        <v>21728.1</v>
      </c>
      <c r="E1094" s="3">
        <v>9779197.5500000007</v>
      </c>
      <c r="F1094" s="35" t="s">
        <v>2750</v>
      </c>
      <c r="G1094"/>
      <c r="H1094"/>
      <c r="I1094" s="27">
        <f>-IFERROR(VLOOKUP(C1094,SIRCUPA!$A$21:$H$155,8,0),0)</f>
        <v>0</v>
      </c>
      <c r="J1094" s="88">
        <f>-IFERROR(VLOOKUP(C1094,SIRTAC!$A$16:$H$1288,8,0),0)</f>
        <v>-230</v>
      </c>
      <c r="K1094" s="88">
        <f>-IFERROR(VLOOKUP(C1094,Gastos!$A$9:$J$1281,10,0),0)</f>
        <v>-903.9</v>
      </c>
      <c r="L1094" s="87">
        <f>-IFERROR(VLOOKUP(C1094,IDC!$A$25:$H$1532,8,0),0)</f>
        <v>-138</v>
      </c>
      <c r="M1094" s="122">
        <f t="shared" si="152"/>
        <v>23000</v>
      </c>
      <c r="N1094"/>
      <c r="P1094" s="35">
        <f t="shared" si="153"/>
        <v>-23000</v>
      </c>
      <c r="Q1094" s="66">
        <f t="shared" si="154"/>
        <v>0</v>
      </c>
    </row>
    <row r="1095" spans="1:17" hidden="1">
      <c r="A1095" s="1" t="s">
        <v>1198</v>
      </c>
      <c r="B1095" s="1" t="s">
        <v>15</v>
      </c>
      <c r="C1095" s="91">
        <v>126430431329</v>
      </c>
      <c r="D1095" s="3">
        <v>15580.76</v>
      </c>
      <c r="E1095" s="3">
        <v>9794778.3100000005</v>
      </c>
      <c r="F1095" s="35" t="s">
        <v>2750</v>
      </c>
      <c r="G1095"/>
      <c r="H1095"/>
      <c r="I1095" s="27">
        <f>-IFERROR(VLOOKUP(C1095,SIRCUPA!$A$21:$H$155,8,0),0)</f>
        <v>0</v>
      </c>
      <c r="J1095" s="88">
        <f>-IFERROR(VLOOKUP(C1095,SIRTAC!$A$16:$H$1288,8,0),0)</f>
        <v>-166</v>
      </c>
      <c r="K1095" s="88">
        <f>-IFERROR(VLOOKUP(C1095,Gastos!$A$9:$J$1281,10,0),0)</f>
        <v>-753.64</v>
      </c>
      <c r="L1095" s="87">
        <f>-IFERROR(VLOOKUP(C1095,IDC!$A$25:$H$1532,8,0),0)</f>
        <v>-99.6</v>
      </c>
      <c r="M1095" s="122">
        <f t="shared" si="152"/>
        <v>16600</v>
      </c>
      <c r="N1095"/>
      <c r="P1095" s="35">
        <f t="shared" si="153"/>
        <v>-16600</v>
      </c>
      <c r="Q1095" s="66">
        <f t="shared" si="154"/>
        <v>0</v>
      </c>
    </row>
    <row r="1096" spans="1:17" hidden="1">
      <c r="A1096" s="1" t="s">
        <v>1198</v>
      </c>
      <c r="B1096" s="1" t="s">
        <v>15</v>
      </c>
      <c r="C1096" s="91">
        <v>126988152896</v>
      </c>
      <c r="D1096" s="3">
        <v>56704.26</v>
      </c>
      <c r="E1096" s="3">
        <v>9851482.5700000003</v>
      </c>
      <c r="F1096" s="35" t="s">
        <v>2750</v>
      </c>
      <c r="G1096"/>
      <c r="H1096"/>
      <c r="I1096" s="27">
        <f>-IFERROR(VLOOKUP(C1096,SIRCUPA!$A$21:$H$155,8,0),0)</f>
        <v>0</v>
      </c>
      <c r="J1096" s="88">
        <f>-IFERROR(VLOOKUP(C1096,SIRTAC!$A$16:$H$1288,8,0),0)</f>
        <v>-582</v>
      </c>
      <c r="K1096" s="88">
        <f>-IFERROR(VLOOKUP(C1096,Gastos!$A$9:$J$1281,10,0),0)</f>
        <v>-564.54</v>
      </c>
      <c r="L1096" s="87">
        <f>-IFERROR(VLOOKUP(C1096,IDC!$A$25:$H$1532,8,0),0)</f>
        <v>-349.2</v>
      </c>
      <c r="M1096" s="122">
        <f t="shared" si="152"/>
        <v>58200</v>
      </c>
      <c r="N1096"/>
      <c r="P1096" s="35">
        <f t="shared" si="153"/>
        <v>-58200</v>
      </c>
      <c r="Q1096" s="66">
        <f t="shared" si="154"/>
        <v>0</v>
      </c>
    </row>
    <row r="1097" spans="1:17" hidden="1">
      <c r="A1097" s="1" t="s">
        <v>1198</v>
      </c>
      <c r="B1097" s="1" t="s">
        <v>15</v>
      </c>
      <c r="C1097" s="91">
        <v>126430926107</v>
      </c>
      <c r="D1097" s="3">
        <v>17665.89</v>
      </c>
      <c r="E1097" s="3">
        <v>9869148.4600000009</v>
      </c>
      <c r="F1097" s="35" t="s">
        <v>2750</v>
      </c>
      <c r="G1097"/>
      <c r="H1097"/>
      <c r="I1097" s="27">
        <f>-IFERROR(VLOOKUP(C1097,SIRCUPA!$A$21:$H$155,8,0),0)</f>
        <v>0</v>
      </c>
      <c r="J1097" s="88">
        <f>-IFERROR(VLOOKUP(C1097,SIRTAC!$A$16:$H$1288,8,0),0)</f>
        <v>-187</v>
      </c>
      <c r="K1097" s="88">
        <f>-IFERROR(VLOOKUP(C1097,Gastos!$A$9:$J$1281,10,0),0)</f>
        <v>-734.91</v>
      </c>
      <c r="L1097" s="87">
        <f>-IFERROR(VLOOKUP(C1097,IDC!$A$25:$H$1532,8,0),0)</f>
        <v>-112.2</v>
      </c>
      <c r="M1097" s="122">
        <f t="shared" si="152"/>
        <v>18700</v>
      </c>
      <c r="N1097"/>
      <c r="P1097" s="35">
        <f t="shared" si="153"/>
        <v>-18700</v>
      </c>
      <c r="Q1097" s="66">
        <f t="shared" si="154"/>
        <v>0</v>
      </c>
    </row>
    <row r="1098" spans="1:17" hidden="1">
      <c r="A1098" s="1" t="s">
        <v>1198</v>
      </c>
      <c r="B1098" s="1" t="s">
        <v>15</v>
      </c>
      <c r="C1098" s="91">
        <v>126430980121</v>
      </c>
      <c r="D1098" s="3">
        <v>7989.26</v>
      </c>
      <c r="E1098" s="3">
        <v>9877137.7200000007</v>
      </c>
      <c r="F1098" s="35" t="s">
        <v>2750</v>
      </c>
      <c r="G1098"/>
      <c r="H1098"/>
      <c r="I1098" s="27">
        <f>-IFERROR(VLOOKUP(C1098,SIRCUPA!$A$21:$H$155,8,0),0)</f>
        <v>0</v>
      </c>
      <c r="J1098" s="88">
        <f>-IFERROR(VLOOKUP(C1098,SIRTAC!$A$16:$H$1288,8,0),0)</f>
        <v>-82</v>
      </c>
      <c r="K1098" s="88">
        <f>-IFERROR(VLOOKUP(C1098,Gastos!$A$9:$J$1281,10,0),0)</f>
        <v>-79.540000000000006</v>
      </c>
      <c r="L1098" s="87">
        <f>-IFERROR(VLOOKUP(C1098,IDC!$A$25:$H$1532,8,0),0)</f>
        <v>-49.2</v>
      </c>
      <c r="M1098" s="122">
        <f t="shared" si="152"/>
        <v>8200</v>
      </c>
      <c r="N1098"/>
      <c r="P1098" s="35">
        <f t="shared" si="153"/>
        <v>-8200</v>
      </c>
      <c r="Q1098" s="66">
        <f t="shared" si="154"/>
        <v>0</v>
      </c>
    </row>
    <row r="1099" spans="1:17" hidden="1">
      <c r="A1099" s="1" t="s">
        <v>1198</v>
      </c>
      <c r="B1099" s="1" t="s">
        <v>15</v>
      </c>
      <c r="C1099" s="91">
        <v>126988634112</v>
      </c>
      <c r="D1099" s="3">
        <v>10793.9</v>
      </c>
      <c r="E1099" s="3">
        <v>9887931.6199999992</v>
      </c>
      <c r="F1099" s="35" t="s">
        <v>2750</v>
      </c>
      <c r="G1099"/>
      <c r="H1099"/>
      <c r="I1099" s="27">
        <f>-IFERROR(VLOOKUP(C1099,SIRCUPA!$A$21:$H$155,8,0),0)</f>
        <v>0</v>
      </c>
      <c r="J1099" s="88">
        <f>-IFERROR(VLOOKUP(C1099,SIRTAC!$A$16:$H$1288,8,0),0)</f>
        <v>-115</v>
      </c>
      <c r="K1099" s="88">
        <f>-IFERROR(VLOOKUP(C1099,Gastos!$A$9:$J$1281,10,0),0)</f>
        <v>-522.1</v>
      </c>
      <c r="L1099" s="87">
        <f>-IFERROR(VLOOKUP(C1099,IDC!$A$25:$H$1532,8,0),0)</f>
        <v>-69</v>
      </c>
      <c r="M1099" s="122">
        <f t="shared" si="152"/>
        <v>11500</v>
      </c>
      <c r="N1099"/>
      <c r="P1099" s="35">
        <f t="shared" si="153"/>
        <v>-11500</v>
      </c>
      <c r="Q1099" s="66">
        <f t="shared" si="154"/>
        <v>0</v>
      </c>
    </row>
    <row r="1100" spans="1:17" hidden="1">
      <c r="A1100" s="1" t="s">
        <v>1198</v>
      </c>
      <c r="B1100" s="1" t="s">
        <v>15</v>
      </c>
      <c r="C1100" s="91">
        <v>126431285979</v>
      </c>
      <c r="D1100" s="3">
        <v>52904.49</v>
      </c>
      <c r="E1100" s="3">
        <v>9940836.1099999994</v>
      </c>
      <c r="F1100" s="35" t="s">
        <v>2750</v>
      </c>
      <c r="G1100"/>
      <c r="H1100"/>
      <c r="I1100" s="27">
        <f>-IFERROR(VLOOKUP(C1100,SIRCUPA!$A$21:$H$155,8,0),0)</f>
        <v>0</v>
      </c>
      <c r="J1100" s="88">
        <f>-IFERROR(VLOOKUP(C1100,SIRTAC!$A$16:$H$1288,8,0),0)</f>
        <v>-543</v>
      </c>
      <c r="K1100" s="88">
        <f>-IFERROR(VLOOKUP(C1100,Gastos!$A$9:$J$1281,10,0),0)</f>
        <v>-526.71</v>
      </c>
      <c r="L1100" s="87">
        <f>-IFERROR(VLOOKUP(C1100,IDC!$A$25:$H$1532,8,0),0)</f>
        <v>-325.8</v>
      </c>
      <c r="M1100" s="122">
        <f t="shared" si="152"/>
        <v>54300</v>
      </c>
      <c r="N1100"/>
      <c r="P1100" s="35">
        <f t="shared" si="153"/>
        <v>-54300</v>
      </c>
      <c r="Q1100" s="66">
        <f t="shared" si="154"/>
        <v>0</v>
      </c>
    </row>
    <row r="1101" spans="1:17" hidden="1">
      <c r="A1101" s="1" t="s">
        <v>1198</v>
      </c>
      <c r="B1101" s="1" t="s">
        <v>15</v>
      </c>
      <c r="C1101" s="91">
        <v>126431466333</v>
      </c>
      <c r="D1101" s="3">
        <v>68590.720000000001</v>
      </c>
      <c r="E1101" s="3">
        <v>10009426.83</v>
      </c>
      <c r="F1101" s="35" t="s">
        <v>2750</v>
      </c>
      <c r="G1101"/>
      <c r="H1101"/>
      <c r="I1101" s="27">
        <f>-IFERROR(VLOOKUP(C1101,SIRCUPA!$A$21:$H$155,8,0),0)</f>
        <v>0</v>
      </c>
      <c r="J1101" s="88">
        <f>-IFERROR(VLOOKUP(C1101,SIRTAC!$A$16:$H$1288,8,0),0)</f>
        <v>-704</v>
      </c>
      <c r="K1101" s="88">
        <f>-IFERROR(VLOOKUP(C1101,Gastos!$A$9:$J$1281,10,0),0)</f>
        <v>-682.88</v>
      </c>
      <c r="L1101" s="87">
        <f>-IFERROR(VLOOKUP(C1101,IDC!$A$25:$H$1532,8,0),0)</f>
        <v>-422.4</v>
      </c>
      <c r="M1101" s="122">
        <f t="shared" si="152"/>
        <v>70400</v>
      </c>
      <c r="N1101"/>
      <c r="P1101" s="35">
        <f t="shared" si="153"/>
        <v>-70400</v>
      </c>
      <c r="Q1101" s="66">
        <f t="shared" si="154"/>
        <v>0</v>
      </c>
    </row>
    <row r="1102" spans="1:17" hidden="1">
      <c r="A1102" s="1" t="s">
        <v>1198</v>
      </c>
      <c r="B1102" s="1" t="s">
        <v>15</v>
      </c>
      <c r="C1102" s="91">
        <v>126432046519</v>
      </c>
      <c r="D1102" s="3">
        <v>9743</v>
      </c>
      <c r="E1102" s="3">
        <v>10019169.83</v>
      </c>
      <c r="F1102" s="35" t="s">
        <v>2750</v>
      </c>
      <c r="G1102"/>
      <c r="H1102"/>
      <c r="I1102" s="27">
        <f>-IFERROR(VLOOKUP(C1102,SIRCUPA!$A$21:$H$155,8,0),0)</f>
        <v>0</v>
      </c>
      <c r="J1102" s="88">
        <f>-IFERROR(VLOOKUP(C1102,SIRTAC!$A$16:$H$1288,8,0),0)</f>
        <v>-100</v>
      </c>
      <c r="K1102" s="88">
        <f>-IFERROR(VLOOKUP(C1102,Gastos!$A$9:$J$1281,10,0),0)</f>
        <v>-97</v>
      </c>
      <c r="L1102" s="87">
        <f>-IFERROR(VLOOKUP(C1102,IDC!$A$25:$H$1532,8,0),0)</f>
        <v>-60</v>
      </c>
      <c r="M1102" s="122">
        <f t="shared" si="152"/>
        <v>10000</v>
      </c>
      <c r="N1102"/>
      <c r="P1102" s="35">
        <f t="shared" si="153"/>
        <v>-10000</v>
      </c>
      <c r="Q1102" s="66">
        <f t="shared" si="154"/>
        <v>0</v>
      </c>
    </row>
    <row r="1103" spans="1:17" hidden="1">
      <c r="A1103" s="1" t="s">
        <v>1198</v>
      </c>
      <c r="B1103" s="1" t="s">
        <v>15</v>
      </c>
      <c r="C1103" s="91">
        <v>126432682049</v>
      </c>
      <c r="D1103" s="3">
        <v>11430.87</v>
      </c>
      <c r="E1103" s="3">
        <v>10030600.699999999</v>
      </c>
      <c r="F1103" s="35" t="s">
        <v>2750</v>
      </c>
      <c r="G1103"/>
      <c r="H1103"/>
      <c r="I1103" s="27">
        <f>-IFERROR(VLOOKUP(C1103,SIRCUPA!$A$21:$H$155,8,0),0)</f>
        <v>0</v>
      </c>
      <c r="J1103" s="88">
        <f>-IFERROR(VLOOKUP(C1103,SIRTAC!$A$16:$H$1288,8,0),0)</f>
        <v>-121</v>
      </c>
      <c r="K1103" s="88">
        <f>-IFERROR(VLOOKUP(C1103,Gastos!$A$9:$J$1281,10,0),0)</f>
        <v>-475.53</v>
      </c>
      <c r="L1103" s="87">
        <f>-IFERROR(VLOOKUP(C1103,IDC!$A$25:$H$1532,8,0),0)</f>
        <v>-72.599999999999994</v>
      </c>
      <c r="M1103" s="122">
        <f t="shared" si="152"/>
        <v>12100.000000000002</v>
      </c>
      <c r="N1103"/>
      <c r="P1103" s="35">
        <f t="shared" si="153"/>
        <v>-12099.999999999998</v>
      </c>
      <c r="Q1103" s="66">
        <f t="shared" si="154"/>
        <v>0</v>
      </c>
    </row>
    <row r="1104" spans="1:17" hidden="1">
      <c r="A1104" s="1" t="s">
        <v>1198</v>
      </c>
      <c r="B1104" s="1" t="s">
        <v>15</v>
      </c>
      <c r="C1104" s="91">
        <v>126990295636</v>
      </c>
      <c r="D1104" s="3">
        <v>43161.49</v>
      </c>
      <c r="E1104" s="3">
        <v>10073762.189999999</v>
      </c>
      <c r="F1104" s="35" t="s">
        <v>2750</v>
      </c>
      <c r="G1104"/>
      <c r="H1104"/>
      <c r="I1104" s="27">
        <f>-IFERROR(VLOOKUP(C1104,SIRCUPA!$A$21:$H$155,8,0),0)</f>
        <v>0</v>
      </c>
      <c r="J1104" s="88">
        <f>-IFERROR(VLOOKUP(C1104,SIRTAC!$A$16:$H$1288,8,0),0)</f>
        <v>-443</v>
      </c>
      <c r="K1104" s="88">
        <f>-IFERROR(VLOOKUP(C1104,Gastos!$A$9:$J$1281,10,0),0)</f>
        <v>-429.71</v>
      </c>
      <c r="L1104" s="87">
        <f>-IFERROR(VLOOKUP(C1104,IDC!$A$25:$H$1532,8,0),0)</f>
        <v>-265.8</v>
      </c>
      <c r="M1104" s="122">
        <f t="shared" si="152"/>
        <v>44300</v>
      </c>
      <c r="N1104"/>
      <c r="P1104" s="35">
        <f t="shared" si="153"/>
        <v>-44300</v>
      </c>
      <c r="Q1104" s="66">
        <f t="shared" si="154"/>
        <v>0</v>
      </c>
    </row>
    <row r="1105" spans="1:17" hidden="1">
      <c r="A1105" s="1" t="s">
        <v>1198</v>
      </c>
      <c r="B1105" s="1" t="s">
        <v>15</v>
      </c>
      <c r="C1105" s="91">
        <v>126990455038</v>
      </c>
      <c r="D1105" s="3">
        <v>55632.53</v>
      </c>
      <c r="E1105" s="3">
        <v>10129394.720000001</v>
      </c>
      <c r="F1105" s="35" t="s">
        <v>2750</v>
      </c>
      <c r="G1105"/>
      <c r="H1105"/>
      <c r="I1105" s="27">
        <f>-IFERROR(VLOOKUP(C1105,SIRCUPA!$A$21:$H$155,8,0),0)</f>
        <v>0</v>
      </c>
      <c r="J1105" s="88">
        <f>-IFERROR(VLOOKUP(C1105,SIRTAC!$A$16:$H$1288,8,0),0)</f>
        <v>-571</v>
      </c>
      <c r="K1105" s="88">
        <f>-IFERROR(VLOOKUP(C1105,Gastos!$A$9:$J$1281,10,0),0)</f>
        <v>-553.87</v>
      </c>
      <c r="L1105" s="87">
        <f>-IFERROR(VLOOKUP(C1105,IDC!$A$25:$H$1532,8,0),0)</f>
        <v>-342.6</v>
      </c>
      <c r="M1105" s="122">
        <f t="shared" si="152"/>
        <v>57100</v>
      </c>
      <c r="N1105"/>
      <c r="P1105" s="35">
        <f t="shared" si="153"/>
        <v>-57100</v>
      </c>
      <c r="Q1105" s="66">
        <f t="shared" si="154"/>
        <v>0</v>
      </c>
    </row>
    <row r="1106" spans="1:17" hidden="1">
      <c r="A1106" s="1" t="s">
        <v>1198</v>
      </c>
      <c r="B1106" s="1" t="s">
        <v>15</v>
      </c>
      <c r="C1106" s="91">
        <v>126990463684</v>
      </c>
      <c r="D1106" s="3">
        <v>78138.86</v>
      </c>
      <c r="E1106" s="3">
        <v>10207533.58</v>
      </c>
      <c r="F1106" s="35" t="s">
        <v>2750</v>
      </c>
      <c r="G1106"/>
      <c r="H1106"/>
      <c r="I1106" s="27">
        <f>-IFERROR(VLOOKUP(C1106,SIRCUPA!$A$21:$H$155,8,0),0)</f>
        <v>0</v>
      </c>
      <c r="J1106" s="88">
        <f>-IFERROR(VLOOKUP(C1106,SIRTAC!$A$16:$H$1288,8,0),0)</f>
        <v>-802</v>
      </c>
      <c r="K1106" s="88">
        <f>-IFERROR(VLOOKUP(C1106,Gastos!$A$9:$J$1281,10,0),0)</f>
        <v>-777.94</v>
      </c>
      <c r="L1106" s="87">
        <f>-IFERROR(VLOOKUP(C1106,IDC!$A$25:$H$1532,8,0),0)</f>
        <v>-481.2</v>
      </c>
      <c r="M1106" s="122">
        <f t="shared" si="152"/>
        <v>80200</v>
      </c>
      <c r="N1106"/>
      <c r="P1106" s="35">
        <f t="shared" si="153"/>
        <v>-80200</v>
      </c>
      <c r="Q1106" s="66">
        <f t="shared" si="154"/>
        <v>0</v>
      </c>
    </row>
    <row r="1107" spans="1:17" hidden="1">
      <c r="A1107" s="1" t="s">
        <v>1198</v>
      </c>
      <c r="B1107" s="1" t="s">
        <v>15</v>
      </c>
      <c r="C1107" s="91">
        <v>126433454335</v>
      </c>
      <c r="D1107" s="3">
        <v>97776.45</v>
      </c>
      <c r="E1107" s="3">
        <v>10305310.029999999</v>
      </c>
      <c r="F1107" s="35" t="s">
        <v>2750</v>
      </c>
      <c r="G1107"/>
      <c r="H1107"/>
      <c r="I1107" s="27">
        <f>-IFERROR(VLOOKUP(C1107,SIRCUPA!$A$21:$H$155,8,0),0)</f>
        <v>0</v>
      </c>
      <c r="J1107" s="88">
        <f>-IFERROR(VLOOKUP(C1107,SIRTAC!$A$16:$H$1288,8,0),0)</f>
        <v>-1035</v>
      </c>
      <c r="K1107" s="88">
        <f>-IFERROR(VLOOKUP(C1107,Gastos!$A$9:$J$1281,10,0),0)</f>
        <v>-4067.55</v>
      </c>
      <c r="L1107" s="87">
        <f>-IFERROR(VLOOKUP(C1107,IDC!$A$25:$H$1532,8,0),0)</f>
        <v>-621</v>
      </c>
      <c r="M1107" s="122">
        <f t="shared" si="152"/>
        <v>103500</v>
      </c>
      <c r="N1107"/>
      <c r="P1107" s="35">
        <f t="shared" si="153"/>
        <v>-103500</v>
      </c>
      <c r="Q1107" s="66">
        <f t="shared" si="154"/>
        <v>0</v>
      </c>
    </row>
    <row r="1108" spans="1:17" hidden="1">
      <c r="A1108" s="1" t="s">
        <v>1198</v>
      </c>
      <c r="B1108" s="1" t="s">
        <v>15</v>
      </c>
      <c r="C1108" s="91">
        <v>126991162222</v>
      </c>
      <c r="D1108" s="3">
        <v>152672.81</v>
      </c>
      <c r="E1108" s="3">
        <v>10457982.84</v>
      </c>
      <c r="F1108" s="35" t="s">
        <v>2750</v>
      </c>
      <c r="G1108"/>
      <c r="H1108"/>
      <c r="I1108" s="27">
        <f>-IFERROR(VLOOKUP(C1108,SIRCUPA!$A$21:$H$155,8,0),0)</f>
        <v>0</v>
      </c>
      <c r="J1108" s="88">
        <f>-IFERROR(VLOOKUP(C1108,SIRTAC!$A$16:$H$1288,8,0),0)</f>
        <v>-1567</v>
      </c>
      <c r="K1108" s="88">
        <f>-IFERROR(VLOOKUP(C1108,Gastos!$A$9:$J$1281,10,0),0)</f>
        <v>-1519.99</v>
      </c>
      <c r="L1108" s="87">
        <f>-IFERROR(VLOOKUP(C1108,IDC!$A$25:$H$1532,8,0),0)</f>
        <v>-940.2</v>
      </c>
      <c r="M1108" s="122">
        <f t="shared" si="152"/>
        <v>156700</v>
      </c>
      <c r="N1108"/>
      <c r="P1108" s="35">
        <f t="shared" si="153"/>
        <v>-156700</v>
      </c>
      <c r="Q1108" s="66">
        <f t="shared" si="154"/>
        <v>0</v>
      </c>
    </row>
    <row r="1109" spans="1:17" hidden="1">
      <c r="A1109" s="1" t="s">
        <v>1198</v>
      </c>
      <c r="B1109" s="1" t="s">
        <v>1214</v>
      </c>
      <c r="C1109" s="91">
        <v>126433503641</v>
      </c>
      <c r="D1109" s="3">
        <v>7670.46</v>
      </c>
      <c r="E1109" s="3">
        <v>10465653.300000001</v>
      </c>
      <c r="F1109" s="2" t="s">
        <v>2750</v>
      </c>
      <c r="G1109"/>
      <c r="H1109"/>
      <c r="I1109" s="27">
        <f>-IFERROR(VLOOKUP(C1109,SIRCUPA!$A$21:$H$155,8,0),0)</f>
        <v>-117.53</v>
      </c>
      <c r="J1109" s="88">
        <f>-IFERROR(VLOOKUP(C1109,SIRTAC!$A$16:$H$1288,8,0),0)</f>
        <v>0</v>
      </c>
      <c r="K1109" s="88">
        <f>-IFERROR(VLOOKUP(C1109,Gastos!$A$9:$J$1281,10,0),0)</f>
        <v>0</v>
      </c>
      <c r="L1109" s="87">
        <f>-IFERROR(VLOOKUP(C1109,IDC!$A$25:$H$1532,8,0),0)</f>
        <v>-47.01</v>
      </c>
      <c r="M1109" s="122">
        <f t="shared" si="152"/>
        <v>7835</v>
      </c>
      <c r="N1109"/>
      <c r="P1109" s="35">
        <f t="shared" si="153"/>
        <v>-7834.9999999999991</v>
      </c>
      <c r="Q1109" s="66">
        <f t="shared" si="154"/>
        <v>0</v>
      </c>
    </row>
    <row r="1110" spans="1:17" hidden="1">
      <c r="A1110" s="1" t="s">
        <v>1198</v>
      </c>
      <c r="B1110" s="1" t="s">
        <v>15</v>
      </c>
      <c r="C1110" s="91">
        <v>126991147208</v>
      </c>
      <c r="D1110" s="3">
        <v>42674.34</v>
      </c>
      <c r="E1110" s="3">
        <v>10508327.640000001</v>
      </c>
      <c r="F1110" s="35" t="s">
        <v>2750</v>
      </c>
      <c r="G1110"/>
      <c r="H1110"/>
      <c r="I1110" s="27">
        <f>-IFERROR(VLOOKUP(C1110,SIRCUPA!$A$21:$H$155,8,0),0)</f>
        <v>0</v>
      </c>
      <c r="J1110" s="88">
        <f>-IFERROR(VLOOKUP(C1110,SIRTAC!$A$16:$H$1288,8,0),0)</f>
        <v>-438</v>
      </c>
      <c r="K1110" s="88">
        <f>-IFERROR(VLOOKUP(C1110,Gastos!$A$9:$J$1281,10,0),0)</f>
        <v>-424.86</v>
      </c>
      <c r="L1110" s="87">
        <f>-IFERROR(VLOOKUP(C1110,IDC!$A$25:$H$1532,8,0),0)</f>
        <v>-262.8</v>
      </c>
      <c r="M1110" s="122">
        <f t="shared" si="152"/>
        <v>43800</v>
      </c>
      <c r="N1110"/>
      <c r="P1110" s="35">
        <f t="shared" si="153"/>
        <v>-43800</v>
      </c>
      <c r="Q1110" s="66">
        <f t="shared" si="154"/>
        <v>0</v>
      </c>
    </row>
    <row r="1111" spans="1:17" hidden="1">
      <c r="A1111" s="1" t="s">
        <v>1198</v>
      </c>
      <c r="B1111" s="1" t="s">
        <v>15</v>
      </c>
      <c r="C1111" s="91">
        <v>126433647229</v>
      </c>
      <c r="D1111" s="3">
        <v>5748.37</v>
      </c>
      <c r="E1111" s="3">
        <v>10514076.01</v>
      </c>
      <c r="F1111" s="35" t="s">
        <v>2750</v>
      </c>
      <c r="G1111"/>
      <c r="H1111"/>
      <c r="I1111" s="27">
        <f>-IFERROR(VLOOKUP(C1111,SIRCUPA!$A$21:$H$155,8,0),0)</f>
        <v>0</v>
      </c>
      <c r="J1111" s="88">
        <f>-IFERROR(VLOOKUP(C1111,SIRTAC!$A$16:$H$1288,8,0),0)</f>
        <v>-59</v>
      </c>
      <c r="K1111" s="88">
        <f>-IFERROR(VLOOKUP(C1111,Gastos!$A$9:$J$1281,10,0),0)</f>
        <v>-57.23</v>
      </c>
      <c r="L1111" s="87">
        <f>-IFERROR(VLOOKUP(C1111,IDC!$A$25:$H$1532,8,0),0)</f>
        <v>-35.4</v>
      </c>
      <c r="M1111" s="122">
        <f t="shared" si="152"/>
        <v>5899.9999999999991</v>
      </c>
      <c r="N1111"/>
      <c r="P1111" s="35">
        <f t="shared" si="153"/>
        <v>-5900</v>
      </c>
      <c r="Q1111" s="66">
        <f t="shared" si="154"/>
        <v>0</v>
      </c>
    </row>
    <row r="1112" spans="1:17" hidden="1">
      <c r="A1112" s="1" t="s">
        <v>1198</v>
      </c>
      <c r="B1112" s="1" t="s">
        <v>15</v>
      </c>
      <c r="C1112" s="91">
        <v>126991562026</v>
      </c>
      <c r="D1112" s="3">
        <v>22896.05</v>
      </c>
      <c r="E1112" s="3">
        <v>10536972.060000001</v>
      </c>
      <c r="F1112" s="35" t="s">
        <v>2750</v>
      </c>
      <c r="G1112"/>
      <c r="H1112"/>
      <c r="I1112" s="27">
        <f>-IFERROR(VLOOKUP(C1112,SIRCUPA!$A$21:$H$155,8,0),0)</f>
        <v>0</v>
      </c>
      <c r="J1112" s="88">
        <f>-IFERROR(VLOOKUP(C1112,SIRTAC!$A$16:$H$1288,8,0),0)</f>
        <v>-235</v>
      </c>
      <c r="K1112" s="88">
        <f>-IFERROR(VLOOKUP(C1112,Gastos!$A$9:$J$1281,10,0),0)</f>
        <v>-227.95</v>
      </c>
      <c r="L1112" s="87">
        <f>-IFERROR(VLOOKUP(C1112,IDC!$A$25:$H$1532,8,0),0)</f>
        <v>-141</v>
      </c>
      <c r="M1112" s="122">
        <f t="shared" ref="M1112:M1143" si="155">+D1112-I1112-J1112-K1112-L1112</f>
        <v>23500</v>
      </c>
      <c r="N1112"/>
      <c r="P1112" s="35">
        <f t="shared" si="153"/>
        <v>-23500</v>
      </c>
      <c r="Q1112" s="66">
        <f t="shared" si="154"/>
        <v>0</v>
      </c>
    </row>
    <row r="1113" spans="1:17" hidden="1">
      <c r="A1113" s="1" t="s">
        <v>1198</v>
      </c>
      <c r="B1113" s="1" t="s">
        <v>1219</v>
      </c>
      <c r="C1113" s="91">
        <v>126991676568</v>
      </c>
      <c r="D1113" s="3">
        <v>1150.32</v>
      </c>
      <c r="E1113" s="3">
        <v>10538122.380000001</v>
      </c>
      <c r="F1113" s="2" t="s">
        <v>2750</v>
      </c>
      <c r="G1113"/>
      <c r="H1113"/>
      <c r="I1113" s="27">
        <f>-IFERROR(VLOOKUP(C1113,SIRCUPA!$A$21:$H$155,8,0),0)</f>
        <v>-17.63</v>
      </c>
      <c r="J1113" s="88">
        <f>-IFERROR(VLOOKUP(C1113,SIRTAC!$A$16:$H$1288,8,0),0)</f>
        <v>0</v>
      </c>
      <c r="K1113" s="88">
        <f>-IFERROR(VLOOKUP(C1113,Gastos!$A$9:$J$1281,10,0),0)</f>
        <v>0</v>
      </c>
      <c r="L1113" s="87">
        <f>-IFERROR(VLOOKUP(C1113,IDC!$A$25:$H$1532,8,0),0)</f>
        <v>-7.05</v>
      </c>
      <c r="M1113" s="122">
        <f t="shared" si="155"/>
        <v>1175</v>
      </c>
      <c r="N1113"/>
      <c r="P1113" s="35">
        <f t="shared" si="153"/>
        <v>-1175</v>
      </c>
      <c r="Q1113" s="66">
        <f t="shared" si="154"/>
        <v>0</v>
      </c>
    </row>
    <row r="1114" spans="1:17" hidden="1">
      <c r="A1114" s="1" t="s">
        <v>1198</v>
      </c>
      <c r="B1114" s="1" t="s">
        <v>15</v>
      </c>
      <c r="C1114" s="91">
        <v>126434616539</v>
      </c>
      <c r="D1114" s="3">
        <v>23239.62</v>
      </c>
      <c r="E1114" s="3">
        <v>10561362</v>
      </c>
      <c r="F1114" s="35" t="s">
        <v>2750</v>
      </c>
      <c r="G1114"/>
      <c r="H1114"/>
      <c r="I1114" s="27">
        <f>-IFERROR(VLOOKUP(C1114,SIRCUPA!$A$21:$H$155,8,0),0)</f>
        <v>0</v>
      </c>
      <c r="J1114" s="88">
        <f>-IFERROR(VLOOKUP(C1114,SIRTAC!$A$16:$H$1288,8,0),0)</f>
        <v>-246</v>
      </c>
      <c r="K1114" s="88">
        <f>-IFERROR(VLOOKUP(C1114,Gastos!$A$9:$J$1281,10,0),0)</f>
        <v>-966.78</v>
      </c>
      <c r="L1114" s="87">
        <f>-IFERROR(VLOOKUP(C1114,IDC!$A$25:$H$1532,8,0),0)</f>
        <v>-147.6</v>
      </c>
      <c r="M1114" s="122">
        <f t="shared" si="155"/>
        <v>24599.999999999996</v>
      </c>
      <c r="N1114"/>
      <c r="P1114" s="35">
        <f t="shared" si="153"/>
        <v>-24600</v>
      </c>
      <c r="Q1114" s="66">
        <f t="shared" si="154"/>
        <v>0</v>
      </c>
    </row>
    <row r="1115" spans="1:17" hidden="1">
      <c r="A1115" s="1" t="s">
        <v>1198</v>
      </c>
      <c r="B1115" s="1" t="s">
        <v>15</v>
      </c>
      <c r="C1115" s="91">
        <v>126434588095</v>
      </c>
      <c r="D1115" s="3">
        <v>18705.060000000001</v>
      </c>
      <c r="E1115" s="3">
        <v>10580067.060000001</v>
      </c>
      <c r="F1115" s="35" t="s">
        <v>2750</v>
      </c>
      <c r="G1115"/>
      <c r="H1115"/>
      <c r="I1115" s="27">
        <f>-IFERROR(VLOOKUP(C1115,SIRCUPA!$A$21:$H$155,8,0),0)</f>
        <v>0</v>
      </c>
      <c r="J1115" s="88">
        <f>-IFERROR(VLOOKUP(C1115,SIRTAC!$A$16:$H$1288,8,0),0)</f>
        <v>-198</v>
      </c>
      <c r="K1115" s="88">
        <f>-IFERROR(VLOOKUP(C1115,Gastos!$A$9:$J$1281,10,0),0)</f>
        <v>-778.14</v>
      </c>
      <c r="L1115" s="87">
        <f>-IFERROR(VLOOKUP(C1115,IDC!$A$25:$H$1532,8,0),0)</f>
        <v>-118.8</v>
      </c>
      <c r="M1115" s="122">
        <f t="shared" si="155"/>
        <v>19800</v>
      </c>
      <c r="N1115"/>
      <c r="P1115" s="35">
        <f t="shared" si="153"/>
        <v>-19800</v>
      </c>
      <c r="Q1115" s="66">
        <f t="shared" si="154"/>
        <v>0</v>
      </c>
    </row>
    <row r="1116" spans="1:17" hidden="1">
      <c r="A1116" s="1" t="s">
        <v>1198</v>
      </c>
      <c r="B1116" s="1" t="s">
        <v>15</v>
      </c>
      <c r="C1116" s="91">
        <v>126992251400</v>
      </c>
      <c r="D1116" s="3">
        <v>52514.77</v>
      </c>
      <c r="E1116" s="3">
        <v>10632581.83</v>
      </c>
      <c r="F1116" s="35" t="s">
        <v>2750</v>
      </c>
      <c r="G1116"/>
      <c r="H1116"/>
      <c r="I1116" s="27">
        <f>-IFERROR(VLOOKUP(C1116,SIRCUPA!$A$21:$H$155,8,0),0)</f>
        <v>0</v>
      </c>
      <c r="J1116" s="88">
        <f>-IFERROR(VLOOKUP(C1116,SIRTAC!$A$16:$H$1288,8,0),0)</f>
        <v>-539</v>
      </c>
      <c r="K1116" s="88">
        <f>-IFERROR(VLOOKUP(C1116,Gastos!$A$9:$J$1281,10,0),0)</f>
        <v>-522.83000000000004</v>
      </c>
      <c r="L1116" s="87">
        <f>-IFERROR(VLOOKUP(C1116,IDC!$A$25:$H$1532,8,0),0)</f>
        <v>-323.39999999999998</v>
      </c>
      <c r="M1116" s="122">
        <f t="shared" si="155"/>
        <v>53900</v>
      </c>
      <c r="N1116"/>
      <c r="P1116" s="35">
        <f t="shared" si="153"/>
        <v>-53899.999999999993</v>
      </c>
      <c r="Q1116" s="66">
        <f t="shared" si="154"/>
        <v>0</v>
      </c>
    </row>
    <row r="1117" spans="1:17" hidden="1">
      <c r="A1117" s="1" t="s">
        <v>1198</v>
      </c>
      <c r="B1117" s="1" t="s">
        <v>1224</v>
      </c>
      <c r="C1117" s="91">
        <v>126992294948</v>
      </c>
      <c r="D1117" s="3">
        <v>2638.4</v>
      </c>
      <c r="E1117" s="3">
        <v>10635220.23</v>
      </c>
      <c r="F1117" s="2" t="s">
        <v>2750</v>
      </c>
      <c r="G1117"/>
      <c r="H1117"/>
      <c r="I1117" s="27">
        <f>-IFERROR(VLOOKUP(C1117,SIRCUPA!$A$21:$H$155,8,0),0)</f>
        <v>-40.43</v>
      </c>
      <c r="J1117" s="88">
        <f>-IFERROR(VLOOKUP(C1117,SIRTAC!$A$16:$H$1288,8,0),0)</f>
        <v>0</v>
      </c>
      <c r="K1117" s="88">
        <f>-IFERROR(VLOOKUP(C1117,Gastos!$A$9:$J$1281,10,0),0)</f>
        <v>0</v>
      </c>
      <c r="L1117" s="87">
        <f>-IFERROR(VLOOKUP(C1117,IDC!$A$25:$H$1532,8,0),0)</f>
        <v>-16.170000000000002</v>
      </c>
      <c r="M1117" s="122">
        <f t="shared" si="155"/>
        <v>2695</v>
      </c>
      <c r="N1117"/>
      <c r="P1117" s="35">
        <f t="shared" si="153"/>
        <v>-2695.0000000000005</v>
      </c>
      <c r="Q1117" s="66">
        <f t="shared" si="154"/>
        <v>0</v>
      </c>
    </row>
    <row r="1118" spans="1:17" hidden="1">
      <c r="A1118" s="1" t="s">
        <v>1198</v>
      </c>
      <c r="B1118" s="1" t="s">
        <v>15</v>
      </c>
      <c r="C1118" s="91">
        <v>126992434810</v>
      </c>
      <c r="D1118" s="3">
        <v>33695.74</v>
      </c>
      <c r="E1118" s="3">
        <v>10668915.970000001</v>
      </c>
      <c r="F1118" s="35" t="s">
        <v>2750</v>
      </c>
      <c r="G1118"/>
      <c r="H1118"/>
      <c r="I1118" s="27">
        <f>-IFERROR(VLOOKUP(C1118,SIRCUPA!$A$21:$H$155,8,0),0)</f>
        <v>0</v>
      </c>
      <c r="J1118" s="88">
        <f>-IFERROR(VLOOKUP(C1118,SIRTAC!$A$16:$H$1288,8,0),0)</f>
        <v>-359</v>
      </c>
      <c r="K1118" s="88">
        <f>-IFERROR(VLOOKUP(C1118,Gastos!$A$9:$J$1281,10,0),0)</f>
        <v>-1629.86</v>
      </c>
      <c r="L1118" s="87">
        <f>-IFERROR(VLOOKUP(C1118,IDC!$A$25:$H$1532,8,0),0)</f>
        <v>-215.4</v>
      </c>
      <c r="M1118" s="122">
        <f t="shared" si="155"/>
        <v>35900</v>
      </c>
      <c r="N1118"/>
      <c r="P1118" s="35">
        <f t="shared" si="153"/>
        <v>-35900</v>
      </c>
      <c r="Q1118" s="66">
        <f t="shared" si="154"/>
        <v>0</v>
      </c>
    </row>
    <row r="1119" spans="1:17" hidden="1">
      <c r="A1119" s="1" t="s">
        <v>1198</v>
      </c>
      <c r="B1119" s="1" t="s">
        <v>15</v>
      </c>
      <c r="C1119" s="91">
        <v>126992555472</v>
      </c>
      <c r="D1119" s="3">
        <v>8378.98</v>
      </c>
      <c r="E1119" s="3">
        <v>10677294.949999999</v>
      </c>
      <c r="F1119" s="35" t="s">
        <v>2750</v>
      </c>
      <c r="G1119"/>
      <c r="H1119"/>
      <c r="I1119" s="27">
        <f>-IFERROR(VLOOKUP(C1119,SIRCUPA!$A$21:$H$155,8,0),0)</f>
        <v>0</v>
      </c>
      <c r="J1119" s="88">
        <f>-IFERROR(VLOOKUP(C1119,SIRTAC!$A$16:$H$1288,8,0),0)</f>
        <v>-86</v>
      </c>
      <c r="K1119" s="88">
        <f>-IFERROR(VLOOKUP(C1119,Gastos!$A$9:$J$1281,10,0),0)</f>
        <v>-83.42</v>
      </c>
      <c r="L1119" s="87">
        <f>-IFERROR(VLOOKUP(C1119,IDC!$A$25:$H$1532,8,0),0)</f>
        <v>-51.6</v>
      </c>
      <c r="M1119" s="122">
        <f t="shared" si="155"/>
        <v>8600</v>
      </c>
      <c r="N1119"/>
      <c r="P1119" s="35">
        <f t="shared" si="153"/>
        <v>-8600</v>
      </c>
      <c r="Q1119" s="66">
        <f t="shared" si="154"/>
        <v>0</v>
      </c>
    </row>
    <row r="1120" spans="1:17" hidden="1">
      <c r="A1120" s="1" t="s">
        <v>1198</v>
      </c>
      <c r="B1120" s="1" t="s">
        <v>15</v>
      </c>
      <c r="C1120" s="91">
        <v>126992591204</v>
      </c>
      <c r="D1120" s="3">
        <v>13640.2</v>
      </c>
      <c r="E1120" s="3">
        <v>10690935.15</v>
      </c>
      <c r="F1120" s="35" t="s">
        <v>2750</v>
      </c>
      <c r="G1120"/>
      <c r="H1120"/>
      <c r="I1120" s="27">
        <f>-IFERROR(VLOOKUP(C1120,SIRCUPA!$A$21:$H$155,8,0),0)</f>
        <v>0</v>
      </c>
      <c r="J1120" s="88">
        <f>-IFERROR(VLOOKUP(C1120,SIRTAC!$A$16:$H$1288,8,0),0)</f>
        <v>-140</v>
      </c>
      <c r="K1120" s="88">
        <f>-IFERROR(VLOOKUP(C1120,Gastos!$A$9:$J$1281,10,0),0)</f>
        <v>-135.80000000000001</v>
      </c>
      <c r="L1120" s="87">
        <f>-IFERROR(VLOOKUP(C1120,IDC!$A$25:$H$1532,8,0),0)</f>
        <v>-84</v>
      </c>
      <c r="M1120" s="122">
        <f t="shared" si="155"/>
        <v>14000</v>
      </c>
      <c r="N1120"/>
      <c r="P1120" s="35">
        <f t="shared" si="153"/>
        <v>-14000</v>
      </c>
      <c r="Q1120" s="66">
        <f t="shared" si="154"/>
        <v>0</v>
      </c>
    </row>
    <row r="1121" spans="1:17" hidden="1">
      <c r="A1121" s="1" t="s">
        <v>1198</v>
      </c>
      <c r="B1121" s="1" t="s">
        <v>15</v>
      </c>
      <c r="C1121" s="91">
        <v>126435168221</v>
      </c>
      <c r="D1121" s="3">
        <v>114090.53</v>
      </c>
      <c r="E1121" s="3">
        <v>10805025.68</v>
      </c>
      <c r="F1121" s="35" t="s">
        <v>2750</v>
      </c>
      <c r="G1121"/>
      <c r="H1121"/>
      <c r="I1121" s="27">
        <f>-IFERROR(VLOOKUP(C1121,SIRCUPA!$A$21:$H$155,8,0),0)</f>
        <v>0</v>
      </c>
      <c r="J1121" s="88">
        <f>-IFERROR(VLOOKUP(C1121,SIRTAC!$A$16:$H$1288,8,0),0)</f>
        <v>-1171</v>
      </c>
      <c r="K1121" s="88">
        <f>-IFERROR(VLOOKUP(C1121,Gastos!$A$9:$J$1281,10,0),0)</f>
        <v>-1135.8699999999999</v>
      </c>
      <c r="L1121" s="87">
        <f>-IFERROR(VLOOKUP(C1121,IDC!$A$25:$H$1532,8,0),0)</f>
        <v>-702.6</v>
      </c>
      <c r="M1121" s="122">
        <f t="shared" si="155"/>
        <v>117100</v>
      </c>
      <c r="N1121"/>
      <c r="P1121" s="35">
        <f t="shared" si="153"/>
        <v>-117100</v>
      </c>
      <c r="Q1121" s="66">
        <f t="shared" si="154"/>
        <v>0</v>
      </c>
    </row>
    <row r="1122" spans="1:17" hidden="1">
      <c r="A1122" s="1" t="s">
        <v>1198</v>
      </c>
      <c r="B1122" s="1" t="s">
        <v>15</v>
      </c>
      <c r="C1122" s="91">
        <v>126992667842</v>
      </c>
      <c r="D1122" s="3">
        <v>21255.75</v>
      </c>
      <c r="E1122" s="3">
        <v>10826281.43</v>
      </c>
      <c r="F1122" s="35" t="s">
        <v>2750</v>
      </c>
      <c r="G1122"/>
      <c r="H1122"/>
      <c r="I1122" s="27">
        <f>-IFERROR(VLOOKUP(C1122,SIRCUPA!$A$21:$H$155,8,0),0)</f>
        <v>0</v>
      </c>
      <c r="J1122" s="88">
        <f>-IFERROR(VLOOKUP(C1122,SIRTAC!$A$16:$H$1288,8,0),0)</f>
        <v>-225</v>
      </c>
      <c r="K1122" s="88">
        <f>-IFERROR(VLOOKUP(C1122,Gastos!$A$9:$J$1281,10,0),0)</f>
        <v>-884.25</v>
      </c>
      <c r="L1122" s="87">
        <f>-IFERROR(VLOOKUP(C1122,IDC!$A$25:$H$1532,8,0),0)</f>
        <v>-135</v>
      </c>
      <c r="M1122" s="122">
        <f t="shared" si="155"/>
        <v>22500</v>
      </c>
      <c r="N1122"/>
      <c r="P1122" s="35">
        <f t="shared" si="153"/>
        <v>-22500</v>
      </c>
      <c r="Q1122" s="66">
        <f t="shared" si="154"/>
        <v>0</v>
      </c>
    </row>
    <row r="1123" spans="1:17" hidden="1">
      <c r="A1123" s="1" t="s">
        <v>1198</v>
      </c>
      <c r="B1123" s="1" t="s">
        <v>15</v>
      </c>
      <c r="C1123" s="91">
        <v>126992767926</v>
      </c>
      <c r="D1123" s="3">
        <v>45499.81</v>
      </c>
      <c r="E1123" s="3">
        <v>10871781.24</v>
      </c>
      <c r="F1123" s="35" t="s">
        <v>2750</v>
      </c>
      <c r="G1123"/>
      <c r="H1123"/>
      <c r="I1123" s="27">
        <f>-IFERROR(VLOOKUP(C1123,SIRCUPA!$A$21:$H$155,8,0),0)</f>
        <v>0</v>
      </c>
      <c r="J1123" s="88">
        <f>-IFERROR(VLOOKUP(C1123,SIRTAC!$A$16:$H$1288,8,0),0)</f>
        <v>-467</v>
      </c>
      <c r="K1123" s="88">
        <f>-IFERROR(VLOOKUP(C1123,Gastos!$A$9:$J$1281,10,0),0)</f>
        <v>-452.99</v>
      </c>
      <c r="L1123" s="87">
        <f>-IFERROR(VLOOKUP(C1123,IDC!$A$25:$H$1532,8,0),0)</f>
        <v>-280.2</v>
      </c>
      <c r="M1123" s="122">
        <f t="shared" si="155"/>
        <v>46699.999999999993</v>
      </c>
      <c r="N1123"/>
      <c r="P1123" s="35">
        <f t="shared" si="153"/>
        <v>-46700</v>
      </c>
      <c r="Q1123" s="66">
        <f t="shared" si="154"/>
        <v>0</v>
      </c>
    </row>
    <row r="1124" spans="1:17" hidden="1">
      <c r="A1124" s="1" t="s">
        <v>1198</v>
      </c>
      <c r="B1124" s="1" t="s">
        <v>15</v>
      </c>
      <c r="C1124" s="91">
        <v>126992956554</v>
      </c>
      <c r="D1124" s="3">
        <v>81622.080000000002</v>
      </c>
      <c r="E1124" s="3">
        <v>10953403.32</v>
      </c>
      <c r="F1124" s="35" t="s">
        <v>2750</v>
      </c>
      <c r="G1124"/>
      <c r="H1124"/>
      <c r="I1124" s="27">
        <f>-IFERROR(VLOOKUP(C1124,SIRCUPA!$A$21:$H$155,8,0),0)</f>
        <v>0</v>
      </c>
      <c r="J1124" s="88">
        <f>-IFERROR(VLOOKUP(C1124,SIRTAC!$A$16:$H$1288,8,0),0)</f>
        <v>-864</v>
      </c>
      <c r="K1124" s="88">
        <f>-IFERROR(VLOOKUP(C1124,Gastos!$A$9:$J$1281,10,0),0)</f>
        <v>-3395.52</v>
      </c>
      <c r="L1124" s="87">
        <f>-IFERROR(VLOOKUP(C1124,IDC!$A$25:$H$1532,8,0),0)</f>
        <v>-518.4</v>
      </c>
      <c r="M1124" s="122">
        <f t="shared" si="155"/>
        <v>86400</v>
      </c>
      <c r="N1124"/>
      <c r="P1124" s="35">
        <f t="shared" si="153"/>
        <v>-86400</v>
      </c>
      <c r="Q1124" s="66">
        <f t="shared" si="154"/>
        <v>0</v>
      </c>
    </row>
    <row r="1125" spans="1:17" hidden="1">
      <c r="A1125" s="1" t="s">
        <v>1198</v>
      </c>
      <c r="B1125" s="1" t="s">
        <v>15</v>
      </c>
      <c r="C1125" s="91">
        <v>126435878863</v>
      </c>
      <c r="D1125" s="3">
        <v>23428.560000000001</v>
      </c>
      <c r="E1125" s="3">
        <v>10976831.880000001</v>
      </c>
      <c r="F1125" s="35" t="s">
        <v>2750</v>
      </c>
      <c r="G1125"/>
      <c r="H1125"/>
      <c r="I1125" s="27">
        <f>-IFERROR(VLOOKUP(C1125,SIRCUPA!$A$21:$H$155,8,0),0)</f>
        <v>0</v>
      </c>
      <c r="J1125" s="88">
        <f>-IFERROR(VLOOKUP(C1125,SIRTAC!$A$16:$H$1288,8,0),0)</f>
        <v>-248</v>
      </c>
      <c r="K1125" s="88">
        <f>-IFERROR(VLOOKUP(C1125,Gastos!$A$9:$J$1281,10,0),0)</f>
        <v>-974.64</v>
      </c>
      <c r="L1125" s="87">
        <f>-IFERROR(VLOOKUP(C1125,IDC!$A$25:$H$1532,8,0),0)</f>
        <v>-148.80000000000001</v>
      </c>
      <c r="M1125" s="122">
        <f t="shared" si="155"/>
        <v>24800</v>
      </c>
      <c r="N1125"/>
      <c r="P1125" s="35">
        <f t="shared" si="153"/>
        <v>-24800</v>
      </c>
      <c r="Q1125" s="66">
        <f t="shared" si="154"/>
        <v>0</v>
      </c>
    </row>
    <row r="1126" spans="1:17" hidden="1">
      <c r="A1126" s="1" t="s">
        <v>1198</v>
      </c>
      <c r="B1126" s="1" t="s">
        <v>15</v>
      </c>
      <c r="C1126" s="91">
        <v>126435881501</v>
      </c>
      <c r="D1126" s="3">
        <v>114285.39</v>
      </c>
      <c r="E1126" s="3">
        <v>11091117.27</v>
      </c>
      <c r="F1126" s="35" t="s">
        <v>2750</v>
      </c>
      <c r="G1126"/>
      <c r="H1126"/>
      <c r="I1126" s="27">
        <f>-IFERROR(VLOOKUP(C1126,SIRCUPA!$A$21:$H$155,8,0),0)</f>
        <v>0</v>
      </c>
      <c r="J1126" s="88">
        <f>-IFERROR(VLOOKUP(C1126,SIRTAC!$A$16:$H$1288,8,0),0)</f>
        <v>-1173</v>
      </c>
      <c r="K1126" s="88">
        <f>-IFERROR(VLOOKUP(C1126,Gastos!$A$9:$J$1281,10,0),0)</f>
        <v>-1137.81</v>
      </c>
      <c r="L1126" s="87">
        <f>-IFERROR(VLOOKUP(C1126,IDC!$A$25:$H$1532,8,0),0)</f>
        <v>-703.8</v>
      </c>
      <c r="M1126" s="122">
        <f t="shared" si="155"/>
        <v>117300</v>
      </c>
      <c r="N1126"/>
      <c r="P1126" s="35">
        <f t="shared" si="153"/>
        <v>-117299.99999999999</v>
      </c>
      <c r="Q1126" s="66">
        <f t="shared" si="154"/>
        <v>0</v>
      </c>
    </row>
    <row r="1127" spans="1:17" hidden="1">
      <c r="A1127" s="1" t="s">
        <v>1198</v>
      </c>
      <c r="B1127" s="1" t="s">
        <v>15</v>
      </c>
      <c r="C1127" s="91">
        <v>126435988375</v>
      </c>
      <c r="D1127" s="3">
        <v>20070.580000000002</v>
      </c>
      <c r="E1127" s="3">
        <v>11111187.85</v>
      </c>
      <c r="F1127" s="35" t="s">
        <v>2750</v>
      </c>
      <c r="G1127"/>
      <c r="H1127"/>
      <c r="I1127" s="27">
        <f>-IFERROR(VLOOKUP(C1127,SIRCUPA!$A$21:$H$155,8,0),0)</f>
        <v>0</v>
      </c>
      <c r="J1127" s="88">
        <f>-IFERROR(VLOOKUP(C1127,SIRTAC!$A$16:$H$1288,8,0),0)</f>
        <v>-206</v>
      </c>
      <c r="K1127" s="88">
        <f>-IFERROR(VLOOKUP(C1127,Gastos!$A$9:$J$1281,10,0),0)</f>
        <v>-199.82</v>
      </c>
      <c r="L1127" s="87">
        <f>-IFERROR(VLOOKUP(C1127,IDC!$A$25:$H$1532,8,0),0)</f>
        <v>-123.6</v>
      </c>
      <c r="M1127" s="122">
        <f t="shared" si="155"/>
        <v>20600</v>
      </c>
      <c r="N1127"/>
      <c r="P1127" s="35">
        <f t="shared" si="153"/>
        <v>-20600</v>
      </c>
      <c r="Q1127" s="66">
        <f t="shared" si="154"/>
        <v>0</v>
      </c>
    </row>
    <row r="1128" spans="1:17" hidden="1">
      <c r="A1128" s="1" t="s">
        <v>1198</v>
      </c>
      <c r="B1128" s="1" t="s">
        <v>15</v>
      </c>
      <c r="C1128" s="91">
        <v>126436273079</v>
      </c>
      <c r="D1128" s="3">
        <v>9351.3700000000008</v>
      </c>
      <c r="E1128" s="3">
        <v>11120539.220000001</v>
      </c>
      <c r="F1128" s="35" t="s">
        <v>2750</v>
      </c>
      <c r="G1128"/>
      <c r="H1128"/>
      <c r="I1128" s="27">
        <f>-IFERROR(VLOOKUP(C1128,SIRCUPA!$A$21:$H$155,8,0),0)</f>
        <v>0</v>
      </c>
      <c r="J1128" s="88">
        <f>-IFERROR(VLOOKUP(C1128,SIRTAC!$A$16:$H$1288,8,0),0)</f>
        <v>-103</v>
      </c>
      <c r="K1128" s="88">
        <f>-IFERROR(VLOOKUP(C1128,Gastos!$A$9:$J$1281,10,0),0)</f>
        <v>-783.83</v>
      </c>
      <c r="L1128" s="87">
        <f>-IFERROR(VLOOKUP(C1128,IDC!$A$25:$H$1532,8,0),0)</f>
        <v>-61.8</v>
      </c>
      <c r="M1128" s="122">
        <f t="shared" si="155"/>
        <v>10300</v>
      </c>
      <c r="N1128"/>
      <c r="P1128" s="35">
        <f t="shared" si="153"/>
        <v>-10300</v>
      </c>
      <c r="Q1128" s="66">
        <f t="shared" si="154"/>
        <v>0</v>
      </c>
    </row>
    <row r="1129" spans="1:17" hidden="1">
      <c r="A1129" s="1" t="s">
        <v>1198</v>
      </c>
      <c r="B1129" s="1" t="s">
        <v>1237</v>
      </c>
      <c r="C1129" s="91">
        <v>126993731584</v>
      </c>
      <c r="D1129" s="3">
        <v>1008.37</v>
      </c>
      <c r="E1129" s="3">
        <v>11121547.59</v>
      </c>
      <c r="F1129" s="2" t="s">
        <v>2750</v>
      </c>
      <c r="G1129"/>
      <c r="H1129"/>
      <c r="I1129" s="27">
        <f>-IFERROR(VLOOKUP(C1129,SIRCUPA!$A$21:$H$155,8,0),0)</f>
        <v>-15.45</v>
      </c>
      <c r="J1129" s="88">
        <f>-IFERROR(VLOOKUP(C1129,SIRTAC!$A$16:$H$1288,8,0),0)</f>
        <v>0</v>
      </c>
      <c r="K1129" s="88">
        <f>-IFERROR(VLOOKUP(C1129,Gastos!$A$9:$J$1281,10,0),0)</f>
        <v>0</v>
      </c>
      <c r="L1129" s="87">
        <f>-IFERROR(VLOOKUP(C1129,IDC!$A$25:$H$1532,8,0),0)</f>
        <v>-6.18</v>
      </c>
      <c r="M1129" s="122">
        <f t="shared" si="155"/>
        <v>1030</v>
      </c>
      <c r="N1129"/>
      <c r="P1129" s="35">
        <f t="shared" si="153"/>
        <v>-1030</v>
      </c>
      <c r="Q1129" s="66">
        <f t="shared" si="154"/>
        <v>0</v>
      </c>
    </row>
    <row r="1130" spans="1:17" hidden="1">
      <c r="A1130" s="1" t="s">
        <v>1198</v>
      </c>
      <c r="B1130" s="1" t="s">
        <v>15</v>
      </c>
      <c r="C1130" s="91">
        <v>126993816968</v>
      </c>
      <c r="D1130" s="3">
        <v>8573.84</v>
      </c>
      <c r="E1130" s="3">
        <v>11130121.43</v>
      </c>
      <c r="F1130" s="35" t="s">
        <v>2750</v>
      </c>
      <c r="G1130"/>
      <c r="H1130"/>
      <c r="I1130" s="27">
        <f>-IFERROR(VLOOKUP(C1130,SIRCUPA!$A$21:$H$155,8,0),0)</f>
        <v>0</v>
      </c>
      <c r="J1130" s="88">
        <f>-IFERROR(VLOOKUP(C1130,SIRTAC!$A$16:$H$1288,8,0),0)</f>
        <v>-88</v>
      </c>
      <c r="K1130" s="88">
        <f>-IFERROR(VLOOKUP(C1130,Gastos!$A$9:$J$1281,10,0),0)</f>
        <v>-85.36</v>
      </c>
      <c r="L1130" s="87">
        <f>-IFERROR(VLOOKUP(C1130,IDC!$A$25:$H$1532,8,0),0)</f>
        <v>-52.8</v>
      </c>
      <c r="M1130" s="122">
        <f t="shared" si="155"/>
        <v>8800</v>
      </c>
      <c r="N1130"/>
      <c r="P1130" s="35">
        <f t="shared" si="153"/>
        <v>-8800</v>
      </c>
      <c r="Q1130" s="66">
        <f t="shared" si="154"/>
        <v>0</v>
      </c>
    </row>
    <row r="1131" spans="1:17" hidden="1">
      <c r="A1131" s="1" t="s">
        <v>1198</v>
      </c>
      <c r="B1131" s="1" t="s">
        <v>15</v>
      </c>
      <c r="C1131" s="91">
        <v>126993923076</v>
      </c>
      <c r="D1131" s="3">
        <v>25429.23</v>
      </c>
      <c r="E1131" s="3">
        <v>11155550.66</v>
      </c>
      <c r="F1131" s="35" t="s">
        <v>2750</v>
      </c>
      <c r="G1131"/>
      <c r="H1131"/>
      <c r="I1131" s="27">
        <f>-IFERROR(VLOOKUP(C1131,SIRCUPA!$A$21:$H$155,8,0),0)</f>
        <v>0</v>
      </c>
      <c r="J1131" s="88">
        <f>-IFERROR(VLOOKUP(C1131,SIRTAC!$A$16:$H$1288,8,0),0)</f>
        <v>-261</v>
      </c>
      <c r="K1131" s="88">
        <f>-IFERROR(VLOOKUP(C1131,Gastos!$A$9:$J$1281,10,0),0)</f>
        <v>-253.17</v>
      </c>
      <c r="L1131" s="87">
        <f>-IFERROR(VLOOKUP(C1131,IDC!$A$25:$H$1532,8,0),0)</f>
        <v>-156.6</v>
      </c>
      <c r="M1131" s="122">
        <f t="shared" si="155"/>
        <v>26099.999999999996</v>
      </c>
      <c r="N1131"/>
      <c r="P1131" s="35">
        <f t="shared" si="153"/>
        <v>-26100</v>
      </c>
      <c r="Q1131" s="66">
        <f t="shared" si="154"/>
        <v>0</v>
      </c>
    </row>
    <row r="1132" spans="1:17" hidden="1">
      <c r="A1132" s="1" t="s">
        <v>1198</v>
      </c>
      <c r="B1132" s="1" t="s">
        <v>15</v>
      </c>
      <c r="C1132" s="91">
        <v>126436481429</v>
      </c>
      <c r="D1132" s="3">
        <v>49407.81</v>
      </c>
      <c r="E1132" s="3">
        <v>11204958.470000001</v>
      </c>
      <c r="F1132" s="35" t="s">
        <v>2750</v>
      </c>
      <c r="G1132"/>
      <c r="H1132"/>
      <c r="I1132" s="27">
        <f>-IFERROR(VLOOKUP(C1132,SIRCUPA!$A$21:$H$155,8,0),0)</f>
        <v>0</v>
      </c>
      <c r="J1132" s="88">
        <f>-IFERROR(VLOOKUP(C1132,SIRTAC!$A$16:$H$1288,8,0),0)</f>
        <v>-523</v>
      </c>
      <c r="K1132" s="88">
        <f>-IFERROR(VLOOKUP(C1132,Gastos!$A$9:$J$1281,10,0),0)</f>
        <v>-2055.39</v>
      </c>
      <c r="L1132" s="87">
        <f>-IFERROR(VLOOKUP(C1132,IDC!$A$25:$H$1532,8,0),0)</f>
        <v>-313.8</v>
      </c>
      <c r="M1132" s="122">
        <f t="shared" si="155"/>
        <v>52300</v>
      </c>
      <c r="N1132"/>
      <c r="P1132" s="35">
        <f t="shared" si="153"/>
        <v>-52300</v>
      </c>
      <c r="Q1132" s="66">
        <f t="shared" si="154"/>
        <v>0</v>
      </c>
    </row>
    <row r="1133" spans="1:17" hidden="1">
      <c r="A1133" s="1" t="s">
        <v>1198</v>
      </c>
      <c r="B1133" s="1" t="s">
        <v>15</v>
      </c>
      <c r="C1133" s="91">
        <v>126436687071</v>
      </c>
      <c r="D1133" s="3">
        <v>37997.699999999997</v>
      </c>
      <c r="E1133" s="3">
        <v>11242956.17</v>
      </c>
      <c r="F1133" s="35" t="s">
        <v>2750</v>
      </c>
      <c r="G1133"/>
      <c r="H1133"/>
      <c r="I1133" s="27">
        <f>-IFERROR(VLOOKUP(C1133,SIRCUPA!$A$21:$H$155,8,0),0)</f>
        <v>0</v>
      </c>
      <c r="J1133" s="88">
        <f>-IFERROR(VLOOKUP(C1133,SIRTAC!$A$16:$H$1288,8,0),0)</f>
        <v>-390</v>
      </c>
      <c r="K1133" s="88">
        <f>-IFERROR(VLOOKUP(C1133,Gastos!$A$9:$J$1281,10,0),0)</f>
        <v>-378.3</v>
      </c>
      <c r="L1133" s="87">
        <f>-IFERROR(VLOOKUP(C1133,IDC!$A$25:$H$1532,8,0),0)</f>
        <v>-234</v>
      </c>
      <c r="M1133" s="122">
        <f t="shared" si="155"/>
        <v>39000</v>
      </c>
      <c r="N1133"/>
      <c r="P1133" s="35">
        <f t="shared" si="153"/>
        <v>-39000</v>
      </c>
      <c r="Q1133" s="66">
        <f t="shared" si="154"/>
        <v>0</v>
      </c>
    </row>
    <row r="1134" spans="1:17" hidden="1">
      <c r="A1134" s="1" t="s">
        <v>1198</v>
      </c>
      <c r="B1134" s="1" t="s">
        <v>15</v>
      </c>
      <c r="C1134" s="91">
        <v>126436885759</v>
      </c>
      <c r="D1134" s="3">
        <v>18511.7</v>
      </c>
      <c r="E1134" s="3">
        <v>11261467.869999999</v>
      </c>
      <c r="F1134" s="35" t="s">
        <v>2750</v>
      </c>
      <c r="G1134"/>
      <c r="H1134"/>
      <c r="I1134" s="27">
        <f>-IFERROR(VLOOKUP(C1134,SIRCUPA!$A$21:$H$155,8,0),0)</f>
        <v>0</v>
      </c>
      <c r="J1134" s="88">
        <f>-IFERROR(VLOOKUP(C1134,SIRTAC!$A$16:$H$1288,8,0),0)</f>
        <v>-190</v>
      </c>
      <c r="K1134" s="88">
        <f>-IFERROR(VLOOKUP(C1134,Gastos!$A$9:$J$1281,10,0),0)</f>
        <v>-184.3</v>
      </c>
      <c r="L1134" s="87">
        <f>-IFERROR(VLOOKUP(C1134,IDC!$A$25:$H$1532,8,0),0)</f>
        <v>-114</v>
      </c>
      <c r="M1134" s="122">
        <f t="shared" si="155"/>
        <v>19000</v>
      </c>
      <c r="N1134"/>
      <c r="P1134" s="35">
        <f t="shared" si="153"/>
        <v>-19000</v>
      </c>
      <c r="Q1134" s="66">
        <f t="shared" si="154"/>
        <v>0</v>
      </c>
    </row>
    <row r="1135" spans="1:17" hidden="1">
      <c r="A1135" s="1" t="s">
        <v>1198</v>
      </c>
      <c r="B1135" s="1" t="s">
        <v>15</v>
      </c>
      <c r="C1135" s="91">
        <v>126437258399</v>
      </c>
      <c r="D1135" s="3">
        <v>18121.98</v>
      </c>
      <c r="E1135" s="3">
        <v>11279589.85</v>
      </c>
      <c r="F1135" s="35" t="s">
        <v>2750</v>
      </c>
      <c r="G1135"/>
      <c r="H1135"/>
      <c r="I1135" s="27">
        <f>-IFERROR(VLOOKUP(C1135,SIRCUPA!$A$21:$H$155,8,0),0)</f>
        <v>0</v>
      </c>
      <c r="J1135" s="88">
        <f>-IFERROR(VLOOKUP(C1135,SIRTAC!$A$16:$H$1288,8,0),0)</f>
        <v>-186</v>
      </c>
      <c r="K1135" s="88">
        <f>-IFERROR(VLOOKUP(C1135,Gastos!$A$9:$J$1281,10,0),0)</f>
        <v>-180.42</v>
      </c>
      <c r="L1135" s="87">
        <f>-IFERROR(VLOOKUP(C1135,IDC!$A$25:$H$1532,8,0),0)</f>
        <v>-111.6</v>
      </c>
      <c r="M1135" s="122">
        <f t="shared" si="155"/>
        <v>18599.999999999996</v>
      </c>
      <c r="N1135"/>
      <c r="P1135" s="35">
        <f t="shared" si="153"/>
        <v>-18600</v>
      </c>
      <c r="Q1135" s="66">
        <f t="shared" si="154"/>
        <v>0</v>
      </c>
    </row>
    <row r="1136" spans="1:17" hidden="1">
      <c r="A1136" s="1" t="s">
        <v>1198</v>
      </c>
      <c r="B1136" s="1" t="s">
        <v>15</v>
      </c>
      <c r="C1136" s="91">
        <v>126994713226</v>
      </c>
      <c r="D1136" s="3">
        <v>43258.92</v>
      </c>
      <c r="E1136" s="3">
        <v>11322848.77</v>
      </c>
      <c r="F1136" s="35" t="s">
        <v>2750</v>
      </c>
      <c r="G1136"/>
      <c r="H1136"/>
      <c r="I1136" s="27">
        <f>-IFERROR(VLOOKUP(C1136,SIRCUPA!$A$21:$H$155,8,0),0)</f>
        <v>0</v>
      </c>
      <c r="J1136" s="88">
        <f>-IFERROR(VLOOKUP(C1136,SIRTAC!$A$16:$H$1288,8,0),0)</f>
        <v>-444</v>
      </c>
      <c r="K1136" s="88">
        <f>-IFERROR(VLOOKUP(C1136,Gastos!$A$9:$J$1281,10,0),0)</f>
        <v>-430.68</v>
      </c>
      <c r="L1136" s="87">
        <f>-IFERROR(VLOOKUP(C1136,IDC!$A$25:$H$1532,8,0),0)</f>
        <v>-266.39999999999998</v>
      </c>
      <c r="M1136" s="122">
        <f t="shared" si="155"/>
        <v>44400</v>
      </c>
      <c r="N1136"/>
      <c r="P1136" s="35">
        <f t="shared" si="153"/>
        <v>-44399.999999999993</v>
      </c>
      <c r="Q1136" s="66">
        <f t="shared" si="154"/>
        <v>0</v>
      </c>
    </row>
    <row r="1137" spans="1:17" hidden="1">
      <c r="A1137" s="1" t="s">
        <v>1198</v>
      </c>
      <c r="B1137" s="1" t="s">
        <v>15</v>
      </c>
      <c r="C1137" s="91">
        <v>126994733000</v>
      </c>
      <c r="D1137" s="3">
        <v>18024.55</v>
      </c>
      <c r="E1137" s="3">
        <v>11340873.32</v>
      </c>
      <c r="F1137" s="35" t="s">
        <v>2750</v>
      </c>
      <c r="G1137"/>
      <c r="H1137"/>
      <c r="I1137" s="27">
        <f>-IFERROR(VLOOKUP(C1137,SIRCUPA!$A$21:$H$155,8,0),0)</f>
        <v>0</v>
      </c>
      <c r="J1137" s="88">
        <f>-IFERROR(VLOOKUP(C1137,SIRTAC!$A$16:$H$1288,8,0),0)</f>
        <v>-185</v>
      </c>
      <c r="K1137" s="88">
        <f>-IFERROR(VLOOKUP(C1137,Gastos!$A$9:$J$1281,10,0),0)</f>
        <v>-179.45</v>
      </c>
      <c r="L1137" s="87">
        <f>-IFERROR(VLOOKUP(C1137,IDC!$A$25:$H$1532,8,0),0)</f>
        <v>-111</v>
      </c>
      <c r="M1137" s="122">
        <f t="shared" si="155"/>
        <v>18500</v>
      </c>
      <c r="N1137"/>
      <c r="P1137" s="35">
        <f t="shared" si="153"/>
        <v>-18500</v>
      </c>
      <c r="Q1137" s="66">
        <f t="shared" si="154"/>
        <v>0</v>
      </c>
    </row>
    <row r="1138" spans="1:17" hidden="1">
      <c r="A1138" s="1" t="s">
        <v>1198</v>
      </c>
      <c r="B1138" s="1" t="s">
        <v>15</v>
      </c>
      <c r="C1138" s="91">
        <v>126994702036</v>
      </c>
      <c r="D1138" s="3">
        <v>15491.37</v>
      </c>
      <c r="E1138" s="3">
        <v>11356364.689999999</v>
      </c>
      <c r="F1138" s="35" t="s">
        <v>2750</v>
      </c>
      <c r="G1138"/>
      <c r="H1138"/>
      <c r="I1138" s="27">
        <f>-IFERROR(VLOOKUP(C1138,SIRCUPA!$A$21:$H$155,8,0),0)</f>
        <v>0</v>
      </c>
      <c r="J1138" s="88">
        <f>-IFERROR(VLOOKUP(C1138,SIRTAC!$A$16:$H$1288,8,0),0)</f>
        <v>-159</v>
      </c>
      <c r="K1138" s="88">
        <f>-IFERROR(VLOOKUP(C1138,Gastos!$A$9:$J$1281,10,0),0)</f>
        <v>-154.22999999999999</v>
      </c>
      <c r="L1138" s="87">
        <f>-IFERROR(VLOOKUP(C1138,IDC!$A$25:$H$1532,8,0),0)</f>
        <v>-95.4</v>
      </c>
      <c r="M1138" s="122">
        <f t="shared" si="155"/>
        <v>15900</v>
      </c>
      <c r="N1138"/>
      <c r="P1138" s="35">
        <f t="shared" si="153"/>
        <v>-15900</v>
      </c>
      <c r="Q1138" s="66">
        <f t="shared" si="154"/>
        <v>0</v>
      </c>
    </row>
    <row r="1139" spans="1:17" hidden="1">
      <c r="A1139" s="1" t="s">
        <v>1198</v>
      </c>
      <c r="B1139" s="1" t="s">
        <v>15</v>
      </c>
      <c r="C1139" s="91">
        <v>126994834838</v>
      </c>
      <c r="D1139" s="3">
        <v>8071.96</v>
      </c>
      <c r="E1139" s="3">
        <v>11364436.65</v>
      </c>
      <c r="F1139" s="35" t="s">
        <v>2750</v>
      </c>
      <c r="G1139"/>
      <c r="H1139"/>
      <c r="I1139" s="27">
        <f>-IFERROR(VLOOKUP(C1139,SIRCUPA!$A$21:$H$155,8,0),0)</f>
        <v>0</v>
      </c>
      <c r="J1139" s="88">
        <f>-IFERROR(VLOOKUP(C1139,SIRTAC!$A$16:$H$1288,8,0),0)</f>
        <v>-86</v>
      </c>
      <c r="K1139" s="88">
        <f>-IFERROR(VLOOKUP(C1139,Gastos!$A$9:$J$1281,10,0),0)</f>
        <v>-390.44</v>
      </c>
      <c r="L1139" s="87">
        <f>-IFERROR(VLOOKUP(C1139,IDC!$A$25:$H$1532,8,0),0)</f>
        <v>-51.6</v>
      </c>
      <c r="M1139" s="122">
        <f t="shared" si="155"/>
        <v>8600</v>
      </c>
      <c r="N1139"/>
      <c r="P1139" s="35">
        <f t="shared" si="153"/>
        <v>-8600</v>
      </c>
      <c r="Q1139" s="66">
        <f t="shared" si="154"/>
        <v>0</v>
      </c>
    </row>
    <row r="1140" spans="1:17" hidden="1">
      <c r="A1140" s="1" t="s">
        <v>1198</v>
      </c>
      <c r="B1140" s="1" t="s">
        <v>15</v>
      </c>
      <c r="C1140" s="91">
        <v>126994860808</v>
      </c>
      <c r="D1140" s="3">
        <v>22896.05</v>
      </c>
      <c r="E1140" s="3">
        <v>11387332.699999999</v>
      </c>
      <c r="F1140" s="35" t="s">
        <v>2750</v>
      </c>
      <c r="G1140"/>
      <c r="H1140"/>
      <c r="I1140" s="27">
        <f>-IFERROR(VLOOKUP(C1140,SIRCUPA!$A$21:$H$155,8,0),0)</f>
        <v>0</v>
      </c>
      <c r="J1140" s="88">
        <f>-IFERROR(VLOOKUP(C1140,SIRTAC!$A$16:$H$1288,8,0),0)</f>
        <v>-235</v>
      </c>
      <c r="K1140" s="88">
        <f>-IFERROR(VLOOKUP(C1140,Gastos!$A$9:$J$1281,10,0),0)</f>
        <v>-227.95</v>
      </c>
      <c r="L1140" s="87">
        <f>-IFERROR(VLOOKUP(C1140,IDC!$A$25:$H$1532,8,0),0)</f>
        <v>-141</v>
      </c>
      <c r="M1140" s="122">
        <f t="shared" si="155"/>
        <v>23500</v>
      </c>
      <c r="N1140"/>
      <c r="P1140" s="35">
        <f t="shared" si="153"/>
        <v>-23500</v>
      </c>
      <c r="Q1140" s="66">
        <f t="shared" si="154"/>
        <v>0</v>
      </c>
    </row>
    <row r="1141" spans="1:17" hidden="1">
      <c r="A1141" s="1" t="s">
        <v>1198</v>
      </c>
      <c r="B1141" s="1" t="s">
        <v>15</v>
      </c>
      <c r="C1141" s="91">
        <v>126994870920</v>
      </c>
      <c r="D1141" s="3">
        <v>18803.990000000002</v>
      </c>
      <c r="E1141" s="3">
        <v>11406136.689999999</v>
      </c>
      <c r="F1141" s="35" t="s">
        <v>2750</v>
      </c>
      <c r="G1141"/>
      <c r="H1141"/>
      <c r="I1141" s="27">
        <f>-IFERROR(VLOOKUP(C1141,SIRCUPA!$A$21:$H$155,8,0),0)</f>
        <v>0</v>
      </c>
      <c r="J1141" s="88">
        <f>-IFERROR(VLOOKUP(C1141,SIRTAC!$A$16:$H$1288,8,0),0)</f>
        <v>-193</v>
      </c>
      <c r="K1141" s="88">
        <f>-IFERROR(VLOOKUP(C1141,Gastos!$A$9:$J$1281,10,0),0)</f>
        <v>-187.21</v>
      </c>
      <c r="L1141" s="87">
        <f>-IFERROR(VLOOKUP(C1141,IDC!$A$25:$H$1532,8,0),0)</f>
        <v>-115.8</v>
      </c>
      <c r="M1141" s="122">
        <f t="shared" si="155"/>
        <v>19300</v>
      </c>
      <c r="N1141"/>
      <c r="P1141" s="35">
        <f t="shared" si="153"/>
        <v>-19300</v>
      </c>
      <c r="Q1141" s="66">
        <f t="shared" si="154"/>
        <v>0</v>
      </c>
    </row>
    <row r="1142" spans="1:17" hidden="1">
      <c r="A1142" s="1" t="s">
        <v>1198</v>
      </c>
      <c r="B1142" s="1" t="s">
        <v>15</v>
      </c>
      <c r="C1142" s="91">
        <v>126995028620</v>
      </c>
      <c r="D1142" s="3">
        <v>33773.879999999997</v>
      </c>
      <c r="E1142" s="3">
        <v>11439910.57</v>
      </c>
      <c r="F1142" s="35" t="s">
        <v>2750</v>
      </c>
      <c r="G1142"/>
      <c r="H1142"/>
      <c r="I1142" s="27">
        <f>-IFERROR(VLOOKUP(C1142,SIRCUPA!$A$21:$H$155,8,0),0)</f>
        <v>0</v>
      </c>
      <c r="J1142" s="88">
        <f>-IFERROR(VLOOKUP(C1142,SIRTAC!$A$16:$H$1288,8,0),0)</f>
        <v>-372</v>
      </c>
      <c r="K1142" s="88">
        <f>-IFERROR(VLOOKUP(C1142,Gastos!$A$9:$J$1281,10,0),0)</f>
        <v>-2830.92</v>
      </c>
      <c r="L1142" s="87">
        <f>-IFERROR(VLOOKUP(C1142,IDC!$A$25:$H$1532,8,0),0)</f>
        <v>-223.2</v>
      </c>
      <c r="M1142" s="122">
        <f t="shared" si="155"/>
        <v>37199.999999999993</v>
      </c>
      <c r="N1142"/>
      <c r="P1142" s="35">
        <f t="shared" si="153"/>
        <v>-37200</v>
      </c>
      <c r="Q1142" s="66">
        <f t="shared" si="154"/>
        <v>0</v>
      </c>
    </row>
    <row r="1143" spans="1:17" hidden="1">
      <c r="A1143" s="1" t="s">
        <v>1198</v>
      </c>
      <c r="B1143" s="1" t="s">
        <v>15</v>
      </c>
      <c r="C1143" s="91">
        <v>126498711815</v>
      </c>
      <c r="D1143" s="3">
        <v>8378.98</v>
      </c>
      <c r="E1143" s="3">
        <v>11448289.550000001</v>
      </c>
      <c r="F1143" s="35" t="s">
        <v>2750</v>
      </c>
      <c r="G1143"/>
      <c r="H1143"/>
      <c r="I1143" s="27">
        <f>-IFERROR(VLOOKUP(C1143,SIRCUPA!$A$21:$H$155,8,0),0)</f>
        <v>0</v>
      </c>
      <c r="J1143" s="88">
        <f>-IFERROR(VLOOKUP(C1143,SIRTAC!$A$16:$H$1288,8,0),0)</f>
        <v>-86</v>
      </c>
      <c r="K1143" s="88">
        <f>-IFERROR(VLOOKUP(C1143,Gastos!$A$9:$J$1281,10,0),0)</f>
        <v>-83.42</v>
      </c>
      <c r="L1143" s="87">
        <f>-IFERROR(VLOOKUP(C1143,IDC!$A$25:$H$1532,8,0),0)</f>
        <v>-51.6</v>
      </c>
      <c r="M1143" s="122">
        <f t="shared" si="155"/>
        <v>8600</v>
      </c>
      <c r="N1143"/>
      <c r="P1143" s="35">
        <f t="shared" si="153"/>
        <v>-8600</v>
      </c>
      <c r="Q1143" s="66">
        <f t="shared" si="154"/>
        <v>0</v>
      </c>
    </row>
    <row r="1144" spans="1:17" hidden="1">
      <c r="A1144" s="1" t="s">
        <v>1198</v>
      </c>
      <c r="B1144" s="1" t="s">
        <v>15</v>
      </c>
      <c r="C1144" s="91">
        <v>126499013865</v>
      </c>
      <c r="D1144" s="3">
        <v>4974.58</v>
      </c>
      <c r="E1144" s="3">
        <v>11453264.130000001</v>
      </c>
      <c r="F1144" s="35" t="s">
        <v>2750</v>
      </c>
      <c r="G1144"/>
      <c r="H1144"/>
      <c r="I1144" s="27">
        <f>-IFERROR(VLOOKUP(C1144,SIRCUPA!$A$21:$H$155,8,0),0)</f>
        <v>0</v>
      </c>
      <c r="J1144" s="88">
        <f>-IFERROR(VLOOKUP(C1144,SIRTAC!$A$16:$H$1288,8,0),0)</f>
        <v>-53</v>
      </c>
      <c r="K1144" s="88">
        <f>-IFERROR(VLOOKUP(C1144,Gastos!$A$9:$J$1281,10,0),0)</f>
        <v>-240.62</v>
      </c>
      <c r="L1144" s="87">
        <f>-IFERROR(VLOOKUP(C1144,IDC!$A$25:$H$1532,8,0),0)</f>
        <v>-31.8</v>
      </c>
      <c r="M1144" s="122">
        <f t="shared" ref="M1144:M1168" si="156">+D1144-I1144-J1144-K1144-L1144</f>
        <v>5300</v>
      </c>
      <c r="N1144"/>
      <c r="P1144" s="35">
        <f t="shared" ref="P1144:P1168" si="157">+L1144/0.006</f>
        <v>-5300</v>
      </c>
      <c r="Q1144" s="66">
        <f t="shared" ref="Q1144:Q1168" si="158">+M1144+P1144</f>
        <v>0</v>
      </c>
    </row>
    <row r="1145" spans="1:17" hidden="1">
      <c r="A1145" s="1" t="s">
        <v>1198</v>
      </c>
      <c r="B1145" s="1" t="s">
        <v>15</v>
      </c>
      <c r="C1145" s="91">
        <v>127057252498</v>
      </c>
      <c r="D1145" s="3">
        <v>4189.49</v>
      </c>
      <c r="E1145" s="3">
        <v>11457453.619999999</v>
      </c>
      <c r="F1145" s="35" t="s">
        <v>2750</v>
      </c>
      <c r="G1145"/>
      <c r="H1145"/>
      <c r="I1145" s="27">
        <f>-IFERROR(VLOOKUP(C1145,SIRCUPA!$A$21:$H$155,8,0),0)</f>
        <v>0</v>
      </c>
      <c r="J1145" s="88">
        <f>-IFERROR(VLOOKUP(C1145,SIRTAC!$A$16:$H$1288,8,0),0)</f>
        <v>-43</v>
      </c>
      <c r="K1145" s="88">
        <f>-IFERROR(VLOOKUP(C1145,Gastos!$A$9:$J$1281,10,0),0)</f>
        <v>-41.71</v>
      </c>
      <c r="L1145" s="87">
        <f>-IFERROR(VLOOKUP(C1145,IDC!$A$25:$H$1532,8,0),0)</f>
        <v>-25.8</v>
      </c>
      <c r="M1145" s="122">
        <f t="shared" si="156"/>
        <v>4300</v>
      </c>
      <c r="N1145"/>
      <c r="P1145" s="35">
        <f t="shared" si="157"/>
        <v>-4300</v>
      </c>
      <c r="Q1145" s="66">
        <f t="shared" si="158"/>
        <v>0</v>
      </c>
    </row>
    <row r="1146" spans="1:17" hidden="1">
      <c r="A1146" s="1" t="s">
        <v>1198</v>
      </c>
      <c r="B1146" s="1" t="s">
        <v>15</v>
      </c>
      <c r="C1146" s="91">
        <v>126501121485</v>
      </c>
      <c r="D1146" s="3">
        <v>6355.3</v>
      </c>
      <c r="E1146" s="3">
        <v>11463808.92</v>
      </c>
      <c r="F1146" s="35" t="s">
        <v>2750</v>
      </c>
      <c r="G1146"/>
      <c r="H1146"/>
      <c r="I1146" s="27">
        <f>-IFERROR(VLOOKUP(C1146,SIRCUPA!$A$21:$H$155,8,0),0)</f>
        <v>0</v>
      </c>
      <c r="J1146" s="88">
        <f>-IFERROR(VLOOKUP(C1146,SIRTAC!$A$16:$H$1288,8,0),0)</f>
        <v>-70</v>
      </c>
      <c r="K1146" s="88">
        <f>-IFERROR(VLOOKUP(C1146,Gastos!$A$9:$J$1281,10,0),0)</f>
        <v>-532.70000000000005</v>
      </c>
      <c r="L1146" s="87">
        <f>-IFERROR(VLOOKUP(C1146,IDC!$A$25:$H$1532,8,0),0)</f>
        <v>-42</v>
      </c>
      <c r="M1146" s="122">
        <f t="shared" si="156"/>
        <v>7000</v>
      </c>
      <c r="N1146"/>
      <c r="P1146" s="35">
        <f t="shared" si="157"/>
        <v>-7000</v>
      </c>
      <c r="Q1146" s="66">
        <f t="shared" si="158"/>
        <v>0</v>
      </c>
    </row>
    <row r="1147" spans="1:17" hidden="1">
      <c r="A1147" s="1" t="s">
        <v>1198</v>
      </c>
      <c r="B1147" s="1" t="s">
        <v>15</v>
      </c>
      <c r="C1147" s="91">
        <v>126502326417</v>
      </c>
      <c r="D1147" s="3">
        <v>4384.3500000000004</v>
      </c>
      <c r="E1147" s="3">
        <v>11468193.27</v>
      </c>
      <c r="F1147" s="35" t="s">
        <v>2750</v>
      </c>
      <c r="G1147"/>
      <c r="H1147"/>
      <c r="I1147" s="27">
        <f>-IFERROR(VLOOKUP(C1147,SIRCUPA!$A$21:$H$155,8,0),0)</f>
        <v>0</v>
      </c>
      <c r="J1147" s="88">
        <f>-IFERROR(VLOOKUP(C1147,SIRTAC!$A$16:$H$1288,8,0),0)</f>
        <v>-45</v>
      </c>
      <c r="K1147" s="88">
        <f>-IFERROR(VLOOKUP(C1147,Gastos!$A$9:$J$1281,10,0),0)</f>
        <v>-43.65</v>
      </c>
      <c r="L1147" s="87">
        <f>-IFERROR(VLOOKUP(C1147,IDC!$A$25:$H$1532,8,0),0)</f>
        <v>-27</v>
      </c>
      <c r="M1147" s="122">
        <f t="shared" si="156"/>
        <v>4500</v>
      </c>
      <c r="N1147"/>
      <c r="P1147" s="35">
        <f t="shared" si="157"/>
        <v>-4500</v>
      </c>
      <c r="Q1147" s="66">
        <f t="shared" si="158"/>
        <v>0</v>
      </c>
    </row>
    <row r="1148" spans="1:17" hidden="1">
      <c r="A1148" s="1" t="s">
        <v>1198</v>
      </c>
      <c r="B1148" s="1" t="s">
        <v>15</v>
      </c>
      <c r="C1148" s="91">
        <v>127060015374</v>
      </c>
      <c r="D1148" s="3">
        <v>8768.7000000000007</v>
      </c>
      <c r="E1148" s="3">
        <v>11476961.970000001</v>
      </c>
      <c r="F1148" s="35" t="s">
        <v>2750</v>
      </c>
      <c r="G1148"/>
      <c r="H1148"/>
      <c r="I1148" s="27">
        <f>-IFERROR(VLOOKUP(C1148,SIRCUPA!$A$21:$H$155,8,0),0)</f>
        <v>0</v>
      </c>
      <c r="J1148" s="88">
        <f>-IFERROR(VLOOKUP(C1148,SIRTAC!$A$16:$H$1288,8,0),0)</f>
        <v>-90</v>
      </c>
      <c r="K1148" s="88">
        <f>-IFERROR(VLOOKUP(C1148,Gastos!$A$9:$J$1281,10,0),0)</f>
        <v>-87.3</v>
      </c>
      <c r="L1148" s="87">
        <f>-IFERROR(VLOOKUP(C1148,IDC!$A$25:$H$1532,8,0),0)</f>
        <v>-54</v>
      </c>
      <c r="M1148" s="122">
        <f t="shared" si="156"/>
        <v>9000</v>
      </c>
      <c r="N1148"/>
      <c r="P1148" s="35">
        <f t="shared" si="157"/>
        <v>-9000</v>
      </c>
      <c r="Q1148" s="66">
        <f t="shared" si="158"/>
        <v>0</v>
      </c>
    </row>
    <row r="1149" spans="1:17" hidden="1">
      <c r="A1149" s="1" t="s">
        <v>1198</v>
      </c>
      <c r="B1149" s="1" t="s">
        <v>15</v>
      </c>
      <c r="C1149" s="91">
        <v>127064546278</v>
      </c>
      <c r="D1149" s="3">
        <v>17704.05</v>
      </c>
      <c r="E1149" s="3">
        <v>11494666.02</v>
      </c>
      <c r="F1149" s="35" t="s">
        <v>2750</v>
      </c>
      <c r="G1149"/>
      <c r="H1149"/>
      <c r="I1149" s="27">
        <f>-IFERROR(VLOOKUP(C1149,SIRCUPA!$A$21:$H$155,8,0),0)</f>
        <v>0</v>
      </c>
      <c r="J1149" s="88">
        <f>-IFERROR(VLOOKUP(C1149,SIRTAC!$A$16:$H$1288,8,0),0)</f>
        <v>-195</v>
      </c>
      <c r="K1149" s="88">
        <f>-IFERROR(VLOOKUP(C1149,Gastos!$A$9:$J$1281,10,0),0)</f>
        <v>-1483.95</v>
      </c>
      <c r="L1149" s="87">
        <f>-IFERROR(VLOOKUP(C1149,IDC!$A$25:$H$1532,8,0),0)</f>
        <v>-117</v>
      </c>
      <c r="M1149" s="122">
        <f t="shared" si="156"/>
        <v>19500</v>
      </c>
      <c r="N1149"/>
      <c r="P1149" s="35">
        <f t="shared" si="157"/>
        <v>-19500</v>
      </c>
      <c r="Q1149" s="66">
        <f t="shared" si="158"/>
        <v>0</v>
      </c>
    </row>
    <row r="1150" spans="1:17" hidden="1">
      <c r="A1150" s="1" t="s">
        <v>1198</v>
      </c>
      <c r="B1150" s="1" t="s">
        <v>15</v>
      </c>
      <c r="C1150" s="91">
        <v>126508269011</v>
      </c>
      <c r="D1150" s="3">
        <v>8378.98</v>
      </c>
      <c r="E1150" s="3">
        <v>11503045</v>
      </c>
      <c r="F1150" s="35" t="s">
        <v>2750</v>
      </c>
      <c r="G1150"/>
      <c r="H1150"/>
      <c r="I1150" s="27">
        <f>-IFERROR(VLOOKUP(C1150,SIRCUPA!$A$21:$H$155,8,0),0)</f>
        <v>0</v>
      </c>
      <c r="J1150" s="88">
        <f>-IFERROR(VLOOKUP(C1150,SIRTAC!$A$16:$H$1288,8,0),0)</f>
        <v>-86</v>
      </c>
      <c r="K1150" s="88">
        <f>-IFERROR(VLOOKUP(C1150,Gastos!$A$9:$J$1281,10,0),0)</f>
        <v>-83.42</v>
      </c>
      <c r="L1150" s="87">
        <f>-IFERROR(VLOOKUP(C1150,IDC!$A$25:$H$1532,8,0),0)</f>
        <v>-51.6</v>
      </c>
      <c r="M1150" s="122">
        <f t="shared" si="156"/>
        <v>8600</v>
      </c>
      <c r="N1150"/>
      <c r="P1150" s="35">
        <f t="shared" si="157"/>
        <v>-8600</v>
      </c>
      <c r="Q1150" s="66">
        <f t="shared" si="158"/>
        <v>0</v>
      </c>
    </row>
    <row r="1151" spans="1:17" hidden="1">
      <c r="A1151" s="1" t="s">
        <v>1198</v>
      </c>
      <c r="B1151" s="1" t="s">
        <v>15</v>
      </c>
      <c r="C1151" s="91">
        <v>127066369438</v>
      </c>
      <c r="D1151" s="3">
        <v>16547.669999999998</v>
      </c>
      <c r="E1151" s="3">
        <v>11519592.67</v>
      </c>
      <c r="F1151" s="35" t="s">
        <v>2750</v>
      </c>
      <c r="G1151"/>
      <c r="H1151"/>
      <c r="I1151" s="27">
        <f>-IFERROR(VLOOKUP(C1151,SIRCUPA!$A$21:$H$155,8,0),0)</f>
        <v>0</v>
      </c>
      <c r="J1151" s="88">
        <f>-IFERROR(VLOOKUP(C1151,SIRTAC!$A$16:$H$1288,8,0),0)</f>
        <v>-171</v>
      </c>
      <c r="K1151" s="88">
        <f>-IFERROR(VLOOKUP(C1151,Gastos!$A$9:$J$1281,10,0),0)</f>
        <v>-278.73</v>
      </c>
      <c r="L1151" s="87">
        <f>-IFERROR(VLOOKUP(C1151,IDC!$A$25:$H$1532,8,0),0)</f>
        <v>-102.6</v>
      </c>
      <c r="M1151" s="122">
        <f t="shared" si="156"/>
        <v>17099.999999999996</v>
      </c>
      <c r="N1151"/>
      <c r="P1151" s="35">
        <f t="shared" si="157"/>
        <v>-17100</v>
      </c>
      <c r="Q1151" s="66">
        <f t="shared" si="158"/>
        <v>0</v>
      </c>
    </row>
    <row r="1152" spans="1:17" hidden="1">
      <c r="A1152" s="1" t="s">
        <v>1198</v>
      </c>
      <c r="B1152" s="1" t="s">
        <v>15</v>
      </c>
      <c r="C1152" s="91">
        <v>126509739927</v>
      </c>
      <c r="D1152" s="3">
        <v>18421.650000000001</v>
      </c>
      <c r="E1152" s="3">
        <v>11538014.32</v>
      </c>
      <c r="F1152" s="35" t="s">
        <v>2750</v>
      </c>
      <c r="G1152"/>
      <c r="H1152"/>
      <c r="I1152" s="27">
        <f>-IFERROR(VLOOKUP(C1152,SIRCUPA!$A$21:$H$155,8,0),0)</f>
        <v>0</v>
      </c>
      <c r="J1152" s="88">
        <f>-IFERROR(VLOOKUP(C1152,SIRTAC!$A$16:$H$1288,8,0),0)</f>
        <v>-195</v>
      </c>
      <c r="K1152" s="88">
        <f>-IFERROR(VLOOKUP(C1152,Gastos!$A$9:$J$1281,10,0),0)</f>
        <v>-766.35</v>
      </c>
      <c r="L1152" s="87">
        <f>-IFERROR(VLOOKUP(C1152,IDC!$A$25:$H$1532,8,0),0)</f>
        <v>-117</v>
      </c>
      <c r="M1152" s="122">
        <f t="shared" si="156"/>
        <v>19500</v>
      </c>
      <c r="N1152"/>
      <c r="P1152" s="35">
        <f t="shared" si="157"/>
        <v>-19500</v>
      </c>
      <c r="Q1152" s="66">
        <f t="shared" si="158"/>
        <v>0</v>
      </c>
    </row>
    <row r="1153" spans="1:17" hidden="1">
      <c r="A1153" s="1" t="s">
        <v>1198</v>
      </c>
      <c r="B1153" s="1" t="s">
        <v>15</v>
      </c>
      <c r="C1153" s="91">
        <v>126510073927</v>
      </c>
      <c r="D1153" s="3">
        <v>24656.67</v>
      </c>
      <c r="E1153" s="3">
        <v>11562670.99</v>
      </c>
      <c r="F1153" s="35" t="s">
        <v>2750</v>
      </c>
      <c r="G1153"/>
      <c r="H1153"/>
      <c r="I1153" s="27">
        <f>-IFERROR(VLOOKUP(C1153,SIRCUPA!$A$21:$H$155,8,0),0)</f>
        <v>0</v>
      </c>
      <c r="J1153" s="88">
        <f>-IFERROR(VLOOKUP(C1153,SIRTAC!$A$16:$H$1288,8,0),0)</f>
        <v>-261</v>
      </c>
      <c r="K1153" s="88">
        <f>-IFERROR(VLOOKUP(C1153,Gastos!$A$9:$J$1281,10,0),0)</f>
        <v>-1025.73</v>
      </c>
      <c r="L1153" s="87">
        <f>-IFERROR(VLOOKUP(C1153,IDC!$A$25:$H$1532,8,0),0)</f>
        <v>-156.6</v>
      </c>
      <c r="M1153" s="122">
        <f t="shared" si="156"/>
        <v>26099.999999999996</v>
      </c>
      <c r="N1153"/>
      <c r="P1153" s="35">
        <f t="shared" si="157"/>
        <v>-26100</v>
      </c>
      <c r="Q1153" s="66">
        <f t="shared" si="158"/>
        <v>0</v>
      </c>
    </row>
    <row r="1154" spans="1:17" hidden="1">
      <c r="A1154" s="1" t="s">
        <v>1198</v>
      </c>
      <c r="B1154" s="1" t="s">
        <v>15</v>
      </c>
      <c r="C1154" s="91">
        <v>126511461547</v>
      </c>
      <c r="D1154" s="3">
        <v>22896.05</v>
      </c>
      <c r="E1154" s="3">
        <v>11496034.050000001</v>
      </c>
      <c r="F1154" s="35" t="s">
        <v>2750</v>
      </c>
      <c r="G1154" s="35"/>
      <c r="H1154" s="35"/>
      <c r="I1154" s="27">
        <f>-IFERROR(VLOOKUP(C1154,SIRCUPA!$A$21:$H$155,8,0),0)</f>
        <v>0</v>
      </c>
      <c r="J1154" s="88">
        <f>-IFERROR(VLOOKUP(C1154,SIRTAC!$A$16:$H$1288,8,0),0)</f>
        <v>-235</v>
      </c>
      <c r="K1154" s="88">
        <f>-IFERROR(VLOOKUP(C1154,Gastos!$A$9:$J$1281,10,0),0)</f>
        <v>-227.95</v>
      </c>
      <c r="L1154" s="87">
        <f>-IFERROR(VLOOKUP(C1154,IDC!$A$25:$H$1532,8,0),0)</f>
        <v>-141</v>
      </c>
      <c r="M1154" s="122">
        <f t="shared" si="156"/>
        <v>23500</v>
      </c>
      <c r="N1154" s="35"/>
      <c r="P1154" s="35">
        <f t="shared" si="157"/>
        <v>-23500</v>
      </c>
      <c r="Q1154" s="66">
        <f t="shared" si="158"/>
        <v>0</v>
      </c>
    </row>
    <row r="1155" spans="1:17" hidden="1">
      <c r="A1155" s="1" t="s">
        <v>1198</v>
      </c>
      <c r="B1155" s="1" t="s">
        <v>15</v>
      </c>
      <c r="C1155" s="91">
        <v>126511948803</v>
      </c>
      <c r="D1155" s="3">
        <v>62744.92</v>
      </c>
      <c r="E1155" s="3">
        <v>11558778.970000001</v>
      </c>
      <c r="F1155" s="35" t="s">
        <v>2750</v>
      </c>
      <c r="G1155"/>
      <c r="H1155"/>
      <c r="I1155" s="27">
        <f>-IFERROR(VLOOKUP(C1155,SIRCUPA!$A$21:$H$155,8,0),0)</f>
        <v>0</v>
      </c>
      <c r="J1155" s="88">
        <f>-IFERROR(VLOOKUP(C1155,SIRTAC!$A$16:$H$1288,8,0),0)</f>
        <v>-644</v>
      </c>
      <c r="K1155" s="88">
        <f>-IFERROR(VLOOKUP(C1155,Gastos!$A$9:$J$1281,10,0),0)</f>
        <v>-624.67999999999995</v>
      </c>
      <c r="L1155" s="87">
        <f>-IFERROR(VLOOKUP(C1155,IDC!$A$25:$H$1532,8,0),0)</f>
        <v>-386.4</v>
      </c>
      <c r="M1155" s="122">
        <f t="shared" si="156"/>
        <v>64400</v>
      </c>
      <c r="N1155"/>
      <c r="P1155" s="35">
        <f t="shared" si="157"/>
        <v>-64399.999999999993</v>
      </c>
      <c r="Q1155" s="66">
        <f t="shared" si="158"/>
        <v>0</v>
      </c>
    </row>
    <row r="1156" spans="1:17" hidden="1">
      <c r="A1156" s="1" t="s">
        <v>1198</v>
      </c>
      <c r="B1156" s="1" t="s">
        <v>15</v>
      </c>
      <c r="C1156" s="91">
        <v>126512641065</v>
      </c>
      <c r="D1156" s="3">
        <v>7794.4</v>
      </c>
      <c r="E1156" s="3">
        <v>11566573.369999999</v>
      </c>
      <c r="F1156" s="35" t="s">
        <v>2750</v>
      </c>
      <c r="G1156"/>
      <c r="H1156"/>
      <c r="I1156" s="27">
        <f>-IFERROR(VLOOKUP(C1156,SIRCUPA!$A$21:$H$155,8,0),0)</f>
        <v>0</v>
      </c>
      <c r="J1156" s="88">
        <f>-IFERROR(VLOOKUP(C1156,SIRTAC!$A$16:$H$1288,8,0),0)</f>
        <v>-80</v>
      </c>
      <c r="K1156" s="88">
        <f>-IFERROR(VLOOKUP(C1156,Gastos!$A$9:$J$1281,10,0),0)</f>
        <v>-77.599999999999994</v>
      </c>
      <c r="L1156" s="87">
        <f>-IFERROR(VLOOKUP(C1156,IDC!$A$25:$H$1532,8,0),0)</f>
        <v>-48</v>
      </c>
      <c r="M1156" s="122">
        <f t="shared" si="156"/>
        <v>8000</v>
      </c>
      <c r="N1156"/>
      <c r="P1156" s="35">
        <f t="shared" si="157"/>
        <v>-8000</v>
      </c>
      <c r="Q1156" s="66">
        <f t="shared" si="158"/>
        <v>0</v>
      </c>
    </row>
    <row r="1157" spans="1:17" hidden="1">
      <c r="A1157" s="1" t="s">
        <v>1198</v>
      </c>
      <c r="B1157" s="1" t="s">
        <v>15</v>
      </c>
      <c r="C1157" s="91">
        <v>127070575668</v>
      </c>
      <c r="D1157" s="3">
        <v>25790.31</v>
      </c>
      <c r="E1157" s="3">
        <v>11592363.68</v>
      </c>
      <c r="F1157" s="35" t="s">
        <v>2750</v>
      </c>
      <c r="G1157"/>
      <c r="H1157"/>
      <c r="I1157" s="27">
        <f>-IFERROR(VLOOKUP(C1157,SIRCUPA!$A$21:$H$155,8,0),0)</f>
        <v>0</v>
      </c>
      <c r="J1157" s="88">
        <f>-IFERROR(VLOOKUP(C1157,SIRTAC!$A$16:$H$1288,8,0),0)</f>
        <v>-273</v>
      </c>
      <c r="K1157" s="88">
        <f>-IFERROR(VLOOKUP(C1157,Gastos!$A$9:$J$1281,10,0),0)</f>
        <v>-1072.8900000000001</v>
      </c>
      <c r="L1157" s="87">
        <f>-IFERROR(VLOOKUP(C1157,IDC!$A$25:$H$1532,8,0),0)</f>
        <v>-163.80000000000001</v>
      </c>
      <c r="M1157" s="122">
        <f t="shared" si="156"/>
        <v>27300</v>
      </c>
      <c r="N1157"/>
      <c r="P1157" s="35">
        <f t="shared" si="157"/>
        <v>-27300</v>
      </c>
      <c r="Q1157" s="66">
        <f t="shared" si="158"/>
        <v>0</v>
      </c>
    </row>
    <row r="1158" spans="1:17" hidden="1">
      <c r="A1158" s="1" t="s">
        <v>1198</v>
      </c>
      <c r="B1158" s="1" t="s">
        <v>15</v>
      </c>
      <c r="C1158" s="91">
        <v>126514090825</v>
      </c>
      <c r="D1158" s="3">
        <v>14453.91</v>
      </c>
      <c r="E1158" s="3">
        <v>11606817.59</v>
      </c>
      <c r="F1158" s="35" t="s">
        <v>2750</v>
      </c>
      <c r="G1158"/>
      <c r="H1158"/>
      <c r="I1158" s="27">
        <f>-IFERROR(VLOOKUP(C1158,SIRCUPA!$A$21:$H$155,8,0),0)</f>
        <v>0</v>
      </c>
      <c r="J1158" s="88">
        <f>-IFERROR(VLOOKUP(C1158,SIRTAC!$A$16:$H$1288,8,0),0)</f>
        <v>-153</v>
      </c>
      <c r="K1158" s="88">
        <f>-IFERROR(VLOOKUP(C1158,Gastos!$A$9:$J$1281,10,0),0)</f>
        <v>-601.29</v>
      </c>
      <c r="L1158" s="87">
        <f>-IFERROR(VLOOKUP(C1158,IDC!$A$25:$H$1532,8,0),0)</f>
        <v>-91.8</v>
      </c>
      <c r="M1158" s="122">
        <f t="shared" si="156"/>
        <v>15300</v>
      </c>
      <c r="N1158"/>
      <c r="P1158" s="35">
        <f t="shared" si="157"/>
        <v>-15300</v>
      </c>
      <c r="Q1158" s="66">
        <f t="shared" si="158"/>
        <v>0</v>
      </c>
    </row>
    <row r="1159" spans="1:17" hidden="1">
      <c r="A1159" s="1" t="s">
        <v>1198</v>
      </c>
      <c r="B1159" s="1" t="s">
        <v>15</v>
      </c>
      <c r="C1159" s="91">
        <v>126515332807</v>
      </c>
      <c r="D1159" s="3">
        <v>9855.2999999999993</v>
      </c>
      <c r="E1159" s="3">
        <v>11616672.890000001</v>
      </c>
      <c r="F1159" s="35" t="s">
        <v>2750</v>
      </c>
      <c r="G1159"/>
      <c r="H1159"/>
      <c r="I1159" s="27">
        <f>-IFERROR(VLOOKUP(C1159,SIRCUPA!$A$21:$H$155,8,0),0)</f>
        <v>0</v>
      </c>
      <c r="J1159" s="88">
        <f>-IFERROR(VLOOKUP(C1159,SIRTAC!$A$16:$H$1288,8,0),0)</f>
        <v>-105</v>
      </c>
      <c r="K1159" s="88">
        <f>-IFERROR(VLOOKUP(C1159,Gastos!$A$9:$J$1281,10,0),0)</f>
        <v>-476.7</v>
      </c>
      <c r="L1159" s="87">
        <f>-IFERROR(VLOOKUP(C1159,IDC!$A$25:$H$1532,8,0),0)</f>
        <v>-63</v>
      </c>
      <c r="M1159" s="122">
        <f t="shared" si="156"/>
        <v>10500</v>
      </c>
      <c r="N1159"/>
      <c r="P1159" s="35">
        <f t="shared" si="157"/>
        <v>-10500</v>
      </c>
      <c r="Q1159" s="66">
        <f t="shared" si="158"/>
        <v>0</v>
      </c>
    </row>
    <row r="1160" spans="1:17" hidden="1">
      <c r="A1160" s="1" t="s">
        <v>1198</v>
      </c>
      <c r="B1160" s="1" t="s">
        <v>15</v>
      </c>
      <c r="C1160" s="91">
        <v>127072983012</v>
      </c>
      <c r="D1160" s="3">
        <v>82221.36</v>
      </c>
      <c r="E1160" s="3">
        <v>11698894.25</v>
      </c>
      <c r="F1160" s="35" t="s">
        <v>2750</v>
      </c>
      <c r="G1160"/>
      <c r="H1160"/>
      <c r="I1160" s="27">
        <f>-IFERROR(VLOOKUP(C1160,SIRCUPA!$A$21:$H$155,8,0),0)</f>
        <v>0</v>
      </c>
      <c r="J1160" s="88">
        <f>-IFERROR(VLOOKUP(C1160,SIRTAC!$A$16:$H$1288,8,0),0)</f>
        <v>-876</v>
      </c>
      <c r="K1160" s="88">
        <f>-IFERROR(VLOOKUP(C1160,Gastos!$A$9:$J$1281,10,0),0)</f>
        <v>-3977.04</v>
      </c>
      <c r="L1160" s="87">
        <f>-IFERROR(VLOOKUP(C1160,IDC!$A$25:$H$1532,8,0),0)</f>
        <v>-525.6</v>
      </c>
      <c r="M1160" s="122">
        <f t="shared" si="156"/>
        <v>87600</v>
      </c>
      <c r="N1160"/>
      <c r="P1160" s="35">
        <f t="shared" si="157"/>
        <v>-87600</v>
      </c>
      <c r="Q1160" s="66">
        <f t="shared" si="158"/>
        <v>0</v>
      </c>
    </row>
    <row r="1161" spans="1:17" hidden="1">
      <c r="A1161" s="1" t="s">
        <v>1198</v>
      </c>
      <c r="B1161" s="1" t="s">
        <v>15</v>
      </c>
      <c r="C1161" s="91">
        <v>126515369669</v>
      </c>
      <c r="D1161" s="3">
        <v>32611.49</v>
      </c>
      <c r="E1161" s="3">
        <v>11731505.74</v>
      </c>
      <c r="F1161" s="35" t="s">
        <v>2750</v>
      </c>
      <c r="G1161"/>
      <c r="H1161"/>
      <c r="I1161" s="27">
        <f>-IFERROR(VLOOKUP(C1161,SIRCUPA!$A$21:$H$155,8,0),0)</f>
        <v>0</v>
      </c>
      <c r="J1161" s="88">
        <f>-IFERROR(VLOOKUP(C1161,SIRTAC!$A$16:$H$1288,8,0),0)</f>
        <v>-337</v>
      </c>
      <c r="K1161" s="88">
        <f>-IFERROR(VLOOKUP(C1161,Gastos!$A$9:$J$1281,10,0),0)</f>
        <v>-549.30999999999995</v>
      </c>
      <c r="L1161" s="87">
        <f>-IFERROR(VLOOKUP(C1161,IDC!$A$25:$H$1532,8,0),0)</f>
        <v>-202.2</v>
      </c>
      <c r="M1161" s="122">
        <f t="shared" si="156"/>
        <v>33700</v>
      </c>
      <c r="N1161"/>
      <c r="P1161" s="35">
        <f t="shared" si="157"/>
        <v>-33700</v>
      </c>
      <c r="Q1161" s="66">
        <f t="shared" si="158"/>
        <v>0</v>
      </c>
    </row>
    <row r="1162" spans="1:17" hidden="1">
      <c r="A1162" s="1" t="s">
        <v>1198</v>
      </c>
      <c r="B1162" s="1" t="s">
        <v>15</v>
      </c>
      <c r="C1162" s="91">
        <v>127073051828</v>
      </c>
      <c r="D1162" s="3">
        <v>10327.58</v>
      </c>
      <c r="E1162" s="3">
        <v>11741833.32</v>
      </c>
      <c r="F1162" s="35" t="s">
        <v>2750</v>
      </c>
      <c r="G1162"/>
      <c r="H1162"/>
      <c r="I1162" s="27">
        <f>-IFERROR(VLOOKUP(C1162,SIRCUPA!$A$21:$H$155,8,0),0)</f>
        <v>0</v>
      </c>
      <c r="J1162" s="88">
        <f>-IFERROR(VLOOKUP(C1162,SIRTAC!$A$16:$H$1288,8,0),0)</f>
        <v>-106</v>
      </c>
      <c r="K1162" s="88">
        <f>-IFERROR(VLOOKUP(C1162,Gastos!$A$9:$J$1281,10,0),0)</f>
        <v>-102.82</v>
      </c>
      <c r="L1162" s="87">
        <f>-IFERROR(VLOOKUP(C1162,IDC!$A$25:$H$1532,8,0),0)</f>
        <v>-63.6</v>
      </c>
      <c r="M1162" s="122">
        <f t="shared" si="156"/>
        <v>10600</v>
      </c>
      <c r="N1162"/>
      <c r="P1162" s="35">
        <f t="shared" si="157"/>
        <v>-10600</v>
      </c>
      <c r="Q1162" s="66">
        <f t="shared" si="158"/>
        <v>0</v>
      </c>
    </row>
    <row r="1163" spans="1:17" hidden="1">
      <c r="A1163" s="1" t="s">
        <v>1198</v>
      </c>
      <c r="B1163" s="1" t="s">
        <v>15</v>
      </c>
      <c r="C1163" s="91">
        <v>127073157830</v>
      </c>
      <c r="D1163" s="3">
        <v>57911.62</v>
      </c>
      <c r="E1163" s="3">
        <v>11799744.939999999</v>
      </c>
      <c r="F1163" s="35" t="s">
        <v>2750</v>
      </c>
      <c r="G1163"/>
      <c r="H1163"/>
      <c r="I1163" s="27">
        <f>-IFERROR(VLOOKUP(C1163,SIRCUPA!$A$21:$H$155,8,0),0)</f>
        <v>0</v>
      </c>
      <c r="J1163" s="88">
        <f>-IFERROR(VLOOKUP(C1163,SIRTAC!$A$16:$H$1288,8,0),0)</f>
        <v>-617</v>
      </c>
      <c r="K1163" s="88">
        <f>-IFERROR(VLOOKUP(C1163,Gastos!$A$9:$J$1281,10,0),0)</f>
        <v>-2801.18</v>
      </c>
      <c r="L1163" s="87">
        <f>-IFERROR(VLOOKUP(C1163,IDC!$A$25:$H$1532,8,0),0)</f>
        <v>-370.2</v>
      </c>
      <c r="M1163" s="122">
        <f t="shared" si="156"/>
        <v>61700</v>
      </c>
      <c r="N1163"/>
      <c r="P1163" s="35">
        <f t="shared" si="157"/>
        <v>-61700</v>
      </c>
      <c r="Q1163" s="66">
        <f t="shared" si="158"/>
        <v>0</v>
      </c>
    </row>
    <row r="1164" spans="1:17" hidden="1">
      <c r="A1164" s="1" t="s">
        <v>1198</v>
      </c>
      <c r="B1164" s="1" t="s">
        <v>15</v>
      </c>
      <c r="C1164" s="91">
        <v>126517327301</v>
      </c>
      <c r="D1164" s="3">
        <v>6820.1</v>
      </c>
      <c r="E1164" s="3">
        <v>11806565.039999999</v>
      </c>
      <c r="F1164" s="35" t="s">
        <v>2750</v>
      </c>
      <c r="G1164"/>
      <c r="H1164"/>
      <c r="I1164" s="27">
        <f>-IFERROR(VLOOKUP(C1164,SIRCUPA!$A$21:$H$155,8,0),0)</f>
        <v>0</v>
      </c>
      <c r="J1164" s="88">
        <f>-IFERROR(VLOOKUP(C1164,SIRTAC!$A$16:$H$1288,8,0),0)</f>
        <v>-70</v>
      </c>
      <c r="K1164" s="88">
        <f>-IFERROR(VLOOKUP(C1164,Gastos!$A$9:$J$1281,10,0),0)</f>
        <v>-67.900000000000006</v>
      </c>
      <c r="L1164" s="87">
        <f>-IFERROR(VLOOKUP(C1164,IDC!$A$25:$H$1532,8,0),0)</f>
        <v>-42</v>
      </c>
      <c r="M1164" s="122">
        <f t="shared" si="156"/>
        <v>7000</v>
      </c>
      <c r="N1164"/>
      <c r="P1164" s="35">
        <f t="shared" si="157"/>
        <v>-7000</v>
      </c>
      <c r="Q1164" s="66">
        <f t="shared" si="158"/>
        <v>0</v>
      </c>
    </row>
    <row r="1165" spans="1:17" hidden="1">
      <c r="A1165" s="1" t="s">
        <v>1198</v>
      </c>
      <c r="B1165" s="1" t="s">
        <v>1276</v>
      </c>
      <c r="C1165" s="91">
        <v>126517378719</v>
      </c>
      <c r="D1165" s="2">
        <v>685.3</v>
      </c>
      <c r="E1165" s="3">
        <v>11807250.34</v>
      </c>
      <c r="F1165" s="2" t="s">
        <v>2750</v>
      </c>
      <c r="G1165"/>
      <c r="H1165"/>
      <c r="I1165" s="27">
        <f>-IFERROR(VLOOKUP(C1165,SIRCUPA!$A$21:$H$155,8,0),0)</f>
        <v>-10.5</v>
      </c>
      <c r="J1165" s="88">
        <f>-IFERROR(VLOOKUP(C1165,SIRTAC!$A$16:$H$1288,8,0),0)</f>
        <v>0</v>
      </c>
      <c r="K1165" s="88">
        <f>-IFERROR(VLOOKUP(C1165,Gastos!$A$9:$J$1281,10,0),0)</f>
        <v>0</v>
      </c>
      <c r="L1165" s="87">
        <f>-IFERROR(VLOOKUP(C1165,IDC!$A$25:$H$1532,8,0),0)</f>
        <v>-4.2</v>
      </c>
      <c r="M1165" s="122">
        <f t="shared" si="156"/>
        <v>700</v>
      </c>
      <c r="N1165"/>
      <c r="P1165" s="35">
        <f t="shared" si="157"/>
        <v>-700</v>
      </c>
      <c r="Q1165" s="66">
        <f t="shared" si="158"/>
        <v>0</v>
      </c>
    </row>
    <row r="1166" spans="1:17" hidden="1">
      <c r="A1166" s="1" t="s">
        <v>1198</v>
      </c>
      <c r="B1166" s="1" t="s">
        <v>15</v>
      </c>
      <c r="C1166" s="91">
        <v>127075428606</v>
      </c>
      <c r="D1166" s="3">
        <v>32736.48</v>
      </c>
      <c r="E1166" s="3">
        <v>11839986.82</v>
      </c>
      <c r="F1166" s="35" t="s">
        <v>2750</v>
      </c>
      <c r="G1166"/>
      <c r="H1166"/>
      <c r="I1166" s="27">
        <f>-IFERROR(VLOOKUP(C1166,SIRCUPA!$A$21:$H$155,8,0),0)</f>
        <v>0</v>
      </c>
      <c r="J1166" s="88">
        <f>-IFERROR(VLOOKUP(C1166,SIRTAC!$A$16:$H$1288,8,0),0)</f>
        <v>-336</v>
      </c>
      <c r="K1166" s="88">
        <f>-IFERROR(VLOOKUP(C1166,Gastos!$A$9:$J$1281,10,0),0)</f>
        <v>-325.92</v>
      </c>
      <c r="L1166" s="87">
        <f>-IFERROR(VLOOKUP(C1166,IDC!$A$25:$H$1532,8,0),0)</f>
        <v>-201.6</v>
      </c>
      <c r="M1166" s="122">
        <f t="shared" si="156"/>
        <v>33599.999999999993</v>
      </c>
      <c r="N1166"/>
      <c r="P1166" s="35">
        <f t="shared" si="157"/>
        <v>-33600</v>
      </c>
      <c r="Q1166" s="66">
        <f t="shared" si="158"/>
        <v>0</v>
      </c>
    </row>
    <row r="1167" spans="1:17" hidden="1">
      <c r="A1167" s="1" t="s">
        <v>1198</v>
      </c>
      <c r="B1167" s="1" t="s">
        <v>1279</v>
      </c>
      <c r="C1167" s="91">
        <v>126517605135</v>
      </c>
      <c r="D1167" s="3">
        <v>1644.72</v>
      </c>
      <c r="E1167" s="3">
        <v>11841631.539999999</v>
      </c>
      <c r="F1167" s="2" t="s">
        <v>2750</v>
      </c>
      <c r="G1167"/>
      <c r="H1167"/>
      <c r="I1167" s="27">
        <f>-IFERROR(VLOOKUP(C1167,SIRCUPA!$A$21:$H$155,8,0),0)</f>
        <v>-25.2</v>
      </c>
      <c r="J1167" s="88">
        <f>-IFERROR(VLOOKUP(C1167,SIRTAC!$A$16:$H$1288,8,0),0)</f>
        <v>0</v>
      </c>
      <c r="K1167" s="88">
        <f>-IFERROR(VLOOKUP(C1167,Gastos!$A$9:$J$1281,10,0),0)</f>
        <v>0</v>
      </c>
      <c r="L1167" s="87">
        <f>-IFERROR(VLOOKUP(C1167,IDC!$A$25:$H$1532,8,0),0)</f>
        <v>-10.08</v>
      </c>
      <c r="M1167" s="122">
        <f t="shared" si="156"/>
        <v>1680</v>
      </c>
      <c r="N1167"/>
      <c r="P1167" s="35">
        <f t="shared" si="157"/>
        <v>-1680</v>
      </c>
      <c r="Q1167" s="66">
        <f t="shared" si="158"/>
        <v>0</v>
      </c>
    </row>
    <row r="1168" spans="1:17" hidden="1">
      <c r="A1168" s="1" t="s">
        <v>1198</v>
      </c>
      <c r="B1168" s="1" t="s">
        <v>15</v>
      </c>
      <c r="C1168" s="91">
        <v>127076367736</v>
      </c>
      <c r="D1168" s="3">
        <v>8071.96</v>
      </c>
      <c r="E1168" s="3">
        <v>11849703.5</v>
      </c>
      <c r="F1168" s="35" t="s">
        <v>2750</v>
      </c>
      <c r="G1168"/>
      <c r="H1168"/>
      <c r="I1168" s="27">
        <f>-IFERROR(VLOOKUP(C1168,SIRCUPA!$A$21:$H$155,8,0),0)</f>
        <v>0</v>
      </c>
      <c r="J1168" s="88">
        <f>-IFERROR(VLOOKUP(C1168,SIRTAC!$A$16:$H$1288,8,0),0)</f>
        <v>-86</v>
      </c>
      <c r="K1168" s="88">
        <f>-IFERROR(VLOOKUP(C1168,Gastos!$A$9:$J$1281,10,0),0)</f>
        <v>-390.44</v>
      </c>
      <c r="L1168" s="87">
        <f>-IFERROR(VLOOKUP(C1168,IDC!$A$25:$H$1532,8,0),0)</f>
        <v>-51.6</v>
      </c>
      <c r="M1168" s="122">
        <f t="shared" si="156"/>
        <v>8600</v>
      </c>
      <c r="N1168"/>
      <c r="P1168" s="35">
        <f t="shared" si="157"/>
        <v>-8600</v>
      </c>
      <c r="Q1168" s="66">
        <f t="shared" si="158"/>
        <v>0</v>
      </c>
    </row>
    <row r="1169" spans="1:18" hidden="1">
      <c r="A1169" s="1" t="s">
        <v>1299</v>
      </c>
      <c r="B1169" s="1" t="s">
        <v>916</v>
      </c>
      <c r="C1169" s="91">
        <v>126674991801</v>
      </c>
      <c r="D1169" s="3">
        <v>-142819.31</v>
      </c>
      <c r="E1169" s="3">
        <v>8331103.4000000004</v>
      </c>
      <c r="F1169" s="35" t="s">
        <v>2751</v>
      </c>
      <c r="G1169" s="4">
        <f t="shared" ref="G1169:G1191" si="159">+D1169/1.006</f>
        <v>-141967.50497017891</v>
      </c>
      <c r="H1169" s="4">
        <f t="shared" ref="H1169:H1191" si="160">+D1169-G1169</f>
        <v>-851.80502982108737</v>
      </c>
      <c r="I1169" s="27">
        <f>-IFERROR(VLOOKUP(C1169,SIRCUPA!$A$21:$H$155,8,0),0)</f>
        <v>0</v>
      </c>
      <c r="J1169" s="88">
        <f>-IFERROR(VLOOKUP(C1169,SIRTAC!$A$16:$H$1288,8,0),0)</f>
        <v>0</v>
      </c>
      <c r="K1169" s="88">
        <f>-IFERROR(VLOOKUP(C1169,Gastos!$A$9:$J$1281,10,0),0)</f>
        <v>0</v>
      </c>
      <c r="L1169" s="87">
        <f>+D1169-G1169</f>
        <v>-851.80502982108737</v>
      </c>
      <c r="M1169" s="121">
        <f t="shared" ref="M1169:M1170" si="161">+D1169-I1169-J1169-K1169-L1169</f>
        <v>-141967.50497017891</v>
      </c>
      <c r="Q1169" s="35">
        <f t="shared" ref="Q1169:Q1191" si="162">+L1169/0.006</f>
        <v>-141967.50497018124</v>
      </c>
      <c r="R1169" s="66">
        <f t="shared" ref="R1169:R1191" si="163">+M1169-Q1169</f>
        <v>2.3283064365386963E-9</v>
      </c>
    </row>
    <row r="1170" spans="1:18" s="59" customFormat="1" hidden="1">
      <c r="A1170" s="35" t="s">
        <v>1683</v>
      </c>
      <c r="B1170" s="35" t="s">
        <v>916</v>
      </c>
      <c r="C1170" s="91">
        <v>127934684742</v>
      </c>
      <c r="D1170" s="3">
        <v>-938188.06</v>
      </c>
      <c r="E1170" s="3">
        <v>12780398.560000001</v>
      </c>
      <c r="F1170" s="35" t="s">
        <v>2751</v>
      </c>
      <c r="G1170" s="4">
        <f t="shared" si="159"/>
        <v>-932592.50497017894</v>
      </c>
      <c r="H1170" s="4">
        <f t="shared" si="160"/>
        <v>-5595.5550298211165</v>
      </c>
      <c r="I1170" s="27">
        <f>-IFERROR(VLOOKUP(C1170,SIRCUPA!$A$21:$H$155,8,0),0)</f>
        <v>0</v>
      </c>
      <c r="J1170" s="88">
        <f>-IFERROR(VLOOKUP(C1170,SIRTAC!$A$16:$H$1288,8,0),0)</f>
        <v>0</v>
      </c>
      <c r="K1170" s="88">
        <f>-IFERROR(VLOOKUP(C1170,Gastos!$A$9:$J$1281,10,0),0)</f>
        <v>0</v>
      </c>
      <c r="L1170" s="87">
        <f>+D1170-G1170</f>
        <v>-5595.5550298211165</v>
      </c>
      <c r="M1170" s="121">
        <f t="shared" si="161"/>
        <v>-932592.50497017894</v>
      </c>
      <c r="N1170" s="4"/>
      <c r="O1170" s="35"/>
      <c r="Q1170" s="35">
        <f t="shared" si="162"/>
        <v>-932592.50497018604</v>
      </c>
      <c r="R1170" s="66">
        <f t="shared" si="163"/>
        <v>7.1013346314430237E-9</v>
      </c>
    </row>
    <row r="1171" spans="1:18" s="59" customFormat="1" hidden="1">
      <c r="A1171" s="59" t="s">
        <v>930</v>
      </c>
      <c r="B1171" s="59" t="s">
        <v>933</v>
      </c>
      <c r="C1171" s="112">
        <v>126403126956</v>
      </c>
      <c r="D1171" s="64">
        <v>-557501.44999999995</v>
      </c>
      <c r="E1171" s="3">
        <v>9680483.1199999992</v>
      </c>
      <c r="F1171" s="59" t="s">
        <v>2751</v>
      </c>
      <c r="G1171" s="65">
        <f t="shared" si="159"/>
        <v>-554176.39165009931</v>
      </c>
      <c r="H1171" s="65">
        <f t="shared" si="160"/>
        <v>-3325.0583499006461</v>
      </c>
      <c r="I1171" s="108">
        <f>-IFERROR(VLOOKUP(C1171,SIRCUPA!$A$21:$H$155,8,0),0)</f>
        <v>0</v>
      </c>
      <c r="J1171" s="108">
        <f>-IFERROR(VLOOKUP(C1171,SIRTAC!$A$16:$H$1288,8,0),0)</f>
        <v>0</v>
      </c>
      <c r="K1171" s="108">
        <f>-IFERROR(VLOOKUP(C1171,Gastos!$A$9:$J$1281,10,0),0)</f>
        <v>0</v>
      </c>
      <c r="L1171" s="65"/>
      <c r="M1171" s="123">
        <f>+D1171</f>
        <v>-557501.44999999995</v>
      </c>
      <c r="N1171" s="65"/>
      <c r="Q1171" s="3">
        <f>+D1171</f>
        <v>-557501.44999999995</v>
      </c>
      <c r="R1171" s="66">
        <f t="shared" si="163"/>
        <v>0</v>
      </c>
    </row>
    <row r="1172" spans="1:18" hidden="1">
      <c r="A1172" s="59" t="s">
        <v>65</v>
      </c>
      <c r="B1172" s="59" t="s">
        <v>83</v>
      </c>
      <c r="C1172" s="112">
        <v>124845509146</v>
      </c>
      <c r="D1172" s="64">
        <v>-220026.32</v>
      </c>
      <c r="E1172" s="3">
        <v>8228222.0599999996</v>
      </c>
      <c r="F1172" s="59" t="s">
        <v>2751</v>
      </c>
      <c r="G1172" s="65">
        <f t="shared" si="159"/>
        <v>-218714.03578528829</v>
      </c>
      <c r="H1172" s="65">
        <f t="shared" si="160"/>
        <v>-1312.284214711719</v>
      </c>
      <c r="I1172" s="108">
        <f>-IFERROR(VLOOKUP(C1172,SIRCUPA!$A$21:$H$155,8,0),0)</f>
        <v>0</v>
      </c>
      <c r="J1172" s="108">
        <f>-IFERROR(VLOOKUP(C1172,SIRTAC!$A$16:$H$1288,8,0),0)</f>
        <v>0</v>
      </c>
      <c r="K1172" s="108">
        <f>-IFERROR(VLOOKUP(C1172,Gastos!$A$9:$J$1281,10,0),0)</f>
        <v>0</v>
      </c>
      <c r="L1172" s="65"/>
      <c r="M1172" s="123">
        <f t="shared" ref="M1172:M1184" si="164">+D1172</f>
        <v>-220026.32</v>
      </c>
      <c r="N1172" s="65"/>
      <c r="O1172" s="59"/>
      <c r="Q1172" s="3">
        <f t="shared" ref="Q1172:Q1184" si="165">+D1172</f>
        <v>-220026.32</v>
      </c>
      <c r="R1172" s="66">
        <f t="shared" si="163"/>
        <v>0</v>
      </c>
    </row>
    <row r="1173" spans="1:18" hidden="1">
      <c r="A1173" s="59" t="s">
        <v>65</v>
      </c>
      <c r="B1173" s="59" t="s">
        <v>83</v>
      </c>
      <c r="C1173" s="112">
        <v>124856861194</v>
      </c>
      <c r="D1173" s="64">
        <v>-137020</v>
      </c>
      <c r="E1173" s="3">
        <v>8089881.9000000004</v>
      </c>
      <c r="F1173" s="59" t="s">
        <v>2751</v>
      </c>
      <c r="G1173" s="65">
        <f t="shared" si="159"/>
        <v>-136202.78330019882</v>
      </c>
      <c r="H1173" s="65">
        <f t="shared" si="160"/>
        <v>-817.21669980118168</v>
      </c>
      <c r="I1173" s="108">
        <f>-IFERROR(VLOOKUP(C1173,SIRCUPA!$A$21:$H$155,8,0),0)</f>
        <v>0</v>
      </c>
      <c r="J1173" s="108">
        <f>-IFERROR(VLOOKUP(C1173,SIRTAC!$A$16:$H$1288,8,0),0)</f>
        <v>0</v>
      </c>
      <c r="K1173" s="108">
        <f>-IFERROR(VLOOKUP(C1173,Gastos!$A$9:$J$1281,10,0),0)</f>
        <v>0</v>
      </c>
      <c r="L1173" s="65"/>
      <c r="M1173" s="123">
        <f t="shared" si="164"/>
        <v>-137020</v>
      </c>
      <c r="N1173" s="65"/>
      <c r="O1173" s="59"/>
      <c r="Q1173" s="3">
        <f t="shared" si="165"/>
        <v>-137020</v>
      </c>
      <c r="R1173" s="66">
        <f t="shared" si="163"/>
        <v>0</v>
      </c>
    </row>
    <row r="1174" spans="1:18" hidden="1">
      <c r="A1174" s="59" t="s">
        <v>529</v>
      </c>
      <c r="B1174" s="59" t="s">
        <v>83</v>
      </c>
      <c r="C1174" s="112">
        <v>125778419104</v>
      </c>
      <c r="D1174" s="64">
        <v>-188402.5</v>
      </c>
      <c r="E1174" s="3">
        <v>8200714.4800000004</v>
      </c>
      <c r="F1174" s="59" t="s">
        <v>2751</v>
      </c>
      <c r="G1174" s="65">
        <f t="shared" si="159"/>
        <v>-187278.82703777336</v>
      </c>
      <c r="H1174" s="65">
        <f t="shared" si="160"/>
        <v>-1123.672962226643</v>
      </c>
      <c r="I1174" s="108">
        <f>-IFERROR(VLOOKUP(C1174,SIRCUPA!$A$21:$H$155,8,0),0)</f>
        <v>0</v>
      </c>
      <c r="J1174" s="108">
        <f>-IFERROR(VLOOKUP(C1174,SIRTAC!$A$16:$H$1288,8,0),0)</f>
        <v>0</v>
      </c>
      <c r="K1174" s="108">
        <f>-IFERROR(VLOOKUP(C1174,Gastos!$A$9:$J$1281,10,0),0)</f>
        <v>0</v>
      </c>
      <c r="L1174" s="65"/>
      <c r="M1174" s="123">
        <f t="shared" si="164"/>
        <v>-188402.5</v>
      </c>
      <c r="N1174" s="65"/>
      <c r="O1174" s="59"/>
      <c r="Q1174" s="3">
        <f t="shared" si="165"/>
        <v>-188402.5</v>
      </c>
      <c r="R1174" s="66">
        <f t="shared" si="163"/>
        <v>0</v>
      </c>
    </row>
    <row r="1175" spans="1:18" s="59" customFormat="1" hidden="1">
      <c r="A1175" s="59" t="s">
        <v>529</v>
      </c>
      <c r="B1175" s="59" t="s">
        <v>83</v>
      </c>
      <c r="C1175" s="112">
        <v>125778500554</v>
      </c>
      <c r="D1175" s="64">
        <v>-239272.74</v>
      </c>
      <c r="E1175" s="3">
        <v>8390552.6199999992</v>
      </c>
      <c r="F1175" s="59" t="s">
        <v>2751</v>
      </c>
      <c r="G1175" s="65">
        <f t="shared" si="159"/>
        <v>-237845.66600397613</v>
      </c>
      <c r="H1175" s="65">
        <f t="shared" si="160"/>
        <v>-1427.073996023857</v>
      </c>
      <c r="I1175" s="108">
        <f>-IFERROR(VLOOKUP(C1175,SIRCUPA!$A$21:$H$155,8,0),0)</f>
        <v>0</v>
      </c>
      <c r="J1175" s="108">
        <f>-IFERROR(VLOOKUP(C1175,SIRTAC!$A$16:$H$1288,8,0),0)</f>
        <v>0</v>
      </c>
      <c r="K1175" s="108">
        <f>-IFERROR(VLOOKUP(C1175,Gastos!$A$9:$J$1281,10,0),0)</f>
        <v>0</v>
      </c>
      <c r="L1175" s="65"/>
      <c r="M1175" s="123">
        <f t="shared" si="164"/>
        <v>-239272.74</v>
      </c>
      <c r="N1175" s="65"/>
      <c r="Q1175" s="3">
        <f t="shared" si="165"/>
        <v>-239272.74</v>
      </c>
      <c r="R1175" s="66">
        <f t="shared" si="163"/>
        <v>0</v>
      </c>
    </row>
    <row r="1176" spans="1:18" s="59" customFormat="1" hidden="1">
      <c r="A1176" s="59" t="s">
        <v>1030</v>
      </c>
      <c r="B1176" s="59" t="s">
        <v>83</v>
      </c>
      <c r="C1176" s="112">
        <v>126237032063</v>
      </c>
      <c r="D1176" s="64">
        <v>-58278</v>
      </c>
      <c r="E1176" s="3">
        <v>8796823.9600000009</v>
      </c>
      <c r="F1176" s="59" t="s">
        <v>2751</v>
      </c>
      <c r="G1176" s="65">
        <f t="shared" si="159"/>
        <v>-57930.417495029818</v>
      </c>
      <c r="H1176" s="65">
        <f t="shared" si="160"/>
        <v>-347.58250497018162</v>
      </c>
      <c r="I1176" s="108">
        <f>-IFERROR(VLOOKUP(C1176,SIRCUPA!$A$21:$H$155,8,0),0)</f>
        <v>0</v>
      </c>
      <c r="J1176" s="108">
        <f>-IFERROR(VLOOKUP(C1176,SIRTAC!$A$16:$H$1288,8,0),0)</f>
        <v>0</v>
      </c>
      <c r="K1176" s="108">
        <f>-IFERROR(VLOOKUP(C1176,Gastos!$A$9:$J$1281,10,0),0)</f>
        <v>0</v>
      </c>
      <c r="L1176" s="65"/>
      <c r="M1176" s="123">
        <f t="shared" si="164"/>
        <v>-58278</v>
      </c>
      <c r="N1176" s="65"/>
      <c r="Q1176" s="3">
        <f t="shared" si="165"/>
        <v>-58278</v>
      </c>
      <c r="R1176" s="66">
        <f t="shared" si="163"/>
        <v>0</v>
      </c>
    </row>
    <row r="1177" spans="1:18" s="59" customFormat="1" hidden="1">
      <c r="A1177" s="59" t="s">
        <v>1030</v>
      </c>
      <c r="B1177" s="59" t="s">
        <v>83</v>
      </c>
      <c r="C1177" s="112">
        <v>126238042751</v>
      </c>
      <c r="D1177" s="64">
        <v>-197879.97</v>
      </c>
      <c r="E1177" s="3">
        <v>8598594.3200000003</v>
      </c>
      <c r="F1177" s="59" t="s">
        <v>2751</v>
      </c>
      <c r="G1177" s="65">
        <f t="shared" si="159"/>
        <v>-196699.77137176937</v>
      </c>
      <c r="H1177" s="65">
        <f t="shared" si="160"/>
        <v>-1180.1986282306316</v>
      </c>
      <c r="I1177" s="108">
        <f>-IFERROR(VLOOKUP(C1177,SIRCUPA!$A$21:$H$155,8,0),0)</f>
        <v>0</v>
      </c>
      <c r="J1177" s="108">
        <f>-IFERROR(VLOOKUP(C1177,SIRTAC!$A$16:$H$1288,8,0),0)</f>
        <v>0</v>
      </c>
      <c r="K1177" s="108">
        <f>-IFERROR(VLOOKUP(C1177,Gastos!$A$9:$J$1281,10,0),0)</f>
        <v>0</v>
      </c>
      <c r="L1177" s="65"/>
      <c r="M1177" s="123">
        <f t="shared" si="164"/>
        <v>-197879.97</v>
      </c>
      <c r="N1177" s="65"/>
      <c r="Q1177" s="3">
        <f t="shared" si="165"/>
        <v>-197879.97</v>
      </c>
      <c r="R1177" s="66">
        <f t="shared" si="163"/>
        <v>0</v>
      </c>
    </row>
    <row r="1178" spans="1:18" s="59" customFormat="1" hidden="1">
      <c r="A1178" s="59" t="s">
        <v>1030</v>
      </c>
      <c r="B1178" s="59" t="s">
        <v>83</v>
      </c>
      <c r="C1178" s="112">
        <v>126793578000</v>
      </c>
      <c r="D1178" s="64">
        <v>-158284.69</v>
      </c>
      <c r="E1178" s="3">
        <v>8856051.6699999999</v>
      </c>
      <c r="F1178" s="59" t="s">
        <v>2751</v>
      </c>
      <c r="G1178" s="65">
        <f t="shared" si="159"/>
        <v>-157340.64612326043</v>
      </c>
      <c r="H1178" s="65">
        <f t="shared" si="160"/>
        <v>-944.04387673956808</v>
      </c>
      <c r="I1178" s="108">
        <f>-IFERROR(VLOOKUP(C1178,SIRCUPA!$A$21:$H$155,8,0),0)</f>
        <v>0</v>
      </c>
      <c r="J1178" s="108">
        <f>-IFERROR(VLOOKUP(C1178,SIRTAC!$A$16:$H$1288,8,0),0)</f>
        <v>0</v>
      </c>
      <c r="K1178" s="108">
        <f>-IFERROR(VLOOKUP(C1178,Gastos!$A$9:$J$1281,10,0),0)</f>
        <v>0</v>
      </c>
      <c r="L1178" s="65"/>
      <c r="M1178" s="123">
        <f t="shared" si="164"/>
        <v>-158284.69</v>
      </c>
      <c r="N1178" s="65"/>
      <c r="Q1178" s="3">
        <f t="shared" si="165"/>
        <v>-158284.69</v>
      </c>
      <c r="R1178" s="66">
        <f t="shared" si="163"/>
        <v>0</v>
      </c>
    </row>
    <row r="1179" spans="1:18" hidden="1">
      <c r="A1179" s="59" t="s">
        <v>1481</v>
      </c>
      <c r="B1179" s="59" t="s">
        <v>83</v>
      </c>
      <c r="C1179" s="112">
        <v>127161961407</v>
      </c>
      <c r="D1179" s="64">
        <v>-64624.39</v>
      </c>
      <c r="E1179" s="3">
        <v>10077584.58</v>
      </c>
      <c r="F1179" s="59" t="s">
        <v>2751</v>
      </c>
      <c r="G1179" s="65">
        <f t="shared" si="159"/>
        <v>-64238.956262425447</v>
      </c>
      <c r="H1179" s="65">
        <f t="shared" si="160"/>
        <v>-385.43373757455265</v>
      </c>
      <c r="I1179" s="108">
        <f>-IFERROR(VLOOKUP(C1179,SIRCUPA!$A$21:$H$155,8,0),0)</f>
        <v>0</v>
      </c>
      <c r="J1179" s="108">
        <f>-IFERROR(VLOOKUP(C1179,SIRTAC!$A$16:$H$1288,8,0),0)</f>
        <v>0</v>
      </c>
      <c r="K1179" s="108">
        <f>-IFERROR(VLOOKUP(C1179,Gastos!$A$9:$J$1281,10,0),0)</f>
        <v>0</v>
      </c>
      <c r="L1179" s="65"/>
      <c r="M1179" s="123">
        <f t="shared" si="164"/>
        <v>-64624.39</v>
      </c>
      <c r="N1179" s="65"/>
      <c r="O1179" s="59"/>
      <c r="Q1179" s="3">
        <f t="shared" si="165"/>
        <v>-64624.39</v>
      </c>
      <c r="R1179" s="66">
        <f t="shared" si="163"/>
        <v>0</v>
      </c>
    </row>
    <row r="1180" spans="1:18" hidden="1">
      <c r="A1180" s="59" t="s">
        <v>1481</v>
      </c>
      <c r="B1180" s="59" t="s">
        <v>83</v>
      </c>
      <c r="C1180" s="112">
        <v>127162354947</v>
      </c>
      <c r="D1180" s="64">
        <v>-206059.47</v>
      </c>
      <c r="E1180" s="3">
        <v>9871137.3599999994</v>
      </c>
      <c r="F1180" s="59" t="s">
        <v>2751</v>
      </c>
      <c r="G1180" s="65">
        <f t="shared" si="159"/>
        <v>-204830.48707753478</v>
      </c>
      <c r="H1180" s="65">
        <f t="shared" si="160"/>
        <v>-1228.9829224652203</v>
      </c>
      <c r="I1180" s="108">
        <f>-IFERROR(VLOOKUP(C1180,SIRCUPA!$A$21:$H$155,8,0),0)</f>
        <v>0</v>
      </c>
      <c r="J1180" s="108">
        <f>-IFERROR(VLOOKUP(C1180,SIRTAC!$A$16:$H$1288,8,0),0)</f>
        <v>0</v>
      </c>
      <c r="K1180" s="108">
        <f>-IFERROR(VLOOKUP(C1180,Gastos!$A$9:$J$1281,10,0),0)</f>
        <v>0</v>
      </c>
      <c r="L1180" s="65"/>
      <c r="M1180" s="123">
        <f t="shared" si="164"/>
        <v>-206059.47</v>
      </c>
      <c r="N1180" s="65"/>
      <c r="O1180" s="59"/>
      <c r="Q1180" s="3">
        <f t="shared" si="165"/>
        <v>-206059.47</v>
      </c>
      <c r="R1180" s="66">
        <f t="shared" si="163"/>
        <v>0</v>
      </c>
    </row>
    <row r="1181" spans="1:18" s="59" customFormat="1" hidden="1">
      <c r="A1181" s="59" t="s">
        <v>1481</v>
      </c>
      <c r="B1181" s="59" t="s">
        <v>83</v>
      </c>
      <c r="C1181" s="112">
        <v>127163022479</v>
      </c>
      <c r="D1181" s="64">
        <v>-36365.769999999997</v>
      </c>
      <c r="E1181" s="3">
        <v>9833535.2300000004</v>
      </c>
      <c r="F1181" s="59" t="s">
        <v>2751</v>
      </c>
      <c r="G1181" s="65">
        <f t="shared" si="159"/>
        <v>-36148.87673956262</v>
      </c>
      <c r="H1181" s="65">
        <f t="shared" si="160"/>
        <v>-216.89326043737674</v>
      </c>
      <c r="I1181" s="108">
        <f>-IFERROR(VLOOKUP(C1181,SIRCUPA!$A$21:$H$155,8,0),0)</f>
        <v>0</v>
      </c>
      <c r="J1181" s="108">
        <f>-IFERROR(VLOOKUP(C1181,SIRTAC!$A$16:$H$1288,8,0),0)</f>
        <v>0</v>
      </c>
      <c r="K1181" s="108">
        <f>-IFERROR(VLOOKUP(C1181,Gastos!$A$9:$J$1281,10,0),0)</f>
        <v>0</v>
      </c>
      <c r="L1181" s="65"/>
      <c r="M1181" s="123">
        <f t="shared" si="164"/>
        <v>-36365.769999999997</v>
      </c>
      <c r="N1181" s="65"/>
      <c r="Q1181" s="3">
        <f t="shared" si="165"/>
        <v>-36365.769999999997</v>
      </c>
      <c r="R1181" s="66">
        <f t="shared" si="163"/>
        <v>0</v>
      </c>
    </row>
    <row r="1182" spans="1:18" s="59" customFormat="1" hidden="1">
      <c r="A1182" s="59" t="s">
        <v>1481</v>
      </c>
      <c r="B1182" s="59" t="s">
        <v>83</v>
      </c>
      <c r="C1182" s="112">
        <v>127724094526</v>
      </c>
      <c r="D1182" s="64">
        <v>-188107.92</v>
      </c>
      <c r="E1182" s="3">
        <v>10143337.619999999</v>
      </c>
      <c r="F1182" s="59" t="s">
        <v>2751</v>
      </c>
      <c r="G1182" s="65">
        <f t="shared" si="159"/>
        <v>-186986.00397614314</v>
      </c>
      <c r="H1182" s="65">
        <f t="shared" si="160"/>
        <v>-1121.9160238568729</v>
      </c>
      <c r="I1182" s="108">
        <f>-IFERROR(VLOOKUP(C1182,SIRCUPA!$A$21:$H$155,8,0),0)</f>
        <v>0</v>
      </c>
      <c r="J1182" s="108">
        <f>-IFERROR(VLOOKUP(C1182,SIRTAC!$A$16:$H$1288,8,0),0)</f>
        <v>0</v>
      </c>
      <c r="K1182" s="108">
        <f>-IFERROR(VLOOKUP(C1182,Gastos!$A$9:$J$1281,10,0),0)</f>
        <v>0</v>
      </c>
      <c r="L1182" s="65"/>
      <c r="M1182" s="123">
        <f t="shared" si="164"/>
        <v>-188107.92</v>
      </c>
      <c r="N1182" s="65"/>
      <c r="Q1182" s="3">
        <f t="shared" si="165"/>
        <v>-188107.92</v>
      </c>
      <c r="R1182" s="66">
        <f t="shared" si="163"/>
        <v>0</v>
      </c>
    </row>
    <row r="1183" spans="1:18" hidden="1">
      <c r="A1183" s="59" t="s">
        <v>35</v>
      </c>
      <c r="B1183" s="59" t="s">
        <v>40</v>
      </c>
      <c r="C1183" s="112">
        <v>124031772669</v>
      </c>
      <c r="D1183" s="64">
        <v>-785165</v>
      </c>
      <c r="E1183" s="3">
        <v>9847411.2300000004</v>
      </c>
      <c r="F1183" s="59" t="s">
        <v>2751</v>
      </c>
      <c r="G1183" s="65">
        <f t="shared" si="159"/>
        <v>-780482.10735586483</v>
      </c>
      <c r="H1183" s="65">
        <f t="shared" si="160"/>
        <v>-4682.892644135165</v>
      </c>
      <c r="I1183" s="108">
        <f>-IFERROR(VLOOKUP(C1183,SIRCUPA!$A$21:$H$155,8,0),0)</f>
        <v>0</v>
      </c>
      <c r="J1183" s="108">
        <f>-IFERROR(VLOOKUP(C1183,SIRTAC!$A$16:$H$1288,8,0),0)</f>
        <v>0</v>
      </c>
      <c r="K1183" s="108">
        <f>-IFERROR(VLOOKUP(C1183,Gastos!$A$9:$J$1281,10,0),0)</f>
        <v>0</v>
      </c>
      <c r="L1183" s="65"/>
      <c r="M1183" s="123">
        <f t="shared" si="164"/>
        <v>-785165</v>
      </c>
      <c r="N1183" s="65"/>
      <c r="O1183" s="59"/>
      <c r="Q1183" s="3">
        <f t="shared" si="165"/>
        <v>-785165</v>
      </c>
      <c r="R1183" s="66">
        <f t="shared" si="163"/>
        <v>0</v>
      </c>
    </row>
    <row r="1184" spans="1:18" s="59" customFormat="1" hidden="1">
      <c r="A1184" s="59" t="s">
        <v>712</v>
      </c>
      <c r="B1184" s="59" t="s">
        <v>40</v>
      </c>
      <c r="C1184" s="112">
        <v>125494013461</v>
      </c>
      <c r="D1184" s="64">
        <v>-644900</v>
      </c>
      <c r="E1184" s="3">
        <v>10889939.09</v>
      </c>
      <c r="F1184" s="59" t="s">
        <v>2751</v>
      </c>
      <c r="G1184" s="65">
        <f t="shared" si="159"/>
        <v>-641053.67793240561</v>
      </c>
      <c r="H1184" s="65">
        <f t="shared" si="160"/>
        <v>-3846.3220675943885</v>
      </c>
      <c r="I1184" s="108">
        <f>-IFERROR(VLOOKUP(C1184,SIRCUPA!$A$21:$H$155,8,0),0)</f>
        <v>0</v>
      </c>
      <c r="J1184" s="108">
        <f>-IFERROR(VLOOKUP(C1184,SIRTAC!$A$16:$H$1288,8,0),0)</f>
        <v>0</v>
      </c>
      <c r="K1184" s="108">
        <f>-IFERROR(VLOOKUP(C1184,Gastos!$A$9:$J$1281,10,0),0)</f>
        <v>0</v>
      </c>
      <c r="L1184" s="65"/>
      <c r="M1184" s="123">
        <f t="shared" si="164"/>
        <v>-644900</v>
      </c>
      <c r="N1184" s="65"/>
      <c r="Q1184" s="3">
        <f t="shared" si="165"/>
        <v>-644900</v>
      </c>
      <c r="R1184" s="66">
        <f t="shared" si="163"/>
        <v>0</v>
      </c>
    </row>
    <row r="1185" spans="1:18" s="59" customFormat="1" hidden="1">
      <c r="A1185" s="35" t="s">
        <v>1282</v>
      </c>
      <c r="B1185" s="35" t="s">
        <v>1283</v>
      </c>
      <c r="C1185" s="91">
        <v>126554909927</v>
      </c>
      <c r="D1185" s="3">
        <v>-9808.51</v>
      </c>
      <c r="E1185" s="3">
        <v>11839894.99</v>
      </c>
      <c r="F1185" s="35" t="s">
        <v>2751</v>
      </c>
      <c r="G1185" s="4">
        <f t="shared" si="159"/>
        <v>-9750.0099403578533</v>
      </c>
      <c r="H1185" s="4">
        <f t="shared" si="160"/>
        <v>-58.50005964214688</v>
      </c>
      <c r="I1185" s="27">
        <f>-IFERROR(VLOOKUP(C1185,SIRCUPA!$A$21:$H$155,8,0),0)</f>
        <v>0</v>
      </c>
      <c r="J1185" s="88">
        <f>-IFERROR(VLOOKUP(C1185,SIRTAC!$A$16:$H$1288,8,0),0)</f>
        <v>0</v>
      </c>
      <c r="K1185" s="88">
        <f>-IFERROR(VLOOKUP(C1185,Gastos!$A$9:$J$1281,10,0),0)</f>
        <v>0</v>
      </c>
      <c r="L1185" s="87">
        <f>+D1185-G1185</f>
        <v>-58.50005964214688</v>
      </c>
      <c r="M1185" s="121">
        <f t="shared" ref="M1185:M1187" si="166">+D1185-I1185-J1185-K1185-L1185</f>
        <v>-9750.0099403578533</v>
      </c>
      <c r="N1185" s="4"/>
      <c r="O1185" s="35"/>
      <c r="Q1185" s="35">
        <f t="shared" si="162"/>
        <v>-9750.0099403578133</v>
      </c>
      <c r="R1185" s="66">
        <f t="shared" si="163"/>
        <v>-4.0017766878008842E-11</v>
      </c>
    </row>
    <row r="1186" spans="1:18" hidden="1">
      <c r="A1186" s="1" t="s">
        <v>1282</v>
      </c>
      <c r="B1186" s="35" t="s">
        <v>1283</v>
      </c>
      <c r="C1186" s="91">
        <v>126555295449</v>
      </c>
      <c r="D1186" s="3">
        <v>-25753.61</v>
      </c>
      <c r="E1186" s="3">
        <v>11739797.960000001</v>
      </c>
      <c r="F1186" s="35" t="s">
        <v>2751</v>
      </c>
      <c r="G1186" s="4">
        <f t="shared" si="159"/>
        <v>-25600.009940357853</v>
      </c>
      <c r="H1186" s="4">
        <f t="shared" si="160"/>
        <v>-153.60005964214724</v>
      </c>
      <c r="I1186" s="27">
        <f>-IFERROR(VLOOKUP(C1186,SIRCUPA!$A$21:$H$155,8,0),0)</f>
        <v>0</v>
      </c>
      <c r="J1186" s="88">
        <f>-IFERROR(VLOOKUP(C1186,SIRTAC!$A$16:$H$1288,8,0),0)</f>
        <v>0</v>
      </c>
      <c r="K1186" s="88">
        <f>-IFERROR(VLOOKUP(C1186,Gastos!$A$9:$J$1281,10,0),0)</f>
        <v>0</v>
      </c>
      <c r="L1186" s="87">
        <f>+D1186-G1186</f>
        <v>-153.60005964214724</v>
      </c>
      <c r="M1186" s="121">
        <f t="shared" si="166"/>
        <v>-25600.009940357853</v>
      </c>
      <c r="Q1186" s="35">
        <f t="shared" si="162"/>
        <v>-25600.009940357875</v>
      </c>
      <c r="R1186" s="66">
        <f t="shared" si="163"/>
        <v>0</v>
      </c>
    </row>
    <row r="1187" spans="1:18" hidden="1">
      <c r="A1187" s="1" t="s">
        <v>1282</v>
      </c>
      <c r="B1187" s="1" t="s">
        <v>1283</v>
      </c>
      <c r="C1187" s="91">
        <v>127113049188</v>
      </c>
      <c r="D1187" s="3">
        <v>-74343.42</v>
      </c>
      <c r="E1187" s="3">
        <v>11765551.57</v>
      </c>
      <c r="F1187" s="35" t="s">
        <v>2751</v>
      </c>
      <c r="G1187" s="4">
        <f t="shared" si="159"/>
        <v>-73900.019880715699</v>
      </c>
      <c r="H1187" s="4">
        <f t="shared" si="160"/>
        <v>-443.40011928429885</v>
      </c>
      <c r="I1187" s="27">
        <f>-IFERROR(VLOOKUP(C1187,SIRCUPA!$A$21:$H$155,8,0),0)</f>
        <v>0</v>
      </c>
      <c r="J1187" s="88">
        <f>-IFERROR(VLOOKUP(C1187,SIRTAC!$A$16:$H$1288,8,0),0)</f>
        <v>0</v>
      </c>
      <c r="K1187" s="88">
        <f>-IFERROR(VLOOKUP(C1187,Gastos!$A$9:$J$1281,10,0),0)</f>
        <v>0</v>
      </c>
      <c r="L1187" s="87">
        <f>+D1187-G1187</f>
        <v>-443.40011928429885</v>
      </c>
      <c r="M1187" s="121">
        <f t="shared" si="166"/>
        <v>-73900.019880715699</v>
      </c>
      <c r="O1187" s="35"/>
      <c r="Q1187" s="35">
        <f t="shared" si="162"/>
        <v>-73900.019880716471</v>
      </c>
      <c r="R1187" s="66">
        <f t="shared" si="163"/>
        <v>7.7125150710344315E-10</v>
      </c>
    </row>
    <row r="1188" spans="1:18" s="59" customFormat="1" hidden="1">
      <c r="A1188" s="59" t="s">
        <v>65</v>
      </c>
      <c r="B1188" s="59" t="s">
        <v>79</v>
      </c>
      <c r="C1188" s="112">
        <v>124293086141</v>
      </c>
      <c r="D1188" s="64">
        <v>-1226240</v>
      </c>
      <c r="E1188" s="3">
        <v>8477335.4100000001</v>
      </c>
      <c r="F1188" s="59" t="s">
        <v>2751</v>
      </c>
      <c r="G1188" s="65">
        <f t="shared" si="159"/>
        <v>-1218926.4413518887</v>
      </c>
      <c r="H1188" s="65">
        <f t="shared" si="160"/>
        <v>-7313.5586481112987</v>
      </c>
      <c r="I1188" s="108">
        <f>-IFERROR(VLOOKUP(C1188,SIRCUPA!$A$21:$H$155,8,0),0)</f>
        <v>0</v>
      </c>
      <c r="J1188" s="108">
        <f>-IFERROR(VLOOKUP(C1188,SIRTAC!$A$16:$H$1288,8,0),0)</f>
        <v>0</v>
      </c>
      <c r="K1188" s="108">
        <f>-IFERROR(VLOOKUP(C1188,Gastos!$A$9:$J$1281,10,0),0)</f>
        <v>0</v>
      </c>
      <c r="L1188" s="65"/>
      <c r="M1188" s="123">
        <f>+D1188</f>
        <v>-1226240</v>
      </c>
      <c r="N1188" s="65"/>
      <c r="Q1188" s="3">
        <f>+D1188</f>
        <v>-1226240</v>
      </c>
      <c r="R1188" s="66">
        <f t="shared" si="163"/>
        <v>0</v>
      </c>
    </row>
    <row r="1189" spans="1:18" s="59" customFormat="1" hidden="1">
      <c r="A1189" s="59" t="s">
        <v>930</v>
      </c>
      <c r="B1189" s="59" t="s">
        <v>79</v>
      </c>
      <c r="C1189" s="112">
        <v>125859839609</v>
      </c>
      <c r="D1189" s="64">
        <v>-281880</v>
      </c>
      <c r="E1189" s="3">
        <v>9395258.1099999994</v>
      </c>
      <c r="F1189" s="59" t="s">
        <v>2751</v>
      </c>
      <c r="G1189" s="65">
        <f t="shared" si="159"/>
        <v>-280198.80715705763</v>
      </c>
      <c r="H1189" s="65">
        <f t="shared" si="160"/>
        <v>-1681.1928429423715</v>
      </c>
      <c r="I1189" s="108">
        <f>-IFERROR(VLOOKUP(C1189,SIRCUPA!$A$21:$H$155,8,0),0)</f>
        <v>0</v>
      </c>
      <c r="J1189" s="108">
        <f>-IFERROR(VLOOKUP(C1189,SIRTAC!$A$16:$H$1288,8,0),0)</f>
        <v>0</v>
      </c>
      <c r="K1189" s="108">
        <f>-IFERROR(VLOOKUP(C1189,Gastos!$A$9:$J$1281,10,0),0)</f>
        <v>0</v>
      </c>
      <c r="L1189" s="65"/>
      <c r="M1189" s="123">
        <f t="shared" ref="M1189:M1190" si="167">+D1189</f>
        <v>-281880</v>
      </c>
      <c r="N1189" s="65"/>
      <c r="Q1189" s="3">
        <f t="shared" ref="Q1189:Q1190" si="168">+D1189</f>
        <v>-281880</v>
      </c>
      <c r="R1189" s="66">
        <f t="shared" si="163"/>
        <v>0</v>
      </c>
    </row>
    <row r="1190" spans="1:18" hidden="1">
      <c r="A1190" s="59" t="s">
        <v>1382</v>
      </c>
      <c r="B1190" s="59" t="s">
        <v>79</v>
      </c>
      <c r="C1190" s="112">
        <v>127610741100</v>
      </c>
      <c r="D1190" s="64">
        <v>-1267900</v>
      </c>
      <c r="E1190" s="3">
        <v>8245027.79</v>
      </c>
      <c r="F1190" s="59" t="s">
        <v>2751</v>
      </c>
      <c r="G1190" s="65">
        <f t="shared" si="159"/>
        <v>-1260337.9721669981</v>
      </c>
      <c r="H1190" s="65">
        <f t="shared" si="160"/>
        <v>-7562.027833001921</v>
      </c>
      <c r="I1190" s="108">
        <f>-IFERROR(VLOOKUP(C1190,SIRCUPA!$A$21:$H$155,8,0),0)</f>
        <v>0</v>
      </c>
      <c r="J1190" s="108">
        <f>-IFERROR(VLOOKUP(C1190,SIRTAC!$A$16:$H$1288,8,0),0)</f>
        <v>0</v>
      </c>
      <c r="K1190" s="108">
        <f>-IFERROR(VLOOKUP(C1190,Gastos!$A$9:$J$1281,10,0),0)</f>
        <v>0</v>
      </c>
      <c r="L1190" s="65"/>
      <c r="M1190" s="123">
        <f t="shared" si="167"/>
        <v>-1267900</v>
      </c>
      <c r="N1190" s="65"/>
      <c r="O1190" s="59"/>
      <c r="Q1190" s="3">
        <f t="shared" si="168"/>
        <v>-1267900</v>
      </c>
      <c r="R1190" s="66">
        <f t="shared" si="163"/>
        <v>0</v>
      </c>
    </row>
    <row r="1191" spans="1:18" hidden="1">
      <c r="A1191" s="35" t="s">
        <v>45</v>
      </c>
      <c r="B1191" s="35" t="s">
        <v>47</v>
      </c>
      <c r="C1191" s="91">
        <v>124169559701</v>
      </c>
      <c r="D1191" s="3">
        <v>-155261.01</v>
      </c>
      <c r="E1191" s="3">
        <v>9277359.2400000002</v>
      </c>
      <c r="F1191" s="35" t="s">
        <v>2751</v>
      </c>
      <c r="G1191" s="4">
        <f t="shared" si="159"/>
        <v>-154335</v>
      </c>
      <c r="H1191" s="4">
        <f t="shared" si="160"/>
        <v>-926.01000000000931</v>
      </c>
      <c r="I1191" s="27">
        <f>-IFERROR(VLOOKUP(C1191,SIRCUPA!$A$21:$H$155,8,0),0)</f>
        <v>0</v>
      </c>
      <c r="J1191" s="88">
        <f>-IFERROR(VLOOKUP(C1191,SIRTAC!$A$16:$H$1288,8,0),0)</f>
        <v>0</v>
      </c>
      <c r="K1191" s="88">
        <f>-IFERROR(VLOOKUP(C1191,Gastos!$A$9:$J$1281,10,0),0)</f>
        <v>0</v>
      </c>
      <c r="L1191" s="87">
        <f>+D1191-G1191</f>
        <v>-926.01000000000931</v>
      </c>
      <c r="M1191" s="121">
        <f t="shared" ref="M1191" si="169">+D1191-I1191-J1191-K1191-L1191</f>
        <v>-154335</v>
      </c>
      <c r="O1191" s="35"/>
      <c r="Q1191" s="35">
        <f t="shared" si="162"/>
        <v>-154335.00000000154</v>
      </c>
      <c r="R1191" s="66">
        <f t="shared" si="163"/>
        <v>1.5425030142068863E-9</v>
      </c>
    </row>
    <row r="1192" spans="1:18" hidden="1">
      <c r="A1192" s="1" t="s">
        <v>1303</v>
      </c>
      <c r="B1192" s="1" t="s">
        <v>15</v>
      </c>
      <c r="C1192" s="91">
        <v>126870127477</v>
      </c>
      <c r="D1192" s="3">
        <v>9158.42</v>
      </c>
      <c r="E1192" s="3">
        <v>7575962.4800000004</v>
      </c>
      <c r="F1192" s="35" t="s">
        <v>2750</v>
      </c>
      <c r="G1192"/>
      <c r="H1192"/>
      <c r="I1192" s="27">
        <f>-IFERROR(VLOOKUP(C1192,SIRCUPA!$A$21:$H$155,8,0),0)</f>
        <v>0</v>
      </c>
      <c r="J1192" s="88">
        <f>-IFERROR(VLOOKUP(C1192,SIRTAC!$A$16:$H$1288,8,0),0)</f>
        <v>-94</v>
      </c>
      <c r="K1192" s="88">
        <f>-IFERROR(VLOOKUP(C1192,Gastos!$A$9:$J$1281,10,0),0)</f>
        <v>-91.18</v>
      </c>
      <c r="L1192" s="87">
        <f>-IFERROR(VLOOKUP(C1192,IDC!$A$25:$H$1532,8,0),0)</f>
        <v>-56.4</v>
      </c>
      <c r="M1192" s="122">
        <f t="shared" ref="M1192:M1204" si="170">+D1192-I1192-J1192-K1192-L1192</f>
        <v>9400</v>
      </c>
      <c r="N1192"/>
      <c r="P1192" s="35">
        <f t="shared" ref="P1192:P1204" si="171">+L1192/0.006</f>
        <v>-9400</v>
      </c>
      <c r="Q1192" s="66">
        <f t="shared" ref="Q1192:Q1204" si="172">+M1192+P1192</f>
        <v>0</v>
      </c>
    </row>
    <row r="1193" spans="1:18" hidden="1">
      <c r="A1193" s="1" t="s">
        <v>1303</v>
      </c>
      <c r="B1193" s="1" t="s">
        <v>15</v>
      </c>
      <c r="C1193" s="91">
        <v>126870455355</v>
      </c>
      <c r="D1193" s="3">
        <v>7989.26</v>
      </c>
      <c r="E1193" s="3">
        <v>7583951.7400000002</v>
      </c>
      <c r="F1193" s="35" t="s">
        <v>2750</v>
      </c>
      <c r="G1193"/>
      <c r="H1193"/>
      <c r="I1193" s="27">
        <f>-IFERROR(VLOOKUP(C1193,SIRCUPA!$A$21:$H$155,8,0),0)</f>
        <v>0</v>
      </c>
      <c r="J1193" s="88">
        <f>-IFERROR(VLOOKUP(C1193,SIRTAC!$A$16:$H$1288,8,0),0)</f>
        <v>-82</v>
      </c>
      <c r="K1193" s="88">
        <f>-IFERROR(VLOOKUP(C1193,Gastos!$A$9:$J$1281,10,0),0)</f>
        <v>-79.540000000000006</v>
      </c>
      <c r="L1193" s="87">
        <f>-IFERROR(VLOOKUP(C1193,IDC!$A$25:$H$1532,8,0),0)</f>
        <v>-49.2</v>
      </c>
      <c r="M1193" s="122">
        <f t="shared" si="170"/>
        <v>8200</v>
      </c>
      <c r="N1193"/>
      <c r="P1193" s="35">
        <f t="shared" si="171"/>
        <v>-8200</v>
      </c>
      <c r="Q1193" s="66">
        <f t="shared" si="172"/>
        <v>0</v>
      </c>
    </row>
    <row r="1194" spans="1:18" hidden="1">
      <c r="A1194" s="1" t="s">
        <v>1303</v>
      </c>
      <c r="B1194" s="1" t="s">
        <v>15</v>
      </c>
      <c r="C1194" s="91">
        <v>126876188659</v>
      </c>
      <c r="D1194" s="3">
        <v>9645.57</v>
      </c>
      <c r="E1194" s="3">
        <v>7593597.3099999996</v>
      </c>
      <c r="F1194" s="35" t="s">
        <v>2750</v>
      </c>
      <c r="G1194"/>
      <c r="H1194"/>
      <c r="I1194" s="27">
        <f>-IFERROR(VLOOKUP(C1194,SIRCUPA!$A$21:$H$155,8,0),0)</f>
        <v>0</v>
      </c>
      <c r="J1194" s="88">
        <f>-IFERROR(VLOOKUP(C1194,SIRTAC!$A$16:$H$1288,8,0),0)</f>
        <v>-99</v>
      </c>
      <c r="K1194" s="88">
        <f>-IFERROR(VLOOKUP(C1194,Gastos!$A$9:$J$1281,10,0),0)</f>
        <v>-96.03</v>
      </c>
      <c r="L1194" s="87">
        <f>-IFERROR(VLOOKUP(C1194,IDC!$A$25:$H$1532,8,0),0)</f>
        <v>-59.4</v>
      </c>
      <c r="M1194" s="122">
        <f t="shared" si="170"/>
        <v>9900</v>
      </c>
      <c r="N1194"/>
      <c r="P1194" s="35">
        <f t="shared" si="171"/>
        <v>-9900</v>
      </c>
      <c r="Q1194" s="66">
        <f t="shared" si="172"/>
        <v>0</v>
      </c>
    </row>
    <row r="1195" spans="1:18" hidden="1">
      <c r="A1195" s="1" t="s">
        <v>1303</v>
      </c>
      <c r="B1195" s="1" t="s">
        <v>15</v>
      </c>
      <c r="C1195" s="91">
        <v>126879032923</v>
      </c>
      <c r="D1195" s="3">
        <v>17050.25</v>
      </c>
      <c r="E1195" s="3">
        <v>7610647.5599999996</v>
      </c>
      <c r="F1195" s="35" t="s">
        <v>2750</v>
      </c>
      <c r="G1195"/>
      <c r="H1195"/>
      <c r="I1195" s="27">
        <f>-IFERROR(VLOOKUP(C1195,SIRCUPA!$A$21:$H$155,8,0),0)</f>
        <v>0</v>
      </c>
      <c r="J1195" s="88">
        <f>-IFERROR(VLOOKUP(C1195,SIRTAC!$A$16:$H$1288,8,0),0)</f>
        <v>-175</v>
      </c>
      <c r="K1195" s="88">
        <f>-IFERROR(VLOOKUP(C1195,Gastos!$A$9:$J$1281,10,0),0)</f>
        <v>-169.75</v>
      </c>
      <c r="L1195" s="87">
        <f>-IFERROR(VLOOKUP(C1195,IDC!$A$25:$H$1532,8,0),0)</f>
        <v>-105</v>
      </c>
      <c r="M1195" s="122">
        <f t="shared" si="170"/>
        <v>17500</v>
      </c>
      <c r="N1195"/>
      <c r="P1195" s="35">
        <f t="shared" si="171"/>
        <v>-17500</v>
      </c>
      <c r="Q1195" s="66">
        <f t="shared" si="172"/>
        <v>0</v>
      </c>
    </row>
    <row r="1196" spans="1:18" hidden="1">
      <c r="A1196" s="1" t="s">
        <v>1303</v>
      </c>
      <c r="B1196" s="1" t="s">
        <v>15</v>
      </c>
      <c r="C1196" s="91">
        <v>126879534625</v>
      </c>
      <c r="D1196" s="3">
        <v>37260.54</v>
      </c>
      <c r="E1196" s="3">
        <v>7647908.0999999996</v>
      </c>
      <c r="F1196" s="35" t="s">
        <v>2750</v>
      </c>
      <c r="G1196"/>
      <c r="H1196"/>
      <c r="I1196" s="27">
        <f>-IFERROR(VLOOKUP(C1196,SIRCUPA!$A$21:$H$155,8,0),0)</f>
        <v>0</v>
      </c>
      <c r="J1196" s="88">
        <f>-IFERROR(VLOOKUP(C1196,SIRTAC!$A$16:$H$1288,8,0),0)</f>
        <v>-396.98</v>
      </c>
      <c r="K1196" s="88">
        <f>-IFERROR(VLOOKUP(C1196,Gastos!$A$9:$J$1281,10,0),0)</f>
        <v>-1802.29</v>
      </c>
      <c r="L1196" s="87">
        <f>-IFERROR(VLOOKUP(C1196,IDC!$A$25:$H$1532,8,0),0)</f>
        <v>-238.19</v>
      </c>
      <c r="M1196" s="122">
        <f t="shared" si="170"/>
        <v>39698.000000000007</v>
      </c>
      <c r="N1196"/>
      <c r="P1196" s="35">
        <f t="shared" si="171"/>
        <v>-39698.333333333336</v>
      </c>
      <c r="Q1196" s="66">
        <f t="shared" si="172"/>
        <v>-0.33333333332848269</v>
      </c>
    </row>
    <row r="1197" spans="1:18" hidden="1">
      <c r="A1197" s="1" t="s">
        <v>1303</v>
      </c>
      <c r="B1197" s="1" t="s">
        <v>15</v>
      </c>
      <c r="C1197" s="91">
        <v>126885640855</v>
      </c>
      <c r="D1197" s="3">
        <v>35103.64</v>
      </c>
      <c r="E1197" s="3">
        <v>7683011.7400000002</v>
      </c>
      <c r="F1197" s="35" t="s">
        <v>2750</v>
      </c>
      <c r="G1197"/>
      <c r="H1197"/>
      <c r="I1197" s="27">
        <f>-IFERROR(VLOOKUP(C1197,SIRCUPA!$A$21:$H$155,8,0),0)</f>
        <v>0</v>
      </c>
      <c r="J1197" s="88">
        <f>-IFERROR(VLOOKUP(C1197,SIRTAC!$A$16:$H$1288,8,0),0)</f>
        <v>-374</v>
      </c>
      <c r="K1197" s="88">
        <f>-IFERROR(VLOOKUP(C1197,Gastos!$A$9:$J$1281,10,0),0)</f>
        <v>-1697.96</v>
      </c>
      <c r="L1197" s="87">
        <f>-IFERROR(VLOOKUP(C1197,IDC!$A$25:$H$1532,8,0),0)</f>
        <v>-224.4</v>
      </c>
      <c r="M1197" s="122">
        <f t="shared" si="170"/>
        <v>37400</v>
      </c>
      <c r="N1197"/>
      <c r="P1197" s="35">
        <f t="shared" si="171"/>
        <v>-37400</v>
      </c>
      <c r="Q1197" s="66">
        <f t="shared" si="172"/>
        <v>0</v>
      </c>
    </row>
    <row r="1198" spans="1:18" hidden="1">
      <c r="A1198" s="1" t="s">
        <v>1303</v>
      </c>
      <c r="B1198" s="1" t="s">
        <v>15</v>
      </c>
      <c r="C1198" s="91">
        <v>127446508562</v>
      </c>
      <c r="D1198" s="3">
        <v>32778.26</v>
      </c>
      <c r="E1198" s="3">
        <v>7715790</v>
      </c>
      <c r="F1198" s="35" t="s">
        <v>2750</v>
      </c>
      <c r="G1198"/>
      <c r="H1198"/>
      <c r="I1198" s="27">
        <f>-IFERROR(VLOOKUP(C1198,SIRCUPA!$A$21:$H$155,8,0),0)</f>
        <v>0</v>
      </c>
      <c r="J1198" s="88">
        <f>-IFERROR(VLOOKUP(C1198,SIRTAC!$A$16:$H$1288,8,0),0)</f>
        <v>-346.97</v>
      </c>
      <c r="K1198" s="88">
        <f>-IFERROR(VLOOKUP(C1198,Gastos!$A$9:$J$1281,10,0),0)</f>
        <v>-1363.59</v>
      </c>
      <c r="L1198" s="87">
        <f>-IFERROR(VLOOKUP(C1198,IDC!$A$25:$H$1532,8,0),0)</f>
        <v>-208.18</v>
      </c>
      <c r="M1198" s="122">
        <f t="shared" si="170"/>
        <v>34697</v>
      </c>
      <c r="N1198"/>
      <c r="P1198" s="35">
        <f t="shared" si="171"/>
        <v>-34696.666666666664</v>
      </c>
      <c r="Q1198" s="66">
        <f t="shared" si="172"/>
        <v>0.33333333333575865</v>
      </c>
    </row>
    <row r="1199" spans="1:18" hidden="1">
      <c r="A1199" s="1" t="s">
        <v>1303</v>
      </c>
      <c r="B1199" s="1" t="s">
        <v>15</v>
      </c>
      <c r="C1199" s="91">
        <v>126886865607</v>
      </c>
      <c r="D1199" s="3">
        <v>85737.43</v>
      </c>
      <c r="E1199" s="3">
        <v>7801527.4299999997</v>
      </c>
      <c r="F1199" s="35" t="s">
        <v>2750</v>
      </c>
      <c r="G1199"/>
      <c r="H1199"/>
      <c r="I1199" s="27">
        <f>-IFERROR(VLOOKUP(C1199,SIRCUPA!$A$21:$H$155,8,0),0)</f>
        <v>0</v>
      </c>
      <c r="J1199" s="88">
        <f>-IFERROR(VLOOKUP(C1199,SIRTAC!$A$16:$H$1288,8,0),0)</f>
        <v>-879.99</v>
      </c>
      <c r="K1199" s="88">
        <f>-IFERROR(VLOOKUP(C1199,Gastos!$A$9:$J$1281,10,0),0)</f>
        <v>-853.59</v>
      </c>
      <c r="L1199" s="87">
        <f>-IFERROR(VLOOKUP(C1199,IDC!$A$25:$H$1532,8,0),0)</f>
        <v>-527.99</v>
      </c>
      <c r="M1199" s="122">
        <f t="shared" si="170"/>
        <v>87999</v>
      </c>
      <c r="N1199"/>
      <c r="P1199" s="35">
        <f t="shared" si="171"/>
        <v>-87998.333333333328</v>
      </c>
      <c r="Q1199" s="66">
        <f t="shared" si="172"/>
        <v>0.66666666667151731</v>
      </c>
    </row>
    <row r="1200" spans="1:18" hidden="1">
      <c r="A1200" s="1" t="s">
        <v>1303</v>
      </c>
      <c r="B1200" s="1" t="s">
        <v>15</v>
      </c>
      <c r="C1200" s="91">
        <v>126887451621</v>
      </c>
      <c r="D1200" s="3">
        <v>30103.919999999998</v>
      </c>
      <c r="E1200" s="3">
        <v>7831631.3499999996</v>
      </c>
      <c r="F1200" s="35" t="s">
        <v>2750</v>
      </c>
      <c r="G1200"/>
      <c r="H1200"/>
      <c r="I1200" s="27">
        <f>-IFERROR(VLOOKUP(C1200,SIRCUPA!$A$21:$H$155,8,0),0)</f>
        <v>0</v>
      </c>
      <c r="J1200" s="88">
        <f>-IFERROR(VLOOKUP(C1200,SIRTAC!$A$16:$H$1288,8,0),0)</f>
        <v>-308.98</v>
      </c>
      <c r="K1200" s="88">
        <f>-IFERROR(VLOOKUP(C1200,Gastos!$A$9:$J$1281,10,0),0)</f>
        <v>-299.70999999999998</v>
      </c>
      <c r="L1200" s="87">
        <f>-IFERROR(VLOOKUP(C1200,IDC!$A$25:$H$1532,8,0),0)</f>
        <v>-185.39</v>
      </c>
      <c r="M1200" s="122">
        <f t="shared" si="170"/>
        <v>30897.999999999996</v>
      </c>
      <c r="N1200"/>
      <c r="P1200" s="35">
        <f t="shared" si="171"/>
        <v>-30898.333333333332</v>
      </c>
      <c r="Q1200" s="66">
        <f t="shared" si="172"/>
        <v>-0.33333333333575865</v>
      </c>
    </row>
    <row r="1201" spans="1:18" hidden="1">
      <c r="A1201" s="1" t="s">
        <v>1303</v>
      </c>
      <c r="B1201" s="1" t="s">
        <v>15</v>
      </c>
      <c r="C1201" s="91">
        <v>126887615459</v>
      </c>
      <c r="D1201" s="3">
        <v>19484.05</v>
      </c>
      <c r="E1201" s="3">
        <v>7851115.4000000004</v>
      </c>
      <c r="F1201" s="35" t="s">
        <v>2750</v>
      </c>
      <c r="G1201"/>
      <c r="H1201"/>
      <c r="I1201" s="27">
        <f>-IFERROR(VLOOKUP(C1201,SIRCUPA!$A$21:$H$155,8,0),0)</f>
        <v>0</v>
      </c>
      <c r="J1201" s="88">
        <f>-IFERROR(VLOOKUP(C1201,SIRTAC!$A$16:$H$1288,8,0),0)</f>
        <v>-199.98</v>
      </c>
      <c r="K1201" s="88">
        <f>-IFERROR(VLOOKUP(C1201,Gastos!$A$9:$J$1281,10,0),0)</f>
        <v>-193.98</v>
      </c>
      <c r="L1201" s="87">
        <f>-IFERROR(VLOOKUP(C1201,IDC!$A$25:$H$1532,8,0),0)</f>
        <v>-119.99</v>
      </c>
      <c r="M1201" s="122">
        <f t="shared" si="170"/>
        <v>19998</v>
      </c>
      <c r="N1201"/>
      <c r="P1201" s="35">
        <f t="shared" si="171"/>
        <v>-19998.333333333332</v>
      </c>
      <c r="Q1201" s="66">
        <f t="shared" si="172"/>
        <v>-0.33333333333212067</v>
      </c>
    </row>
    <row r="1202" spans="1:18" hidden="1">
      <c r="A1202" s="1" t="s">
        <v>1303</v>
      </c>
      <c r="B1202" s="1" t="s">
        <v>1184</v>
      </c>
      <c r="C1202" s="91">
        <v>127448024726</v>
      </c>
      <c r="D1202" s="2">
        <v>978.02</v>
      </c>
      <c r="E1202" s="3">
        <v>7852093.4199999999</v>
      </c>
      <c r="F1202" s="2" t="s">
        <v>2750</v>
      </c>
      <c r="G1202"/>
      <c r="H1202"/>
      <c r="I1202" s="27">
        <f>-IFERROR(VLOOKUP(C1202,SIRCUPA!$A$21:$H$155,8,0),0)</f>
        <v>-14.99</v>
      </c>
      <c r="J1202" s="88">
        <f>-IFERROR(VLOOKUP(C1202,SIRTAC!$A$16:$H$1288,8,0),0)</f>
        <v>0</v>
      </c>
      <c r="K1202" s="88">
        <f>-IFERROR(VLOOKUP(C1202,Gastos!$A$9:$J$1281,10,0),0)</f>
        <v>0</v>
      </c>
      <c r="L1202" s="87">
        <f>-IFERROR(VLOOKUP(C1202,IDC!$A$25:$H$1532,8,0),0)</f>
        <v>-5.99</v>
      </c>
      <c r="M1202" s="122">
        <f t="shared" si="170"/>
        <v>999</v>
      </c>
      <c r="N1202"/>
      <c r="P1202" s="35">
        <f t="shared" si="171"/>
        <v>-998.33333333333337</v>
      </c>
      <c r="Q1202" s="66">
        <f t="shared" si="172"/>
        <v>0.66666666666662877</v>
      </c>
    </row>
    <row r="1203" spans="1:18" hidden="1">
      <c r="A1203" s="1" t="s">
        <v>1303</v>
      </c>
      <c r="B1203" s="1" t="s">
        <v>15</v>
      </c>
      <c r="C1203" s="91">
        <v>127448262384</v>
      </c>
      <c r="D1203" s="3">
        <v>25813.11</v>
      </c>
      <c r="E1203" s="3">
        <v>7877906.5300000003</v>
      </c>
      <c r="F1203" s="35" t="s">
        <v>2750</v>
      </c>
      <c r="G1203"/>
      <c r="H1203"/>
      <c r="I1203" s="27">
        <f>-IFERROR(VLOOKUP(C1203,SIRCUPA!$A$21:$H$155,8,0),0)</f>
        <v>0</v>
      </c>
      <c r="J1203" s="88">
        <f>-IFERROR(VLOOKUP(C1203,SIRTAC!$A$16:$H$1288,8,0),0)</f>
        <v>-264.94</v>
      </c>
      <c r="K1203" s="88">
        <f>-IFERROR(VLOOKUP(C1203,Gastos!$A$9:$J$1281,10,0),0)</f>
        <v>-256.99</v>
      </c>
      <c r="L1203" s="87">
        <f>-IFERROR(VLOOKUP(C1203,IDC!$A$25:$H$1532,8,0),0)</f>
        <v>-158.96</v>
      </c>
      <c r="M1203" s="122">
        <f t="shared" si="170"/>
        <v>26494</v>
      </c>
      <c r="N1203"/>
      <c r="P1203" s="35">
        <f t="shared" si="171"/>
        <v>-26493.333333333336</v>
      </c>
      <c r="Q1203" s="66">
        <f t="shared" si="172"/>
        <v>0.66666666666424135</v>
      </c>
    </row>
    <row r="1204" spans="1:18" hidden="1">
      <c r="A1204" s="1" t="s">
        <v>1303</v>
      </c>
      <c r="B1204" s="1" t="s">
        <v>1318</v>
      </c>
      <c r="C1204" s="91">
        <v>127448143966</v>
      </c>
      <c r="D1204" s="3">
        <v>2593.37</v>
      </c>
      <c r="E1204" s="3">
        <v>7880499.9000000004</v>
      </c>
      <c r="F1204" s="2" t="s">
        <v>2750</v>
      </c>
      <c r="G1204"/>
      <c r="H1204"/>
      <c r="I1204" s="27">
        <f>-IFERROR(VLOOKUP(C1204,SIRCUPA!$A$21:$H$155,8,0),0)</f>
        <v>-39.74</v>
      </c>
      <c r="J1204" s="88">
        <f>-IFERROR(VLOOKUP(C1204,SIRTAC!$A$16:$H$1288,8,0),0)</f>
        <v>0</v>
      </c>
      <c r="K1204" s="88">
        <f>-IFERROR(VLOOKUP(C1204,Gastos!$A$9:$J$1281,10,0),0)</f>
        <v>0</v>
      </c>
      <c r="L1204" s="87">
        <f>-IFERROR(VLOOKUP(C1204,IDC!$A$25:$H$1532,8,0),0)</f>
        <v>-15.89</v>
      </c>
      <c r="M1204" s="122">
        <f t="shared" si="170"/>
        <v>2648.9999999999995</v>
      </c>
      <c r="N1204"/>
      <c r="P1204" s="35">
        <f t="shared" si="171"/>
        <v>-2648.3333333333335</v>
      </c>
      <c r="Q1204" s="66">
        <f t="shared" si="172"/>
        <v>0.66666666666606034</v>
      </c>
    </row>
    <row r="1205" spans="1:18" hidden="1">
      <c r="A1205" s="35" t="s">
        <v>529</v>
      </c>
      <c r="B1205" s="35" t="s">
        <v>47</v>
      </c>
      <c r="C1205" s="91">
        <v>125773059124</v>
      </c>
      <c r="D1205" s="3">
        <v>-114709.15</v>
      </c>
      <c r="E1205" s="3">
        <v>9292816.2899999991</v>
      </c>
      <c r="F1205" s="35" t="s">
        <v>2751</v>
      </c>
      <c r="G1205" s="4">
        <f>+D1205/1.006</f>
        <v>-114025</v>
      </c>
      <c r="H1205" s="4">
        <f>+D1205-G1205</f>
        <v>-684.14999999999418</v>
      </c>
      <c r="I1205" s="27">
        <f>-IFERROR(VLOOKUP(C1205,SIRCUPA!$A$21:$H$155,8,0),0)</f>
        <v>0</v>
      </c>
      <c r="J1205" s="88">
        <f>-IFERROR(VLOOKUP(C1205,SIRTAC!$A$16:$H$1288,8,0),0)</f>
        <v>0</v>
      </c>
      <c r="K1205" s="88">
        <f>-IFERROR(VLOOKUP(C1205,Gastos!$A$9:$J$1281,10,0),0)</f>
        <v>0</v>
      </c>
      <c r="L1205" s="87">
        <f>+D1205-G1205</f>
        <v>-684.14999999999418</v>
      </c>
      <c r="M1205" s="121">
        <f t="shared" ref="M1205:M1206" si="173">+D1205-I1205-J1205-K1205-L1205</f>
        <v>-114025</v>
      </c>
      <c r="O1205" s="35"/>
      <c r="Q1205" s="35">
        <f t="shared" ref="Q1205:Q1206" si="174">+L1205/0.006</f>
        <v>-114024.99999999903</v>
      </c>
      <c r="R1205" s="66">
        <f t="shared" ref="R1205:R1206" si="175">+M1205-Q1205</f>
        <v>-9.7497832030057907E-10</v>
      </c>
    </row>
    <row r="1206" spans="1:18" hidden="1">
      <c r="A1206" s="35" t="s">
        <v>529</v>
      </c>
      <c r="B1206" s="35" t="s">
        <v>47</v>
      </c>
      <c r="C1206" s="91">
        <v>125773107440</v>
      </c>
      <c r="D1206" s="3">
        <v>-216818.15</v>
      </c>
      <c r="E1206" s="3">
        <v>9075998.1400000006</v>
      </c>
      <c r="F1206" s="35" t="s">
        <v>2751</v>
      </c>
      <c r="G1206" s="4">
        <f>+D1206/1.006</f>
        <v>-215525</v>
      </c>
      <c r="H1206" s="4">
        <f>+D1206-G1206</f>
        <v>-1293.1499999999942</v>
      </c>
      <c r="I1206" s="27">
        <f>-IFERROR(VLOOKUP(C1206,SIRCUPA!$A$21:$H$155,8,0),0)</f>
        <v>0</v>
      </c>
      <c r="J1206" s="88">
        <f>-IFERROR(VLOOKUP(C1206,SIRTAC!$A$16:$H$1288,8,0),0)</f>
        <v>0</v>
      </c>
      <c r="K1206" s="88">
        <f>-IFERROR(VLOOKUP(C1206,Gastos!$A$9:$J$1281,10,0),0)</f>
        <v>0</v>
      </c>
      <c r="L1206" s="87">
        <f>+D1206-G1206</f>
        <v>-1293.1499999999942</v>
      </c>
      <c r="M1206" s="121">
        <f t="shared" si="173"/>
        <v>-215525</v>
      </c>
      <c r="O1206" s="35"/>
      <c r="Q1206" s="35">
        <f t="shared" si="174"/>
        <v>-215524.99999999904</v>
      </c>
      <c r="R1206" s="66">
        <f t="shared" si="175"/>
        <v>-9.6042640507221222E-10</v>
      </c>
    </row>
    <row r="1207" spans="1:18" hidden="1">
      <c r="A1207" s="1" t="s">
        <v>1320</v>
      </c>
      <c r="B1207" s="1" t="s">
        <v>15</v>
      </c>
      <c r="C1207" s="91">
        <v>126890006531</v>
      </c>
      <c r="D1207" s="3">
        <v>25436.06</v>
      </c>
      <c r="E1207" s="3">
        <v>7905935.96</v>
      </c>
      <c r="F1207" s="35" t="s">
        <v>2750</v>
      </c>
      <c r="G1207"/>
      <c r="H1207"/>
      <c r="I1207" s="27">
        <f>-IFERROR(VLOOKUP(C1207,SIRCUPA!$A$21:$H$155,8,0),0)</f>
        <v>0</v>
      </c>
      <c r="J1207" s="88">
        <f>-IFERROR(VLOOKUP(C1207,SIRTAC!$A$16:$H$1288,8,0),0)</f>
        <v>-271</v>
      </c>
      <c r="K1207" s="88">
        <f>-IFERROR(VLOOKUP(C1207,Gastos!$A$9:$J$1281,10,0),0)</f>
        <v>-1230.3399999999999</v>
      </c>
      <c r="L1207" s="87">
        <f>-IFERROR(VLOOKUP(C1207,IDC!$A$25:$H$1532,8,0),0)</f>
        <v>-162.6</v>
      </c>
      <c r="M1207" s="122">
        <f t="shared" ref="M1207:M1238" si="176">+D1207-I1207-J1207-K1207-L1207</f>
        <v>27100</v>
      </c>
      <c r="N1207"/>
      <c r="P1207" s="35">
        <f t="shared" ref="P1207:P1261" si="177">+L1207/0.006</f>
        <v>-27100</v>
      </c>
      <c r="Q1207" s="66">
        <f t="shared" ref="Q1207:Q1261" si="178">+M1207+P1207</f>
        <v>0</v>
      </c>
    </row>
    <row r="1208" spans="1:18" hidden="1">
      <c r="A1208" s="1" t="s">
        <v>1320</v>
      </c>
      <c r="B1208" s="1" t="s">
        <v>15</v>
      </c>
      <c r="C1208" s="91">
        <v>127450599184</v>
      </c>
      <c r="D1208" s="3">
        <v>19096.28</v>
      </c>
      <c r="E1208" s="3">
        <v>7925032.2400000002</v>
      </c>
      <c r="F1208" s="35" t="s">
        <v>2750</v>
      </c>
      <c r="G1208" s="35"/>
      <c r="H1208" s="35"/>
      <c r="I1208" s="27">
        <f>-IFERROR(VLOOKUP(C1208,SIRCUPA!$A$21:$H$155,8,0),0)</f>
        <v>0</v>
      </c>
      <c r="J1208" s="88">
        <f>-IFERROR(VLOOKUP(C1208,SIRTAC!$A$16:$H$1288,8,0),0)</f>
        <v>-196</v>
      </c>
      <c r="K1208" s="88">
        <f>-IFERROR(VLOOKUP(C1208,Gastos!$A$9:$J$1281,10,0),0)</f>
        <v>-190.12</v>
      </c>
      <c r="L1208" s="87">
        <f>-IFERROR(VLOOKUP(C1208,IDC!$A$25:$H$1532,8,0),0)</f>
        <v>-117.6</v>
      </c>
      <c r="M1208" s="122">
        <f t="shared" si="176"/>
        <v>19599.999999999996</v>
      </c>
      <c r="N1208" s="35"/>
      <c r="P1208" s="35">
        <f t="shared" si="177"/>
        <v>-19600</v>
      </c>
      <c r="Q1208" s="66">
        <f t="shared" si="178"/>
        <v>0</v>
      </c>
    </row>
    <row r="1209" spans="1:18" s="59" customFormat="1" hidden="1">
      <c r="A1209" s="35" t="s">
        <v>1320</v>
      </c>
      <c r="B1209" s="35" t="s">
        <v>15</v>
      </c>
      <c r="C1209" s="91">
        <v>127451720802</v>
      </c>
      <c r="D1209" s="3">
        <v>35074.800000000003</v>
      </c>
      <c r="E1209" s="3">
        <v>7960107.04</v>
      </c>
      <c r="F1209" s="35" t="s">
        <v>2750</v>
      </c>
      <c r="G1209" s="35"/>
      <c r="H1209" s="35"/>
      <c r="I1209" s="27">
        <f>-IFERROR(VLOOKUP(C1209,SIRCUPA!$A$21:$H$155,8,0),0)</f>
        <v>0</v>
      </c>
      <c r="J1209" s="88">
        <f>-IFERROR(VLOOKUP(C1209,SIRTAC!$A$16:$H$1288,8,0),0)</f>
        <v>-360</v>
      </c>
      <c r="K1209" s="88">
        <f>-IFERROR(VLOOKUP(C1209,Gastos!$A$9:$J$1281,10,0),0)</f>
        <v>-349.2</v>
      </c>
      <c r="L1209" s="87">
        <f>-IFERROR(VLOOKUP(C1209,IDC!$A$25:$H$1532,8,0),0)</f>
        <v>-216</v>
      </c>
      <c r="M1209" s="122">
        <f t="shared" si="176"/>
        <v>36000</v>
      </c>
      <c r="N1209" s="35"/>
      <c r="O1209" s="35"/>
      <c r="P1209" s="35">
        <f t="shared" si="177"/>
        <v>-36000</v>
      </c>
      <c r="Q1209" s="66">
        <f t="shared" si="178"/>
        <v>0</v>
      </c>
    </row>
    <row r="1210" spans="1:18" hidden="1">
      <c r="A1210" s="1" t="s">
        <v>1320</v>
      </c>
      <c r="B1210" s="1" t="s">
        <v>15</v>
      </c>
      <c r="C1210" s="91">
        <v>126987851295</v>
      </c>
      <c r="D1210" s="3">
        <v>8447.4</v>
      </c>
      <c r="E1210" s="3">
        <v>7869875.8700000001</v>
      </c>
      <c r="F1210" s="35" t="s">
        <v>2750</v>
      </c>
      <c r="G1210"/>
      <c r="H1210"/>
      <c r="I1210" s="27">
        <f>-IFERROR(VLOOKUP(C1210,SIRCUPA!$A$21:$H$155,8,0),0)</f>
        <v>0</v>
      </c>
      <c r="J1210" s="88">
        <f>-IFERROR(VLOOKUP(C1210,SIRTAC!$A$16:$H$1288,8,0),0)</f>
        <v>-90</v>
      </c>
      <c r="K1210" s="88">
        <f>-IFERROR(VLOOKUP(C1210,Gastos!$A$9:$J$1281,10,0),0)</f>
        <v>-408.6</v>
      </c>
      <c r="L1210" s="87">
        <f>-IFERROR(VLOOKUP(C1210,IDC!$A$25:$H$1532,8,0),0)</f>
        <v>-54</v>
      </c>
      <c r="M1210" s="122">
        <f t="shared" si="176"/>
        <v>9000</v>
      </c>
      <c r="N1210"/>
      <c r="P1210" s="35">
        <f t="shared" si="177"/>
        <v>-9000</v>
      </c>
      <c r="Q1210" s="66">
        <f t="shared" si="178"/>
        <v>0</v>
      </c>
    </row>
    <row r="1211" spans="1:18" hidden="1">
      <c r="A1211" s="1" t="s">
        <v>1320</v>
      </c>
      <c r="B1211" s="1" t="s">
        <v>15</v>
      </c>
      <c r="C1211" s="91">
        <v>127551863294</v>
      </c>
      <c r="D1211" s="3">
        <v>38543.760000000002</v>
      </c>
      <c r="E1211" s="3">
        <v>7908419.6299999999</v>
      </c>
      <c r="F1211" s="35" t="s">
        <v>2750</v>
      </c>
      <c r="G1211"/>
      <c r="H1211"/>
      <c r="I1211" s="27">
        <f>-IFERROR(VLOOKUP(C1211,SIRCUPA!$A$21:$H$155,8,0),0)</f>
        <v>0</v>
      </c>
      <c r="J1211" s="88">
        <f>-IFERROR(VLOOKUP(C1211,SIRTAC!$A$16:$H$1288,8,0),0)</f>
        <v>-408</v>
      </c>
      <c r="K1211" s="88">
        <f>-IFERROR(VLOOKUP(C1211,Gastos!$A$9:$J$1281,10,0),0)</f>
        <v>-1603.44</v>
      </c>
      <c r="L1211" s="87">
        <f>-IFERROR(VLOOKUP(C1211,IDC!$A$25:$H$1532,8,0),0)</f>
        <v>-244.8</v>
      </c>
      <c r="M1211" s="122">
        <f t="shared" si="176"/>
        <v>40800.000000000007</v>
      </c>
      <c r="N1211"/>
      <c r="P1211" s="35">
        <f t="shared" si="177"/>
        <v>-40800</v>
      </c>
      <c r="Q1211" s="66">
        <f t="shared" si="178"/>
        <v>0</v>
      </c>
    </row>
    <row r="1212" spans="1:18" hidden="1">
      <c r="A1212" s="1" t="s">
        <v>1320</v>
      </c>
      <c r="B1212" s="1" t="s">
        <v>15</v>
      </c>
      <c r="C1212" s="91">
        <v>126992616729</v>
      </c>
      <c r="D1212" s="3">
        <v>4384.3500000000004</v>
      </c>
      <c r="E1212" s="3">
        <v>7912803.9800000004</v>
      </c>
      <c r="F1212" s="35" t="s">
        <v>2750</v>
      </c>
      <c r="G1212"/>
      <c r="H1212"/>
      <c r="I1212" s="27">
        <f>-IFERROR(VLOOKUP(C1212,SIRCUPA!$A$21:$H$155,8,0),0)</f>
        <v>0</v>
      </c>
      <c r="J1212" s="88">
        <f>-IFERROR(VLOOKUP(C1212,SIRTAC!$A$16:$H$1288,8,0),0)</f>
        <v>-45</v>
      </c>
      <c r="K1212" s="88">
        <f>-IFERROR(VLOOKUP(C1212,Gastos!$A$9:$J$1281,10,0),0)</f>
        <v>-43.65</v>
      </c>
      <c r="L1212" s="87">
        <f>-IFERROR(VLOOKUP(C1212,IDC!$A$25:$H$1532,8,0),0)</f>
        <v>-27</v>
      </c>
      <c r="M1212" s="122">
        <f t="shared" si="176"/>
        <v>4500</v>
      </c>
      <c r="N1212"/>
      <c r="P1212" s="35">
        <f t="shared" si="177"/>
        <v>-4500</v>
      </c>
      <c r="Q1212" s="66">
        <f t="shared" si="178"/>
        <v>0</v>
      </c>
    </row>
    <row r="1213" spans="1:18" hidden="1">
      <c r="A1213" s="1" t="s">
        <v>1320</v>
      </c>
      <c r="B1213" s="1" t="s">
        <v>15</v>
      </c>
      <c r="C1213" s="91">
        <v>126993096283</v>
      </c>
      <c r="D1213" s="3">
        <v>8768.7000000000007</v>
      </c>
      <c r="E1213" s="3">
        <v>7921572.6799999997</v>
      </c>
      <c r="F1213" s="35" t="s">
        <v>2750</v>
      </c>
      <c r="G1213"/>
      <c r="H1213"/>
      <c r="I1213" s="27">
        <f>-IFERROR(VLOOKUP(C1213,SIRCUPA!$A$21:$H$155,8,0),0)</f>
        <v>0</v>
      </c>
      <c r="J1213" s="88">
        <f>-IFERROR(VLOOKUP(C1213,SIRTAC!$A$16:$H$1288,8,0),0)</f>
        <v>-90</v>
      </c>
      <c r="K1213" s="88">
        <f>-IFERROR(VLOOKUP(C1213,Gastos!$A$9:$J$1281,10,0),0)</f>
        <v>-87.3</v>
      </c>
      <c r="L1213" s="87">
        <f>-IFERROR(VLOOKUP(C1213,IDC!$A$25:$H$1532,8,0),0)</f>
        <v>-54</v>
      </c>
      <c r="M1213" s="122">
        <f t="shared" si="176"/>
        <v>9000</v>
      </c>
      <c r="N1213"/>
      <c r="P1213" s="35">
        <f t="shared" si="177"/>
        <v>-9000</v>
      </c>
      <c r="Q1213" s="66">
        <f t="shared" si="178"/>
        <v>0</v>
      </c>
    </row>
    <row r="1214" spans="1:18" hidden="1">
      <c r="A1214" s="1" t="s">
        <v>1320</v>
      </c>
      <c r="B1214" s="1" t="s">
        <v>15</v>
      </c>
      <c r="C1214" s="91">
        <v>126995125095</v>
      </c>
      <c r="D1214" s="3">
        <v>3507.48</v>
      </c>
      <c r="E1214" s="3">
        <v>7925080.1600000001</v>
      </c>
      <c r="F1214" s="35" t="s">
        <v>2750</v>
      </c>
      <c r="G1214"/>
      <c r="H1214"/>
      <c r="I1214" s="27">
        <f>-IFERROR(VLOOKUP(C1214,SIRCUPA!$A$21:$H$155,8,0),0)</f>
        <v>0</v>
      </c>
      <c r="J1214" s="88">
        <f>-IFERROR(VLOOKUP(C1214,SIRTAC!$A$16:$H$1288,8,0),0)</f>
        <v>-36</v>
      </c>
      <c r="K1214" s="88">
        <f>-IFERROR(VLOOKUP(C1214,Gastos!$A$9:$J$1281,10,0),0)</f>
        <v>-34.92</v>
      </c>
      <c r="L1214" s="87">
        <f>-IFERROR(VLOOKUP(C1214,IDC!$A$25:$H$1532,8,0),0)</f>
        <v>-21.6</v>
      </c>
      <c r="M1214" s="122">
        <f t="shared" si="176"/>
        <v>3600</v>
      </c>
      <c r="N1214"/>
      <c r="P1214" s="35">
        <f t="shared" si="177"/>
        <v>-3600</v>
      </c>
      <c r="Q1214" s="66">
        <f t="shared" si="178"/>
        <v>0</v>
      </c>
    </row>
    <row r="1215" spans="1:18" hidden="1">
      <c r="A1215" s="1" t="s">
        <v>1320</v>
      </c>
      <c r="B1215" s="1" t="s">
        <v>15</v>
      </c>
      <c r="C1215" s="91">
        <v>127558376292</v>
      </c>
      <c r="D1215" s="3">
        <v>23995.38</v>
      </c>
      <c r="E1215" s="3">
        <v>7949075.54</v>
      </c>
      <c r="F1215" s="35" t="s">
        <v>2750</v>
      </c>
      <c r="G1215"/>
      <c r="H1215"/>
      <c r="I1215" s="27">
        <f>-IFERROR(VLOOKUP(C1215,SIRCUPA!$A$21:$H$155,8,0),0)</f>
        <v>0</v>
      </c>
      <c r="J1215" s="88">
        <f>-IFERROR(VLOOKUP(C1215,SIRTAC!$A$16:$H$1288,8,0),0)</f>
        <v>-254</v>
      </c>
      <c r="K1215" s="88">
        <f>-IFERROR(VLOOKUP(C1215,Gastos!$A$9:$J$1281,10,0),0)</f>
        <v>-998.22</v>
      </c>
      <c r="L1215" s="87">
        <f>-IFERROR(VLOOKUP(C1215,IDC!$A$25:$H$1532,8,0),0)</f>
        <v>-152.4</v>
      </c>
      <c r="M1215" s="122">
        <f t="shared" si="176"/>
        <v>25400.000000000004</v>
      </c>
      <c r="N1215"/>
      <c r="P1215" s="35">
        <f t="shared" si="177"/>
        <v>-25400</v>
      </c>
      <c r="Q1215" s="66">
        <f t="shared" si="178"/>
        <v>0</v>
      </c>
    </row>
    <row r="1216" spans="1:18" hidden="1">
      <c r="A1216" s="1" t="s">
        <v>1320</v>
      </c>
      <c r="B1216" s="1" t="s">
        <v>15</v>
      </c>
      <c r="C1216" s="91">
        <v>126997229679</v>
      </c>
      <c r="D1216" s="3">
        <v>5358.65</v>
      </c>
      <c r="E1216" s="3">
        <v>7954434.1900000004</v>
      </c>
      <c r="F1216" s="35" t="s">
        <v>2750</v>
      </c>
      <c r="G1216"/>
      <c r="H1216"/>
      <c r="I1216" s="27">
        <f>-IFERROR(VLOOKUP(C1216,SIRCUPA!$A$21:$H$155,8,0),0)</f>
        <v>0</v>
      </c>
      <c r="J1216" s="88">
        <f>-IFERROR(VLOOKUP(C1216,SIRTAC!$A$16:$H$1288,8,0),0)</f>
        <v>-55</v>
      </c>
      <c r="K1216" s="88">
        <f>-IFERROR(VLOOKUP(C1216,Gastos!$A$9:$J$1281,10,0),0)</f>
        <v>-53.35</v>
      </c>
      <c r="L1216" s="87">
        <f>-IFERROR(VLOOKUP(C1216,IDC!$A$25:$H$1532,8,0),0)</f>
        <v>-33</v>
      </c>
      <c r="M1216" s="122">
        <f t="shared" si="176"/>
        <v>5500</v>
      </c>
      <c r="N1216"/>
      <c r="P1216" s="35">
        <f t="shared" si="177"/>
        <v>-5500</v>
      </c>
      <c r="Q1216" s="66">
        <f t="shared" si="178"/>
        <v>0</v>
      </c>
    </row>
    <row r="1217" spans="1:17" hidden="1">
      <c r="A1217" s="1" t="s">
        <v>1320</v>
      </c>
      <c r="B1217" s="1" t="s">
        <v>15</v>
      </c>
      <c r="C1217" s="91">
        <v>127559378722</v>
      </c>
      <c r="D1217" s="3">
        <v>4384.3500000000004</v>
      </c>
      <c r="E1217" s="3">
        <v>7958818.54</v>
      </c>
      <c r="F1217" s="35" t="s">
        <v>2750</v>
      </c>
      <c r="G1217"/>
      <c r="H1217"/>
      <c r="I1217" s="27">
        <f>-IFERROR(VLOOKUP(C1217,SIRCUPA!$A$21:$H$155,8,0),0)</f>
        <v>0</v>
      </c>
      <c r="J1217" s="88">
        <f>-IFERROR(VLOOKUP(C1217,SIRTAC!$A$16:$H$1288,8,0),0)</f>
        <v>-45</v>
      </c>
      <c r="K1217" s="88">
        <f>-IFERROR(VLOOKUP(C1217,Gastos!$A$9:$J$1281,10,0),0)</f>
        <v>-43.65</v>
      </c>
      <c r="L1217" s="87">
        <f>-IFERROR(VLOOKUP(C1217,IDC!$A$25:$H$1532,8,0),0)</f>
        <v>-27</v>
      </c>
      <c r="M1217" s="122">
        <f t="shared" si="176"/>
        <v>4500</v>
      </c>
      <c r="N1217"/>
      <c r="P1217" s="35">
        <f t="shared" si="177"/>
        <v>-4500</v>
      </c>
      <c r="Q1217" s="66">
        <f t="shared" si="178"/>
        <v>0</v>
      </c>
    </row>
    <row r="1218" spans="1:17" hidden="1">
      <c r="A1218" s="1" t="s">
        <v>1320</v>
      </c>
      <c r="B1218" s="1" t="s">
        <v>1333</v>
      </c>
      <c r="C1218" s="91">
        <v>126998023247</v>
      </c>
      <c r="D1218" s="2">
        <v>440.55</v>
      </c>
      <c r="E1218" s="3">
        <v>7959259.0899999999</v>
      </c>
      <c r="F1218" s="2" t="s">
        <v>2750</v>
      </c>
      <c r="G1218"/>
      <c r="H1218"/>
      <c r="I1218" s="27">
        <f>-IFERROR(VLOOKUP(C1218,SIRCUPA!$A$21:$H$155,8,0),0)</f>
        <v>-6.75</v>
      </c>
      <c r="J1218" s="88">
        <f>-IFERROR(VLOOKUP(C1218,SIRTAC!$A$16:$H$1288,8,0),0)</f>
        <v>0</v>
      </c>
      <c r="K1218" s="88">
        <f>-IFERROR(VLOOKUP(C1218,Gastos!$A$9:$J$1281,10,0),0)</f>
        <v>0</v>
      </c>
      <c r="L1218" s="87">
        <f>-IFERROR(VLOOKUP(C1218,IDC!$A$25:$H$1532,8,0),0)</f>
        <v>-2.7</v>
      </c>
      <c r="M1218" s="122">
        <f t="shared" si="176"/>
        <v>450</v>
      </c>
      <c r="N1218"/>
      <c r="P1218" s="35">
        <f t="shared" si="177"/>
        <v>-450</v>
      </c>
      <c r="Q1218" s="66">
        <f t="shared" si="178"/>
        <v>0</v>
      </c>
    </row>
    <row r="1219" spans="1:17" hidden="1">
      <c r="A1219" s="1" t="s">
        <v>1320</v>
      </c>
      <c r="B1219" s="1" t="s">
        <v>15</v>
      </c>
      <c r="C1219" s="91">
        <v>126998588149</v>
      </c>
      <c r="D1219" s="3">
        <v>17537.400000000001</v>
      </c>
      <c r="E1219" s="3">
        <v>7976796.4900000002</v>
      </c>
      <c r="F1219" s="35" t="s">
        <v>2750</v>
      </c>
      <c r="G1219"/>
      <c r="H1219"/>
      <c r="I1219" s="27">
        <f>-IFERROR(VLOOKUP(C1219,SIRCUPA!$A$21:$H$155,8,0),0)</f>
        <v>0</v>
      </c>
      <c r="J1219" s="88">
        <f>-IFERROR(VLOOKUP(C1219,SIRTAC!$A$16:$H$1288,8,0),0)</f>
        <v>-180</v>
      </c>
      <c r="K1219" s="88">
        <f>-IFERROR(VLOOKUP(C1219,Gastos!$A$9:$J$1281,10,0),0)</f>
        <v>-174.6</v>
      </c>
      <c r="L1219" s="87">
        <f>-IFERROR(VLOOKUP(C1219,IDC!$A$25:$H$1532,8,0),0)</f>
        <v>-108</v>
      </c>
      <c r="M1219" s="122">
        <f t="shared" si="176"/>
        <v>18000</v>
      </c>
      <c r="N1219"/>
      <c r="P1219" s="35">
        <f t="shared" si="177"/>
        <v>-18000</v>
      </c>
      <c r="Q1219" s="66">
        <f t="shared" si="178"/>
        <v>0</v>
      </c>
    </row>
    <row r="1220" spans="1:17" hidden="1">
      <c r="A1220" s="1" t="s">
        <v>1320</v>
      </c>
      <c r="B1220" s="1" t="s">
        <v>15</v>
      </c>
      <c r="C1220" s="91">
        <v>127560080358</v>
      </c>
      <c r="D1220" s="3">
        <v>4384.3500000000004</v>
      </c>
      <c r="E1220" s="3">
        <v>7981180.8399999999</v>
      </c>
      <c r="F1220" s="35" t="s">
        <v>2750</v>
      </c>
      <c r="G1220"/>
      <c r="H1220"/>
      <c r="I1220" s="27">
        <f>-IFERROR(VLOOKUP(C1220,SIRCUPA!$A$21:$H$155,8,0),0)</f>
        <v>0</v>
      </c>
      <c r="J1220" s="88">
        <f>-IFERROR(VLOOKUP(C1220,SIRTAC!$A$16:$H$1288,8,0),0)</f>
        <v>-45</v>
      </c>
      <c r="K1220" s="88">
        <f>-IFERROR(VLOOKUP(C1220,Gastos!$A$9:$J$1281,10,0),0)</f>
        <v>-43.65</v>
      </c>
      <c r="L1220" s="87">
        <f>-IFERROR(VLOOKUP(C1220,IDC!$A$25:$H$1532,8,0),0)</f>
        <v>-27</v>
      </c>
      <c r="M1220" s="122">
        <f t="shared" si="176"/>
        <v>4500</v>
      </c>
      <c r="N1220"/>
      <c r="P1220" s="35">
        <f t="shared" si="177"/>
        <v>-4500</v>
      </c>
      <c r="Q1220" s="66">
        <f t="shared" si="178"/>
        <v>0</v>
      </c>
    </row>
    <row r="1221" spans="1:17" hidden="1">
      <c r="A1221" s="1" t="s">
        <v>1320</v>
      </c>
      <c r="B1221" s="1" t="s">
        <v>15</v>
      </c>
      <c r="C1221" s="91">
        <v>126999420385</v>
      </c>
      <c r="D1221" s="3">
        <v>8963.56</v>
      </c>
      <c r="E1221" s="3">
        <v>7990144.4000000004</v>
      </c>
      <c r="F1221" s="35" t="s">
        <v>2750</v>
      </c>
      <c r="G1221"/>
      <c r="H1221"/>
      <c r="I1221" s="27">
        <f>-IFERROR(VLOOKUP(C1221,SIRCUPA!$A$21:$H$155,8,0),0)</f>
        <v>0</v>
      </c>
      <c r="J1221" s="88">
        <f>-IFERROR(VLOOKUP(C1221,SIRTAC!$A$16:$H$1288,8,0),0)</f>
        <v>-92</v>
      </c>
      <c r="K1221" s="88">
        <f>-IFERROR(VLOOKUP(C1221,Gastos!$A$9:$J$1281,10,0),0)</f>
        <v>-89.24</v>
      </c>
      <c r="L1221" s="87">
        <f>-IFERROR(VLOOKUP(C1221,IDC!$A$25:$H$1532,8,0),0)</f>
        <v>-55.2</v>
      </c>
      <c r="M1221" s="122">
        <f t="shared" si="176"/>
        <v>9200</v>
      </c>
      <c r="N1221"/>
      <c r="P1221" s="35">
        <f t="shared" si="177"/>
        <v>-9200</v>
      </c>
      <c r="Q1221" s="66">
        <f t="shared" si="178"/>
        <v>0</v>
      </c>
    </row>
    <row r="1222" spans="1:17" hidden="1">
      <c r="A1222" s="1" t="s">
        <v>1320</v>
      </c>
      <c r="B1222" s="1" t="s">
        <v>15</v>
      </c>
      <c r="C1222" s="91">
        <v>127000155083</v>
      </c>
      <c r="D1222" s="3">
        <v>8768.7000000000007</v>
      </c>
      <c r="E1222" s="3">
        <v>7998913.0999999996</v>
      </c>
      <c r="F1222" s="35" t="s">
        <v>2750</v>
      </c>
      <c r="G1222"/>
      <c r="H1222"/>
      <c r="I1222" s="27">
        <f>-IFERROR(VLOOKUP(C1222,SIRCUPA!$A$21:$H$155,8,0),0)</f>
        <v>0</v>
      </c>
      <c r="J1222" s="88">
        <f>-IFERROR(VLOOKUP(C1222,SIRTAC!$A$16:$H$1288,8,0),0)</f>
        <v>-90</v>
      </c>
      <c r="K1222" s="88">
        <f>-IFERROR(VLOOKUP(C1222,Gastos!$A$9:$J$1281,10,0),0)</f>
        <v>-87.3</v>
      </c>
      <c r="L1222" s="87">
        <f>-IFERROR(VLOOKUP(C1222,IDC!$A$25:$H$1532,8,0),0)</f>
        <v>-54</v>
      </c>
      <c r="M1222" s="122">
        <f t="shared" si="176"/>
        <v>9000</v>
      </c>
      <c r="N1222"/>
      <c r="P1222" s="35">
        <f t="shared" si="177"/>
        <v>-9000</v>
      </c>
      <c r="Q1222" s="66">
        <f t="shared" si="178"/>
        <v>0</v>
      </c>
    </row>
    <row r="1223" spans="1:17" hidden="1">
      <c r="A1223" s="1" t="s">
        <v>1320</v>
      </c>
      <c r="B1223" s="1" t="s">
        <v>15</v>
      </c>
      <c r="C1223" s="91">
        <v>127562689912</v>
      </c>
      <c r="D1223" s="3">
        <v>12081.32</v>
      </c>
      <c r="E1223" s="3">
        <v>8010994.4199999999</v>
      </c>
      <c r="F1223" s="35" t="s">
        <v>2750</v>
      </c>
      <c r="G1223"/>
      <c r="H1223"/>
      <c r="I1223" s="27">
        <f>-IFERROR(VLOOKUP(C1223,SIRCUPA!$A$21:$H$155,8,0),0)</f>
        <v>0</v>
      </c>
      <c r="J1223" s="88">
        <f>-IFERROR(VLOOKUP(C1223,SIRTAC!$A$16:$H$1288,8,0),0)</f>
        <v>-124</v>
      </c>
      <c r="K1223" s="88">
        <f>-IFERROR(VLOOKUP(C1223,Gastos!$A$9:$J$1281,10,0),0)</f>
        <v>-120.28</v>
      </c>
      <c r="L1223" s="87">
        <f>-IFERROR(VLOOKUP(C1223,IDC!$A$25:$H$1532,8,0),0)</f>
        <v>-74.400000000000006</v>
      </c>
      <c r="M1223" s="122">
        <f t="shared" si="176"/>
        <v>12400</v>
      </c>
      <c r="N1223"/>
      <c r="P1223" s="35">
        <f t="shared" si="177"/>
        <v>-12400</v>
      </c>
      <c r="Q1223" s="66">
        <f t="shared" si="178"/>
        <v>0</v>
      </c>
    </row>
    <row r="1224" spans="1:17" hidden="1">
      <c r="A1224" s="1" t="s">
        <v>1320</v>
      </c>
      <c r="B1224" s="1" t="s">
        <v>1340</v>
      </c>
      <c r="C1224" s="91">
        <v>127562966336</v>
      </c>
      <c r="D1224" s="3">
        <v>1213.96</v>
      </c>
      <c r="E1224" s="3">
        <v>8012208.3799999999</v>
      </c>
      <c r="F1224" s="2" t="s">
        <v>2750</v>
      </c>
      <c r="G1224"/>
      <c r="H1224"/>
      <c r="I1224" s="27">
        <f>-IFERROR(VLOOKUP(C1224,SIRCUPA!$A$21:$H$155,8,0),0)</f>
        <v>-18.600000000000001</v>
      </c>
      <c r="J1224" s="88">
        <f>-IFERROR(VLOOKUP(C1224,SIRTAC!$A$16:$H$1288,8,0),0)</f>
        <v>0</v>
      </c>
      <c r="K1224" s="88">
        <f>-IFERROR(VLOOKUP(C1224,Gastos!$A$9:$J$1281,10,0),0)</f>
        <v>0</v>
      </c>
      <c r="L1224" s="87">
        <f>-IFERROR(VLOOKUP(C1224,IDC!$A$25:$H$1532,8,0),0)</f>
        <v>-7.44</v>
      </c>
      <c r="M1224" s="122">
        <f t="shared" si="176"/>
        <v>1240</v>
      </c>
      <c r="N1224"/>
      <c r="P1224" s="35">
        <f t="shared" si="177"/>
        <v>-1240</v>
      </c>
      <c r="Q1224" s="66">
        <f t="shared" si="178"/>
        <v>0</v>
      </c>
    </row>
    <row r="1225" spans="1:17" hidden="1">
      <c r="A1225" s="1" t="s">
        <v>1320</v>
      </c>
      <c r="B1225" s="1" t="s">
        <v>15</v>
      </c>
      <c r="C1225" s="91">
        <v>127562889506</v>
      </c>
      <c r="D1225" s="3">
        <v>75103.649999999994</v>
      </c>
      <c r="E1225" s="3">
        <v>8087312.0300000003</v>
      </c>
      <c r="F1225" s="35" t="s">
        <v>2750</v>
      </c>
      <c r="G1225"/>
      <c r="H1225"/>
      <c r="I1225" s="27">
        <f>-IFERROR(VLOOKUP(C1225,SIRCUPA!$A$21:$H$155,8,0),0)</f>
        <v>0</v>
      </c>
      <c r="J1225" s="88">
        <f>-IFERROR(VLOOKUP(C1225,SIRTAC!$A$16:$H$1288,8,0),0)</f>
        <v>-795</v>
      </c>
      <c r="K1225" s="88">
        <f>-IFERROR(VLOOKUP(C1225,Gastos!$A$9:$J$1281,10,0),0)</f>
        <v>-3124.35</v>
      </c>
      <c r="L1225" s="87">
        <f>-IFERROR(VLOOKUP(C1225,IDC!$A$25:$H$1532,8,0),0)</f>
        <v>-477</v>
      </c>
      <c r="M1225" s="122">
        <f t="shared" si="176"/>
        <v>79500</v>
      </c>
      <c r="N1225"/>
      <c r="P1225" s="35">
        <f t="shared" si="177"/>
        <v>-79500</v>
      </c>
      <c r="Q1225" s="66">
        <f t="shared" si="178"/>
        <v>0</v>
      </c>
    </row>
    <row r="1226" spans="1:17" hidden="1">
      <c r="A1226" s="1" t="s">
        <v>1320</v>
      </c>
      <c r="B1226" s="1" t="s">
        <v>15</v>
      </c>
      <c r="C1226" s="91">
        <v>127562995342</v>
      </c>
      <c r="D1226" s="3">
        <v>18678.14</v>
      </c>
      <c r="E1226" s="3">
        <v>8105990.1699999999</v>
      </c>
      <c r="F1226" s="35" t="s">
        <v>2750</v>
      </c>
      <c r="G1226"/>
      <c r="H1226"/>
      <c r="I1226" s="27">
        <f>-IFERROR(VLOOKUP(C1226,SIRCUPA!$A$21:$H$155,8,0),0)</f>
        <v>0</v>
      </c>
      <c r="J1226" s="88">
        <f>-IFERROR(VLOOKUP(C1226,SIRTAC!$A$16:$H$1288,8,0),0)</f>
        <v>-199</v>
      </c>
      <c r="K1226" s="88">
        <f>-IFERROR(VLOOKUP(C1226,Gastos!$A$9:$J$1281,10,0),0)</f>
        <v>-903.46</v>
      </c>
      <c r="L1226" s="87">
        <f>-IFERROR(VLOOKUP(C1226,IDC!$A$25:$H$1532,8,0),0)</f>
        <v>-119.4</v>
      </c>
      <c r="M1226" s="122">
        <f t="shared" si="176"/>
        <v>19900</v>
      </c>
      <c r="N1226"/>
      <c r="P1226" s="35">
        <f t="shared" si="177"/>
        <v>-19900</v>
      </c>
      <c r="Q1226" s="66">
        <f t="shared" si="178"/>
        <v>0</v>
      </c>
    </row>
    <row r="1227" spans="1:17" hidden="1">
      <c r="A1227" s="1" t="s">
        <v>1320</v>
      </c>
      <c r="B1227" s="1" t="s">
        <v>15</v>
      </c>
      <c r="C1227" s="91">
        <v>127563396870</v>
      </c>
      <c r="D1227" s="3">
        <v>6820.1</v>
      </c>
      <c r="E1227" s="3">
        <v>8112810.2699999996</v>
      </c>
      <c r="F1227" s="35" t="s">
        <v>2750</v>
      </c>
      <c r="G1227"/>
      <c r="H1227"/>
      <c r="I1227" s="27">
        <f>-IFERROR(VLOOKUP(C1227,SIRCUPA!$A$21:$H$155,8,0),0)</f>
        <v>0</v>
      </c>
      <c r="J1227" s="88">
        <f>-IFERROR(VLOOKUP(C1227,SIRTAC!$A$16:$H$1288,8,0),0)</f>
        <v>-70</v>
      </c>
      <c r="K1227" s="88">
        <f>-IFERROR(VLOOKUP(C1227,Gastos!$A$9:$J$1281,10,0),0)</f>
        <v>-67.900000000000006</v>
      </c>
      <c r="L1227" s="87">
        <f>-IFERROR(VLOOKUP(C1227,IDC!$A$25:$H$1532,8,0),0)</f>
        <v>-42</v>
      </c>
      <c r="M1227" s="122">
        <f t="shared" si="176"/>
        <v>7000</v>
      </c>
      <c r="N1227"/>
      <c r="P1227" s="35">
        <f t="shared" si="177"/>
        <v>-7000</v>
      </c>
      <c r="Q1227" s="66">
        <f t="shared" si="178"/>
        <v>0</v>
      </c>
    </row>
    <row r="1228" spans="1:17" hidden="1">
      <c r="A1228" s="1" t="s">
        <v>1320</v>
      </c>
      <c r="B1228" s="1" t="s">
        <v>15</v>
      </c>
      <c r="C1228" s="91">
        <v>127563642228</v>
      </c>
      <c r="D1228" s="3">
        <v>3702.34</v>
      </c>
      <c r="E1228" s="3">
        <v>8116512.6100000003</v>
      </c>
      <c r="F1228" s="35" t="s">
        <v>2750</v>
      </c>
      <c r="G1228"/>
      <c r="H1228"/>
      <c r="I1228" s="27">
        <f>-IFERROR(VLOOKUP(C1228,SIRCUPA!$A$21:$H$155,8,0),0)</f>
        <v>0</v>
      </c>
      <c r="J1228" s="88">
        <f>-IFERROR(VLOOKUP(C1228,SIRTAC!$A$16:$H$1288,8,0),0)</f>
        <v>-38</v>
      </c>
      <c r="K1228" s="88">
        <f>-IFERROR(VLOOKUP(C1228,Gastos!$A$9:$J$1281,10,0),0)</f>
        <v>-36.86</v>
      </c>
      <c r="L1228" s="87">
        <f>-IFERROR(VLOOKUP(C1228,IDC!$A$25:$H$1532,8,0),0)</f>
        <v>-22.8</v>
      </c>
      <c r="M1228" s="122">
        <f t="shared" si="176"/>
        <v>3800.0000000000005</v>
      </c>
      <c r="N1228"/>
      <c r="P1228" s="35">
        <f t="shared" si="177"/>
        <v>-3800</v>
      </c>
      <c r="Q1228" s="66">
        <f t="shared" si="178"/>
        <v>0</v>
      </c>
    </row>
    <row r="1229" spans="1:17" hidden="1">
      <c r="A1229" s="1" t="s">
        <v>1320</v>
      </c>
      <c r="B1229" s="1" t="s">
        <v>15</v>
      </c>
      <c r="C1229" s="91">
        <v>127002660243</v>
      </c>
      <c r="D1229" s="3">
        <v>3702.34</v>
      </c>
      <c r="E1229" s="3">
        <v>8120214.9500000002</v>
      </c>
      <c r="F1229" s="35" t="s">
        <v>2750</v>
      </c>
      <c r="G1229"/>
      <c r="H1229"/>
      <c r="I1229" s="27">
        <f>-IFERROR(VLOOKUP(C1229,SIRCUPA!$A$21:$H$155,8,0),0)</f>
        <v>0</v>
      </c>
      <c r="J1229" s="88">
        <f>-IFERROR(VLOOKUP(C1229,SIRTAC!$A$16:$H$1288,8,0),0)</f>
        <v>-38</v>
      </c>
      <c r="K1229" s="88">
        <f>-IFERROR(VLOOKUP(C1229,Gastos!$A$9:$J$1281,10,0),0)</f>
        <v>-36.86</v>
      </c>
      <c r="L1229" s="87">
        <f>-IFERROR(VLOOKUP(C1229,IDC!$A$25:$H$1532,8,0),0)</f>
        <v>-22.8</v>
      </c>
      <c r="M1229" s="122">
        <f t="shared" si="176"/>
        <v>3800.0000000000005</v>
      </c>
      <c r="N1229"/>
      <c r="P1229" s="35">
        <f t="shared" si="177"/>
        <v>-3800</v>
      </c>
      <c r="Q1229" s="66">
        <f t="shared" si="178"/>
        <v>0</v>
      </c>
    </row>
    <row r="1230" spans="1:17" hidden="1">
      <c r="A1230" s="1" t="s">
        <v>1320</v>
      </c>
      <c r="B1230" s="1" t="s">
        <v>15</v>
      </c>
      <c r="C1230" s="91">
        <v>127002777527</v>
      </c>
      <c r="D1230" s="3">
        <v>4354.6499999999996</v>
      </c>
      <c r="E1230" s="3">
        <v>8124569.5999999996</v>
      </c>
      <c r="F1230" s="35" t="s">
        <v>2750</v>
      </c>
      <c r="G1230"/>
      <c r="H1230"/>
      <c r="I1230" s="27">
        <f>-IFERROR(VLOOKUP(C1230,SIRCUPA!$A$21:$H$155,8,0),0)</f>
        <v>0</v>
      </c>
      <c r="J1230" s="88">
        <f>-IFERROR(VLOOKUP(C1230,SIRTAC!$A$16:$H$1288,8,0),0)</f>
        <v>-45</v>
      </c>
      <c r="K1230" s="88">
        <f>-IFERROR(VLOOKUP(C1230,Gastos!$A$9:$J$1281,10,0),0)</f>
        <v>-73.349999999999994</v>
      </c>
      <c r="L1230" s="87">
        <f>-IFERROR(VLOOKUP(C1230,IDC!$A$25:$H$1532,8,0),0)</f>
        <v>-27</v>
      </c>
      <c r="M1230" s="122">
        <f t="shared" si="176"/>
        <v>4500</v>
      </c>
      <c r="N1230"/>
      <c r="P1230" s="35">
        <f t="shared" si="177"/>
        <v>-4500</v>
      </c>
      <c r="Q1230" s="66">
        <f t="shared" si="178"/>
        <v>0</v>
      </c>
    </row>
    <row r="1231" spans="1:17" hidden="1">
      <c r="A1231" s="1" t="s">
        <v>1320</v>
      </c>
      <c r="B1231" s="1" t="s">
        <v>15</v>
      </c>
      <c r="C1231" s="91">
        <v>127003432415</v>
      </c>
      <c r="D1231" s="3">
        <v>8184.12</v>
      </c>
      <c r="E1231" s="3">
        <v>8132753.7199999997</v>
      </c>
      <c r="F1231" s="35" t="s">
        <v>2750</v>
      </c>
      <c r="G1231"/>
      <c r="H1231"/>
      <c r="I1231" s="27">
        <f>-IFERROR(VLOOKUP(C1231,SIRCUPA!$A$21:$H$155,8,0),0)</f>
        <v>0</v>
      </c>
      <c r="J1231" s="88">
        <f>-IFERROR(VLOOKUP(C1231,SIRTAC!$A$16:$H$1288,8,0),0)</f>
        <v>-84</v>
      </c>
      <c r="K1231" s="88">
        <f>-IFERROR(VLOOKUP(C1231,Gastos!$A$9:$J$1281,10,0),0)</f>
        <v>-81.48</v>
      </c>
      <c r="L1231" s="87">
        <f>-IFERROR(VLOOKUP(C1231,IDC!$A$25:$H$1532,8,0),0)</f>
        <v>-50.4</v>
      </c>
      <c r="M1231" s="122">
        <f t="shared" si="176"/>
        <v>8399.9999999999982</v>
      </c>
      <c r="N1231"/>
      <c r="P1231" s="35">
        <f t="shared" si="177"/>
        <v>-8400</v>
      </c>
      <c r="Q1231" s="66">
        <f t="shared" si="178"/>
        <v>0</v>
      </c>
    </row>
    <row r="1232" spans="1:17" hidden="1">
      <c r="A1232" s="1" t="s">
        <v>1320</v>
      </c>
      <c r="B1232" s="1" t="s">
        <v>1349</v>
      </c>
      <c r="C1232" s="91">
        <v>127003299949</v>
      </c>
      <c r="D1232" s="3">
        <v>1233.54</v>
      </c>
      <c r="E1232" s="3">
        <v>8133987.2599999998</v>
      </c>
      <c r="F1232" s="2" t="s">
        <v>2750</v>
      </c>
      <c r="G1232"/>
      <c r="H1232"/>
      <c r="I1232" s="27">
        <f>-IFERROR(VLOOKUP(C1232,SIRCUPA!$A$21:$H$155,8,0),0)</f>
        <v>-18.899999999999999</v>
      </c>
      <c r="J1232" s="88">
        <f>-IFERROR(VLOOKUP(C1232,SIRTAC!$A$16:$H$1288,8,0),0)</f>
        <v>0</v>
      </c>
      <c r="K1232" s="88">
        <f>-IFERROR(VLOOKUP(C1232,Gastos!$A$9:$J$1281,10,0),0)</f>
        <v>0</v>
      </c>
      <c r="L1232" s="87">
        <f>-IFERROR(VLOOKUP(C1232,IDC!$A$25:$H$1532,8,0),0)</f>
        <v>-7.56</v>
      </c>
      <c r="M1232" s="122">
        <f t="shared" si="176"/>
        <v>1260</v>
      </c>
      <c r="N1232"/>
      <c r="P1232" s="35">
        <f t="shared" si="177"/>
        <v>-1260</v>
      </c>
      <c r="Q1232" s="66">
        <f t="shared" si="178"/>
        <v>0</v>
      </c>
    </row>
    <row r="1233" spans="1:17" hidden="1">
      <c r="A1233" s="1" t="s">
        <v>1320</v>
      </c>
      <c r="B1233" s="1" t="s">
        <v>15</v>
      </c>
      <c r="C1233" s="91">
        <v>127564523660</v>
      </c>
      <c r="D1233" s="3">
        <v>3897.2</v>
      </c>
      <c r="E1233" s="3">
        <v>8137884.46</v>
      </c>
      <c r="F1233" s="35" t="s">
        <v>2750</v>
      </c>
      <c r="G1233"/>
      <c r="H1233"/>
      <c r="I1233" s="27">
        <f>-IFERROR(VLOOKUP(C1233,SIRCUPA!$A$21:$H$155,8,0),0)</f>
        <v>0</v>
      </c>
      <c r="J1233" s="88">
        <f>-IFERROR(VLOOKUP(C1233,SIRTAC!$A$16:$H$1288,8,0),0)</f>
        <v>-40</v>
      </c>
      <c r="K1233" s="88">
        <f>-IFERROR(VLOOKUP(C1233,Gastos!$A$9:$J$1281,10,0),0)</f>
        <v>-38.799999999999997</v>
      </c>
      <c r="L1233" s="87">
        <f>-IFERROR(VLOOKUP(C1233,IDC!$A$25:$H$1532,8,0),0)</f>
        <v>-24</v>
      </c>
      <c r="M1233" s="122">
        <f t="shared" si="176"/>
        <v>4000</v>
      </c>
      <c r="N1233"/>
      <c r="P1233" s="35">
        <f t="shared" si="177"/>
        <v>-4000</v>
      </c>
      <c r="Q1233" s="66">
        <f t="shared" si="178"/>
        <v>0</v>
      </c>
    </row>
    <row r="1234" spans="1:17" hidden="1">
      <c r="A1234" s="1" t="s">
        <v>1320</v>
      </c>
      <c r="B1234" s="1" t="s">
        <v>15</v>
      </c>
      <c r="C1234" s="91">
        <v>127564884982</v>
      </c>
      <c r="D1234" s="3">
        <v>127633.3</v>
      </c>
      <c r="E1234" s="3">
        <v>8265517.7599999998</v>
      </c>
      <c r="F1234" s="35" t="s">
        <v>2750</v>
      </c>
      <c r="G1234"/>
      <c r="H1234"/>
      <c r="I1234" s="27">
        <f>-IFERROR(VLOOKUP(C1234,SIRCUPA!$A$21:$H$155,8,0),0)</f>
        <v>0</v>
      </c>
      <c r="J1234" s="88">
        <f>-IFERROR(VLOOKUP(C1234,SIRTAC!$A$16:$H$1288,8,0),0)</f>
        <v>-1310</v>
      </c>
      <c r="K1234" s="88">
        <f>-IFERROR(VLOOKUP(C1234,Gastos!$A$9:$J$1281,10,0),0)</f>
        <v>-1270.7</v>
      </c>
      <c r="L1234" s="87">
        <f>-IFERROR(VLOOKUP(C1234,IDC!$A$25:$H$1532,8,0),0)</f>
        <v>-786</v>
      </c>
      <c r="M1234" s="122">
        <f t="shared" si="176"/>
        <v>131000</v>
      </c>
      <c r="N1234"/>
      <c r="P1234" s="35">
        <f t="shared" si="177"/>
        <v>-131000</v>
      </c>
      <c r="Q1234" s="66">
        <f t="shared" si="178"/>
        <v>0</v>
      </c>
    </row>
    <row r="1235" spans="1:17" hidden="1">
      <c r="A1235" s="1" t="s">
        <v>1320</v>
      </c>
      <c r="B1235" s="1" t="s">
        <v>15</v>
      </c>
      <c r="C1235" s="91">
        <v>127003793721</v>
      </c>
      <c r="D1235" s="3">
        <v>4223.7</v>
      </c>
      <c r="E1235" s="3">
        <v>8269741.46</v>
      </c>
      <c r="F1235" s="35" t="s">
        <v>2750</v>
      </c>
      <c r="G1235"/>
      <c r="H1235"/>
      <c r="I1235" s="27">
        <f>-IFERROR(VLOOKUP(C1235,SIRCUPA!$A$21:$H$155,8,0),0)</f>
        <v>0</v>
      </c>
      <c r="J1235" s="88">
        <f>-IFERROR(VLOOKUP(C1235,SIRTAC!$A$16:$H$1288,8,0),0)</f>
        <v>-45</v>
      </c>
      <c r="K1235" s="88">
        <f>-IFERROR(VLOOKUP(C1235,Gastos!$A$9:$J$1281,10,0),0)</f>
        <v>-204.3</v>
      </c>
      <c r="L1235" s="87">
        <f>-IFERROR(VLOOKUP(C1235,IDC!$A$25:$H$1532,8,0),0)</f>
        <v>-27</v>
      </c>
      <c r="M1235" s="122">
        <f t="shared" si="176"/>
        <v>4500</v>
      </c>
      <c r="N1235"/>
      <c r="P1235" s="35">
        <f t="shared" si="177"/>
        <v>-4500</v>
      </c>
      <c r="Q1235" s="66">
        <f t="shared" si="178"/>
        <v>0</v>
      </c>
    </row>
    <row r="1236" spans="1:17" hidden="1">
      <c r="A1236" s="1" t="s">
        <v>1320</v>
      </c>
      <c r="B1236" s="1" t="s">
        <v>15</v>
      </c>
      <c r="C1236" s="91">
        <v>127004006243</v>
      </c>
      <c r="D1236" s="3">
        <v>4384.3500000000004</v>
      </c>
      <c r="E1236" s="3">
        <v>8274125.8099999996</v>
      </c>
      <c r="F1236" s="35" t="s">
        <v>2750</v>
      </c>
      <c r="G1236"/>
      <c r="H1236"/>
      <c r="I1236" s="27">
        <f>-IFERROR(VLOOKUP(C1236,SIRCUPA!$A$21:$H$155,8,0),0)</f>
        <v>0</v>
      </c>
      <c r="J1236" s="88">
        <f>-IFERROR(VLOOKUP(C1236,SIRTAC!$A$16:$H$1288,8,0),0)</f>
        <v>-45</v>
      </c>
      <c r="K1236" s="88">
        <f>-IFERROR(VLOOKUP(C1236,Gastos!$A$9:$J$1281,10,0),0)</f>
        <v>-43.65</v>
      </c>
      <c r="L1236" s="87">
        <f>-IFERROR(VLOOKUP(C1236,IDC!$A$25:$H$1532,8,0),0)</f>
        <v>-27</v>
      </c>
      <c r="M1236" s="122">
        <f t="shared" si="176"/>
        <v>4500</v>
      </c>
      <c r="N1236"/>
      <c r="P1236" s="35">
        <f t="shared" si="177"/>
        <v>-4500</v>
      </c>
      <c r="Q1236" s="66">
        <f t="shared" si="178"/>
        <v>0</v>
      </c>
    </row>
    <row r="1237" spans="1:17" hidden="1">
      <c r="A1237" s="1" t="s">
        <v>1320</v>
      </c>
      <c r="B1237" s="1" t="s">
        <v>15</v>
      </c>
      <c r="C1237" s="91">
        <v>127004301425</v>
      </c>
      <c r="D1237" s="3">
        <v>3945.91</v>
      </c>
      <c r="E1237" s="3">
        <v>8278071.7199999997</v>
      </c>
      <c r="F1237" s="35" t="s">
        <v>2750</v>
      </c>
      <c r="G1237"/>
      <c r="H1237"/>
      <c r="I1237" s="27">
        <f>-IFERROR(VLOOKUP(C1237,SIRCUPA!$A$21:$H$155,8,0),0)</f>
        <v>0</v>
      </c>
      <c r="J1237" s="88">
        <f>-IFERROR(VLOOKUP(C1237,SIRTAC!$A$16:$H$1288,8,0),0)</f>
        <v>-40.5</v>
      </c>
      <c r="K1237" s="88">
        <f>-IFERROR(VLOOKUP(C1237,Gastos!$A$9:$J$1281,10,0),0)</f>
        <v>-39.29</v>
      </c>
      <c r="L1237" s="87">
        <f>-IFERROR(VLOOKUP(C1237,IDC!$A$25:$H$1532,8,0),0)</f>
        <v>-24.3</v>
      </c>
      <c r="M1237" s="122">
        <f t="shared" si="176"/>
        <v>4050</v>
      </c>
      <c r="N1237"/>
      <c r="P1237" s="35">
        <f t="shared" si="177"/>
        <v>-4050</v>
      </c>
      <c r="Q1237" s="66">
        <f t="shared" si="178"/>
        <v>0</v>
      </c>
    </row>
    <row r="1238" spans="1:17" hidden="1">
      <c r="A1238" s="1" t="s">
        <v>1320</v>
      </c>
      <c r="B1238" s="1" t="s">
        <v>15</v>
      </c>
      <c r="C1238" s="91">
        <v>127565988078</v>
      </c>
      <c r="D1238" s="3">
        <v>23772.92</v>
      </c>
      <c r="E1238" s="3">
        <v>8301844.6399999997</v>
      </c>
      <c r="F1238" s="35" t="s">
        <v>2750</v>
      </c>
      <c r="G1238"/>
      <c r="H1238"/>
      <c r="I1238" s="27">
        <f>-IFERROR(VLOOKUP(C1238,SIRCUPA!$A$21:$H$155,8,0),0)</f>
        <v>0</v>
      </c>
      <c r="J1238" s="88">
        <f>-IFERROR(VLOOKUP(C1238,SIRTAC!$A$16:$H$1288,8,0),0)</f>
        <v>-244</v>
      </c>
      <c r="K1238" s="88">
        <f>-IFERROR(VLOOKUP(C1238,Gastos!$A$9:$J$1281,10,0),0)</f>
        <v>-236.68</v>
      </c>
      <c r="L1238" s="87">
        <f>-IFERROR(VLOOKUP(C1238,IDC!$A$25:$H$1532,8,0),0)</f>
        <v>-146.4</v>
      </c>
      <c r="M1238" s="122">
        <f t="shared" si="176"/>
        <v>24400</v>
      </c>
      <c r="N1238"/>
      <c r="P1238" s="35">
        <f t="shared" si="177"/>
        <v>-24400</v>
      </c>
      <c r="Q1238" s="66">
        <f t="shared" si="178"/>
        <v>0</v>
      </c>
    </row>
    <row r="1239" spans="1:17" hidden="1">
      <c r="A1239" s="1" t="s">
        <v>1320</v>
      </c>
      <c r="B1239" s="1" t="s">
        <v>15</v>
      </c>
      <c r="C1239" s="91">
        <v>127005216387</v>
      </c>
      <c r="D1239" s="3">
        <v>7978.1</v>
      </c>
      <c r="E1239" s="3">
        <v>8309822.7400000002</v>
      </c>
      <c r="F1239" s="35" t="s">
        <v>2750</v>
      </c>
      <c r="G1239"/>
      <c r="H1239"/>
      <c r="I1239" s="27">
        <f>-IFERROR(VLOOKUP(C1239,SIRCUPA!$A$21:$H$155,8,0),0)</f>
        <v>0</v>
      </c>
      <c r="J1239" s="88">
        <f>-IFERROR(VLOOKUP(C1239,SIRTAC!$A$16:$H$1288,8,0),0)</f>
        <v>-85</v>
      </c>
      <c r="K1239" s="88">
        <f>-IFERROR(VLOOKUP(C1239,Gastos!$A$9:$J$1281,10,0),0)</f>
        <v>-385.9</v>
      </c>
      <c r="L1239" s="87">
        <f>-IFERROR(VLOOKUP(C1239,IDC!$A$25:$H$1532,8,0),0)</f>
        <v>-51</v>
      </c>
      <c r="M1239" s="122">
        <f t="shared" ref="M1239:M1261" si="179">+D1239-I1239-J1239-K1239-L1239</f>
        <v>8500</v>
      </c>
      <c r="N1239"/>
      <c r="P1239" s="35">
        <f t="shared" si="177"/>
        <v>-8500</v>
      </c>
      <c r="Q1239" s="66">
        <f t="shared" si="178"/>
        <v>0</v>
      </c>
    </row>
    <row r="1240" spans="1:17" hidden="1">
      <c r="A1240" s="1" t="s">
        <v>1320</v>
      </c>
      <c r="B1240" s="1" t="s">
        <v>15</v>
      </c>
      <c r="C1240" s="91">
        <v>127005490421</v>
      </c>
      <c r="D1240" s="3">
        <v>4871.5</v>
      </c>
      <c r="E1240" s="3">
        <v>8314694.2400000002</v>
      </c>
      <c r="F1240" s="35" t="s">
        <v>2750</v>
      </c>
      <c r="G1240"/>
      <c r="H1240"/>
      <c r="I1240" s="27">
        <f>-IFERROR(VLOOKUP(C1240,SIRCUPA!$A$21:$H$155,8,0),0)</f>
        <v>0</v>
      </c>
      <c r="J1240" s="88">
        <f>-IFERROR(VLOOKUP(C1240,SIRTAC!$A$16:$H$1288,8,0),0)</f>
        <v>-50</v>
      </c>
      <c r="K1240" s="88">
        <f>-IFERROR(VLOOKUP(C1240,Gastos!$A$9:$J$1281,10,0),0)</f>
        <v>-48.5</v>
      </c>
      <c r="L1240" s="87">
        <f>-IFERROR(VLOOKUP(C1240,IDC!$A$25:$H$1532,8,0),0)</f>
        <v>-30</v>
      </c>
      <c r="M1240" s="122">
        <f t="shared" si="179"/>
        <v>5000</v>
      </c>
      <c r="N1240"/>
      <c r="P1240" s="35">
        <f t="shared" si="177"/>
        <v>-5000</v>
      </c>
      <c r="Q1240" s="66">
        <f t="shared" si="178"/>
        <v>0</v>
      </c>
    </row>
    <row r="1241" spans="1:17" hidden="1">
      <c r="A1241" s="1" t="s">
        <v>1320</v>
      </c>
      <c r="B1241" s="1" t="s">
        <v>15</v>
      </c>
      <c r="C1241" s="91">
        <v>127005540781</v>
      </c>
      <c r="D1241" s="3">
        <v>4871.5</v>
      </c>
      <c r="E1241" s="3">
        <v>8319565.7400000002</v>
      </c>
      <c r="F1241" s="35" t="s">
        <v>2750</v>
      </c>
      <c r="G1241"/>
      <c r="H1241"/>
      <c r="I1241" s="27">
        <f>-IFERROR(VLOOKUP(C1241,SIRCUPA!$A$21:$H$155,8,0),0)</f>
        <v>0</v>
      </c>
      <c r="J1241" s="88">
        <f>-IFERROR(VLOOKUP(C1241,SIRTAC!$A$16:$H$1288,8,0),0)</f>
        <v>-50</v>
      </c>
      <c r="K1241" s="88">
        <f>-IFERROR(VLOOKUP(C1241,Gastos!$A$9:$J$1281,10,0),0)</f>
        <v>-48.5</v>
      </c>
      <c r="L1241" s="87">
        <f>-IFERROR(VLOOKUP(C1241,IDC!$A$25:$H$1532,8,0),0)</f>
        <v>-30</v>
      </c>
      <c r="M1241" s="122">
        <f t="shared" si="179"/>
        <v>5000</v>
      </c>
      <c r="N1241"/>
      <c r="P1241" s="35">
        <f t="shared" si="177"/>
        <v>-5000</v>
      </c>
      <c r="Q1241" s="66">
        <f t="shared" si="178"/>
        <v>0</v>
      </c>
    </row>
    <row r="1242" spans="1:17" hidden="1">
      <c r="A1242" s="1" t="s">
        <v>1320</v>
      </c>
      <c r="B1242" s="1" t="s">
        <v>15</v>
      </c>
      <c r="C1242" s="91">
        <v>127006095161</v>
      </c>
      <c r="D1242" s="3">
        <v>1753.74</v>
      </c>
      <c r="E1242" s="3">
        <v>8321319.4800000004</v>
      </c>
      <c r="F1242" s="35" t="s">
        <v>2750</v>
      </c>
      <c r="G1242"/>
      <c r="H1242"/>
      <c r="I1242" s="27">
        <f>-IFERROR(VLOOKUP(C1242,SIRCUPA!$A$21:$H$155,8,0),0)</f>
        <v>0</v>
      </c>
      <c r="J1242" s="88">
        <f>-IFERROR(VLOOKUP(C1242,SIRTAC!$A$16:$H$1288,8,0),0)</f>
        <v>-18</v>
      </c>
      <c r="K1242" s="88">
        <f>-IFERROR(VLOOKUP(C1242,Gastos!$A$9:$J$1281,10,0),0)</f>
        <v>-17.46</v>
      </c>
      <c r="L1242" s="87">
        <f>-IFERROR(VLOOKUP(C1242,IDC!$A$25:$H$1532,8,0),0)</f>
        <v>-10.8</v>
      </c>
      <c r="M1242" s="122">
        <f t="shared" si="179"/>
        <v>1800</v>
      </c>
      <c r="N1242"/>
      <c r="P1242" s="35">
        <f t="shared" si="177"/>
        <v>-1800</v>
      </c>
      <c r="Q1242" s="66">
        <f t="shared" si="178"/>
        <v>0</v>
      </c>
    </row>
    <row r="1243" spans="1:17" hidden="1">
      <c r="A1243" s="1" t="s">
        <v>1320</v>
      </c>
      <c r="B1243" s="1" t="s">
        <v>1361</v>
      </c>
      <c r="C1243" s="91">
        <v>127567163882</v>
      </c>
      <c r="D1243" s="2">
        <v>264.33</v>
      </c>
      <c r="E1243" s="3">
        <v>8321583.8099999996</v>
      </c>
      <c r="F1243" s="2" t="s">
        <v>2750</v>
      </c>
      <c r="G1243"/>
      <c r="H1243"/>
      <c r="I1243" s="27">
        <f>-IFERROR(VLOOKUP(C1243,SIRCUPA!$A$21:$H$155,8,0),0)</f>
        <v>-4.05</v>
      </c>
      <c r="J1243" s="88">
        <f>-IFERROR(VLOOKUP(C1243,SIRTAC!$A$16:$H$1288,8,0),0)</f>
        <v>0</v>
      </c>
      <c r="K1243" s="88">
        <f>-IFERROR(VLOOKUP(C1243,Gastos!$A$9:$J$1281,10,0),0)</f>
        <v>0</v>
      </c>
      <c r="L1243" s="87">
        <f>-IFERROR(VLOOKUP(C1243,IDC!$A$25:$H$1532,8,0),0)</f>
        <v>-1.62</v>
      </c>
      <c r="M1243" s="122">
        <f t="shared" si="179"/>
        <v>270</v>
      </c>
      <c r="N1243"/>
      <c r="P1243" s="35">
        <f t="shared" si="177"/>
        <v>-270</v>
      </c>
      <c r="Q1243" s="66">
        <f t="shared" si="178"/>
        <v>0</v>
      </c>
    </row>
    <row r="1244" spans="1:17" hidden="1">
      <c r="A1244" s="1" t="s">
        <v>1320</v>
      </c>
      <c r="B1244" s="1" t="s">
        <v>15</v>
      </c>
      <c r="C1244" s="91">
        <v>127567646980</v>
      </c>
      <c r="D1244" s="3">
        <v>3507.48</v>
      </c>
      <c r="E1244" s="3">
        <v>8325091.29</v>
      </c>
      <c r="F1244" s="35" t="s">
        <v>2750</v>
      </c>
      <c r="G1244"/>
      <c r="H1244"/>
      <c r="I1244" s="27">
        <f>-IFERROR(VLOOKUP(C1244,SIRCUPA!$A$21:$H$155,8,0),0)</f>
        <v>0</v>
      </c>
      <c r="J1244" s="88">
        <f>-IFERROR(VLOOKUP(C1244,SIRTAC!$A$16:$H$1288,8,0),0)</f>
        <v>-36</v>
      </c>
      <c r="K1244" s="88">
        <f>-IFERROR(VLOOKUP(C1244,Gastos!$A$9:$J$1281,10,0),0)</f>
        <v>-34.92</v>
      </c>
      <c r="L1244" s="87">
        <f>-IFERROR(VLOOKUP(C1244,IDC!$A$25:$H$1532,8,0),0)</f>
        <v>-21.6</v>
      </c>
      <c r="M1244" s="122">
        <f t="shared" si="179"/>
        <v>3600</v>
      </c>
      <c r="N1244"/>
      <c r="P1244" s="35">
        <f t="shared" si="177"/>
        <v>-3600</v>
      </c>
      <c r="Q1244" s="66">
        <f t="shared" si="178"/>
        <v>0</v>
      </c>
    </row>
    <row r="1245" spans="1:17" hidden="1">
      <c r="A1245" s="1" t="s">
        <v>1320</v>
      </c>
      <c r="B1245" s="1" t="s">
        <v>15</v>
      </c>
      <c r="C1245" s="91">
        <v>127007093447</v>
      </c>
      <c r="D1245" s="3">
        <v>59042.58</v>
      </c>
      <c r="E1245" s="3">
        <v>8384133.8700000001</v>
      </c>
      <c r="F1245" s="35" t="s">
        <v>2750</v>
      </c>
      <c r="G1245"/>
      <c r="H1245"/>
      <c r="I1245" s="27">
        <f>-IFERROR(VLOOKUP(C1245,SIRCUPA!$A$21:$H$155,8,0),0)</f>
        <v>0</v>
      </c>
      <c r="J1245" s="88">
        <f>-IFERROR(VLOOKUP(C1245,SIRTAC!$A$16:$H$1288,8,0),0)</f>
        <v>-606</v>
      </c>
      <c r="K1245" s="88">
        <f>-IFERROR(VLOOKUP(C1245,Gastos!$A$9:$J$1281,10,0),0)</f>
        <v>-587.82000000000005</v>
      </c>
      <c r="L1245" s="87">
        <f>-IFERROR(VLOOKUP(C1245,IDC!$A$25:$H$1532,8,0),0)</f>
        <v>-363.6</v>
      </c>
      <c r="M1245" s="122">
        <f t="shared" si="179"/>
        <v>60600</v>
      </c>
      <c r="N1245"/>
      <c r="P1245" s="35">
        <f t="shared" si="177"/>
        <v>-60600</v>
      </c>
      <c r="Q1245" s="66">
        <f t="shared" si="178"/>
        <v>0</v>
      </c>
    </row>
    <row r="1246" spans="1:17" hidden="1">
      <c r="A1246" s="1" t="s">
        <v>1320</v>
      </c>
      <c r="B1246" s="1" t="s">
        <v>15</v>
      </c>
      <c r="C1246" s="91">
        <v>127007204939</v>
      </c>
      <c r="D1246" s="3">
        <v>4384.3500000000004</v>
      </c>
      <c r="E1246" s="3">
        <v>8388518.2199999997</v>
      </c>
      <c r="F1246" s="35" t="s">
        <v>2750</v>
      </c>
      <c r="G1246"/>
      <c r="H1246"/>
      <c r="I1246" s="27">
        <f>-IFERROR(VLOOKUP(C1246,SIRCUPA!$A$21:$H$155,8,0),0)</f>
        <v>0</v>
      </c>
      <c r="J1246" s="88">
        <f>-IFERROR(VLOOKUP(C1246,SIRTAC!$A$16:$H$1288,8,0),0)</f>
        <v>-45</v>
      </c>
      <c r="K1246" s="88">
        <f>-IFERROR(VLOOKUP(C1246,Gastos!$A$9:$J$1281,10,0),0)</f>
        <v>-43.65</v>
      </c>
      <c r="L1246" s="87">
        <f>-IFERROR(VLOOKUP(C1246,IDC!$A$25:$H$1532,8,0),0)</f>
        <v>-27</v>
      </c>
      <c r="M1246" s="122">
        <f t="shared" si="179"/>
        <v>4500</v>
      </c>
      <c r="N1246"/>
      <c r="P1246" s="35">
        <f t="shared" si="177"/>
        <v>-4500</v>
      </c>
      <c r="Q1246" s="66">
        <f t="shared" si="178"/>
        <v>0</v>
      </c>
    </row>
    <row r="1247" spans="1:17" hidden="1">
      <c r="A1247" s="1" t="s">
        <v>1320</v>
      </c>
      <c r="B1247" s="1" t="s">
        <v>15</v>
      </c>
      <c r="C1247" s="91">
        <v>127568624334</v>
      </c>
      <c r="D1247" s="3">
        <v>4062.21</v>
      </c>
      <c r="E1247" s="3">
        <v>8392580.4299999997</v>
      </c>
      <c r="F1247" s="35" t="s">
        <v>2750</v>
      </c>
      <c r="G1247"/>
      <c r="H1247"/>
      <c r="I1247" s="27">
        <f>-IFERROR(VLOOKUP(C1247,SIRCUPA!$A$21:$H$155,8,0),0)</f>
        <v>0</v>
      </c>
      <c r="J1247" s="88">
        <f>-IFERROR(VLOOKUP(C1247,SIRTAC!$A$16:$H$1288,8,0),0)</f>
        <v>-43</v>
      </c>
      <c r="K1247" s="88">
        <f>-IFERROR(VLOOKUP(C1247,Gastos!$A$9:$J$1281,10,0),0)</f>
        <v>-168.99</v>
      </c>
      <c r="L1247" s="87">
        <f>-IFERROR(VLOOKUP(C1247,IDC!$A$25:$H$1532,8,0),0)</f>
        <v>-25.8</v>
      </c>
      <c r="M1247" s="122">
        <f t="shared" si="179"/>
        <v>4300</v>
      </c>
      <c r="N1247"/>
      <c r="P1247" s="35">
        <f t="shared" si="177"/>
        <v>-4300</v>
      </c>
      <c r="Q1247" s="66">
        <f t="shared" si="178"/>
        <v>0</v>
      </c>
    </row>
    <row r="1248" spans="1:17" hidden="1">
      <c r="A1248" s="1" t="s">
        <v>1320</v>
      </c>
      <c r="B1248" s="1" t="s">
        <v>15</v>
      </c>
      <c r="C1248" s="91">
        <v>127568666708</v>
      </c>
      <c r="D1248" s="3">
        <v>8768.7000000000007</v>
      </c>
      <c r="E1248" s="3">
        <v>8401349.1300000008</v>
      </c>
      <c r="F1248" s="35" t="s">
        <v>2750</v>
      </c>
      <c r="G1248"/>
      <c r="H1248"/>
      <c r="I1248" s="27">
        <f>-IFERROR(VLOOKUP(C1248,SIRCUPA!$A$21:$H$155,8,0),0)</f>
        <v>0</v>
      </c>
      <c r="J1248" s="88">
        <f>-IFERROR(VLOOKUP(C1248,SIRTAC!$A$16:$H$1288,8,0),0)</f>
        <v>-90</v>
      </c>
      <c r="K1248" s="88">
        <f>-IFERROR(VLOOKUP(C1248,Gastos!$A$9:$J$1281,10,0),0)</f>
        <v>-87.3</v>
      </c>
      <c r="L1248" s="87">
        <f>-IFERROR(VLOOKUP(C1248,IDC!$A$25:$H$1532,8,0),0)</f>
        <v>-54</v>
      </c>
      <c r="M1248" s="122">
        <f t="shared" si="179"/>
        <v>9000</v>
      </c>
      <c r="N1248"/>
      <c r="P1248" s="35">
        <f t="shared" si="177"/>
        <v>-9000</v>
      </c>
      <c r="Q1248" s="66">
        <f t="shared" si="178"/>
        <v>0</v>
      </c>
    </row>
    <row r="1249" spans="1:18" hidden="1">
      <c r="A1249" s="1" t="s">
        <v>1320</v>
      </c>
      <c r="B1249" s="1" t="s">
        <v>15</v>
      </c>
      <c r="C1249" s="91">
        <v>127007460091</v>
      </c>
      <c r="D1249" s="3">
        <v>20752.59</v>
      </c>
      <c r="E1249" s="3">
        <v>8422101.7200000007</v>
      </c>
      <c r="F1249" s="35" t="s">
        <v>2750</v>
      </c>
      <c r="G1249"/>
      <c r="H1249"/>
      <c r="I1249" s="27">
        <f>-IFERROR(VLOOKUP(C1249,SIRCUPA!$A$21:$H$155,8,0),0)</f>
        <v>0</v>
      </c>
      <c r="J1249" s="88">
        <f>-IFERROR(VLOOKUP(C1249,SIRTAC!$A$16:$H$1288,8,0),0)</f>
        <v>-213</v>
      </c>
      <c r="K1249" s="88">
        <f>-IFERROR(VLOOKUP(C1249,Gastos!$A$9:$J$1281,10,0),0)</f>
        <v>-206.61</v>
      </c>
      <c r="L1249" s="87">
        <f>-IFERROR(VLOOKUP(C1249,IDC!$A$25:$H$1532,8,0),0)</f>
        <v>-127.8</v>
      </c>
      <c r="M1249" s="122">
        <f t="shared" si="179"/>
        <v>21300</v>
      </c>
      <c r="N1249"/>
      <c r="P1249" s="35">
        <f t="shared" si="177"/>
        <v>-21300</v>
      </c>
      <c r="Q1249" s="66">
        <f t="shared" si="178"/>
        <v>0</v>
      </c>
    </row>
    <row r="1250" spans="1:18" hidden="1">
      <c r="A1250" s="1" t="s">
        <v>1320</v>
      </c>
      <c r="B1250" s="1" t="s">
        <v>15</v>
      </c>
      <c r="C1250" s="91">
        <v>127568769746</v>
      </c>
      <c r="D1250" s="3">
        <v>38874.57</v>
      </c>
      <c r="E1250" s="3">
        <v>8460976.2899999991</v>
      </c>
      <c r="F1250" s="35" t="s">
        <v>2750</v>
      </c>
      <c r="G1250"/>
      <c r="H1250"/>
      <c r="I1250" s="27">
        <f>-IFERROR(VLOOKUP(C1250,SIRCUPA!$A$21:$H$155,8,0),0)</f>
        <v>0</v>
      </c>
      <c r="J1250" s="88">
        <f>-IFERROR(VLOOKUP(C1250,SIRTAC!$A$16:$H$1288,8,0),0)</f>
        <v>-399</v>
      </c>
      <c r="K1250" s="88">
        <f>-IFERROR(VLOOKUP(C1250,Gastos!$A$9:$J$1281,10,0),0)</f>
        <v>-387.03</v>
      </c>
      <c r="L1250" s="87">
        <f>-IFERROR(VLOOKUP(C1250,IDC!$A$25:$H$1532,8,0),0)</f>
        <v>-239.4</v>
      </c>
      <c r="M1250" s="122">
        <f t="shared" si="179"/>
        <v>39900</v>
      </c>
      <c r="N1250"/>
      <c r="P1250" s="35">
        <f t="shared" si="177"/>
        <v>-39900</v>
      </c>
      <c r="Q1250" s="66">
        <f t="shared" si="178"/>
        <v>0</v>
      </c>
    </row>
    <row r="1251" spans="1:18" hidden="1">
      <c r="A1251" s="1" t="s">
        <v>1320</v>
      </c>
      <c r="B1251" s="1" t="s">
        <v>15</v>
      </c>
      <c r="C1251" s="91">
        <v>127568899816</v>
      </c>
      <c r="D1251" s="3">
        <v>3507.48</v>
      </c>
      <c r="E1251" s="3">
        <v>8464483.7699999996</v>
      </c>
      <c r="F1251" s="35" t="s">
        <v>2750</v>
      </c>
      <c r="G1251"/>
      <c r="H1251"/>
      <c r="I1251" s="27">
        <f>-IFERROR(VLOOKUP(C1251,SIRCUPA!$A$21:$H$155,8,0),0)</f>
        <v>0</v>
      </c>
      <c r="J1251" s="88">
        <f>-IFERROR(VLOOKUP(C1251,SIRTAC!$A$16:$H$1288,8,0),0)</f>
        <v>-36</v>
      </c>
      <c r="K1251" s="88">
        <f>-IFERROR(VLOOKUP(C1251,Gastos!$A$9:$J$1281,10,0),0)</f>
        <v>-34.92</v>
      </c>
      <c r="L1251" s="87">
        <f>-IFERROR(VLOOKUP(C1251,IDC!$A$25:$H$1532,8,0),0)</f>
        <v>-21.6</v>
      </c>
      <c r="M1251" s="122">
        <f t="shared" si="179"/>
        <v>3600</v>
      </c>
      <c r="N1251"/>
      <c r="P1251" s="35">
        <f t="shared" si="177"/>
        <v>-3600</v>
      </c>
      <c r="Q1251" s="66">
        <f t="shared" si="178"/>
        <v>0</v>
      </c>
    </row>
    <row r="1252" spans="1:18" hidden="1">
      <c r="A1252" s="1" t="s">
        <v>1320</v>
      </c>
      <c r="B1252" s="1" t="s">
        <v>859</v>
      </c>
      <c r="C1252" s="91">
        <v>127007619411</v>
      </c>
      <c r="D1252" s="2">
        <v>176.22</v>
      </c>
      <c r="E1252" s="3">
        <v>8464659.9900000002</v>
      </c>
      <c r="F1252" s="2" t="s">
        <v>2750</v>
      </c>
      <c r="G1252"/>
      <c r="H1252"/>
      <c r="I1252" s="27">
        <f>-IFERROR(VLOOKUP(C1252,SIRCUPA!$A$21:$H$155,8,0),0)</f>
        <v>-2.7</v>
      </c>
      <c r="J1252" s="88">
        <f>-IFERROR(VLOOKUP(C1252,SIRTAC!$A$16:$H$1288,8,0),0)</f>
        <v>0</v>
      </c>
      <c r="K1252" s="88">
        <f>-IFERROR(VLOOKUP(C1252,Gastos!$A$9:$J$1281,10,0),0)</f>
        <v>0</v>
      </c>
      <c r="L1252" s="87">
        <f>-IFERROR(VLOOKUP(C1252,IDC!$A$25:$H$1532,8,0),0)</f>
        <v>-1.08</v>
      </c>
      <c r="M1252" s="122">
        <f t="shared" si="179"/>
        <v>180</v>
      </c>
      <c r="N1252"/>
      <c r="P1252" s="35">
        <f t="shared" si="177"/>
        <v>-180</v>
      </c>
      <c r="Q1252" s="66">
        <f t="shared" si="178"/>
        <v>0</v>
      </c>
    </row>
    <row r="1253" spans="1:18" hidden="1">
      <c r="A1253" s="1" t="s">
        <v>1320</v>
      </c>
      <c r="B1253" s="1" t="s">
        <v>15</v>
      </c>
      <c r="C1253" s="91">
        <v>127007916917</v>
      </c>
      <c r="D1253" s="3">
        <v>9255.85</v>
      </c>
      <c r="E1253" s="3">
        <v>8473915.8399999999</v>
      </c>
      <c r="F1253" s="35" t="s">
        <v>2750</v>
      </c>
      <c r="G1253"/>
      <c r="H1253"/>
      <c r="I1253" s="27">
        <f>-IFERROR(VLOOKUP(C1253,SIRCUPA!$A$21:$H$155,8,0),0)</f>
        <v>0</v>
      </c>
      <c r="J1253" s="88">
        <f>-IFERROR(VLOOKUP(C1253,SIRTAC!$A$16:$H$1288,8,0),0)</f>
        <v>-95</v>
      </c>
      <c r="K1253" s="88">
        <f>-IFERROR(VLOOKUP(C1253,Gastos!$A$9:$J$1281,10,0),0)</f>
        <v>-92.15</v>
      </c>
      <c r="L1253" s="87">
        <f>-IFERROR(VLOOKUP(C1253,IDC!$A$25:$H$1532,8,0),0)</f>
        <v>-57</v>
      </c>
      <c r="M1253" s="122">
        <f t="shared" si="179"/>
        <v>9500</v>
      </c>
      <c r="N1253"/>
      <c r="P1253" s="35">
        <f t="shared" si="177"/>
        <v>-9500</v>
      </c>
      <c r="Q1253" s="66">
        <f t="shared" si="178"/>
        <v>0</v>
      </c>
    </row>
    <row r="1254" spans="1:18" hidden="1">
      <c r="A1254" s="1" t="s">
        <v>1320</v>
      </c>
      <c r="B1254" s="1" t="s">
        <v>15</v>
      </c>
      <c r="C1254" s="91">
        <v>127569343110</v>
      </c>
      <c r="D1254" s="3">
        <v>4384.3500000000004</v>
      </c>
      <c r="E1254" s="3">
        <v>8478300.1899999995</v>
      </c>
      <c r="F1254" s="35" t="s">
        <v>2750</v>
      </c>
      <c r="G1254"/>
      <c r="H1254"/>
      <c r="I1254" s="27">
        <f>-IFERROR(VLOOKUP(C1254,SIRCUPA!$A$21:$H$155,8,0),0)</f>
        <v>0</v>
      </c>
      <c r="J1254" s="88">
        <f>-IFERROR(VLOOKUP(C1254,SIRTAC!$A$16:$H$1288,8,0),0)</f>
        <v>-45</v>
      </c>
      <c r="K1254" s="88">
        <f>-IFERROR(VLOOKUP(C1254,Gastos!$A$9:$J$1281,10,0),0)</f>
        <v>-43.65</v>
      </c>
      <c r="L1254" s="87">
        <f>-IFERROR(VLOOKUP(C1254,IDC!$A$25:$H$1532,8,0),0)</f>
        <v>-27</v>
      </c>
      <c r="M1254" s="122">
        <f t="shared" si="179"/>
        <v>4500</v>
      </c>
      <c r="N1254"/>
      <c r="P1254" s="35">
        <f t="shared" si="177"/>
        <v>-4500</v>
      </c>
      <c r="Q1254" s="66">
        <f t="shared" si="178"/>
        <v>0</v>
      </c>
    </row>
    <row r="1255" spans="1:18" hidden="1">
      <c r="A1255" s="1" t="s">
        <v>1320</v>
      </c>
      <c r="B1255" s="1" t="s">
        <v>15</v>
      </c>
      <c r="C1255" s="91">
        <v>127569643602</v>
      </c>
      <c r="D1255" s="3">
        <v>101911.78</v>
      </c>
      <c r="E1255" s="3">
        <v>8580211.9700000007</v>
      </c>
      <c r="F1255" s="35" t="s">
        <v>2750</v>
      </c>
      <c r="G1255"/>
      <c r="H1255"/>
      <c r="I1255" s="27">
        <f>-IFERROR(VLOOKUP(C1255,SIRCUPA!$A$21:$H$155,8,0),0)</f>
        <v>0</v>
      </c>
      <c r="J1255" s="88">
        <f>-IFERROR(VLOOKUP(C1255,SIRTAC!$A$16:$H$1288,8,0),0)</f>
        <v>-1046</v>
      </c>
      <c r="K1255" s="88">
        <f>-IFERROR(VLOOKUP(C1255,Gastos!$A$9:$J$1281,10,0),0)</f>
        <v>-1014.62</v>
      </c>
      <c r="L1255" s="87">
        <f>-IFERROR(VLOOKUP(C1255,IDC!$A$25:$H$1532,8,0),0)</f>
        <v>-627.6</v>
      </c>
      <c r="M1255" s="122">
        <f t="shared" si="179"/>
        <v>104600</v>
      </c>
      <c r="N1255"/>
      <c r="P1255" s="35">
        <f t="shared" si="177"/>
        <v>-104600</v>
      </c>
      <c r="Q1255" s="66">
        <f t="shared" si="178"/>
        <v>0</v>
      </c>
    </row>
    <row r="1256" spans="1:18" hidden="1">
      <c r="A1256" s="1" t="s">
        <v>1320</v>
      </c>
      <c r="B1256" s="1" t="s">
        <v>1375</v>
      </c>
      <c r="C1256" s="91">
        <v>127569760408</v>
      </c>
      <c r="D1256" s="3">
        <v>10240.34</v>
      </c>
      <c r="E1256" s="3">
        <v>8590452.3100000005</v>
      </c>
      <c r="F1256" s="2" t="s">
        <v>2750</v>
      </c>
      <c r="G1256"/>
      <c r="H1256"/>
      <c r="I1256" s="27">
        <f>-IFERROR(VLOOKUP(C1256,SIRCUPA!$A$21:$H$155,8,0),0)</f>
        <v>-156.9</v>
      </c>
      <c r="J1256" s="88">
        <f>-IFERROR(VLOOKUP(C1256,SIRTAC!$A$16:$H$1288,8,0),0)</f>
        <v>0</v>
      </c>
      <c r="K1256" s="88">
        <f>-IFERROR(VLOOKUP(C1256,Gastos!$A$9:$J$1281,10,0),0)</f>
        <v>0</v>
      </c>
      <c r="L1256" s="87">
        <f>-IFERROR(VLOOKUP(C1256,IDC!$A$25:$H$1532,8,0),0)</f>
        <v>-62.76</v>
      </c>
      <c r="M1256" s="122">
        <f t="shared" si="179"/>
        <v>10460</v>
      </c>
      <c r="N1256"/>
      <c r="P1256" s="35">
        <f t="shared" si="177"/>
        <v>-10460</v>
      </c>
      <c r="Q1256" s="66">
        <f t="shared" si="178"/>
        <v>0</v>
      </c>
    </row>
    <row r="1257" spans="1:18" hidden="1">
      <c r="A1257" s="1" t="s">
        <v>1320</v>
      </c>
      <c r="B1257" s="1" t="s">
        <v>15</v>
      </c>
      <c r="C1257" s="91">
        <v>127569711396</v>
      </c>
      <c r="D1257" s="3">
        <v>97868.43</v>
      </c>
      <c r="E1257" s="3">
        <v>8688320.7400000002</v>
      </c>
      <c r="F1257" s="35" t="s">
        <v>2750</v>
      </c>
      <c r="G1257"/>
      <c r="H1257"/>
      <c r="I1257" s="27">
        <f>-IFERROR(VLOOKUP(C1257,SIRCUPA!$A$21:$H$155,8,0),0)</f>
        <v>0</v>
      </c>
      <c r="J1257" s="88">
        <f>-IFERROR(VLOOKUP(C1257,SIRTAC!$A$16:$H$1288,8,0),0)</f>
        <v>-1004.5</v>
      </c>
      <c r="K1257" s="88">
        <f>-IFERROR(VLOOKUP(C1257,Gastos!$A$9:$J$1281,10,0),0)</f>
        <v>-974.37</v>
      </c>
      <c r="L1257" s="87">
        <f>-IFERROR(VLOOKUP(C1257,IDC!$A$25:$H$1532,8,0),0)</f>
        <v>-602.70000000000005</v>
      </c>
      <c r="M1257" s="122">
        <f t="shared" si="179"/>
        <v>100449.99999999999</v>
      </c>
      <c r="N1257"/>
      <c r="P1257" s="35">
        <f t="shared" si="177"/>
        <v>-100450</v>
      </c>
      <c r="Q1257" s="66">
        <f t="shared" si="178"/>
        <v>0</v>
      </c>
    </row>
    <row r="1258" spans="1:18" hidden="1">
      <c r="A1258" s="1" t="s">
        <v>1320</v>
      </c>
      <c r="B1258" s="1" t="s">
        <v>15</v>
      </c>
      <c r="C1258" s="91">
        <v>127569878656</v>
      </c>
      <c r="D1258" s="3">
        <v>7891.83</v>
      </c>
      <c r="E1258" s="3">
        <v>8696212.5700000003</v>
      </c>
      <c r="F1258" s="35" t="s">
        <v>2750</v>
      </c>
      <c r="G1258"/>
      <c r="H1258"/>
      <c r="I1258" s="27">
        <f>-IFERROR(VLOOKUP(C1258,SIRCUPA!$A$21:$H$155,8,0),0)</f>
        <v>0</v>
      </c>
      <c r="J1258" s="88">
        <f>-IFERROR(VLOOKUP(C1258,SIRTAC!$A$16:$H$1288,8,0),0)</f>
        <v>-81</v>
      </c>
      <c r="K1258" s="88">
        <f>-IFERROR(VLOOKUP(C1258,Gastos!$A$9:$J$1281,10,0),0)</f>
        <v>-78.569999999999993</v>
      </c>
      <c r="L1258" s="87">
        <f>-IFERROR(VLOOKUP(C1258,IDC!$A$25:$H$1532,8,0),0)</f>
        <v>-48.6</v>
      </c>
      <c r="M1258" s="122">
        <f t="shared" si="179"/>
        <v>8100</v>
      </c>
      <c r="N1258"/>
      <c r="P1258" s="35">
        <f t="shared" si="177"/>
        <v>-8100</v>
      </c>
      <c r="Q1258" s="66">
        <f t="shared" si="178"/>
        <v>0</v>
      </c>
    </row>
    <row r="1259" spans="1:18" hidden="1">
      <c r="A1259" s="1" t="s">
        <v>1320</v>
      </c>
      <c r="B1259" s="1" t="s">
        <v>15</v>
      </c>
      <c r="C1259" s="91">
        <v>127008737071</v>
      </c>
      <c r="D1259" s="3">
        <v>30934.02</v>
      </c>
      <c r="E1259" s="3">
        <v>8727146.5899999999</v>
      </c>
      <c r="F1259" s="35" t="s">
        <v>2750</v>
      </c>
      <c r="G1259"/>
      <c r="H1259"/>
      <c r="I1259" s="27">
        <f>-IFERROR(VLOOKUP(C1259,SIRCUPA!$A$21:$H$155,8,0),0)</f>
        <v>0</v>
      </c>
      <c r="J1259" s="88">
        <f>-IFERROR(VLOOKUP(C1259,SIRTAC!$A$16:$H$1288,8,0),0)</f>
        <v>-317.5</v>
      </c>
      <c r="K1259" s="88">
        <f>-IFERROR(VLOOKUP(C1259,Gastos!$A$9:$J$1281,10,0),0)</f>
        <v>-307.98</v>
      </c>
      <c r="L1259" s="87">
        <f>-IFERROR(VLOOKUP(C1259,IDC!$A$25:$H$1532,8,0),0)</f>
        <v>-190.5</v>
      </c>
      <c r="M1259" s="122">
        <f t="shared" si="179"/>
        <v>31750</v>
      </c>
      <c r="N1259"/>
      <c r="P1259" s="35">
        <f t="shared" si="177"/>
        <v>-31750</v>
      </c>
      <c r="Q1259" s="66">
        <f t="shared" si="178"/>
        <v>0</v>
      </c>
    </row>
    <row r="1260" spans="1:18" hidden="1">
      <c r="A1260" s="1" t="s">
        <v>1320</v>
      </c>
      <c r="B1260" s="1" t="s">
        <v>15</v>
      </c>
      <c r="C1260" s="91">
        <v>127570168514</v>
      </c>
      <c r="D1260" s="3">
        <v>4384.3500000000004</v>
      </c>
      <c r="E1260" s="3">
        <v>8731530.9399999995</v>
      </c>
      <c r="F1260" s="35" t="s">
        <v>2750</v>
      </c>
      <c r="G1260"/>
      <c r="H1260"/>
      <c r="I1260" s="27">
        <f>-IFERROR(VLOOKUP(C1260,SIRCUPA!$A$21:$H$155,8,0),0)</f>
        <v>0</v>
      </c>
      <c r="J1260" s="88">
        <f>-IFERROR(VLOOKUP(C1260,SIRTAC!$A$16:$H$1288,8,0),0)</f>
        <v>-45</v>
      </c>
      <c r="K1260" s="88">
        <f>-IFERROR(VLOOKUP(C1260,Gastos!$A$9:$J$1281,10,0),0)</f>
        <v>-43.65</v>
      </c>
      <c r="L1260" s="87">
        <f>-IFERROR(VLOOKUP(C1260,IDC!$A$25:$H$1532,8,0),0)</f>
        <v>-27</v>
      </c>
      <c r="M1260" s="122">
        <f t="shared" si="179"/>
        <v>4500</v>
      </c>
      <c r="N1260"/>
      <c r="P1260" s="35">
        <f t="shared" si="177"/>
        <v>-4500</v>
      </c>
      <c r="Q1260" s="66">
        <f t="shared" si="178"/>
        <v>0</v>
      </c>
    </row>
    <row r="1261" spans="1:18" hidden="1">
      <c r="A1261" s="1" t="s">
        <v>1320</v>
      </c>
      <c r="B1261" s="1" t="s">
        <v>15</v>
      </c>
      <c r="C1261" s="91">
        <v>127570530222</v>
      </c>
      <c r="D1261" s="3">
        <v>34538.93</v>
      </c>
      <c r="E1261" s="3">
        <v>8766069.8699999992</v>
      </c>
      <c r="F1261" s="35" t="s">
        <v>2750</v>
      </c>
      <c r="G1261"/>
      <c r="H1261"/>
      <c r="I1261" s="27">
        <f>-IFERROR(VLOOKUP(C1261,SIRCUPA!$A$21:$H$155,8,0),0)</f>
        <v>0</v>
      </c>
      <c r="J1261" s="88">
        <f>-IFERROR(VLOOKUP(C1261,SIRTAC!$A$16:$H$1288,8,0),0)</f>
        <v>-354.5</v>
      </c>
      <c r="K1261" s="88">
        <f>-IFERROR(VLOOKUP(C1261,Gastos!$A$9:$J$1281,10,0),0)</f>
        <v>-343.87</v>
      </c>
      <c r="L1261" s="87">
        <f>-IFERROR(VLOOKUP(C1261,IDC!$A$25:$H$1532,8,0),0)</f>
        <v>-212.7</v>
      </c>
      <c r="M1261" s="122">
        <f t="shared" si="179"/>
        <v>35450</v>
      </c>
      <c r="N1261"/>
      <c r="P1261" s="35">
        <f t="shared" si="177"/>
        <v>-35450</v>
      </c>
      <c r="Q1261" s="66">
        <f t="shared" si="178"/>
        <v>0</v>
      </c>
    </row>
    <row r="1262" spans="1:18" hidden="1">
      <c r="A1262" s="35" t="s">
        <v>903</v>
      </c>
      <c r="B1262" s="35" t="s">
        <v>47</v>
      </c>
      <c r="C1262" s="91">
        <v>126284737774</v>
      </c>
      <c r="D1262" s="3">
        <v>-126076.95</v>
      </c>
      <c r="E1262" s="3">
        <v>12176972.050000001</v>
      </c>
      <c r="F1262" s="35" t="s">
        <v>2751</v>
      </c>
      <c r="G1262" s="4">
        <f>+D1262/1.006</f>
        <v>-125325</v>
      </c>
      <c r="H1262" s="4">
        <f>+D1262-G1262</f>
        <v>-751.94999999999709</v>
      </c>
      <c r="I1262" s="27">
        <f>-IFERROR(VLOOKUP(C1262,SIRCUPA!$A$21:$H$155,8,0),0)</f>
        <v>0</v>
      </c>
      <c r="J1262" s="88">
        <f>-IFERROR(VLOOKUP(C1262,SIRTAC!$A$16:$H$1288,8,0),0)</f>
        <v>0</v>
      </c>
      <c r="K1262" s="88">
        <f>-IFERROR(VLOOKUP(C1262,Gastos!$A$9:$J$1281,10,0),0)</f>
        <v>0</v>
      </c>
      <c r="L1262" s="87">
        <f>+D1262-G1262</f>
        <v>-751.94999999999709</v>
      </c>
      <c r="M1262" s="121">
        <f t="shared" ref="M1262:M1265" si="180">+D1262-I1262-J1262-K1262-L1262</f>
        <v>-125325</v>
      </c>
      <c r="O1262" s="35"/>
      <c r="Q1262" s="35">
        <f t="shared" ref="Q1262:Q1265" si="181">+L1262/0.006</f>
        <v>-125324.99999999951</v>
      </c>
      <c r="R1262" s="66">
        <f t="shared" ref="R1262:R1265" si="182">+M1262-Q1262</f>
        <v>-4.9476511776447296E-10</v>
      </c>
    </row>
    <row r="1263" spans="1:18" hidden="1">
      <c r="A1263" s="35" t="s">
        <v>903</v>
      </c>
      <c r="B1263" s="35" t="s">
        <v>47</v>
      </c>
      <c r="C1263" s="91">
        <v>126285096672</v>
      </c>
      <c r="D1263" s="3">
        <v>-320702.74</v>
      </c>
      <c r="E1263" s="3">
        <v>11856269.310000001</v>
      </c>
      <c r="F1263" s="35" t="s">
        <v>2751</v>
      </c>
      <c r="G1263" s="4">
        <f>+D1263/1.006</f>
        <v>-318790</v>
      </c>
      <c r="H1263" s="4">
        <f>+D1263-G1263</f>
        <v>-1912.7399999999907</v>
      </c>
      <c r="I1263" s="27">
        <f>-IFERROR(VLOOKUP(C1263,SIRCUPA!$A$21:$H$155,8,0),0)</f>
        <v>0</v>
      </c>
      <c r="J1263" s="88">
        <f>-IFERROR(VLOOKUP(C1263,SIRTAC!$A$16:$H$1288,8,0),0)</f>
        <v>0</v>
      </c>
      <c r="K1263" s="88">
        <f>-IFERROR(VLOOKUP(C1263,Gastos!$A$9:$J$1281,10,0),0)</f>
        <v>0</v>
      </c>
      <c r="L1263" s="87">
        <f>+D1263-G1263</f>
        <v>-1912.7399999999907</v>
      </c>
      <c r="M1263" s="121">
        <f t="shared" si="180"/>
        <v>-318790</v>
      </c>
      <c r="O1263" s="35"/>
      <c r="Q1263" s="35">
        <f t="shared" si="181"/>
        <v>-318789.99999999843</v>
      </c>
      <c r="R1263" s="66">
        <f t="shared" si="182"/>
        <v>-1.57160684466362E-9</v>
      </c>
    </row>
    <row r="1264" spans="1:18" hidden="1">
      <c r="A1264" s="35" t="s">
        <v>1282</v>
      </c>
      <c r="B1264" s="35" t="s">
        <v>47</v>
      </c>
      <c r="C1264" s="91">
        <v>126557190161</v>
      </c>
      <c r="D1264" s="3">
        <v>-150472.45000000001</v>
      </c>
      <c r="E1264" s="3">
        <v>11589325.51</v>
      </c>
      <c r="F1264" s="35" t="s">
        <v>2751</v>
      </c>
      <c r="G1264" s="4">
        <f>+D1264/1.006</f>
        <v>-149575</v>
      </c>
      <c r="H1264" s="4">
        <f>+D1264-G1264</f>
        <v>-897.45000000001164</v>
      </c>
      <c r="I1264" s="27">
        <f>-IFERROR(VLOOKUP(C1264,SIRCUPA!$A$21:$H$155,8,0),0)</f>
        <v>0</v>
      </c>
      <c r="J1264" s="88">
        <f>-IFERROR(VLOOKUP(C1264,SIRTAC!$A$16:$H$1288,8,0),0)</f>
        <v>0</v>
      </c>
      <c r="K1264" s="88">
        <f>-IFERROR(VLOOKUP(C1264,Gastos!$A$9:$J$1281,10,0),0)</f>
        <v>0</v>
      </c>
      <c r="L1264" s="87">
        <f>+D1264-G1264</f>
        <v>-897.45000000001164</v>
      </c>
      <c r="M1264" s="121">
        <f t="shared" si="180"/>
        <v>-149575</v>
      </c>
      <c r="O1264" s="35"/>
      <c r="Q1264" s="35">
        <f t="shared" si="181"/>
        <v>-149575.00000000195</v>
      </c>
      <c r="R1264" s="66">
        <f t="shared" si="182"/>
        <v>1.9499566406011581E-9</v>
      </c>
    </row>
    <row r="1265" spans="1:18" hidden="1">
      <c r="A1265" s="35" t="s">
        <v>1282</v>
      </c>
      <c r="B1265" s="35" t="s">
        <v>47</v>
      </c>
      <c r="C1265" s="91">
        <v>127115178752</v>
      </c>
      <c r="D1265" s="3">
        <v>-179047.88</v>
      </c>
      <c r="E1265" s="3">
        <v>11410277.630000001</v>
      </c>
      <c r="F1265" s="35" t="s">
        <v>2751</v>
      </c>
      <c r="G1265" s="4">
        <f>+D1265/1.006</f>
        <v>-177980</v>
      </c>
      <c r="H1265" s="4">
        <f>+D1265-G1265</f>
        <v>-1067.8800000000047</v>
      </c>
      <c r="I1265" s="27">
        <f>-IFERROR(VLOOKUP(C1265,SIRCUPA!$A$21:$H$155,8,0),0)</f>
        <v>0</v>
      </c>
      <c r="J1265" s="88">
        <f>-IFERROR(VLOOKUP(C1265,SIRTAC!$A$16:$H$1288,8,0),0)</f>
        <v>0</v>
      </c>
      <c r="K1265" s="88">
        <f>-IFERROR(VLOOKUP(C1265,Gastos!$A$9:$J$1281,10,0),0)</f>
        <v>0</v>
      </c>
      <c r="L1265" s="87">
        <f>+D1265-G1265</f>
        <v>-1067.8800000000047</v>
      </c>
      <c r="M1265" s="121">
        <f t="shared" si="180"/>
        <v>-177980</v>
      </c>
      <c r="O1265" s="35"/>
      <c r="Q1265" s="35">
        <f t="shared" si="181"/>
        <v>-177980.00000000079</v>
      </c>
      <c r="R1265" s="66">
        <f t="shared" si="182"/>
        <v>7.8580342233181E-10</v>
      </c>
    </row>
    <row r="1266" spans="1:18" hidden="1">
      <c r="A1266" s="1" t="s">
        <v>1382</v>
      </c>
      <c r="B1266" s="1" t="s">
        <v>15</v>
      </c>
      <c r="C1266" s="91">
        <v>127009741659</v>
      </c>
      <c r="D1266" s="3">
        <v>7404.68</v>
      </c>
      <c r="E1266" s="3">
        <v>8773474.5500000007</v>
      </c>
      <c r="F1266" s="35" t="s">
        <v>2750</v>
      </c>
      <c r="G1266"/>
      <c r="H1266"/>
      <c r="I1266" s="27">
        <f>-IFERROR(VLOOKUP(C1266,SIRCUPA!$A$21:$H$155,8,0),0)</f>
        <v>0</v>
      </c>
      <c r="J1266" s="88">
        <f>-IFERROR(VLOOKUP(C1266,SIRTAC!$A$16:$H$1288,8,0),0)</f>
        <v>-76</v>
      </c>
      <c r="K1266" s="88">
        <f>-IFERROR(VLOOKUP(C1266,Gastos!$A$9:$J$1281,10,0),0)</f>
        <v>-73.72</v>
      </c>
      <c r="L1266" s="87">
        <f>-IFERROR(VLOOKUP(C1266,IDC!$A$25:$H$1532,8,0),0)</f>
        <v>-45.6</v>
      </c>
      <c r="M1266" s="122">
        <f t="shared" ref="M1266:M1297" si="183">+D1266-I1266-J1266-K1266-L1266</f>
        <v>7600.0000000000009</v>
      </c>
      <c r="N1266"/>
      <c r="P1266" s="35">
        <f t="shared" ref="P1266:P1329" si="184">+L1266/0.006</f>
        <v>-7600</v>
      </c>
      <c r="Q1266" s="66">
        <f t="shared" ref="Q1266:Q1329" si="185">+M1266+P1266</f>
        <v>0</v>
      </c>
    </row>
    <row r="1267" spans="1:18" hidden="1">
      <c r="A1267" s="1" t="s">
        <v>1382</v>
      </c>
      <c r="B1267" s="1" t="s">
        <v>15</v>
      </c>
      <c r="C1267" s="91">
        <v>127571110712</v>
      </c>
      <c r="D1267" s="3">
        <v>4384.3500000000004</v>
      </c>
      <c r="E1267" s="3">
        <v>8777858.9000000004</v>
      </c>
      <c r="F1267" s="35" t="s">
        <v>2750</v>
      </c>
      <c r="G1267"/>
      <c r="H1267"/>
      <c r="I1267" s="27">
        <f>-IFERROR(VLOOKUP(C1267,SIRCUPA!$A$21:$H$155,8,0),0)</f>
        <v>0</v>
      </c>
      <c r="J1267" s="88">
        <f>-IFERROR(VLOOKUP(C1267,SIRTAC!$A$16:$H$1288,8,0),0)</f>
        <v>-45</v>
      </c>
      <c r="K1267" s="88">
        <f>-IFERROR(VLOOKUP(C1267,Gastos!$A$9:$J$1281,10,0),0)</f>
        <v>-43.65</v>
      </c>
      <c r="L1267" s="87">
        <f>-IFERROR(VLOOKUP(C1267,IDC!$A$25:$H$1532,8,0),0)</f>
        <v>-27</v>
      </c>
      <c r="M1267" s="122">
        <f t="shared" si="183"/>
        <v>4500</v>
      </c>
      <c r="N1267"/>
      <c r="P1267" s="35">
        <f t="shared" si="184"/>
        <v>-4500</v>
      </c>
      <c r="Q1267" s="66">
        <f t="shared" si="185"/>
        <v>0</v>
      </c>
    </row>
    <row r="1268" spans="1:18" hidden="1">
      <c r="A1268" s="1" t="s">
        <v>1382</v>
      </c>
      <c r="B1268" s="1" t="s">
        <v>15</v>
      </c>
      <c r="C1268" s="91">
        <v>127009987447</v>
      </c>
      <c r="D1268" s="3">
        <v>44817.8</v>
      </c>
      <c r="E1268" s="3">
        <v>8822676.6999999993</v>
      </c>
      <c r="F1268" s="35" t="s">
        <v>2750</v>
      </c>
      <c r="G1268"/>
      <c r="H1268"/>
      <c r="I1268" s="27">
        <f>-IFERROR(VLOOKUP(C1268,SIRCUPA!$A$21:$H$155,8,0),0)</f>
        <v>0</v>
      </c>
      <c r="J1268" s="88">
        <f>-IFERROR(VLOOKUP(C1268,SIRTAC!$A$16:$H$1288,8,0),0)</f>
        <v>-460</v>
      </c>
      <c r="K1268" s="88">
        <f>-IFERROR(VLOOKUP(C1268,Gastos!$A$9:$J$1281,10,0),0)</f>
        <v>-446.2</v>
      </c>
      <c r="L1268" s="87">
        <f>-IFERROR(VLOOKUP(C1268,IDC!$A$25:$H$1532,8,0),0)</f>
        <v>-276</v>
      </c>
      <c r="M1268" s="122">
        <f t="shared" si="183"/>
        <v>46000</v>
      </c>
      <c r="N1268"/>
      <c r="P1268" s="35">
        <f t="shared" si="184"/>
        <v>-46000</v>
      </c>
      <c r="Q1268" s="66">
        <f t="shared" si="185"/>
        <v>0</v>
      </c>
    </row>
    <row r="1269" spans="1:18" hidden="1">
      <c r="A1269" s="1" t="s">
        <v>1382</v>
      </c>
      <c r="B1269" s="1" t="s">
        <v>15</v>
      </c>
      <c r="C1269" s="91">
        <v>127010232283</v>
      </c>
      <c r="D1269" s="3">
        <v>9743</v>
      </c>
      <c r="E1269" s="3">
        <v>8832419.6999999993</v>
      </c>
      <c r="F1269" s="35" t="s">
        <v>2750</v>
      </c>
      <c r="G1269"/>
      <c r="H1269"/>
      <c r="I1269" s="27">
        <f>-IFERROR(VLOOKUP(C1269,SIRCUPA!$A$21:$H$155,8,0),0)</f>
        <v>0</v>
      </c>
      <c r="J1269" s="88">
        <f>-IFERROR(VLOOKUP(C1269,SIRTAC!$A$16:$H$1288,8,0),0)</f>
        <v>-100</v>
      </c>
      <c r="K1269" s="88">
        <f>-IFERROR(VLOOKUP(C1269,Gastos!$A$9:$J$1281,10,0),0)</f>
        <v>-97</v>
      </c>
      <c r="L1269" s="87">
        <f>-IFERROR(VLOOKUP(C1269,IDC!$A$25:$H$1532,8,0),0)</f>
        <v>-60</v>
      </c>
      <c r="M1269" s="122">
        <f t="shared" si="183"/>
        <v>10000</v>
      </c>
      <c r="N1269"/>
      <c r="P1269" s="35">
        <f t="shared" si="184"/>
        <v>-10000</v>
      </c>
      <c r="Q1269" s="66">
        <f t="shared" si="185"/>
        <v>0</v>
      </c>
    </row>
    <row r="1270" spans="1:18" hidden="1">
      <c r="A1270" s="1" t="s">
        <v>1382</v>
      </c>
      <c r="B1270" s="1" t="s">
        <v>15</v>
      </c>
      <c r="C1270" s="91">
        <v>127010025919</v>
      </c>
      <c r="D1270" s="3">
        <v>4354.6499999999996</v>
      </c>
      <c r="E1270" s="3">
        <v>8836774.3499999996</v>
      </c>
      <c r="F1270" s="35" t="s">
        <v>2750</v>
      </c>
      <c r="G1270"/>
      <c r="H1270"/>
      <c r="I1270" s="27">
        <f>-IFERROR(VLOOKUP(C1270,SIRCUPA!$A$21:$H$155,8,0),0)</f>
        <v>0</v>
      </c>
      <c r="J1270" s="88">
        <f>-IFERROR(VLOOKUP(C1270,SIRTAC!$A$16:$H$1288,8,0),0)</f>
        <v>-45</v>
      </c>
      <c r="K1270" s="88">
        <f>-IFERROR(VLOOKUP(C1270,Gastos!$A$9:$J$1281,10,0),0)</f>
        <v>-73.349999999999994</v>
      </c>
      <c r="L1270" s="87">
        <f>-IFERROR(VLOOKUP(C1270,IDC!$A$25:$H$1532,8,0),0)</f>
        <v>-27</v>
      </c>
      <c r="M1270" s="122">
        <f t="shared" si="183"/>
        <v>4500</v>
      </c>
      <c r="N1270"/>
      <c r="P1270" s="35">
        <f t="shared" si="184"/>
        <v>-4500</v>
      </c>
      <c r="Q1270" s="66">
        <f t="shared" si="185"/>
        <v>0</v>
      </c>
    </row>
    <row r="1271" spans="1:18" hidden="1">
      <c r="A1271" s="1" t="s">
        <v>1382</v>
      </c>
      <c r="B1271" s="1" t="s">
        <v>15</v>
      </c>
      <c r="C1271" s="91">
        <v>127010211831</v>
      </c>
      <c r="D1271" s="3">
        <v>14906.79</v>
      </c>
      <c r="E1271" s="3">
        <v>8851681.1400000006</v>
      </c>
      <c r="F1271" s="35" t="s">
        <v>2750</v>
      </c>
      <c r="G1271"/>
      <c r="H1271"/>
      <c r="I1271" s="27">
        <f>-IFERROR(VLOOKUP(C1271,SIRCUPA!$A$21:$H$155,8,0),0)</f>
        <v>0</v>
      </c>
      <c r="J1271" s="88">
        <f>-IFERROR(VLOOKUP(C1271,SIRTAC!$A$16:$H$1288,8,0),0)</f>
        <v>-153</v>
      </c>
      <c r="K1271" s="88">
        <f>-IFERROR(VLOOKUP(C1271,Gastos!$A$9:$J$1281,10,0),0)</f>
        <v>-148.41</v>
      </c>
      <c r="L1271" s="87">
        <f>-IFERROR(VLOOKUP(C1271,IDC!$A$25:$H$1532,8,0),0)</f>
        <v>-91.8</v>
      </c>
      <c r="M1271" s="122">
        <f t="shared" si="183"/>
        <v>15300</v>
      </c>
      <c r="N1271"/>
      <c r="P1271" s="35">
        <f t="shared" si="184"/>
        <v>-15300</v>
      </c>
      <c r="Q1271" s="66">
        <f t="shared" si="185"/>
        <v>0</v>
      </c>
    </row>
    <row r="1272" spans="1:18" hidden="1">
      <c r="A1272" s="1" t="s">
        <v>1382</v>
      </c>
      <c r="B1272" s="1" t="s">
        <v>15</v>
      </c>
      <c r="C1272" s="91">
        <v>127571538018</v>
      </c>
      <c r="D1272" s="3">
        <v>33773.879999999997</v>
      </c>
      <c r="E1272" s="3">
        <v>8885455.0199999996</v>
      </c>
      <c r="F1272" s="35" t="s">
        <v>2750</v>
      </c>
      <c r="G1272"/>
      <c r="H1272"/>
      <c r="I1272" s="27">
        <f>-IFERROR(VLOOKUP(C1272,SIRCUPA!$A$21:$H$155,8,0),0)</f>
        <v>0</v>
      </c>
      <c r="J1272" s="88">
        <f>-IFERROR(VLOOKUP(C1272,SIRTAC!$A$16:$H$1288,8,0),0)</f>
        <v>-372</v>
      </c>
      <c r="K1272" s="88">
        <f>-IFERROR(VLOOKUP(C1272,Gastos!$A$9:$J$1281,10,0),0)</f>
        <v>-2830.92</v>
      </c>
      <c r="L1272" s="87">
        <f>-IFERROR(VLOOKUP(C1272,IDC!$A$25:$H$1532,8,0),0)</f>
        <v>-223.2</v>
      </c>
      <c r="M1272" s="122">
        <f t="shared" si="183"/>
        <v>37199.999999999993</v>
      </c>
      <c r="N1272"/>
      <c r="P1272" s="35">
        <f t="shared" si="184"/>
        <v>-37200</v>
      </c>
      <c r="Q1272" s="66">
        <f t="shared" si="185"/>
        <v>0</v>
      </c>
    </row>
    <row r="1273" spans="1:18" hidden="1">
      <c r="A1273" s="1" t="s">
        <v>1382</v>
      </c>
      <c r="B1273" s="1" t="s">
        <v>15</v>
      </c>
      <c r="C1273" s="91">
        <v>127572103516</v>
      </c>
      <c r="D1273" s="3">
        <v>4286.92</v>
      </c>
      <c r="E1273" s="3">
        <v>8889741.9399999995</v>
      </c>
      <c r="F1273" s="35" t="s">
        <v>2750</v>
      </c>
      <c r="G1273"/>
      <c r="H1273"/>
      <c r="I1273" s="27">
        <f>-IFERROR(VLOOKUP(C1273,SIRCUPA!$A$21:$H$155,8,0),0)</f>
        <v>0</v>
      </c>
      <c r="J1273" s="88">
        <f>-IFERROR(VLOOKUP(C1273,SIRTAC!$A$16:$H$1288,8,0),0)</f>
        <v>-44</v>
      </c>
      <c r="K1273" s="88">
        <f>-IFERROR(VLOOKUP(C1273,Gastos!$A$9:$J$1281,10,0),0)</f>
        <v>-42.68</v>
      </c>
      <c r="L1273" s="87">
        <f>-IFERROR(VLOOKUP(C1273,IDC!$A$25:$H$1532,8,0),0)</f>
        <v>-26.4</v>
      </c>
      <c r="M1273" s="122">
        <f t="shared" si="183"/>
        <v>4400</v>
      </c>
      <c r="N1273"/>
      <c r="P1273" s="35">
        <f t="shared" si="184"/>
        <v>-4400</v>
      </c>
      <c r="Q1273" s="66">
        <f t="shared" si="185"/>
        <v>0</v>
      </c>
    </row>
    <row r="1274" spans="1:18" hidden="1">
      <c r="A1274" s="1" t="s">
        <v>1382</v>
      </c>
      <c r="B1274" s="1" t="s">
        <v>1391</v>
      </c>
      <c r="C1274" s="91">
        <v>127572204974</v>
      </c>
      <c r="D1274" s="2">
        <v>646.14</v>
      </c>
      <c r="E1274" s="3">
        <v>8890388.0800000001</v>
      </c>
      <c r="F1274" s="2" t="s">
        <v>2750</v>
      </c>
      <c r="G1274"/>
      <c r="H1274"/>
      <c r="I1274" s="27">
        <f>-IFERROR(VLOOKUP(C1274,SIRCUPA!$A$21:$H$155,8,0),0)</f>
        <v>-9.9</v>
      </c>
      <c r="J1274" s="88">
        <f>-IFERROR(VLOOKUP(C1274,SIRTAC!$A$16:$H$1288,8,0),0)</f>
        <v>0</v>
      </c>
      <c r="K1274" s="88">
        <f>-IFERROR(VLOOKUP(C1274,Gastos!$A$9:$J$1281,10,0),0)</f>
        <v>0</v>
      </c>
      <c r="L1274" s="87">
        <f>-IFERROR(VLOOKUP(C1274,IDC!$A$25:$H$1532,8,0),0)</f>
        <v>-3.96</v>
      </c>
      <c r="M1274" s="122">
        <f t="shared" si="183"/>
        <v>660</v>
      </c>
      <c r="N1274"/>
      <c r="P1274" s="35">
        <f t="shared" si="184"/>
        <v>-660</v>
      </c>
      <c r="Q1274" s="66">
        <f t="shared" si="185"/>
        <v>0</v>
      </c>
    </row>
    <row r="1275" spans="1:18" hidden="1">
      <c r="A1275" s="1" t="s">
        <v>1382</v>
      </c>
      <c r="B1275" s="1" t="s">
        <v>15</v>
      </c>
      <c r="C1275" s="91">
        <v>127572308076</v>
      </c>
      <c r="D1275" s="3">
        <v>4384.3500000000004</v>
      </c>
      <c r="E1275" s="3">
        <v>8894772.4299999997</v>
      </c>
      <c r="F1275" s="35" t="s">
        <v>2750</v>
      </c>
      <c r="G1275"/>
      <c r="H1275"/>
      <c r="I1275" s="27">
        <f>-IFERROR(VLOOKUP(C1275,SIRCUPA!$A$21:$H$155,8,0),0)</f>
        <v>0</v>
      </c>
      <c r="J1275" s="88">
        <f>-IFERROR(VLOOKUP(C1275,SIRTAC!$A$16:$H$1288,8,0),0)</f>
        <v>-45</v>
      </c>
      <c r="K1275" s="88">
        <f>-IFERROR(VLOOKUP(C1275,Gastos!$A$9:$J$1281,10,0),0)</f>
        <v>-43.65</v>
      </c>
      <c r="L1275" s="87">
        <f>-IFERROR(VLOOKUP(C1275,IDC!$A$25:$H$1532,8,0),0)</f>
        <v>-27</v>
      </c>
      <c r="M1275" s="122">
        <f t="shared" si="183"/>
        <v>4500</v>
      </c>
      <c r="N1275"/>
      <c r="P1275" s="35">
        <f t="shared" si="184"/>
        <v>-4500</v>
      </c>
      <c r="Q1275" s="66">
        <f t="shared" si="185"/>
        <v>0</v>
      </c>
    </row>
    <row r="1276" spans="1:18" hidden="1">
      <c r="A1276" s="1" t="s">
        <v>1382</v>
      </c>
      <c r="B1276" s="1" t="s">
        <v>15</v>
      </c>
      <c r="C1276" s="91">
        <v>127010996009</v>
      </c>
      <c r="D1276" s="3">
        <v>7891.83</v>
      </c>
      <c r="E1276" s="3">
        <v>8902664.2599999998</v>
      </c>
      <c r="F1276" s="35" t="s">
        <v>2750</v>
      </c>
      <c r="G1276"/>
      <c r="H1276"/>
      <c r="I1276" s="27">
        <f>-IFERROR(VLOOKUP(C1276,SIRCUPA!$A$21:$H$155,8,0),0)</f>
        <v>0</v>
      </c>
      <c r="J1276" s="88">
        <f>-IFERROR(VLOOKUP(C1276,SIRTAC!$A$16:$H$1288,8,0),0)</f>
        <v>-81</v>
      </c>
      <c r="K1276" s="88">
        <f>-IFERROR(VLOOKUP(C1276,Gastos!$A$9:$J$1281,10,0),0)</f>
        <v>-78.569999999999993</v>
      </c>
      <c r="L1276" s="87">
        <f>-IFERROR(VLOOKUP(C1276,IDC!$A$25:$H$1532,8,0),0)</f>
        <v>-48.6</v>
      </c>
      <c r="M1276" s="122">
        <f t="shared" si="183"/>
        <v>8100</v>
      </c>
      <c r="N1276"/>
      <c r="P1276" s="35">
        <f t="shared" si="184"/>
        <v>-8100</v>
      </c>
      <c r="Q1276" s="66">
        <f t="shared" si="185"/>
        <v>0</v>
      </c>
    </row>
    <row r="1277" spans="1:18" hidden="1">
      <c r="A1277" s="1" t="s">
        <v>1382</v>
      </c>
      <c r="B1277" s="1" t="s">
        <v>15</v>
      </c>
      <c r="C1277" s="91">
        <v>127011203685</v>
      </c>
      <c r="D1277" s="3">
        <v>4384.3500000000004</v>
      </c>
      <c r="E1277" s="3">
        <v>8907048.6099999994</v>
      </c>
      <c r="F1277" s="35" t="s">
        <v>2750</v>
      </c>
      <c r="G1277"/>
      <c r="H1277"/>
      <c r="I1277" s="27">
        <f>-IFERROR(VLOOKUP(C1277,SIRCUPA!$A$21:$H$155,8,0),0)</f>
        <v>0</v>
      </c>
      <c r="J1277" s="88">
        <f>-IFERROR(VLOOKUP(C1277,SIRTAC!$A$16:$H$1288,8,0),0)</f>
        <v>-45</v>
      </c>
      <c r="K1277" s="88">
        <f>-IFERROR(VLOOKUP(C1277,Gastos!$A$9:$J$1281,10,0),0)</f>
        <v>-43.65</v>
      </c>
      <c r="L1277" s="87">
        <f>-IFERROR(VLOOKUP(C1277,IDC!$A$25:$H$1532,8,0),0)</f>
        <v>-27</v>
      </c>
      <c r="M1277" s="122">
        <f t="shared" si="183"/>
        <v>4500</v>
      </c>
      <c r="N1277"/>
      <c r="P1277" s="35">
        <f t="shared" si="184"/>
        <v>-4500</v>
      </c>
      <c r="Q1277" s="66">
        <f t="shared" si="185"/>
        <v>0</v>
      </c>
    </row>
    <row r="1278" spans="1:18" hidden="1">
      <c r="A1278" s="1" t="s">
        <v>1382</v>
      </c>
      <c r="B1278" s="1" t="s">
        <v>15</v>
      </c>
      <c r="C1278" s="91">
        <v>127572489702</v>
      </c>
      <c r="D1278" s="3">
        <v>3378.96</v>
      </c>
      <c r="E1278" s="3">
        <v>8910427.5700000003</v>
      </c>
      <c r="F1278" s="35" t="s">
        <v>2750</v>
      </c>
      <c r="G1278"/>
      <c r="H1278"/>
      <c r="I1278" s="27">
        <f>-IFERROR(VLOOKUP(C1278,SIRCUPA!$A$21:$H$155,8,0),0)</f>
        <v>0</v>
      </c>
      <c r="J1278" s="88">
        <f>-IFERROR(VLOOKUP(C1278,SIRTAC!$A$16:$H$1288,8,0),0)</f>
        <v>-36</v>
      </c>
      <c r="K1278" s="88">
        <f>-IFERROR(VLOOKUP(C1278,Gastos!$A$9:$J$1281,10,0),0)</f>
        <v>-163.44</v>
      </c>
      <c r="L1278" s="87">
        <f>-IFERROR(VLOOKUP(C1278,IDC!$A$25:$H$1532,8,0),0)</f>
        <v>-21.6</v>
      </c>
      <c r="M1278" s="122">
        <f t="shared" si="183"/>
        <v>3600</v>
      </c>
      <c r="N1278"/>
      <c r="P1278" s="35">
        <f t="shared" si="184"/>
        <v>-3600</v>
      </c>
      <c r="Q1278" s="66">
        <f t="shared" si="185"/>
        <v>0</v>
      </c>
    </row>
    <row r="1279" spans="1:18" hidden="1">
      <c r="A1279" s="1" t="s">
        <v>1382</v>
      </c>
      <c r="B1279" s="1" t="s">
        <v>15</v>
      </c>
      <c r="C1279" s="91">
        <v>127572547690</v>
      </c>
      <c r="D1279" s="3">
        <v>83351.360000000001</v>
      </c>
      <c r="E1279" s="3">
        <v>8993778.9299999997</v>
      </c>
      <c r="F1279" s="35" t="s">
        <v>2750</v>
      </c>
      <c r="G1279"/>
      <c r="H1279"/>
      <c r="I1279" s="27">
        <f>-IFERROR(VLOOKUP(C1279,SIRCUPA!$A$21:$H$155,8,0),0)</f>
        <v>0</v>
      </c>
      <c r="J1279" s="88">
        <f>-IFERROR(VLOOKUP(C1279,SIRTAC!$A$16:$H$1288,8,0),0)</f>
        <v>-855.5</v>
      </c>
      <c r="K1279" s="88">
        <f>-IFERROR(VLOOKUP(C1279,Gastos!$A$9:$J$1281,10,0),0)</f>
        <v>-829.84</v>
      </c>
      <c r="L1279" s="87">
        <f>-IFERROR(VLOOKUP(C1279,IDC!$A$25:$H$1532,8,0),0)</f>
        <v>-513.29999999999995</v>
      </c>
      <c r="M1279" s="122">
        <f t="shared" si="183"/>
        <v>85550</v>
      </c>
      <c r="N1279"/>
      <c r="P1279" s="35">
        <f t="shared" si="184"/>
        <v>-85549.999999999985</v>
      </c>
      <c r="Q1279" s="66">
        <f t="shared" si="185"/>
        <v>0</v>
      </c>
    </row>
    <row r="1280" spans="1:18" hidden="1">
      <c r="A1280" s="1" t="s">
        <v>1382</v>
      </c>
      <c r="B1280" s="1" t="s">
        <v>15</v>
      </c>
      <c r="C1280" s="91">
        <v>127572677794</v>
      </c>
      <c r="D1280" s="3">
        <v>3507.48</v>
      </c>
      <c r="E1280" s="3">
        <v>8997286.4100000001</v>
      </c>
      <c r="F1280" s="35" t="s">
        <v>2750</v>
      </c>
      <c r="G1280"/>
      <c r="H1280"/>
      <c r="I1280" s="27">
        <f>-IFERROR(VLOOKUP(C1280,SIRCUPA!$A$21:$H$155,8,0),0)</f>
        <v>0</v>
      </c>
      <c r="J1280" s="88">
        <f>-IFERROR(VLOOKUP(C1280,SIRTAC!$A$16:$H$1288,8,0),0)</f>
        <v>-36</v>
      </c>
      <c r="K1280" s="88">
        <f>-IFERROR(VLOOKUP(C1280,Gastos!$A$9:$J$1281,10,0),0)</f>
        <v>-34.92</v>
      </c>
      <c r="L1280" s="87">
        <f>-IFERROR(VLOOKUP(C1280,IDC!$A$25:$H$1532,8,0),0)</f>
        <v>-21.6</v>
      </c>
      <c r="M1280" s="122">
        <f t="shared" si="183"/>
        <v>3600</v>
      </c>
      <c r="N1280"/>
      <c r="P1280" s="35">
        <f t="shared" si="184"/>
        <v>-3600</v>
      </c>
      <c r="Q1280" s="66">
        <f t="shared" si="185"/>
        <v>0</v>
      </c>
    </row>
    <row r="1281" spans="1:17" hidden="1">
      <c r="A1281" s="1" t="s">
        <v>1382</v>
      </c>
      <c r="B1281" s="1" t="s">
        <v>15</v>
      </c>
      <c r="C1281" s="91">
        <v>127572984226</v>
      </c>
      <c r="D1281" s="3">
        <v>11204.45</v>
      </c>
      <c r="E1281" s="3">
        <v>9008490.8599999994</v>
      </c>
      <c r="F1281" s="35" t="s">
        <v>2750</v>
      </c>
      <c r="G1281"/>
      <c r="H1281"/>
      <c r="I1281" s="27">
        <f>-IFERROR(VLOOKUP(C1281,SIRCUPA!$A$21:$H$155,8,0),0)</f>
        <v>0</v>
      </c>
      <c r="J1281" s="88">
        <f>-IFERROR(VLOOKUP(C1281,SIRTAC!$A$16:$H$1288,8,0),0)</f>
        <v>-115</v>
      </c>
      <c r="K1281" s="88">
        <f>-IFERROR(VLOOKUP(C1281,Gastos!$A$9:$J$1281,10,0),0)</f>
        <v>-111.55</v>
      </c>
      <c r="L1281" s="87">
        <f>-IFERROR(VLOOKUP(C1281,IDC!$A$25:$H$1532,8,0),0)</f>
        <v>-69</v>
      </c>
      <c r="M1281" s="122">
        <f t="shared" si="183"/>
        <v>11500</v>
      </c>
      <c r="N1281"/>
      <c r="P1281" s="35">
        <f t="shared" si="184"/>
        <v>-11500</v>
      </c>
      <c r="Q1281" s="66">
        <f t="shared" si="185"/>
        <v>0</v>
      </c>
    </row>
    <row r="1282" spans="1:17" hidden="1">
      <c r="A1282" s="1" t="s">
        <v>1382</v>
      </c>
      <c r="B1282" s="1" t="s">
        <v>15</v>
      </c>
      <c r="C1282" s="91">
        <v>127573121230</v>
      </c>
      <c r="D1282" s="3">
        <v>8502.2999999999993</v>
      </c>
      <c r="E1282" s="3">
        <v>9016993.1600000001</v>
      </c>
      <c r="F1282" s="35" t="s">
        <v>2750</v>
      </c>
      <c r="G1282"/>
      <c r="H1282"/>
      <c r="I1282" s="27">
        <f>-IFERROR(VLOOKUP(C1282,SIRCUPA!$A$21:$H$155,8,0),0)</f>
        <v>0</v>
      </c>
      <c r="J1282" s="88">
        <f>-IFERROR(VLOOKUP(C1282,SIRTAC!$A$16:$H$1288,8,0),0)</f>
        <v>-90</v>
      </c>
      <c r="K1282" s="88">
        <f>-IFERROR(VLOOKUP(C1282,Gastos!$A$9:$J$1281,10,0),0)</f>
        <v>-353.7</v>
      </c>
      <c r="L1282" s="87">
        <f>-IFERROR(VLOOKUP(C1282,IDC!$A$25:$H$1532,8,0),0)</f>
        <v>-54</v>
      </c>
      <c r="M1282" s="122">
        <f t="shared" si="183"/>
        <v>9000</v>
      </c>
      <c r="N1282"/>
      <c r="P1282" s="35">
        <f t="shared" si="184"/>
        <v>-9000</v>
      </c>
      <c r="Q1282" s="66">
        <f t="shared" si="185"/>
        <v>0</v>
      </c>
    </row>
    <row r="1283" spans="1:17" hidden="1">
      <c r="A1283" s="1" t="s">
        <v>1382</v>
      </c>
      <c r="B1283" s="1" t="s">
        <v>15</v>
      </c>
      <c r="C1283" s="91">
        <v>127573266632</v>
      </c>
      <c r="D1283" s="3">
        <v>14906.79</v>
      </c>
      <c r="E1283" s="3">
        <v>9031899.9499999993</v>
      </c>
      <c r="F1283" s="35" t="s">
        <v>2750</v>
      </c>
      <c r="G1283"/>
      <c r="H1283"/>
      <c r="I1283" s="27">
        <f>-IFERROR(VLOOKUP(C1283,SIRCUPA!$A$21:$H$155,8,0),0)</f>
        <v>0</v>
      </c>
      <c r="J1283" s="88">
        <f>-IFERROR(VLOOKUP(C1283,SIRTAC!$A$16:$H$1288,8,0),0)</f>
        <v>-153</v>
      </c>
      <c r="K1283" s="88">
        <f>-IFERROR(VLOOKUP(C1283,Gastos!$A$9:$J$1281,10,0),0)</f>
        <v>-148.41</v>
      </c>
      <c r="L1283" s="87">
        <f>-IFERROR(VLOOKUP(C1283,IDC!$A$25:$H$1532,8,0),0)</f>
        <v>-91.8</v>
      </c>
      <c r="M1283" s="122">
        <f t="shared" si="183"/>
        <v>15300</v>
      </c>
      <c r="N1283"/>
      <c r="P1283" s="35">
        <f t="shared" si="184"/>
        <v>-15300</v>
      </c>
      <c r="Q1283" s="66">
        <f t="shared" si="185"/>
        <v>0</v>
      </c>
    </row>
    <row r="1284" spans="1:17" hidden="1">
      <c r="A1284" s="1" t="s">
        <v>1382</v>
      </c>
      <c r="B1284" s="1" t="s">
        <v>15</v>
      </c>
      <c r="C1284" s="91">
        <v>127573233874</v>
      </c>
      <c r="D1284" s="3">
        <v>7891.83</v>
      </c>
      <c r="E1284" s="3">
        <v>9039791.7799999993</v>
      </c>
      <c r="F1284" s="35" t="s">
        <v>2750</v>
      </c>
      <c r="G1284"/>
      <c r="H1284"/>
      <c r="I1284" s="27">
        <f>-IFERROR(VLOOKUP(C1284,SIRCUPA!$A$21:$H$155,8,0),0)</f>
        <v>0</v>
      </c>
      <c r="J1284" s="88">
        <f>-IFERROR(VLOOKUP(C1284,SIRTAC!$A$16:$H$1288,8,0),0)</f>
        <v>-81</v>
      </c>
      <c r="K1284" s="88">
        <f>-IFERROR(VLOOKUP(C1284,Gastos!$A$9:$J$1281,10,0),0)</f>
        <v>-78.569999999999993</v>
      </c>
      <c r="L1284" s="87">
        <f>-IFERROR(VLOOKUP(C1284,IDC!$A$25:$H$1532,8,0),0)</f>
        <v>-48.6</v>
      </c>
      <c r="M1284" s="122">
        <f t="shared" si="183"/>
        <v>8100</v>
      </c>
      <c r="N1284"/>
      <c r="P1284" s="35">
        <f t="shared" si="184"/>
        <v>-8100</v>
      </c>
      <c r="Q1284" s="66">
        <f t="shared" si="185"/>
        <v>0</v>
      </c>
    </row>
    <row r="1285" spans="1:17" hidden="1">
      <c r="A1285" s="1" t="s">
        <v>1382</v>
      </c>
      <c r="B1285" s="1" t="s">
        <v>15</v>
      </c>
      <c r="C1285" s="91">
        <v>127573340062</v>
      </c>
      <c r="D1285" s="3">
        <v>12568.47</v>
      </c>
      <c r="E1285" s="3">
        <v>9052360.25</v>
      </c>
      <c r="F1285" s="35" t="s">
        <v>2750</v>
      </c>
      <c r="G1285"/>
      <c r="H1285"/>
      <c r="I1285" s="27">
        <f>-IFERROR(VLOOKUP(C1285,SIRCUPA!$A$21:$H$155,8,0),0)</f>
        <v>0</v>
      </c>
      <c r="J1285" s="88">
        <f>-IFERROR(VLOOKUP(C1285,SIRTAC!$A$16:$H$1288,8,0),0)</f>
        <v>-129</v>
      </c>
      <c r="K1285" s="88">
        <f>-IFERROR(VLOOKUP(C1285,Gastos!$A$9:$J$1281,10,0),0)</f>
        <v>-125.13</v>
      </c>
      <c r="L1285" s="87">
        <f>-IFERROR(VLOOKUP(C1285,IDC!$A$25:$H$1532,8,0),0)</f>
        <v>-77.400000000000006</v>
      </c>
      <c r="M1285" s="122">
        <f t="shared" si="183"/>
        <v>12899.999999999998</v>
      </c>
      <c r="N1285"/>
      <c r="P1285" s="35">
        <f t="shared" si="184"/>
        <v>-12900</v>
      </c>
      <c r="Q1285" s="66">
        <f t="shared" si="185"/>
        <v>0</v>
      </c>
    </row>
    <row r="1286" spans="1:17" hidden="1">
      <c r="A1286" s="1" t="s">
        <v>1382</v>
      </c>
      <c r="B1286" s="1" t="s">
        <v>15</v>
      </c>
      <c r="C1286" s="91">
        <v>127012562167</v>
      </c>
      <c r="D1286" s="3">
        <v>4384.3500000000004</v>
      </c>
      <c r="E1286" s="3">
        <v>9056744.5999999996</v>
      </c>
      <c r="F1286" s="35" t="s">
        <v>2750</v>
      </c>
      <c r="G1286"/>
      <c r="H1286"/>
      <c r="I1286" s="27">
        <f>-IFERROR(VLOOKUP(C1286,SIRCUPA!$A$21:$H$155,8,0),0)</f>
        <v>0</v>
      </c>
      <c r="J1286" s="88">
        <f>-IFERROR(VLOOKUP(C1286,SIRTAC!$A$16:$H$1288,8,0),0)</f>
        <v>-45</v>
      </c>
      <c r="K1286" s="88">
        <f>-IFERROR(VLOOKUP(C1286,Gastos!$A$9:$J$1281,10,0),0)</f>
        <v>-43.65</v>
      </c>
      <c r="L1286" s="87">
        <f>-IFERROR(VLOOKUP(C1286,IDC!$A$25:$H$1532,8,0),0)</f>
        <v>-27</v>
      </c>
      <c r="M1286" s="122">
        <f t="shared" si="183"/>
        <v>4500</v>
      </c>
      <c r="N1286"/>
      <c r="P1286" s="35">
        <f t="shared" si="184"/>
        <v>-4500</v>
      </c>
      <c r="Q1286" s="66">
        <f t="shared" si="185"/>
        <v>0</v>
      </c>
    </row>
    <row r="1287" spans="1:17" hidden="1">
      <c r="A1287" s="1" t="s">
        <v>1382</v>
      </c>
      <c r="B1287" s="1" t="s">
        <v>15</v>
      </c>
      <c r="C1287" s="91">
        <v>127573927294</v>
      </c>
      <c r="D1287" s="3">
        <v>3507.48</v>
      </c>
      <c r="E1287" s="3">
        <v>9060252.0800000001</v>
      </c>
      <c r="F1287" s="35" t="s">
        <v>2750</v>
      </c>
      <c r="G1287"/>
      <c r="H1287"/>
      <c r="I1287" s="27">
        <f>-IFERROR(VLOOKUP(C1287,SIRCUPA!$A$21:$H$155,8,0),0)</f>
        <v>0</v>
      </c>
      <c r="J1287" s="88">
        <f>-IFERROR(VLOOKUP(C1287,SIRTAC!$A$16:$H$1288,8,0),0)</f>
        <v>-36</v>
      </c>
      <c r="K1287" s="88">
        <f>-IFERROR(VLOOKUP(C1287,Gastos!$A$9:$J$1281,10,0),0)</f>
        <v>-34.92</v>
      </c>
      <c r="L1287" s="87">
        <f>-IFERROR(VLOOKUP(C1287,IDC!$A$25:$H$1532,8,0),0)</f>
        <v>-21.6</v>
      </c>
      <c r="M1287" s="122">
        <f t="shared" si="183"/>
        <v>3600</v>
      </c>
      <c r="N1287"/>
      <c r="P1287" s="35">
        <f t="shared" si="184"/>
        <v>-3600</v>
      </c>
      <c r="Q1287" s="66">
        <f t="shared" si="185"/>
        <v>0</v>
      </c>
    </row>
    <row r="1288" spans="1:17" hidden="1">
      <c r="A1288" s="1" t="s">
        <v>1382</v>
      </c>
      <c r="B1288" s="1" t="s">
        <v>15</v>
      </c>
      <c r="C1288" s="91">
        <v>127574467208</v>
      </c>
      <c r="D1288" s="3">
        <v>3507.48</v>
      </c>
      <c r="E1288" s="3">
        <v>9063759.5600000005</v>
      </c>
      <c r="F1288" s="35" t="s">
        <v>2750</v>
      </c>
      <c r="G1288"/>
      <c r="H1288"/>
      <c r="I1288" s="27">
        <f>-IFERROR(VLOOKUP(C1288,SIRCUPA!$A$21:$H$155,8,0),0)</f>
        <v>0</v>
      </c>
      <c r="J1288" s="88">
        <f>-IFERROR(VLOOKUP(C1288,SIRTAC!$A$16:$H$1288,8,0),0)</f>
        <v>-36</v>
      </c>
      <c r="K1288" s="88">
        <f>-IFERROR(VLOOKUP(C1288,Gastos!$A$9:$J$1281,10,0),0)</f>
        <v>-34.92</v>
      </c>
      <c r="L1288" s="87">
        <f>-IFERROR(VLOOKUP(C1288,IDC!$A$25:$H$1532,8,0),0)</f>
        <v>-21.6</v>
      </c>
      <c r="M1288" s="122">
        <f t="shared" si="183"/>
        <v>3600</v>
      </c>
      <c r="N1288"/>
      <c r="P1288" s="35">
        <f t="shared" si="184"/>
        <v>-3600</v>
      </c>
      <c r="Q1288" s="66">
        <f t="shared" si="185"/>
        <v>0</v>
      </c>
    </row>
    <row r="1289" spans="1:17" hidden="1">
      <c r="A1289" s="1" t="s">
        <v>1382</v>
      </c>
      <c r="B1289" s="1" t="s">
        <v>1407</v>
      </c>
      <c r="C1289" s="91">
        <v>127574413546</v>
      </c>
      <c r="D1289" s="2">
        <v>176.22</v>
      </c>
      <c r="E1289" s="3">
        <v>9063935.7799999993</v>
      </c>
      <c r="F1289" s="2" t="s">
        <v>2750</v>
      </c>
      <c r="G1289"/>
      <c r="H1289"/>
      <c r="I1289" s="27">
        <f>-IFERROR(VLOOKUP(C1289,SIRCUPA!$A$21:$H$155,8,0),0)</f>
        <v>-2.7</v>
      </c>
      <c r="J1289" s="88">
        <f>-IFERROR(VLOOKUP(C1289,SIRTAC!$A$16:$H$1288,8,0),0)</f>
        <v>0</v>
      </c>
      <c r="K1289" s="88">
        <f>-IFERROR(VLOOKUP(C1289,Gastos!$A$9:$J$1281,10,0),0)</f>
        <v>0</v>
      </c>
      <c r="L1289" s="87">
        <f>-IFERROR(VLOOKUP(C1289,IDC!$A$25:$H$1532,8,0),0)</f>
        <v>-1.08</v>
      </c>
      <c r="M1289" s="122">
        <f t="shared" si="183"/>
        <v>180</v>
      </c>
      <c r="N1289"/>
      <c r="P1289" s="35">
        <f t="shared" si="184"/>
        <v>-180</v>
      </c>
      <c r="Q1289" s="66">
        <f t="shared" si="185"/>
        <v>0</v>
      </c>
    </row>
    <row r="1290" spans="1:17" hidden="1">
      <c r="A1290" s="1" t="s">
        <v>1382</v>
      </c>
      <c r="B1290" s="1" t="s">
        <v>15</v>
      </c>
      <c r="C1290" s="91">
        <v>127574484086</v>
      </c>
      <c r="D1290" s="3">
        <v>4384.3500000000004</v>
      </c>
      <c r="E1290" s="3">
        <v>9068320.1300000008</v>
      </c>
      <c r="F1290" s="35" t="s">
        <v>2750</v>
      </c>
      <c r="G1290"/>
      <c r="H1290"/>
      <c r="I1290" s="27">
        <f>-IFERROR(VLOOKUP(C1290,SIRCUPA!$A$21:$H$155,8,0),0)</f>
        <v>0</v>
      </c>
      <c r="J1290" s="88">
        <f>-IFERROR(VLOOKUP(C1290,SIRTAC!$A$16:$H$1288,8,0),0)</f>
        <v>-45</v>
      </c>
      <c r="K1290" s="88">
        <f>-IFERROR(VLOOKUP(C1290,Gastos!$A$9:$J$1281,10,0),0)</f>
        <v>-43.65</v>
      </c>
      <c r="L1290" s="87">
        <f>-IFERROR(VLOOKUP(C1290,IDC!$A$25:$H$1532,8,0),0)</f>
        <v>-27</v>
      </c>
      <c r="M1290" s="122">
        <f t="shared" si="183"/>
        <v>4500</v>
      </c>
      <c r="N1290"/>
      <c r="P1290" s="35">
        <f t="shared" si="184"/>
        <v>-4500</v>
      </c>
      <c r="Q1290" s="66">
        <f t="shared" si="185"/>
        <v>0</v>
      </c>
    </row>
    <row r="1291" spans="1:17" hidden="1">
      <c r="A1291" s="1" t="s">
        <v>1382</v>
      </c>
      <c r="B1291" s="1" t="s">
        <v>1410</v>
      </c>
      <c r="C1291" s="91">
        <v>127574595412</v>
      </c>
      <c r="D1291" s="2">
        <v>440.55</v>
      </c>
      <c r="E1291" s="3">
        <v>9068760.6799999997</v>
      </c>
      <c r="F1291" s="2" t="s">
        <v>2750</v>
      </c>
      <c r="G1291"/>
      <c r="H1291"/>
      <c r="I1291" s="27">
        <f>-IFERROR(VLOOKUP(C1291,SIRCUPA!$A$21:$H$155,8,0),0)</f>
        <v>-6.75</v>
      </c>
      <c r="J1291" s="88">
        <f>-IFERROR(VLOOKUP(C1291,SIRTAC!$A$16:$H$1288,8,0),0)</f>
        <v>0</v>
      </c>
      <c r="K1291" s="88">
        <f>-IFERROR(VLOOKUP(C1291,Gastos!$A$9:$J$1281,10,0),0)</f>
        <v>0</v>
      </c>
      <c r="L1291" s="87">
        <f>-IFERROR(VLOOKUP(C1291,IDC!$A$25:$H$1532,8,0),0)</f>
        <v>-2.7</v>
      </c>
      <c r="M1291" s="122">
        <f t="shared" si="183"/>
        <v>450</v>
      </c>
      <c r="N1291"/>
      <c r="P1291" s="35">
        <f t="shared" si="184"/>
        <v>-450</v>
      </c>
      <c r="Q1291" s="66">
        <f t="shared" si="185"/>
        <v>0</v>
      </c>
    </row>
    <row r="1292" spans="1:17" hidden="1">
      <c r="A1292" s="1" t="s">
        <v>1382</v>
      </c>
      <c r="B1292" s="1" t="s">
        <v>15</v>
      </c>
      <c r="C1292" s="91">
        <v>127574760394</v>
      </c>
      <c r="D1292" s="3">
        <v>10473.719999999999</v>
      </c>
      <c r="E1292" s="3">
        <v>9079234.4000000004</v>
      </c>
      <c r="F1292" s="35" t="s">
        <v>2750</v>
      </c>
      <c r="G1292"/>
      <c r="H1292"/>
      <c r="I1292" s="27">
        <f>-IFERROR(VLOOKUP(C1292,SIRCUPA!$A$21:$H$155,8,0),0)</f>
        <v>0</v>
      </c>
      <c r="J1292" s="88">
        <f>-IFERROR(VLOOKUP(C1292,SIRTAC!$A$16:$H$1288,8,0),0)</f>
        <v>-107.5</v>
      </c>
      <c r="K1292" s="88">
        <f>-IFERROR(VLOOKUP(C1292,Gastos!$A$9:$J$1281,10,0),0)</f>
        <v>-104.28</v>
      </c>
      <c r="L1292" s="87">
        <f>-IFERROR(VLOOKUP(C1292,IDC!$A$25:$H$1532,8,0),0)</f>
        <v>-64.5</v>
      </c>
      <c r="M1292" s="122">
        <f t="shared" si="183"/>
        <v>10750</v>
      </c>
      <c r="N1292"/>
      <c r="P1292" s="35">
        <f t="shared" si="184"/>
        <v>-10750</v>
      </c>
      <c r="Q1292" s="66">
        <f t="shared" si="185"/>
        <v>0</v>
      </c>
    </row>
    <row r="1293" spans="1:17" hidden="1">
      <c r="A1293" s="1" t="s">
        <v>1382</v>
      </c>
      <c r="B1293" s="1" t="s">
        <v>15</v>
      </c>
      <c r="C1293" s="91">
        <v>127013820395</v>
      </c>
      <c r="D1293" s="3">
        <v>17537.400000000001</v>
      </c>
      <c r="E1293" s="3">
        <v>9096771.8000000007</v>
      </c>
      <c r="F1293" s="35" t="s">
        <v>2750</v>
      </c>
      <c r="G1293"/>
      <c r="H1293"/>
      <c r="I1293" s="27">
        <f>-IFERROR(VLOOKUP(C1293,SIRCUPA!$A$21:$H$155,8,0),0)</f>
        <v>0</v>
      </c>
      <c r="J1293" s="88">
        <f>-IFERROR(VLOOKUP(C1293,SIRTAC!$A$16:$H$1288,8,0),0)</f>
        <v>-180</v>
      </c>
      <c r="K1293" s="88">
        <f>-IFERROR(VLOOKUP(C1293,Gastos!$A$9:$J$1281,10,0),0)</f>
        <v>-174.6</v>
      </c>
      <c r="L1293" s="87">
        <f>-IFERROR(VLOOKUP(C1293,IDC!$A$25:$H$1532,8,0),0)</f>
        <v>-108</v>
      </c>
      <c r="M1293" s="122">
        <f t="shared" si="183"/>
        <v>18000</v>
      </c>
      <c r="N1293"/>
      <c r="P1293" s="35">
        <f t="shared" si="184"/>
        <v>-18000</v>
      </c>
      <c r="Q1293" s="66">
        <f t="shared" si="185"/>
        <v>0</v>
      </c>
    </row>
    <row r="1294" spans="1:17" hidden="1">
      <c r="A1294" s="1" t="s">
        <v>1382</v>
      </c>
      <c r="B1294" s="1" t="s">
        <v>15</v>
      </c>
      <c r="C1294" s="91">
        <v>127575063154</v>
      </c>
      <c r="D1294" s="3">
        <v>28674.23</v>
      </c>
      <c r="E1294" s="3">
        <v>9125446.0299999993</v>
      </c>
      <c r="F1294" s="35" t="s">
        <v>2750</v>
      </c>
      <c r="G1294"/>
      <c r="H1294"/>
      <c r="I1294" s="27">
        <f>-IFERROR(VLOOKUP(C1294,SIRCUPA!$A$21:$H$155,8,0),0)</f>
        <v>0</v>
      </c>
      <c r="J1294" s="88">
        <f>-IFERROR(VLOOKUP(C1294,SIRTAC!$A$16:$H$1288,8,0),0)</f>
        <v>-305.5</v>
      </c>
      <c r="K1294" s="88">
        <f>-IFERROR(VLOOKUP(C1294,Gastos!$A$9:$J$1281,10,0),0)</f>
        <v>-1386.97</v>
      </c>
      <c r="L1294" s="87">
        <f>-IFERROR(VLOOKUP(C1294,IDC!$A$25:$H$1532,8,0),0)</f>
        <v>-183.3</v>
      </c>
      <c r="M1294" s="122">
        <f t="shared" si="183"/>
        <v>30550</v>
      </c>
      <c r="N1294"/>
      <c r="P1294" s="35">
        <f t="shared" si="184"/>
        <v>-30550</v>
      </c>
      <c r="Q1294" s="66">
        <f t="shared" si="185"/>
        <v>0</v>
      </c>
    </row>
    <row r="1295" spans="1:17" hidden="1">
      <c r="A1295" s="1" t="s">
        <v>1382</v>
      </c>
      <c r="B1295" s="1" t="s">
        <v>15</v>
      </c>
      <c r="C1295" s="91">
        <v>127575157346</v>
      </c>
      <c r="D1295" s="3">
        <v>4384.3500000000004</v>
      </c>
      <c r="E1295" s="3">
        <v>9129830.3800000008</v>
      </c>
      <c r="F1295" s="35" t="s">
        <v>2750</v>
      </c>
      <c r="G1295"/>
      <c r="H1295"/>
      <c r="I1295" s="27">
        <f>-IFERROR(VLOOKUP(C1295,SIRCUPA!$A$21:$H$155,8,0),0)</f>
        <v>0</v>
      </c>
      <c r="J1295" s="88">
        <f>-IFERROR(VLOOKUP(C1295,SIRTAC!$A$16:$H$1288,8,0),0)</f>
        <v>-45</v>
      </c>
      <c r="K1295" s="88">
        <f>-IFERROR(VLOOKUP(C1295,Gastos!$A$9:$J$1281,10,0),0)</f>
        <v>-43.65</v>
      </c>
      <c r="L1295" s="87">
        <f>-IFERROR(VLOOKUP(C1295,IDC!$A$25:$H$1532,8,0),0)</f>
        <v>-27</v>
      </c>
      <c r="M1295" s="122">
        <f t="shared" si="183"/>
        <v>4500</v>
      </c>
      <c r="N1295"/>
      <c r="P1295" s="35">
        <f t="shared" si="184"/>
        <v>-4500</v>
      </c>
      <c r="Q1295" s="66">
        <f t="shared" si="185"/>
        <v>0</v>
      </c>
    </row>
    <row r="1296" spans="1:17" hidden="1">
      <c r="A1296" s="1" t="s">
        <v>1382</v>
      </c>
      <c r="B1296" s="1" t="s">
        <v>15</v>
      </c>
      <c r="C1296" s="91">
        <v>127575113918</v>
      </c>
      <c r="D1296" s="3">
        <v>41407.75</v>
      </c>
      <c r="E1296" s="3">
        <v>9171238.1300000008</v>
      </c>
      <c r="F1296" s="35" t="s">
        <v>2750</v>
      </c>
      <c r="G1296"/>
      <c r="H1296"/>
      <c r="I1296" s="27">
        <f>-IFERROR(VLOOKUP(C1296,SIRCUPA!$A$21:$H$155,8,0),0)</f>
        <v>0</v>
      </c>
      <c r="J1296" s="88">
        <f>-IFERROR(VLOOKUP(C1296,SIRTAC!$A$16:$H$1288,8,0),0)</f>
        <v>-425</v>
      </c>
      <c r="K1296" s="88">
        <f>-IFERROR(VLOOKUP(C1296,Gastos!$A$9:$J$1281,10,0),0)</f>
        <v>-412.25</v>
      </c>
      <c r="L1296" s="87">
        <f>-IFERROR(VLOOKUP(C1296,IDC!$A$25:$H$1532,8,0),0)</f>
        <v>-255</v>
      </c>
      <c r="M1296" s="122">
        <f t="shared" si="183"/>
        <v>42500</v>
      </c>
      <c r="N1296"/>
      <c r="P1296" s="35">
        <f t="shared" si="184"/>
        <v>-42500</v>
      </c>
      <c r="Q1296" s="66">
        <f t="shared" si="185"/>
        <v>0</v>
      </c>
    </row>
    <row r="1297" spans="1:17" hidden="1">
      <c r="A1297" s="1" t="s">
        <v>1382</v>
      </c>
      <c r="B1297" s="1" t="s">
        <v>15</v>
      </c>
      <c r="C1297" s="91">
        <v>127013893873</v>
      </c>
      <c r="D1297" s="3">
        <v>14906.79</v>
      </c>
      <c r="E1297" s="3">
        <v>9186144.9199999999</v>
      </c>
      <c r="F1297" s="35" t="s">
        <v>2750</v>
      </c>
      <c r="G1297"/>
      <c r="H1297"/>
      <c r="I1297" s="27">
        <f>-IFERROR(VLOOKUP(C1297,SIRCUPA!$A$21:$H$155,8,0),0)</f>
        <v>0</v>
      </c>
      <c r="J1297" s="88">
        <f>-IFERROR(VLOOKUP(C1297,SIRTAC!$A$16:$H$1288,8,0),0)</f>
        <v>-153</v>
      </c>
      <c r="K1297" s="88">
        <f>-IFERROR(VLOOKUP(C1297,Gastos!$A$9:$J$1281,10,0),0)</f>
        <v>-148.41</v>
      </c>
      <c r="L1297" s="87">
        <f>-IFERROR(VLOOKUP(C1297,IDC!$A$25:$H$1532,8,0),0)</f>
        <v>-91.8</v>
      </c>
      <c r="M1297" s="122">
        <f t="shared" si="183"/>
        <v>15300</v>
      </c>
      <c r="N1297"/>
      <c r="P1297" s="35">
        <f t="shared" si="184"/>
        <v>-15300</v>
      </c>
      <c r="Q1297" s="66">
        <f t="shared" si="185"/>
        <v>0</v>
      </c>
    </row>
    <row r="1298" spans="1:17" hidden="1">
      <c r="A1298" s="1" t="s">
        <v>1382</v>
      </c>
      <c r="B1298" s="1" t="s">
        <v>15</v>
      </c>
      <c r="C1298" s="91">
        <v>127014134823</v>
      </c>
      <c r="D1298" s="3">
        <v>3945.91</v>
      </c>
      <c r="E1298" s="3">
        <v>9190090.8300000001</v>
      </c>
      <c r="F1298" s="35" t="s">
        <v>2750</v>
      </c>
      <c r="G1298"/>
      <c r="H1298"/>
      <c r="I1298" s="27">
        <f>-IFERROR(VLOOKUP(C1298,SIRCUPA!$A$21:$H$155,8,0),0)</f>
        <v>0</v>
      </c>
      <c r="J1298" s="88">
        <f>-IFERROR(VLOOKUP(C1298,SIRTAC!$A$16:$H$1288,8,0),0)</f>
        <v>-40.5</v>
      </c>
      <c r="K1298" s="88">
        <f>-IFERROR(VLOOKUP(C1298,Gastos!$A$9:$J$1281,10,0),0)</f>
        <v>-39.29</v>
      </c>
      <c r="L1298" s="87">
        <f>-IFERROR(VLOOKUP(C1298,IDC!$A$25:$H$1532,8,0),0)</f>
        <v>-24.3</v>
      </c>
      <c r="M1298" s="122">
        <f t="shared" ref="M1298:M1329" si="186">+D1298-I1298-J1298-K1298-L1298</f>
        <v>4050</v>
      </c>
      <c r="N1298"/>
      <c r="P1298" s="35">
        <f t="shared" si="184"/>
        <v>-4050</v>
      </c>
      <c r="Q1298" s="66">
        <f t="shared" si="185"/>
        <v>0</v>
      </c>
    </row>
    <row r="1299" spans="1:17" hidden="1">
      <c r="A1299" s="1" t="s">
        <v>1382</v>
      </c>
      <c r="B1299" s="1" t="s">
        <v>15</v>
      </c>
      <c r="C1299" s="91">
        <v>127575489108</v>
      </c>
      <c r="D1299" s="3">
        <v>4871.5</v>
      </c>
      <c r="E1299" s="3">
        <v>9194962.3300000001</v>
      </c>
      <c r="F1299" s="35" t="s">
        <v>2750</v>
      </c>
      <c r="G1299"/>
      <c r="H1299"/>
      <c r="I1299" s="27">
        <f>-IFERROR(VLOOKUP(C1299,SIRCUPA!$A$21:$H$155,8,0),0)</f>
        <v>0</v>
      </c>
      <c r="J1299" s="88">
        <f>-IFERROR(VLOOKUP(C1299,SIRTAC!$A$16:$H$1288,8,0),0)</f>
        <v>-50</v>
      </c>
      <c r="K1299" s="88">
        <f>-IFERROR(VLOOKUP(C1299,Gastos!$A$9:$J$1281,10,0),0)</f>
        <v>-48.5</v>
      </c>
      <c r="L1299" s="87">
        <f>-IFERROR(VLOOKUP(C1299,IDC!$A$25:$H$1532,8,0),0)</f>
        <v>-30</v>
      </c>
      <c r="M1299" s="122">
        <f t="shared" si="186"/>
        <v>5000</v>
      </c>
      <c r="N1299"/>
      <c r="P1299" s="35">
        <f t="shared" si="184"/>
        <v>-5000</v>
      </c>
      <c r="Q1299" s="66">
        <f t="shared" si="185"/>
        <v>0</v>
      </c>
    </row>
    <row r="1300" spans="1:17" hidden="1">
      <c r="A1300" s="1" t="s">
        <v>1382</v>
      </c>
      <c r="B1300" s="1" t="s">
        <v>15</v>
      </c>
      <c r="C1300" s="91">
        <v>127575732242</v>
      </c>
      <c r="D1300" s="3">
        <v>37120.83</v>
      </c>
      <c r="E1300" s="3">
        <v>9232083.1600000001</v>
      </c>
      <c r="F1300" s="35" t="s">
        <v>2750</v>
      </c>
      <c r="G1300"/>
      <c r="H1300"/>
      <c r="I1300" s="27">
        <f>-IFERROR(VLOOKUP(C1300,SIRCUPA!$A$21:$H$155,8,0),0)</f>
        <v>0</v>
      </c>
      <c r="J1300" s="88">
        <f>-IFERROR(VLOOKUP(C1300,SIRTAC!$A$16:$H$1288,8,0),0)</f>
        <v>-381</v>
      </c>
      <c r="K1300" s="88">
        <f>-IFERROR(VLOOKUP(C1300,Gastos!$A$9:$J$1281,10,0),0)</f>
        <v>-369.57</v>
      </c>
      <c r="L1300" s="87">
        <f>-IFERROR(VLOOKUP(C1300,IDC!$A$25:$H$1532,8,0),0)</f>
        <v>-228.6</v>
      </c>
      <c r="M1300" s="122">
        <f t="shared" si="186"/>
        <v>38100</v>
      </c>
      <c r="N1300"/>
      <c r="P1300" s="35">
        <f t="shared" si="184"/>
        <v>-38100</v>
      </c>
      <c r="Q1300" s="66">
        <f t="shared" si="185"/>
        <v>0</v>
      </c>
    </row>
    <row r="1301" spans="1:17" hidden="1">
      <c r="A1301" s="1" t="s">
        <v>1382</v>
      </c>
      <c r="B1301" s="1" t="s">
        <v>15</v>
      </c>
      <c r="C1301" s="91">
        <v>127575709104</v>
      </c>
      <c r="D1301" s="3">
        <v>8427.69</v>
      </c>
      <c r="E1301" s="3">
        <v>9240510.8499999996</v>
      </c>
      <c r="F1301" s="35" t="s">
        <v>2750</v>
      </c>
      <c r="G1301"/>
      <c r="H1301"/>
      <c r="I1301" s="27">
        <f>-IFERROR(VLOOKUP(C1301,SIRCUPA!$A$21:$H$155,8,0),0)</f>
        <v>0</v>
      </c>
      <c r="J1301" s="88">
        <f>-IFERROR(VLOOKUP(C1301,SIRTAC!$A$16:$H$1288,8,0),0)</f>
        <v>-86.5</v>
      </c>
      <c r="K1301" s="88">
        <f>-IFERROR(VLOOKUP(C1301,Gastos!$A$9:$J$1281,10,0),0)</f>
        <v>-83.91</v>
      </c>
      <c r="L1301" s="87">
        <f>-IFERROR(VLOOKUP(C1301,IDC!$A$25:$H$1532,8,0),0)</f>
        <v>-51.9</v>
      </c>
      <c r="M1301" s="122">
        <f t="shared" si="186"/>
        <v>8650</v>
      </c>
      <c r="N1301"/>
      <c r="P1301" s="35">
        <f t="shared" si="184"/>
        <v>-8650</v>
      </c>
      <c r="Q1301" s="66">
        <f t="shared" si="185"/>
        <v>0</v>
      </c>
    </row>
    <row r="1302" spans="1:17" hidden="1">
      <c r="A1302" s="1" t="s">
        <v>1382</v>
      </c>
      <c r="B1302" s="1" t="s">
        <v>15</v>
      </c>
      <c r="C1302" s="91">
        <v>127576498344</v>
      </c>
      <c r="D1302" s="3">
        <v>52368.62</v>
      </c>
      <c r="E1302" s="3">
        <v>9292879.4700000007</v>
      </c>
      <c r="F1302" s="35" t="s">
        <v>2750</v>
      </c>
      <c r="G1302"/>
      <c r="H1302"/>
      <c r="I1302" s="27">
        <f>-IFERROR(VLOOKUP(C1302,SIRCUPA!$A$21:$H$155,8,0),0)</f>
        <v>0</v>
      </c>
      <c r="J1302" s="88">
        <f>-IFERROR(VLOOKUP(C1302,SIRTAC!$A$16:$H$1288,8,0),0)</f>
        <v>-537.5</v>
      </c>
      <c r="K1302" s="88">
        <f>-IFERROR(VLOOKUP(C1302,Gastos!$A$9:$J$1281,10,0),0)</f>
        <v>-521.38</v>
      </c>
      <c r="L1302" s="87">
        <f>-IFERROR(VLOOKUP(C1302,IDC!$A$25:$H$1532,8,0),0)</f>
        <v>-322.5</v>
      </c>
      <c r="M1302" s="122">
        <f t="shared" si="186"/>
        <v>53750</v>
      </c>
      <c r="N1302"/>
      <c r="P1302" s="35">
        <f t="shared" si="184"/>
        <v>-53750</v>
      </c>
      <c r="Q1302" s="66">
        <f t="shared" si="185"/>
        <v>0</v>
      </c>
    </row>
    <row r="1303" spans="1:17" hidden="1">
      <c r="A1303" s="1" t="s">
        <v>1382</v>
      </c>
      <c r="B1303" s="1" t="s">
        <v>15</v>
      </c>
      <c r="C1303" s="91">
        <v>127576327400</v>
      </c>
      <c r="D1303" s="3">
        <v>8768.7000000000007</v>
      </c>
      <c r="E1303" s="3">
        <v>9301648.1699999999</v>
      </c>
      <c r="F1303" s="35" t="s">
        <v>2750</v>
      </c>
      <c r="G1303"/>
      <c r="H1303"/>
      <c r="I1303" s="27">
        <f>-IFERROR(VLOOKUP(C1303,SIRCUPA!$A$21:$H$155,8,0),0)</f>
        <v>0</v>
      </c>
      <c r="J1303" s="88">
        <f>-IFERROR(VLOOKUP(C1303,SIRTAC!$A$16:$H$1288,8,0),0)</f>
        <v>-90</v>
      </c>
      <c r="K1303" s="88">
        <f>-IFERROR(VLOOKUP(C1303,Gastos!$A$9:$J$1281,10,0),0)</f>
        <v>-87.3</v>
      </c>
      <c r="L1303" s="87">
        <f>-IFERROR(VLOOKUP(C1303,IDC!$A$25:$H$1532,8,0),0)</f>
        <v>-54</v>
      </c>
      <c r="M1303" s="122">
        <f t="shared" si="186"/>
        <v>9000</v>
      </c>
      <c r="N1303"/>
      <c r="P1303" s="35">
        <f t="shared" si="184"/>
        <v>-9000</v>
      </c>
      <c r="Q1303" s="66">
        <f t="shared" si="185"/>
        <v>0</v>
      </c>
    </row>
    <row r="1304" spans="1:17" hidden="1">
      <c r="A1304" s="1" t="s">
        <v>1382</v>
      </c>
      <c r="B1304" s="1" t="s">
        <v>15</v>
      </c>
      <c r="C1304" s="91">
        <v>127576590324</v>
      </c>
      <c r="D1304" s="3">
        <v>3378.96</v>
      </c>
      <c r="E1304" s="3">
        <v>9305027.1300000008</v>
      </c>
      <c r="F1304" s="35" t="s">
        <v>2750</v>
      </c>
      <c r="G1304"/>
      <c r="H1304"/>
      <c r="I1304" s="27">
        <f>-IFERROR(VLOOKUP(C1304,SIRCUPA!$A$21:$H$155,8,0),0)</f>
        <v>0</v>
      </c>
      <c r="J1304" s="88">
        <f>-IFERROR(VLOOKUP(C1304,SIRTAC!$A$16:$H$1288,8,0),0)</f>
        <v>-36</v>
      </c>
      <c r="K1304" s="88">
        <f>-IFERROR(VLOOKUP(C1304,Gastos!$A$9:$J$1281,10,0),0)</f>
        <v>-163.44</v>
      </c>
      <c r="L1304" s="87">
        <f>-IFERROR(VLOOKUP(C1304,IDC!$A$25:$H$1532,8,0),0)</f>
        <v>-21.6</v>
      </c>
      <c r="M1304" s="122">
        <f t="shared" si="186"/>
        <v>3600</v>
      </c>
      <c r="N1304"/>
      <c r="P1304" s="35">
        <f t="shared" si="184"/>
        <v>-3600</v>
      </c>
      <c r="Q1304" s="66">
        <f t="shared" si="185"/>
        <v>0</v>
      </c>
    </row>
    <row r="1305" spans="1:17" hidden="1">
      <c r="A1305" s="1" t="s">
        <v>1382</v>
      </c>
      <c r="B1305" s="1" t="s">
        <v>15</v>
      </c>
      <c r="C1305" s="91">
        <v>127576545044</v>
      </c>
      <c r="D1305" s="3">
        <v>6100.9</v>
      </c>
      <c r="E1305" s="3">
        <v>9311128.0299999993</v>
      </c>
      <c r="F1305" s="35" t="s">
        <v>2750</v>
      </c>
      <c r="G1305"/>
      <c r="H1305"/>
      <c r="I1305" s="27">
        <f>-IFERROR(VLOOKUP(C1305,SIRCUPA!$A$21:$H$155,8,0),0)</f>
        <v>0</v>
      </c>
      <c r="J1305" s="88">
        <f>-IFERROR(VLOOKUP(C1305,SIRTAC!$A$16:$H$1288,8,0),0)</f>
        <v>-65</v>
      </c>
      <c r="K1305" s="88">
        <f>-IFERROR(VLOOKUP(C1305,Gastos!$A$9:$J$1281,10,0),0)</f>
        <v>-295.10000000000002</v>
      </c>
      <c r="L1305" s="87">
        <f>-IFERROR(VLOOKUP(C1305,IDC!$A$25:$H$1532,8,0),0)</f>
        <v>-39</v>
      </c>
      <c r="M1305" s="122">
        <f t="shared" si="186"/>
        <v>6500</v>
      </c>
      <c r="N1305"/>
      <c r="P1305" s="35">
        <f t="shared" si="184"/>
        <v>-6500</v>
      </c>
      <c r="Q1305" s="66">
        <f t="shared" si="185"/>
        <v>0</v>
      </c>
    </row>
    <row r="1306" spans="1:17" hidden="1">
      <c r="A1306" s="1" t="s">
        <v>1382</v>
      </c>
      <c r="B1306" s="1" t="s">
        <v>15</v>
      </c>
      <c r="C1306" s="91">
        <v>127576557502</v>
      </c>
      <c r="D1306" s="3">
        <v>154767.54999999999</v>
      </c>
      <c r="E1306" s="3">
        <v>9465895.5800000001</v>
      </c>
      <c r="F1306" s="35" t="s">
        <v>2750</v>
      </c>
      <c r="G1306"/>
      <c r="H1306"/>
      <c r="I1306" s="27">
        <f>-IFERROR(VLOOKUP(C1306,SIRCUPA!$A$21:$H$155,8,0),0)</f>
        <v>0</v>
      </c>
      <c r="J1306" s="88">
        <f>-IFERROR(VLOOKUP(C1306,SIRTAC!$A$16:$H$1288,8,0),0)</f>
        <v>-1588.5</v>
      </c>
      <c r="K1306" s="88">
        <f>-IFERROR(VLOOKUP(C1306,Gastos!$A$9:$J$1281,10,0),0)</f>
        <v>-1540.85</v>
      </c>
      <c r="L1306" s="87">
        <f>-IFERROR(VLOOKUP(C1306,IDC!$A$25:$H$1532,8,0),0)</f>
        <v>-953.1</v>
      </c>
      <c r="M1306" s="122">
        <f t="shared" si="186"/>
        <v>158850</v>
      </c>
      <c r="N1306"/>
      <c r="P1306" s="35">
        <f t="shared" si="184"/>
        <v>-158850</v>
      </c>
      <c r="Q1306" s="66">
        <f t="shared" si="185"/>
        <v>0</v>
      </c>
    </row>
    <row r="1307" spans="1:17" hidden="1">
      <c r="A1307" s="1" t="s">
        <v>1382</v>
      </c>
      <c r="B1307" s="1" t="s">
        <v>15</v>
      </c>
      <c r="C1307" s="91">
        <v>127015620133</v>
      </c>
      <c r="D1307" s="3">
        <v>13153.05</v>
      </c>
      <c r="E1307" s="3">
        <v>9479048.6300000008</v>
      </c>
      <c r="F1307" s="35" t="s">
        <v>2750</v>
      </c>
      <c r="G1307"/>
      <c r="H1307"/>
      <c r="I1307" s="27">
        <f>-IFERROR(VLOOKUP(C1307,SIRCUPA!$A$21:$H$155,8,0),0)</f>
        <v>0</v>
      </c>
      <c r="J1307" s="88">
        <f>-IFERROR(VLOOKUP(C1307,SIRTAC!$A$16:$H$1288,8,0),0)</f>
        <v>-135</v>
      </c>
      <c r="K1307" s="88">
        <f>-IFERROR(VLOOKUP(C1307,Gastos!$A$9:$J$1281,10,0),0)</f>
        <v>-130.94999999999999</v>
      </c>
      <c r="L1307" s="87">
        <f>-IFERROR(VLOOKUP(C1307,IDC!$A$25:$H$1532,8,0),0)</f>
        <v>-81</v>
      </c>
      <c r="M1307" s="122">
        <f t="shared" si="186"/>
        <v>13500</v>
      </c>
      <c r="N1307"/>
      <c r="P1307" s="35">
        <f t="shared" si="184"/>
        <v>-13500</v>
      </c>
      <c r="Q1307" s="66">
        <f t="shared" si="185"/>
        <v>0</v>
      </c>
    </row>
    <row r="1308" spans="1:17" hidden="1">
      <c r="A1308" s="1" t="s">
        <v>1382</v>
      </c>
      <c r="B1308" s="1" t="s">
        <v>15</v>
      </c>
      <c r="C1308" s="91">
        <v>127015403685</v>
      </c>
      <c r="D1308" s="3">
        <v>7014.96</v>
      </c>
      <c r="E1308" s="3">
        <v>9486063.5899999999</v>
      </c>
      <c r="F1308" s="35" t="s">
        <v>2750</v>
      </c>
      <c r="G1308"/>
      <c r="H1308"/>
      <c r="I1308" s="27">
        <f>-IFERROR(VLOOKUP(C1308,SIRCUPA!$A$21:$H$155,8,0),0)</f>
        <v>0</v>
      </c>
      <c r="J1308" s="88">
        <f>-IFERROR(VLOOKUP(C1308,SIRTAC!$A$16:$H$1288,8,0),0)</f>
        <v>-72</v>
      </c>
      <c r="K1308" s="88">
        <f>-IFERROR(VLOOKUP(C1308,Gastos!$A$9:$J$1281,10,0),0)</f>
        <v>-69.84</v>
      </c>
      <c r="L1308" s="87">
        <f>-IFERROR(VLOOKUP(C1308,IDC!$A$25:$H$1532,8,0),0)</f>
        <v>-43.2</v>
      </c>
      <c r="M1308" s="122">
        <f t="shared" si="186"/>
        <v>7200</v>
      </c>
      <c r="N1308"/>
      <c r="P1308" s="35">
        <f t="shared" si="184"/>
        <v>-7200</v>
      </c>
      <c r="Q1308" s="66">
        <f t="shared" si="185"/>
        <v>0</v>
      </c>
    </row>
    <row r="1309" spans="1:17" s="59" customFormat="1" hidden="1">
      <c r="A1309" s="35" t="s">
        <v>1382</v>
      </c>
      <c r="B1309" s="35" t="s">
        <v>15</v>
      </c>
      <c r="C1309" s="91">
        <v>127015646835</v>
      </c>
      <c r="D1309" s="3">
        <v>12276.18</v>
      </c>
      <c r="E1309" s="3">
        <v>9498339.7699999996</v>
      </c>
      <c r="F1309" s="35" t="s">
        <v>2750</v>
      </c>
      <c r="G1309" s="35"/>
      <c r="H1309" s="35"/>
      <c r="I1309" s="27">
        <f>-IFERROR(VLOOKUP(C1309,SIRCUPA!$A$21:$H$155,8,0),0)</f>
        <v>0</v>
      </c>
      <c r="J1309" s="88">
        <f>-IFERROR(VLOOKUP(C1309,SIRTAC!$A$16:$H$1288,8,0),0)</f>
        <v>-126</v>
      </c>
      <c r="K1309" s="88">
        <f>-IFERROR(VLOOKUP(C1309,Gastos!$A$9:$J$1281,10,0),0)</f>
        <v>-122.22</v>
      </c>
      <c r="L1309" s="87">
        <f>-IFERROR(VLOOKUP(C1309,IDC!$A$25:$H$1532,8,0),0)</f>
        <v>-75.599999999999994</v>
      </c>
      <c r="M1309" s="122">
        <f t="shared" si="186"/>
        <v>12600</v>
      </c>
      <c r="N1309" s="35"/>
      <c r="O1309" s="35"/>
      <c r="P1309" s="35">
        <f t="shared" si="184"/>
        <v>-12599.999999999998</v>
      </c>
      <c r="Q1309" s="66">
        <f t="shared" si="185"/>
        <v>0</v>
      </c>
    </row>
    <row r="1310" spans="1:17" s="59" customFormat="1" hidden="1">
      <c r="A1310" s="35" t="s">
        <v>1382</v>
      </c>
      <c r="B1310" s="35" t="s">
        <v>15</v>
      </c>
      <c r="C1310" s="91">
        <v>127576831188</v>
      </c>
      <c r="D1310" s="3">
        <v>4384.3500000000004</v>
      </c>
      <c r="E1310" s="3">
        <v>9502724.1199999992</v>
      </c>
      <c r="F1310" s="35" t="s">
        <v>2750</v>
      </c>
      <c r="G1310" s="35"/>
      <c r="H1310" s="35"/>
      <c r="I1310" s="27">
        <f>-IFERROR(VLOOKUP(C1310,SIRCUPA!$A$21:$H$155,8,0),0)</f>
        <v>0</v>
      </c>
      <c r="J1310" s="88">
        <f>-IFERROR(VLOOKUP(C1310,SIRTAC!$A$16:$H$1288,8,0),0)</f>
        <v>-45</v>
      </c>
      <c r="K1310" s="88">
        <f>-IFERROR(VLOOKUP(C1310,Gastos!$A$9:$J$1281,10,0),0)</f>
        <v>-43.65</v>
      </c>
      <c r="L1310" s="87">
        <f>-IFERROR(VLOOKUP(C1310,IDC!$A$25:$H$1532,8,0),0)</f>
        <v>-27</v>
      </c>
      <c r="M1310" s="122">
        <f t="shared" si="186"/>
        <v>4500</v>
      </c>
      <c r="N1310" s="35"/>
      <c r="O1310" s="35"/>
      <c r="P1310" s="35">
        <f t="shared" si="184"/>
        <v>-4500</v>
      </c>
      <c r="Q1310" s="66">
        <f t="shared" si="185"/>
        <v>0</v>
      </c>
    </row>
    <row r="1311" spans="1:17" s="59" customFormat="1" hidden="1">
      <c r="A1311" s="35" t="s">
        <v>1382</v>
      </c>
      <c r="B1311" s="35" t="s">
        <v>15</v>
      </c>
      <c r="C1311" s="91">
        <v>127015860511</v>
      </c>
      <c r="D1311" s="3">
        <v>4384.3500000000004</v>
      </c>
      <c r="E1311" s="3">
        <v>9507108.4700000007</v>
      </c>
      <c r="F1311" s="35" t="s">
        <v>2750</v>
      </c>
      <c r="G1311" s="35"/>
      <c r="H1311" s="35"/>
      <c r="I1311" s="27">
        <f>-IFERROR(VLOOKUP(C1311,SIRCUPA!$A$21:$H$155,8,0),0)</f>
        <v>0</v>
      </c>
      <c r="J1311" s="88">
        <f>-IFERROR(VLOOKUP(C1311,SIRTAC!$A$16:$H$1288,8,0),0)</f>
        <v>-45</v>
      </c>
      <c r="K1311" s="88">
        <f>-IFERROR(VLOOKUP(C1311,Gastos!$A$9:$J$1281,10,0),0)</f>
        <v>-43.65</v>
      </c>
      <c r="L1311" s="87">
        <f>-IFERROR(VLOOKUP(C1311,IDC!$A$25:$H$1532,8,0),0)</f>
        <v>-27</v>
      </c>
      <c r="M1311" s="122">
        <f t="shared" si="186"/>
        <v>4500</v>
      </c>
      <c r="N1311" s="35"/>
      <c r="O1311" s="35"/>
      <c r="P1311" s="35">
        <f t="shared" si="184"/>
        <v>-4500</v>
      </c>
      <c r="Q1311" s="66">
        <f t="shared" si="185"/>
        <v>0</v>
      </c>
    </row>
    <row r="1312" spans="1:17" s="59" customFormat="1" hidden="1">
      <c r="A1312" s="35" t="s">
        <v>1382</v>
      </c>
      <c r="B1312" s="35" t="s">
        <v>15</v>
      </c>
      <c r="C1312" s="91">
        <v>127015606063</v>
      </c>
      <c r="D1312" s="3">
        <v>5819.32</v>
      </c>
      <c r="E1312" s="3">
        <v>9512927.7899999991</v>
      </c>
      <c r="F1312" s="35" t="s">
        <v>2750</v>
      </c>
      <c r="G1312" s="35"/>
      <c r="H1312" s="35"/>
      <c r="I1312" s="27">
        <f>-IFERROR(VLOOKUP(C1312,SIRCUPA!$A$21:$H$155,8,0),0)</f>
        <v>0</v>
      </c>
      <c r="J1312" s="88">
        <f>-IFERROR(VLOOKUP(C1312,SIRTAC!$A$16:$H$1288,8,0),0)</f>
        <v>-62</v>
      </c>
      <c r="K1312" s="88">
        <f>-IFERROR(VLOOKUP(C1312,Gastos!$A$9:$J$1281,10,0),0)</f>
        <v>-281.48</v>
      </c>
      <c r="L1312" s="87">
        <f>-IFERROR(VLOOKUP(C1312,IDC!$A$25:$H$1532,8,0),0)</f>
        <v>-37.200000000000003</v>
      </c>
      <c r="M1312" s="122">
        <f t="shared" si="186"/>
        <v>6199.9999999999991</v>
      </c>
      <c r="N1312" s="35"/>
      <c r="O1312" s="35"/>
      <c r="P1312" s="35">
        <f t="shared" si="184"/>
        <v>-6200</v>
      </c>
      <c r="Q1312" s="66">
        <f t="shared" si="185"/>
        <v>0</v>
      </c>
    </row>
    <row r="1313" spans="1:17" hidden="1">
      <c r="A1313" s="1" t="s">
        <v>1382</v>
      </c>
      <c r="B1313" s="1" t="s">
        <v>15</v>
      </c>
      <c r="C1313" s="91">
        <v>127679194174</v>
      </c>
      <c r="D1313" s="3">
        <v>6355.3</v>
      </c>
      <c r="E1313" s="3">
        <v>8009172.2000000002</v>
      </c>
      <c r="F1313" s="35" t="s">
        <v>2750</v>
      </c>
      <c r="G1313"/>
      <c r="H1313"/>
      <c r="I1313" s="27">
        <f>-IFERROR(VLOOKUP(C1313,SIRCUPA!$A$21:$H$155,8,0),0)</f>
        <v>0</v>
      </c>
      <c r="J1313" s="88">
        <f>-IFERROR(VLOOKUP(C1313,SIRTAC!$A$16:$H$1288,8,0),0)</f>
        <v>-70</v>
      </c>
      <c r="K1313" s="88">
        <f>-IFERROR(VLOOKUP(C1313,Gastos!$A$9:$J$1281,10,0),0)</f>
        <v>-532.70000000000005</v>
      </c>
      <c r="L1313" s="87">
        <f>-IFERROR(VLOOKUP(C1313,IDC!$A$25:$H$1532,8,0),0)</f>
        <v>-42</v>
      </c>
      <c r="M1313" s="122">
        <f t="shared" si="186"/>
        <v>7000</v>
      </c>
      <c r="N1313"/>
      <c r="P1313" s="35">
        <f t="shared" si="184"/>
        <v>-7000</v>
      </c>
      <c r="Q1313" s="66">
        <f t="shared" si="185"/>
        <v>0</v>
      </c>
    </row>
    <row r="1314" spans="1:17" hidden="1">
      <c r="A1314" s="1" t="s">
        <v>1382</v>
      </c>
      <c r="B1314" s="1" t="s">
        <v>15</v>
      </c>
      <c r="C1314" s="91">
        <v>127679388200</v>
      </c>
      <c r="D1314" s="3">
        <v>12281.1</v>
      </c>
      <c r="E1314" s="3">
        <v>8021453.2999999998</v>
      </c>
      <c r="F1314" s="35" t="s">
        <v>2750</v>
      </c>
      <c r="G1314"/>
      <c r="H1314"/>
      <c r="I1314" s="27">
        <f>-IFERROR(VLOOKUP(C1314,SIRCUPA!$A$21:$H$155,8,0),0)</f>
        <v>0</v>
      </c>
      <c r="J1314" s="88">
        <f>-IFERROR(VLOOKUP(C1314,SIRTAC!$A$16:$H$1288,8,0),0)</f>
        <v>-130</v>
      </c>
      <c r="K1314" s="88">
        <f>-IFERROR(VLOOKUP(C1314,Gastos!$A$9:$J$1281,10,0),0)</f>
        <v>-510.9</v>
      </c>
      <c r="L1314" s="87">
        <f>-IFERROR(VLOOKUP(C1314,IDC!$A$25:$H$1532,8,0),0)</f>
        <v>-78</v>
      </c>
      <c r="M1314" s="122">
        <f t="shared" si="186"/>
        <v>13000</v>
      </c>
      <c r="N1314"/>
      <c r="P1314" s="35">
        <f t="shared" si="184"/>
        <v>-13000</v>
      </c>
      <c r="Q1314" s="66">
        <f t="shared" si="185"/>
        <v>0</v>
      </c>
    </row>
    <row r="1315" spans="1:17" hidden="1">
      <c r="A1315" s="1" t="s">
        <v>1382</v>
      </c>
      <c r="B1315" s="1" t="s">
        <v>15</v>
      </c>
      <c r="C1315" s="91">
        <v>127680169218</v>
      </c>
      <c r="D1315" s="3">
        <v>26692.26</v>
      </c>
      <c r="E1315" s="3">
        <v>8048145.5599999996</v>
      </c>
      <c r="F1315" s="35" t="s">
        <v>2750</v>
      </c>
      <c r="G1315"/>
      <c r="H1315"/>
      <c r="I1315" s="27">
        <f>-IFERROR(VLOOKUP(C1315,SIRCUPA!$A$21:$H$155,8,0),0)</f>
        <v>0</v>
      </c>
      <c r="J1315" s="88">
        <f>-IFERROR(VLOOKUP(C1315,SIRTAC!$A$16:$H$1288,8,0),0)</f>
        <v>-294</v>
      </c>
      <c r="K1315" s="88">
        <f>-IFERROR(VLOOKUP(C1315,Gastos!$A$9:$J$1281,10,0),0)</f>
        <v>-2237.34</v>
      </c>
      <c r="L1315" s="87">
        <f>-IFERROR(VLOOKUP(C1315,IDC!$A$25:$H$1532,8,0),0)</f>
        <v>-176.4</v>
      </c>
      <c r="M1315" s="122">
        <f t="shared" si="186"/>
        <v>29400</v>
      </c>
      <c r="N1315"/>
      <c r="P1315" s="35">
        <f t="shared" si="184"/>
        <v>-29400</v>
      </c>
      <c r="Q1315" s="66">
        <f t="shared" si="185"/>
        <v>0</v>
      </c>
    </row>
    <row r="1316" spans="1:17" hidden="1">
      <c r="A1316" s="1" t="s">
        <v>1382</v>
      </c>
      <c r="B1316" s="1" t="s">
        <v>15</v>
      </c>
      <c r="C1316" s="91">
        <v>127680295528</v>
      </c>
      <c r="D1316" s="3">
        <v>12438.23</v>
      </c>
      <c r="E1316" s="3">
        <v>8060583.79</v>
      </c>
      <c r="F1316" s="35" t="s">
        <v>2750</v>
      </c>
      <c r="G1316"/>
      <c r="H1316"/>
      <c r="I1316" s="27">
        <f>-IFERROR(VLOOKUP(C1316,SIRCUPA!$A$21:$H$155,8,0),0)</f>
        <v>0</v>
      </c>
      <c r="J1316" s="88">
        <f>-IFERROR(VLOOKUP(C1316,SIRTAC!$A$16:$H$1288,8,0),0)</f>
        <v>-137</v>
      </c>
      <c r="K1316" s="88">
        <f>-IFERROR(VLOOKUP(C1316,Gastos!$A$9:$J$1281,10,0),0)</f>
        <v>-1042.57</v>
      </c>
      <c r="L1316" s="87">
        <f>-IFERROR(VLOOKUP(C1316,IDC!$A$25:$H$1532,8,0),0)</f>
        <v>-82.2</v>
      </c>
      <c r="M1316" s="122">
        <f t="shared" si="186"/>
        <v>13700</v>
      </c>
      <c r="N1316"/>
      <c r="P1316" s="35">
        <f t="shared" si="184"/>
        <v>-13700</v>
      </c>
      <c r="Q1316" s="66">
        <f t="shared" si="185"/>
        <v>0</v>
      </c>
    </row>
    <row r="1317" spans="1:17" hidden="1">
      <c r="A1317" s="1" t="s">
        <v>1382</v>
      </c>
      <c r="B1317" s="1" t="s">
        <v>15</v>
      </c>
      <c r="C1317" s="91">
        <v>127682236964</v>
      </c>
      <c r="D1317" s="3">
        <v>28439.58</v>
      </c>
      <c r="E1317" s="3">
        <v>8089023.3700000001</v>
      </c>
      <c r="F1317" s="35" t="s">
        <v>2750</v>
      </c>
      <c r="G1317"/>
      <c r="H1317"/>
      <c r="I1317" s="27">
        <f>-IFERROR(VLOOKUP(C1317,SIRCUPA!$A$21:$H$155,8,0),0)</f>
        <v>0</v>
      </c>
      <c r="J1317" s="88">
        <f>-IFERROR(VLOOKUP(C1317,SIRTAC!$A$16:$H$1288,8,0),0)</f>
        <v>-303</v>
      </c>
      <c r="K1317" s="88">
        <f>-IFERROR(VLOOKUP(C1317,Gastos!$A$9:$J$1281,10,0),0)</f>
        <v>-1375.62</v>
      </c>
      <c r="L1317" s="87">
        <f>-IFERROR(VLOOKUP(C1317,IDC!$A$25:$H$1532,8,0),0)</f>
        <v>-181.8</v>
      </c>
      <c r="M1317" s="122">
        <f t="shared" si="186"/>
        <v>30300</v>
      </c>
      <c r="N1317"/>
      <c r="P1317" s="35">
        <f t="shared" si="184"/>
        <v>-30300</v>
      </c>
      <c r="Q1317" s="66">
        <f t="shared" si="185"/>
        <v>0</v>
      </c>
    </row>
    <row r="1318" spans="1:17" hidden="1">
      <c r="A1318" s="1" t="s">
        <v>1382</v>
      </c>
      <c r="B1318" s="1" t="s">
        <v>15</v>
      </c>
      <c r="C1318" s="91">
        <v>127685431266</v>
      </c>
      <c r="D1318" s="3">
        <v>9158.42</v>
      </c>
      <c r="E1318" s="3">
        <v>8098181.79</v>
      </c>
      <c r="F1318" s="35" t="s">
        <v>2750</v>
      </c>
      <c r="G1318"/>
      <c r="H1318"/>
      <c r="I1318" s="27">
        <f>-IFERROR(VLOOKUP(C1318,SIRCUPA!$A$21:$H$155,8,0),0)</f>
        <v>0</v>
      </c>
      <c r="J1318" s="88">
        <f>-IFERROR(VLOOKUP(C1318,SIRTAC!$A$16:$H$1288,8,0),0)</f>
        <v>-94</v>
      </c>
      <c r="K1318" s="88">
        <f>-IFERROR(VLOOKUP(C1318,Gastos!$A$9:$J$1281,10,0),0)</f>
        <v>-91.18</v>
      </c>
      <c r="L1318" s="87">
        <f>-IFERROR(VLOOKUP(C1318,IDC!$A$25:$H$1532,8,0),0)</f>
        <v>-56.4</v>
      </c>
      <c r="M1318" s="122">
        <f t="shared" si="186"/>
        <v>9400</v>
      </c>
      <c r="N1318"/>
      <c r="P1318" s="35">
        <f t="shared" si="184"/>
        <v>-9400</v>
      </c>
      <c r="Q1318" s="66">
        <f t="shared" si="185"/>
        <v>0</v>
      </c>
    </row>
    <row r="1319" spans="1:17" hidden="1">
      <c r="A1319" s="1" t="s">
        <v>1382</v>
      </c>
      <c r="B1319" s="1" t="s">
        <v>15</v>
      </c>
      <c r="C1319" s="91">
        <v>127685463730</v>
      </c>
      <c r="D1319" s="3">
        <v>4251.1499999999996</v>
      </c>
      <c r="E1319" s="3">
        <v>8102432.9400000004</v>
      </c>
      <c r="F1319" s="35" t="s">
        <v>2750</v>
      </c>
      <c r="G1319"/>
      <c r="H1319"/>
      <c r="I1319" s="27">
        <f>-IFERROR(VLOOKUP(C1319,SIRCUPA!$A$21:$H$155,8,0),0)</f>
        <v>0</v>
      </c>
      <c r="J1319" s="88">
        <f>-IFERROR(VLOOKUP(C1319,SIRTAC!$A$16:$H$1288,8,0),0)</f>
        <v>-45</v>
      </c>
      <c r="K1319" s="88">
        <f>-IFERROR(VLOOKUP(C1319,Gastos!$A$9:$J$1281,10,0),0)</f>
        <v>-176.85</v>
      </c>
      <c r="L1319" s="87">
        <f>-IFERROR(VLOOKUP(C1319,IDC!$A$25:$H$1532,8,0),0)</f>
        <v>-27</v>
      </c>
      <c r="M1319" s="122">
        <f t="shared" si="186"/>
        <v>4500</v>
      </c>
      <c r="N1319"/>
      <c r="P1319" s="35">
        <f t="shared" si="184"/>
        <v>-4500</v>
      </c>
      <c r="Q1319" s="66">
        <f t="shared" si="185"/>
        <v>0</v>
      </c>
    </row>
    <row r="1320" spans="1:17" hidden="1">
      <c r="A1320" s="1" t="s">
        <v>1382</v>
      </c>
      <c r="B1320" s="1" t="s">
        <v>15</v>
      </c>
      <c r="C1320" s="91">
        <v>127686983606</v>
      </c>
      <c r="D1320" s="3">
        <v>4223.7</v>
      </c>
      <c r="E1320" s="3">
        <v>8106656.6399999997</v>
      </c>
      <c r="F1320" s="35" t="s">
        <v>2750</v>
      </c>
      <c r="G1320"/>
      <c r="H1320"/>
      <c r="I1320" s="27">
        <f>-IFERROR(VLOOKUP(C1320,SIRCUPA!$A$21:$H$155,8,0),0)</f>
        <v>0</v>
      </c>
      <c r="J1320" s="88">
        <f>-IFERROR(VLOOKUP(C1320,SIRTAC!$A$16:$H$1288,8,0),0)</f>
        <v>-45</v>
      </c>
      <c r="K1320" s="88">
        <f>-IFERROR(VLOOKUP(C1320,Gastos!$A$9:$J$1281,10,0),0)</f>
        <v>-204.3</v>
      </c>
      <c r="L1320" s="87">
        <f>-IFERROR(VLOOKUP(C1320,IDC!$A$25:$H$1532,8,0),0)</f>
        <v>-27</v>
      </c>
      <c r="M1320" s="122">
        <f t="shared" si="186"/>
        <v>4500</v>
      </c>
      <c r="N1320"/>
      <c r="P1320" s="35">
        <f t="shared" si="184"/>
        <v>-4500</v>
      </c>
      <c r="Q1320" s="66">
        <f t="shared" si="185"/>
        <v>0</v>
      </c>
    </row>
    <row r="1321" spans="1:17" hidden="1">
      <c r="A1321" s="1" t="s">
        <v>1382</v>
      </c>
      <c r="B1321" s="1" t="s">
        <v>15</v>
      </c>
      <c r="C1321" s="91">
        <v>127687107476</v>
      </c>
      <c r="D1321" s="3">
        <v>7794.4</v>
      </c>
      <c r="E1321" s="3">
        <v>8114451.04</v>
      </c>
      <c r="F1321" s="35" t="s">
        <v>2750</v>
      </c>
      <c r="G1321"/>
      <c r="H1321"/>
      <c r="I1321" s="27">
        <f>-IFERROR(VLOOKUP(C1321,SIRCUPA!$A$21:$H$155,8,0),0)</f>
        <v>0</v>
      </c>
      <c r="J1321" s="88">
        <f>-IFERROR(VLOOKUP(C1321,SIRTAC!$A$16:$H$1288,8,0),0)</f>
        <v>-80</v>
      </c>
      <c r="K1321" s="88">
        <f>-IFERROR(VLOOKUP(C1321,Gastos!$A$9:$J$1281,10,0),0)</f>
        <v>-77.599999999999994</v>
      </c>
      <c r="L1321" s="87">
        <f>-IFERROR(VLOOKUP(C1321,IDC!$A$25:$H$1532,8,0),0)</f>
        <v>-48</v>
      </c>
      <c r="M1321" s="122">
        <f t="shared" si="186"/>
        <v>8000</v>
      </c>
      <c r="N1321"/>
      <c r="P1321" s="35">
        <f t="shared" si="184"/>
        <v>-8000</v>
      </c>
      <c r="Q1321" s="66">
        <f t="shared" si="185"/>
        <v>0</v>
      </c>
    </row>
    <row r="1322" spans="1:17" hidden="1">
      <c r="A1322" s="1" t="s">
        <v>1382</v>
      </c>
      <c r="B1322" s="1" t="s">
        <v>15</v>
      </c>
      <c r="C1322" s="91">
        <v>127126712461</v>
      </c>
      <c r="D1322" s="3">
        <v>162514.1</v>
      </c>
      <c r="E1322" s="3">
        <v>8276965.1399999997</v>
      </c>
      <c r="F1322" s="35" t="s">
        <v>2750</v>
      </c>
      <c r="G1322"/>
      <c r="H1322"/>
      <c r="I1322" s="27">
        <f>-IFERROR(VLOOKUP(C1322,SIRCUPA!$A$21:$H$155,8,0),0)</f>
        <v>0</v>
      </c>
      <c r="J1322" s="88">
        <f>-IFERROR(VLOOKUP(C1322,SIRTAC!$A$16:$H$1288,8,0),0)</f>
        <v>-1790</v>
      </c>
      <c r="K1322" s="88">
        <f>-IFERROR(VLOOKUP(C1322,Gastos!$A$9:$J$1281,10,0),0)</f>
        <v>-13621.9</v>
      </c>
      <c r="L1322" s="87">
        <f>-IFERROR(VLOOKUP(C1322,IDC!$A$25:$H$1532,8,0),0)</f>
        <v>-1074</v>
      </c>
      <c r="M1322" s="122">
        <f t="shared" si="186"/>
        <v>179000</v>
      </c>
      <c r="N1322"/>
      <c r="P1322" s="35">
        <f t="shared" si="184"/>
        <v>-179000</v>
      </c>
      <c r="Q1322" s="66">
        <f t="shared" si="185"/>
        <v>0</v>
      </c>
    </row>
    <row r="1323" spans="1:17" hidden="1">
      <c r="A1323" s="1" t="s">
        <v>1382</v>
      </c>
      <c r="B1323" s="1" t="s">
        <v>15</v>
      </c>
      <c r="C1323" s="91">
        <v>127688724722</v>
      </c>
      <c r="D1323" s="3">
        <v>25412.43</v>
      </c>
      <c r="E1323" s="3">
        <v>8302377.5700000003</v>
      </c>
      <c r="F1323" s="35" t="s">
        <v>2750</v>
      </c>
      <c r="G1323"/>
      <c r="H1323"/>
      <c r="I1323" s="27">
        <f>-IFERROR(VLOOKUP(C1323,SIRCUPA!$A$21:$H$155,8,0),0)</f>
        <v>0</v>
      </c>
      <c r="J1323" s="88">
        <f>-IFERROR(VLOOKUP(C1323,SIRTAC!$A$16:$H$1288,8,0),0)</f>
        <v>-269</v>
      </c>
      <c r="K1323" s="88">
        <f>-IFERROR(VLOOKUP(C1323,Gastos!$A$9:$J$1281,10,0),0)</f>
        <v>-1057.17</v>
      </c>
      <c r="L1323" s="87">
        <f>-IFERROR(VLOOKUP(C1323,IDC!$A$25:$H$1532,8,0),0)</f>
        <v>-161.4</v>
      </c>
      <c r="M1323" s="122">
        <f t="shared" si="186"/>
        <v>26900</v>
      </c>
      <c r="N1323"/>
      <c r="P1323" s="35">
        <f t="shared" si="184"/>
        <v>-26900</v>
      </c>
      <c r="Q1323" s="66">
        <f t="shared" si="185"/>
        <v>0</v>
      </c>
    </row>
    <row r="1324" spans="1:17" hidden="1">
      <c r="A1324" s="1" t="s">
        <v>1382</v>
      </c>
      <c r="B1324" s="1" t="s">
        <v>15</v>
      </c>
      <c r="C1324" s="91">
        <v>127127545649</v>
      </c>
      <c r="D1324" s="3">
        <v>59822.02</v>
      </c>
      <c r="E1324" s="3">
        <v>8362199.5899999999</v>
      </c>
      <c r="F1324" s="35" t="s">
        <v>2750</v>
      </c>
      <c r="G1324"/>
      <c r="H1324"/>
      <c r="I1324" s="27">
        <f>-IFERROR(VLOOKUP(C1324,SIRCUPA!$A$21:$H$155,8,0),0)</f>
        <v>0</v>
      </c>
      <c r="J1324" s="88">
        <f>-IFERROR(VLOOKUP(C1324,SIRTAC!$A$16:$H$1288,8,0),0)</f>
        <v>-614</v>
      </c>
      <c r="K1324" s="88">
        <f>-IFERROR(VLOOKUP(C1324,Gastos!$A$9:$J$1281,10,0),0)</f>
        <v>-595.58000000000004</v>
      </c>
      <c r="L1324" s="87">
        <f>-IFERROR(VLOOKUP(C1324,IDC!$A$25:$H$1532,8,0),0)</f>
        <v>-368.4</v>
      </c>
      <c r="M1324" s="122">
        <f t="shared" si="186"/>
        <v>61400</v>
      </c>
      <c r="N1324"/>
      <c r="P1324" s="35">
        <f t="shared" si="184"/>
        <v>-61399.999999999993</v>
      </c>
      <c r="Q1324" s="66">
        <f t="shared" si="185"/>
        <v>0</v>
      </c>
    </row>
    <row r="1325" spans="1:17" hidden="1">
      <c r="A1325" s="1" t="s">
        <v>1382</v>
      </c>
      <c r="B1325" s="1" t="s">
        <v>15</v>
      </c>
      <c r="C1325" s="91">
        <v>127130305985</v>
      </c>
      <c r="D1325" s="3">
        <v>46571.54</v>
      </c>
      <c r="E1325" s="3">
        <v>8408771.1300000008</v>
      </c>
      <c r="F1325" s="35" t="s">
        <v>2750</v>
      </c>
      <c r="G1325"/>
      <c r="H1325"/>
      <c r="I1325" s="27">
        <f>-IFERROR(VLOOKUP(C1325,SIRCUPA!$A$21:$H$155,8,0),0)</f>
        <v>0</v>
      </c>
      <c r="J1325" s="88">
        <f>-IFERROR(VLOOKUP(C1325,SIRTAC!$A$16:$H$1288,8,0),0)</f>
        <v>-478</v>
      </c>
      <c r="K1325" s="88">
        <f>-IFERROR(VLOOKUP(C1325,Gastos!$A$9:$J$1281,10,0),0)</f>
        <v>-463.66</v>
      </c>
      <c r="L1325" s="87">
        <f>-IFERROR(VLOOKUP(C1325,IDC!$A$25:$H$1532,8,0),0)</f>
        <v>-286.8</v>
      </c>
      <c r="M1325" s="122">
        <f t="shared" si="186"/>
        <v>47800.000000000007</v>
      </c>
      <c r="N1325"/>
      <c r="P1325" s="35">
        <f t="shared" si="184"/>
        <v>-47800</v>
      </c>
      <c r="Q1325" s="66">
        <f t="shared" si="185"/>
        <v>0</v>
      </c>
    </row>
    <row r="1326" spans="1:17" hidden="1">
      <c r="A1326" s="1" t="s">
        <v>1382</v>
      </c>
      <c r="B1326" s="1" t="s">
        <v>15</v>
      </c>
      <c r="C1326" s="91">
        <v>127691820066</v>
      </c>
      <c r="D1326" s="3">
        <v>28546.99</v>
      </c>
      <c r="E1326" s="3">
        <v>8437318.1199999992</v>
      </c>
      <c r="F1326" s="35" t="s">
        <v>2750</v>
      </c>
      <c r="G1326"/>
      <c r="H1326"/>
      <c r="I1326" s="27">
        <f>-IFERROR(VLOOKUP(C1326,SIRCUPA!$A$21:$H$155,8,0),0)</f>
        <v>0</v>
      </c>
      <c r="J1326" s="88">
        <f>-IFERROR(VLOOKUP(C1326,SIRTAC!$A$16:$H$1288,8,0),0)</f>
        <v>-293</v>
      </c>
      <c r="K1326" s="88">
        <f>-IFERROR(VLOOKUP(C1326,Gastos!$A$9:$J$1281,10,0),0)</f>
        <v>-284.20999999999998</v>
      </c>
      <c r="L1326" s="87">
        <f>-IFERROR(VLOOKUP(C1326,IDC!$A$25:$H$1532,8,0),0)</f>
        <v>-175.8</v>
      </c>
      <c r="M1326" s="122">
        <f t="shared" si="186"/>
        <v>29300</v>
      </c>
      <c r="N1326"/>
      <c r="P1326" s="35">
        <f t="shared" si="184"/>
        <v>-29300</v>
      </c>
      <c r="Q1326" s="66">
        <f t="shared" si="185"/>
        <v>0</v>
      </c>
    </row>
    <row r="1327" spans="1:17" hidden="1">
      <c r="A1327" s="1" t="s">
        <v>1382</v>
      </c>
      <c r="B1327" s="1" t="s">
        <v>15</v>
      </c>
      <c r="C1327" s="91">
        <v>127130788563</v>
      </c>
      <c r="D1327" s="3">
        <v>36438.82</v>
      </c>
      <c r="E1327" s="3">
        <v>8473756.9399999995</v>
      </c>
      <c r="F1327" s="35" t="s">
        <v>2750</v>
      </c>
      <c r="G1327"/>
      <c r="H1327"/>
      <c r="I1327" s="27">
        <f>-IFERROR(VLOOKUP(C1327,SIRCUPA!$A$21:$H$155,8,0),0)</f>
        <v>0</v>
      </c>
      <c r="J1327" s="88">
        <f>-IFERROR(VLOOKUP(C1327,SIRTAC!$A$16:$H$1288,8,0),0)</f>
        <v>-374</v>
      </c>
      <c r="K1327" s="88">
        <f>-IFERROR(VLOOKUP(C1327,Gastos!$A$9:$J$1281,10,0),0)</f>
        <v>-362.78</v>
      </c>
      <c r="L1327" s="87">
        <f>-IFERROR(VLOOKUP(C1327,IDC!$A$25:$H$1532,8,0),0)</f>
        <v>-224.4</v>
      </c>
      <c r="M1327" s="122">
        <f t="shared" si="186"/>
        <v>37400</v>
      </c>
      <c r="N1327"/>
      <c r="P1327" s="35">
        <f t="shared" si="184"/>
        <v>-37400</v>
      </c>
      <c r="Q1327" s="66">
        <f t="shared" si="185"/>
        <v>0</v>
      </c>
    </row>
    <row r="1328" spans="1:17" hidden="1">
      <c r="A1328" s="1" t="s">
        <v>1382</v>
      </c>
      <c r="B1328" s="1" t="s">
        <v>15</v>
      </c>
      <c r="C1328" s="91">
        <v>127692414538</v>
      </c>
      <c r="D1328" s="3">
        <v>122859.23</v>
      </c>
      <c r="E1328" s="3">
        <v>8596616.1699999999</v>
      </c>
      <c r="F1328" s="35" t="s">
        <v>2750</v>
      </c>
      <c r="G1328"/>
      <c r="H1328"/>
      <c r="I1328" s="27">
        <f>-IFERROR(VLOOKUP(C1328,SIRCUPA!$A$21:$H$155,8,0),0)</f>
        <v>0</v>
      </c>
      <c r="J1328" s="88">
        <f>-IFERROR(VLOOKUP(C1328,SIRTAC!$A$16:$H$1288,8,0),0)</f>
        <v>-1261</v>
      </c>
      <c r="K1328" s="88">
        <f>-IFERROR(VLOOKUP(C1328,Gastos!$A$9:$J$1281,10,0),0)</f>
        <v>-1223.17</v>
      </c>
      <c r="L1328" s="87">
        <f>-IFERROR(VLOOKUP(C1328,IDC!$A$25:$H$1532,8,0),0)</f>
        <v>-756.6</v>
      </c>
      <c r="M1328" s="122">
        <f t="shared" si="186"/>
        <v>126100</v>
      </c>
      <c r="N1328"/>
      <c r="P1328" s="35">
        <f t="shared" si="184"/>
        <v>-126100</v>
      </c>
      <c r="Q1328" s="66">
        <f t="shared" si="185"/>
        <v>0</v>
      </c>
    </row>
    <row r="1329" spans="1:17" hidden="1">
      <c r="A1329" s="1" t="s">
        <v>1382</v>
      </c>
      <c r="B1329" s="1" t="s">
        <v>15</v>
      </c>
      <c r="C1329" s="91">
        <v>127692795340</v>
      </c>
      <c r="D1329" s="3">
        <v>24373.26</v>
      </c>
      <c r="E1329" s="3">
        <v>8620989.4299999997</v>
      </c>
      <c r="F1329" s="35" t="s">
        <v>2750</v>
      </c>
      <c r="G1329"/>
      <c r="H1329"/>
      <c r="I1329" s="27">
        <f>-IFERROR(VLOOKUP(C1329,SIRCUPA!$A$21:$H$155,8,0),0)</f>
        <v>0</v>
      </c>
      <c r="J1329" s="88">
        <f>-IFERROR(VLOOKUP(C1329,SIRTAC!$A$16:$H$1288,8,0),0)</f>
        <v>-258</v>
      </c>
      <c r="K1329" s="88">
        <f>-IFERROR(VLOOKUP(C1329,Gastos!$A$9:$J$1281,10,0),0)</f>
        <v>-1013.94</v>
      </c>
      <c r="L1329" s="87">
        <f>-IFERROR(VLOOKUP(C1329,IDC!$A$25:$H$1532,8,0),0)</f>
        <v>-154.80000000000001</v>
      </c>
      <c r="M1329" s="122">
        <f t="shared" si="186"/>
        <v>25799.999999999996</v>
      </c>
      <c r="N1329"/>
      <c r="P1329" s="35">
        <f t="shared" si="184"/>
        <v>-25800</v>
      </c>
      <c r="Q1329" s="66">
        <f t="shared" si="185"/>
        <v>0</v>
      </c>
    </row>
    <row r="1330" spans="1:17" hidden="1">
      <c r="A1330" s="1" t="s">
        <v>1382</v>
      </c>
      <c r="B1330" s="1" t="s">
        <v>15</v>
      </c>
      <c r="C1330" s="91">
        <v>127132014539</v>
      </c>
      <c r="D1330" s="3">
        <v>43361.73</v>
      </c>
      <c r="E1330" s="3">
        <v>8664351.1600000001</v>
      </c>
      <c r="F1330" s="35" t="s">
        <v>2750</v>
      </c>
      <c r="G1330"/>
      <c r="H1330"/>
      <c r="I1330" s="27">
        <f>-IFERROR(VLOOKUP(C1330,SIRCUPA!$A$21:$H$155,8,0),0)</f>
        <v>0</v>
      </c>
      <c r="J1330" s="88">
        <f>-IFERROR(VLOOKUP(C1330,SIRTAC!$A$16:$H$1288,8,0),0)</f>
        <v>-459</v>
      </c>
      <c r="K1330" s="88">
        <f>-IFERROR(VLOOKUP(C1330,Gastos!$A$9:$J$1281,10,0),0)</f>
        <v>-1803.87</v>
      </c>
      <c r="L1330" s="87">
        <f>-IFERROR(VLOOKUP(C1330,IDC!$A$25:$H$1532,8,0),0)</f>
        <v>-275.39999999999998</v>
      </c>
      <c r="M1330" s="122">
        <f t="shared" ref="M1330:M1354" si="187">+D1330-I1330-J1330-K1330-L1330</f>
        <v>45900.000000000007</v>
      </c>
      <c r="N1330"/>
      <c r="P1330" s="35">
        <f t="shared" ref="P1330:P1354" si="188">+L1330/0.006</f>
        <v>-45899.999999999993</v>
      </c>
      <c r="Q1330" s="66">
        <f t="shared" ref="Q1330:Q1354" si="189">+M1330+P1330</f>
        <v>0</v>
      </c>
    </row>
    <row r="1331" spans="1:17" hidden="1">
      <c r="A1331" s="1" t="s">
        <v>1382</v>
      </c>
      <c r="B1331" s="1" t="s">
        <v>15</v>
      </c>
      <c r="C1331" s="91">
        <v>127132281045</v>
      </c>
      <c r="D1331" s="3">
        <v>42771.77</v>
      </c>
      <c r="E1331" s="3">
        <v>8707122.9299999997</v>
      </c>
      <c r="F1331" s="35" t="s">
        <v>2750</v>
      </c>
      <c r="G1331"/>
      <c r="H1331"/>
      <c r="I1331" s="27">
        <f>-IFERROR(VLOOKUP(C1331,SIRCUPA!$A$21:$H$155,8,0),0)</f>
        <v>0</v>
      </c>
      <c r="J1331" s="88">
        <f>-IFERROR(VLOOKUP(C1331,SIRTAC!$A$16:$H$1288,8,0),0)</f>
        <v>-439</v>
      </c>
      <c r="K1331" s="88">
        <f>-IFERROR(VLOOKUP(C1331,Gastos!$A$9:$J$1281,10,0),0)</f>
        <v>-425.83</v>
      </c>
      <c r="L1331" s="87">
        <f>-IFERROR(VLOOKUP(C1331,IDC!$A$25:$H$1532,8,0),0)</f>
        <v>-263.39999999999998</v>
      </c>
      <c r="M1331" s="122">
        <f t="shared" si="187"/>
        <v>43900</v>
      </c>
      <c r="N1331"/>
      <c r="P1331" s="35">
        <f t="shared" si="188"/>
        <v>-43899.999999999993</v>
      </c>
      <c r="Q1331" s="66">
        <f t="shared" si="189"/>
        <v>0</v>
      </c>
    </row>
    <row r="1332" spans="1:17" hidden="1">
      <c r="A1332" s="1" t="s">
        <v>1382</v>
      </c>
      <c r="B1332" s="1" t="s">
        <v>678</v>
      </c>
      <c r="C1332" s="91">
        <v>127132211439</v>
      </c>
      <c r="D1332" s="3">
        <v>2148.9</v>
      </c>
      <c r="E1332" s="3">
        <v>8709271.8300000001</v>
      </c>
      <c r="F1332" s="2" t="s">
        <v>2750</v>
      </c>
      <c r="G1332"/>
      <c r="H1332"/>
      <c r="I1332" s="27">
        <f>-IFERROR(VLOOKUP(C1332,SIRCUPA!$A$21:$H$155,8,0),0)</f>
        <v>-32.93</v>
      </c>
      <c r="J1332" s="88">
        <f>-IFERROR(VLOOKUP(C1332,SIRTAC!$A$16:$H$1288,8,0),0)</f>
        <v>0</v>
      </c>
      <c r="K1332" s="88">
        <f>-IFERROR(VLOOKUP(C1332,Gastos!$A$9:$J$1281,10,0),0)</f>
        <v>0</v>
      </c>
      <c r="L1332" s="87">
        <f>-IFERROR(VLOOKUP(C1332,IDC!$A$25:$H$1532,8,0),0)</f>
        <v>-13.17</v>
      </c>
      <c r="M1332" s="122">
        <f t="shared" si="187"/>
        <v>2195</v>
      </c>
      <c r="N1332"/>
      <c r="P1332" s="35">
        <f t="shared" si="188"/>
        <v>-2195</v>
      </c>
      <c r="Q1332" s="66">
        <f t="shared" si="189"/>
        <v>0</v>
      </c>
    </row>
    <row r="1333" spans="1:17" hidden="1">
      <c r="A1333" s="1" t="s">
        <v>1382</v>
      </c>
      <c r="B1333" s="1" t="s">
        <v>15</v>
      </c>
      <c r="C1333" s="91">
        <v>127693996562</v>
      </c>
      <c r="D1333" s="3">
        <v>4223.7</v>
      </c>
      <c r="E1333" s="3">
        <v>8713495.5299999993</v>
      </c>
      <c r="F1333" s="35" t="s">
        <v>2750</v>
      </c>
      <c r="G1333"/>
      <c r="H1333"/>
      <c r="I1333" s="27">
        <f>-IFERROR(VLOOKUP(C1333,SIRCUPA!$A$21:$H$155,8,0),0)</f>
        <v>0</v>
      </c>
      <c r="J1333" s="88">
        <f>-IFERROR(VLOOKUP(C1333,SIRTAC!$A$16:$H$1288,8,0),0)</f>
        <v>-45</v>
      </c>
      <c r="K1333" s="88">
        <f>-IFERROR(VLOOKUP(C1333,Gastos!$A$9:$J$1281,10,0),0)</f>
        <v>-204.3</v>
      </c>
      <c r="L1333" s="87">
        <f>-IFERROR(VLOOKUP(C1333,IDC!$A$25:$H$1532,8,0),0)</f>
        <v>-27</v>
      </c>
      <c r="M1333" s="122">
        <f t="shared" si="187"/>
        <v>4500</v>
      </c>
      <c r="N1333"/>
      <c r="P1333" s="35">
        <f t="shared" si="188"/>
        <v>-4500</v>
      </c>
      <c r="Q1333" s="66">
        <f t="shared" si="189"/>
        <v>0</v>
      </c>
    </row>
    <row r="1334" spans="1:17" hidden="1">
      <c r="A1334" s="1" t="s">
        <v>1382</v>
      </c>
      <c r="B1334" s="1" t="s">
        <v>15</v>
      </c>
      <c r="C1334" s="91">
        <v>127694077596</v>
      </c>
      <c r="D1334" s="3">
        <v>4384.3500000000004</v>
      </c>
      <c r="E1334" s="3">
        <v>8717879.8800000008</v>
      </c>
      <c r="F1334" s="35" t="s">
        <v>2750</v>
      </c>
      <c r="G1334"/>
      <c r="H1334"/>
      <c r="I1334" s="27">
        <f>-IFERROR(VLOOKUP(C1334,SIRCUPA!$A$21:$H$155,8,0),0)</f>
        <v>0</v>
      </c>
      <c r="J1334" s="88">
        <f>-IFERROR(VLOOKUP(C1334,SIRTAC!$A$16:$H$1288,8,0),0)</f>
        <v>-45</v>
      </c>
      <c r="K1334" s="88">
        <f>-IFERROR(VLOOKUP(C1334,Gastos!$A$9:$J$1281,10,0),0)</f>
        <v>-43.65</v>
      </c>
      <c r="L1334" s="87">
        <f>-IFERROR(VLOOKUP(C1334,IDC!$A$25:$H$1532,8,0),0)</f>
        <v>-27</v>
      </c>
      <c r="M1334" s="122">
        <f t="shared" si="187"/>
        <v>4500</v>
      </c>
      <c r="N1334"/>
      <c r="P1334" s="35">
        <f t="shared" si="188"/>
        <v>-4500</v>
      </c>
      <c r="Q1334" s="66">
        <f t="shared" si="189"/>
        <v>0</v>
      </c>
    </row>
    <row r="1335" spans="1:17" hidden="1">
      <c r="A1335" s="1" t="s">
        <v>1382</v>
      </c>
      <c r="B1335" s="1" t="s">
        <v>15</v>
      </c>
      <c r="C1335" s="91">
        <v>127694163582</v>
      </c>
      <c r="D1335" s="3">
        <v>31080.17</v>
      </c>
      <c r="E1335" s="3">
        <v>8748960.0500000007</v>
      </c>
      <c r="F1335" s="35" t="s">
        <v>2750</v>
      </c>
      <c r="G1335"/>
      <c r="H1335"/>
      <c r="I1335" s="27">
        <f>-IFERROR(VLOOKUP(C1335,SIRCUPA!$A$21:$H$155,8,0),0)</f>
        <v>0</v>
      </c>
      <c r="J1335" s="88">
        <f>-IFERROR(VLOOKUP(C1335,SIRTAC!$A$16:$H$1288,8,0),0)</f>
        <v>-319</v>
      </c>
      <c r="K1335" s="88">
        <f>-IFERROR(VLOOKUP(C1335,Gastos!$A$9:$J$1281,10,0),0)</f>
        <v>-309.43</v>
      </c>
      <c r="L1335" s="87">
        <f>-IFERROR(VLOOKUP(C1335,IDC!$A$25:$H$1532,8,0),0)</f>
        <v>-191.4</v>
      </c>
      <c r="M1335" s="122">
        <f t="shared" si="187"/>
        <v>31900</v>
      </c>
      <c r="N1335"/>
      <c r="P1335" s="35">
        <f t="shared" si="188"/>
        <v>-31900</v>
      </c>
      <c r="Q1335" s="66">
        <f t="shared" si="189"/>
        <v>0</v>
      </c>
    </row>
    <row r="1336" spans="1:17" hidden="1">
      <c r="A1336" s="1" t="s">
        <v>1382</v>
      </c>
      <c r="B1336" s="1" t="s">
        <v>1459</v>
      </c>
      <c r="C1336" s="91">
        <v>127694197476</v>
      </c>
      <c r="D1336" s="3">
        <v>3123.01</v>
      </c>
      <c r="E1336" s="3">
        <v>8752083.0600000005</v>
      </c>
      <c r="F1336" s="2" t="s">
        <v>2750</v>
      </c>
      <c r="G1336"/>
      <c r="H1336"/>
      <c r="I1336" s="27">
        <f>-IFERROR(VLOOKUP(C1336,SIRCUPA!$A$21:$H$155,8,0),0)</f>
        <v>-47.85</v>
      </c>
      <c r="J1336" s="88">
        <f>-IFERROR(VLOOKUP(C1336,SIRTAC!$A$16:$H$1288,8,0),0)</f>
        <v>0</v>
      </c>
      <c r="K1336" s="88">
        <f>-IFERROR(VLOOKUP(C1336,Gastos!$A$9:$J$1281,10,0),0)</f>
        <v>0</v>
      </c>
      <c r="L1336" s="87">
        <f>-IFERROR(VLOOKUP(C1336,IDC!$A$25:$H$1532,8,0),0)</f>
        <v>-19.14</v>
      </c>
      <c r="M1336" s="122">
        <f t="shared" si="187"/>
        <v>3190</v>
      </c>
      <c r="N1336"/>
      <c r="P1336" s="35">
        <f t="shared" si="188"/>
        <v>-3190</v>
      </c>
      <c r="Q1336" s="66">
        <f t="shared" si="189"/>
        <v>0</v>
      </c>
    </row>
    <row r="1337" spans="1:17" hidden="1">
      <c r="A1337" s="1" t="s">
        <v>1382</v>
      </c>
      <c r="B1337" s="1" t="s">
        <v>15</v>
      </c>
      <c r="C1337" s="91">
        <v>127694198004</v>
      </c>
      <c r="D1337" s="3">
        <v>25818.95</v>
      </c>
      <c r="E1337" s="3">
        <v>8777902.0099999998</v>
      </c>
      <c r="F1337" s="35" t="s">
        <v>2750</v>
      </c>
      <c r="G1337"/>
      <c r="H1337"/>
      <c r="I1337" s="27">
        <f>-IFERROR(VLOOKUP(C1337,SIRCUPA!$A$21:$H$155,8,0),0)</f>
        <v>0</v>
      </c>
      <c r="J1337" s="88">
        <f>-IFERROR(VLOOKUP(C1337,SIRTAC!$A$16:$H$1288,8,0),0)</f>
        <v>-265</v>
      </c>
      <c r="K1337" s="88">
        <f>-IFERROR(VLOOKUP(C1337,Gastos!$A$9:$J$1281,10,0),0)</f>
        <v>-257.05</v>
      </c>
      <c r="L1337" s="87">
        <f>-IFERROR(VLOOKUP(C1337,IDC!$A$25:$H$1532,8,0),0)</f>
        <v>-159</v>
      </c>
      <c r="M1337" s="122">
        <f t="shared" si="187"/>
        <v>26500</v>
      </c>
      <c r="N1337"/>
      <c r="P1337" s="35">
        <f t="shared" si="188"/>
        <v>-26500</v>
      </c>
      <c r="Q1337" s="66">
        <f t="shared" si="189"/>
        <v>0</v>
      </c>
    </row>
    <row r="1338" spans="1:17" hidden="1">
      <c r="A1338" s="1" t="s">
        <v>1382</v>
      </c>
      <c r="B1338" s="1" t="s">
        <v>1462</v>
      </c>
      <c r="C1338" s="91">
        <v>127132666919</v>
      </c>
      <c r="D1338" s="3">
        <v>1297.17</v>
      </c>
      <c r="E1338" s="3">
        <v>8779199.1799999997</v>
      </c>
      <c r="F1338" s="2" t="s">
        <v>2750</v>
      </c>
      <c r="G1338"/>
      <c r="H1338"/>
      <c r="I1338" s="27">
        <f>-IFERROR(VLOOKUP(C1338,SIRCUPA!$A$21:$H$155,8,0),0)</f>
        <v>-19.88</v>
      </c>
      <c r="J1338" s="88">
        <f>-IFERROR(VLOOKUP(C1338,SIRTAC!$A$16:$H$1288,8,0),0)</f>
        <v>0</v>
      </c>
      <c r="K1338" s="88">
        <f>-IFERROR(VLOOKUP(C1338,Gastos!$A$9:$J$1281,10,0),0)</f>
        <v>0</v>
      </c>
      <c r="L1338" s="87">
        <f>-IFERROR(VLOOKUP(C1338,IDC!$A$25:$H$1532,8,0),0)</f>
        <v>-7.95</v>
      </c>
      <c r="M1338" s="122">
        <f t="shared" si="187"/>
        <v>1325.0000000000002</v>
      </c>
      <c r="N1338"/>
      <c r="P1338" s="35">
        <f t="shared" si="188"/>
        <v>-1325</v>
      </c>
      <c r="Q1338" s="66">
        <f t="shared" si="189"/>
        <v>0</v>
      </c>
    </row>
    <row r="1339" spans="1:17" hidden="1">
      <c r="A1339" s="1" t="s">
        <v>1382</v>
      </c>
      <c r="B1339" s="1" t="s">
        <v>15</v>
      </c>
      <c r="C1339" s="91">
        <v>127696845350</v>
      </c>
      <c r="D1339" s="3">
        <v>30787.88</v>
      </c>
      <c r="E1339" s="3">
        <v>8809987.0600000005</v>
      </c>
      <c r="F1339" s="35" t="s">
        <v>2750</v>
      </c>
      <c r="G1339"/>
      <c r="H1339"/>
      <c r="I1339" s="27">
        <f>-IFERROR(VLOOKUP(C1339,SIRCUPA!$A$21:$H$155,8,0),0)</f>
        <v>0</v>
      </c>
      <c r="J1339" s="88">
        <f>-IFERROR(VLOOKUP(C1339,SIRTAC!$A$16:$H$1288,8,0),0)</f>
        <v>-316</v>
      </c>
      <c r="K1339" s="88">
        <f>-IFERROR(VLOOKUP(C1339,Gastos!$A$9:$J$1281,10,0),0)</f>
        <v>-306.52</v>
      </c>
      <c r="L1339" s="87">
        <f>-IFERROR(VLOOKUP(C1339,IDC!$A$25:$H$1532,8,0),0)</f>
        <v>-189.6</v>
      </c>
      <c r="M1339" s="122">
        <f t="shared" si="187"/>
        <v>31600</v>
      </c>
      <c r="N1339"/>
      <c r="P1339" s="35">
        <f t="shared" si="188"/>
        <v>-31600</v>
      </c>
      <c r="Q1339" s="66">
        <f t="shared" si="189"/>
        <v>0</v>
      </c>
    </row>
    <row r="1340" spans="1:17" hidden="1">
      <c r="A1340" s="1" t="s">
        <v>1382</v>
      </c>
      <c r="B1340" s="1" t="s">
        <v>519</v>
      </c>
      <c r="C1340" s="91">
        <v>127696927036</v>
      </c>
      <c r="D1340" s="3">
        <v>1546.82</v>
      </c>
      <c r="E1340" s="3">
        <v>8811533.8800000008</v>
      </c>
      <c r="F1340" s="2" t="s">
        <v>2750</v>
      </c>
      <c r="G1340"/>
      <c r="H1340"/>
      <c r="I1340" s="27">
        <f>-IFERROR(VLOOKUP(C1340,SIRCUPA!$A$21:$H$155,8,0),0)</f>
        <v>-23.7</v>
      </c>
      <c r="J1340" s="88">
        <f>-IFERROR(VLOOKUP(C1340,SIRTAC!$A$16:$H$1288,8,0),0)</f>
        <v>0</v>
      </c>
      <c r="K1340" s="88">
        <f>-IFERROR(VLOOKUP(C1340,Gastos!$A$9:$J$1281,10,0),0)</f>
        <v>0</v>
      </c>
      <c r="L1340" s="87">
        <f>-IFERROR(VLOOKUP(C1340,IDC!$A$25:$H$1532,8,0),0)</f>
        <v>-9.48</v>
      </c>
      <c r="M1340" s="122">
        <f t="shared" si="187"/>
        <v>1580</v>
      </c>
      <c r="N1340"/>
      <c r="P1340" s="35">
        <f t="shared" si="188"/>
        <v>-1580</v>
      </c>
      <c r="Q1340" s="66">
        <f t="shared" si="189"/>
        <v>0</v>
      </c>
    </row>
    <row r="1341" spans="1:17" hidden="1">
      <c r="A1341" s="1" t="s">
        <v>1382</v>
      </c>
      <c r="B1341" s="1" t="s">
        <v>15</v>
      </c>
      <c r="C1341" s="91">
        <v>127697127812</v>
      </c>
      <c r="D1341" s="3">
        <v>159790.39999999999</v>
      </c>
      <c r="E1341" s="3">
        <v>8971324.2799999993</v>
      </c>
      <c r="F1341" s="35" t="s">
        <v>2750</v>
      </c>
      <c r="G1341"/>
      <c r="H1341"/>
      <c r="I1341" s="27">
        <f>-IFERROR(VLOOKUP(C1341,SIRCUPA!$A$21:$H$155,8,0),0)</f>
        <v>0</v>
      </c>
      <c r="J1341" s="88">
        <f>-IFERROR(VLOOKUP(C1341,SIRTAC!$A$16:$H$1288,8,0),0)</f>
        <v>-1760</v>
      </c>
      <c r="K1341" s="88">
        <f>-IFERROR(VLOOKUP(C1341,Gastos!$A$9:$J$1281,10,0),0)</f>
        <v>-13393.6</v>
      </c>
      <c r="L1341" s="87">
        <f>-IFERROR(VLOOKUP(C1341,IDC!$A$25:$H$1532,8,0),0)</f>
        <v>-1056</v>
      </c>
      <c r="M1341" s="122">
        <f t="shared" si="187"/>
        <v>176000</v>
      </c>
      <c r="N1341"/>
      <c r="P1341" s="35">
        <f t="shared" si="188"/>
        <v>-176000</v>
      </c>
      <c r="Q1341" s="66">
        <f t="shared" si="189"/>
        <v>0</v>
      </c>
    </row>
    <row r="1342" spans="1:17" hidden="1">
      <c r="A1342" s="1" t="s">
        <v>1382</v>
      </c>
      <c r="B1342" s="1" t="s">
        <v>15</v>
      </c>
      <c r="C1342" s="91">
        <v>127135874547</v>
      </c>
      <c r="D1342" s="3">
        <v>51864.03</v>
      </c>
      <c r="E1342" s="3">
        <v>9023188.3100000005</v>
      </c>
      <c r="F1342" s="35" t="s">
        <v>2750</v>
      </c>
      <c r="G1342"/>
      <c r="H1342"/>
      <c r="I1342" s="27">
        <f>-IFERROR(VLOOKUP(C1342,SIRCUPA!$A$21:$H$155,8,0),0)</f>
        <v>0</v>
      </c>
      <c r="J1342" s="88">
        <f>-IFERROR(VLOOKUP(C1342,SIRTAC!$A$16:$H$1288,8,0),0)</f>
        <v>-549</v>
      </c>
      <c r="K1342" s="88">
        <f>-IFERROR(VLOOKUP(C1342,Gastos!$A$9:$J$1281,10,0),0)</f>
        <v>-2157.5700000000002</v>
      </c>
      <c r="L1342" s="87">
        <f>-IFERROR(VLOOKUP(C1342,IDC!$A$25:$H$1532,8,0),0)</f>
        <v>-329.4</v>
      </c>
      <c r="M1342" s="122">
        <f t="shared" si="187"/>
        <v>54900</v>
      </c>
      <c r="N1342"/>
      <c r="P1342" s="35">
        <f t="shared" si="188"/>
        <v>-54899.999999999993</v>
      </c>
      <c r="Q1342" s="66">
        <f t="shared" si="189"/>
        <v>0</v>
      </c>
    </row>
    <row r="1343" spans="1:17" hidden="1">
      <c r="A1343" s="1" t="s">
        <v>1382</v>
      </c>
      <c r="B1343" s="1" t="s">
        <v>15</v>
      </c>
      <c r="C1343" s="91">
        <v>127135739949</v>
      </c>
      <c r="D1343" s="3">
        <v>34490.22</v>
      </c>
      <c r="E1343" s="3">
        <v>9057678.5299999993</v>
      </c>
      <c r="F1343" s="35" t="s">
        <v>2750</v>
      </c>
      <c r="G1343"/>
      <c r="H1343"/>
      <c r="I1343" s="27">
        <f>-IFERROR(VLOOKUP(C1343,SIRCUPA!$A$21:$H$155,8,0),0)</f>
        <v>0</v>
      </c>
      <c r="J1343" s="88">
        <f>-IFERROR(VLOOKUP(C1343,SIRTAC!$A$16:$H$1288,8,0),0)</f>
        <v>-354</v>
      </c>
      <c r="K1343" s="88">
        <f>-IFERROR(VLOOKUP(C1343,Gastos!$A$9:$J$1281,10,0),0)</f>
        <v>-343.38</v>
      </c>
      <c r="L1343" s="87">
        <f>-IFERROR(VLOOKUP(C1343,IDC!$A$25:$H$1532,8,0),0)</f>
        <v>-212.4</v>
      </c>
      <c r="M1343" s="122">
        <f t="shared" si="187"/>
        <v>35400</v>
      </c>
      <c r="N1343"/>
      <c r="P1343" s="35">
        <f t="shared" si="188"/>
        <v>-35400</v>
      </c>
      <c r="Q1343" s="66">
        <f t="shared" si="189"/>
        <v>0</v>
      </c>
    </row>
    <row r="1344" spans="1:17" hidden="1">
      <c r="A1344" s="1" t="s">
        <v>1382</v>
      </c>
      <c r="B1344" s="1" t="s">
        <v>1469</v>
      </c>
      <c r="C1344" s="91">
        <v>127135807619</v>
      </c>
      <c r="D1344" s="3">
        <v>1732.83</v>
      </c>
      <c r="E1344" s="3">
        <v>9059411.3599999994</v>
      </c>
      <c r="F1344" s="2" t="s">
        <v>2750</v>
      </c>
      <c r="G1344"/>
      <c r="H1344"/>
      <c r="I1344" s="27">
        <f>-IFERROR(VLOOKUP(C1344,SIRCUPA!$A$21:$H$155,8,0),0)</f>
        <v>-26.55</v>
      </c>
      <c r="J1344" s="88">
        <f>-IFERROR(VLOOKUP(C1344,SIRTAC!$A$16:$H$1288,8,0),0)</f>
        <v>0</v>
      </c>
      <c r="K1344" s="88">
        <f>-IFERROR(VLOOKUP(C1344,Gastos!$A$9:$J$1281,10,0),0)</f>
        <v>0</v>
      </c>
      <c r="L1344" s="87">
        <f>-IFERROR(VLOOKUP(C1344,IDC!$A$25:$H$1532,8,0),0)</f>
        <v>-10.62</v>
      </c>
      <c r="M1344" s="122">
        <f t="shared" si="187"/>
        <v>1769.9999999999998</v>
      </c>
      <c r="N1344"/>
      <c r="P1344" s="35">
        <f t="shared" si="188"/>
        <v>-1769.9999999999998</v>
      </c>
      <c r="Q1344" s="66">
        <f t="shared" si="189"/>
        <v>0</v>
      </c>
    </row>
    <row r="1345" spans="1:18" hidden="1">
      <c r="A1345" s="1" t="s">
        <v>1382</v>
      </c>
      <c r="B1345" s="1" t="s">
        <v>15</v>
      </c>
      <c r="C1345" s="91">
        <v>127697846676</v>
      </c>
      <c r="D1345" s="3">
        <v>14711.93</v>
      </c>
      <c r="E1345" s="3">
        <v>9074123.2899999991</v>
      </c>
      <c r="F1345" s="35" t="s">
        <v>2750</v>
      </c>
      <c r="G1345"/>
      <c r="H1345"/>
      <c r="I1345" s="27">
        <f>-IFERROR(VLOOKUP(C1345,SIRCUPA!$A$21:$H$155,8,0),0)</f>
        <v>0</v>
      </c>
      <c r="J1345" s="88">
        <f>-IFERROR(VLOOKUP(C1345,SIRTAC!$A$16:$H$1288,8,0),0)</f>
        <v>-151</v>
      </c>
      <c r="K1345" s="88">
        <f>-IFERROR(VLOOKUP(C1345,Gastos!$A$9:$J$1281,10,0),0)</f>
        <v>-146.47</v>
      </c>
      <c r="L1345" s="87">
        <f>-IFERROR(VLOOKUP(C1345,IDC!$A$25:$H$1532,8,0),0)</f>
        <v>-90.6</v>
      </c>
      <c r="M1345" s="122">
        <f t="shared" si="187"/>
        <v>15100</v>
      </c>
      <c r="N1345"/>
      <c r="P1345" s="35">
        <f t="shared" si="188"/>
        <v>-15099.999999999998</v>
      </c>
      <c r="Q1345" s="66">
        <f t="shared" si="189"/>
        <v>0</v>
      </c>
    </row>
    <row r="1346" spans="1:18" hidden="1">
      <c r="A1346" s="1" t="s">
        <v>1382</v>
      </c>
      <c r="B1346" s="1" t="s">
        <v>15</v>
      </c>
      <c r="C1346" s="91">
        <v>127698564448</v>
      </c>
      <c r="D1346" s="3">
        <v>13153.05</v>
      </c>
      <c r="E1346" s="3">
        <v>9087276.3399999999</v>
      </c>
      <c r="F1346" s="35" t="s">
        <v>2750</v>
      </c>
      <c r="G1346"/>
      <c r="H1346"/>
      <c r="I1346" s="27">
        <f>-IFERROR(VLOOKUP(C1346,SIRCUPA!$A$21:$H$155,8,0),0)</f>
        <v>0</v>
      </c>
      <c r="J1346" s="88">
        <f>-IFERROR(VLOOKUP(C1346,SIRTAC!$A$16:$H$1288,8,0),0)</f>
        <v>-135</v>
      </c>
      <c r="K1346" s="88">
        <f>-IFERROR(VLOOKUP(C1346,Gastos!$A$9:$J$1281,10,0),0)</f>
        <v>-130.94999999999999</v>
      </c>
      <c r="L1346" s="87">
        <f>-IFERROR(VLOOKUP(C1346,IDC!$A$25:$H$1532,8,0),0)</f>
        <v>-81</v>
      </c>
      <c r="M1346" s="122">
        <f t="shared" si="187"/>
        <v>13500</v>
      </c>
      <c r="N1346"/>
      <c r="P1346" s="35">
        <f t="shared" si="188"/>
        <v>-13500</v>
      </c>
      <c r="Q1346" s="66">
        <f t="shared" si="189"/>
        <v>0</v>
      </c>
    </row>
    <row r="1347" spans="1:18" hidden="1">
      <c r="A1347" s="1" t="s">
        <v>1382</v>
      </c>
      <c r="B1347" s="1" t="s">
        <v>15</v>
      </c>
      <c r="C1347" s="91">
        <v>127137102327</v>
      </c>
      <c r="D1347" s="3">
        <v>37693.53</v>
      </c>
      <c r="E1347" s="3">
        <v>9124969.8699999992</v>
      </c>
      <c r="F1347" s="35" t="s">
        <v>2750</v>
      </c>
      <c r="G1347"/>
      <c r="H1347"/>
      <c r="I1347" s="27">
        <f>-IFERROR(VLOOKUP(C1347,SIRCUPA!$A$21:$H$155,8,0),0)</f>
        <v>0</v>
      </c>
      <c r="J1347" s="88">
        <f>-IFERROR(VLOOKUP(C1347,SIRTAC!$A$16:$H$1288,8,0),0)</f>
        <v>-399</v>
      </c>
      <c r="K1347" s="88">
        <f>-IFERROR(VLOOKUP(C1347,Gastos!$A$9:$J$1281,10,0),0)</f>
        <v>-1568.07</v>
      </c>
      <c r="L1347" s="87">
        <f>-IFERROR(VLOOKUP(C1347,IDC!$A$25:$H$1532,8,0),0)</f>
        <v>-239.4</v>
      </c>
      <c r="M1347" s="122">
        <f t="shared" si="187"/>
        <v>39900</v>
      </c>
      <c r="N1347"/>
      <c r="P1347" s="35">
        <f t="shared" si="188"/>
        <v>-39900</v>
      </c>
      <c r="Q1347" s="66">
        <f t="shared" si="189"/>
        <v>0</v>
      </c>
    </row>
    <row r="1348" spans="1:18" hidden="1">
      <c r="A1348" s="1" t="s">
        <v>1382</v>
      </c>
      <c r="B1348" s="1" t="s">
        <v>15</v>
      </c>
      <c r="C1348" s="91">
        <v>127137188773</v>
      </c>
      <c r="D1348" s="3">
        <v>11711.91</v>
      </c>
      <c r="E1348" s="3">
        <v>9136681.7799999993</v>
      </c>
      <c r="F1348" s="35" t="s">
        <v>2750</v>
      </c>
      <c r="G1348"/>
      <c r="H1348"/>
      <c r="I1348" s="27">
        <f>-IFERROR(VLOOKUP(C1348,SIRCUPA!$A$21:$H$155,8,0),0)</f>
        <v>0</v>
      </c>
      <c r="J1348" s="88">
        <f>-IFERROR(VLOOKUP(C1348,SIRTAC!$A$16:$H$1288,8,0),0)</f>
        <v>-129</v>
      </c>
      <c r="K1348" s="88">
        <f>-IFERROR(VLOOKUP(C1348,Gastos!$A$9:$J$1281,10,0),0)</f>
        <v>-981.69</v>
      </c>
      <c r="L1348" s="87">
        <f>-IFERROR(VLOOKUP(C1348,IDC!$A$25:$H$1532,8,0),0)</f>
        <v>-77.400000000000006</v>
      </c>
      <c r="M1348" s="122">
        <f t="shared" si="187"/>
        <v>12900</v>
      </c>
      <c r="N1348"/>
      <c r="P1348" s="35">
        <f t="shared" si="188"/>
        <v>-12900</v>
      </c>
      <c r="Q1348" s="66">
        <f t="shared" si="189"/>
        <v>0</v>
      </c>
    </row>
    <row r="1349" spans="1:18" hidden="1">
      <c r="A1349" s="1" t="s">
        <v>1382</v>
      </c>
      <c r="B1349" s="1" t="s">
        <v>15</v>
      </c>
      <c r="C1349" s="91">
        <v>127699173378</v>
      </c>
      <c r="D1349" s="3">
        <v>15289.66</v>
      </c>
      <c r="E1349" s="3">
        <v>9151971.4399999995</v>
      </c>
      <c r="F1349" s="35" t="s">
        <v>2750</v>
      </c>
      <c r="G1349"/>
      <c r="H1349"/>
      <c r="I1349" s="27">
        <f>-IFERROR(VLOOKUP(C1349,SIRCUPA!$A$21:$H$155,8,0),0)</f>
        <v>0</v>
      </c>
      <c r="J1349" s="88">
        <f>-IFERROR(VLOOKUP(C1349,SIRTAC!$A$16:$H$1288,8,0),0)</f>
        <v>-158</v>
      </c>
      <c r="K1349" s="88">
        <f>-IFERROR(VLOOKUP(C1349,Gastos!$A$9:$J$1281,10,0),0)</f>
        <v>-257.54000000000002</v>
      </c>
      <c r="L1349" s="87">
        <f>-IFERROR(VLOOKUP(C1349,IDC!$A$25:$H$1532,8,0),0)</f>
        <v>-94.8</v>
      </c>
      <c r="M1349" s="122">
        <f t="shared" si="187"/>
        <v>15800</v>
      </c>
      <c r="N1349"/>
      <c r="P1349" s="35">
        <f t="shared" si="188"/>
        <v>-15800</v>
      </c>
      <c r="Q1349" s="66">
        <f t="shared" si="189"/>
        <v>0</v>
      </c>
    </row>
    <row r="1350" spans="1:18" hidden="1">
      <c r="A1350" s="1" t="s">
        <v>1382</v>
      </c>
      <c r="B1350" s="1" t="s">
        <v>15</v>
      </c>
      <c r="C1350" s="91">
        <v>127699484268</v>
      </c>
      <c r="D1350" s="3">
        <v>37976.94</v>
      </c>
      <c r="E1350" s="3">
        <v>9189948.3800000008</v>
      </c>
      <c r="F1350" s="35" t="s">
        <v>2750</v>
      </c>
      <c r="G1350"/>
      <c r="H1350"/>
      <c r="I1350" s="27">
        <f>-IFERROR(VLOOKUP(C1350,SIRCUPA!$A$21:$H$155,8,0),0)</f>
        <v>0</v>
      </c>
      <c r="J1350" s="88">
        <f>-IFERROR(VLOOKUP(C1350,SIRTAC!$A$16:$H$1288,8,0),0)</f>
        <v>-402</v>
      </c>
      <c r="K1350" s="88">
        <f>-IFERROR(VLOOKUP(C1350,Gastos!$A$9:$J$1281,10,0),0)</f>
        <v>-1579.86</v>
      </c>
      <c r="L1350" s="87">
        <f>-IFERROR(VLOOKUP(C1350,IDC!$A$25:$H$1532,8,0),0)</f>
        <v>-241.2</v>
      </c>
      <c r="M1350" s="122">
        <f t="shared" si="187"/>
        <v>40200</v>
      </c>
      <c r="N1350"/>
      <c r="P1350" s="35">
        <f t="shared" si="188"/>
        <v>-40200</v>
      </c>
      <c r="Q1350" s="66">
        <f t="shared" si="189"/>
        <v>0</v>
      </c>
    </row>
    <row r="1351" spans="1:18" hidden="1">
      <c r="A1351" s="1" t="s">
        <v>1382</v>
      </c>
      <c r="B1351" s="1" t="s">
        <v>15</v>
      </c>
      <c r="C1351" s="91">
        <v>127138460989</v>
      </c>
      <c r="D1351" s="3">
        <v>39771.870000000003</v>
      </c>
      <c r="E1351" s="3">
        <v>9229720.25</v>
      </c>
      <c r="F1351" s="35" t="s">
        <v>2750</v>
      </c>
      <c r="G1351"/>
      <c r="H1351"/>
      <c r="I1351" s="27">
        <f>-IFERROR(VLOOKUP(C1351,SIRCUPA!$A$21:$H$155,8,0),0)</f>
        <v>0</v>
      </c>
      <c r="J1351" s="88">
        <f>-IFERROR(VLOOKUP(C1351,SIRTAC!$A$16:$H$1288,8,0),0)</f>
        <v>-421</v>
      </c>
      <c r="K1351" s="88">
        <f>-IFERROR(VLOOKUP(C1351,Gastos!$A$9:$J$1281,10,0),0)</f>
        <v>-1654.53</v>
      </c>
      <c r="L1351" s="87">
        <f>-IFERROR(VLOOKUP(C1351,IDC!$A$25:$H$1532,8,0),0)</f>
        <v>-252.6</v>
      </c>
      <c r="M1351" s="122">
        <f t="shared" si="187"/>
        <v>42100</v>
      </c>
      <c r="N1351"/>
      <c r="P1351" s="35">
        <f t="shared" si="188"/>
        <v>-42100</v>
      </c>
      <c r="Q1351" s="66">
        <f t="shared" si="189"/>
        <v>0</v>
      </c>
    </row>
    <row r="1352" spans="1:18" hidden="1">
      <c r="A1352" s="1" t="s">
        <v>1382</v>
      </c>
      <c r="B1352" s="1" t="s">
        <v>15</v>
      </c>
      <c r="C1352" s="91">
        <v>127138622917</v>
      </c>
      <c r="D1352" s="3">
        <v>4035.98</v>
      </c>
      <c r="E1352" s="3">
        <v>9233756.2300000004</v>
      </c>
      <c r="F1352" s="35" t="s">
        <v>2750</v>
      </c>
      <c r="G1352"/>
      <c r="H1352"/>
      <c r="I1352" s="27">
        <f>-IFERROR(VLOOKUP(C1352,SIRCUPA!$A$21:$H$155,8,0),0)</f>
        <v>0</v>
      </c>
      <c r="J1352" s="88">
        <f>-IFERROR(VLOOKUP(C1352,SIRTAC!$A$16:$H$1288,8,0),0)</f>
        <v>-43</v>
      </c>
      <c r="K1352" s="88">
        <f>-IFERROR(VLOOKUP(C1352,Gastos!$A$9:$J$1281,10,0),0)</f>
        <v>-195.22</v>
      </c>
      <c r="L1352" s="87">
        <f>-IFERROR(VLOOKUP(C1352,IDC!$A$25:$H$1532,8,0),0)</f>
        <v>-25.8</v>
      </c>
      <c r="M1352" s="122">
        <f t="shared" si="187"/>
        <v>4300</v>
      </c>
      <c r="N1352"/>
      <c r="P1352" s="35">
        <f t="shared" si="188"/>
        <v>-4300</v>
      </c>
      <c r="Q1352" s="66">
        <f t="shared" si="189"/>
        <v>0</v>
      </c>
    </row>
    <row r="1353" spans="1:18" hidden="1">
      <c r="A1353" s="1" t="s">
        <v>1382</v>
      </c>
      <c r="B1353" s="1" t="s">
        <v>15</v>
      </c>
      <c r="C1353" s="91">
        <v>127138754811</v>
      </c>
      <c r="D1353" s="3">
        <v>43843.5</v>
      </c>
      <c r="E1353" s="3">
        <v>9277599.7300000004</v>
      </c>
      <c r="F1353" s="35" t="s">
        <v>2750</v>
      </c>
      <c r="G1353"/>
      <c r="H1353"/>
      <c r="I1353" s="27">
        <f>-IFERROR(VLOOKUP(C1353,SIRCUPA!$A$21:$H$155,8,0),0)</f>
        <v>0</v>
      </c>
      <c r="J1353" s="88">
        <f>-IFERROR(VLOOKUP(C1353,SIRTAC!$A$16:$H$1288,8,0),0)</f>
        <v>-450</v>
      </c>
      <c r="K1353" s="88">
        <f>-IFERROR(VLOOKUP(C1353,Gastos!$A$9:$J$1281,10,0),0)</f>
        <v>-436.5</v>
      </c>
      <c r="L1353" s="87">
        <f>-IFERROR(VLOOKUP(C1353,IDC!$A$25:$H$1532,8,0),0)</f>
        <v>-270</v>
      </c>
      <c r="M1353" s="122">
        <f t="shared" si="187"/>
        <v>45000</v>
      </c>
      <c r="N1353"/>
      <c r="P1353" s="35">
        <f t="shared" si="188"/>
        <v>-45000</v>
      </c>
      <c r="Q1353" s="66">
        <f t="shared" si="189"/>
        <v>0</v>
      </c>
    </row>
    <row r="1354" spans="1:18" hidden="1">
      <c r="A1354" s="1" t="s">
        <v>1382</v>
      </c>
      <c r="B1354" s="1" t="s">
        <v>15</v>
      </c>
      <c r="C1354" s="91">
        <v>127138858083</v>
      </c>
      <c r="D1354" s="3">
        <v>28157.27</v>
      </c>
      <c r="E1354" s="3">
        <v>9305757</v>
      </c>
      <c r="F1354" s="35" t="s">
        <v>2750</v>
      </c>
      <c r="G1354"/>
      <c r="H1354"/>
      <c r="I1354" s="27">
        <f>-IFERROR(VLOOKUP(C1354,SIRCUPA!$A$21:$H$155,8,0),0)</f>
        <v>0</v>
      </c>
      <c r="J1354" s="88">
        <f>-IFERROR(VLOOKUP(C1354,SIRTAC!$A$16:$H$1288,8,0),0)</f>
        <v>-289</v>
      </c>
      <c r="K1354" s="88">
        <f>-IFERROR(VLOOKUP(C1354,Gastos!$A$9:$J$1281,10,0),0)</f>
        <v>-280.33</v>
      </c>
      <c r="L1354" s="87">
        <f>-IFERROR(VLOOKUP(C1354,IDC!$A$25:$H$1532,8,0),0)</f>
        <v>-173.4</v>
      </c>
      <c r="M1354" s="122">
        <f t="shared" si="187"/>
        <v>28900.000000000004</v>
      </c>
      <c r="N1354"/>
      <c r="P1354" s="35">
        <f t="shared" si="188"/>
        <v>-28900</v>
      </c>
      <c r="Q1354" s="66">
        <f t="shared" si="189"/>
        <v>0</v>
      </c>
    </row>
    <row r="1355" spans="1:18" hidden="1">
      <c r="A1355" s="35" t="s">
        <v>1713</v>
      </c>
      <c r="B1355" s="35" t="s">
        <v>47</v>
      </c>
      <c r="C1355" s="91">
        <v>127493738443</v>
      </c>
      <c r="D1355" s="3">
        <v>-209826.45</v>
      </c>
      <c r="E1355" s="3">
        <v>11864920.189999999</v>
      </c>
      <c r="F1355" s="35" t="s">
        <v>2751</v>
      </c>
      <c r="G1355" s="4">
        <f t="shared" ref="G1355:G1362" si="190">+D1355/1.006</f>
        <v>-208575</v>
      </c>
      <c r="H1355" s="4">
        <f t="shared" ref="H1355:H1362" si="191">+D1355-G1355</f>
        <v>-1251.4500000000116</v>
      </c>
      <c r="I1355" s="27">
        <f>-IFERROR(VLOOKUP(C1355,SIRCUPA!$A$21:$H$155,8,0),0)</f>
        <v>0</v>
      </c>
      <c r="J1355" s="88">
        <f>-IFERROR(VLOOKUP(C1355,SIRTAC!$A$16:$H$1288,8,0),0)</f>
        <v>0</v>
      </c>
      <c r="K1355" s="88">
        <f>-IFERROR(VLOOKUP(C1355,Gastos!$A$9:$J$1281,10,0),0)</f>
        <v>0</v>
      </c>
      <c r="L1355" s="87">
        <f>+D1355-G1355</f>
        <v>-1251.4500000000116</v>
      </c>
      <c r="M1355" s="121">
        <f t="shared" ref="M1355:M1356" si="192">+D1355-I1355-J1355-K1355-L1355</f>
        <v>-208575</v>
      </c>
      <c r="O1355" s="35"/>
      <c r="Q1355" s="35">
        <f t="shared" ref="Q1355:Q1362" si="193">+L1355/0.006</f>
        <v>-208575.00000000195</v>
      </c>
      <c r="R1355" s="66">
        <f t="shared" ref="R1355:R1362" si="194">+M1355-Q1355</f>
        <v>1.9499566406011581E-9</v>
      </c>
    </row>
    <row r="1356" spans="1:18" hidden="1">
      <c r="A1356" s="35" t="s">
        <v>1713</v>
      </c>
      <c r="B1356" s="35" t="s">
        <v>47</v>
      </c>
      <c r="C1356" s="91">
        <v>128057195334</v>
      </c>
      <c r="D1356" s="3">
        <v>-182649.36</v>
      </c>
      <c r="E1356" s="3">
        <v>12074746.640000001</v>
      </c>
      <c r="F1356" s="35" t="s">
        <v>2751</v>
      </c>
      <c r="G1356" s="4">
        <f t="shared" si="190"/>
        <v>-181559.99999999997</v>
      </c>
      <c r="H1356" s="4">
        <f t="shared" si="191"/>
        <v>-1089.3600000000151</v>
      </c>
      <c r="I1356" s="27">
        <f>-IFERROR(VLOOKUP(C1356,SIRCUPA!$A$21:$H$155,8,0),0)</f>
        <v>0</v>
      </c>
      <c r="J1356" s="88">
        <f>-IFERROR(VLOOKUP(C1356,SIRTAC!$A$16:$H$1288,8,0),0)</f>
        <v>0</v>
      </c>
      <c r="K1356" s="88">
        <f>-IFERROR(VLOOKUP(C1356,Gastos!$A$9:$J$1281,10,0),0)</f>
        <v>0</v>
      </c>
      <c r="L1356" s="87">
        <f>+D1356-G1356</f>
        <v>-1089.3600000000151</v>
      </c>
      <c r="M1356" s="121">
        <f t="shared" si="192"/>
        <v>-181559.99999999997</v>
      </c>
      <c r="O1356" s="35"/>
      <c r="Q1356" s="35">
        <f t="shared" si="193"/>
        <v>-181560.00000000253</v>
      </c>
      <c r="R1356" s="66">
        <f t="shared" si="194"/>
        <v>2.5611370801925659E-9</v>
      </c>
    </row>
    <row r="1357" spans="1:18" hidden="1">
      <c r="A1357" s="59" t="s">
        <v>1282</v>
      </c>
      <c r="B1357" s="59" t="s">
        <v>1295</v>
      </c>
      <c r="C1357" s="112">
        <v>126569211701</v>
      </c>
      <c r="D1357" s="64">
        <v>-5000</v>
      </c>
      <c r="E1357" s="3">
        <v>9497026.7799999993</v>
      </c>
      <c r="F1357" s="59" t="s">
        <v>2751</v>
      </c>
      <c r="G1357" s="65">
        <f t="shared" si="190"/>
        <v>-4970.1789264413519</v>
      </c>
      <c r="H1357" s="65">
        <f t="shared" si="191"/>
        <v>-29.821073558648095</v>
      </c>
      <c r="I1357" s="108">
        <f>-IFERROR(VLOOKUP(C1357,SIRCUPA!$A$21:$H$155,8,0),0)</f>
        <v>0</v>
      </c>
      <c r="J1357" s="108">
        <f>-IFERROR(VLOOKUP(C1357,SIRTAC!$A$16:$H$1288,8,0),0)</f>
        <v>0</v>
      </c>
      <c r="K1357" s="108">
        <f>-IFERROR(VLOOKUP(C1357,Gastos!$A$9:$J$1281,10,0),0)</f>
        <v>0</v>
      </c>
      <c r="L1357" s="65"/>
      <c r="M1357" s="123">
        <f t="shared" ref="M1357:M1358" si="195">+D1357</f>
        <v>-5000</v>
      </c>
      <c r="N1357" s="65"/>
      <c r="O1357" s="59"/>
      <c r="Q1357" s="3">
        <f>+D1357</f>
        <v>-5000</v>
      </c>
      <c r="R1357" s="66">
        <f t="shared" si="194"/>
        <v>0</v>
      </c>
    </row>
    <row r="1358" spans="1:18" hidden="1">
      <c r="A1358" s="59" t="s">
        <v>1030</v>
      </c>
      <c r="B1358" s="59" t="s">
        <v>1081</v>
      </c>
      <c r="C1358" s="112">
        <v>126250049639</v>
      </c>
      <c r="D1358" s="64">
        <v>-397247.6</v>
      </c>
      <c r="E1358" s="3">
        <v>7556748.5</v>
      </c>
      <c r="F1358" s="59" t="s">
        <v>2751</v>
      </c>
      <c r="G1358" s="65">
        <f t="shared" si="190"/>
        <v>-394878.33001988067</v>
      </c>
      <c r="H1358" s="65">
        <f t="shared" si="191"/>
        <v>-2369.2699801193085</v>
      </c>
      <c r="I1358" s="108">
        <f>-IFERROR(VLOOKUP(C1358,SIRCUPA!$A$21:$H$155,8,0),0)</f>
        <v>0</v>
      </c>
      <c r="J1358" s="108">
        <f>-IFERROR(VLOOKUP(C1358,SIRTAC!$A$16:$H$1288,8,0),0)</f>
        <v>0</v>
      </c>
      <c r="K1358" s="108">
        <f>-IFERROR(VLOOKUP(C1358,Gastos!$A$9:$J$1281,10,0),0)</f>
        <v>0</v>
      </c>
      <c r="L1358" s="65"/>
      <c r="M1358" s="123">
        <f t="shared" si="195"/>
        <v>-397247.6</v>
      </c>
      <c r="N1358" s="65"/>
      <c r="O1358" s="59"/>
      <c r="Q1358" s="3">
        <f>+D1358</f>
        <v>-397247.6</v>
      </c>
      <c r="R1358" s="66">
        <f t="shared" si="194"/>
        <v>0</v>
      </c>
    </row>
    <row r="1359" spans="1:18" hidden="1">
      <c r="A1359" s="35" t="s">
        <v>14</v>
      </c>
      <c r="B1359" s="35" t="s">
        <v>31</v>
      </c>
      <c r="C1359" s="91">
        <v>124459001098</v>
      </c>
      <c r="D1359" s="3">
        <v>-238065.88</v>
      </c>
      <c r="E1359" s="3">
        <v>12213413.91</v>
      </c>
      <c r="F1359" s="35" t="s">
        <v>2751</v>
      </c>
      <c r="G1359" s="4">
        <f t="shared" si="190"/>
        <v>-236646.00397614314</v>
      </c>
      <c r="H1359" s="4">
        <f t="shared" si="191"/>
        <v>-1419.8760238568648</v>
      </c>
      <c r="I1359" s="27">
        <f>-IFERROR(VLOOKUP(C1359,SIRCUPA!$A$21:$H$155,8,0),0)</f>
        <v>0</v>
      </c>
      <c r="J1359" s="88">
        <f>-IFERROR(VLOOKUP(C1359,SIRTAC!$A$16:$H$1288,8,0),0)</f>
        <v>0</v>
      </c>
      <c r="K1359" s="88">
        <f>-IFERROR(VLOOKUP(C1359,Gastos!$A$9:$J$1281,10,0),0)</f>
        <v>0</v>
      </c>
      <c r="L1359" s="87">
        <f>+D1359-G1359</f>
        <v>-1419.8760238568648</v>
      </c>
      <c r="M1359" s="121">
        <f t="shared" ref="M1359:M1362" si="196">+D1359-I1359-J1359-K1359-L1359</f>
        <v>-236646.00397614314</v>
      </c>
      <c r="O1359" s="35"/>
      <c r="Q1359" s="35">
        <f t="shared" si="193"/>
        <v>-236646.00397614413</v>
      </c>
      <c r="R1359" s="66">
        <f t="shared" si="194"/>
        <v>9.8953023552894592E-10</v>
      </c>
    </row>
    <row r="1360" spans="1:18" hidden="1">
      <c r="A1360" s="35" t="s">
        <v>466</v>
      </c>
      <c r="B1360" s="35" t="s">
        <v>31</v>
      </c>
      <c r="C1360" s="91">
        <v>125365649906</v>
      </c>
      <c r="D1360" s="3">
        <v>-90268.38</v>
      </c>
      <c r="E1360" s="3">
        <v>10939680.449999999</v>
      </c>
      <c r="F1360" s="35" t="s">
        <v>2751</v>
      </c>
      <c r="G1360" s="4">
        <f t="shared" si="190"/>
        <v>-89730</v>
      </c>
      <c r="H1360" s="4">
        <f t="shared" si="191"/>
        <v>-538.38000000000466</v>
      </c>
      <c r="I1360" s="27">
        <f>-IFERROR(VLOOKUP(C1360,SIRCUPA!$A$21:$H$155,8,0),0)</f>
        <v>0</v>
      </c>
      <c r="J1360" s="88">
        <f>-IFERROR(VLOOKUP(C1360,SIRTAC!$A$16:$H$1288,8,0),0)</f>
        <v>0</v>
      </c>
      <c r="K1360" s="88">
        <f>-IFERROR(VLOOKUP(C1360,Gastos!$A$9:$J$1281,10,0),0)</f>
        <v>0</v>
      </c>
      <c r="L1360" s="87">
        <f>+D1360-G1360</f>
        <v>-538.38000000000466</v>
      </c>
      <c r="M1360" s="121">
        <f t="shared" si="196"/>
        <v>-89730</v>
      </c>
      <c r="O1360" s="35"/>
      <c r="Q1360" s="35">
        <f t="shared" si="193"/>
        <v>-89730.000000000771</v>
      </c>
      <c r="R1360" s="66">
        <f t="shared" si="194"/>
        <v>7.7125150710344315E-10</v>
      </c>
    </row>
    <row r="1361" spans="1:18" hidden="1">
      <c r="A1361" s="35" t="s">
        <v>930</v>
      </c>
      <c r="B1361" s="35" t="s">
        <v>31</v>
      </c>
      <c r="C1361" s="91">
        <v>126387313180</v>
      </c>
      <c r="D1361" s="3">
        <v>-169621.66</v>
      </c>
      <c r="E1361" s="3">
        <v>11293927.189999999</v>
      </c>
      <c r="F1361" s="35" t="s">
        <v>2751</v>
      </c>
      <c r="G1361" s="4">
        <f t="shared" si="190"/>
        <v>-168610</v>
      </c>
      <c r="H1361" s="4">
        <f t="shared" si="191"/>
        <v>-1011.6600000000035</v>
      </c>
      <c r="I1361" s="27">
        <f>-IFERROR(VLOOKUP(C1361,SIRCUPA!$A$21:$H$155,8,0),0)</f>
        <v>0</v>
      </c>
      <c r="J1361" s="88">
        <f>-IFERROR(VLOOKUP(C1361,SIRTAC!$A$16:$H$1288,8,0),0)</f>
        <v>0</v>
      </c>
      <c r="K1361" s="88">
        <f>-IFERROR(VLOOKUP(C1361,Gastos!$A$9:$J$1281,10,0),0)</f>
        <v>0</v>
      </c>
      <c r="L1361" s="87">
        <f>+D1361-G1361</f>
        <v>-1011.6600000000035</v>
      </c>
      <c r="M1361" s="121">
        <f t="shared" si="196"/>
        <v>-168610</v>
      </c>
      <c r="O1361" s="35"/>
      <c r="Q1361" s="35">
        <f t="shared" si="193"/>
        <v>-168610.00000000058</v>
      </c>
      <c r="R1361" s="66">
        <f t="shared" si="194"/>
        <v>5.8207660913467407E-10</v>
      </c>
    </row>
    <row r="1362" spans="1:18" hidden="1">
      <c r="A1362" s="35" t="s">
        <v>1282</v>
      </c>
      <c r="B1362" s="35" t="s">
        <v>31</v>
      </c>
      <c r="C1362" s="91">
        <v>126562288511</v>
      </c>
      <c r="D1362" s="3">
        <v>-69896.88</v>
      </c>
      <c r="E1362" s="3">
        <v>9989405.5999999996</v>
      </c>
      <c r="F1362" s="35" t="s">
        <v>2751</v>
      </c>
      <c r="G1362" s="4">
        <f t="shared" si="190"/>
        <v>-69480</v>
      </c>
      <c r="H1362" s="4">
        <f t="shared" si="191"/>
        <v>-416.88000000000466</v>
      </c>
      <c r="I1362" s="27">
        <f>-IFERROR(VLOOKUP(C1362,SIRCUPA!$A$21:$H$155,8,0),0)</f>
        <v>0</v>
      </c>
      <c r="J1362" s="88">
        <f>-IFERROR(VLOOKUP(C1362,SIRTAC!$A$16:$H$1288,8,0),0)</f>
        <v>0</v>
      </c>
      <c r="K1362" s="88">
        <f>-IFERROR(VLOOKUP(C1362,Gastos!$A$9:$J$1281,10,0),0)</f>
        <v>0</v>
      </c>
      <c r="L1362" s="87">
        <f>+D1362-G1362</f>
        <v>-416.88000000000466</v>
      </c>
      <c r="M1362" s="121">
        <f t="shared" si="196"/>
        <v>-69480</v>
      </c>
      <c r="O1362" s="35"/>
      <c r="Q1362" s="35">
        <f t="shared" si="193"/>
        <v>-69480.000000000771</v>
      </c>
      <c r="R1362" s="66">
        <f t="shared" si="194"/>
        <v>7.7125150710344315E-10</v>
      </c>
    </row>
    <row r="1363" spans="1:18" hidden="1">
      <c r="A1363" s="1" t="s">
        <v>1481</v>
      </c>
      <c r="B1363" s="1" t="s">
        <v>15</v>
      </c>
      <c r="C1363" s="91">
        <v>127702181460</v>
      </c>
      <c r="D1363" s="3">
        <v>7160.98</v>
      </c>
      <c r="E1363" s="3">
        <v>9312917.9800000004</v>
      </c>
      <c r="F1363" s="35" t="s">
        <v>2750</v>
      </c>
      <c r="G1363"/>
      <c r="H1363"/>
      <c r="I1363" s="27">
        <f>-IFERROR(VLOOKUP(C1363,SIRCUPA!$A$21:$H$155,8,0),0)</f>
        <v>0</v>
      </c>
      <c r="J1363" s="88">
        <f>-IFERROR(VLOOKUP(C1363,SIRTAC!$A$16:$H$1288,8,0),0)</f>
        <v>-74</v>
      </c>
      <c r="K1363" s="88">
        <f>-IFERROR(VLOOKUP(C1363,Gastos!$A$9:$J$1281,10,0),0)</f>
        <v>-120.62</v>
      </c>
      <c r="L1363" s="87">
        <f>-IFERROR(VLOOKUP(C1363,IDC!$A$25:$H$1532,8,0),0)</f>
        <v>-44.4</v>
      </c>
      <c r="M1363" s="122">
        <f t="shared" ref="M1363:M1394" si="197">+D1363-I1363-J1363-K1363-L1363</f>
        <v>7399.9999999999991</v>
      </c>
      <c r="N1363"/>
      <c r="P1363" s="35">
        <f t="shared" ref="P1363:P1426" si="198">+L1363/0.006</f>
        <v>-7400</v>
      </c>
      <c r="Q1363" s="66">
        <f t="shared" ref="Q1363:Q1426" si="199">+M1363+P1363</f>
        <v>0</v>
      </c>
    </row>
    <row r="1364" spans="1:18" hidden="1">
      <c r="A1364" s="1" t="s">
        <v>1481</v>
      </c>
      <c r="B1364" s="1" t="s">
        <v>15</v>
      </c>
      <c r="C1364" s="91">
        <v>127702622786</v>
      </c>
      <c r="D1364" s="3">
        <v>223504.42</v>
      </c>
      <c r="E1364" s="3">
        <v>9536422.4000000004</v>
      </c>
      <c r="F1364" s="35" t="s">
        <v>2750</v>
      </c>
      <c r="G1364"/>
      <c r="H1364"/>
      <c r="I1364" s="27">
        <f>-IFERROR(VLOOKUP(C1364,SIRCUPA!$A$21:$H$155,8,0),0)</f>
        <v>0</v>
      </c>
      <c r="J1364" s="88">
        <f>-IFERROR(VLOOKUP(C1364,SIRTAC!$A$16:$H$1288,8,0),0)</f>
        <v>-2294</v>
      </c>
      <c r="K1364" s="88">
        <f>-IFERROR(VLOOKUP(C1364,Gastos!$A$9:$J$1281,10,0),0)</f>
        <v>-2225.1799999999998</v>
      </c>
      <c r="L1364" s="87">
        <f>-IFERROR(VLOOKUP(C1364,IDC!$A$25:$H$1532,8,0),0)</f>
        <v>-1376.4</v>
      </c>
      <c r="M1364" s="122">
        <f t="shared" si="197"/>
        <v>229400</v>
      </c>
      <c r="N1364"/>
      <c r="P1364" s="35">
        <f t="shared" si="198"/>
        <v>-229400</v>
      </c>
      <c r="Q1364" s="66">
        <f t="shared" si="199"/>
        <v>0</v>
      </c>
    </row>
    <row r="1365" spans="1:18" hidden="1">
      <c r="A1365" s="1" t="s">
        <v>1481</v>
      </c>
      <c r="B1365" s="1" t="s">
        <v>15</v>
      </c>
      <c r="C1365" s="91">
        <v>127702629144</v>
      </c>
      <c r="D1365" s="3">
        <v>4871.5</v>
      </c>
      <c r="E1365" s="3">
        <v>9541293.9000000004</v>
      </c>
      <c r="F1365" s="35" t="s">
        <v>2750</v>
      </c>
      <c r="G1365"/>
      <c r="H1365"/>
      <c r="I1365" s="27">
        <f>-IFERROR(VLOOKUP(C1365,SIRCUPA!$A$21:$H$155,8,0),0)</f>
        <v>0</v>
      </c>
      <c r="J1365" s="88">
        <f>-IFERROR(VLOOKUP(C1365,SIRTAC!$A$16:$H$1288,8,0),0)</f>
        <v>-50</v>
      </c>
      <c r="K1365" s="88">
        <f>-IFERROR(VLOOKUP(C1365,Gastos!$A$9:$J$1281,10,0),0)</f>
        <v>-48.5</v>
      </c>
      <c r="L1365" s="87">
        <f>-IFERROR(VLOOKUP(C1365,IDC!$A$25:$H$1532,8,0),0)</f>
        <v>-30</v>
      </c>
      <c r="M1365" s="122">
        <f t="shared" si="197"/>
        <v>5000</v>
      </c>
      <c r="N1365"/>
      <c r="P1365" s="35">
        <f t="shared" si="198"/>
        <v>-5000</v>
      </c>
      <c r="Q1365" s="66">
        <f t="shared" si="199"/>
        <v>0</v>
      </c>
    </row>
    <row r="1366" spans="1:18" hidden="1">
      <c r="A1366" s="1" t="s">
        <v>1481</v>
      </c>
      <c r="B1366" s="1" t="s">
        <v>15</v>
      </c>
      <c r="C1366" s="91">
        <v>127141531181</v>
      </c>
      <c r="D1366" s="3">
        <v>2143.46</v>
      </c>
      <c r="E1366" s="3">
        <v>9543437.3599999994</v>
      </c>
      <c r="F1366" s="35" t="s">
        <v>2750</v>
      </c>
      <c r="G1366"/>
      <c r="H1366"/>
      <c r="I1366" s="27">
        <f>-IFERROR(VLOOKUP(C1366,SIRCUPA!$A$21:$H$155,8,0),0)</f>
        <v>0</v>
      </c>
      <c r="J1366" s="88">
        <f>-IFERROR(VLOOKUP(C1366,SIRTAC!$A$16:$H$1288,8,0),0)</f>
        <v>-22</v>
      </c>
      <c r="K1366" s="88">
        <f>-IFERROR(VLOOKUP(C1366,Gastos!$A$9:$J$1281,10,0),0)</f>
        <v>-21.34</v>
      </c>
      <c r="L1366" s="87">
        <f>-IFERROR(VLOOKUP(C1366,IDC!$A$25:$H$1532,8,0),0)</f>
        <v>-13.2</v>
      </c>
      <c r="M1366" s="122">
        <f t="shared" si="197"/>
        <v>2200</v>
      </c>
      <c r="N1366"/>
      <c r="P1366" s="35">
        <f t="shared" si="198"/>
        <v>-2200</v>
      </c>
      <c r="Q1366" s="66">
        <f t="shared" si="199"/>
        <v>0</v>
      </c>
    </row>
    <row r="1367" spans="1:18" hidden="1">
      <c r="A1367" s="1" t="s">
        <v>1481</v>
      </c>
      <c r="B1367" s="1" t="s">
        <v>15</v>
      </c>
      <c r="C1367" s="91">
        <v>127141616145</v>
      </c>
      <c r="D1367" s="3">
        <v>4871.5</v>
      </c>
      <c r="E1367" s="3">
        <v>9548308.8599999994</v>
      </c>
      <c r="F1367" s="35" t="s">
        <v>2750</v>
      </c>
      <c r="G1367"/>
      <c r="H1367"/>
      <c r="I1367" s="27">
        <f>-IFERROR(VLOOKUP(C1367,SIRCUPA!$A$21:$H$155,8,0),0)</f>
        <v>0</v>
      </c>
      <c r="J1367" s="88">
        <f>-IFERROR(VLOOKUP(C1367,SIRTAC!$A$16:$H$1288,8,0),0)</f>
        <v>-50</v>
      </c>
      <c r="K1367" s="88">
        <f>-IFERROR(VLOOKUP(C1367,Gastos!$A$9:$J$1281,10,0),0)</f>
        <v>-48.5</v>
      </c>
      <c r="L1367" s="87">
        <f>-IFERROR(VLOOKUP(C1367,IDC!$A$25:$H$1532,8,0),0)</f>
        <v>-30</v>
      </c>
      <c r="M1367" s="122">
        <f t="shared" si="197"/>
        <v>5000</v>
      </c>
      <c r="N1367"/>
      <c r="P1367" s="35">
        <f t="shared" si="198"/>
        <v>-5000</v>
      </c>
      <c r="Q1367" s="66">
        <f t="shared" si="199"/>
        <v>0</v>
      </c>
    </row>
    <row r="1368" spans="1:18" hidden="1">
      <c r="A1368" s="1" t="s">
        <v>1481</v>
      </c>
      <c r="B1368" s="1" t="s">
        <v>15</v>
      </c>
      <c r="C1368" s="91">
        <v>127141798509</v>
      </c>
      <c r="D1368" s="3">
        <v>22408.9</v>
      </c>
      <c r="E1368" s="3">
        <v>9570717.7599999998</v>
      </c>
      <c r="F1368" s="35" t="s">
        <v>2750</v>
      </c>
      <c r="G1368"/>
      <c r="H1368"/>
      <c r="I1368" s="27">
        <f>-IFERROR(VLOOKUP(C1368,SIRCUPA!$A$21:$H$155,8,0),0)</f>
        <v>0</v>
      </c>
      <c r="J1368" s="88">
        <f>-IFERROR(VLOOKUP(C1368,SIRTAC!$A$16:$H$1288,8,0),0)</f>
        <v>-230</v>
      </c>
      <c r="K1368" s="88">
        <f>-IFERROR(VLOOKUP(C1368,Gastos!$A$9:$J$1281,10,0),0)</f>
        <v>-223.1</v>
      </c>
      <c r="L1368" s="87">
        <f>-IFERROR(VLOOKUP(C1368,IDC!$A$25:$H$1532,8,0),0)</f>
        <v>-138</v>
      </c>
      <c r="M1368" s="122">
        <f t="shared" si="197"/>
        <v>23000</v>
      </c>
      <c r="N1368"/>
      <c r="P1368" s="35">
        <f t="shared" si="198"/>
        <v>-23000</v>
      </c>
      <c r="Q1368" s="66">
        <f t="shared" si="199"/>
        <v>0</v>
      </c>
    </row>
    <row r="1369" spans="1:18" hidden="1">
      <c r="A1369" s="1" t="s">
        <v>1481</v>
      </c>
      <c r="B1369" s="1" t="s">
        <v>15</v>
      </c>
      <c r="C1369" s="91">
        <v>127703776340</v>
      </c>
      <c r="D1369" s="3">
        <v>118059.4</v>
      </c>
      <c r="E1369" s="3">
        <v>9688777.1600000001</v>
      </c>
      <c r="F1369" s="35" t="s">
        <v>2750</v>
      </c>
      <c r="G1369"/>
      <c r="H1369"/>
      <c r="I1369" s="27">
        <f>-IFERROR(VLOOKUP(C1369,SIRCUPA!$A$21:$H$155,8,0),0)</f>
        <v>0</v>
      </c>
      <c r="J1369" s="88">
        <f>-IFERROR(VLOOKUP(C1369,SIRTAC!$A$16:$H$1288,8,0),0)</f>
        <v>-1220</v>
      </c>
      <c r="K1369" s="88">
        <f>-IFERROR(VLOOKUP(C1369,Gastos!$A$9:$J$1281,10,0),0)</f>
        <v>-1988.6</v>
      </c>
      <c r="L1369" s="87">
        <f>-IFERROR(VLOOKUP(C1369,IDC!$A$25:$H$1532,8,0),0)</f>
        <v>-732</v>
      </c>
      <c r="M1369" s="122">
        <f t="shared" si="197"/>
        <v>122000</v>
      </c>
      <c r="N1369"/>
      <c r="P1369" s="35">
        <f t="shared" si="198"/>
        <v>-122000</v>
      </c>
      <c r="Q1369" s="66">
        <f t="shared" si="199"/>
        <v>0</v>
      </c>
    </row>
    <row r="1370" spans="1:18" hidden="1">
      <c r="A1370" s="1" t="s">
        <v>1481</v>
      </c>
      <c r="B1370" s="1" t="s">
        <v>15</v>
      </c>
      <c r="C1370" s="91">
        <v>127141989725</v>
      </c>
      <c r="D1370" s="3">
        <v>18121.98</v>
      </c>
      <c r="E1370" s="3">
        <v>9706899.1400000006</v>
      </c>
      <c r="F1370" s="35" t="s">
        <v>2750</v>
      </c>
      <c r="G1370"/>
      <c r="H1370"/>
      <c r="I1370" s="27">
        <f>-IFERROR(VLOOKUP(C1370,SIRCUPA!$A$21:$H$155,8,0),0)</f>
        <v>0</v>
      </c>
      <c r="J1370" s="88">
        <f>-IFERROR(VLOOKUP(C1370,SIRTAC!$A$16:$H$1288,8,0),0)</f>
        <v>-186</v>
      </c>
      <c r="K1370" s="88">
        <f>-IFERROR(VLOOKUP(C1370,Gastos!$A$9:$J$1281,10,0),0)</f>
        <v>-180.42</v>
      </c>
      <c r="L1370" s="87">
        <f>-IFERROR(VLOOKUP(C1370,IDC!$A$25:$H$1532,8,0),0)</f>
        <v>-111.6</v>
      </c>
      <c r="M1370" s="122">
        <f t="shared" si="197"/>
        <v>18599.999999999996</v>
      </c>
      <c r="N1370"/>
      <c r="P1370" s="35">
        <f t="shared" si="198"/>
        <v>-18600</v>
      </c>
      <c r="Q1370" s="66">
        <f t="shared" si="199"/>
        <v>0</v>
      </c>
    </row>
    <row r="1371" spans="1:18" hidden="1">
      <c r="A1371" s="1" t="s">
        <v>1481</v>
      </c>
      <c r="B1371" s="1" t="s">
        <v>15</v>
      </c>
      <c r="C1371" s="91">
        <v>127142199177</v>
      </c>
      <c r="D1371" s="3">
        <v>37353.22</v>
      </c>
      <c r="E1371" s="3">
        <v>9744252.3599999994</v>
      </c>
      <c r="F1371" s="35" t="s">
        <v>2750</v>
      </c>
      <c r="G1371"/>
      <c r="H1371"/>
      <c r="I1371" s="27">
        <f>-IFERROR(VLOOKUP(C1371,SIRCUPA!$A$21:$H$155,8,0),0)</f>
        <v>0</v>
      </c>
      <c r="J1371" s="88">
        <f>-IFERROR(VLOOKUP(C1371,SIRTAC!$A$16:$H$1288,8,0),0)</f>
        <v>-386</v>
      </c>
      <c r="K1371" s="88">
        <f>-IFERROR(VLOOKUP(C1371,Gastos!$A$9:$J$1281,10,0),0)</f>
        <v>-629.17999999999995</v>
      </c>
      <c r="L1371" s="87">
        <f>-IFERROR(VLOOKUP(C1371,IDC!$A$25:$H$1532,8,0),0)</f>
        <v>-231.6</v>
      </c>
      <c r="M1371" s="122">
        <f t="shared" si="197"/>
        <v>38600</v>
      </c>
      <c r="N1371"/>
      <c r="P1371" s="35">
        <f t="shared" si="198"/>
        <v>-38600</v>
      </c>
      <c r="Q1371" s="66">
        <f t="shared" si="199"/>
        <v>0</v>
      </c>
    </row>
    <row r="1372" spans="1:18" hidden="1">
      <c r="A1372" s="1" t="s">
        <v>1481</v>
      </c>
      <c r="B1372" s="1" t="s">
        <v>15</v>
      </c>
      <c r="C1372" s="91">
        <v>127142183777</v>
      </c>
      <c r="D1372" s="3">
        <v>8573.84</v>
      </c>
      <c r="E1372" s="3">
        <v>9752826.1999999993</v>
      </c>
      <c r="F1372" s="35" t="s">
        <v>2750</v>
      </c>
      <c r="G1372"/>
      <c r="H1372"/>
      <c r="I1372" s="27">
        <f>-IFERROR(VLOOKUP(C1372,SIRCUPA!$A$21:$H$155,8,0),0)</f>
        <v>0</v>
      </c>
      <c r="J1372" s="88">
        <f>-IFERROR(VLOOKUP(C1372,SIRTAC!$A$16:$H$1288,8,0),0)</f>
        <v>-88</v>
      </c>
      <c r="K1372" s="88">
        <f>-IFERROR(VLOOKUP(C1372,Gastos!$A$9:$J$1281,10,0),0)</f>
        <v>-85.36</v>
      </c>
      <c r="L1372" s="87">
        <f>-IFERROR(VLOOKUP(C1372,IDC!$A$25:$H$1532,8,0),0)</f>
        <v>-52.8</v>
      </c>
      <c r="M1372" s="122">
        <f t="shared" si="197"/>
        <v>8800</v>
      </c>
      <c r="N1372"/>
      <c r="P1372" s="35">
        <f t="shared" si="198"/>
        <v>-8800</v>
      </c>
      <c r="Q1372" s="66">
        <f t="shared" si="199"/>
        <v>0</v>
      </c>
    </row>
    <row r="1373" spans="1:18" hidden="1">
      <c r="A1373" s="1" t="s">
        <v>1481</v>
      </c>
      <c r="B1373" s="1" t="s">
        <v>15</v>
      </c>
      <c r="C1373" s="91">
        <v>127142483797</v>
      </c>
      <c r="D1373" s="3">
        <v>40920.6</v>
      </c>
      <c r="E1373" s="3">
        <v>9793746.8000000007</v>
      </c>
      <c r="F1373" s="35" t="s">
        <v>2750</v>
      </c>
      <c r="G1373"/>
      <c r="H1373"/>
      <c r="I1373" s="27">
        <f>-IFERROR(VLOOKUP(C1373,SIRCUPA!$A$21:$H$155,8,0),0)</f>
        <v>0</v>
      </c>
      <c r="J1373" s="88">
        <f>-IFERROR(VLOOKUP(C1373,SIRTAC!$A$16:$H$1288,8,0),0)</f>
        <v>-420</v>
      </c>
      <c r="K1373" s="88">
        <f>-IFERROR(VLOOKUP(C1373,Gastos!$A$9:$J$1281,10,0),0)</f>
        <v>-407.4</v>
      </c>
      <c r="L1373" s="87">
        <f>-IFERROR(VLOOKUP(C1373,IDC!$A$25:$H$1532,8,0),0)</f>
        <v>-252</v>
      </c>
      <c r="M1373" s="122">
        <f t="shared" si="197"/>
        <v>42000</v>
      </c>
      <c r="N1373"/>
      <c r="P1373" s="35">
        <f t="shared" si="198"/>
        <v>-42000</v>
      </c>
      <c r="Q1373" s="66">
        <f t="shared" si="199"/>
        <v>0</v>
      </c>
    </row>
    <row r="1374" spans="1:18" hidden="1">
      <c r="A1374" s="1" t="s">
        <v>1481</v>
      </c>
      <c r="B1374" s="1" t="s">
        <v>15</v>
      </c>
      <c r="C1374" s="91">
        <v>127704640858</v>
      </c>
      <c r="D1374" s="3">
        <v>12483.33</v>
      </c>
      <c r="E1374" s="3">
        <v>9806230.1300000008</v>
      </c>
      <c r="F1374" s="35" t="s">
        <v>2750</v>
      </c>
      <c r="G1374"/>
      <c r="H1374"/>
      <c r="I1374" s="27">
        <f>-IFERROR(VLOOKUP(C1374,SIRCUPA!$A$21:$H$155,8,0),0)</f>
        <v>0</v>
      </c>
      <c r="J1374" s="88">
        <f>-IFERROR(VLOOKUP(C1374,SIRTAC!$A$16:$H$1288,8,0),0)</f>
        <v>-129</v>
      </c>
      <c r="K1374" s="88">
        <f>-IFERROR(VLOOKUP(C1374,Gastos!$A$9:$J$1281,10,0),0)</f>
        <v>-210.27</v>
      </c>
      <c r="L1374" s="87">
        <f>-IFERROR(VLOOKUP(C1374,IDC!$A$25:$H$1532,8,0),0)</f>
        <v>-77.400000000000006</v>
      </c>
      <c r="M1374" s="122">
        <f t="shared" si="197"/>
        <v>12900</v>
      </c>
      <c r="N1374"/>
      <c r="P1374" s="35">
        <f t="shared" si="198"/>
        <v>-12900</v>
      </c>
      <c r="Q1374" s="66">
        <f t="shared" si="199"/>
        <v>0</v>
      </c>
    </row>
    <row r="1375" spans="1:18" hidden="1">
      <c r="A1375" s="1" t="s">
        <v>1481</v>
      </c>
      <c r="B1375" s="1" t="s">
        <v>1494</v>
      </c>
      <c r="C1375" s="91">
        <v>127142975449</v>
      </c>
      <c r="D1375" s="3">
        <v>1894.36</v>
      </c>
      <c r="E1375" s="3">
        <v>9808124.4900000002</v>
      </c>
      <c r="F1375" s="2" t="s">
        <v>2750</v>
      </c>
      <c r="G1375"/>
      <c r="H1375"/>
      <c r="I1375" s="27">
        <f>-IFERROR(VLOOKUP(C1375,SIRCUPA!$A$21:$H$155,8,0),0)</f>
        <v>-29.03</v>
      </c>
      <c r="J1375" s="88">
        <f>-IFERROR(VLOOKUP(C1375,SIRTAC!$A$16:$H$1288,8,0),0)</f>
        <v>0</v>
      </c>
      <c r="K1375" s="88">
        <f>-IFERROR(VLOOKUP(C1375,Gastos!$A$9:$J$1281,10,0),0)</f>
        <v>0</v>
      </c>
      <c r="L1375" s="87">
        <f>-IFERROR(VLOOKUP(C1375,IDC!$A$25:$H$1532,8,0),0)</f>
        <v>-11.61</v>
      </c>
      <c r="M1375" s="122">
        <f t="shared" si="197"/>
        <v>1934.9999999999998</v>
      </c>
      <c r="N1375"/>
      <c r="P1375" s="35">
        <f t="shared" si="198"/>
        <v>-1934.9999999999998</v>
      </c>
      <c r="Q1375" s="66">
        <f t="shared" si="199"/>
        <v>0</v>
      </c>
    </row>
    <row r="1376" spans="1:18" hidden="1">
      <c r="A1376" s="1" t="s">
        <v>1481</v>
      </c>
      <c r="B1376" s="1" t="s">
        <v>15</v>
      </c>
      <c r="C1376" s="91">
        <v>127704837868</v>
      </c>
      <c r="D1376" s="3">
        <v>37221.18</v>
      </c>
      <c r="E1376" s="3">
        <v>9845345.6699999999</v>
      </c>
      <c r="F1376" s="35" t="s">
        <v>2750</v>
      </c>
      <c r="G1376"/>
      <c r="H1376"/>
      <c r="I1376" s="27">
        <f>-IFERROR(VLOOKUP(C1376,SIRCUPA!$A$21:$H$155,8,0),0)</f>
        <v>0</v>
      </c>
      <c r="J1376" s="88">
        <f>-IFERROR(VLOOKUP(C1376,SIRTAC!$A$16:$H$1288,8,0),0)</f>
        <v>-394</v>
      </c>
      <c r="K1376" s="88">
        <f>-IFERROR(VLOOKUP(C1376,Gastos!$A$9:$J$1281,10,0),0)</f>
        <v>-1548.42</v>
      </c>
      <c r="L1376" s="87">
        <f>-IFERROR(VLOOKUP(C1376,IDC!$A$25:$H$1532,8,0),0)</f>
        <v>-236.4</v>
      </c>
      <c r="M1376" s="122">
        <f t="shared" si="197"/>
        <v>39400</v>
      </c>
      <c r="N1376"/>
      <c r="P1376" s="35">
        <f t="shared" si="198"/>
        <v>-39400</v>
      </c>
      <c r="Q1376" s="66">
        <f t="shared" si="199"/>
        <v>0</v>
      </c>
    </row>
    <row r="1377" spans="1:17" hidden="1">
      <c r="A1377" s="1" t="s">
        <v>1481</v>
      </c>
      <c r="B1377" s="1" t="s">
        <v>1497</v>
      </c>
      <c r="C1377" s="91">
        <v>127143653663</v>
      </c>
      <c r="D1377" s="3">
        <v>9236.86</v>
      </c>
      <c r="E1377" s="3">
        <v>9854582.5299999993</v>
      </c>
      <c r="F1377" s="2" t="s">
        <v>2750</v>
      </c>
      <c r="G1377"/>
      <c r="H1377"/>
      <c r="I1377" s="27">
        <f>-IFERROR(VLOOKUP(C1377,SIRCUPA!$A$21:$H$155,8,0),0)</f>
        <v>-141.53</v>
      </c>
      <c r="J1377" s="88">
        <f>-IFERROR(VLOOKUP(C1377,SIRTAC!$A$16:$H$1288,8,0),0)</f>
        <v>0</v>
      </c>
      <c r="K1377" s="88">
        <f>-IFERROR(VLOOKUP(C1377,Gastos!$A$9:$J$1281,10,0),0)</f>
        <v>0</v>
      </c>
      <c r="L1377" s="87">
        <f>-IFERROR(VLOOKUP(C1377,IDC!$A$25:$H$1532,8,0),0)</f>
        <v>-56.61</v>
      </c>
      <c r="M1377" s="122">
        <f t="shared" si="197"/>
        <v>9435.0000000000018</v>
      </c>
      <c r="N1377"/>
      <c r="P1377" s="35">
        <f t="shared" si="198"/>
        <v>-9435</v>
      </c>
      <c r="Q1377" s="66">
        <f t="shared" si="199"/>
        <v>0</v>
      </c>
    </row>
    <row r="1378" spans="1:17" hidden="1">
      <c r="A1378" s="1" t="s">
        <v>1481</v>
      </c>
      <c r="B1378" s="1" t="s">
        <v>15</v>
      </c>
      <c r="C1378" s="91">
        <v>127705296188</v>
      </c>
      <c r="D1378" s="3">
        <v>61283.47</v>
      </c>
      <c r="E1378" s="3">
        <v>9915866</v>
      </c>
      <c r="F1378" s="35" t="s">
        <v>2750</v>
      </c>
      <c r="G1378"/>
      <c r="H1378"/>
      <c r="I1378" s="27">
        <f>-IFERROR(VLOOKUP(C1378,SIRCUPA!$A$21:$H$155,8,0),0)</f>
        <v>0</v>
      </c>
      <c r="J1378" s="88">
        <f>-IFERROR(VLOOKUP(C1378,SIRTAC!$A$16:$H$1288,8,0),0)</f>
        <v>-629</v>
      </c>
      <c r="K1378" s="88">
        <f>-IFERROR(VLOOKUP(C1378,Gastos!$A$9:$J$1281,10,0),0)</f>
        <v>-610.13</v>
      </c>
      <c r="L1378" s="87">
        <f>-IFERROR(VLOOKUP(C1378,IDC!$A$25:$H$1532,8,0),0)</f>
        <v>-377.4</v>
      </c>
      <c r="M1378" s="122">
        <f t="shared" si="197"/>
        <v>62900</v>
      </c>
      <c r="N1378"/>
      <c r="P1378" s="35">
        <f t="shared" si="198"/>
        <v>-62899.999999999993</v>
      </c>
      <c r="Q1378" s="66">
        <f t="shared" si="199"/>
        <v>0</v>
      </c>
    </row>
    <row r="1379" spans="1:17" hidden="1">
      <c r="A1379" s="1" t="s">
        <v>1481</v>
      </c>
      <c r="B1379" s="1" t="s">
        <v>15</v>
      </c>
      <c r="C1379" s="91">
        <v>127705207416</v>
      </c>
      <c r="D1379" s="3">
        <v>9743</v>
      </c>
      <c r="E1379" s="3">
        <v>9925609</v>
      </c>
      <c r="F1379" s="35" t="s">
        <v>2750</v>
      </c>
      <c r="G1379"/>
      <c r="H1379"/>
      <c r="I1379" s="27">
        <f>-IFERROR(VLOOKUP(C1379,SIRCUPA!$A$21:$H$155,8,0),0)</f>
        <v>0</v>
      </c>
      <c r="J1379" s="88">
        <f>-IFERROR(VLOOKUP(C1379,SIRTAC!$A$16:$H$1288,8,0),0)</f>
        <v>-100</v>
      </c>
      <c r="K1379" s="88">
        <f>-IFERROR(VLOOKUP(C1379,Gastos!$A$9:$J$1281,10,0),0)</f>
        <v>-97</v>
      </c>
      <c r="L1379" s="87">
        <f>-IFERROR(VLOOKUP(C1379,IDC!$A$25:$H$1532,8,0),0)</f>
        <v>-60</v>
      </c>
      <c r="M1379" s="122">
        <f t="shared" si="197"/>
        <v>10000</v>
      </c>
      <c r="N1379"/>
      <c r="P1379" s="35">
        <f t="shared" si="198"/>
        <v>-10000</v>
      </c>
      <c r="Q1379" s="66">
        <f t="shared" si="199"/>
        <v>0</v>
      </c>
    </row>
    <row r="1380" spans="1:17" hidden="1">
      <c r="A1380" s="1" t="s">
        <v>1481</v>
      </c>
      <c r="B1380" s="1" t="s">
        <v>15</v>
      </c>
      <c r="C1380" s="91">
        <v>127143767515</v>
      </c>
      <c r="D1380" s="3">
        <v>6040.66</v>
      </c>
      <c r="E1380" s="3">
        <v>9931649.6600000001</v>
      </c>
      <c r="F1380" s="35" t="s">
        <v>2750</v>
      </c>
      <c r="G1380"/>
      <c r="H1380"/>
      <c r="I1380" s="27">
        <f>-IFERROR(VLOOKUP(C1380,SIRCUPA!$A$21:$H$155,8,0),0)</f>
        <v>0</v>
      </c>
      <c r="J1380" s="88">
        <f>-IFERROR(VLOOKUP(C1380,SIRTAC!$A$16:$H$1288,8,0),0)</f>
        <v>-62</v>
      </c>
      <c r="K1380" s="88">
        <f>-IFERROR(VLOOKUP(C1380,Gastos!$A$9:$J$1281,10,0),0)</f>
        <v>-60.14</v>
      </c>
      <c r="L1380" s="87">
        <f>-IFERROR(VLOOKUP(C1380,IDC!$A$25:$H$1532,8,0),0)</f>
        <v>-37.200000000000003</v>
      </c>
      <c r="M1380" s="122">
        <f t="shared" si="197"/>
        <v>6200</v>
      </c>
      <c r="N1380"/>
      <c r="P1380" s="35">
        <f t="shared" si="198"/>
        <v>-6200</v>
      </c>
      <c r="Q1380" s="66">
        <f t="shared" si="199"/>
        <v>0</v>
      </c>
    </row>
    <row r="1381" spans="1:17" hidden="1">
      <c r="A1381" s="1" t="s">
        <v>1481</v>
      </c>
      <c r="B1381" s="1" t="s">
        <v>15</v>
      </c>
      <c r="C1381" s="91">
        <v>127705564586</v>
      </c>
      <c r="D1381" s="3">
        <v>26843.96</v>
      </c>
      <c r="E1381" s="3">
        <v>9958493.6199999992</v>
      </c>
      <c r="F1381" s="35" t="s">
        <v>2750</v>
      </c>
      <c r="G1381"/>
      <c r="H1381"/>
      <c r="I1381" s="27">
        <f>-IFERROR(VLOOKUP(C1381,SIRCUPA!$A$21:$H$155,8,0),0)</f>
        <v>0</v>
      </c>
      <c r="J1381" s="88">
        <f>-IFERROR(VLOOKUP(C1381,SIRTAC!$A$16:$H$1288,8,0),0)</f>
        <v>-286</v>
      </c>
      <c r="K1381" s="88">
        <f>-IFERROR(VLOOKUP(C1381,Gastos!$A$9:$J$1281,10,0),0)</f>
        <v>-1298.44</v>
      </c>
      <c r="L1381" s="87">
        <f>-IFERROR(VLOOKUP(C1381,IDC!$A$25:$H$1532,8,0),0)</f>
        <v>-171.6</v>
      </c>
      <c r="M1381" s="122">
        <f t="shared" si="197"/>
        <v>28599.999999999996</v>
      </c>
      <c r="N1381"/>
      <c r="P1381" s="35">
        <f t="shared" si="198"/>
        <v>-28600</v>
      </c>
      <c r="Q1381" s="66">
        <f t="shared" si="199"/>
        <v>0</v>
      </c>
    </row>
    <row r="1382" spans="1:17" hidden="1">
      <c r="A1382" s="1" t="s">
        <v>1481</v>
      </c>
      <c r="B1382" s="1" t="s">
        <v>15</v>
      </c>
      <c r="C1382" s="91">
        <v>127143969217</v>
      </c>
      <c r="D1382" s="3">
        <v>26843.96</v>
      </c>
      <c r="E1382" s="3">
        <v>9985337.5800000001</v>
      </c>
      <c r="F1382" s="35" t="s">
        <v>2750</v>
      </c>
      <c r="G1382"/>
      <c r="H1382"/>
      <c r="I1382" s="27">
        <f>-IFERROR(VLOOKUP(C1382,SIRCUPA!$A$21:$H$155,8,0),0)</f>
        <v>0</v>
      </c>
      <c r="J1382" s="88">
        <f>-IFERROR(VLOOKUP(C1382,SIRTAC!$A$16:$H$1288,8,0),0)</f>
        <v>-286</v>
      </c>
      <c r="K1382" s="88">
        <f>-IFERROR(VLOOKUP(C1382,Gastos!$A$9:$J$1281,10,0),0)</f>
        <v>-1298.44</v>
      </c>
      <c r="L1382" s="87">
        <f>-IFERROR(VLOOKUP(C1382,IDC!$A$25:$H$1532,8,0),0)</f>
        <v>-171.6</v>
      </c>
      <c r="M1382" s="122">
        <f t="shared" si="197"/>
        <v>28599.999999999996</v>
      </c>
      <c r="N1382"/>
      <c r="P1382" s="35">
        <f t="shared" si="198"/>
        <v>-28600</v>
      </c>
      <c r="Q1382" s="66">
        <f t="shared" si="199"/>
        <v>0</v>
      </c>
    </row>
    <row r="1383" spans="1:17" hidden="1">
      <c r="A1383" s="1" t="s">
        <v>1481</v>
      </c>
      <c r="B1383" s="1" t="s">
        <v>15</v>
      </c>
      <c r="C1383" s="91">
        <v>127144387259</v>
      </c>
      <c r="D1383" s="3">
        <v>15393.94</v>
      </c>
      <c r="E1383" s="3">
        <v>10000731.52</v>
      </c>
      <c r="F1383" s="35" t="s">
        <v>2750</v>
      </c>
      <c r="G1383"/>
      <c r="H1383"/>
      <c r="I1383" s="27">
        <f>-IFERROR(VLOOKUP(C1383,SIRCUPA!$A$21:$H$155,8,0),0)</f>
        <v>0</v>
      </c>
      <c r="J1383" s="88">
        <f>-IFERROR(VLOOKUP(C1383,SIRTAC!$A$16:$H$1288,8,0),0)</f>
        <v>-158</v>
      </c>
      <c r="K1383" s="88">
        <f>-IFERROR(VLOOKUP(C1383,Gastos!$A$9:$J$1281,10,0),0)</f>
        <v>-153.26</v>
      </c>
      <c r="L1383" s="87">
        <f>-IFERROR(VLOOKUP(C1383,IDC!$A$25:$H$1532,8,0),0)</f>
        <v>-94.8</v>
      </c>
      <c r="M1383" s="122">
        <f t="shared" si="197"/>
        <v>15800</v>
      </c>
      <c r="N1383"/>
      <c r="P1383" s="35">
        <f t="shared" si="198"/>
        <v>-15800</v>
      </c>
      <c r="Q1383" s="66">
        <f t="shared" si="199"/>
        <v>0</v>
      </c>
    </row>
    <row r="1384" spans="1:17" hidden="1">
      <c r="A1384" s="1" t="s">
        <v>1481</v>
      </c>
      <c r="B1384" s="1" t="s">
        <v>15</v>
      </c>
      <c r="C1384" s="91">
        <v>127144478587</v>
      </c>
      <c r="D1384" s="3">
        <v>54365.94</v>
      </c>
      <c r="E1384" s="3">
        <v>10055097.460000001</v>
      </c>
      <c r="F1384" s="35" t="s">
        <v>2750</v>
      </c>
      <c r="G1384"/>
      <c r="H1384"/>
      <c r="I1384" s="27">
        <f>-IFERROR(VLOOKUP(C1384,SIRCUPA!$A$21:$H$155,8,0),0)</f>
        <v>0</v>
      </c>
      <c r="J1384" s="88">
        <f>-IFERROR(VLOOKUP(C1384,SIRTAC!$A$16:$H$1288,8,0),0)</f>
        <v>-558</v>
      </c>
      <c r="K1384" s="88">
        <f>-IFERROR(VLOOKUP(C1384,Gastos!$A$9:$J$1281,10,0),0)</f>
        <v>-541.26</v>
      </c>
      <c r="L1384" s="87">
        <f>-IFERROR(VLOOKUP(C1384,IDC!$A$25:$H$1532,8,0),0)</f>
        <v>-334.8</v>
      </c>
      <c r="M1384" s="122">
        <f t="shared" si="197"/>
        <v>55800.000000000007</v>
      </c>
      <c r="N1384"/>
      <c r="P1384" s="35">
        <f t="shared" si="198"/>
        <v>-55800</v>
      </c>
      <c r="Q1384" s="66">
        <f t="shared" si="199"/>
        <v>0</v>
      </c>
    </row>
    <row r="1385" spans="1:17" hidden="1">
      <c r="A1385" s="1" t="s">
        <v>1481</v>
      </c>
      <c r="B1385" s="1" t="s">
        <v>1506</v>
      </c>
      <c r="C1385" s="91">
        <v>127144500403</v>
      </c>
      <c r="D1385" s="3">
        <v>2731.41</v>
      </c>
      <c r="E1385" s="3">
        <v>10057828.869999999</v>
      </c>
      <c r="F1385" s="2" t="s">
        <v>2750</v>
      </c>
      <c r="G1385"/>
      <c r="H1385"/>
      <c r="I1385" s="27">
        <f>-IFERROR(VLOOKUP(C1385,SIRCUPA!$A$21:$H$155,8,0),0)</f>
        <v>-41.85</v>
      </c>
      <c r="J1385" s="88">
        <f>-IFERROR(VLOOKUP(C1385,SIRTAC!$A$16:$H$1288,8,0),0)</f>
        <v>0</v>
      </c>
      <c r="K1385" s="88">
        <f>-IFERROR(VLOOKUP(C1385,Gastos!$A$9:$J$1281,10,0),0)</f>
        <v>0</v>
      </c>
      <c r="L1385" s="87">
        <f>-IFERROR(VLOOKUP(C1385,IDC!$A$25:$H$1532,8,0),0)</f>
        <v>-16.739999999999998</v>
      </c>
      <c r="M1385" s="122">
        <f t="shared" si="197"/>
        <v>2789.9999999999995</v>
      </c>
      <c r="N1385"/>
      <c r="P1385" s="35">
        <f t="shared" si="198"/>
        <v>-2789.9999999999995</v>
      </c>
      <c r="Q1385" s="66">
        <f t="shared" si="199"/>
        <v>0</v>
      </c>
    </row>
    <row r="1386" spans="1:17" s="59" customFormat="1" hidden="1">
      <c r="A1386" s="35" t="s">
        <v>1481</v>
      </c>
      <c r="B1386" s="35" t="s">
        <v>15</v>
      </c>
      <c r="C1386" s="91">
        <v>127144733153</v>
      </c>
      <c r="D1386" s="3">
        <v>10522.44</v>
      </c>
      <c r="E1386" s="3">
        <v>10068351.310000001</v>
      </c>
      <c r="F1386" s="35" t="s">
        <v>2750</v>
      </c>
      <c r="G1386" s="35"/>
      <c r="H1386" s="35"/>
      <c r="I1386" s="27">
        <f>-IFERROR(VLOOKUP(C1386,SIRCUPA!$A$21:$H$155,8,0),0)</f>
        <v>0</v>
      </c>
      <c r="J1386" s="88">
        <f>-IFERROR(VLOOKUP(C1386,SIRTAC!$A$16:$H$1288,8,0),0)</f>
        <v>-108</v>
      </c>
      <c r="K1386" s="88">
        <f>-IFERROR(VLOOKUP(C1386,Gastos!$A$9:$J$1281,10,0),0)</f>
        <v>-104.76</v>
      </c>
      <c r="L1386" s="87">
        <f>-IFERROR(VLOOKUP(C1386,IDC!$A$25:$H$1532,8,0),0)</f>
        <v>-64.8</v>
      </c>
      <c r="M1386" s="122">
        <f t="shared" si="197"/>
        <v>10800</v>
      </c>
      <c r="N1386" s="35"/>
      <c r="O1386" s="35"/>
      <c r="P1386" s="35">
        <f t="shared" si="198"/>
        <v>-10800</v>
      </c>
      <c r="Q1386" s="66">
        <f t="shared" si="199"/>
        <v>0</v>
      </c>
    </row>
    <row r="1387" spans="1:17" s="59" customFormat="1" hidden="1">
      <c r="A1387" s="35" t="s">
        <v>1481</v>
      </c>
      <c r="B1387" s="35" t="s">
        <v>15</v>
      </c>
      <c r="C1387" s="91">
        <v>127145169313</v>
      </c>
      <c r="D1387" s="3">
        <v>10035.290000000001</v>
      </c>
      <c r="E1387" s="3">
        <v>10078386.6</v>
      </c>
      <c r="F1387" s="35" t="s">
        <v>2750</v>
      </c>
      <c r="G1387" s="35"/>
      <c r="H1387" s="35"/>
      <c r="I1387" s="27">
        <f>-IFERROR(VLOOKUP(C1387,SIRCUPA!$A$21:$H$155,8,0),0)</f>
        <v>0</v>
      </c>
      <c r="J1387" s="88">
        <f>-IFERROR(VLOOKUP(C1387,SIRTAC!$A$16:$H$1288,8,0),0)</f>
        <v>-103</v>
      </c>
      <c r="K1387" s="88">
        <f>-IFERROR(VLOOKUP(C1387,Gastos!$A$9:$J$1281,10,0),0)</f>
        <v>-99.91</v>
      </c>
      <c r="L1387" s="87">
        <f>-IFERROR(VLOOKUP(C1387,IDC!$A$25:$H$1532,8,0),0)</f>
        <v>-61.8</v>
      </c>
      <c r="M1387" s="122">
        <f t="shared" si="197"/>
        <v>10300</v>
      </c>
      <c r="N1387" s="35"/>
      <c r="O1387" s="35"/>
      <c r="P1387" s="35">
        <f t="shared" si="198"/>
        <v>-10300</v>
      </c>
      <c r="Q1387" s="66">
        <f t="shared" si="199"/>
        <v>0</v>
      </c>
    </row>
    <row r="1388" spans="1:17" s="59" customFormat="1" hidden="1">
      <c r="A1388" s="35" t="s">
        <v>1481</v>
      </c>
      <c r="B1388" s="35" t="s">
        <v>1510</v>
      </c>
      <c r="C1388" s="91">
        <v>127145157389</v>
      </c>
      <c r="D1388" s="2">
        <v>504.18</v>
      </c>
      <c r="E1388" s="3">
        <v>10078890.779999999</v>
      </c>
      <c r="F1388" s="2" t="s">
        <v>2750</v>
      </c>
      <c r="G1388" s="35"/>
      <c r="H1388" s="35"/>
      <c r="I1388" s="27">
        <f>-IFERROR(VLOOKUP(C1388,SIRCUPA!$A$21:$H$155,8,0),0)</f>
        <v>-7.73</v>
      </c>
      <c r="J1388" s="88">
        <f>-IFERROR(VLOOKUP(C1388,SIRTAC!$A$16:$H$1288,8,0),0)</f>
        <v>0</v>
      </c>
      <c r="K1388" s="88">
        <f>-IFERROR(VLOOKUP(C1388,Gastos!$A$9:$J$1281,10,0),0)</f>
        <v>0</v>
      </c>
      <c r="L1388" s="87">
        <f>-IFERROR(VLOOKUP(C1388,IDC!$A$25:$H$1532,8,0),0)</f>
        <v>-3.09</v>
      </c>
      <c r="M1388" s="122">
        <f t="shared" si="197"/>
        <v>515</v>
      </c>
      <c r="N1388" s="35"/>
      <c r="O1388" s="35"/>
      <c r="P1388" s="35">
        <f t="shared" si="198"/>
        <v>-515</v>
      </c>
      <c r="Q1388" s="66">
        <f t="shared" si="199"/>
        <v>0</v>
      </c>
    </row>
    <row r="1389" spans="1:17" s="59" customFormat="1" hidden="1">
      <c r="A1389" s="35" t="s">
        <v>1481</v>
      </c>
      <c r="B1389" s="35" t="s">
        <v>15</v>
      </c>
      <c r="C1389" s="91">
        <v>127145306205</v>
      </c>
      <c r="D1389" s="3">
        <v>26186.94</v>
      </c>
      <c r="E1389" s="3">
        <v>10105077.720000001</v>
      </c>
      <c r="F1389" s="35" t="s">
        <v>2750</v>
      </c>
      <c r="G1389" s="35"/>
      <c r="H1389" s="35"/>
      <c r="I1389" s="27">
        <f>-IFERROR(VLOOKUP(C1389,SIRCUPA!$A$21:$H$155,8,0),0)</f>
        <v>0</v>
      </c>
      <c r="J1389" s="88">
        <f>-IFERROR(VLOOKUP(C1389,SIRTAC!$A$16:$H$1288,8,0),0)</f>
        <v>-279</v>
      </c>
      <c r="K1389" s="88">
        <f>-IFERROR(VLOOKUP(C1389,Gastos!$A$9:$J$1281,10,0),0)</f>
        <v>-1266.6600000000001</v>
      </c>
      <c r="L1389" s="87">
        <f>-IFERROR(VLOOKUP(C1389,IDC!$A$25:$H$1532,8,0),0)</f>
        <v>-167.4</v>
      </c>
      <c r="M1389" s="122">
        <f t="shared" si="197"/>
        <v>27900</v>
      </c>
      <c r="N1389" s="35"/>
      <c r="O1389" s="35"/>
      <c r="P1389" s="35">
        <f t="shared" si="198"/>
        <v>-27900</v>
      </c>
      <c r="Q1389" s="66">
        <f t="shared" si="199"/>
        <v>0</v>
      </c>
    </row>
    <row r="1390" spans="1:17" s="59" customFormat="1" hidden="1">
      <c r="A1390" s="35" t="s">
        <v>1481</v>
      </c>
      <c r="B1390" s="35" t="s">
        <v>15</v>
      </c>
      <c r="C1390" s="91">
        <v>127145410663</v>
      </c>
      <c r="D1390" s="3">
        <v>127723.44</v>
      </c>
      <c r="E1390" s="3">
        <v>10232801.16</v>
      </c>
      <c r="F1390" s="35" t="s">
        <v>2750</v>
      </c>
      <c r="G1390" s="35"/>
      <c r="H1390" s="35"/>
      <c r="I1390" s="27">
        <f>-IFERROR(VLOOKUP(C1390,SIRCUPA!$A$21:$H$155,8,0),0)</f>
        <v>0</v>
      </c>
      <c r="J1390" s="88">
        <f>-IFERROR(VLOOKUP(C1390,SIRTAC!$A$16:$H$1288,8,0),0)</f>
        <v>-1352</v>
      </c>
      <c r="K1390" s="88">
        <f>-IFERROR(VLOOKUP(C1390,Gastos!$A$9:$J$1281,10,0),0)</f>
        <v>-5313.36</v>
      </c>
      <c r="L1390" s="87">
        <f>-IFERROR(VLOOKUP(C1390,IDC!$A$25:$H$1532,8,0),0)</f>
        <v>-811.2</v>
      </c>
      <c r="M1390" s="122">
        <f t="shared" si="197"/>
        <v>135200</v>
      </c>
      <c r="N1390" s="35"/>
      <c r="O1390" s="35"/>
      <c r="P1390" s="35">
        <f t="shared" si="198"/>
        <v>-135200</v>
      </c>
      <c r="Q1390" s="66">
        <f t="shared" si="199"/>
        <v>0</v>
      </c>
    </row>
    <row r="1391" spans="1:17" hidden="1">
      <c r="A1391" s="1" t="s">
        <v>1481</v>
      </c>
      <c r="B1391" s="35" t="s">
        <v>15</v>
      </c>
      <c r="C1391" s="91">
        <v>127707143532</v>
      </c>
      <c r="D1391" s="3">
        <v>28689.64</v>
      </c>
      <c r="E1391" s="3">
        <v>10261490.800000001</v>
      </c>
      <c r="F1391" s="35" t="s">
        <v>2750</v>
      </c>
      <c r="G1391" s="35"/>
      <c r="H1391" s="35"/>
      <c r="I1391" s="27">
        <f>-IFERROR(VLOOKUP(C1391,SIRCUPA!$A$21:$H$155,8,0),0)</f>
        <v>0</v>
      </c>
      <c r="J1391" s="88">
        <f>-IFERROR(VLOOKUP(C1391,SIRTAC!$A$16:$H$1288,8,0),0)</f>
        <v>-316</v>
      </c>
      <c r="K1391" s="88">
        <f>-IFERROR(VLOOKUP(C1391,Gastos!$A$9:$J$1281,10,0),0)</f>
        <v>-2404.7600000000002</v>
      </c>
      <c r="L1391" s="87">
        <f>-IFERROR(VLOOKUP(C1391,IDC!$A$25:$H$1532,8,0),0)</f>
        <v>-189.6</v>
      </c>
      <c r="M1391" s="122">
        <f t="shared" si="197"/>
        <v>31600</v>
      </c>
      <c r="N1391" s="35"/>
      <c r="P1391" s="35">
        <f t="shared" si="198"/>
        <v>-31600</v>
      </c>
      <c r="Q1391" s="66">
        <f t="shared" si="199"/>
        <v>0</v>
      </c>
    </row>
    <row r="1392" spans="1:17" s="59" customFormat="1" hidden="1">
      <c r="A1392" s="35" t="s">
        <v>1481</v>
      </c>
      <c r="B1392" s="35" t="s">
        <v>15</v>
      </c>
      <c r="C1392" s="91">
        <v>127707316320</v>
      </c>
      <c r="D1392" s="3">
        <v>28644.42</v>
      </c>
      <c r="E1392" s="3">
        <v>10290135.220000001</v>
      </c>
      <c r="F1392" s="35" t="s">
        <v>2750</v>
      </c>
      <c r="G1392" s="35"/>
      <c r="H1392" s="35"/>
      <c r="I1392" s="27">
        <f>-IFERROR(VLOOKUP(C1392,SIRCUPA!$A$21:$H$155,8,0),0)</f>
        <v>0</v>
      </c>
      <c r="J1392" s="88">
        <f>-IFERROR(VLOOKUP(C1392,SIRTAC!$A$16:$H$1288,8,0),0)</f>
        <v>-294</v>
      </c>
      <c r="K1392" s="88">
        <f>-IFERROR(VLOOKUP(C1392,Gastos!$A$9:$J$1281,10,0),0)</f>
        <v>-285.18</v>
      </c>
      <c r="L1392" s="87">
        <f>-IFERROR(VLOOKUP(C1392,IDC!$A$25:$H$1532,8,0),0)</f>
        <v>-176.4</v>
      </c>
      <c r="M1392" s="122">
        <f t="shared" si="197"/>
        <v>29400</v>
      </c>
      <c r="N1392" s="35"/>
      <c r="O1392" s="35"/>
      <c r="P1392" s="35">
        <f t="shared" si="198"/>
        <v>-29400</v>
      </c>
      <c r="Q1392" s="66">
        <f t="shared" si="199"/>
        <v>0</v>
      </c>
    </row>
    <row r="1393" spans="1:17" s="59" customFormat="1" hidden="1">
      <c r="A1393" s="35" t="s">
        <v>1481</v>
      </c>
      <c r="B1393" s="35" t="s">
        <v>15</v>
      </c>
      <c r="C1393" s="91">
        <v>127707273290</v>
      </c>
      <c r="D1393" s="3">
        <v>41310.32</v>
      </c>
      <c r="E1393" s="3">
        <v>10331445.539999999</v>
      </c>
      <c r="F1393" s="35" t="s">
        <v>2750</v>
      </c>
      <c r="G1393" s="35"/>
      <c r="H1393" s="35"/>
      <c r="I1393" s="27">
        <f>-IFERROR(VLOOKUP(C1393,SIRCUPA!$A$21:$H$155,8,0),0)</f>
        <v>0</v>
      </c>
      <c r="J1393" s="88">
        <f>-IFERROR(VLOOKUP(C1393,SIRTAC!$A$16:$H$1288,8,0),0)</f>
        <v>-424</v>
      </c>
      <c r="K1393" s="88">
        <f>-IFERROR(VLOOKUP(C1393,Gastos!$A$9:$J$1281,10,0),0)</f>
        <v>-411.28</v>
      </c>
      <c r="L1393" s="87">
        <f>-IFERROR(VLOOKUP(C1393,IDC!$A$25:$H$1532,8,0),0)</f>
        <v>-254.4</v>
      </c>
      <c r="M1393" s="122">
        <f t="shared" si="197"/>
        <v>42400</v>
      </c>
      <c r="N1393" s="35"/>
      <c r="O1393" s="35"/>
      <c r="P1393" s="35">
        <f t="shared" si="198"/>
        <v>-42400</v>
      </c>
      <c r="Q1393" s="66">
        <f t="shared" si="199"/>
        <v>0</v>
      </c>
    </row>
    <row r="1394" spans="1:17" hidden="1">
      <c r="A1394" s="1" t="s">
        <v>1481</v>
      </c>
      <c r="B1394" s="1" t="s">
        <v>15</v>
      </c>
      <c r="C1394" s="91">
        <v>127220230833</v>
      </c>
      <c r="D1394" s="3">
        <v>4993.45</v>
      </c>
      <c r="E1394" s="3">
        <v>9838310.4900000002</v>
      </c>
      <c r="F1394" s="35" t="s">
        <v>2750</v>
      </c>
      <c r="G1394"/>
      <c r="H1394"/>
      <c r="I1394" s="27">
        <f>-IFERROR(VLOOKUP(C1394,SIRCUPA!$A$21:$H$155,8,0),0)</f>
        <v>0</v>
      </c>
      <c r="J1394" s="88">
        <f>-IFERROR(VLOOKUP(C1394,SIRTAC!$A$16:$H$1288,8,0),0)</f>
        <v>-55</v>
      </c>
      <c r="K1394" s="88">
        <f>-IFERROR(VLOOKUP(C1394,Gastos!$A$9:$J$1281,10,0),0)</f>
        <v>-418.55</v>
      </c>
      <c r="L1394" s="87">
        <f>-IFERROR(VLOOKUP(C1394,IDC!$A$25:$H$1532,8,0),0)</f>
        <v>-33</v>
      </c>
      <c r="M1394" s="122">
        <f t="shared" si="197"/>
        <v>5500</v>
      </c>
      <c r="N1394"/>
      <c r="P1394" s="35">
        <f t="shared" si="198"/>
        <v>-5500</v>
      </c>
      <c r="Q1394" s="66">
        <f t="shared" si="199"/>
        <v>0</v>
      </c>
    </row>
    <row r="1395" spans="1:17" hidden="1">
      <c r="A1395" s="1" t="s">
        <v>1481</v>
      </c>
      <c r="B1395" s="1" t="s">
        <v>15</v>
      </c>
      <c r="C1395" s="91">
        <v>127785471812</v>
      </c>
      <c r="D1395" s="3">
        <v>13153.05</v>
      </c>
      <c r="E1395" s="3">
        <v>9851463.5399999991</v>
      </c>
      <c r="F1395" s="35" t="s">
        <v>2750</v>
      </c>
      <c r="G1395"/>
      <c r="H1395"/>
      <c r="I1395" s="27">
        <f>-IFERROR(VLOOKUP(C1395,SIRCUPA!$A$21:$H$155,8,0),0)</f>
        <v>0</v>
      </c>
      <c r="J1395" s="88">
        <f>-IFERROR(VLOOKUP(C1395,SIRTAC!$A$16:$H$1288,8,0),0)</f>
        <v>-135</v>
      </c>
      <c r="K1395" s="88">
        <f>-IFERROR(VLOOKUP(C1395,Gastos!$A$9:$J$1281,10,0),0)</f>
        <v>-130.94999999999999</v>
      </c>
      <c r="L1395" s="87">
        <f>-IFERROR(VLOOKUP(C1395,IDC!$A$25:$H$1532,8,0),0)</f>
        <v>-81</v>
      </c>
      <c r="M1395" s="122">
        <f t="shared" ref="M1395:M1426" si="200">+D1395-I1395-J1395-K1395-L1395</f>
        <v>13500</v>
      </c>
      <c r="N1395"/>
      <c r="P1395" s="35">
        <f t="shared" si="198"/>
        <v>-13500</v>
      </c>
      <c r="Q1395" s="66">
        <f t="shared" si="199"/>
        <v>0</v>
      </c>
    </row>
    <row r="1396" spans="1:17" hidden="1">
      <c r="A1396" s="1" t="s">
        <v>1481</v>
      </c>
      <c r="B1396" s="1" t="s">
        <v>1523</v>
      </c>
      <c r="C1396" s="91">
        <v>127785493518</v>
      </c>
      <c r="D1396" s="2">
        <v>660.82</v>
      </c>
      <c r="E1396" s="3">
        <v>9852124.3599999994</v>
      </c>
      <c r="F1396" s="2" t="s">
        <v>2750</v>
      </c>
      <c r="G1396"/>
      <c r="H1396"/>
      <c r="I1396" s="27">
        <f>-IFERROR(VLOOKUP(C1396,SIRCUPA!$A$21:$H$155,8,0),0)</f>
        <v>-10.130000000000001</v>
      </c>
      <c r="J1396" s="88">
        <f>-IFERROR(VLOOKUP(C1396,SIRTAC!$A$16:$H$1288,8,0),0)</f>
        <v>0</v>
      </c>
      <c r="K1396" s="88">
        <f>-IFERROR(VLOOKUP(C1396,Gastos!$A$9:$J$1281,10,0),0)</f>
        <v>0</v>
      </c>
      <c r="L1396" s="87">
        <f>-IFERROR(VLOOKUP(C1396,IDC!$A$25:$H$1532,8,0),0)</f>
        <v>-4.05</v>
      </c>
      <c r="M1396" s="122">
        <f t="shared" si="200"/>
        <v>675</v>
      </c>
      <c r="N1396"/>
      <c r="P1396" s="35">
        <f t="shared" si="198"/>
        <v>-675</v>
      </c>
      <c r="Q1396" s="66">
        <f t="shared" si="199"/>
        <v>0</v>
      </c>
    </row>
    <row r="1397" spans="1:17" hidden="1">
      <c r="A1397" s="1" t="s">
        <v>1481</v>
      </c>
      <c r="B1397" s="1" t="s">
        <v>15</v>
      </c>
      <c r="C1397" s="91">
        <v>127787969538</v>
      </c>
      <c r="D1397" s="3">
        <v>7321.08</v>
      </c>
      <c r="E1397" s="3">
        <v>9859445.4399999995</v>
      </c>
      <c r="F1397" s="35" t="s">
        <v>2750</v>
      </c>
      <c r="G1397"/>
      <c r="H1397"/>
      <c r="I1397" s="27">
        <f>-IFERROR(VLOOKUP(C1397,SIRCUPA!$A$21:$H$155,8,0),0)</f>
        <v>0</v>
      </c>
      <c r="J1397" s="88">
        <f>-IFERROR(VLOOKUP(C1397,SIRTAC!$A$16:$H$1288,8,0),0)</f>
        <v>-78</v>
      </c>
      <c r="K1397" s="88">
        <f>-IFERROR(VLOOKUP(C1397,Gastos!$A$9:$J$1281,10,0),0)</f>
        <v>-354.12</v>
      </c>
      <c r="L1397" s="87">
        <f>-IFERROR(VLOOKUP(C1397,IDC!$A$25:$H$1532,8,0),0)</f>
        <v>-46.8</v>
      </c>
      <c r="M1397" s="122">
        <f t="shared" si="200"/>
        <v>7800</v>
      </c>
      <c r="N1397"/>
      <c r="P1397" s="35">
        <f t="shared" si="198"/>
        <v>-7799.9999999999991</v>
      </c>
      <c r="Q1397" s="66">
        <f t="shared" si="199"/>
        <v>0</v>
      </c>
    </row>
    <row r="1398" spans="1:17" hidden="1">
      <c r="A1398" s="1" t="s">
        <v>1481</v>
      </c>
      <c r="B1398" s="1" t="s">
        <v>15</v>
      </c>
      <c r="C1398" s="91">
        <v>127788429684</v>
      </c>
      <c r="D1398" s="3">
        <v>15588.8</v>
      </c>
      <c r="E1398" s="3">
        <v>9875034.2400000002</v>
      </c>
      <c r="F1398" s="35" t="s">
        <v>2750</v>
      </c>
      <c r="G1398"/>
      <c r="H1398"/>
      <c r="I1398" s="27">
        <f>-IFERROR(VLOOKUP(C1398,SIRCUPA!$A$21:$H$155,8,0),0)</f>
        <v>0</v>
      </c>
      <c r="J1398" s="88">
        <f>-IFERROR(VLOOKUP(C1398,SIRTAC!$A$16:$H$1288,8,0),0)</f>
        <v>-160</v>
      </c>
      <c r="K1398" s="88">
        <f>-IFERROR(VLOOKUP(C1398,Gastos!$A$9:$J$1281,10,0),0)</f>
        <v>-155.19999999999999</v>
      </c>
      <c r="L1398" s="87">
        <f>-IFERROR(VLOOKUP(C1398,IDC!$A$25:$H$1532,8,0),0)</f>
        <v>-96</v>
      </c>
      <c r="M1398" s="122">
        <f t="shared" si="200"/>
        <v>16000</v>
      </c>
      <c r="N1398"/>
      <c r="P1398" s="35">
        <f t="shared" si="198"/>
        <v>-16000</v>
      </c>
      <c r="Q1398" s="66">
        <f t="shared" si="199"/>
        <v>0</v>
      </c>
    </row>
    <row r="1399" spans="1:17" hidden="1">
      <c r="A1399" s="1" t="s">
        <v>1481</v>
      </c>
      <c r="B1399" s="1" t="s">
        <v>1527</v>
      </c>
      <c r="C1399" s="91">
        <v>127226319261</v>
      </c>
      <c r="D1399" s="2">
        <v>783.2</v>
      </c>
      <c r="E1399" s="3">
        <v>9875817.4399999995</v>
      </c>
      <c r="F1399" s="2" t="s">
        <v>2750</v>
      </c>
      <c r="G1399"/>
      <c r="H1399"/>
      <c r="I1399" s="27">
        <f>-IFERROR(VLOOKUP(C1399,SIRCUPA!$A$21:$H$155,8,0),0)</f>
        <v>-12</v>
      </c>
      <c r="J1399" s="88">
        <f>-IFERROR(VLOOKUP(C1399,SIRTAC!$A$16:$H$1288,8,0),0)</f>
        <v>0</v>
      </c>
      <c r="K1399" s="88">
        <f>-IFERROR(VLOOKUP(C1399,Gastos!$A$9:$J$1281,10,0),0)</f>
        <v>0</v>
      </c>
      <c r="L1399" s="87">
        <f>-IFERROR(VLOOKUP(C1399,IDC!$A$25:$H$1532,8,0),0)</f>
        <v>-4.8</v>
      </c>
      <c r="M1399" s="122">
        <f t="shared" si="200"/>
        <v>800</v>
      </c>
      <c r="N1399"/>
      <c r="P1399" s="35">
        <f t="shared" si="198"/>
        <v>-800</v>
      </c>
      <c r="Q1399" s="66">
        <f t="shared" si="199"/>
        <v>0</v>
      </c>
    </row>
    <row r="1400" spans="1:17" hidden="1">
      <c r="A1400" s="1" t="s">
        <v>1481</v>
      </c>
      <c r="B1400" s="1" t="s">
        <v>15</v>
      </c>
      <c r="C1400" s="91">
        <v>127789821032</v>
      </c>
      <c r="D1400" s="3">
        <v>8029.95</v>
      </c>
      <c r="E1400" s="3">
        <v>9883847.3900000006</v>
      </c>
      <c r="F1400" s="35" t="s">
        <v>2750</v>
      </c>
      <c r="G1400"/>
      <c r="H1400"/>
      <c r="I1400" s="27">
        <f>-IFERROR(VLOOKUP(C1400,SIRCUPA!$A$21:$H$155,8,0),0)</f>
        <v>0</v>
      </c>
      <c r="J1400" s="88">
        <f>-IFERROR(VLOOKUP(C1400,SIRTAC!$A$16:$H$1288,8,0),0)</f>
        <v>-85</v>
      </c>
      <c r="K1400" s="88">
        <f>-IFERROR(VLOOKUP(C1400,Gastos!$A$9:$J$1281,10,0),0)</f>
        <v>-334.05</v>
      </c>
      <c r="L1400" s="87">
        <f>-IFERROR(VLOOKUP(C1400,IDC!$A$25:$H$1532,8,0),0)</f>
        <v>-51</v>
      </c>
      <c r="M1400" s="122">
        <f t="shared" si="200"/>
        <v>8500</v>
      </c>
      <c r="N1400"/>
      <c r="P1400" s="35">
        <f t="shared" si="198"/>
        <v>-8500</v>
      </c>
      <c r="Q1400" s="66">
        <f t="shared" si="199"/>
        <v>0</v>
      </c>
    </row>
    <row r="1401" spans="1:17" hidden="1">
      <c r="A1401" s="1" t="s">
        <v>1481</v>
      </c>
      <c r="B1401" s="1" t="s">
        <v>15</v>
      </c>
      <c r="C1401" s="91">
        <v>127228416533</v>
      </c>
      <c r="D1401" s="3">
        <v>24552.36</v>
      </c>
      <c r="E1401" s="3">
        <v>9908399.75</v>
      </c>
      <c r="F1401" s="35" t="s">
        <v>2750</v>
      </c>
      <c r="G1401"/>
      <c r="H1401"/>
      <c r="I1401" s="27">
        <f>-IFERROR(VLOOKUP(C1401,SIRCUPA!$A$21:$H$155,8,0),0)</f>
        <v>0</v>
      </c>
      <c r="J1401" s="88">
        <f>-IFERROR(VLOOKUP(C1401,SIRTAC!$A$16:$H$1288,8,0),0)</f>
        <v>-252</v>
      </c>
      <c r="K1401" s="88">
        <f>-IFERROR(VLOOKUP(C1401,Gastos!$A$9:$J$1281,10,0),0)</f>
        <v>-244.44</v>
      </c>
      <c r="L1401" s="87">
        <f>-IFERROR(VLOOKUP(C1401,IDC!$A$25:$H$1532,8,0),0)</f>
        <v>-151.19999999999999</v>
      </c>
      <c r="M1401" s="122">
        <f t="shared" si="200"/>
        <v>25200</v>
      </c>
      <c r="N1401"/>
      <c r="P1401" s="35">
        <f t="shared" si="198"/>
        <v>-25199.999999999996</v>
      </c>
      <c r="Q1401" s="66">
        <f t="shared" si="199"/>
        <v>0</v>
      </c>
    </row>
    <row r="1402" spans="1:17" hidden="1">
      <c r="A1402" s="1" t="s">
        <v>1481</v>
      </c>
      <c r="B1402" s="1" t="s">
        <v>15</v>
      </c>
      <c r="C1402" s="91">
        <v>127228393663</v>
      </c>
      <c r="D1402" s="3">
        <v>9158.42</v>
      </c>
      <c r="E1402" s="3">
        <v>9917558.1699999999</v>
      </c>
      <c r="F1402" s="35" t="s">
        <v>2750</v>
      </c>
      <c r="G1402"/>
      <c r="H1402"/>
      <c r="I1402" s="27">
        <f>-IFERROR(VLOOKUP(C1402,SIRCUPA!$A$21:$H$155,8,0),0)</f>
        <v>0</v>
      </c>
      <c r="J1402" s="88">
        <f>-IFERROR(VLOOKUP(C1402,SIRTAC!$A$16:$H$1288,8,0),0)</f>
        <v>-94</v>
      </c>
      <c r="K1402" s="88">
        <f>-IFERROR(VLOOKUP(C1402,Gastos!$A$9:$J$1281,10,0),0)</f>
        <v>-91.18</v>
      </c>
      <c r="L1402" s="87">
        <f>-IFERROR(VLOOKUP(C1402,IDC!$A$25:$H$1532,8,0),0)</f>
        <v>-56.4</v>
      </c>
      <c r="M1402" s="122">
        <f t="shared" si="200"/>
        <v>9400</v>
      </c>
      <c r="N1402"/>
      <c r="P1402" s="35">
        <f t="shared" si="198"/>
        <v>-9400</v>
      </c>
      <c r="Q1402" s="66">
        <f t="shared" si="199"/>
        <v>0</v>
      </c>
    </row>
    <row r="1403" spans="1:17" hidden="1">
      <c r="A1403" s="1" t="s">
        <v>1481</v>
      </c>
      <c r="B1403" s="1" t="s">
        <v>15</v>
      </c>
      <c r="C1403" s="91">
        <v>127229216263</v>
      </c>
      <c r="D1403" s="3">
        <v>16075.95</v>
      </c>
      <c r="E1403" s="3">
        <v>9933634.1199999992</v>
      </c>
      <c r="F1403" s="35" t="s">
        <v>2750</v>
      </c>
      <c r="G1403"/>
      <c r="H1403"/>
      <c r="I1403" s="27">
        <f>-IFERROR(VLOOKUP(C1403,SIRCUPA!$A$21:$H$155,8,0),0)</f>
        <v>0</v>
      </c>
      <c r="J1403" s="88">
        <f>-IFERROR(VLOOKUP(C1403,SIRTAC!$A$16:$H$1288,8,0),0)</f>
        <v>-165</v>
      </c>
      <c r="K1403" s="88">
        <f>-IFERROR(VLOOKUP(C1403,Gastos!$A$9:$J$1281,10,0),0)</f>
        <v>-160.05000000000001</v>
      </c>
      <c r="L1403" s="87">
        <f>-IFERROR(VLOOKUP(C1403,IDC!$A$25:$H$1532,8,0),0)</f>
        <v>-99</v>
      </c>
      <c r="M1403" s="122">
        <f t="shared" si="200"/>
        <v>16500</v>
      </c>
      <c r="N1403"/>
      <c r="P1403" s="35">
        <f t="shared" si="198"/>
        <v>-16500</v>
      </c>
      <c r="Q1403" s="66">
        <f t="shared" si="199"/>
        <v>0</v>
      </c>
    </row>
    <row r="1404" spans="1:17" hidden="1">
      <c r="A1404" s="1" t="s">
        <v>1481</v>
      </c>
      <c r="B1404" s="1" t="s">
        <v>15</v>
      </c>
      <c r="C1404" s="91">
        <v>127791466702</v>
      </c>
      <c r="D1404" s="3">
        <v>10619.87</v>
      </c>
      <c r="E1404" s="3">
        <v>9944253.9900000002</v>
      </c>
      <c r="F1404" s="35" t="s">
        <v>2750</v>
      </c>
      <c r="G1404"/>
      <c r="H1404"/>
      <c r="I1404" s="27">
        <f>-IFERROR(VLOOKUP(C1404,SIRCUPA!$A$21:$H$155,8,0),0)</f>
        <v>0</v>
      </c>
      <c r="J1404" s="88">
        <f>-IFERROR(VLOOKUP(C1404,SIRTAC!$A$16:$H$1288,8,0),0)</f>
        <v>-109</v>
      </c>
      <c r="K1404" s="88">
        <f>-IFERROR(VLOOKUP(C1404,Gastos!$A$9:$J$1281,10,0),0)</f>
        <v>-105.73</v>
      </c>
      <c r="L1404" s="87">
        <f>-IFERROR(VLOOKUP(C1404,IDC!$A$25:$H$1532,8,0),0)</f>
        <v>-65.400000000000006</v>
      </c>
      <c r="M1404" s="122">
        <f t="shared" si="200"/>
        <v>10900</v>
      </c>
      <c r="N1404"/>
      <c r="P1404" s="35">
        <f t="shared" si="198"/>
        <v>-10900</v>
      </c>
      <c r="Q1404" s="66">
        <f t="shared" si="199"/>
        <v>0</v>
      </c>
    </row>
    <row r="1405" spans="1:17" hidden="1">
      <c r="A1405" s="1" t="s">
        <v>1481</v>
      </c>
      <c r="B1405" s="1" t="s">
        <v>15</v>
      </c>
      <c r="C1405" s="91">
        <v>127792154848</v>
      </c>
      <c r="D1405" s="3">
        <v>8502.2999999999993</v>
      </c>
      <c r="E1405" s="3">
        <v>9952756.2899999991</v>
      </c>
      <c r="F1405" s="35" t="s">
        <v>2750</v>
      </c>
      <c r="G1405"/>
      <c r="H1405"/>
      <c r="I1405" s="27">
        <f>-IFERROR(VLOOKUP(C1405,SIRCUPA!$A$21:$H$155,8,0),0)</f>
        <v>0</v>
      </c>
      <c r="J1405" s="88">
        <f>-IFERROR(VLOOKUP(C1405,SIRTAC!$A$16:$H$1288,8,0),0)</f>
        <v>-90</v>
      </c>
      <c r="K1405" s="88">
        <f>-IFERROR(VLOOKUP(C1405,Gastos!$A$9:$J$1281,10,0),0)</f>
        <v>-353.7</v>
      </c>
      <c r="L1405" s="87">
        <f>-IFERROR(VLOOKUP(C1405,IDC!$A$25:$H$1532,8,0),0)</f>
        <v>-54</v>
      </c>
      <c r="M1405" s="122">
        <f t="shared" si="200"/>
        <v>9000</v>
      </c>
      <c r="N1405"/>
      <c r="P1405" s="35">
        <f t="shared" si="198"/>
        <v>-9000</v>
      </c>
      <c r="Q1405" s="66">
        <f t="shared" si="199"/>
        <v>0</v>
      </c>
    </row>
    <row r="1406" spans="1:17" hidden="1">
      <c r="A1406" s="1" t="s">
        <v>1481</v>
      </c>
      <c r="B1406" s="1" t="s">
        <v>15</v>
      </c>
      <c r="C1406" s="91">
        <v>127231821275</v>
      </c>
      <c r="D1406" s="3">
        <v>4579.21</v>
      </c>
      <c r="E1406" s="3">
        <v>9957335.5</v>
      </c>
      <c r="F1406" s="35" t="s">
        <v>2750</v>
      </c>
      <c r="G1406"/>
      <c r="H1406"/>
      <c r="I1406" s="27">
        <f>-IFERROR(VLOOKUP(C1406,SIRCUPA!$A$21:$H$155,8,0),0)</f>
        <v>0</v>
      </c>
      <c r="J1406" s="88">
        <f>-IFERROR(VLOOKUP(C1406,SIRTAC!$A$16:$H$1288,8,0),0)</f>
        <v>-47</v>
      </c>
      <c r="K1406" s="88">
        <f>-IFERROR(VLOOKUP(C1406,Gastos!$A$9:$J$1281,10,0),0)</f>
        <v>-45.59</v>
      </c>
      <c r="L1406" s="87">
        <f>-IFERROR(VLOOKUP(C1406,IDC!$A$25:$H$1532,8,0),0)</f>
        <v>-28.2</v>
      </c>
      <c r="M1406" s="122">
        <f t="shared" si="200"/>
        <v>4700</v>
      </c>
      <c r="N1406"/>
      <c r="P1406" s="35">
        <f t="shared" si="198"/>
        <v>-4700</v>
      </c>
      <c r="Q1406" s="66">
        <f t="shared" si="199"/>
        <v>0</v>
      </c>
    </row>
    <row r="1407" spans="1:17" hidden="1">
      <c r="A1407" s="1" t="s">
        <v>1481</v>
      </c>
      <c r="B1407" s="1" t="s">
        <v>15</v>
      </c>
      <c r="C1407" s="91">
        <v>127794328414</v>
      </c>
      <c r="D1407" s="3">
        <v>12373.61</v>
      </c>
      <c r="E1407" s="3">
        <v>9969709.1099999994</v>
      </c>
      <c r="F1407" s="35" t="s">
        <v>2750</v>
      </c>
      <c r="G1407"/>
      <c r="H1407"/>
      <c r="I1407" s="27">
        <f>-IFERROR(VLOOKUP(C1407,SIRCUPA!$A$21:$H$155,8,0),0)</f>
        <v>0</v>
      </c>
      <c r="J1407" s="88">
        <f>-IFERROR(VLOOKUP(C1407,SIRTAC!$A$16:$H$1288,8,0),0)</f>
        <v>-127</v>
      </c>
      <c r="K1407" s="88">
        <f>-IFERROR(VLOOKUP(C1407,Gastos!$A$9:$J$1281,10,0),0)</f>
        <v>-123.19</v>
      </c>
      <c r="L1407" s="87">
        <f>-IFERROR(VLOOKUP(C1407,IDC!$A$25:$H$1532,8,0),0)</f>
        <v>-76.2</v>
      </c>
      <c r="M1407" s="122">
        <f t="shared" si="200"/>
        <v>12700.000000000002</v>
      </c>
      <c r="N1407"/>
      <c r="P1407" s="35">
        <f t="shared" si="198"/>
        <v>-12700</v>
      </c>
      <c r="Q1407" s="66">
        <f t="shared" si="199"/>
        <v>0</v>
      </c>
    </row>
    <row r="1408" spans="1:17" hidden="1">
      <c r="A1408" s="1" t="s">
        <v>1481</v>
      </c>
      <c r="B1408" s="1" t="s">
        <v>15</v>
      </c>
      <c r="C1408" s="91">
        <v>127794377100</v>
      </c>
      <c r="D1408" s="3">
        <v>28689.64</v>
      </c>
      <c r="E1408" s="3">
        <v>9998398.75</v>
      </c>
      <c r="F1408" s="35" t="s">
        <v>2750</v>
      </c>
      <c r="G1408"/>
      <c r="H1408"/>
      <c r="I1408" s="27">
        <f>-IFERROR(VLOOKUP(C1408,SIRCUPA!$A$21:$H$155,8,0),0)</f>
        <v>0</v>
      </c>
      <c r="J1408" s="88">
        <f>-IFERROR(VLOOKUP(C1408,SIRTAC!$A$16:$H$1288,8,0),0)</f>
        <v>-316</v>
      </c>
      <c r="K1408" s="88">
        <f>-IFERROR(VLOOKUP(C1408,Gastos!$A$9:$J$1281,10,0),0)</f>
        <v>-2404.7600000000002</v>
      </c>
      <c r="L1408" s="87">
        <f>-IFERROR(VLOOKUP(C1408,IDC!$A$25:$H$1532,8,0),0)</f>
        <v>-189.6</v>
      </c>
      <c r="M1408" s="122">
        <f t="shared" si="200"/>
        <v>31600</v>
      </c>
      <c r="N1408"/>
      <c r="P1408" s="35">
        <f t="shared" si="198"/>
        <v>-31600</v>
      </c>
      <c r="Q1408" s="66">
        <f t="shared" si="199"/>
        <v>0</v>
      </c>
    </row>
    <row r="1409" spans="1:17" hidden="1">
      <c r="A1409" s="1" t="s">
        <v>1481</v>
      </c>
      <c r="B1409" s="1" t="s">
        <v>15</v>
      </c>
      <c r="C1409" s="91">
        <v>127233151759</v>
      </c>
      <c r="D1409" s="3">
        <v>5358.65</v>
      </c>
      <c r="E1409" s="3">
        <v>10003757.4</v>
      </c>
      <c r="F1409" s="35" t="s">
        <v>2750</v>
      </c>
      <c r="G1409"/>
      <c r="H1409"/>
      <c r="I1409" s="27">
        <f>-IFERROR(VLOOKUP(C1409,SIRCUPA!$A$21:$H$155,8,0),0)</f>
        <v>0</v>
      </c>
      <c r="J1409" s="88">
        <f>-IFERROR(VLOOKUP(C1409,SIRTAC!$A$16:$H$1288,8,0),0)</f>
        <v>-55</v>
      </c>
      <c r="K1409" s="88">
        <f>-IFERROR(VLOOKUP(C1409,Gastos!$A$9:$J$1281,10,0),0)</f>
        <v>-53.35</v>
      </c>
      <c r="L1409" s="87">
        <f>-IFERROR(VLOOKUP(C1409,IDC!$A$25:$H$1532,8,0),0)</f>
        <v>-33</v>
      </c>
      <c r="M1409" s="122">
        <f t="shared" si="200"/>
        <v>5500</v>
      </c>
      <c r="N1409"/>
      <c r="P1409" s="35">
        <f t="shared" si="198"/>
        <v>-5500</v>
      </c>
      <c r="Q1409" s="66">
        <f t="shared" si="199"/>
        <v>0</v>
      </c>
    </row>
    <row r="1410" spans="1:17" hidden="1">
      <c r="A1410" s="1" t="s">
        <v>1481</v>
      </c>
      <c r="B1410" s="1" t="s">
        <v>15</v>
      </c>
      <c r="C1410" s="91">
        <v>127233936785</v>
      </c>
      <c r="D1410" s="3">
        <v>8502.2999999999993</v>
      </c>
      <c r="E1410" s="3">
        <v>10012259.699999999</v>
      </c>
      <c r="F1410" s="35" t="s">
        <v>2750</v>
      </c>
      <c r="G1410"/>
      <c r="H1410"/>
      <c r="I1410" s="27">
        <f>-IFERROR(VLOOKUP(C1410,SIRCUPA!$A$21:$H$155,8,0),0)</f>
        <v>0</v>
      </c>
      <c r="J1410" s="88">
        <f>-IFERROR(VLOOKUP(C1410,SIRTAC!$A$16:$H$1288,8,0),0)</f>
        <v>-90</v>
      </c>
      <c r="K1410" s="88">
        <f>-IFERROR(VLOOKUP(C1410,Gastos!$A$9:$J$1281,10,0),0)</f>
        <v>-353.7</v>
      </c>
      <c r="L1410" s="87">
        <f>-IFERROR(VLOOKUP(C1410,IDC!$A$25:$H$1532,8,0),0)</f>
        <v>-54</v>
      </c>
      <c r="M1410" s="122">
        <f t="shared" si="200"/>
        <v>9000</v>
      </c>
      <c r="N1410"/>
      <c r="P1410" s="35">
        <f t="shared" si="198"/>
        <v>-9000</v>
      </c>
      <c r="Q1410" s="66">
        <f t="shared" si="199"/>
        <v>0</v>
      </c>
    </row>
    <row r="1411" spans="1:17" hidden="1">
      <c r="A1411" s="1" t="s">
        <v>1481</v>
      </c>
      <c r="B1411" s="1" t="s">
        <v>15</v>
      </c>
      <c r="C1411" s="91">
        <v>127234256045</v>
      </c>
      <c r="D1411" s="3">
        <v>5350.02</v>
      </c>
      <c r="E1411" s="3">
        <v>10017609.720000001</v>
      </c>
      <c r="F1411" s="35" t="s">
        <v>2750</v>
      </c>
      <c r="G1411"/>
      <c r="H1411"/>
      <c r="I1411" s="27">
        <f>-IFERROR(VLOOKUP(C1411,SIRCUPA!$A$21:$H$155,8,0),0)</f>
        <v>0</v>
      </c>
      <c r="J1411" s="88">
        <f>-IFERROR(VLOOKUP(C1411,SIRTAC!$A$16:$H$1288,8,0),0)</f>
        <v>-57</v>
      </c>
      <c r="K1411" s="88">
        <f>-IFERROR(VLOOKUP(C1411,Gastos!$A$9:$J$1281,10,0),0)</f>
        <v>-258.77999999999997</v>
      </c>
      <c r="L1411" s="87">
        <f>-IFERROR(VLOOKUP(C1411,IDC!$A$25:$H$1532,8,0),0)</f>
        <v>-34.200000000000003</v>
      </c>
      <c r="M1411" s="122">
        <f t="shared" si="200"/>
        <v>5700</v>
      </c>
      <c r="N1411"/>
      <c r="P1411" s="35">
        <f t="shared" si="198"/>
        <v>-5700</v>
      </c>
      <c r="Q1411" s="66">
        <f t="shared" si="199"/>
        <v>0</v>
      </c>
    </row>
    <row r="1412" spans="1:17" hidden="1">
      <c r="A1412" s="1" t="s">
        <v>1481</v>
      </c>
      <c r="B1412" s="1" t="s">
        <v>15</v>
      </c>
      <c r="C1412" s="91">
        <v>127796618374</v>
      </c>
      <c r="D1412" s="3">
        <v>7209.82</v>
      </c>
      <c r="E1412" s="3">
        <v>10024819.539999999</v>
      </c>
      <c r="F1412" s="35" t="s">
        <v>2750</v>
      </c>
      <c r="G1412"/>
      <c r="H1412"/>
      <c r="I1412" s="27">
        <f>-IFERROR(VLOOKUP(C1412,SIRCUPA!$A$21:$H$155,8,0),0)</f>
        <v>0</v>
      </c>
      <c r="J1412" s="88">
        <f>-IFERROR(VLOOKUP(C1412,SIRTAC!$A$16:$H$1288,8,0),0)</f>
        <v>-74</v>
      </c>
      <c r="K1412" s="88">
        <f>-IFERROR(VLOOKUP(C1412,Gastos!$A$9:$J$1281,10,0),0)</f>
        <v>-71.78</v>
      </c>
      <c r="L1412" s="87">
        <f>-IFERROR(VLOOKUP(C1412,IDC!$A$25:$H$1532,8,0),0)</f>
        <v>-44.4</v>
      </c>
      <c r="M1412" s="122">
        <f t="shared" si="200"/>
        <v>7399.9999999999991</v>
      </c>
      <c r="N1412"/>
      <c r="P1412" s="35">
        <f t="shared" si="198"/>
        <v>-7400</v>
      </c>
      <c r="Q1412" s="66">
        <f t="shared" si="199"/>
        <v>0</v>
      </c>
    </row>
    <row r="1413" spans="1:17" hidden="1">
      <c r="A1413" s="1" t="s">
        <v>1481</v>
      </c>
      <c r="B1413" s="1" t="s">
        <v>15</v>
      </c>
      <c r="C1413" s="91">
        <v>127234704203</v>
      </c>
      <c r="D1413" s="3">
        <v>26695.82</v>
      </c>
      <c r="E1413" s="3">
        <v>10051515.359999999</v>
      </c>
      <c r="F1413" s="35" t="s">
        <v>2750</v>
      </c>
      <c r="G1413"/>
      <c r="H1413"/>
      <c r="I1413" s="27">
        <f>-IFERROR(VLOOKUP(C1413,SIRCUPA!$A$21:$H$155,8,0),0)</f>
        <v>0</v>
      </c>
      <c r="J1413" s="88">
        <f>-IFERROR(VLOOKUP(C1413,SIRTAC!$A$16:$H$1288,8,0),0)</f>
        <v>-274</v>
      </c>
      <c r="K1413" s="88">
        <f>-IFERROR(VLOOKUP(C1413,Gastos!$A$9:$J$1281,10,0),0)</f>
        <v>-265.77999999999997</v>
      </c>
      <c r="L1413" s="87">
        <f>-IFERROR(VLOOKUP(C1413,IDC!$A$25:$H$1532,8,0),0)</f>
        <v>-164.4</v>
      </c>
      <c r="M1413" s="122">
        <f t="shared" si="200"/>
        <v>27400</v>
      </c>
      <c r="N1413"/>
      <c r="P1413" s="35">
        <f t="shared" si="198"/>
        <v>-27400</v>
      </c>
      <c r="Q1413" s="66">
        <f t="shared" si="199"/>
        <v>0</v>
      </c>
    </row>
    <row r="1414" spans="1:17" hidden="1">
      <c r="A1414" s="1" t="s">
        <v>1481</v>
      </c>
      <c r="B1414" s="1" t="s">
        <v>1543</v>
      </c>
      <c r="C1414" s="91">
        <v>127234688415</v>
      </c>
      <c r="D1414" s="3">
        <v>2682.46</v>
      </c>
      <c r="E1414" s="3">
        <v>10054197.82</v>
      </c>
      <c r="F1414" s="2" t="s">
        <v>2750</v>
      </c>
      <c r="G1414"/>
      <c r="H1414"/>
      <c r="I1414" s="27">
        <f>-IFERROR(VLOOKUP(C1414,SIRCUPA!$A$21:$H$155,8,0),0)</f>
        <v>-41.1</v>
      </c>
      <c r="J1414" s="88">
        <f>-IFERROR(VLOOKUP(C1414,SIRTAC!$A$16:$H$1288,8,0),0)</f>
        <v>0</v>
      </c>
      <c r="K1414" s="88">
        <f>-IFERROR(VLOOKUP(C1414,Gastos!$A$9:$J$1281,10,0),0)</f>
        <v>0</v>
      </c>
      <c r="L1414" s="87">
        <f>-IFERROR(VLOOKUP(C1414,IDC!$A$25:$H$1532,8,0),0)</f>
        <v>-16.440000000000001</v>
      </c>
      <c r="M1414" s="122">
        <f t="shared" si="200"/>
        <v>2740</v>
      </c>
      <c r="N1414"/>
      <c r="P1414" s="35">
        <f t="shared" si="198"/>
        <v>-2740</v>
      </c>
      <c r="Q1414" s="66">
        <f t="shared" si="199"/>
        <v>0</v>
      </c>
    </row>
    <row r="1415" spans="1:17" hidden="1">
      <c r="A1415" s="1" t="s">
        <v>1481</v>
      </c>
      <c r="B1415" s="1" t="s">
        <v>15</v>
      </c>
      <c r="C1415" s="91">
        <v>127799026568</v>
      </c>
      <c r="D1415" s="3">
        <v>8378.98</v>
      </c>
      <c r="E1415" s="3">
        <v>10062576.800000001</v>
      </c>
      <c r="F1415" s="35" t="s">
        <v>2750</v>
      </c>
      <c r="G1415"/>
      <c r="H1415"/>
      <c r="I1415" s="27">
        <f>-IFERROR(VLOOKUP(C1415,SIRCUPA!$A$21:$H$155,8,0),0)</f>
        <v>0</v>
      </c>
      <c r="J1415" s="88">
        <f>-IFERROR(VLOOKUP(C1415,SIRTAC!$A$16:$H$1288,8,0),0)</f>
        <v>-86</v>
      </c>
      <c r="K1415" s="88">
        <f>-IFERROR(VLOOKUP(C1415,Gastos!$A$9:$J$1281,10,0),0)</f>
        <v>-83.42</v>
      </c>
      <c r="L1415" s="87">
        <f>-IFERROR(VLOOKUP(C1415,IDC!$A$25:$H$1532,8,0),0)</f>
        <v>-51.6</v>
      </c>
      <c r="M1415" s="122">
        <f t="shared" si="200"/>
        <v>8600</v>
      </c>
      <c r="N1415"/>
      <c r="P1415" s="35">
        <f t="shared" si="198"/>
        <v>-8600</v>
      </c>
      <c r="Q1415" s="66">
        <f t="shared" si="199"/>
        <v>0</v>
      </c>
    </row>
    <row r="1416" spans="1:17" hidden="1">
      <c r="A1416" s="1" t="s">
        <v>1481</v>
      </c>
      <c r="B1416" s="1" t="s">
        <v>15</v>
      </c>
      <c r="C1416" s="91">
        <v>127238351915</v>
      </c>
      <c r="D1416" s="3">
        <v>33126.199999999997</v>
      </c>
      <c r="E1416" s="3">
        <v>10095703</v>
      </c>
      <c r="F1416" s="35" t="s">
        <v>2750</v>
      </c>
      <c r="G1416"/>
      <c r="H1416"/>
      <c r="I1416" s="27">
        <f>-IFERROR(VLOOKUP(C1416,SIRCUPA!$A$21:$H$155,8,0),0)</f>
        <v>0</v>
      </c>
      <c r="J1416" s="88">
        <f>-IFERROR(VLOOKUP(C1416,SIRTAC!$A$16:$H$1288,8,0),0)</f>
        <v>-340</v>
      </c>
      <c r="K1416" s="88">
        <f>-IFERROR(VLOOKUP(C1416,Gastos!$A$9:$J$1281,10,0),0)</f>
        <v>-329.8</v>
      </c>
      <c r="L1416" s="87">
        <f>-IFERROR(VLOOKUP(C1416,IDC!$A$25:$H$1532,8,0),0)</f>
        <v>-204</v>
      </c>
      <c r="M1416" s="122">
        <f t="shared" si="200"/>
        <v>34000</v>
      </c>
      <c r="N1416"/>
      <c r="P1416" s="35">
        <f t="shared" si="198"/>
        <v>-34000</v>
      </c>
      <c r="Q1416" s="66">
        <f t="shared" si="199"/>
        <v>0</v>
      </c>
    </row>
    <row r="1417" spans="1:17" hidden="1">
      <c r="A1417" s="1" t="s">
        <v>1481</v>
      </c>
      <c r="B1417" s="1" t="s">
        <v>15</v>
      </c>
      <c r="C1417" s="91">
        <v>127238466519</v>
      </c>
      <c r="D1417" s="3">
        <v>30868.6</v>
      </c>
      <c r="E1417" s="3">
        <v>10126571.6</v>
      </c>
      <c r="F1417" s="35" t="s">
        <v>2750</v>
      </c>
      <c r="G1417"/>
      <c r="H1417"/>
      <c r="I1417" s="27">
        <f>-IFERROR(VLOOKUP(C1417,SIRCUPA!$A$21:$H$155,8,0),0)</f>
        <v>0</v>
      </c>
      <c r="J1417" s="88">
        <f>-IFERROR(VLOOKUP(C1417,SIRTAC!$A$16:$H$1288,8,0),0)</f>
        <v>-340</v>
      </c>
      <c r="K1417" s="88">
        <f>-IFERROR(VLOOKUP(C1417,Gastos!$A$9:$J$1281,10,0),0)</f>
        <v>-2587.4</v>
      </c>
      <c r="L1417" s="87">
        <f>-IFERROR(VLOOKUP(C1417,IDC!$A$25:$H$1532,8,0),0)</f>
        <v>-204</v>
      </c>
      <c r="M1417" s="122">
        <f t="shared" si="200"/>
        <v>34000</v>
      </c>
      <c r="N1417"/>
      <c r="P1417" s="35">
        <f t="shared" si="198"/>
        <v>-34000</v>
      </c>
      <c r="Q1417" s="66">
        <f t="shared" si="199"/>
        <v>0</v>
      </c>
    </row>
    <row r="1418" spans="1:17" hidden="1">
      <c r="A1418" s="1" t="s">
        <v>1481</v>
      </c>
      <c r="B1418" s="1" t="s">
        <v>15</v>
      </c>
      <c r="C1418" s="91">
        <v>127800943318</v>
      </c>
      <c r="D1418" s="3">
        <v>36633.68</v>
      </c>
      <c r="E1418" s="3">
        <v>10163205.279999999</v>
      </c>
      <c r="F1418" s="35" t="s">
        <v>2750</v>
      </c>
      <c r="G1418"/>
      <c r="H1418"/>
      <c r="I1418" s="27">
        <f>-IFERROR(VLOOKUP(C1418,SIRCUPA!$A$21:$H$155,8,0),0)</f>
        <v>0</v>
      </c>
      <c r="J1418" s="88">
        <f>-IFERROR(VLOOKUP(C1418,SIRTAC!$A$16:$H$1288,8,0),0)</f>
        <v>-376</v>
      </c>
      <c r="K1418" s="88">
        <f>-IFERROR(VLOOKUP(C1418,Gastos!$A$9:$J$1281,10,0),0)</f>
        <v>-364.72</v>
      </c>
      <c r="L1418" s="87">
        <f>-IFERROR(VLOOKUP(C1418,IDC!$A$25:$H$1532,8,0),0)</f>
        <v>-225.6</v>
      </c>
      <c r="M1418" s="122">
        <f t="shared" si="200"/>
        <v>37600</v>
      </c>
      <c r="N1418"/>
      <c r="P1418" s="35">
        <f t="shared" si="198"/>
        <v>-37600</v>
      </c>
      <c r="Q1418" s="66">
        <f t="shared" si="199"/>
        <v>0</v>
      </c>
    </row>
    <row r="1419" spans="1:17" hidden="1">
      <c r="A1419" s="1" t="s">
        <v>1481</v>
      </c>
      <c r="B1419" s="1" t="s">
        <v>15</v>
      </c>
      <c r="C1419" s="91">
        <v>127239227751</v>
      </c>
      <c r="D1419" s="3">
        <v>21917.040000000001</v>
      </c>
      <c r="E1419" s="3">
        <v>10185122.32</v>
      </c>
      <c r="F1419" s="35" t="s">
        <v>2750</v>
      </c>
      <c r="G1419"/>
      <c r="H1419"/>
      <c r="I1419" s="27">
        <f>-IFERROR(VLOOKUP(C1419,SIRCUPA!$A$21:$H$155,8,0),0)</f>
        <v>0</v>
      </c>
      <c r="J1419" s="88">
        <f>-IFERROR(VLOOKUP(C1419,SIRTAC!$A$16:$H$1288,8,0),0)</f>
        <v>-232</v>
      </c>
      <c r="K1419" s="88">
        <f>-IFERROR(VLOOKUP(C1419,Gastos!$A$9:$J$1281,10,0),0)</f>
        <v>-911.76</v>
      </c>
      <c r="L1419" s="87">
        <f>-IFERROR(VLOOKUP(C1419,IDC!$A$25:$H$1532,8,0),0)</f>
        <v>-139.19999999999999</v>
      </c>
      <c r="M1419" s="122">
        <f t="shared" si="200"/>
        <v>23200</v>
      </c>
      <c r="N1419"/>
      <c r="P1419" s="35">
        <f t="shared" si="198"/>
        <v>-23199.999999999996</v>
      </c>
      <c r="Q1419" s="66">
        <f t="shared" si="199"/>
        <v>0</v>
      </c>
    </row>
    <row r="1420" spans="1:17" hidden="1">
      <c r="A1420" s="1" t="s">
        <v>1481</v>
      </c>
      <c r="B1420" s="1" t="s">
        <v>15</v>
      </c>
      <c r="C1420" s="91">
        <v>127239351455</v>
      </c>
      <c r="D1420" s="3">
        <v>22214.04</v>
      </c>
      <c r="E1420" s="3">
        <v>10207336.359999999</v>
      </c>
      <c r="F1420" s="35" t="s">
        <v>2750</v>
      </c>
      <c r="G1420"/>
      <c r="H1420"/>
      <c r="I1420" s="27">
        <f>-IFERROR(VLOOKUP(C1420,SIRCUPA!$A$21:$H$155,8,0),0)</f>
        <v>0</v>
      </c>
      <c r="J1420" s="88">
        <f>-IFERROR(VLOOKUP(C1420,SIRTAC!$A$16:$H$1288,8,0),0)</f>
        <v>-228</v>
      </c>
      <c r="K1420" s="88">
        <f>-IFERROR(VLOOKUP(C1420,Gastos!$A$9:$J$1281,10,0),0)</f>
        <v>-221.16</v>
      </c>
      <c r="L1420" s="87">
        <f>-IFERROR(VLOOKUP(C1420,IDC!$A$25:$H$1532,8,0),0)</f>
        <v>-136.80000000000001</v>
      </c>
      <c r="M1420" s="122">
        <f t="shared" si="200"/>
        <v>22800</v>
      </c>
      <c r="N1420"/>
      <c r="P1420" s="35">
        <f t="shared" si="198"/>
        <v>-22800</v>
      </c>
      <c r="Q1420" s="66">
        <f t="shared" si="199"/>
        <v>0</v>
      </c>
    </row>
    <row r="1421" spans="1:17" hidden="1">
      <c r="A1421" s="1" t="s">
        <v>1481</v>
      </c>
      <c r="B1421" s="1" t="s">
        <v>15</v>
      </c>
      <c r="C1421" s="91">
        <v>127239518551</v>
      </c>
      <c r="D1421" s="3">
        <v>22788.29</v>
      </c>
      <c r="E1421" s="3">
        <v>10230124.65</v>
      </c>
      <c r="F1421" s="35" t="s">
        <v>2750</v>
      </c>
      <c r="G1421"/>
      <c r="H1421"/>
      <c r="I1421" s="27">
        <f>-IFERROR(VLOOKUP(C1421,SIRCUPA!$A$21:$H$155,8,0),0)</f>
        <v>0</v>
      </c>
      <c r="J1421" s="88">
        <f>-IFERROR(VLOOKUP(C1421,SIRTAC!$A$16:$H$1288,8,0),0)</f>
        <v>-251</v>
      </c>
      <c r="K1421" s="88">
        <f>-IFERROR(VLOOKUP(C1421,Gastos!$A$9:$J$1281,10,0),0)</f>
        <v>-1910.11</v>
      </c>
      <c r="L1421" s="87">
        <f>-IFERROR(VLOOKUP(C1421,IDC!$A$25:$H$1532,8,0),0)</f>
        <v>-150.6</v>
      </c>
      <c r="M1421" s="122">
        <f t="shared" si="200"/>
        <v>25100</v>
      </c>
      <c r="N1421"/>
      <c r="P1421" s="35">
        <f t="shared" si="198"/>
        <v>-25100</v>
      </c>
      <c r="Q1421" s="66">
        <f t="shared" si="199"/>
        <v>0</v>
      </c>
    </row>
    <row r="1422" spans="1:17" hidden="1">
      <c r="A1422" s="1" t="s">
        <v>1481</v>
      </c>
      <c r="B1422" s="1" t="s">
        <v>15</v>
      </c>
      <c r="C1422" s="91">
        <v>127239890865</v>
      </c>
      <c r="D1422" s="3">
        <v>29234.38</v>
      </c>
      <c r="E1422" s="3">
        <v>10259359.029999999</v>
      </c>
      <c r="F1422" s="35" t="s">
        <v>2750</v>
      </c>
      <c r="G1422"/>
      <c r="H1422"/>
      <c r="I1422" s="27">
        <f>-IFERROR(VLOOKUP(C1422,SIRCUPA!$A$21:$H$155,8,0),0)</f>
        <v>0</v>
      </c>
      <c r="J1422" s="88">
        <f>-IFERROR(VLOOKUP(C1422,SIRTAC!$A$16:$H$1288,8,0),0)</f>
        <v>-322</v>
      </c>
      <c r="K1422" s="88">
        <f>-IFERROR(VLOOKUP(C1422,Gastos!$A$9:$J$1281,10,0),0)</f>
        <v>-2450.42</v>
      </c>
      <c r="L1422" s="87">
        <f>-IFERROR(VLOOKUP(C1422,IDC!$A$25:$H$1532,8,0),0)</f>
        <v>-193.2</v>
      </c>
      <c r="M1422" s="122">
        <f t="shared" si="200"/>
        <v>32200.000000000004</v>
      </c>
      <c r="N1422"/>
      <c r="P1422" s="35">
        <f t="shared" si="198"/>
        <v>-32199.999999999996</v>
      </c>
      <c r="Q1422" s="66">
        <f t="shared" si="199"/>
        <v>0</v>
      </c>
    </row>
    <row r="1423" spans="1:17" hidden="1">
      <c r="A1423" s="1" t="s">
        <v>1481</v>
      </c>
      <c r="B1423" s="1" t="s">
        <v>15</v>
      </c>
      <c r="C1423" s="91">
        <v>127802564664</v>
      </c>
      <c r="D1423" s="3">
        <v>7172.41</v>
      </c>
      <c r="E1423" s="3">
        <v>10266531.439999999</v>
      </c>
      <c r="F1423" s="35" t="s">
        <v>2750</v>
      </c>
      <c r="G1423"/>
      <c r="H1423"/>
      <c r="I1423" s="27">
        <f>-IFERROR(VLOOKUP(C1423,SIRCUPA!$A$21:$H$155,8,0),0)</f>
        <v>0</v>
      </c>
      <c r="J1423" s="88">
        <f>-IFERROR(VLOOKUP(C1423,SIRTAC!$A$16:$H$1288,8,0),0)</f>
        <v>-79</v>
      </c>
      <c r="K1423" s="88">
        <f>-IFERROR(VLOOKUP(C1423,Gastos!$A$9:$J$1281,10,0),0)</f>
        <v>-601.19000000000005</v>
      </c>
      <c r="L1423" s="87">
        <f>-IFERROR(VLOOKUP(C1423,IDC!$A$25:$H$1532,8,0),0)</f>
        <v>-47.4</v>
      </c>
      <c r="M1423" s="122">
        <f t="shared" si="200"/>
        <v>7900</v>
      </c>
      <c r="N1423"/>
      <c r="P1423" s="35">
        <f t="shared" si="198"/>
        <v>-7900</v>
      </c>
      <c r="Q1423" s="66">
        <f t="shared" si="199"/>
        <v>0</v>
      </c>
    </row>
    <row r="1424" spans="1:17" hidden="1">
      <c r="A1424" s="1" t="s">
        <v>1481</v>
      </c>
      <c r="B1424" s="1" t="s">
        <v>15</v>
      </c>
      <c r="C1424" s="91">
        <v>127803309066</v>
      </c>
      <c r="D1424" s="3">
        <v>72195.63</v>
      </c>
      <c r="E1424" s="3">
        <v>10338727.07</v>
      </c>
      <c r="F1424" s="35" t="s">
        <v>2750</v>
      </c>
      <c r="G1424"/>
      <c r="H1424"/>
      <c r="I1424" s="27">
        <f>-IFERROR(VLOOKUP(C1424,SIRCUPA!$A$21:$H$155,8,0),0)</f>
        <v>0</v>
      </c>
      <c r="J1424" s="88">
        <f>-IFERROR(VLOOKUP(C1424,SIRTAC!$A$16:$H$1288,8,0),0)</f>
        <v>-741</v>
      </c>
      <c r="K1424" s="88">
        <f>-IFERROR(VLOOKUP(C1424,Gastos!$A$9:$J$1281,10,0),0)</f>
        <v>-718.77</v>
      </c>
      <c r="L1424" s="87">
        <f>-IFERROR(VLOOKUP(C1424,IDC!$A$25:$H$1532,8,0),0)</f>
        <v>-444.6</v>
      </c>
      <c r="M1424" s="122">
        <f t="shared" si="200"/>
        <v>74100.000000000015</v>
      </c>
      <c r="N1424"/>
      <c r="P1424" s="35">
        <f t="shared" si="198"/>
        <v>-74100</v>
      </c>
      <c r="Q1424" s="66">
        <f t="shared" si="199"/>
        <v>0</v>
      </c>
    </row>
    <row r="1425" spans="1:17" hidden="1">
      <c r="A1425" s="1" t="s">
        <v>1481</v>
      </c>
      <c r="B1425" s="1" t="s">
        <v>15</v>
      </c>
      <c r="C1425" s="91">
        <v>127241451265</v>
      </c>
      <c r="D1425" s="3">
        <v>14419.64</v>
      </c>
      <c r="E1425" s="3">
        <v>10353146.710000001</v>
      </c>
      <c r="F1425" s="35" t="s">
        <v>2750</v>
      </c>
      <c r="G1425"/>
      <c r="H1425"/>
      <c r="I1425" s="27">
        <f>-IFERROR(VLOOKUP(C1425,SIRCUPA!$A$21:$H$155,8,0),0)</f>
        <v>0</v>
      </c>
      <c r="J1425" s="88">
        <f>-IFERROR(VLOOKUP(C1425,SIRTAC!$A$16:$H$1288,8,0),0)</f>
        <v>-148</v>
      </c>
      <c r="K1425" s="88">
        <f>-IFERROR(VLOOKUP(C1425,Gastos!$A$9:$J$1281,10,0),0)</f>
        <v>-143.56</v>
      </c>
      <c r="L1425" s="87">
        <f>-IFERROR(VLOOKUP(C1425,IDC!$A$25:$H$1532,8,0),0)</f>
        <v>-88.8</v>
      </c>
      <c r="M1425" s="122">
        <f t="shared" si="200"/>
        <v>14799.999999999998</v>
      </c>
      <c r="N1425"/>
      <c r="P1425" s="35">
        <f t="shared" si="198"/>
        <v>-14800</v>
      </c>
      <c r="Q1425" s="66">
        <f t="shared" si="199"/>
        <v>0</v>
      </c>
    </row>
    <row r="1426" spans="1:17" hidden="1">
      <c r="A1426" s="1" t="s">
        <v>1481</v>
      </c>
      <c r="B1426" s="1" t="s">
        <v>1556</v>
      </c>
      <c r="C1426" s="91">
        <v>127803560186</v>
      </c>
      <c r="D1426" s="2">
        <v>724.46</v>
      </c>
      <c r="E1426" s="3">
        <v>10353871.17</v>
      </c>
      <c r="F1426" s="2" t="s">
        <v>2750</v>
      </c>
      <c r="G1426"/>
      <c r="H1426"/>
      <c r="I1426" s="27">
        <f>-IFERROR(VLOOKUP(C1426,SIRCUPA!$A$21:$H$155,8,0),0)</f>
        <v>-11.1</v>
      </c>
      <c r="J1426" s="88">
        <f>-IFERROR(VLOOKUP(C1426,SIRTAC!$A$16:$H$1288,8,0),0)</f>
        <v>0</v>
      </c>
      <c r="K1426" s="88">
        <f>-IFERROR(VLOOKUP(C1426,Gastos!$A$9:$J$1281,10,0),0)</f>
        <v>0</v>
      </c>
      <c r="L1426" s="87">
        <f>-IFERROR(VLOOKUP(C1426,IDC!$A$25:$H$1532,8,0),0)</f>
        <v>-4.4400000000000004</v>
      </c>
      <c r="M1426" s="122">
        <f t="shared" si="200"/>
        <v>740.00000000000011</v>
      </c>
      <c r="N1426"/>
      <c r="P1426" s="35">
        <f t="shared" si="198"/>
        <v>-740</v>
      </c>
      <c r="Q1426" s="66">
        <f t="shared" si="199"/>
        <v>0</v>
      </c>
    </row>
    <row r="1427" spans="1:17" hidden="1">
      <c r="A1427" s="1" t="s">
        <v>1481</v>
      </c>
      <c r="B1427" s="1" t="s">
        <v>15</v>
      </c>
      <c r="C1427" s="91">
        <v>127803525440</v>
      </c>
      <c r="D1427" s="3">
        <v>8281.5499999999993</v>
      </c>
      <c r="E1427" s="3">
        <v>10362152.720000001</v>
      </c>
      <c r="F1427" s="35" t="s">
        <v>2750</v>
      </c>
      <c r="G1427"/>
      <c r="H1427"/>
      <c r="I1427" s="27">
        <f>-IFERROR(VLOOKUP(C1427,SIRCUPA!$A$21:$H$155,8,0),0)</f>
        <v>0</v>
      </c>
      <c r="J1427" s="88">
        <f>-IFERROR(VLOOKUP(C1427,SIRTAC!$A$16:$H$1288,8,0),0)</f>
        <v>-85</v>
      </c>
      <c r="K1427" s="88">
        <f>-IFERROR(VLOOKUP(C1427,Gastos!$A$9:$J$1281,10,0),0)</f>
        <v>-82.45</v>
      </c>
      <c r="L1427" s="87">
        <f>-IFERROR(VLOOKUP(C1427,IDC!$A$25:$H$1532,8,0),0)</f>
        <v>-51</v>
      </c>
      <c r="M1427" s="122">
        <f t="shared" ref="M1427:M1458" si="201">+D1427-I1427-J1427-K1427-L1427</f>
        <v>8500</v>
      </c>
      <c r="N1427"/>
      <c r="P1427" s="35">
        <f t="shared" ref="P1427:P1490" si="202">+L1427/0.006</f>
        <v>-8500</v>
      </c>
      <c r="Q1427" s="66">
        <f t="shared" ref="Q1427:Q1490" si="203">+M1427+P1427</f>
        <v>0</v>
      </c>
    </row>
    <row r="1428" spans="1:17" hidden="1">
      <c r="A1428" s="1" t="s">
        <v>1481</v>
      </c>
      <c r="B1428" s="1" t="s">
        <v>1559</v>
      </c>
      <c r="C1428" s="91">
        <v>127803499794</v>
      </c>
      <c r="D1428" s="2">
        <v>416.07</v>
      </c>
      <c r="E1428" s="3">
        <v>10362568.789999999</v>
      </c>
      <c r="F1428" s="2" t="s">
        <v>2750</v>
      </c>
      <c r="G1428"/>
      <c r="H1428"/>
      <c r="I1428" s="27">
        <f>-IFERROR(VLOOKUP(C1428,SIRCUPA!$A$21:$H$155,8,0),0)</f>
        <v>-6.38</v>
      </c>
      <c r="J1428" s="88">
        <f>-IFERROR(VLOOKUP(C1428,SIRTAC!$A$16:$H$1288,8,0),0)</f>
        <v>0</v>
      </c>
      <c r="K1428" s="88">
        <f>-IFERROR(VLOOKUP(C1428,Gastos!$A$9:$J$1281,10,0),0)</f>
        <v>0</v>
      </c>
      <c r="L1428" s="87">
        <f>-IFERROR(VLOOKUP(C1428,IDC!$A$25:$H$1532,8,0),0)</f>
        <v>-2.5499999999999998</v>
      </c>
      <c r="M1428" s="122">
        <f t="shared" si="201"/>
        <v>425</v>
      </c>
      <c r="N1428"/>
      <c r="P1428" s="35">
        <f t="shared" si="202"/>
        <v>-424.99999999999994</v>
      </c>
      <c r="Q1428" s="66">
        <f t="shared" si="203"/>
        <v>0</v>
      </c>
    </row>
    <row r="1429" spans="1:17" hidden="1">
      <c r="A1429" s="1" t="s">
        <v>1481</v>
      </c>
      <c r="B1429" s="1" t="s">
        <v>15</v>
      </c>
      <c r="C1429" s="91">
        <v>127242722135</v>
      </c>
      <c r="D1429" s="3">
        <v>13347.91</v>
      </c>
      <c r="E1429" s="3">
        <v>10375916.699999999</v>
      </c>
      <c r="F1429" s="35" t="s">
        <v>2750</v>
      </c>
      <c r="G1429"/>
      <c r="H1429"/>
      <c r="I1429" s="27">
        <f>-IFERROR(VLOOKUP(C1429,SIRCUPA!$A$21:$H$155,8,0),0)</f>
        <v>0</v>
      </c>
      <c r="J1429" s="88">
        <f>-IFERROR(VLOOKUP(C1429,SIRTAC!$A$16:$H$1288,8,0),0)</f>
        <v>-137</v>
      </c>
      <c r="K1429" s="88">
        <f>-IFERROR(VLOOKUP(C1429,Gastos!$A$9:$J$1281,10,0),0)</f>
        <v>-132.88999999999999</v>
      </c>
      <c r="L1429" s="87">
        <f>-IFERROR(VLOOKUP(C1429,IDC!$A$25:$H$1532,8,0),0)</f>
        <v>-82.2</v>
      </c>
      <c r="M1429" s="122">
        <f t="shared" si="201"/>
        <v>13700</v>
      </c>
      <c r="N1429"/>
      <c r="P1429" s="35">
        <f t="shared" si="202"/>
        <v>-13700</v>
      </c>
      <c r="Q1429" s="66">
        <f t="shared" si="203"/>
        <v>0</v>
      </c>
    </row>
    <row r="1430" spans="1:17" hidden="1">
      <c r="A1430" s="1" t="s">
        <v>1481</v>
      </c>
      <c r="B1430" s="1" t="s">
        <v>15</v>
      </c>
      <c r="C1430" s="91">
        <v>127242782269</v>
      </c>
      <c r="D1430" s="3">
        <v>35709.660000000003</v>
      </c>
      <c r="E1430" s="3">
        <v>10411626.359999999</v>
      </c>
      <c r="F1430" s="35" t="s">
        <v>2750</v>
      </c>
      <c r="G1430"/>
      <c r="H1430"/>
      <c r="I1430" s="27">
        <f>-IFERROR(VLOOKUP(C1430,SIRCUPA!$A$21:$H$155,8,0),0)</f>
        <v>0</v>
      </c>
      <c r="J1430" s="88">
        <f>-IFERROR(VLOOKUP(C1430,SIRTAC!$A$16:$H$1288,8,0),0)</f>
        <v>-378</v>
      </c>
      <c r="K1430" s="88">
        <f>-IFERROR(VLOOKUP(C1430,Gastos!$A$9:$J$1281,10,0),0)</f>
        <v>-1485.54</v>
      </c>
      <c r="L1430" s="87">
        <f>-IFERROR(VLOOKUP(C1430,IDC!$A$25:$H$1532,8,0),0)</f>
        <v>-226.8</v>
      </c>
      <c r="M1430" s="122">
        <f t="shared" si="201"/>
        <v>37800.000000000007</v>
      </c>
      <c r="N1430"/>
      <c r="P1430" s="35">
        <f t="shared" si="202"/>
        <v>-37800</v>
      </c>
      <c r="Q1430" s="66">
        <f t="shared" si="203"/>
        <v>0</v>
      </c>
    </row>
    <row r="1431" spans="1:17" hidden="1">
      <c r="A1431" s="1" t="s">
        <v>1481</v>
      </c>
      <c r="B1431" s="1" t="s">
        <v>15</v>
      </c>
      <c r="C1431" s="91">
        <v>127804919688</v>
      </c>
      <c r="D1431" s="3">
        <v>4384.3500000000004</v>
      </c>
      <c r="E1431" s="3">
        <v>10416010.710000001</v>
      </c>
      <c r="F1431" s="35" t="s">
        <v>2750</v>
      </c>
      <c r="G1431"/>
      <c r="H1431"/>
      <c r="I1431" s="27">
        <f>-IFERROR(VLOOKUP(C1431,SIRCUPA!$A$21:$H$155,8,0),0)</f>
        <v>0</v>
      </c>
      <c r="J1431" s="88">
        <f>-IFERROR(VLOOKUP(C1431,SIRTAC!$A$16:$H$1288,8,0),0)</f>
        <v>-45</v>
      </c>
      <c r="K1431" s="88">
        <f>-IFERROR(VLOOKUP(C1431,Gastos!$A$9:$J$1281,10,0),0)</f>
        <v>-43.65</v>
      </c>
      <c r="L1431" s="87">
        <f>-IFERROR(VLOOKUP(C1431,IDC!$A$25:$H$1532,8,0),0)</f>
        <v>-27</v>
      </c>
      <c r="M1431" s="122">
        <f t="shared" si="201"/>
        <v>4500</v>
      </c>
      <c r="N1431"/>
      <c r="P1431" s="35">
        <f t="shared" si="202"/>
        <v>-4500</v>
      </c>
      <c r="Q1431" s="66">
        <f t="shared" si="203"/>
        <v>0</v>
      </c>
    </row>
    <row r="1432" spans="1:17" hidden="1">
      <c r="A1432" s="1" t="s">
        <v>1481</v>
      </c>
      <c r="B1432" s="1" t="s">
        <v>1564</v>
      </c>
      <c r="C1432" s="91">
        <v>127242751977</v>
      </c>
      <c r="D1432" s="2">
        <v>220.27</v>
      </c>
      <c r="E1432" s="3">
        <v>10416230.98</v>
      </c>
      <c r="F1432" s="2" t="s">
        <v>2750</v>
      </c>
      <c r="G1432"/>
      <c r="H1432"/>
      <c r="I1432" s="27">
        <f>-IFERROR(VLOOKUP(C1432,SIRCUPA!$A$21:$H$155,8,0),0)</f>
        <v>-3.38</v>
      </c>
      <c r="J1432" s="88">
        <f>-IFERROR(VLOOKUP(C1432,SIRTAC!$A$16:$H$1288,8,0),0)</f>
        <v>0</v>
      </c>
      <c r="K1432" s="88">
        <f>-IFERROR(VLOOKUP(C1432,Gastos!$A$9:$J$1281,10,0),0)</f>
        <v>0</v>
      </c>
      <c r="L1432" s="87">
        <f>-IFERROR(VLOOKUP(C1432,IDC!$A$25:$H$1532,8,0),0)</f>
        <v>-1.35</v>
      </c>
      <c r="M1432" s="122">
        <f t="shared" si="201"/>
        <v>225</v>
      </c>
      <c r="N1432"/>
      <c r="P1432" s="35">
        <f t="shared" si="202"/>
        <v>-225</v>
      </c>
      <c r="Q1432" s="66">
        <f t="shared" si="203"/>
        <v>0</v>
      </c>
    </row>
    <row r="1433" spans="1:17" hidden="1">
      <c r="A1433" s="1" t="s">
        <v>1481</v>
      </c>
      <c r="B1433" s="1" t="s">
        <v>15</v>
      </c>
      <c r="C1433" s="91">
        <v>127242950363</v>
      </c>
      <c r="D1433" s="3">
        <v>35951.67</v>
      </c>
      <c r="E1433" s="3">
        <v>10452182.65</v>
      </c>
      <c r="F1433" s="35" t="s">
        <v>2750</v>
      </c>
      <c r="G1433"/>
      <c r="H1433"/>
      <c r="I1433" s="27">
        <f>-IFERROR(VLOOKUP(C1433,SIRCUPA!$A$21:$H$155,8,0),0)</f>
        <v>0</v>
      </c>
      <c r="J1433" s="88">
        <f>-IFERROR(VLOOKUP(C1433,SIRTAC!$A$16:$H$1288,8,0),0)</f>
        <v>-369</v>
      </c>
      <c r="K1433" s="88">
        <f>-IFERROR(VLOOKUP(C1433,Gastos!$A$9:$J$1281,10,0),0)</f>
        <v>-357.93</v>
      </c>
      <c r="L1433" s="87">
        <f>-IFERROR(VLOOKUP(C1433,IDC!$A$25:$H$1532,8,0),0)</f>
        <v>-221.4</v>
      </c>
      <c r="M1433" s="122">
        <f t="shared" si="201"/>
        <v>36900</v>
      </c>
      <c r="N1433"/>
      <c r="P1433" s="35">
        <f t="shared" si="202"/>
        <v>-36900</v>
      </c>
      <c r="Q1433" s="66">
        <f t="shared" si="203"/>
        <v>0</v>
      </c>
    </row>
    <row r="1434" spans="1:17" hidden="1">
      <c r="A1434" s="1" t="s">
        <v>1481</v>
      </c>
      <c r="B1434" s="1" t="s">
        <v>15</v>
      </c>
      <c r="C1434" s="91">
        <v>127243294621</v>
      </c>
      <c r="D1434" s="3">
        <v>50468.74</v>
      </c>
      <c r="E1434" s="3">
        <v>10502651.390000001</v>
      </c>
      <c r="F1434" s="35" t="s">
        <v>2750</v>
      </c>
      <c r="G1434"/>
      <c r="H1434"/>
      <c r="I1434" s="27">
        <f>-IFERROR(VLOOKUP(C1434,SIRCUPA!$A$21:$H$155,8,0),0)</f>
        <v>0</v>
      </c>
      <c r="J1434" s="88">
        <f>-IFERROR(VLOOKUP(C1434,SIRTAC!$A$16:$H$1288,8,0),0)</f>
        <v>-518</v>
      </c>
      <c r="K1434" s="88">
        <f>-IFERROR(VLOOKUP(C1434,Gastos!$A$9:$J$1281,10,0),0)</f>
        <v>-502.46</v>
      </c>
      <c r="L1434" s="87">
        <f>-IFERROR(VLOOKUP(C1434,IDC!$A$25:$H$1532,8,0),0)</f>
        <v>-310.8</v>
      </c>
      <c r="M1434" s="122">
        <f t="shared" si="201"/>
        <v>51800</v>
      </c>
      <c r="N1434"/>
      <c r="P1434" s="35">
        <f t="shared" si="202"/>
        <v>-51800</v>
      </c>
      <c r="Q1434" s="66">
        <f t="shared" si="203"/>
        <v>0</v>
      </c>
    </row>
    <row r="1435" spans="1:17" hidden="1">
      <c r="A1435" s="1" t="s">
        <v>1481</v>
      </c>
      <c r="B1435" s="1" t="s">
        <v>15</v>
      </c>
      <c r="C1435" s="91">
        <v>127243983795</v>
      </c>
      <c r="D1435" s="3">
        <v>17364.099999999999</v>
      </c>
      <c r="E1435" s="3">
        <v>10520015.49</v>
      </c>
      <c r="F1435" s="35" t="s">
        <v>2750</v>
      </c>
      <c r="G1435"/>
      <c r="H1435"/>
      <c r="I1435" s="27">
        <f>-IFERROR(VLOOKUP(C1435,SIRCUPA!$A$21:$H$155,8,0),0)</f>
        <v>0</v>
      </c>
      <c r="J1435" s="88">
        <f>-IFERROR(VLOOKUP(C1435,SIRTAC!$A$16:$H$1288,8,0),0)</f>
        <v>-185</v>
      </c>
      <c r="K1435" s="88">
        <f>-IFERROR(VLOOKUP(C1435,Gastos!$A$9:$J$1281,10,0),0)</f>
        <v>-839.9</v>
      </c>
      <c r="L1435" s="87">
        <f>-IFERROR(VLOOKUP(C1435,IDC!$A$25:$H$1532,8,0),0)</f>
        <v>-111</v>
      </c>
      <c r="M1435" s="122">
        <f t="shared" si="201"/>
        <v>18500</v>
      </c>
      <c r="N1435"/>
      <c r="P1435" s="35">
        <f t="shared" si="202"/>
        <v>-18500</v>
      </c>
      <c r="Q1435" s="66">
        <f t="shared" si="203"/>
        <v>0</v>
      </c>
    </row>
    <row r="1436" spans="1:17" hidden="1">
      <c r="A1436" s="1" t="s">
        <v>1481</v>
      </c>
      <c r="B1436" s="1" t="s">
        <v>15</v>
      </c>
      <c r="C1436" s="91">
        <v>127806240328</v>
      </c>
      <c r="D1436" s="3">
        <v>7463.13</v>
      </c>
      <c r="E1436" s="3">
        <v>10527478.619999999</v>
      </c>
      <c r="F1436" s="35" t="s">
        <v>2750</v>
      </c>
      <c r="G1436"/>
      <c r="H1436"/>
      <c r="I1436" s="27">
        <f>-IFERROR(VLOOKUP(C1436,SIRCUPA!$A$21:$H$155,8,0),0)</f>
        <v>0</v>
      </c>
      <c r="J1436" s="88">
        <f>-IFERROR(VLOOKUP(C1436,SIRTAC!$A$16:$H$1288,8,0),0)</f>
        <v>-79</v>
      </c>
      <c r="K1436" s="88">
        <f>-IFERROR(VLOOKUP(C1436,Gastos!$A$9:$J$1281,10,0),0)</f>
        <v>-310.47000000000003</v>
      </c>
      <c r="L1436" s="87">
        <f>-IFERROR(VLOOKUP(C1436,IDC!$A$25:$H$1532,8,0),0)</f>
        <v>-47.4</v>
      </c>
      <c r="M1436" s="122">
        <f t="shared" si="201"/>
        <v>7900</v>
      </c>
      <c r="N1436"/>
      <c r="P1436" s="35">
        <f t="shared" si="202"/>
        <v>-7900</v>
      </c>
      <c r="Q1436" s="66">
        <f t="shared" si="203"/>
        <v>0</v>
      </c>
    </row>
    <row r="1437" spans="1:17" hidden="1">
      <c r="A1437" s="1" t="s">
        <v>1481</v>
      </c>
      <c r="B1437" s="1" t="s">
        <v>15</v>
      </c>
      <c r="C1437" s="91">
        <v>127806286920</v>
      </c>
      <c r="D1437" s="3">
        <v>10327.58</v>
      </c>
      <c r="E1437" s="3">
        <v>10537806.199999999</v>
      </c>
      <c r="F1437" s="35" t="s">
        <v>2750</v>
      </c>
      <c r="G1437"/>
      <c r="H1437"/>
      <c r="I1437" s="27">
        <f>-IFERROR(VLOOKUP(C1437,SIRCUPA!$A$21:$H$155,8,0),0)</f>
        <v>0</v>
      </c>
      <c r="J1437" s="88">
        <f>-IFERROR(VLOOKUP(C1437,SIRTAC!$A$16:$H$1288,8,0),0)</f>
        <v>-106</v>
      </c>
      <c r="K1437" s="88">
        <f>-IFERROR(VLOOKUP(C1437,Gastos!$A$9:$J$1281,10,0),0)</f>
        <v>-102.82</v>
      </c>
      <c r="L1437" s="87">
        <f>-IFERROR(VLOOKUP(C1437,IDC!$A$25:$H$1532,8,0),0)</f>
        <v>-63.6</v>
      </c>
      <c r="M1437" s="122">
        <f t="shared" si="201"/>
        <v>10600</v>
      </c>
      <c r="N1437"/>
      <c r="P1437" s="35">
        <f t="shared" si="202"/>
        <v>-10600</v>
      </c>
      <c r="Q1437" s="66">
        <f t="shared" si="203"/>
        <v>0</v>
      </c>
    </row>
    <row r="1438" spans="1:17" hidden="1">
      <c r="A1438" s="1" t="s">
        <v>1481</v>
      </c>
      <c r="B1438" s="1" t="s">
        <v>15</v>
      </c>
      <c r="C1438" s="91">
        <v>127806313302</v>
      </c>
      <c r="D1438" s="3">
        <v>27774.18</v>
      </c>
      <c r="E1438" s="3">
        <v>10565580.380000001</v>
      </c>
      <c r="F1438" s="35" t="s">
        <v>2750</v>
      </c>
      <c r="G1438"/>
      <c r="H1438"/>
      <c r="I1438" s="27">
        <f>-IFERROR(VLOOKUP(C1438,SIRCUPA!$A$21:$H$155,8,0),0)</f>
        <v>0</v>
      </c>
      <c r="J1438" s="88">
        <f>-IFERROR(VLOOKUP(C1438,SIRTAC!$A$16:$H$1288,8,0),0)</f>
        <v>-294</v>
      </c>
      <c r="K1438" s="88">
        <f>-IFERROR(VLOOKUP(C1438,Gastos!$A$9:$J$1281,10,0),0)</f>
        <v>-1155.42</v>
      </c>
      <c r="L1438" s="87">
        <f>-IFERROR(VLOOKUP(C1438,IDC!$A$25:$H$1532,8,0),0)</f>
        <v>-176.4</v>
      </c>
      <c r="M1438" s="122">
        <f t="shared" si="201"/>
        <v>29400</v>
      </c>
      <c r="N1438"/>
      <c r="P1438" s="35">
        <f t="shared" si="202"/>
        <v>-29400</v>
      </c>
      <c r="Q1438" s="66">
        <f t="shared" si="203"/>
        <v>0</v>
      </c>
    </row>
    <row r="1439" spans="1:17" hidden="1">
      <c r="A1439" s="1" t="s">
        <v>1481</v>
      </c>
      <c r="B1439" s="1" t="s">
        <v>15</v>
      </c>
      <c r="C1439" s="91">
        <v>127244912805</v>
      </c>
      <c r="D1439" s="3">
        <v>9255.85</v>
      </c>
      <c r="E1439" s="3">
        <v>10574836.23</v>
      </c>
      <c r="F1439" s="35" t="s">
        <v>2750</v>
      </c>
      <c r="G1439"/>
      <c r="H1439"/>
      <c r="I1439" s="27">
        <f>-IFERROR(VLOOKUP(C1439,SIRCUPA!$A$21:$H$155,8,0),0)</f>
        <v>0</v>
      </c>
      <c r="J1439" s="88">
        <f>-IFERROR(VLOOKUP(C1439,SIRTAC!$A$16:$H$1288,8,0),0)</f>
        <v>-95</v>
      </c>
      <c r="K1439" s="88">
        <f>-IFERROR(VLOOKUP(C1439,Gastos!$A$9:$J$1281,10,0),0)</f>
        <v>-92.15</v>
      </c>
      <c r="L1439" s="87">
        <f>-IFERROR(VLOOKUP(C1439,IDC!$A$25:$H$1532,8,0),0)</f>
        <v>-57</v>
      </c>
      <c r="M1439" s="122">
        <f t="shared" si="201"/>
        <v>9500</v>
      </c>
      <c r="N1439"/>
      <c r="P1439" s="35">
        <f t="shared" si="202"/>
        <v>-9500</v>
      </c>
      <c r="Q1439" s="66">
        <f t="shared" si="203"/>
        <v>0</v>
      </c>
    </row>
    <row r="1440" spans="1:17" hidden="1">
      <c r="A1440" s="1" t="s">
        <v>1481</v>
      </c>
      <c r="B1440" s="1" t="s">
        <v>15</v>
      </c>
      <c r="C1440" s="91">
        <v>127807055040</v>
      </c>
      <c r="D1440" s="3">
        <v>35611.360000000001</v>
      </c>
      <c r="E1440" s="3">
        <v>10610447.59</v>
      </c>
      <c r="F1440" s="35" t="s">
        <v>2750</v>
      </c>
      <c r="G1440"/>
      <c r="H1440"/>
      <c r="I1440" s="27">
        <f>-IFERROR(VLOOKUP(C1440,SIRCUPA!$A$21:$H$155,8,0),0)</f>
        <v>0</v>
      </c>
      <c r="J1440" s="88">
        <f>-IFERROR(VLOOKUP(C1440,SIRTAC!$A$16:$H$1288,8,0),0)</f>
        <v>-368</v>
      </c>
      <c r="K1440" s="88">
        <f>-IFERROR(VLOOKUP(C1440,Gastos!$A$9:$J$1281,10,0),0)</f>
        <v>-599.84</v>
      </c>
      <c r="L1440" s="87">
        <f>-IFERROR(VLOOKUP(C1440,IDC!$A$25:$H$1532,8,0),0)</f>
        <v>-220.8</v>
      </c>
      <c r="M1440" s="122">
        <f t="shared" si="201"/>
        <v>36800</v>
      </c>
      <c r="N1440"/>
      <c r="P1440" s="35">
        <f t="shared" si="202"/>
        <v>-36800</v>
      </c>
      <c r="Q1440" s="66">
        <f t="shared" si="203"/>
        <v>0</v>
      </c>
    </row>
    <row r="1441" spans="1:17" hidden="1">
      <c r="A1441" s="1" t="s">
        <v>1481</v>
      </c>
      <c r="B1441" s="1" t="s">
        <v>15</v>
      </c>
      <c r="C1441" s="91">
        <v>127807178114</v>
      </c>
      <c r="D1441" s="3">
        <v>122372.08</v>
      </c>
      <c r="E1441" s="3">
        <v>10732819.67</v>
      </c>
      <c r="F1441" s="35" t="s">
        <v>2750</v>
      </c>
      <c r="G1441"/>
      <c r="H1441"/>
      <c r="I1441" s="27">
        <f>-IFERROR(VLOOKUP(C1441,SIRCUPA!$A$21:$H$155,8,0),0)</f>
        <v>0</v>
      </c>
      <c r="J1441" s="88">
        <f>-IFERROR(VLOOKUP(C1441,SIRTAC!$A$16:$H$1288,8,0),0)</f>
        <v>-1256</v>
      </c>
      <c r="K1441" s="88">
        <f>-IFERROR(VLOOKUP(C1441,Gastos!$A$9:$J$1281,10,0),0)</f>
        <v>-1218.32</v>
      </c>
      <c r="L1441" s="87">
        <f>-IFERROR(VLOOKUP(C1441,IDC!$A$25:$H$1532,8,0),0)</f>
        <v>-753.6</v>
      </c>
      <c r="M1441" s="122">
        <f t="shared" si="201"/>
        <v>125600.00000000001</v>
      </c>
      <c r="N1441"/>
      <c r="P1441" s="35">
        <f t="shared" si="202"/>
        <v>-125600</v>
      </c>
      <c r="Q1441" s="66">
        <f t="shared" si="203"/>
        <v>0</v>
      </c>
    </row>
    <row r="1442" spans="1:17" hidden="1">
      <c r="A1442" s="1" t="s">
        <v>1481</v>
      </c>
      <c r="B1442" s="1" t="s">
        <v>15</v>
      </c>
      <c r="C1442" s="91">
        <v>127245029875</v>
      </c>
      <c r="D1442" s="3">
        <v>10522.44</v>
      </c>
      <c r="E1442" s="3">
        <v>10743342.109999999</v>
      </c>
      <c r="F1442" s="35" t="s">
        <v>2750</v>
      </c>
      <c r="G1442"/>
      <c r="H1442"/>
      <c r="I1442" s="27">
        <f>-IFERROR(VLOOKUP(C1442,SIRCUPA!$A$21:$H$155,8,0),0)</f>
        <v>0</v>
      </c>
      <c r="J1442" s="88">
        <f>-IFERROR(VLOOKUP(C1442,SIRTAC!$A$16:$H$1288,8,0),0)</f>
        <v>-108</v>
      </c>
      <c r="K1442" s="88">
        <f>-IFERROR(VLOOKUP(C1442,Gastos!$A$9:$J$1281,10,0),0)</f>
        <v>-104.76</v>
      </c>
      <c r="L1442" s="87">
        <f>-IFERROR(VLOOKUP(C1442,IDC!$A$25:$H$1532,8,0),0)</f>
        <v>-64.8</v>
      </c>
      <c r="M1442" s="122">
        <f t="shared" si="201"/>
        <v>10800</v>
      </c>
      <c r="N1442"/>
      <c r="P1442" s="35">
        <f t="shared" si="202"/>
        <v>-10800</v>
      </c>
      <c r="Q1442" s="66">
        <f t="shared" si="203"/>
        <v>0</v>
      </c>
    </row>
    <row r="1443" spans="1:17" hidden="1">
      <c r="A1443" s="1" t="s">
        <v>1481</v>
      </c>
      <c r="B1443" s="1" t="s">
        <v>15</v>
      </c>
      <c r="C1443" s="91">
        <v>127807303014</v>
      </c>
      <c r="D1443" s="3">
        <v>45485.79</v>
      </c>
      <c r="E1443" s="3">
        <v>10788827.9</v>
      </c>
      <c r="F1443" s="35" t="s">
        <v>2750</v>
      </c>
      <c r="G1443"/>
      <c r="H1443"/>
      <c r="I1443" s="27">
        <f>-IFERROR(VLOOKUP(C1443,SIRCUPA!$A$21:$H$155,8,0),0)</f>
        <v>0</v>
      </c>
      <c r="J1443" s="88">
        <f>-IFERROR(VLOOKUP(C1443,SIRTAC!$A$16:$H$1288,8,0),0)</f>
        <v>-501</v>
      </c>
      <c r="K1443" s="88">
        <f>-IFERROR(VLOOKUP(C1443,Gastos!$A$9:$J$1281,10,0),0)</f>
        <v>-3812.61</v>
      </c>
      <c r="L1443" s="87">
        <f>-IFERROR(VLOOKUP(C1443,IDC!$A$25:$H$1532,8,0),0)</f>
        <v>-300.60000000000002</v>
      </c>
      <c r="M1443" s="122">
        <f t="shared" si="201"/>
        <v>50100</v>
      </c>
      <c r="N1443"/>
      <c r="P1443" s="35">
        <f t="shared" si="202"/>
        <v>-50100</v>
      </c>
      <c r="Q1443" s="66">
        <f t="shared" si="203"/>
        <v>0</v>
      </c>
    </row>
    <row r="1444" spans="1:17" hidden="1">
      <c r="A1444" s="1" t="s">
        <v>1481</v>
      </c>
      <c r="B1444" s="1" t="s">
        <v>15</v>
      </c>
      <c r="C1444" s="91">
        <v>127807371108</v>
      </c>
      <c r="D1444" s="3">
        <v>9949.16</v>
      </c>
      <c r="E1444" s="3">
        <v>10798777.060000001</v>
      </c>
      <c r="F1444" s="35" t="s">
        <v>2750</v>
      </c>
      <c r="G1444"/>
      <c r="H1444"/>
      <c r="I1444" s="27">
        <f>-IFERROR(VLOOKUP(C1444,SIRCUPA!$A$21:$H$155,8,0),0)</f>
        <v>0</v>
      </c>
      <c r="J1444" s="88">
        <f>-IFERROR(VLOOKUP(C1444,SIRTAC!$A$16:$H$1288,8,0),0)</f>
        <v>-106</v>
      </c>
      <c r="K1444" s="88">
        <f>-IFERROR(VLOOKUP(C1444,Gastos!$A$9:$J$1281,10,0),0)</f>
        <v>-481.24</v>
      </c>
      <c r="L1444" s="87">
        <f>-IFERROR(VLOOKUP(C1444,IDC!$A$25:$H$1532,8,0),0)</f>
        <v>-63.6</v>
      </c>
      <c r="M1444" s="122">
        <f t="shared" si="201"/>
        <v>10600</v>
      </c>
      <c r="N1444"/>
      <c r="P1444" s="35">
        <f t="shared" si="202"/>
        <v>-10600</v>
      </c>
      <c r="Q1444" s="66">
        <f t="shared" si="203"/>
        <v>0</v>
      </c>
    </row>
    <row r="1445" spans="1:17" hidden="1">
      <c r="A1445" s="1" t="s">
        <v>1578</v>
      </c>
      <c r="B1445" s="1" t="s">
        <v>15</v>
      </c>
      <c r="C1445" s="91">
        <v>127245659321</v>
      </c>
      <c r="D1445" s="3">
        <v>11204.45</v>
      </c>
      <c r="E1445" s="3">
        <v>10809981.51</v>
      </c>
      <c r="F1445" s="35" t="s">
        <v>2750</v>
      </c>
      <c r="G1445"/>
      <c r="H1445"/>
      <c r="I1445" s="27">
        <f>-IFERROR(VLOOKUP(C1445,SIRCUPA!$A$21:$H$155,8,0),0)</f>
        <v>0</v>
      </c>
      <c r="J1445" s="88">
        <f>-IFERROR(VLOOKUP(C1445,SIRTAC!$A$16:$H$1288,8,0),0)</f>
        <v>-115</v>
      </c>
      <c r="K1445" s="88">
        <f>-IFERROR(VLOOKUP(C1445,Gastos!$A$9:$J$1281,10,0),0)</f>
        <v>-111.55</v>
      </c>
      <c r="L1445" s="87">
        <f>-IFERROR(VLOOKUP(C1445,IDC!$A$25:$H$1532,8,0),0)</f>
        <v>-69</v>
      </c>
      <c r="M1445" s="122">
        <f t="shared" si="201"/>
        <v>11500</v>
      </c>
      <c r="N1445"/>
      <c r="P1445" s="35">
        <f t="shared" si="202"/>
        <v>-11500</v>
      </c>
      <c r="Q1445" s="66">
        <f t="shared" si="203"/>
        <v>0</v>
      </c>
    </row>
    <row r="1446" spans="1:17" hidden="1">
      <c r="A1446" s="1" t="s">
        <v>1578</v>
      </c>
      <c r="B1446" s="1" t="s">
        <v>15</v>
      </c>
      <c r="C1446" s="91">
        <v>127807611922</v>
      </c>
      <c r="D1446" s="3">
        <v>38777.14</v>
      </c>
      <c r="E1446" s="3">
        <v>10848758.65</v>
      </c>
      <c r="F1446" s="35" t="s">
        <v>2750</v>
      </c>
      <c r="G1446"/>
      <c r="H1446"/>
      <c r="I1446" s="27">
        <f>-IFERROR(VLOOKUP(C1446,SIRCUPA!$A$21:$H$155,8,0),0)</f>
        <v>0</v>
      </c>
      <c r="J1446" s="88">
        <f>-IFERROR(VLOOKUP(C1446,SIRTAC!$A$16:$H$1288,8,0),0)</f>
        <v>-398</v>
      </c>
      <c r="K1446" s="88">
        <f>-IFERROR(VLOOKUP(C1446,Gastos!$A$9:$J$1281,10,0),0)</f>
        <v>-386.06</v>
      </c>
      <c r="L1446" s="87">
        <f>-IFERROR(VLOOKUP(C1446,IDC!$A$25:$H$1532,8,0),0)</f>
        <v>-238.8</v>
      </c>
      <c r="M1446" s="122">
        <f t="shared" si="201"/>
        <v>39800</v>
      </c>
      <c r="N1446"/>
      <c r="P1446" s="35">
        <f t="shared" si="202"/>
        <v>-39800</v>
      </c>
      <c r="Q1446" s="66">
        <f t="shared" si="203"/>
        <v>0</v>
      </c>
    </row>
    <row r="1447" spans="1:17" hidden="1">
      <c r="A1447" s="1" t="s">
        <v>1578</v>
      </c>
      <c r="B1447" s="1" t="s">
        <v>15</v>
      </c>
      <c r="C1447" s="91">
        <v>127246033175</v>
      </c>
      <c r="D1447" s="3">
        <v>8124.42</v>
      </c>
      <c r="E1447" s="3">
        <v>10856883.07</v>
      </c>
      <c r="F1447" s="35" t="s">
        <v>2750</v>
      </c>
      <c r="G1447"/>
      <c r="H1447"/>
      <c r="I1447" s="27">
        <f>-IFERROR(VLOOKUP(C1447,SIRCUPA!$A$21:$H$155,8,0),0)</f>
        <v>0</v>
      </c>
      <c r="J1447" s="88">
        <f>-IFERROR(VLOOKUP(C1447,SIRTAC!$A$16:$H$1288,8,0),0)</f>
        <v>-86</v>
      </c>
      <c r="K1447" s="88">
        <f>-IFERROR(VLOOKUP(C1447,Gastos!$A$9:$J$1281,10,0),0)</f>
        <v>-337.98</v>
      </c>
      <c r="L1447" s="87">
        <f>-IFERROR(VLOOKUP(C1447,IDC!$A$25:$H$1532,8,0),0)</f>
        <v>-51.6</v>
      </c>
      <c r="M1447" s="122">
        <f t="shared" si="201"/>
        <v>8600</v>
      </c>
      <c r="N1447"/>
      <c r="P1447" s="35">
        <f t="shared" si="202"/>
        <v>-8600</v>
      </c>
      <c r="Q1447" s="66">
        <f t="shared" si="203"/>
        <v>0</v>
      </c>
    </row>
    <row r="1448" spans="1:17" hidden="1">
      <c r="A1448" s="1" t="s">
        <v>1578</v>
      </c>
      <c r="B1448" s="1" t="s">
        <v>15</v>
      </c>
      <c r="C1448" s="91">
        <v>127808394028</v>
      </c>
      <c r="D1448" s="3">
        <v>59237.440000000002</v>
      </c>
      <c r="E1448" s="3">
        <v>10916120.51</v>
      </c>
      <c r="F1448" s="35" t="s">
        <v>2750</v>
      </c>
      <c r="G1448"/>
      <c r="H1448"/>
      <c r="I1448" s="27">
        <f>-IFERROR(VLOOKUP(C1448,SIRCUPA!$A$21:$H$155,8,0),0)</f>
        <v>0</v>
      </c>
      <c r="J1448" s="88">
        <f>-IFERROR(VLOOKUP(C1448,SIRTAC!$A$16:$H$1288,8,0),0)</f>
        <v>-608</v>
      </c>
      <c r="K1448" s="88">
        <f>-IFERROR(VLOOKUP(C1448,Gastos!$A$9:$J$1281,10,0),0)</f>
        <v>-589.76</v>
      </c>
      <c r="L1448" s="87">
        <f>-IFERROR(VLOOKUP(C1448,IDC!$A$25:$H$1532,8,0),0)</f>
        <v>-364.8</v>
      </c>
      <c r="M1448" s="122">
        <f t="shared" si="201"/>
        <v>60800.000000000007</v>
      </c>
      <c r="N1448"/>
      <c r="P1448" s="35">
        <f t="shared" si="202"/>
        <v>-60800</v>
      </c>
      <c r="Q1448" s="66">
        <f t="shared" si="203"/>
        <v>0</v>
      </c>
    </row>
    <row r="1449" spans="1:17" hidden="1">
      <c r="A1449" s="1" t="s">
        <v>1578</v>
      </c>
      <c r="B1449" s="1" t="s">
        <v>15</v>
      </c>
      <c r="C1449" s="91">
        <v>127246970897</v>
      </c>
      <c r="D1449" s="3">
        <v>55563.48</v>
      </c>
      <c r="E1449" s="3">
        <v>10971683.99</v>
      </c>
      <c r="F1449" s="35" t="s">
        <v>2750</v>
      </c>
      <c r="G1449"/>
      <c r="H1449"/>
      <c r="I1449" s="27">
        <f>-IFERROR(VLOOKUP(C1449,SIRCUPA!$A$21:$H$155,8,0),0)</f>
        <v>0</v>
      </c>
      <c r="J1449" s="88">
        <f>-IFERROR(VLOOKUP(C1449,SIRTAC!$A$16:$H$1288,8,0),0)</f>
        <v>-612</v>
      </c>
      <c r="K1449" s="88">
        <f>-IFERROR(VLOOKUP(C1449,Gastos!$A$9:$J$1281,10,0),0)</f>
        <v>-4657.32</v>
      </c>
      <c r="L1449" s="87">
        <f>-IFERROR(VLOOKUP(C1449,IDC!$A$25:$H$1532,8,0),0)</f>
        <v>-367.2</v>
      </c>
      <c r="M1449" s="122">
        <f t="shared" si="201"/>
        <v>61200</v>
      </c>
      <c r="N1449"/>
      <c r="P1449" s="35">
        <f t="shared" si="202"/>
        <v>-61200</v>
      </c>
      <c r="Q1449" s="66">
        <f t="shared" si="203"/>
        <v>0</v>
      </c>
    </row>
    <row r="1450" spans="1:17" hidden="1">
      <c r="A1450" s="1" t="s">
        <v>1578</v>
      </c>
      <c r="B1450" s="1" t="s">
        <v>15</v>
      </c>
      <c r="C1450" s="91">
        <v>127246949555</v>
      </c>
      <c r="D1450" s="3">
        <v>70207.28</v>
      </c>
      <c r="E1450" s="3">
        <v>11041891.27</v>
      </c>
      <c r="F1450" s="35" t="s">
        <v>2750</v>
      </c>
      <c r="G1450"/>
      <c r="H1450"/>
      <c r="I1450" s="27">
        <f>-IFERROR(VLOOKUP(C1450,SIRCUPA!$A$21:$H$155,8,0),0)</f>
        <v>0</v>
      </c>
      <c r="J1450" s="88">
        <f>-IFERROR(VLOOKUP(C1450,SIRTAC!$A$16:$H$1288,8,0),0)</f>
        <v>-748</v>
      </c>
      <c r="K1450" s="88">
        <f>-IFERROR(VLOOKUP(C1450,Gastos!$A$9:$J$1281,10,0),0)</f>
        <v>-3395.92</v>
      </c>
      <c r="L1450" s="87">
        <f>-IFERROR(VLOOKUP(C1450,IDC!$A$25:$H$1532,8,0),0)</f>
        <v>-448.8</v>
      </c>
      <c r="M1450" s="122">
        <f t="shared" si="201"/>
        <v>74800</v>
      </c>
      <c r="N1450"/>
      <c r="P1450" s="35">
        <f t="shared" si="202"/>
        <v>-74800</v>
      </c>
      <c r="Q1450" s="66">
        <f t="shared" si="203"/>
        <v>0</v>
      </c>
    </row>
    <row r="1451" spans="1:17" hidden="1">
      <c r="A1451" s="1" t="s">
        <v>1578</v>
      </c>
      <c r="B1451" s="1" t="s">
        <v>15</v>
      </c>
      <c r="C1451" s="91">
        <v>127247017257</v>
      </c>
      <c r="D1451" s="3">
        <v>11903.22</v>
      </c>
      <c r="E1451" s="3">
        <v>11053794.49</v>
      </c>
      <c r="F1451" s="35" t="s">
        <v>2750</v>
      </c>
      <c r="G1451"/>
      <c r="H1451"/>
      <c r="I1451" s="27">
        <f>-IFERROR(VLOOKUP(C1451,SIRCUPA!$A$21:$H$155,8,0),0)</f>
        <v>0</v>
      </c>
      <c r="J1451" s="88">
        <f>-IFERROR(VLOOKUP(C1451,SIRTAC!$A$16:$H$1288,8,0),0)</f>
        <v>-126</v>
      </c>
      <c r="K1451" s="88">
        <f>-IFERROR(VLOOKUP(C1451,Gastos!$A$9:$J$1281,10,0),0)</f>
        <v>-495.18</v>
      </c>
      <c r="L1451" s="87">
        <f>-IFERROR(VLOOKUP(C1451,IDC!$A$25:$H$1532,8,0),0)</f>
        <v>-75.599999999999994</v>
      </c>
      <c r="M1451" s="122">
        <f t="shared" si="201"/>
        <v>12600</v>
      </c>
      <c r="N1451"/>
      <c r="P1451" s="35">
        <f t="shared" si="202"/>
        <v>-12599.999999999998</v>
      </c>
      <c r="Q1451" s="66">
        <f t="shared" si="203"/>
        <v>0</v>
      </c>
    </row>
    <row r="1452" spans="1:17" hidden="1">
      <c r="A1452" s="1" t="s">
        <v>1578</v>
      </c>
      <c r="B1452" s="1" t="s">
        <v>15</v>
      </c>
      <c r="C1452" s="91">
        <v>127247172953</v>
      </c>
      <c r="D1452" s="3">
        <v>4871.5</v>
      </c>
      <c r="E1452" s="3">
        <v>11058665.99</v>
      </c>
      <c r="F1452" s="35" t="s">
        <v>2750</v>
      </c>
      <c r="G1452"/>
      <c r="H1452"/>
      <c r="I1452" s="27">
        <f>-IFERROR(VLOOKUP(C1452,SIRCUPA!$A$21:$H$155,8,0),0)</f>
        <v>0</v>
      </c>
      <c r="J1452" s="88">
        <f>-IFERROR(VLOOKUP(C1452,SIRTAC!$A$16:$H$1288,8,0),0)</f>
        <v>-50</v>
      </c>
      <c r="K1452" s="88">
        <f>-IFERROR(VLOOKUP(C1452,Gastos!$A$9:$J$1281,10,0),0)</f>
        <v>-48.5</v>
      </c>
      <c r="L1452" s="87">
        <f>-IFERROR(VLOOKUP(C1452,IDC!$A$25:$H$1532,8,0),0)</f>
        <v>-30</v>
      </c>
      <c r="M1452" s="122">
        <f t="shared" si="201"/>
        <v>5000</v>
      </c>
      <c r="N1452"/>
      <c r="P1452" s="35">
        <f t="shared" si="202"/>
        <v>-5000</v>
      </c>
      <c r="Q1452" s="66">
        <f t="shared" si="203"/>
        <v>0</v>
      </c>
    </row>
    <row r="1453" spans="1:17" hidden="1">
      <c r="A1453" s="1" t="s">
        <v>1578</v>
      </c>
      <c r="B1453" s="1" t="s">
        <v>15</v>
      </c>
      <c r="C1453" s="91">
        <v>127809109126</v>
      </c>
      <c r="D1453" s="3">
        <v>43926.48</v>
      </c>
      <c r="E1453" s="3">
        <v>11102592.470000001</v>
      </c>
      <c r="F1453" s="35" t="s">
        <v>2750</v>
      </c>
      <c r="G1453"/>
      <c r="H1453"/>
      <c r="I1453" s="27">
        <f>-IFERROR(VLOOKUP(C1453,SIRCUPA!$A$21:$H$155,8,0),0)</f>
        <v>0</v>
      </c>
      <c r="J1453" s="88">
        <f>-IFERROR(VLOOKUP(C1453,SIRTAC!$A$16:$H$1288,8,0),0)</f>
        <v>-468</v>
      </c>
      <c r="K1453" s="88">
        <f>-IFERROR(VLOOKUP(C1453,Gastos!$A$9:$J$1281,10,0),0)</f>
        <v>-2124.7199999999998</v>
      </c>
      <c r="L1453" s="87">
        <f>-IFERROR(VLOOKUP(C1453,IDC!$A$25:$H$1532,8,0),0)</f>
        <v>-280.8</v>
      </c>
      <c r="M1453" s="122">
        <f t="shared" si="201"/>
        <v>46800.000000000007</v>
      </c>
      <c r="N1453"/>
      <c r="P1453" s="35">
        <f t="shared" si="202"/>
        <v>-46800</v>
      </c>
      <c r="Q1453" s="66">
        <f t="shared" si="203"/>
        <v>0</v>
      </c>
    </row>
    <row r="1454" spans="1:17" hidden="1">
      <c r="A1454" s="1" t="s">
        <v>1578</v>
      </c>
      <c r="B1454" s="1" t="s">
        <v>15</v>
      </c>
      <c r="C1454" s="91">
        <v>127809918652</v>
      </c>
      <c r="D1454" s="3">
        <v>65845.59</v>
      </c>
      <c r="E1454" s="3">
        <v>11168438.060000001</v>
      </c>
      <c r="F1454" s="35" t="s">
        <v>2750</v>
      </c>
      <c r="G1454"/>
      <c r="H1454"/>
      <c r="I1454" s="27">
        <f>-IFERROR(VLOOKUP(C1454,SIRCUPA!$A$21:$H$155,8,0),0)</f>
        <v>0</v>
      </c>
      <c r="J1454" s="88">
        <f>-IFERROR(VLOOKUP(C1454,SIRTAC!$A$16:$H$1288,8,0),0)</f>
        <v>-697</v>
      </c>
      <c r="K1454" s="88">
        <f>-IFERROR(VLOOKUP(C1454,Gastos!$A$9:$J$1281,10,0),0)</f>
        <v>-2739.21</v>
      </c>
      <c r="L1454" s="87">
        <f>-IFERROR(VLOOKUP(C1454,IDC!$A$25:$H$1532,8,0),0)</f>
        <v>-418.2</v>
      </c>
      <c r="M1454" s="122">
        <f t="shared" si="201"/>
        <v>69700</v>
      </c>
      <c r="N1454"/>
      <c r="P1454" s="35">
        <f t="shared" si="202"/>
        <v>-69700</v>
      </c>
      <c r="Q1454" s="66">
        <f t="shared" si="203"/>
        <v>0</v>
      </c>
    </row>
    <row r="1455" spans="1:17" hidden="1">
      <c r="A1455" s="1" t="s">
        <v>1578</v>
      </c>
      <c r="B1455" s="1" t="s">
        <v>15</v>
      </c>
      <c r="C1455" s="91">
        <v>127810129960</v>
      </c>
      <c r="D1455" s="3">
        <v>4384.3500000000004</v>
      </c>
      <c r="E1455" s="3">
        <v>11172822.41</v>
      </c>
      <c r="F1455" s="35" t="s">
        <v>2750</v>
      </c>
      <c r="G1455"/>
      <c r="H1455"/>
      <c r="I1455" s="27">
        <f>-IFERROR(VLOOKUP(C1455,SIRCUPA!$A$21:$H$155,8,0),0)</f>
        <v>0</v>
      </c>
      <c r="J1455" s="88">
        <f>-IFERROR(VLOOKUP(C1455,SIRTAC!$A$16:$H$1288,8,0),0)</f>
        <v>-45</v>
      </c>
      <c r="K1455" s="88">
        <f>-IFERROR(VLOOKUP(C1455,Gastos!$A$9:$J$1281,10,0),0)</f>
        <v>-43.65</v>
      </c>
      <c r="L1455" s="87">
        <f>-IFERROR(VLOOKUP(C1455,IDC!$A$25:$H$1532,8,0),0)</f>
        <v>-27</v>
      </c>
      <c r="M1455" s="122">
        <f t="shared" si="201"/>
        <v>4500</v>
      </c>
      <c r="N1455"/>
      <c r="P1455" s="35">
        <f t="shared" si="202"/>
        <v>-4500</v>
      </c>
      <c r="Q1455" s="66">
        <f t="shared" si="203"/>
        <v>0</v>
      </c>
    </row>
    <row r="1456" spans="1:17" hidden="1">
      <c r="A1456" s="1" t="s">
        <v>1578</v>
      </c>
      <c r="B1456" s="1" t="s">
        <v>15</v>
      </c>
      <c r="C1456" s="91">
        <v>127248087839</v>
      </c>
      <c r="D1456" s="3">
        <v>10327.58</v>
      </c>
      <c r="E1456" s="3">
        <v>11183149.99</v>
      </c>
      <c r="F1456" s="35" t="s">
        <v>2750</v>
      </c>
      <c r="G1456"/>
      <c r="H1456"/>
      <c r="I1456" s="27">
        <f>-IFERROR(VLOOKUP(C1456,SIRCUPA!$A$21:$H$155,8,0),0)</f>
        <v>0</v>
      </c>
      <c r="J1456" s="88">
        <f>-IFERROR(VLOOKUP(C1456,SIRTAC!$A$16:$H$1288,8,0),0)</f>
        <v>-106</v>
      </c>
      <c r="K1456" s="88">
        <f>-IFERROR(VLOOKUP(C1456,Gastos!$A$9:$J$1281,10,0),0)</f>
        <v>-102.82</v>
      </c>
      <c r="L1456" s="87">
        <f>-IFERROR(VLOOKUP(C1456,IDC!$A$25:$H$1532,8,0),0)</f>
        <v>-63.6</v>
      </c>
      <c r="M1456" s="122">
        <f t="shared" si="201"/>
        <v>10600</v>
      </c>
      <c r="N1456"/>
      <c r="P1456" s="35">
        <f t="shared" si="202"/>
        <v>-10600</v>
      </c>
      <c r="Q1456" s="66">
        <f t="shared" si="203"/>
        <v>0</v>
      </c>
    </row>
    <row r="1457" spans="1:17" hidden="1">
      <c r="A1457" s="1" t="s">
        <v>1578</v>
      </c>
      <c r="B1457" s="1" t="s">
        <v>15</v>
      </c>
      <c r="C1457" s="91">
        <v>127810283682</v>
      </c>
      <c r="D1457" s="3">
        <v>6722.67</v>
      </c>
      <c r="E1457" s="3">
        <v>11189872.66</v>
      </c>
      <c r="F1457" s="35" t="s">
        <v>2750</v>
      </c>
      <c r="G1457"/>
      <c r="H1457"/>
      <c r="I1457" s="27">
        <f>-IFERROR(VLOOKUP(C1457,SIRCUPA!$A$21:$H$155,8,0),0)</f>
        <v>0</v>
      </c>
      <c r="J1457" s="88">
        <f>-IFERROR(VLOOKUP(C1457,SIRTAC!$A$16:$H$1288,8,0),0)</f>
        <v>-69</v>
      </c>
      <c r="K1457" s="88">
        <f>-IFERROR(VLOOKUP(C1457,Gastos!$A$9:$J$1281,10,0),0)</f>
        <v>-66.930000000000007</v>
      </c>
      <c r="L1457" s="87">
        <f>-IFERROR(VLOOKUP(C1457,IDC!$A$25:$H$1532,8,0),0)</f>
        <v>-41.4</v>
      </c>
      <c r="M1457" s="122">
        <f t="shared" si="201"/>
        <v>6900</v>
      </c>
      <c r="N1457"/>
      <c r="P1457" s="35">
        <f t="shared" si="202"/>
        <v>-6900</v>
      </c>
      <c r="Q1457" s="66">
        <f t="shared" si="203"/>
        <v>0</v>
      </c>
    </row>
    <row r="1458" spans="1:17" hidden="1">
      <c r="A1458" s="1" t="s">
        <v>1578</v>
      </c>
      <c r="B1458" s="1" t="s">
        <v>15</v>
      </c>
      <c r="C1458" s="91">
        <v>127810531122</v>
      </c>
      <c r="D1458" s="3">
        <v>6820.1</v>
      </c>
      <c r="E1458" s="3">
        <v>11196692.76</v>
      </c>
      <c r="F1458" s="35" t="s">
        <v>2750</v>
      </c>
      <c r="G1458"/>
      <c r="H1458"/>
      <c r="I1458" s="27">
        <f>-IFERROR(VLOOKUP(C1458,SIRCUPA!$A$21:$H$155,8,0),0)</f>
        <v>0</v>
      </c>
      <c r="J1458" s="88">
        <f>-IFERROR(VLOOKUP(C1458,SIRTAC!$A$16:$H$1288,8,0),0)</f>
        <v>-70</v>
      </c>
      <c r="K1458" s="88">
        <f>-IFERROR(VLOOKUP(C1458,Gastos!$A$9:$J$1281,10,0),0)</f>
        <v>-67.900000000000006</v>
      </c>
      <c r="L1458" s="87">
        <f>-IFERROR(VLOOKUP(C1458,IDC!$A$25:$H$1532,8,0),0)</f>
        <v>-42</v>
      </c>
      <c r="M1458" s="122">
        <f t="shared" si="201"/>
        <v>7000</v>
      </c>
      <c r="N1458"/>
      <c r="P1458" s="35">
        <f t="shared" si="202"/>
        <v>-7000</v>
      </c>
      <c r="Q1458" s="66">
        <f t="shared" si="203"/>
        <v>0</v>
      </c>
    </row>
    <row r="1459" spans="1:17" hidden="1">
      <c r="A1459" s="1" t="s">
        <v>1578</v>
      </c>
      <c r="B1459" s="1" t="s">
        <v>15</v>
      </c>
      <c r="C1459" s="91">
        <v>127248587365</v>
      </c>
      <c r="D1459" s="3">
        <v>21350.22</v>
      </c>
      <c r="E1459" s="3">
        <v>11218042.98</v>
      </c>
      <c r="F1459" s="35" t="s">
        <v>2750</v>
      </c>
      <c r="G1459"/>
      <c r="H1459"/>
      <c r="I1459" s="27">
        <f>-IFERROR(VLOOKUP(C1459,SIRCUPA!$A$21:$H$155,8,0),0)</f>
        <v>0</v>
      </c>
      <c r="J1459" s="88">
        <f>-IFERROR(VLOOKUP(C1459,SIRTAC!$A$16:$H$1288,8,0),0)</f>
        <v>-226</v>
      </c>
      <c r="K1459" s="88">
        <f>-IFERROR(VLOOKUP(C1459,Gastos!$A$9:$J$1281,10,0),0)</f>
        <v>-888.18</v>
      </c>
      <c r="L1459" s="87">
        <f>-IFERROR(VLOOKUP(C1459,IDC!$A$25:$H$1532,8,0),0)</f>
        <v>-135.6</v>
      </c>
      <c r="M1459" s="122">
        <f t="shared" ref="M1459:M1490" si="204">+D1459-I1459-J1459-K1459-L1459</f>
        <v>22600</v>
      </c>
      <c r="N1459"/>
      <c r="P1459" s="35">
        <f t="shared" si="202"/>
        <v>-22600</v>
      </c>
      <c r="Q1459" s="66">
        <f t="shared" si="203"/>
        <v>0</v>
      </c>
    </row>
    <row r="1460" spans="1:17" hidden="1">
      <c r="A1460" s="1" t="s">
        <v>1578</v>
      </c>
      <c r="B1460" s="1" t="s">
        <v>15</v>
      </c>
      <c r="C1460" s="91">
        <v>127810660446</v>
      </c>
      <c r="D1460" s="3">
        <v>11009.59</v>
      </c>
      <c r="E1460" s="3">
        <v>11229052.57</v>
      </c>
      <c r="F1460" s="35" t="s">
        <v>2750</v>
      </c>
      <c r="G1460"/>
      <c r="H1460"/>
      <c r="I1460" s="27">
        <f>-IFERROR(VLOOKUP(C1460,SIRCUPA!$A$21:$H$155,8,0),0)</f>
        <v>0</v>
      </c>
      <c r="J1460" s="88">
        <f>-IFERROR(VLOOKUP(C1460,SIRTAC!$A$16:$H$1288,8,0),0)</f>
        <v>-113</v>
      </c>
      <c r="K1460" s="88">
        <f>-IFERROR(VLOOKUP(C1460,Gastos!$A$9:$J$1281,10,0),0)</f>
        <v>-109.61</v>
      </c>
      <c r="L1460" s="87">
        <f>-IFERROR(VLOOKUP(C1460,IDC!$A$25:$H$1532,8,0),0)</f>
        <v>-67.8</v>
      </c>
      <c r="M1460" s="122">
        <f t="shared" si="204"/>
        <v>11300</v>
      </c>
      <c r="N1460"/>
      <c r="P1460" s="35">
        <f t="shared" si="202"/>
        <v>-11300</v>
      </c>
      <c r="Q1460" s="66">
        <f t="shared" si="203"/>
        <v>0</v>
      </c>
    </row>
    <row r="1461" spans="1:17" hidden="1">
      <c r="A1461" s="1" t="s">
        <v>1578</v>
      </c>
      <c r="B1461" s="1" t="s">
        <v>15</v>
      </c>
      <c r="C1461" s="91">
        <v>127810601972</v>
      </c>
      <c r="D1461" s="3">
        <v>17537.400000000001</v>
      </c>
      <c r="E1461" s="3">
        <v>11246589.970000001</v>
      </c>
      <c r="F1461" s="35" t="s">
        <v>2750</v>
      </c>
      <c r="G1461"/>
      <c r="H1461"/>
      <c r="I1461" s="27">
        <f>-IFERROR(VLOOKUP(C1461,SIRCUPA!$A$21:$H$155,8,0),0)</f>
        <v>0</v>
      </c>
      <c r="J1461" s="88">
        <f>-IFERROR(VLOOKUP(C1461,SIRTAC!$A$16:$H$1288,8,0),0)</f>
        <v>-180</v>
      </c>
      <c r="K1461" s="88">
        <f>-IFERROR(VLOOKUP(C1461,Gastos!$A$9:$J$1281,10,0),0)</f>
        <v>-174.6</v>
      </c>
      <c r="L1461" s="87">
        <f>-IFERROR(VLOOKUP(C1461,IDC!$A$25:$H$1532,8,0),0)</f>
        <v>-108</v>
      </c>
      <c r="M1461" s="122">
        <f t="shared" si="204"/>
        <v>18000</v>
      </c>
      <c r="N1461"/>
      <c r="P1461" s="35">
        <f t="shared" si="202"/>
        <v>-18000</v>
      </c>
      <c r="Q1461" s="66">
        <f t="shared" si="203"/>
        <v>0</v>
      </c>
    </row>
    <row r="1462" spans="1:17" hidden="1">
      <c r="A1462" s="1" t="s">
        <v>1578</v>
      </c>
      <c r="B1462" s="1" t="s">
        <v>1596</v>
      </c>
      <c r="C1462" s="91">
        <v>127810671348</v>
      </c>
      <c r="D1462" s="3">
        <v>1762.2</v>
      </c>
      <c r="E1462" s="3">
        <v>11248352.17</v>
      </c>
      <c r="F1462" s="2" t="s">
        <v>2750</v>
      </c>
      <c r="G1462"/>
      <c r="H1462"/>
      <c r="I1462" s="27">
        <f>-IFERROR(VLOOKUP(C1462,SIRCUPA!$A$21:$H$155,8,0),0)</f>
        <v>-27</v>
      </c>
      <c r="J1462" s="88">
        <f>-IFERROR(VLOOKUP(C1462,SIRTAC!$A$16:$H$1288,8,0),0)</f>
        <v>0</v>
      </c>
      <c r="K1462" s="88">
        <f>-IFERROR(VLOOKUP(C1462,Gastos!$A$9:$J$1281,10,0),0)</f>
        <v>0</v>
      </c>
      <c r="L1462" s="87">
        <f>-IFERROR(VLOOKUP(C1462,IDC!$A$25:$H$1532,8,0),0)</f>
        <v>-10.8</v>
      </c>
      <c r="M1462" s="122">
        <f t="shared" si="204"/>
        <v>1800</v>
      </c>
      <c r="N1462"/>
      <c r="P1462" s="35">
        <f t="shared" si="202"/>
        <v>-1800</v>
      </c>
      <c r="Q1462" s="66">
        <f t="shared" si="203"/>
        <v>0</v>
      </c>
    </row>
    <row r="1463" spans="1:17" hidden="1">
      <c r="A1463" s="1" t="s">
        <v>1578</v>
      </c>
      <c r="B1463" s="1" t="s">
        <v>15</v>
      </c>
      <c r="C1463" s="91">
        <v>127248792915</v>
      </c>
      <c r="D1463" s="3">
        <v>13131.33</v>
      </c>
      <c r="E1463" s="3">
        <v>11261483.5</v>
      </c>
      <c r="F1463" s="35" t="s">
        <v>2750</v>
      </c>
      <c r="G1463"/>
      <c r="H1463"/>
      <c r="I1463" s="27">
        <f>-IFERROR(VLOOKUP(C1463,SIRCUPA!$A$21:$H$155,8,0),0)</f>
        <v>0</v>
      </c>
      <c r="J1463" s="88">
        <f>-IFERROR(VLOOKUP(C1463,SIRTAC!$A$16:$H$1288,8,0),0)</f>
        <v>-139</v>
      </c>
      <c r="K1463" s="88">
        <f>-IFERROR(VLOOKUP(C1463,Gastos!$A$9:$J$1281,10,0),0)</f>
        <v>-546.27</v>
      </c>
      <c r="L1463" s="87">
        <f>-IFERROR(VLOOKUP(C1463,IDC!$A$25:$H$1532,8,0),0)</f>
        <v>-83.4</v>
      </c>
      <c r="M1463" s="122">
        <f t="shared" si="204"/>
        <v>13900</v>
      </c>
      <c r="N1463"/>
      <c r="P1463" s="35">
        <f t="shared" si="202"/>
        <v>-13900</v>
      </c>
      <c r="Q1463" s="66">
        <f t="shared" si="203"/>
        <v>0</v>
      </c>
    </row>
    <row r="1464" spans="1:17" hidden="1">
      <c r="A1464" s="1" t="s">
        <v>1578</v>
      </c>
      <c r="B1464" s="1" t="s">
        <v>15</v>
      </c>
      <c r="C1464" s="91">
        <v>127810724012</v>
      </c>
      <c r="D1464" s="3">
        <v>8974.65</v>
      </c>
      <c r="E1464" s="3">
        <v>11270458.15</v>
      </c>
      <c r="F1464" s="35" t="s">
        <v>2750</v>
      </c>
      <c r="G1464"/>
      <c r="H1464"/>
      <c r="I1464" s="27">
        <f>-IFERROR(VLOOKUP(C1464,SIRCUPA!$A$21:$H$155,8,0),0)</f>
        <v>0</v>
      </c>
      <c r="J1464" s="88">
        <f>-IFERROR(VLOOKUP(C1464,SIRTAC!$A$16:$H$1288,8,0),0)</f>
        <v>-95</v>
      </c>
      <c r="K1464" s="88">
        <f>-IFERROR(VLOOKUP(C1464,Gastos!$A$9:$J$1281,10,0),0)</f>
        <v>-373.35</v>
      </c>
      <c r="L1464" s="87">
        <f>-IFERROR(VLOOKUP(C1464,IDC!$A$25:$H$1532,8,0),0)</f>
        <v>-57</v>
      </c>
      <c r="M1464" s="122">
        <f t="shared" si="204"/>
        <v>9500</v>
      </c>
      <c r="N1464"/>
      <c r="P1464" s="35">
        <f t="shared" si="202"/>
        <v>-9500</v>
      </c>
      <c r="Q1464" s="66">
        <f t="shared" si="203"/>
        <v>0</v>
      </c>
    </row>
    <row r="1465" spans="1:17" hidden="1">
      <c r="A1465" s="1" t="s">
        <v>1578</v>
      </c>
      <c r="B1465" s="1" t="s">
        <v>15</v>
      </c>
      <c r="C1465" s="91">
        <v>127248897113</v>
      </c>
      <c r="D1465" s="3">
        <v>36511.54</v>
      </c>
      <c r="E1465" s="3">
        <v>11306969.689999999</v>
      </c>
      <c r="F1465" s="35" t="s">
        <v>2750</v>
      </c>
      <c r="G1465"/>
      <c r="H1465"/>
      <c r="I1465" s="27">
        <f>-IFERROR(VLOOKUP(C1465,SIRCUPA!$A$21:$H$155,8,0),0)</f>
        <v>0</v>
      </c>
      <c r="J1465" s="88">
        <f>-IFERROR(VLOOKUP(C1465,SIRTAC!$A$16:$H$1288,8,0),0)</f>
        <v>-389</v>
      </c>
      <c r="K1465" s="88">
        <f>-IFERROR(VLOOKUP(C1465,Gastos!$A$9:$J$1281,10,0),0)</f>
        <v>-1766.06</v>
      </c>
      <c r="L1465" s="87">
        <f>-IFERROR(VLOOKUP(C1465,IDC!$A$25:$H$1532,8,0),0)</f>
        <v>-233.4</v>
      </c>
      <c r="M1465" s="122">
        <f t="shared" si="204"/>
        <v>38900</v>
      </c>
      <c r="N1465"/>
      <c r="P1465" s="35">
        <f t="shared" si="202"/>
        <v>-38900</v>
      </c>
      <c r="Q1465" s="66">
        <f t="shared" si="203"/>
        <v>0</v>
      </c>
    </row>
    <row r="1466" spans="1:17" hidden="1">
      <c r="A1466" s="1" t="s">
        <v>1578</v>
      </c>
      <c r="B1466" s="1" t="s">
        <v>15</v>
      </c>
      <c r="C1466" s="91">
        <v>127248937077</v>
      </c>
      <c r="D1466" s="3">
        <v>112434.22</v>
      </c>
      <c r="E1466" s="3">
        <v>11419403.91</v>
      </c>
      <c r="F1466" s="35" t="s">
        <v>2750</v>
      </c>
      <c r="G1466"/>
      <c r="H1466"/>
      <c r="I1466" s="27">
        <f>-IFERROR(VLOOKUP(C1466,SIRCUPA!$A$21:$H$155,8,0),0)</f>
        <v>0</v>
      </c>
      <c r="J1466" s="88">
        <f>-IFERROR(VLOOKUP(C1466,SIRTAC!$A$16:$H$1288,8,0),0)</f>
        <v>-1154</v>
      </c>
      <c r="K1466" s="88">
        <f>-IFERROR(VLOOKUP(C1466,Gastos!$A$9:$J$1281,10,0),0)</f>
        <v>-1119.3800000000001</v>
      </c>
      <c r="L1466" s="87">
        <f>-IFERROR(VLOOKUP(C1466,IDC!$A$25:$H$1532,8,0),0)</f>
        <v>-692.4</v>
      </c>
      <c r="M1466" s="122">
        <f t="shared" si="204"/>
        <v>115400</v>
      </c>
      <c r="N1466"/>
      <c r="P1466" s="35">
        <f t="shared" si="202"/>
        <v>-115400</v>
      </c>
      <c r="Q1466" s="66">
        <f t="shared" si="203"/>
        <v>0</v>
      </c>
    </row>
    <row r="1467" spans="1:17" hidden="1">
      <c r="A1467" s="1" t="s">
        <v>1578</v>
      </c>
      <c r="B1467" s="1" t="s">
        <v>15</v>
      </c>
      <c r="C1467" s="91">
        <v>127811071464</v>
      </c>
      <c r="D1467" s="3">
        <v>23188.34</v>
      </c>
      <c r="E1467" s="3">
        <v>11442592.25</v>
      </c>
      <c r="F1467" s="35" t="s">
        <v>2750</v>
      </c>
      <c r="G1467"/>
      <c r="H1467"/>
      <c r="I1467" s="27">
        <f>-IFERROR(VLOOKUP(C1467,SIRCUPA!$A$21:$H$155,8,0),0)</f>
        <v>0</v>
      </c>
      <c r="J1467" s="88">
        <f>-IFERROR(VLOOKUP(C1467,SIRTAC!$A$16:$H$1288,8,0),0)</f>
        <v>-238</v>
      </c>
      <c r="K1467" s="88">
        <f>-IFERROR(VLOOKUP(C1467,Gastos!$A$9:$J$1281,10,0),0)</f>
        <v>-230.86</v>
      </c>
      <c r="L1467" s="87">
        <f>-IFERROR(VLOOKUP(C1467,IDC!$A$25:$H$1532,8,0),0)</f>
        <v>-142.80000000000001</v>
      </c>
      <c r="M1467" s="122">
        <f t="shared" si="204"/>
        <v>23800</v>
      </c>
      <c r="N1467"/>
      <c r="P1467" s="35">
        <f t="shared" si="202"/>
        <v>-23800</v>
      </c>
      <c r="Q1467" s="66">
        <f t="shared" si="203"/>
        <v>0</v>
      </c>
    </row>
    <row r="1468" spans="1:17" hidden="1">
      <c r="A1468" s="1" t="s">
        <v>1578</v>
      </c>
      <c r="B1468" s="1" t="s">
        <v>15</v>
      </c>
      <c r="C1468" s="91">
        <v>127811111728</v>
      </c>
      <c r="D1468" s="3">
        <v>8916.7000000000007</v>
      </c>
      <c r="E1468" s="3">
        <v>11451508.949999999</v>
      </c>
      <c r="F1468" s="35" t="s">
        <v>2750</v>
      </c>
      <c r="G1468"/>
      <c r="H1468"/>
      <c r="I1468" s="27">
        <f>-IFERROR(VLOOKUP(C1468,SIRCUPA!$A$21:$H$155,8,0),0)</f>
        <v>0</v>
      </c>
      <c r="J1468" s="88">
        <f>-IFERROR(VLOOKUP(C1468,SIRTAC!$A$16:$H$1288,8,0),0)</f>
        <v>-95</v>
      </c>
      <c r="K1468" s="88">
        <f>-IFERROR(VLOOKUP(C1468,Gastos!$A$9:$J$1281,10,0),0)</f>
        <v>-431.3</v>
      </c>
      <c r="L1468" s="87">
        <f>-IFERROR(VLOOKUP(C1468,IDC!$A$25:$H$1532,8,0),0)</f>
        <v>-57</v>
      </c>
      <c r="M1468" s="122">
        <f t="shared" si="204"/>
        <v>9500</v>
      </c>
      <c r="N1468"/>
      <c r="P1468" s="35">
        <f t="shared" si="202"/>
        <v>-9500</v>
      </c>
      <c r="Q1468" s="66">
        <f t="shared" si="203"/>
        <v>0</v>
      </c>
    </row>
    <row r="1469" spans="1:17" hidden="1">
      <c r="A1469" s="1" t="s">
        <v>1578</v>
      </c>
      <c r="B1469" s="1" t="s">
        <v>15</v>
      </c>
      <c r="C1469" s="91">
        <v>127811226742</v>
      </c>
      <c r="D1469" s="3">
        <v>9255.85</v>
      </c>
      <c r="E1469" s="3">
        <v>11460764.800000001</v>
      </c>
      <c r="F1469" s="35" t="s">
        <v>2750</v>
      </c>
      <c r="G1469"/>
      <c r="H1469"/>
      <c r="I1469" s="27">
        <f>-IFERROR(VLOOKUP(C1469,SIRCUPA!$A$21:$H$155,8,0),0)</f>
        <v>0</v>
      </c>
      <c r="J1469" s="88">
        <f>-IFERROR(VLOOKUP(C1469,SIRTAC!$A$16:$H$1288,8,0),0)</f>
        <v>-95</v>
      </c>
      <c r="K1469" s="88">
        <f>-IFERROR(VLOOKUP(C1469,Gastos!$A$9:$J$1281,10,0),0)</f>
        <v>-92.15</v>
      </c>
      <c r="L1469" s="87">
        <f>-IFERROR(VLOOKUP(C1469,IDC!$A$25:$H$1532,8,0),0)</f>
        <v>-57</v>
      </c>
      <c r="M1469" s="122">
        <f t="shared" si="204"/>
        <v>9500</v>
      </c>
      <c r="N1469"/>
      <c r="P1469" s="35">
        <f t="shared" si="202"/>
        <v>-9500</v>
      </c>
      <c r="Q1469" s="66">
        <f t="shared" si="203"/>
        <v>0</v>
      </c>
    </row>
    <row r="1470" spans="1:17" hidden="1">
      <c r="A1470" s="1" t="s">
        <v>1578</v>
      </c>
      <c r="B1470" s="1" t="s">
        <v>15</v>
      </c>
      <c r="C1470" s="91">
        <v>127811499056</v>
      </c>
      <c r="D1470" s="3">
        <v>9743</v>
      </c>
      <c r="E1470" s="3">
        <v>11470507.800000001</v>
      </c>
      <c r="F1470" s="35" t="s">
        <v>2750</v>
      </c>
      <c r="G1470"/>
      <c r="H1470"/>
      <c r="I1470" s="27">
        <f>-IFERROR(VLOOKUP(C1470,SIRCUPA!$A$21:$H$155,8,0),0)</f>
        <v>0</v>
      </c>
      <c r="J1470" s="88">
        <f>-IFERROR(VLOOKUP(C1470,SIRTAC!$A$16:$H$1288,8,0),0)</f>
        <v>-100</v>
      </c>
      <c r="K1470" s="88">
        <f>-IFERROR(VLOOKUP(C1470,Gastos!$A$9:$J$1281,10,0),0)</f>
        <v>-97</v>
      </c>
      <c r="L1470" s="87">
        <f>-IFERROR(VLOOKUP(C1470,IDC!$A$25:$H$1532,8,0),0)</f>
        <v>-60</v>
      </c>
      <c r="M1470" s="122">
        <f t="shared" si="204"/>
        <v>10000</v>
      </c>
      <c r="N1470"/>
      <c r="P1470" s="35">
        <f t="shared" si="202"/>
        <v>-10000</v>
      </c>
      <c r="Q1470" s="66">
        <f t="shared" si="203"/>
        <v>0</v>
      </c>
    </row>
    <row r="1471" spans="1:17" hidden="1">
      <c r="A1471" s="1" t="s">
        <v>1578</v>
      </c>
      <c r="B1471" s="1" t="s">
        <v>15</v>
      </c>
      <c r="C1471" s="91">
        <v>127250134163</v>
      </c>
      <c r="D1471" s="3">
        <v>216474.49</v>
      </c>
      <c r="E1471" s="3">
        <v>11686982.289999999</v>
      </c>
      <c r="F1471" s="35" t="s">
        <v>2750</v>
      </c>
      <c r="G1471"/>
      <c r="H1471"/>
      <c r="I1471" s="27">
        <f>-IFERROR(VLOOKUP(C1471,SIRCUPA!$A$21:$H$155,8,0),0)</f>
        <v>0</v>
      </c>
      <c r="J1471" s="88">
        <f>-IFERROR(VLOOKUP(C1471,SIRTAC!$A$16:$H$1288,8,0),0)</f>
        <v>-2237</v>
      </c>
      <c r="K1471" s="88">
        <f>-IFERROR(VLOOKUP(C1471,Gastos!$A$9:$J$1281,10,0),0)</f>
        <v>-3646.31</v>
      </c>
      <c r="L1471" s="87">
        <f>-IFERROR(VLOOKUP(C1471,IDC!$A$25:$H$1532,8,0),0)</f>
        <v>-1342.2</v>
      </c>
      <c r="M1471" s="122">
        <f t="shared" si="204"/>
        <v>223700</v>
      </c>
      <c r="N1471"/>
      <c r="P1471" s="35">
        <f t="shared" si="202"/>
        <v>-223700</v>
      </c>
      <c r="Q1471" s="66">
        <f t="shared" si="203"/>
        <v>0</v>
      </c>
    </row>
    <row r="1472" spans="1:17" hidden="1">
      <c r="A1472" s="1" t="s">
        <v>1578</v>
      </c>
      <c r="B1472" s="1" t="s">
        <v>15</v>
      </c>
      <c r="C1472" s="91">
        <v>127812138404</v>
      </c>
      <c r="D1472" s="3">
        <v>22506.33</v>
      </c>
      <c r="E1472" s="3">
        <v>11709488.619999999</v>
      </c>
      <c r="F1472" s="35" t="s">
        <v>2750</v>
      </c>
      <c r="G1472"/>
      <c r="H1472"/>
      <c r="I1472" s="27">
        <f>-IFERROR(VLOOKUP(C1472,SIRCUPA!$A$21:$H$155,8,0),0)</f>
        <v>0</v>
      </c>
      <c r="J1472" s="88">
        <f>-IFERROR(VLOOKUP(C1472,SIRTAC!$A$16:$H$1288,8,0),0)</f>
        <v>-231</v>
      </c>
      <c r="K1472" s="88">
        <f>-IFERROR(VLOOKUP(C1472,Gastos!$A$9:$J$1281,10,0),0)</f>
        <v>-224.07</v>
      </c>
      <c r="L1472" s="87">
        <f>-IFERROR(VLOOKUP(C1472,IDC!$A$25:$H$1532,8,0),0)</f>
        <v>-138.6</v>
      </c>
      <c r="M1472" s="122">
        <f t="shared" si="204"/>
        <v>23100</v>
      </c>
      <c r="N1472"/>
      <c r="P1472" s="35">
        <f t="shared" si="202"/>
        <v>-23100</v>
      </c>
      <c r="Q1472" s="66">
        <f t="shared" si="203"/>
        <v>0</v>
      </c>
    </row>
    <row r="1473" spans="1:17" hidden="1">
      <c r="A1473" s="1" t="s">
        <v>1578</v>
      </c>
      <c r="B1473" s="1" t="s">
        <v>1608</v>
      </c>
      <c r="C1473" s="91">
        <v>127250089189</v>
      </c>
      <c r="D1473" s="3">
        <v>1130.74</v>
      </c>
      <c r="E1473" s="3">
        <v>11710619.359999999</v>
      </c>
      <c r="F1473" s="2" t="s">
        <v>2750</v>
      </c>
      <c r="G1473"/>
      <c r="H1473"/>
      <c r="I1473" s="27">
        <f>-IFERROR(VLOOKUP(C1473,SIRCUPA!$A$21:$H$155,8,0),0)</f>
        <v>-17.329999999999998</v>
      </c>
      <c r="J1473" s="88">
        <f>-IFERROR(VLOOKUP(C1473,SIRTAC!$A$16:$H$1288,8,0),0)</f>
        <v>0</v>
      </c>
      <c r="K1473" s="88">
        <f>-IFERROR(VLOOKUP(C1473,Gastos!$A$9:$J$1281,10,0),0)</f>
        <v>0</v>
      </c>
      <c r="L1473" s="87">
        <f>-IFERROR(VLOOKUP(C1473,IDC!$A$25:$H$1532,8,0),0)</f>
        <v>-6.93</v>
      </c>
      <c r="M1473" s="122">
        <f t="shared" si="204"/>
        <v>1155</v>
      </c>
      <c r="N1473"/>
      <c r="P1473" s="35">
        <f t="shared" si="202"/>
        <v>-1155</v>
      </c>
      <c r="Q1473" s="66">
        <f t="shared" si="203"/>
        <v>0</v>
      </c>
    </row>
    <row r="1474" spans="1:17" hidden="1">
      <c r="A1474" s="1" t="s">
        <v>1578</v>
      </c>
      <c r="B1474" s="1" t="s">
        <v>15</v>
      </c>
      <c r="C1474" s="91">
        <v>127250308065</v>
      </c>
      <c r="D1474" s="3">
        <v>16050.06</v>
      </c>
      <c r="E1474" s="3">
        <v>11726669.42</v>
      </c>
      <c r="F1474" s="35" t="s">
        <v>2750</v>
      </c>
      <c r="G1474"/>
      <c r="H1474"/>
      <c r="I1474" s="27">
        <f>-IFERROR(VLOOKUP(C1474,SIRCUPA!$A$21:$H$155,8,0),0)</f>
        <v>0</v>
      </c>
      <c r="J1474" s="88">
        <f>-IFERROR(VLOOKUP(C1474,SIRTAC!$A$16:$H$1288,8,0),0)</f>
        <v>-171</v>
      </c>
      <c r="K1474" s="88">
        <f>-IFERROR(VLOOKUP(C1474,Gastos!$A$9:$J$1281,10,0),0)</f>
        <v>-776.34</v>
      </c>
      <c r="L1474" s="87">
        <f>-IFERROR(VLOOKUP(C1474,IDC!$A$25:$H$1532,8,0),0)</f>
        <v>-102.6</v>
      </c>
      <c r="M1474" s="122">
        <f t="shared" si="204"/>
        <v>17099.999999999996</v>
      </c>
      <c r="N1474"/>
      <c r="P1474" s="35">
        <f t="shared" si="202"/>
        <v>-17100</v>
      </c>
      <c r="Q1474" s="66">
        <f t="shared" si="203"/>
        <v>0</v>
      </c>
    </row>
    <row r="1475" spans="1:17" hidden="1">
      <c r="A1475" s="1" t="s">
        <v>1578</v>
      </c>
      <c r="B1475" s="1" t="s">
        <v>15</v>
      </c>
      <c r="C1475" s="91">
        <v>127812503352</v>
      </c>
      <c r="D1475" s="3">
        <v>4411.42</v>
      </c>
      <c r="E1475" s="3">
        <v>11731080.84</v>
      </c>
      <c r="F1475" s="35" t="s">
        <v>2750</v>
      </c>
      <c r="G1475"/>
      <c r="H1475"/>
      <c r="I1475" s="27">
        <f>-IFERROR(VLOOKUP(C1475,SIRCUPA!$A$21:$H$155,8,0),0)</f>
        <v>0</v>
      </c>
      <c r="J1475" s="88">
        <f>-IFERROR(VLOOKUP(C1475,SIRTAC!$A$16:$H$1288,8,0),0)</f>
        <v>-47</v>
      </c>
      <c r="K1475" s="88">
        <f>-IFERROR(VLOOKUP(C1475,Gastos!$A$9:$J$1281,10,0),0)</f>
        <v>-213.38</v>
      </c>
      <c r="L1475" s="87">
        <f>-IFERROR(VLOOKUP(C1475,IDC!$A$25:$H$1532,8,0),0)</f>
        <v>-28.2</v>
      </c>
      <c r="M1475" s="122">
        <f t="shared" si="204"/>
        <v>4700</v>
      </c>
      <c r="N1475"/>
      <c r="P1475" s="35">
        <f t="shared" si="202"/>
        <v>-4700</v>
      </c>
      <c r="Q1475" s="66">
        <f t="shared" si="203"/>
        <v>0</v>
      </c>
    </row>
    <row r="1476" spans="1:17" hidden="1">
      <c r="A1476" s="1" t="s">
        <v>1578</v>
      </c>
      <c r="B1476" s="1" t="s">
        <v>15</v>
      </c>
      <c r="C1476" s="91">
        <v>127812707210</v>
      </c>
      <c r="D1476" s="3">
        <v>19486</v>
      </c>
      <c r="E1476" s="3">
        <v>11750566.84</v>
      </c>
      <c r="F1476" s="35" t="s">
        <v>2750</v>
      </c>
      <c r="G1476"/>
      <c r="H1476"/>
      <c r="I1476" s="27">
        <f>-IFERROR(VLOOKUP(C1476,SIRCUPA!$A$21:$H$155,8,0),0)</f>
        <v>0</v>
      </c>
      <c r="J1476" s="88">
        <f>-IFERROR(VLOOKUP(C1476,SIRTAC!$A$16:$H$1288,8,0),0)</f>
        <v>-200</v>
      </c>
      <c r="K1476" s="88">
        <f>-IFERROR(VLOOKUP(C1476,Gastos!$A$9:$J$1281,10,0),0)</f>
        <v>-194</v>
      </c>
      <c r="L1476" s="87">
        <f>-IFERROR(VLOOKUP(C1476,IDC!$A$25:$H$1532,8,0),0)</f>
        <v>-120</v>
      </c>
      <c r="M1476" s="122">
        <f t="shared" si="204"/>
        <v>20000</v>
      </c>
      <c r="N1476"/>
      <c r="P1476" s="35">
        <f t="shared" si="202"/>
        <v>-20000</v>
      </c>
      <c r="Q1476" s="66">
        <f t="shared" si="203"/>
        <v>0</v>
      </c>
    </row>
    <row r="1477" spans="1:17" hidden="1">
      <c r="A1477" s="1" t="s">
        <v>1578</v>
      </c>
      <c r="B1477" s="1" t="s">
        <v>15</v>
      </c>
      <c r="C1477" s="91">
        <v>127812796320</v>
      </c>
      <c r="D1477" s="3">
        <v>5163.79</v>
      </c>
      <c r="E1477" s="3">
        <v>11755730.630000001</v>
      </c>
      <c r="F1477" s="35" t="s">
        <v>2750</v>
      </c>
      <c r="G1477"/>
      <c r="H1477"/>
      <c r="I1477" s="27">
        <f>-IFERROR(VLOOKUP(C1477,SIRCUPA!$A$21:$H$155,8,0),0)</f>
        <v>0</v>
      </c>
      <c r="J1477" s="88">
        <f>-IFERROR(VLOOKUP(C1477,SIRTAC!$A$16:$H$1288,8,0),0)</f>
        <v>-53</v>
      </c>
      <c r="K1477" s="88">
        <f>-IFERROR(VLOOKUP(C1477,Gastos!$A$9:$J$1281,10,0),0)</f>
        <v>-51.41</v>
      </c>
      <c r="L1477" s="87">
        <f>-IFERROR(VLOOKUP(C1477,IDC!$A$25:$H$1532,8,0),0)</f>
        <v>-31.8</v>
      </c>
      <c r="M1477" s="122">
        <f t="shared" si="204"/>
        <v>5300</v>
      </c>
      <c r="N1477"/>
      <c r="P1477" s="35">
        <f t="shared" si="202"/>
        <v>-5300</v>
      </c>
      <c r="Q1477" s="66">
        <f t="shared" si="203"/>
        <v>0</v>
      </c>
    </row>
    <row r="1478" spans="1:17" hidden="1">
      <c r="A1478" s="1" t="s">
        <v>1578</v>
      </c>
      <c r="B1478" s="1" t="s">
        <v>15</v>
      </c>
      <c r="C1478" s="91">
        <v>127251212637</v>
      </c>
      <c r="D1478" s="3">
        <v>4579.21</v>
      </c>
      <c r="E1478" s="3">
        <v>11760309.84</v>
      </c>
      <c r="F1478" s="35" t="s">
        <v>2750</v>
      </c>
      <c r="G1478"/>
      <c r="H1478"/>
      <c r="I1478" s="27">
        <f>-IFERROR(VLOOKUP(C1478,SIRCUPA!$A$21:$H$155,8,0),0)</f>
        <v>0</v>
      </c>
      <c r="J1478" s="88">
        <f>-IFERROR(VLOOKUP(C1478,SIRTAC!$A$16:$H$1288,8,0),0)</f>
        <v>-47</v>
      </c>
      <c r="K1478" s="88">
        <f>-IFERROR(VLOOKUP(C1478,Gastos!$A$9:$J$1281,10,0),0)</f>
        <v>-45.59</v>
      </c>
      <c r="L1478" s="87">
        <f>-IFERROR(VLOOKUP(C1478,IDC!$A$25:$H$1532,8,0),0)</f>
        <v>-28.2</v>
      </c>
      <c r="M1478" s="122">
        <f t="shared" si="204"/>
        <v>4700</v>
      </c>
      <c r="N1478"/>
      <c r="P1478" s="35">
        <f t="shared" si="202"/>
        <v>-4700</v>
      </c>
      <c r="Q1478" s="66">
        <f t="shared" si="203"/>
        <v>0</v>
      </c>
    </row>
    <row r="1479" spans="1:17" hidden="1">
      <c r="A1479" s="1" t="s">
        <v>1578</v>
      </c>
      <c r="B1479" s="1" t="s">
        <v>15</v>
      </c>
      <c r="C1479" s="91">
        <v>127813504204</v>
      </c>
      <c r="D1479" s="3">
        <v>19778.29</v>
      </c>
      <c r="E1479" s="3">
        <v>11780088.130000001</v>
      </c>
      <c r="F1479" s="35" t="s">
        <v>2750</v>
      </c>
      <c r="G1479"/>
      <c r="H1479"/>
      <c r="I1479" s="27">
        <f>-IFERROR(VLOOKUP(C1479,SIRCUPA!$A$21:$H$155,8,0),0)</f>
        <v>0</v>
      </c>
      <c r="J1479" s="88">
        <f>-IFERROR(VLOOKUP(C1479,SIRTAC!$A$16:$H$1288,8,0),0)</f>
        <v>-203</v>
      </c>
      <c r="K1479" s="88">
        <f>-IFERROR(VLOOKUP(C1479,Gastos!$A$9:$J$1281,10,0),0)</f>
        <v>-196.91</v>
      </c>
      <c r="L1479" s="87">
        <f>-IFERROR(VLOOKUP(C1479,IDC!$A$25:$H$1532,8,0),0)</f>
        <v>-121.8</v>
      </c>
      <c r="M1479" s="122">
        <f t="shared" si="204"/>
        <v>20300</v>
      </c>
      <c r="N1479"/>
      <c r="P1479" s="35">
        <f t="shared" si="202"/>
        <v>-20300</v>
      </c>
      <c r="Q1479" s="66">
        <f t="shared" si="203"/>
        <v>0</v>
      </c>
    </row>
    <row r="1480" spans="1:17" hidden="1">
      <c r="A1480" s="1" t="s">
        <v>1578</v>
      </c>
      <c r="B1480" s="1" t="s">
        <v>15</v>
      </c>
      <c r="C1480" s="91">
        <v>127813395904</v>
      </c>
      <c r="D1480" s="3">
        <v>8281.5499999999993</v>
      </c>
      <c r="E1480" s="3">
        <v>11788369.68</v>
      </c>
      <c r="F1480" s="35" t="s">
        <v>2750</v>
      </c>
      <c r="G1480"/>
      <c r="H1480"/>
      <c r="I1480" s="27">
        <f>-IFERROR(VLOOKUP(C1480,SIRCUPA!$A$21:$H$155,8,0),0)</f>
        <v>0</v>
      </c>
      <c r="J1480" s="88">
        <f>-IFERROR(VLOOKUP(C1480,SIRTAC!$A$16:$H$1288,8,0),0)</f>
        <v>-85</v>
      </c>
      <c r="K1480" s="88">
        <f>-IFERROR(VLOOKUP(C1480,Gastos!$A$9:$J$1281,10,0),0)</f>
        <v>-82.45</v>
      </c>
      <c r="L1480" s="87">
        <f>-IFERROR(VLOOKUP(C1480,IDC!$A$25:$H$1532,8,0),0)</f>
        <v>-51</v>
      </c>
      <c r="M1480" s="122">
        <f t="shared" si="204"/>
        <v>8500</v>
      </c>
      <c r="N1480"/>
      <c r="P1480" s="35">
        <f t="shared" si="202"/>
        <v>-8500</v>
      </c>
      <c r="Q1480" s="66">
        <f t="shared" si="203"/>
        <v>0</v>
      </c>
    </row>
    <row r="1481" spans="1:17" hidden="1">
      <c r="A1481" s="1" t="s">
        <v>1578</v>
      </c>
      <c r="B1481" s="1" t="s">
        <v>1617</v>
      </c>
      <c r="C1481" s="91">
        <v>127813504838</v>
      </c>
      <c r="D1481" s="2">
        <v>832.15</v>
      </c>
      <c r="E1481" s="3">
        <v>11789201.83</v>
      </c>
      <c r="F1481" s="2" t="s">
        <v>2750</v>
      </c>
      <c r="G1481"/>
      <c r="H1481"/>
      <c r="I1481" s="27">
        <f>-IFERROR(VLOOKUP(C1481,SIRCUPA!$A$21:$H$155,8,0),0)</f>
        <v>-12.75</v>
      </c>
      <c r="J1481" s="88">
        <f>-IFERROR(VLOOKUP(C1481,SIRTAC!$A$16:$H$1288,8,0),0)</f>
        <v>0</v>
      </c>
      <c r="K1481" s="88">
        <f>-IFERROR(VLOOKUP(C1481,Gastos!$A$9:$J$1281,10,0),0)</f>
        <v>0</v>
      </c>
      <c r="L1481" s="87">
        <f>-IFERROR(VLOOKUP(C1481,IDC!$A$25:$H$1532,8,0),0)</f>
        <v>-5.0999999999999996</v>
      </c>
      <c r="M1481" s="122">
        <f t="shared" si="204"/>
        <v>850</v>
      </c>
      <c r="N1481"/>
      <c r="P1481" s="35">
        <f t="shared" si="202"/>
        <v>-849.99999999999989</v>
      </c>
      <c r="Q1481" s="66">
        <f t="shared" si="203"/>
        <v>0</v>
      </c>
    </row>
    <row r="1482" spans="1:17" hidden="1">
      <c r="A1482" s="1" t="s">
        <v>1578</v>
      </c>
      <c r="B1482" s="1" t="s">
        <v>15</v>
      </c>
      <c r="C1482" s="91">
        <v>127251614945</v>
      </c>
      <c r="D1482" s="3">
        <v>20850.02</v>
      </c>
      <c r="E1482" s="3">
        <v>11810051.85</v>
      </c>
      <c r="F1482" s="35" t="s">
        <v>2750</v>
      </c>
      <c r="G1482"/>
      <c r="H1482"/>
      <c r="I1482" s="27">
        <f>-IFERROR(VLOOKUP(C1482,SIRCUPA!$A$21:$H$155,8,0),0)</f>
        <v>0</v>
      </c>
      <c r="J1482" s="88">
        <f>-IFERROR(VLOOKUP(C1482,SIRTAC!$A$16:$H$1288,8,0),0)</f>
        <v>-214</v>
      </c>
      <c r="K1482" s="88">
        <f>-IFERROR(VLOOKUP(C1482,Gastos!$A$9:$J$1281,10,0),0)</f>
        <v>-207.58</v>
      </c>
      <c r="L1482" s="87">
        <f>-IFERROR(VLOOKUP(C1482,IDC!$A$25:$H$1532,8,0),0)</f>
        <v>-128.4</v>
      </c>
      <c r="M1482" s="122">
        <f t="shared" si="204"/>
        <v>21400.000000000004</v>
      </c>
      <c r="N1482"/>
      <c r="P1482" s="35">
        <f t="shared" si="202"/>
        <v>-21400</v>
      </c>
      <c r="Q1482" s="66">
        <f t="shared" si="203"/>
        <v>0</v>
      </c>
    </row>
    <row r="1483" spans="1:17" hidden="1">
      <c r="A1483" s="1" t="s">
        <v>1578</v>
      </c>
      <c r="B1483" s="1" t="s">
        <v>15</v>
      </c>
      <c r="C1483" s="91">
        <v>127251757799</v>
      </c>
      <c r="D1483" s="3">
        <v>14127.35</v>
      </c>
      <c r="E1483" s="3">
        <v>11824179.199999999</v>
      </c>
      <c r="F1483" s="35" t="s">
        <v>2750</v>
      </c>
      <c r="G1483"/>
      <c r="H1483"/>
      <c r="I1483" s="27">
        <f>-IFERROR(VLOOKUP(C1483,SIRCUPA!$A$21:$H$155,8,0),0)</f>
        <v>0</v>
      </c>
      <c r="J1483" s="88">
        <f>-IFERROR(VLOOKUP(C1483,SIRTAC!$A$16:$H$1288,8,0),0)</f>
        <v>-145</v>
      </c>
      <c r="K1483" s="88">
        <f>-IFERROR(VLOOKUP(C1483,Gastos!$A$9:$J$1281,10,0),0)</f>
        <v>-140.65</v>
      </c>
      <c r="L1483" s="87">
        <f>-IFERROR(VLOOKUP(C1483,IDC!$A$25:$H$1532,8,0),0)</f>
        <v>-87</v>
      </c>
      <c r="M1483" s="122">
        <f t="shared" si="204"/>
        <v>14500</v>
      </c>
      <c r="N1483"/>
      <c r="P1483" s="35">
        <f t="shared" si="202"/>
        <v>-14500</v>
      </c>
      <c r="Q1483" s="66">
        <f t="shared" si="203"/>
        <v>0</v>
      </c>
    </row>
    <row r="1484" spans="1:17" hidden="1">
      <c r="A1484" s="1" t="s">
        <v>1578</v>
      </c>
      <c r="B1484" s="1" t="s">
        <v>15</v>
      </c>
      <c r="C1484" s="91">
        <v>127813895138</v>
      </c>
      <c r="D1484" s="3">
        <v>22214.04</v>
      </c>
      <c r="E1484" s="3">
        <v>11846393.24</v>
      </c>
      <c r="F1484" s="35" t="s">
        <v>2750</v>
      </c>
      <c r="G1484"/>
      <c r="H1484"/>
      <c r="I1484" s="27">
        <f>-IFERROR(VLOOKUP(C1484,SIRCUPA!$A$21:$H$155,8,0),0)</f>
        <v>0</v>
      </c>
      <c r="J1484" s="88">
        <f>-IFERROR(VLOOKUP(C1484,SIRTAC!$A$16:$H$1288,8,0),0)</f>
        <v>-228</v>
      </c>
      <c r="K1484" s="88">
        <f>-IFERROR(VLOOKUP(C1484,Gastos!$A$9:$J$1281,10,0),0)</f>
        <v>-221.16</v>
      </c>
      <c r="L1484" s="87">
        <f>-IFERROR(VLOOKUP(C1484,IDC!$A$25:$H$1532,8,0),0)</f>
        <v>-136.80000000000001</v>
      </c>
      <c r="M1484" s="122">
        <f t="shared" si="204"/>
        <v>22800</v>
      </c>
      <c r="N1484"/>
      <c r="P1484" s="35">
        <f t="shared" si="202"/>
        <v>-22800</v>
      </c>
      <c r="Q1484" s="66">
        <f t="shared" si="203"/>
        <v>0</v>
      </c>
    </row>
    <row r="1485" spans="1:17" hidden="1">
      <c r="A1485" s="1" t="s">
        <v>1578</v>
      </c>
      <c r="B1485" s="1" t="s">
        <v>15</v>
      </c>
      <c r="C1485" s="91">
        <v>127813946890</v>
      </c>
      <c r="D1485" s="3">
        <v>112125.65</v>
      </c>
      <c r="E1485" s="3">
        <v>11958518.890000001</v>
      </c>
      <c r="F1485" s="35" t="s">
        <v>2750</v>
      </c>
      <c r="G1485"/>
      <c r="H1485"/>
      <c r="I1485" s="27">
        <f>-IFERROR(VLOOKUP(C1485,SIRCUPA!$A$21:$H$155,8,0),0)</f>
        <v>0</v>
      </c>
      <c r="J1485" s="88">
        <f>-IFERROR(VLOOKUP(C1485,SIRTAC!$A$16:$H$1288,8,0),0)</f>
        <v>-1235</v>
      </c>
      <c r="K1485" s="88">
        <f>-IFERROR(VLOOKUP(C1485,Gastos!$A$9:$J$1281,10,0),0)</f>
        <v>-9398.35</v>
      </c>
      <c r="L1485" s="87">
        <f>-IFERROR(VLOOKUP(C1485,IDC!$A$25:$H$1532,8,0),0)</f>
        <v>-741</v>
      </c>
      <c r="M1485" s="122">
        <f t="shared" si="204"/>
        <v>123500</v>
      </c>
      <c r="N1485"/>
      <c r="P1485" s="35">
        <f t="shared" si="202"/>
        <v>-123500</v>
      </c>
      <c r="Q1485" s="66">
        <f t="shared" si="203"/>
        <v>0</v>
      </c>
    </row>
    <row r="1486" spans="1:17" hidden="1">
      <c r="A1486" s="1" t="s">
        <v>1578</v>
      </c>
      <c r="B1486" s="1" t="s">
        <v>1623</v>
      </c>
      <c r="C1486" s="91">
        <v>127251920723</v>
      </c>
      <c r="D1486" s="3">
        <v>12090.65</v>
      </c>
      <c r="E1486" s="3">
        <v>11970609.539999999</v>
      </c>
      <c r="F1486" s="2" t="s">
        <v>2750</v>
      </c>
      <c r="G1486"/>
      <c r="H1486"/>
      <c r="I1486" s="27">
        <f>-IFERROR(VLOOKUP(C1486,SIRCUPA!$A$21:$H$155,8,0),0)</f>
        <v>-185.25</v>
      </c>
      <c r="J1486" s="88">
        <f>-IFERROR(VLOOKUP(C1486,SIRTAC!$A$16:$H$1288,8,0),0)</f>
        <v>0</v>
      </c>
      <c r="K1486" s="88">
        <f>-IFERROR(VLOOKUP(C1486,Gastos!$A$9:$J$1281,10,0),0)</f>
        <v>0</v>
      </c>
      <c r="L1486" s="87">
        <f>-IFERROR(VLOOKUP(C1486,IDC!$A$25:$H$1532,8,0),0)</f>
        <v>-74.099999999999994</v>
      </c>
      <c r="M1486" s="122">
        <f t="shared" si="204"/>
        <v>12350</v>
      </c>
      <c r="N1486"/>
      <c r="P1486" s="35">
        <f t="shared" si="202"/>
        <v>-12349.999999999998</v>
      </c>
      <c r="Q1486" s="66">
        <f t="shared" si="203"/>
        <v>0</v>
      </c>
    </row>
    <row r="1487" spans="1:17" hidden="1">
      <c r="A1487" s="1" t="s">
        <v>1578</v>
      </c>
      <c r="B1487" s="1" t="s">
        <v>15</v>
      </c>
      <c r="C1487" s="91">
        <v>127813968884</v>
      </c>
      <c r="D1487" s="3">
        <v>18121.98</v>
      </c>
      <c r="E1487" s="3">
        <v>11988731.52</v>
      </c>
      <c r="F1487" s="35" t="s">
        <v>2750</v>
      </c>
      <c r="G1487"/>
      <c r="H1487"/>
      <c r="I1487" s="27">
        <f>-IFERROR(VLOOKUP(C1487,SIRCUPA!$A$21:$H$155,8,0),0)</f>
        <v>0</v>
      </c>
      <c r="J1487" s="88">
        <f>-IFERROR(VLOOKUP(C1487,SIRTAC!$A$16:$H$1288,8,0),0)</f>
        <v>-186</v>
      </c>
      <c r="K1487" s="88">
        <f>-IFERROR(VLOOKUP(C1487,Gastos!$A$9:$J$1281,10,0),0)</f>
        <v>-180.42</v>
      </c>
      <c r="L1487" s="87">
        <f>-IFERROR(VLOOKUP(C1487,IDC!$A$25:$H$1532,8,0),0)</f>
        <v>-111.6</v>
      </c>
      <c r="M1487" s="122">
        <f t="shared" si="204"/>
        <v>18599.999999999996</v>
      </c>
      <c r="N1487"/>
      <c r="P1487" s="35">
        <f t="shared" si="202"/>
        <v>-18600</v>
      </c>
      <c r="Q1487" s="66">
        <f t="shared" si="203"/>
        <v>0</v>
      </c>
    </row>
    <row r="1488" spans="1:17" hidden="1">
      <c r="A1488" s="1" t="s">
        <v>1578</v>
      </c>
      <c r="B1488" s="1" t="s">
        <v>15</v>
      </c>
      <c r="C1488" s="91">
        <v>127814011646</v>
      </c>
      <c r="D1488" s="3">
        <v>10912.16</v>
      </c>
      <c r="E1488" s="3">
        <v>11999643.68</v>
      </c>
      <c r="F1488" s="35" t="s">
        <v>2750</v>
      </c>
      <c r="G1488"/>
      <c r="H1488"/>
      <c r="I1488" s="27">
        <f>-IFERROR(VLOOKUP(C1488,SIRCUPA!$A$21:$H$155,8,0),0)</f>
        <v>0</v>
      </c>
      <c r="J1488" s="88">
        <f>-IFERROR(VLOOKUP(C1488,SIRTAC!$A$16:$H$1288,8,0),0)</f>
        <v>-112</v>
      </c>
      <c r="K1488" s="88">
        <f>-IFERROR(VLOOKUP(C1488,Gastos!$A$9:$J$1281,10,0),0)</f>
        <v>-108.64</v>
      </c>
      <c r="L1488" s="87">
        <f>-IFERROR(VLOOKUP(C1488,IDC!$A$25:$H$1532,8,0),0)</f>
        <v>-67.2</v>
      </c>
      <c r="M1488" s="122">
        <f t="shared" si="204"/>
        <v>11200</v>
      </c>
      <c r="N1488"/>
      <c r="P1488" s="35">
        <f t="shared" si="202"/>
        <v>-11200</v>
      </c>
      <c r="Q1488" s="66">
        <f t="shared" si="203"/>
        <v>0</v>
      </c>
    </row>
    <row r="1489" spans="1:17" hidden="1">
      <c r="A1489" s="1" t="s">
        <v>1578</v>
      </c>
      <c r="B1489" s="1" t="s">
        <v>15</v>
      </c>
      <c r="C1489" s="91">
        <v>127814092122</v>
      </c>
      <c r="D1489" s="3">
        <v>12958.19</v>
      </c>
      <c r="E1489" s="3">
        <v>12012601.869999999</v>
      </c>
      <c r="F1489" s="35" t="s">
        <v>2750</v>
      </c>
      <c r="G1489"/>
      <c r="H1489"/>
      <c r="I1489" s="27">
        <f>-IFERROR(VLOOKUP(C1489,SIRCUPA!$A$21:$H$155,8,0),0)</f>
        <v>0</v>
      </c>
      <c r="J1489" s="88">
        <f>-IFERROR(VLOOKUP(C1489,SIRTAC!$A$16:$H$1288,8,0),0)</f>
        <v>-133</v>
      </c>
      <c r="K1489" s="88">
        <f>-IFERROR(VLOOKUP(C1489,Gastos!$A$9:$J$1281,10,0),0)</f>
        <v>-129.01</v>
      </c>
      <c r="L1489" s="87">
        <f>-IFERROR(VLOOKUP(C1489,IDC!$A$25:$H$1532,8,0),0)</f>
        <v>-79.8</v>
      </c>
      <c r="M1489" s="122">
        <f t="shared" si="204"/>
        <v>13300</v>
      </c>
      <c r="N1489"/>
      <c r="P1489" s="35">
        <f t="shared" si="202"/>
        <v>-13300</v>
      </c>
      <c r="Q1489" s="66">
        <f t="shared" si="203"/>
        <v>0</v>
      </c>
    </row>
    <row r="1490" spans="1:17" hidden="1">
      <c r="A1490" s="1" t="s">
        <v>1578</v>
      </c>
      <c r="B1490" s="1" t="s">
        <v>15</v>
      </c>
      <c r="C1490" s="91">
        <v>127252116403</v>
      </c>
      <c r="D1490" s="3">
        <v>4579.21</v>
      </c>
      <c r="E1490" s="3">
        <v>12017181.08</v>
      </c>
      <c r="F1490" s="35" t="s">
        <v>2750</v>
      </c>
      <c r="G1490"/>
      <c r="H1490"/>
      <c r="I1490" s="27">
        <f>-IFERROR(VLOOKUP(C1490,SIRCUPA!$A$21:$H$155,8,0),0)</f>
        <v>0</v>
      </c>
      <c r="J1490" s="88">
        <f>-IFERROR(VLOOKUP(C1490,SIRTAC!$A$16:$H$1288,8,0),0)</f>
        <v>-47</v>
      </c>
      <c r="K1490" s="88">
        <f>-IFERROR(VLOOKUP(C1490,Gastos!$A$9:$J$1281,10,0),0)</f>
        <v>-45.59</v>
      </c>
      <c r="L1490" s="87">
        <f>-IFERROR(VLOOKUP(C1490,IDC!$A$25:$H$1532,8,0),0)</f>
        <v>-28.2</v>
      </c>
      <c r="M1490" s="122">
        <f t="shared" si="204"/>
        <v>4700</v>
      </c>
      <c r="N1490"/>
      <c r="P1490" s="35">
        <f t="shared" si="202"/>
        <v>-4700</v>
      </c>
      <c r="Q1490" s="66">
        <f t="shared" si="203"/>
        <v>0</v>
      </c>
    </row>
    <row r="1491" spans="1:17" hidden="1">
      <c r="A1491" s="1" t="s">
        <v>1578</v>
      </c>
      <c r="B1491" s="1" t="s">
        <v>15</v>
      </c>
      <c r="C1491" s="91">
        <v>127252236479</v>
      </c>
      <c r="D1491" s="3">
        <v>22879.08</v>
      </c>
      <c r="E1491" s="3">
        <v>12040060.16</v>
      </c>
      <c r="F1491" s="35" t="s">
        <v>2750</v>
      </c>
      <c r="G1491"/>
      <c r="H1491"/>
      <c r="I1491" s="27">
        <f>-IFERROR(VLOOKUP(C1491,SIRCUPA!$A$21:$H$155,8,0),0)</f>
        <v>0</v>
      </c>
      <c r="J1491" s="88">
        <f>-IFERROR(VLOOKUP(C1491,SIRTAC!$A$16:$H$1288,8,0),0)</f>
        <v>-252</v>
      </c>
      <c r="K1491" s="88">
        <f>-IFERROR(VLOOKUP(C1491,Gastos!$A$9:$J$1281,10,0),0)</f>
        <v>-1917.72</v>
      </c>
      <c r="L1491" s="87">
        <f>-IFERROR(VLOOKUP(C1491,IDC!$A$25:$H$1532,8,0),0)</f>
        <v>-151.19999999999999</v>
      </c>
      <c r="M1491" s="122">
        <f t="shared" ref="M1491:M1522" si="205">+D1491-I1491-J1491-K1491-L1491</f>
        <v>25200.000000000004</v>
      </c>
      <c r="N1491"/>
      <c r="P1491" s="35">
        <f t="shared" ref="P1491:P1538" si="206">+L1491/0.006</f>
        <v>-25199.999999999996</v>
      </c>
      <c r="Q1491" s="66">
        <f t="shared" ref="Q1491:Q1538" si="207">+M1491+P1491</f>
        <v>0</v>
      </c>
    </row>
    <row r="1492" spans="1:17" hidden="1">
      <c r="A1492" s="1" t="s">
        <v>1578</v>
      </c>
      <c r="B1492" s="1" t="s">
        <v>15</v>
      </c>
      <c r="C1492" s="91">
        <v>127814176098</v>
      </c>
      <c r="D1492" s="3">
        <v>19680.86</v>
      </c>
      <c r="E1492" s="3">
        <v>12059741.02</v>
      </c>
      <c r="F1492" s="35" t="s">
        <v>2750</v>
      </c>
      <c r="G1492"/>
      <c r="H1492"/>
      <c r="I1492" s="27">
        <f>-IFERROR(VLOOKUP(C1492,SIRCUPA!$A$21:$H$155,8,0),0)</f>
        <v>0</v>
      </c>
      <c r="J1492" s="88">
        <f>-IFERROR(VLOOKUP(C1492,SIRTAC!$A$16:$H$1288,8,0),0)</f>
        <v>-202</v>
      </c>
      <c r="K1492" s="88">
        <f>-IFERROR(VLOOKUP(C1492,Gastos!$A$9:$J$1281,10,0),0)</f>
        <v>-195.94</v>
      </c>
      <c r="L1492" s="87">
        <f>-IFERROR(VLOOKUP(C1492,IDC!$A$25:$H$1532,8,0),0)</f>
        <v>-121.2</v>
      </c>
      <c r="M1492" s="122">
        <f t="shared" si="205"/>
        <v>20200</v>
      </c>
      <c r="N1492"/>
      <c r="P1492" s="35">
        <f t="shared" si="206"/>
        <v>-20200</v>
      </c>
      <c r="Q1492" s="66">
        <f t="shared" si="207"/>
        <v>0</v>
      </c>
    </row>
    <row r="1493" spans="1:17" hidden="1">
      <c r="A1493" s="1" t="s">
        <v>1578</v>
      </c>
      <c r="B1493" s="1" t="s">
        <v>1631</v>
      </c>
      <c r="C1493" s="91">
        <v>127252239517</v>
      </c>
      <c r="D1493" s="2">
        <v>988.79</v>
      </c>
      <c r="E1493" s="3">
        <v>12060729.810000001</v>
      </c>
      <c r="F1493" s="2" t="s">
        <v>2750</v>
      </c>
      <c r="G1493"/>
      <c r="H1493"/>
      <c r="I1493" s="27">
        <f>-IFERROR(VLOOKUP(C1493,SIRCUPA!$A$21:$H$155,8,0),0)</f>
        <v>-15.15</v>
      </c>
      <c r="J1493" s="88">
        <f>-IFERROR(VLOOKUP(C1493,SIRTAC!$A$16:$H$1288,8,0),0)</f>
        <v>0</v>
      </c>
      <c r="K1493" s="88">
        <f>-IFERROR(VLOOKUP(C1493,Gastos!$A$9:$J$1281,10,0),0)</f>
        <v>0</v>
      </c>
      <c r="L1493" s="87">
        <f>-IFERROR(VLOOKUP(C1493,IDC!$A$25:$H$1532,8,0),0)</f>
        <v>-6.06</v>
      </c>
      <c r="M1493" s="122">
        <f t="shared" si="205"/>
        <v>1009.9999999999999</v>
      </c>
      <c r="N1493"/>
      <c r="P1493" s="35">
        <f t="shared" si="206"/>
        <v>-1009.9999999999999</v>
      </c>
      <c r="Q1493" s="66">
        <f t="shared" si="207"/>
        <v>0</v>
      </c>
    </row>
    <row r="1494" spans="1:17" hidden="1">
      <c r="A1494" s="1" t="s">
        <v>1578</v>
      </c>
      <c r="B1494" s="1" t="s">
        <v>15</v>
      </c>
      <c r="C1494" s="91">
        <v>127814289146</v>
      </c>
      <c r="D1494" s="3">
        <v>14526.4</v>
      </c>
      <c r="E1494" s="3">
        <v>12075256.210000001</v>
      </c>
      <c r="F1494" s="35" t="s">
        <v>2750</v>
      </c>
      <c r="G1494"/>
      <c r="H1494"/>
      <c r="I1494" s="27">
        <f>-IFERROR(VLOOKUP(C1494,SIRCUPA!$A$21:$H$155,8,0),0)</f>
        <v>0</v>
      </c>
      <c r="J1494" s="88">
        <f>-IFERROR(VLOOKUP(C1494,SIRTAC!$A$16:$H$1288,8,0),0)</f>
        <v>-160</v>
      </c>
      <c r="K1494" s="88">
        <f>-IFERROR(VLOOKUP(C1494,Gastos!$A$9:$J$1281,10,0),0)</f>
        <v>-1217.5999999999999</v>
      </c>
      <c r="L1494" s="87">
        <f>-IFERROR(VLOOKUP(C1494,IDC!$A$25:$H$1532,8,0),0)</f>
        <v>-96</v>
      </c>
      <c r="M1494" s="122">
        <f t="shared" si="205"/>
        <v>16000</v>
      </c>
      <c r="N1494"/>
      <c r="P1494" s="35">
        <f t="shared" si="206"/>
        <v>-16000</v>
      </c>
      <c r="Q1494" s="66">
        <f t="shared" si="207"/>
        <v>0</v>
      </c>
    </row>
    <row r="1495" spans="1:17" hidden="1">
      <c r="A1495" s="1" t="s">
        <v>1578</v>
      </c>
      <c r="B1495" s="1" t="s">
        <v>19</v>
      </c>
      <c r="C1495" s="91">
        <v>127252261571</v>
      </c>
      <c r="D1495" s="2">
        <v>783.2</v>
      </c>
      <c r="E1495" s="3">
        <v>12076039.41</v>
      </c>
      <c r="F1495" s="2" t="s">
        <v>2750</v>
      </c>
      <c r="G1495"/>
      <c r="H1495"/>
      <c r="I1495" s="27">
        <f>-IFERROR(VLOOKUP(C1495,SIRCUPA!$A$21:$H$155,8,0),0)</f>
        <v>-12</v>
      </c>
      <c r="J1495" s="88">
        <f>-IFERROR(VLOOKUP(C1495,SIRTAC!$A$16:$H$1288,8,0),0)</f>
        <v>0</v>
      </c>
      <c r="K1495" s="88">
        <f>-IFERROR(VLOOKUP(C1495,Gastos!$A$9:$J$1281,10,0),0)</f>
        <v>0</v>
      </c>
      <c r="L1495" s="87">
        <f>-IFERROR(VLOOKUP(C1495,IDC!$A$25:$H$1532,8,0),0)</f>
        <v>-4.8</v>
      </c>
      <c r="M1495" s="122">
        <f t="shared" si="205"/>
        <v>800</v>
      </c>
      <c r="N1495"/>
      <c r="P1495" s="35">
        <f t="shared" si="206"/>
        <v>-800</v>
      </c>
      <c r="Q1495" s="66">
        <f t="shared" si="207"/>
        <v>0</v>
      </c>
    </row>
    <row r="1496" spans="1:17" hidden="1">
      <c r="A1496" s="1" t="s">
        <v>1578</v>
      </c>
      <c r="B1496" s="1" t="s">
        <v>15</v>
      </c>
      <c r="C1496" s="91">
        <v>127870626052</v>
      </c>
      <c r="D1496" s="3">
        <v>9158.42</v>
      </c>
      <c r="E1496" s="3">
        <v>12085197.83</v>
      </c>
      <c r="F1496" s="35" t="s">
        <v>2750</v>
      </c>
      <c r="G1496"/>
      <c r="H1496"/>
      <c r="I1496" s="27">
        <f>-IFERROR(VLOOKUP(C1496,SIRCUPA!$A$21:$H$155,8,0),0)</f>
        <v>0</v>
      </c>
      <c r="J1496" s="88">
        <f>-IFERROR(VLOOKUP(C1496,SIRTAC!$A$16:$H$1288,8,0),0)</f>
        <v>-94</v>
      </c>
      <c r="K1496" s="88">
        <f>-IFERROR(VLOOKUP(C1496,Gastos!$A$9:$J$1281,10,0),0)</f>
        <v>-91.18</v>
      </c>
      <c r="L1496" s="87">
        <f>-IFERROR(VLOOKUP(C1496,IDC!$A$25:$H$1532,8,0),0)</f>
        <v>-56.4</v>
      </c>
      <c r="M1496" s="122">
        <f t="shared" si="205"/>
        <v>9400</v>
      </c>
      <c r="N1496"/>
      <c r="P1496" s="35">
        <f t="shared" si="206"/>
        <v>-9400</v>
      </c>
      <c r="Q1496" s="66">
        <f t="shared" si="207"/>
        <v>0</v>
      </c>
    </row>
    <row r="1497" spans="1:17" hidden="1">
      <c r="A1497" s="1" t="s">
        <v>1578</v>
      </c>
      <c r="B1497" s="1" t="s">
        <v>15</v>
      </c>
      <c r="C1497" s="91">
        <v>127873552906</v>
      </c>
      <c r="D1497" s="3">
        <v>9158.42</v>
      </c>
      <c r="E1497" s="3">
        <v>12094356.25</v>
      </c>
      <c r="F1497" s="35" t="s">
        <v>2750</v>
      </c>
      <c r="G1497"/>
      <c r="H1497"/>
      <c r="I1497" s="27">
        <f>-IFERROR(VLOOKUP(C1497,SIRCUPA!$A$21:$H$155,8,0),0)</f>
        <v>0</v>
      </c>
      <c r="J1497" s="88">
        <f>-IFERROR(VLOOKUP(C1497,SIRTAC!$A$16:$H$1288,8,0),0)</f>
        <v>-94</v>
      </c>
      <c r="K1497" s="88">
        <f>-IFERROR(VLOOKUP(C1497,Gastos!$A$9:$J$1281,10,0),0)</f>
        <v>-91.18</v>
      </c>
      <c r="L1497" s="87">
        <f>-IFERROR(VLOOKUP(C1497,IDC!$A$25:$H$1532,8,0),0)</f>
        <v>-56.4</v>
      </c>
      <c r="M1497" s="122">
        <f t="shared" si="205"/>
        <v>9400</v>
      </c>
      <c r="N1497"/>
      <c r="P1497" s="35">
        <f t="shared" si="206"/>
        <v>-9400</v>
      </c>
      <c r="Q1497" s="66">
        <f t="shared" si="207"/>
        <v>0</v>
      </c>
    </row>
    <row r="1498" spans="1:17" hidden="1">
      <c r="A1498" s="1" t="s">
        <v>1578</v>
      </c>
      <c r="B1498" s="1" t="s">
        <v>15</v>
      </c>
      <c r="C1498" s="91">
        <v>127876039514</v>
      </c>
      <c r="D1498" s="3">
        <v>7404.68</v>
      </c>
      <c r="E1498" s="3">
        <v>12101760.93</v>
      </c>
      <c r="F1498" s="35" t="s">
        <v>2750</v>
      </c>
      <c r="G1498"/>
      <c r="H1498"/>
      <c r="I1498" s="27">
        <f>-IFERROR(VLOOKUP(C1498,SIRCUPA!$A$21:$H$155,8,0),0)</f>
        <v>0</v>
      </c>
      <c r="J1498" s="88">
        <f>-IFERROR(VLOOKUP(C1498,SIRTAC!$A$16:$H$1288,8,0),0)</f>
        <v>-76</v>
      </c>
      <c r="K1498" s="88">
        <f>-IFERROR(VLOOKUP(C1498,Gastos!$A$9:$J$1281,10,0),0)</f>
        <v>-73.72</v>
      </c>
      <c r="L1498" s="87">
        <f>-IFERROR(VLOOKUP(C1498,IDC!$A$25:$H$1532,8,0),0)</f>
        <v>-45.6</v>
      </c>
      <c r="M1498" s="122">
        <f t="shared" si="205"/>
        <v>7600.0000000000009</v>
      </c>
      <c r="N1498"/>
      <c r="P1498" s="35">
        <f t="shared" si="206"/>
        <v>-7600</v>
      </c>
      <c r="Q1498" s="66">
        <f t="shared" si="207"/>
        <v>0</v>
      </c>
    </row>
    <row r="1499" spans="1:17" hidden="1">
      <c r="A1499" s="1" t="s">
        <v>1578</v>
      </c>
      <c r="B1499" s="1" t="s">
        <v>1638</v>
      </c>
      <c r="C1499" s="91">
        <v>127876057264</v>
      </c>
      <c r="D1499" s="2">
        <v>372.02</v>
      </c>
      <c r="E1499" s="3">
        <v>12102132.949999999</v>
      </c>
      <c r="F1499" s="2" t="s">
        <v>2750</v>
      </c>
      <c r="G1499"/>
      <c r="H1499"/>
      <c r="I1499" s="27">
        <f>-IFERROR(VLOOKUP(C1499,SIRCUPA!$A$21:$H$155,8,0),0)</f>
        <v>-5.7</v>
      </c>
      <c r="J1499" s="88">
        <f>-IFERROR(VLOOKUP(C1499,SIRTAC!$A$16:$H$1288,8,0),0)</f>
        <v>0</v>
      </c>
      <c r="K1499" s="88">
        <f>-IFERROR(VLOOKUP(C1499,Gastos!$A$9:$J$1281,10,0),0)</f>
        <v>0</v>
      </c>
      <c r="L1499" s="87">
        <f>-IFERROR(VLOOKUP(C1499,IDC!$A$25:$H$1532,8,0),0)</f>
        <v>-2.2799999999999998</v>
      </c>
      <c r="M1499" s="122">
        <f t="shared" si="205"/>
        <v>379.99999999999994</v>
      </c>
      <c r="N1499"/>
      <c r="P1499" s="35">
        <f t="shared" si="206"/>
        <v>-379.99999999999994</v>
      </c>
      <c r="Q1499" s="66">
        <f t="shared" si="207"/>
        <v>0</v>
      </c>
    </row>
    <row r="1500" spans="1:17" hidden="1">
      <c r="A1500" s="1" t="s">
        <v>1578</v>
      </c>
      <c r="B1500" s="1" t="s">
        <v>15</v>
      </c>
      <c r="C1500" s="91">
        <v>127315514443</v>
      </c>
      <c r="D1500" s="3">
        <v>6757.92</v>
      </c>
      <c r="E1500" s="3">
        <v>12108890.869999999</v>
      </c>
      <c r="F1500" s="35" t="s">
        <v>2750</v>
      </c>
      <c r="G1500"/>
      <c r="H1500"/>
      <c r="I1500" s="27">
        <f>-IFERROR(VLOOKUP(C1500,SIRCUPA!$A$21:$H$155,8,0),0)</f>
        <v>0</v>
      </c>
      <c r="J1500" s="88">
        <f>-IFERROR(VLOOKUP(C1500,SIRTAC!$A$16:$H$1288,8,0),0)</f>
        <v>-72</v>
      </c>
      <c r="K1500" s="88">
        <f>-IFERROR(VLOOKUP(C1500,Gastos!$A$9:$J$1281,10,0),0)</f>
        <v>-326.88</v>
      </c>
      <c r="L1500" s="87">
        <f>-IFERROR(VLOOKUP(C1500,IDC!$A$25:$H$1532,8,0),0)</f>
        <v>-43.2</v>
      </c>
      <c r="M1500" s="122">
        <f t="shared" si="205"/>
        <v>7200</v>
      </c>
      <c r="N1500"/>
      <c r="P1500" s="35">
        <f t="shared" si="206"/>
        <v>-7200</v>
      </c>
      <c r="Q1500" s="66">
        <f t="shared" si="207"/>
        <v>0</v>
      </c>
    </row>
    <row r="1501" spans="1:17" hidden="1">
      <c r="A1501" s="1" t="s">
        <v>1578</v>
      </c>
      <c r="B1501" s="1" t="s">
        <v>15</v>
      </c>
      <c r="C1501" s="91">
        <v>127878828956</v>
      </c>
      <c r="D1501" s="3">
        <v>3897.2</v>
      </c>
      <c r="E1501" s="3">
        <v>12112788.07</v>
      </c>
      <c r="F1501" s="35" t="s">
        <v>2750</v>
      </c>
      <c r="G1501"/>
      <c r="H1501"/>
      <c r="I1501" s="27">
        <f>-IFERROR(VLOOKUP(C1501,SIRCUPA!$A$21:$H$155,8,0),0)</f>
        <v>0</v>
      </c>
      <c r="J1501" s="88">
        <f>-IFERROR(VLOOKUP(C1501,SIRTAC!$A$16:$H$1288,8,0),0)</f>
        <v>-40</v>
      </c>
      <c r="K1501" s="88">
        <f>-IFERROR(VLOOKUP(C1501,Gastos!$A$9:$J$1281,10,0),0)</f>
        <v>-38.799999999999997</v>
      </c>
      <c r="L1501" s="87">
        <f>-IFERROR(VLOOKUP(C1501,IDC!$A$25:$H$1532,8,0),0)</f>
        <v>-24</v>
      </c>
      <c r="M1501" s="122">
        <f t="shared" si="205"/>
        <v>4000</v>
      </c>
      <c r="N1501"/>
      <c r="P1501" s="35">
        <f t="shared" si="206"/>
        <v>-4000</v>
      </c>
      <c r="Q1501" s="66">
        <f t="shared" si="207"/>
        <v>0</v>
      </c>
    </row>
    <row r="1502" spans="1:17" hidden="1">
      <c r="A1502" s="1" t="s">
        <v>1578</v>
      </c>
      <c r="B1502" s="1" t="s">
        <v>15</v>
      </c>
      <c r="C1502" s="91">
        <v>127317375181</v>
      </c>
      <c r="D1502" s="3">
        <v>1997.38</v>
      </c>
      <c r="E1502" s="3">
        <v>12114785.449999999</v>
      </c>
      <c r="F1502" s="35" t="s">
        <v>2750</v>
      </c>
      <c r="G1502"/>
      <c r="H1502"/>
      <c r="I1502" s="27">
        <f>-IFERROR(VLOOKUP(C1502,SIRCUPA!$A$21:$H$155,8,0),0)</f>
        <v>0</v>
      </c>
      <c r="J1502" s="88">
        <f>-IFERROR(VLOOKUP(C1502,SIRTAC!$A$16:$H$1288,8,0),0)</f>
        <v>-22</v>
      </c>
      <c r="K1502" s="88">
        <f>-IFERROR(VLOOKUP(C1502,Gastos!$A$9:$J$1281,10,0),0)</f>
        <v>-167.42</v>
      </c>
      <c r="L1502" s="87">
        <f>-IFERROR(VLOOKUP(C1502,IDC!$A$25:$H$1532,8,0),0)</f>
        <v>-13.2</v>
      </c>
      <c r="M1502" s="122">
        <f t="shared" si="205"/>
        <v>2200</v>
      </c>
      <c r="N1502"/>
      <c r="P1502" s="35">
        <f t="shared" si="206"/>
        <v>-2200</v>
      </c>
      <c r="Q1502" s="66">
        <f t="shared" si="207"/>
        <v>0</v>
      </c>
    </row>
    <row r="1503" spans="1:17" hidden="1">
      <c r="A1503" s="1" t="s">
        <v>1578</v>
      </c>
      <c r="B1503" s="1" t="s">
        <v>15</v>
      </c>
      <c r="C1503" s="91">
        <v>127880430416</v>
      </c>
      <c r="D1503" s="3">
        <v>13698.15</v>
      </c>
      <c r="E1503" s="3">
        <v>12128483.6</v>
      </c>
      <c r="F1503" s="35" t="s">
        <v>2750</v>
      </c>
      <c r="G1503"/>
      <c r="H1503"/>
      <c r="I1503" s="27">
        <f>-IFERROR(VLOOKUP(C1503,SIRCUPA!$A$21:$H$155,8,0),0)</f>
        <v>0</v>
      </c>
      <c r="J1503" s="88">
        <f>-IFERROR(VLOOKUP(C1503,SIRTAC!$A$16:$H$1288,8,0),0)</f>
        <v>-145</v>
      </c>
      <c r="K1503" s="88">
        <f>-IFERROR(VLOOKUP(C1503,Gastos!$A$9:$J$1281,10,0),0)</f>
        <v>-569.85</v>
      </c>
      <c r="L1503" s="87">
        <f>-IFERROR(VLOOKUP(C1503,IDC!$A$25:$H$1532,8,0),0)</f>
        <v>-87</v>
      </c>
      <c r="M1503" s="122">
        <f t="shared" si="205"/>
        <v>14500</v>
      </c>
      <c r="N1503"/>
      <c r="P1503" s="35">
        <f t="shared" si="206"/>
        <v>-14500</v>
      </c>
      <c r="Q1503" s="66">
        <f t="shared" si="207"/>
        <v>0</v>
      </c>
    </row>
    <row r="1504" spans="1:17" hidden="1">
      <c r="A1504" s="1" t="s">
        <v>1578</v>
      </c>
      <c r="B1504" s="1" t="s">
        <v>15</v>
      </c>
      <c r="C1504" s="91">
        <v>127317995411</v>
      </c>
      <c r="D1504" s="3">
        <v>12858.82</v>
      </c>
      <c r="E1504" s="3">
        <v>12141342.42</v>
      </c>
      <c r="F1504" s="35" t="s">
        <v>2750</v>
      </c>
      <c r="G1504"/>
      <c r="H1504"/>
      <c r="I1504" s="27">
        <f>-IFERROR(VLOOKUP(C1504,SIRCUPA!$A$21:$H$155,8,0),0)</f>
        <v>0</v>
      </c>
      <c r="J1504" s="88">
        <f>-IFERROR(VLOOKUP(C1504,SIRTAC!$A$16:$H$1288,8,0),0)</f>
        <v>-137</v>
      </c>
      <c r="K1504" s="88">
        <f>-IFERROR(VLOOKUP(C1504,Gastos!$A$9:$J$1281,10,0),0)</f>
        <v>-621.98</v>
      </c>
      <c r="L1504" s="87">
        <f>-IFERROR(VLOOKUP(C1504,IDC!$A$25:$H$1532,8,0),0)</f>
        <v>-82.2</v>
      </c>
      <c r="M1504" s="122">
        <f t="shared" si="205"/>
        <v>13700</v>
      </c>
      <c r="N1504"/>
      <c r="P1504" s="35">
        <f t="shared" si="206"/>
        <v>-13700</v>
      </c>
      <c r="Q1504" s="66">
        <f t="shared" si="207"/>
        <v>0</v>
      </c>
    </row>
    <row r="1505" spans="1:17" hidden="1">
      <c r="A1505" s="1" t="s">
        <v>1578</v>
      </c>
      <c r="B1505" s="1" t="s">
        <v>15</v>
      </c>
      <c r="C1505" s="91">
        <v>127880854096</v>
      </c>
      <c r="D1505" s="3">
        <v>40159.550000000003</v>
      </c>
      <c r="E1505" s="3">
        <v>12181501.970000001</v>
      </c>
      <c r="F1505" s="35" t="s">
        <v>2750</v>
      </c>
      <c r="G1505"/>
      <c r="H1505"/>
      <c r="I1505" s="27">
        <f>-IFERROR(VLOOKUP(C1505,SIRCUPA!$A$21:$H$155,8,0),0)</f>
        <v>0</v>
      </c>
      <c r="J1505" s="88">
        <f>-IFERROR(VLOOKUP(C1505,SIRTAC!$A$16:$H$1288,8,0),0)</f>
        <v>-415</v>
      </c>
      <c r="K1505" s="88">
        <f>-IFERROR(VLOOKUP(C1505,Gastos!$A$9:$J$1281,10,0),0)</f>
        <v>-676.45</v>
      </c>
      <c r="L1505" s="87">
        <f>-IFERROR(VLOOKUP(C1505,IDC!$A$25:$H$1532,8,0),0)</f>
        <v>-249</v>
      </c>
      <c r="M1505" s="122">
        <f t="shared" si="205"/>
        <v>41500</v>
      </c>
      <c r="N1505"/>
      <c r="P1505" s="35">
        <f t="shared" si="206"/>
        <v>-41500</v>
      </c>
      <c r="Q1505" s="66">
        <f t="shared" si="207"/>
        <v>0</v>
      </c>
    </row>
    <row r="1506" spans="1:17" hidden="1">
      <c r="A1506" s="1" t="s">
        <v>1578</v>
      </c>
      <c r="B1506" s="1" t="s">
        <v>15</v>
      </c>
      <c r="C1506" s="91">
        <v>127881631044</v>
      </c>
      <c r="D1506" s="3">
        <v>7014.96</v>
      </c>
      <c r="E1506" s="3">
        <v>12188516.93</v>
      </c>
      <c r="F1506" s="35" t="s">
        <v>2750</v>
      </c>
      <c r="G1506"/>
      <c r="H1506"/>
      <c r="I1506" s="27">
        <f>-IFERROR(VLOOKUP(C1506,SIRCUPA!$A$21:$H$155,8,0),0)</f>
        <v>0</v>
      </c>
      <c r="J1506" s="88">
        <f>-IFERROR(VLOOKUP(C1506,SIRTAC!$A$16:$H$1288,8,0),0)</f>
        <v>-72</v>
      </c>
      <c r="K1506" s="88">
        <f>-IFERROR(VLOOKUP(C1506,Gastos!$A$9:$J$1281,10,0),0)</f>
        <v>-69.84</v>
      </c>
      <c r="L1506" s="87">
        <f>-IFERROR(VLOOKUP(C1506,IDC!$A$25:$H$1532,8,0),0)</f>
        <v>-43.2</v>
      </c>
      <c r="M1506" s="122">
        <f t="shared" si="205"/>
        <v>7200</v>
      </c>
      <c r="N1506"/>
      <c r="P1506" s="35">
        <f t="shared" si="206"/>
        <v>-7200</v>
      </c>
      <c r="Q1506" s="66">
        <f t="shared" si="207"/>
        <v>0</v>
      </c>
    </row>
    <row r="1507" spans="1:17" hidden="1">
      <c r="A1507" s="1" t="s">
        <v>1578</v>
      </c>
      <c r="B1507" s="1" t="s">
        <v>15</v>
      </c>
      <c r="C1507" s="91">
        <v>127319553663</v>
      </c>
      <c r="D1507" s="3">
        <v>31504.13</v>
      </c>
      <c r="E1507" s="3">
        <v>12220021.060000001</v>
      </c>
      <c r="F1507" s="35" t="s">
        <v>2750</v>
      </c>
      <c r="G1507"/>
      <c r="H1507"/>
      <c r="I1507" s="27">
        <f>-IFERROR(VLOOKUP(C1507,SIRCUPA!$A$21:$H$155,8,0),0)</f>
        <v>0</v>
      </c>
      <c r="J1507" s="88">
        <f>-IFERROR(VLOOKUP(C1507,SIRTAC!$A$16:$H$1288,8,0),0)</f>
        <v>-347</v>
      </c>
      <c r="K1507" s="88">
        <f>-IFERROR(VLOOKUP(C1507,Gastos!$A$9:$J$1281,10,0),0)</f>
        <v>-2640.67</v>
      </c>
      <c r="L1507" s="87">
        <f>-IFERROR(VLOOKUP(C1507,IDC!$A$25:$H$1532,8,0),0)</f>
        <v>-208.2</v>
      </c>
      <c r="M1507" s="122">
        <f t="shared" si="205"/>
        <v>34700</v>
      </c>
      <c r="N1507"/>
      <c r="P1507" s="35">
        <f t="shared" si="206"/>
        <v>-34700</v>
      </c>
      <c r="Q1507" s="66">
        <f t="shared" si="207"/>
        <v>0</v>
      </c>
    </row>
    <row r="1508" spans="1:17" hidden="1">
      <c r="A1508" s="1" t="s">
        <v>1578</v>
      </c>
      <c r="B1508" s="1" t="s">
        <v>15</v>
      </c>
      <c r="C1508" s="91">
        <v>127319914109</v>
      </c>
      <c r="D1508" s="3">
        <v>44873.25</v>
      </c>
      <c r="E1508" s="3">
        <v>12264894.310000001</v>
      </c>
      <c r="F1508" s="35" t="s">
        <v>2750</v>
      </c>
      <c r="G1508"/>
      <c r="H1508"/>
      <c r="I1508" s="27">
        <f>-IFERROR(VLOOKUP(C1508,SIRCUPA!$A$21:$H$155,8,0),0)</f>
        <v>0</v>
      </c>
      <c r="J1508" s="88">
        <f>-IFERROR(VLOOKUP(C1508,SIRTAC!$A$16:$H$1288,8,0),0)</f>
        <v>-475</v>
      </c>
      <c r="K1508" s="88">
        <f>-IFERROR(VLOOKUP(C1508,Gastos!$A$9:$J$1281,10,0),0)</f>
        <v>-1866.75</v>
      </c>
      <c r="L1508" s="87">
        <f>-IFERROR(VLOOKUP(C1508,IDC!$A$25:$H$1532,8,0),0)</f>
        <v>-285</v>
      </c>
      <c r="M1508" s="122">
        <f t="shared" si="205"/>
        <v>47500</v>
      </c>
      <c r="N1508"/>
      <c r="P1508" s="35">
        <f t="shared" si="206"/>
        <v>-47500</v>
      </c>
      <c r="Q1508" s="66">
        <f t="shared" si="207"/>
        <v>0</v>
      </c>
    </row>
    <row r="1509" spans="1:17" hidden="1">
      <c r="A1509" s="1" t="s">
        <v>1578</v>
      </c>
      <c r="B1509" s="1" t="s">
        <v>15</v>
      </c>
      <c r="C1509" s="91">
        <v>127321523307</v>
      </c>
      <c r="D1509" s="3">
        <v>60460.800000000003</v>
      </c>
      <c r="E1509" s="3">
        <v>12325355.109999999</v>
      </c>
      <c r="F1509" s="35" t="s">
        <v>2750</v>
      </c>
      <c r="G1509"/>
      <c r="H1509"/>
      <c r="I1509" s="27">
        <f>-IFERROR(VLOOKUP(C1509,SIRCUPA!$A$21:$H$155,8,0),0)</f>
        <v>0</v>
      </c>
      <c r="J1509" s="88">
        <f>-IFERROR(VLOOKUP(C1509,SIRTAC!$A$16:$H$1288,8,0),0)</f>
        <v>-640</v>
      </c>
      <c r="K1509" s="88">
        <f>-IFERROR(VLOOKUP(C1509,Gastos!$A$9:$J$1281,10,0),0)</f>
        <v>-2515.1999999999998</v>
      </c>
      <c r="L1509" s="87">
        <f>-IFERROR(VLOOKUP(C1509,IDC!$A$25:$H$1532,8,0),0)</f>
        <v>-384</v>
      </c>
      <c r="M1509" s="122">
        <f t="shared" si="205"/>
        <v>64000</v>
      </c>
      <c r="N1509"/>
      <c r="P1509" s="35">
        <f t="shared" si="206"/>
        <v>-64000</v>
      </c>
      <c r="Q1509" s="66">
        <f t="shared" si="207"/>
        <v>0</v>
      </c>
    </row>
    <row r="1510" spans="1:17" hidden="1">
      <c r="A1510" s="1" t="s">
        <v>1578</v>
      </c>
      <c r="B1510" s="1" t="s">
        <v>15</v>
      </c>
      <c r="C1510" s="91">
        <v>127321838171</v>
      </c>
      <c r="D1510" s="3">
        <v>8768.7000000000007</v>
      </c>
      <c r="E1510" s="3">
        <v>12334123.810000001</v>
      </c>
      <c r="F1510" s="35" t="s">
        <v>2750</v>
      </c>
      <c r="G1510"/>
      <c r="H1510"/>
      <c r="I1510" s="27">
        <f>-IFERROR(VLOOKUP(C1510,SIRCUPA!$A$21:$H$155,8,0),0)</f>
        <v>0</v>
      </c>
      <c r="J1510" s="88">
        <f>-IFERROR(VLOOKUP(C1510,SIRTAC!$A$16:$H$1288,8,0),0)</f>
        <v>-90</v>
      </c>
      <c r="K1510" s="88">
        <f>-IFERROR(VLOOKUP(C1510,Gastos!$A$9:$J$1281,10,0),0)</f>
        <v>-87.3</v>
      </c>
      <c r="L1510" s="87">
        <f>-IFERROR(VLOOKUP(C1510,IDC!$A$25:$H$1532,8,0),0)</f>
        <v>-54</v>
      </c>
      <c r="M1510" s="122">
        <f t="shared" si="205"/>
        <v>9000</v>
      </c>
      <c r="N1510"/>
      <c r="P1510" s="35">
        <f t="shared" si="206"/>
        <v>-9000</v>
      </c>
      <c r="Q1510" s="66">
        <f t="shared" si="207"/>
        <v>0</v>
      </c>
    </row>
    <row r="1511" spans="1:17" hidden="1">
      <c r="A1511" s="1" t="s">
        <v>1578</v>
      </c>
      <c r="B1511" s="1" t="s">
        <v>15</v>
      </c>
      <c r="C1511" s="91">
        <v>127886300768</v>
      </c>
      <c r="D1511" s="3">
        <v>5163.79</v>
      </c>
      <c r="E1511" s="3">
        <v>12339287.6</v>
      </c>
      <c r="F1511" s="35" t="s">
        <v>2750</v>
      </c>
      <c r="G1511"/>
      <c r="H1511"/>
      <c r="I1511" s="27">
        <f>-IFERROR(VLOOKUP(C1511,SIRCUPA!$A$21:$H$155,8,0),0)</f>
        <v>0</v>
      </c>
      <c r="J1511" s="88">
        <f>-IFERROR(VLOOKUP(C1511,SIRTAC!$A$16:$H$1288,8,0),0)</f>
        <v>-53</v>
      </c>
      <c r="K1511" s="88">
        <f>-IFERROR(VLOOKUP(C1511,Gastos!$A$9:$J$1281,10,0),0)</f>
        <v>-51.41</v>
      </c>
      <c r="L1511" s="87">
        <f>-IFERROR(VLOOKUP(C1511,IDC!$A$25:$H$1532,8,0),0)</f>
        <v>-31.8</v>
      </c>
      <c r="M1511" s="122">
        <f t="shared" si="205"/>
        <v>5300</v>
      </c>
      <c r="N1511"/>
      <c r="P1511" s="35">
        <f t="shared" si="206"/>
        <v>-5300</v>
      </c>
      <c r="Q1511" s="66">
        <f t="shared" si="207"/>
        <v>0</v>
      </c>
    </row>
    <row r="1512" spans="1:17" hidden="1">
      <c r="A1512" s="1" t="s">
        <v>1578</v>
      </c>
      <c r="B1512" s="1" t="s">
        <v>1652</v>
      </c>
      <c r="C1512" s="91">
        <v>127323985443</v>
      </c>
      <c r="D1512" s="2">
        <v>259.43</v>
      </c>
      <c r="E1512" s="3">
        <v>12339547.029999999</v>
      </c>
      <c r="F1512" s="2" t="s">
        <v>2750</v>
      </c>
      <c r="G1512"/>
      <c r="H1512"/>
      <c r="I1512" s="27">
        <f>-IFERROR(VLOOKUP(C1512,SIRCUPA!$A$21:$H$155,8,0),0)</f>
        <v>-3.98</v>
      </c>
      <c r="J1512" s="88">
        <f>-IFERROR(VLOOKUP(C1512,SIRTAC!$A$16:$H$1288,8,0),0)</f>
        <v>0</v>
      </c>
      <c r="K1512" s="88">
        <f>-IFERROR(VLOOKUP(C1512,Gastos!$A$9:$J$1281,10,0),0)</f>
        <v>0</v>
      </c>
      <c r="L1512" s="87">
        <f>-IFERROR(VLOOKUP(C1512,IDC!$A$25:$H$1532,8,0),0)</f>
        <v>-1.59</v>
      </c>
      <c r="M1512" s="122">
        <f t="shared" si="205"/>
        <v>265</v>
      </c>
      <c r="N1512"/>
      <c r="P1512" s="35">
        <f t="shared" si="206"/>
        <v>-265</v>
      </c>
      <c r="Q1512" s="66">
        <f t="shared" si="207"/>
        <v>0</v>
      </c>
    </row>
    <row r="1513" spans="1:17" hidden="1">
      <c r="A1513" s="1" t="s">
        <v>1578</v>
      </c>
      <c r="B1513" s="1" t="s">
        <v>15</v>
      </c>
      <c r="C1513" s="91">
        <v>127886596694</v>
      </c>
      <c r="D1513" s="3">
        <v>17147.68</v>
      </c>
      <c r="E1513" s="3">
        <v>12356694.710000001</v>
      </c>
      <c r="F1513" s="35" t="s">
        <v>2750</v>
      </c>
      <c r="G1513"/>
      <c r="H1513"/>
      <c r="I1513" s="27">
        <f>-IFERROR(VLOOKUP(C1513,SIRCUPA!$A$21:$H$155,8,0),0)</f>
        <v>0</v>
      </c>
      <c r="J1513" s="88">
        <f>-IFERROR(VLOOKUP(C1513,SIRTAC!$A$16:$H$1288,8,0),0)</f>
        <v>-176</v>
      </c>
      <c r="K1513" s="88">
        <f>-IFERROR(VLOOKUP(C1513,Gastos!$A$9:$J$1281,10,0),0)</f>
        <v>-170.72</v>
      </c>
      <c r="L1513" s="87">
        <f>-IFERROR(VLOOKUP(C1513,IDC!$A$25:$H$1532,8,0),0)</f>
        <v>-105.6</v>
      </c>
      <c r="M1513" s="122">
        <f t="shared" si="205"/>
        <v>17600</v>
      </c>
      <c r="N1513"/>
      <c r="P1513" s="35">
        <f t="shared" si="206"/>
        <v>-17600</v>
      </c>
      <c r="Q1513" s="66">
        <f t="shared" si="207"/>
        <v>0</v>
      </c>
    </row>
    <row r="1514" spans="1:17" hidden="1">
      <c r="A1514" s="1" t="s">
        <v>1578</v>
      </c>
      <c r="B1514" s="1" t="s">
        <v>15</v>
      </c>
      <c r="C1514" s="91">
        <v>127886777148</v>
      </c>
      <c r="D1514" s="3">
        <v>72780.210000000006</v>
      </c>
      <c r="E1514" s="3">
        <v>12429474.92</v>
      </c>
      <c r="F1514" s="35" t="s">
        <v>2750</v>
      </c>
      <c r="G1514"/>
      <c r="H1514"/>
      <c r="I1514" s="27">
        <f>-IFERROR(VLOOKUP(C1514,SIRCUPA!$A$21:$H$155,8,0),0)</f>
        <v>0</v>
      </c>
      <c r="J1514" s="88">
        <f>-IFERROR(VLOOKUP(C1514,SIRTAC!$A$16:$H$1288,8,0),0)</f>
        <v>-747</v>
      </c>
      <c r="K1514" s="88">
        <f>-IFERROR(VLOOKUP(C1514,Gastos!$A$9:$J$1281,10,0),0)</f>
        <v>-724.59</v>
      </c>
      <c r="L1514" s="87">
        <f>-IFERROR(VLOOKUP(C1514,IDC!$A$25:$H$1532,8,0),0)</f>
        <v>-448.2</v>
      </c>
      <c r="M1514" s="122">
        <f t="shared" si="205"/>
        <v>74700</v>
      </c>
      <c r="N1514"/>
      <c r="P1514" s="35">
        <f t="shared" si="206"/>
        <v>-74700</v>
      </c>
      <c r="Q1514" s="66">
        <f t="shared" si="207"/>
        <v>0</v>
      </c>
    </row>
    <row r="1515" spans="1:17" hidden="1">
      <c r="A1515" s="1" t="s">
        <v>1578</v>
      </c>
      <c r="B1515" s="1" t="s">
        <v>15</v>
      </c>
      <c r="C1515" s="91">
        <v>127324806483</v>
      </c>
      <c r="D1515" s="3">
        <v>26013.81</v>
      </c>
      <c r="E1515" s="3">
        <v>12455488.73</v>
      </c>
      <c r="F1515" s="35" t="s">
        <v>2750</v>
      </c>
      <c r="G1515"/>
      <c r="H1515"/>
      <c r="I1515" s="27">
        <f>-IFERROR(VLOOKUP(C1515,SIRCUPA!$A$21:$H$155,8,0),0)</f>
        <v>0</v>
      </c>
      <c r="J1515" s="88">
        <f>-IFERROR(VLOOKUP(C1515,SIRTAC!$A$16:$H$1288,8,0),0)</f>
        <v>-267</v>
      </c>
      <c r="K1515" s="88">
        <f>-IFERROR(VLOOKUP(C1515,Gastos!$A$9:$J$1281,10,0),0)</f>
        <v>-258.99</v>
      </c>
      <c r="L1515" s="87">
        <f>-IFERROR(VLOOKUP(C1515,IDC!$A$25:$H$1532,8,0),0)</f>
        <v>-160.19999999999999</v>
      </c>
      <c r="M1515" s="122">
        <f t="shared" si="205"/>
        <v>26700.000000000004</v>
      </c>
      <c r="N1515"/>
      <c r="P1515" s="35">
        <f t="shared" si="206"/>
        <v>-26699.999999999996</v>
      </c>
      <c r="Q1515" s="66">
        <f t="shared" si="207"/>
        <v>0</v>
      </c>
    </row>
    <row r="1516" spans="1:17" hidden="1">
      <c r="A1516" s="1" t="s">
        <v>1578</v>
      </c>
      <c r="B1516" s="1" t="s">
        <v>1657</v>
      </c>
      <c r="C1516" s="91">
        <v>127887318326</v>
      </c>
      <c r="D1516" s="3">
        <v>1306.96</v>
      </c>
      <c r="E1516" s="3">
        <v>12456795.689999999</v>
      </c>
      <c r="F1516" s="2" t="s">
        <v>2750</v>
      </c>
      <c r="G1516"/>
      <c r="H1516"/>
      <c r="I1516" s="27">
        <f>-IFERROR(VLOOKUP(C1516,SIRCUPA!$A$21:$H$155,8,0),0)</f>
        <v>-20.03</v>
      </c>
      <c r="J1516" s="88">
        <f>-IFERROR(VLOOKUP(C1516,SIRTAC!$A$16:$H$1288,8,0),0)</f>
        <v>0</v>
      </c>
      <c r="K1516" s="88">
        <f>-IFERROR(VLOOKUP(C1516,Gastos!$A$9:$J$1281,10,0),0)</f>
        <v>0</v>
      </c>
      <c r="L1516" s="87">
        <f>-IFERROR(VLOOKUP(C1516,IDC!$A$25:$H$1532,8,0),0)</f>
        <v>-8.01</v>
      </c>
      <c r="M1516" s="122">
        <f t="shared" si="205"/>
        <v>1335</v>
      </c>
      <c r="N1516"/>
      <c r="P1516" s="35">
        <f t="shared" si="206"/>
        <v>-1335</v>
      </c>
      <c r="Q1516" s="66">
        <f t="shared" si="207"/>
        <v>0</v>
      </c>
    </row>
    <row r="1517" spans="1:17" hidden="1">
      <c r="A1517" s="1" t="s">
        <v>1578</v>
      </c>
      <c r="B1517" s="1" t="s">
        <v>15</v>
      </c>
      <c r="C1517" s="91">
        <v>127887369754</v>
      </c>
      <c r="D1517" s="3">
        <v>22606.71</v>
      </c>
      <c r="E1517" s="3">
        <v>12479402.4</v>
      </c>
      <c r="F1517" s="35" t="s">
        <v>2750</v>
      </c>
      <c r="G1517"/>
      <c r="H1517"/>
      <c r="I1517" s="27">
        <f>-IFERROR(VLOOKUP(C1517,SIRCUPA!$A$21:$H$155,8,0),0)</f>
        <v>0</v>
      </c>
      <c r="J1517" s="88">
        <f>-IFERROR(VLOOKUP(C1517,SIRTAC!$A$16:$H$1288,8,0),0)</f>
        <v>-249</v>
      </c>
      <c r="K1517" s="88">
        <f>-IFERROR(VLOOKUP(C1517,Gastos!$A$9:$J$1281,10,0),0)</f>
        <v>-1894.89</v>
      </c>
      <c r="L1517" s="87">
        <f>-IFERROR(VLOOKUP(C1517,IDC!$A$25:$H$1532,8,0),0)</f>
        <v>-149.4</v>
      </c>
      <c r="M1517" s="122">
        <f t="shared" si="205"/>
        <v>24900</v>
      </c>
      <c r="N1517"/>
      <c r="P1517" s="35">
        <f t="shared" si="206"/>
        <v>-24900</v>
      </c>
      <c r="Q1517" s="66">
        <f t="shared" si="207"/>
        <v>0</v>
      </c>
    </row>
    <row r="1518" spans="1:17" hidden="1">
      <c r="A1518" s="1" t="s">
        <v>1578</v>
      </c>
      <c r="B1518" s="1" t="s">
        <v>15</v>
      </c>
      <c r="C1518" s="91">
        <v>127887531604</v>
      </c>
      <c r="D1518" s="3">
        <v>45694.67</v>
      </c>
      <c r="E1518" s="3">
        <v>12525097.07</v>
      </c>
      <c r="F1518" s="35" t="s">
        <v>2750</v>
      </c>
      <c r="G1518"/>
      <c r="H1518"/>
      <c r="I1518" s="27">
        <f>-IFERROR(VLOOKUP(C1518,SIRCUPA!$A$21:$H$155,8,0),0)</f>
        <v>0</v>
      </c>
      <c r="J1518" s="88">
        <f>-IFERROR(VLOOKUP(C1518,SIRTAC!$A$16:$H$1288,8,0),0)</f>
        <v>-469</v>
      </c>
      <c r="K1518" s="88">
        <f>-IFERROR(VLOOKUP(C1518,Gastos!$A$9:$J$1281,10,0),0)</f>
        <v>-454.93</v>
      </c>
      <c r="L1518" s="87">
        <f>-IFERROR(VLOOKUP(C1518,IDC!$A$25:$H$1532,8,0),0)</f>
        <v>-281.39999999999998</v>
      </c>
      <c r="M1518" s="122">
        <f t="shared" si="205"/>
        <v>46900</v>
      </c>
      <c r="N1518"/>
      <c r="P1518" s="35">
        <f t="shared" si="206"/>
        <v>-46899.999999999993</v>
      </c>
      <c r="Q1518" s="66">
        <f t="shared" si="207"/>
        <v>0</v>
      </c>
    </row>
    <row r="1519" spans="1:17" hidden="1">
      <c r="A1519" s="1" t="s">
        <v>1578</v>
      </c>
      <c r="B1519" s="1" t="s">
        <v>15</v>
      </c>
      <c r="C1519" s="91">
        <v>127327134359</v>
      </c>
      <c r="D1519" s="3">
        <v>4579.21</v>
      </c>
      <c r="E1519" s="3">
        <v>12529676.279999999</v>
      </c>
      <c r="F1519" s="35" t="s">
        <v>2750</v>
      </c>
      <c r="G1519"/>
      <c r="H1519"/>
      <c r="I1519" s="27">
        <f>-IFERROR(VLOOKUP(C1519,SIRCUPA!$A$21:$H$155,8,0),0)</f>
        <v>0</v>
      </c>
      <c r="J1519" s="88">
        <f>-IFERROR(VLOOKUP(C1519,SIRTAC!$A$16:$H$1288,8,0),0)</f>
        <v>-47</v>
      </c>
      <c r="K1519" s="88">
        <f>-IFERROR(VLOOKUP(C1519,Gastos!$A$9:$J$1281,10,0),0)</f>
        <v>-45.59</v>
      </c>
      <c r="L1519" s="87">
        <f>-IFERROR(VLOOKUP(C1519,IDC!$A$25:$H$1532,8,0),0)</f>
        <v>-28.2</v>
      </c>
      <c r="M1519" s="122">
        <f t="shared" si="205"/>
        <v>4700</v>
      </c>
      <c r="N1519"/>
      <c r="P1519" s="35">
        <f t="shared" si="206"/>
        <v>-4700</v>
      </c>
      <c r="Q1519" s="66">
        <f t="shared" si="207"/>
        <v>0</v>
      </c>
    </row>
    <row r="1520" spans="1:17" hidden="1">
      <c r="A1520" s="1" t="s">
        <v>1578</v>
      </c>
      <c r="B1520" s="1" t="s">
        <v>15</v>
      </c>
      <c r="C1520" s="91">
        <v>127890550192</v>
      </c>
      <c r="D1520" s="3">
        <v>5358.65</v>
      </c>
      <c r="E1520" s="3">
        <v>12535034.93</v>
      </c>
      <c r="F1520" s="35" t="s">
        <v>2750</v>
      </c>
      <c r="G1520"/>
      <c r="H1520"/>
      <c r="I1520" s="27">
        <f>-IFERROR(VLOOKUP(C1520,SIRCUPA!$A$21:$H$155,8,0),0)</f>
        <v>0</v>
      </c>
      <c r="J1520" s="88">
        <f>-IFERROR(VLOOKUP(C1520,SIRTAC!$A$16:$H$1288,8,0),0)</f>
        <v>-55</v>
      </c>
      <c r="K1520" s="88">
        <f>-IFERROR(VLOOKUP(C1520,Gastos!$A$9:$J$1281,10,0),0)</f>
        <v>-53.35</v>
      </c>
      <c r="L1520" s="87">
        <f>-IFERROR(VLOOKUP(C1520,IDC!$A$25:$H$1532,8,0),0)</f>
        <v>-33</v>
      </c>
      <c r="M1520" s="122">
        <f t="shared" si="205"/>
        <v>5500</v>
      </c>
      <c r="N1520"/>
      <c r="P1520" s="35">
        <f t="shared" si="206"/>
        <v>-5500</v>
      </c>
      <c r="Q1520" s="66">
        <f t="shared" si="207"/>
        <v>0</v>
      </c>
    </row>
    <row r="1521" spans="1:17" hidden="1">
      <c r="A1521" s="1" t="s">
        <v>1578</v>
      </c>
      <c r="B1521" s="1" t="s">
        <v>15</v>
      </c>
      <c r="C1521" s="91">
        <v>127328690661</v>
      </c>
      <c r="D1521" s="3">
        <v>25136.94</v>
      </c>
      <c r="E1521" s="3">
        <v>12560171.869999999</v>
      </c>
      <c r="F1521" s="35" t="s">
        <v>2750</v>
      </c>
      <c r="G1521"/>
      <c r="H1521"/>
      <c r="I1521" s="27">
        <f>-IFERROR(VLOOKUP(C1521,SIRCUPA!$A$21:$H$155,8,0),0)</f>
        <v>0</v>
      </c>
      <c r="J1521" s="88">
        <f>-IFERROR(VLOOKUP(C1521,SIRTAC!$A$16:$H$1288,8,0),0)</f>
        <v>-258</v>
      </c>
      <c r="K1521" s="88">
        <f>-IFERROR(VLOOKUP(C1521,Gastos!$A$9:$J$1281,10,0),0)</f>
        <v>-250.26</v>
      </c>
      <c r="L1521" s="87">
        <f>-IFERROR(VLOOKUP(C1521,IDC!$A$25:$H$1532,8,0),0)</f>
        <v>-154.80000000000001</v>
      </c>
      <c r="M1521" s="122">
        <f t="shared" si="205"/>
        <v>25799.999999999996</v>
      </c>
      <c r="N1521"/>
      <c r="P1521" s="35">
        <f t="shared" si="206"/>
        <v>-25800</v>
      </c>
      <c r="Q1521" s="66">
        <f t="shared" si="207"/>
        <v>0</v>
      </c>
    </row>
    <row r="1522" spans="1:17" hidden="1">
      <c r="A1522" s="1" t="s">
        <v>1578</v>
      </c>
      <c r="B1522" s="1" t="s">
        <v>15</v>
      </c>
      <c r="C1522" s="91">
        <v>127891287160</v>
      </c>
      <c r="D1522" s="3">
        <v>29758.05</v>
      </c>
      <c r="E1522" s="3">
        <v>12589929.92</v>
      </c>
      <c r="F1522" s="35" t="s">
        <v>2750</v>
      </c>
      <c r="G1522"/>
      <c r="H1522"/>
      <c r="I1522" s="27">
        <f>-IFERROR(VLOOKUP(C1522,SIRCUPA!$A$21:$H$155,8,0),0)</f>
        <v>0</v>
      </c>
      <c r="J1522" s="88">
        <f>-IFERROR(VLOOKUP(C1522,SIRTAC!$A$16:$H$1288,8,0),0)</f>
        <v>-315</v>
      </c>
      <c r="K1522" s="88">
        <f>-IFERROR(VLOOKUP(C1522,Gastos!$A$9:$J$1281,10,0),0)</f>
        <v>-1237.95</v>
      </c>
      <c r="L1522" s="87">
        <f>-IFERROR(VLOOKUP(C1522,IDC!$A$25:$H$1532,8,0),0)</f>
        <v>-189</v>
      </c>
      <c r="M1522" s="122">
        <f t="shared" si="205"/>
        <v>31500</v>
      </c>
      <c r="N1522"/>
      <c r="P1522" s="35">
        <f t="shared" si="206"/>
        <v>-31500</v>
      </c>
      <c r="Q1522" s="66">
        <f t="shared" si="207"/>
        <v>0</v>
      </c>
    </row>
    <row r="1523" spans="1:17" hidden="1">
      <c r="A1523" s="1" t="s">
        <v>1578</v>
      </c>
      <c r="B1523" s="1" t="s">
        <v>15</v>
      </c>
      <c r="C1523" s="91">
        <v>127328855521</v>
      </c>
      <c r="D1523" s="3">
        <v>30868.6</v>
      </c>
      <c r="E1523" s="3">
        <v>12620798.52</v>
      </c>
      <c r="F1523" s="35" t="s">
        <v>2750</v>
      </c>
      <c r="G1523"/>
      <c r="H1523"/>
      <c r="I1523" s="27">
        <f>-IFERROR(VLOOKUP(C1523,SIRCUPA!$A$21:$H$155,8,0),0)</f>
        <v>0</v>
      </c>
      <c r="J1523" s="88">
        <f>-IFERROR(VLOOKUP(C1523,SIRTAC!$A$16:$H$1288,8,0),0)</f>
        <v>-340</v>
      </c>
      <c r="K1523" s="88">
        <f>-IFERROR(VLOOKUP(C1523,Gastos!$A$9:$J$1281,10,0),0)</f>
        <v>-2587.4</v>
      </c>
      <c r="L1523" s="87">
        <f>-IFERROR(VLOOKUP(C1523,IDC!$A$25:$H$1532,8,0),0)</f>
        <v>-204</v>
      </c>
      <c r="M1523" s="122">
        <f t="shared" ref="M1523:M1538" si="208">+D1523-I1523-J1523-K1523-L1523</f>
        <v>34000</v>
      </c>
      <c r="N1523"/>
      <c r="P1523" s="35">
        <f t="shared" si="206"/>
        <v>-34000</v>
      </c>
      <c r="Q1523" s="66">
        <f t="shared" si="207"/>
        <v>0</v>
      </c>
    </row>
    <row r="1524" spans="1:17" hidden="1">
      <c r="A1524" s="1" t="s">
        <v>1578</v>
      </c>
      <c r="B1524" s="1" t="s">
        <v>15</v>
      </c>
      <c r="C1524" s="91">
        <v>127329293865</v>
      </c>
      <c r="D1524" s="3">
        <v>35237.31</v>
      </c>
      <c r="E1524" s="3">
        <v>12656035.83</v>
      </c>
      <c r="F1524" s="35" t="s">
        <v>2750</v>
      </c>
      <c r="G1524"/>
      <c r="H1524"/>
      <c r="I1524" s="27">
        <f>-IFERROR(VLOOKUP(C1524,SIRCUPA!$A$21:$H$155,8,0),0)</f>
        <v>0</v>
      </c>
      <c r="J1524" s="88">
        <f>-IFERROR(VLOOKUP(C1524,SIRTAC!$A$16:$H$1288,8,0),0)</f>
        <v>-373</v>
      </c>
      <c r="K1524" s="88">
        <f>-IFERROR(VLOOKUP(C1524,Gastos!$A$9:$J$1281,10,0),0)</f>
        <v>-1465.89</v>
      </c>
      <c r="L1524" s="87">
        <f>-IFERROR(VLOOKUP(C1524,IDC!$A$25:$H$1532,8,0),0)</f>
        <v>-223.8</v>
      </c>
      <c r="M1524" s="122">
        <f t="shared" si="208"/>
        <v>37300</v>
      </c>
      <c r="N1524"/>
      <c r="P1524" s="35">
        <f t="shared" si="206"/>
        <v>-37300</v>
      </c>
      <c r="Q1524" s="66">
        <f t="shared" si="207"/>
        <v>0</v>
      </c>
    </row>
    <row r="1525" spans="1:17" hidden="1">
      <c r="A1525" s="1" t="s">
        <v>1578</v>
      </c>
      <c r="B1525" s="1" t="s">
        <v>15</v>
      </c>
      <c r="C1525" s="91">
        <v>127891727240</v>
      </c>
      <c r="D1525" s="3">
        <v>33321.06</v>
      </c>
      <c r="E1525" s="3">
        <v>12689356.890000001</v>
      </c>
      <c r="F1525" s="35" t="s">
        <v>2750</v>
      </c>
      <c r="G1525"/>
      <c r="H1525"/>
      <c r="I1525" s="27">
        <f>-IFERROR(VLOOKUP(C1525,SIRCUPA!$A$21:$H$155,8,0),0)</f>
        <v>0</v>
      </c>
      <c r="J1525" s="88">
        <f>-IFERROR(VLOOKUP(C1525,SIRTAC!$A$16:$H$1288,8,0),0)</f>
        <v>-342</v>
      </c>
      <c r="K1525" s="88">
        <f>-IFERROR(VLOOKUP(C1525,Gastos!$A$9:$J$1281,10,0),0)</f>
        <v>-331.74</v>
      </c>
      <c r="L1525" s="87">
        <f>-IFERROR(VLOOKUP(C1525,IDC!$A$25:$H$1532,8,0),0)</f>
        <v>-205.2</v>
      </c>
      <c r="M1525" s="122">
        <f t="shared" si="208"/>
        <v>34199.999999999993</v>
      </c>
      <c r="N1525"/>
      <c r="P1525" s="35">
        <f t="shared" si="206"/>
        <v>-34200</v>
      </c>
      <c r="Q1525" s="66">
        <f t="shared" si="207"/>
        <v>0</v>
      </c>
    </row>
    <row r="1526" spans="1:17" hidden="1">
      <c r="A1526" s="1" t="s">
        <v>1578</v>
      </c>
      <c r="B1526" s="1" t="s">
        <v>15</v>
      </c>
      <c r="C1526" s="91">
        <v>127329483271</v>
      </c>
      <c r="D1526" s="3">
        <v>39677.4</v>
      </c>
      <c r="E1526" s="3">
        <v>12729034.289999999</v>
      </c>
      <c r="F1526" s="35" t="s">
        <v>2750</v>
      </c>
      <c r="G1526"/>
      <c r="H1526"/>
      <c r="I1526" s="27">
        <f>-IFERROR(VLOOKUP(C1526,SIRCUPA!$A$21:$H$155,8,0),0)</f>
        <v>0</v>
      </c>
      <c r="J1526" s="88">
        <f>-IFERROR(VLOOKUP(C1526,SIRTAC!$A$16:$H$1288,8,0),0)</f>
        <v>-420</v>
      </c>
      <c r="K1526" s="88">
        <f>-IFERROR(VLOOKUP(C1526,Gastos!$A$9:$J$1281,10,0),0)</f>
        <v>-1650.6</v>
      </c>
      <c r="L1526" s="87">
        <f>-IFERROR(VLOOKUP(C1526,IDC!$A$25:$H$1532,8,0),0)</f>
        <v>-252</v>
      </c>
      <c r="M1526" s="122">
        <f t="shared" si="208"/>
        <v>42000</v>
      </c>
      <c r="N1526"/>
      <c r="P1526" s="35">
        <f t="shared" si="206"/>
        <v>-42000</v>
      </c>
      <c r="Q1526" s="66">
        <f t="shared" si="207"/>
        <v>0</v>
      </c>
    </row>
    <row r="1527" spans="1:17" hidden="1">
      <c r="A1527" s="1" t="s">
        <v>1578</v>
      </c>
      <c r="B1527" s="1" t="s">
        <v>15</v>
      </c>
      <c r="C1527" s="91">
        <v>127891938390</v>
      </c>
      <c r="D1527" s="3">
        <v>32249.33</v>
      </c>
      <c r="E1527" s="3">
        <v>12761283.619999999</v>
      </c>
      <c r="F1527" s="35" t="s">
        <v>2750</v>
      </c>
      <c r="G1527"/>
      <c r="H1527"/>
      <c r="I1527" s="27">
        <f>-IFERROR(VLOOKUP(C1527,SIRCUPA!$A$21:$H$155,8,0),0)</f>
        <v>0</v>
      </c>
      <c r="J1527" s="88">
        <f>-IFERROR(VLOOKUP(C1527,SIRTAC!$A$16:$H$1288,8,0),0)</f>
        <v>-331</v>
      </c>
      <c r="K1527" s="88">
        <f>-IFERROR(VLOOKUP(C1527,Gastos!$A$9:$J$1281,10,0),0)</f>
        <v>-321.07</v>
      </c>
      <c r="L1527" s="87">
        <f>-IFERROR(VLOOKUP(C1527,IDC!$A$25:$H$1532,8,0),0)</f>
        <v>-198.6</v>
      </c>
      <c r="M1527" s="122">
        <f t="shared" si="208"/>
        <v>33100</v>
      </c>
      <c r="N1527"/>
      <c r="P1527" s="35">
        <f t="shared" si="206"/>
        <v>-33100</v>
      </c>
      <c r="Q1527" s="66">
        <f t="shared" si="207"/>
        <v>0</v>
      </c>
    </row>
    <row r="1528" spans="1:17" hidden="1">
      <c r="A1528" s="1" t="s">
        <v>1578</v>
      </c>
      <c r="B1528" s="1" t="s">
        <v>15</v>
      </c>
      <c r="C1528" s="91">
        <v>127329669179</v>
      </c>
      <c r="D1528" s="3">
        <v>26783.05</v>
      </c>
      <c r="E1528" s="3">
        <v>12788066.67</v>
      </c>
      <c r="F1528" s="35" t="s">
        <v>2750</v>
      </c>
      <c r="G1528"/>
      <c r="H1528"/>
      <c r="I1528" s="27">
        <f>-IFERROR(VLOOKUP(C1528,SIRCUPA!$A$21:$H$155,8,0),0)</f>
        <v>0</v>
      </c>
      <c r="J1528" s="88">
        <f>-IFERROR(VLOOKUP(C1528,SIRTAC!$A$16:$H$1288,8,0),0)</f>
        <v>-295</v>
      </c>
      <c r="K1528" s="88">
        <f>-IFERROR(VLOOKUP(C1528,Gastos!$A$9:$J$1281,10,0),0)</f>
        <v>-2244.9499999999998</v>
      </c>
      <c r="L1528" s="87">
        <f>-IFERROR(VLOOKUP(C1528,IDC!$A$25:$H$1532,8,0),0)</f>
        <v>-177</v>
      </c>
      <c r="M1528" s="122">
        <f t="shared" si="208"/>
        <v>29500</v>
      </c>
      <c r="N1528"/>
      <c r="P1528" s="35">
        <f t="shared" si="206"/>
        <v>-29500</v>
      </c>
      <c r="Q1528" s="66">
        <f t="shared" si="207"/>
        <v>0</v>
      </c>
    </row>
    <row r="1529" spans="1:17" hidden="1">
      <c r="A1529" s="1" t="s">
        <v>1578</v>
      </c>
      <c r="B1529" s="1" t="s">
        <v>15</v>
      </c>
      <c r="C1529" s="91">
        <v>127330733001</v>
      </c>
      <c r="D1529" s="3">
        <v>35464.519999999997</v>
      </c>
      <c r="E1529" s="3">
        <v>12823531.189999999</v>
      </c>
      <c r="F1529" s="35" t="s">
        <v>2750</v>
      </c>
      <c r="G1529"/>
      <c r="H1529"/>
      <c r="I1529" s="27">
        <f>-IFERROR(VLOOKUP(C1529,SIRCUPA!$A$21:$H$155,8,0),0)</f>
        <v>0</v>
      </c>
      <c r="J1529" s="88">
        <f>-IFERROR(VLOOKUP(C1529,SIRTAC!$A$16:$H$1288,8,0),0)</f>
        <v>-364</v>
      </c>
      <c r="K1529" s="88">
        <f>-IFERROR(VLOOKUP(C1529,Gastos!$A$9:$J$1281,10,0),0)</f>
        <v>-353.08</v>
      </c>
      <c r="L1529" s="87">
        <f>-IFERROR(VLOOKUP(C1529,IDC!$A$25:$H$1532,8,0),0)</f>
        <v>-218.4</v>
      </c>
      <c r="M1529" s="122">
        <f t="shared" si="208"/>
        <v>36400</v>
      </c>
      <c r="N1529"/>
      <c r="P1529" s="35">
        <f t="shared" si="206"/>
        <v>-36400</v>
      </c>
      <c r="Q1529" s="66">
        <f t="shared" si="207"/>
        <v>0</v>
      </c>
    </row>
    <row r="1530" spans="1:17" hidden="1">
      <c r="A1530" s="1" t="s">
        <v>1578</v>
      </c>
      <c r="B1530" s="1" t="s">
        <v>15</v>
      </c>
      <c r="C1530" s="91">
        <v>127893248554</v>
      </c>
      <c r="D1530" s="3">
        <v>22105.98</v>
      </c>
      <c r="E1530" s="3">
        <v>12845637.17</v>
      </c>
      <c r="F1530" s="35" t="s">
        <v>2750</v>
      </c>
      <c r="G1530"/>
      <c r="H1530"/>
      <c r="I1530" s="27">
        <f>-IFERROR(VLOOKUP(C1530,SIRCUPA!$A$21:$H$155,8,0),0)</f>
        <v>0</v>
      </c>
      <c r="J1530" s="88">
        <f>-IFERROR(VLOOKUP(C1530,SIRTAC!$A$16:$H$1288,8,0),0)</f>
        <v>-234</v>
      </c>
      <c r="K1530" s="88">
        <f>-IFERROR(VLOOKUP(C1530,Gastos!$A$9:$J$1281,10,0),0)</f>
        <v>-919.62</v>
      </c>
      <c r="L1530" s="87">
        <f>-IFERROR(VLOOKUP(C1530,IDC!$A$25:$H$1532,8,0),0)</f>
        <v>-140.4</v>
      </c>
      <c r="M1530" s="122">
        <f t="shared" si="208"/>
        <v>23400</v>
      </c>
      <c r="N1530"/>
      <c r="P1530" s="35">
        <f t="shared" si="206"/>
        <v>-23400</v>
      </c>
      <c r="Q1530" s="66">
        <f t="shared" si="207"/>
        <v>0</v>
      </c>
    </row>
    <row r="1531" spans="1:17" hidden="1">
      <c r="A1531" s="1" t="s">
        <v>1578</v>
      </c>
      <c r="B1531" s="1" t="s">
        <v>15</v>
      </c>
      <c r="C1531" s="91">
        <v>127330998645</v>
      </c>
      <c r="D1531" s="3">
        <v>37485.699999999997</v>
      </c>
      <c r="E1531" s="3">
        <v>12883122.869999999</v>
      </c>
      <c r="F1531" s="35" t="s">
        <v>2750</v>
      </c>
      <c r="G1531"/>
      <c r="H1531"/>
      <c r="I1531" s="27">
        <f>-IFERROR(VLOOKUP(C1531,SIRCUPA!$A$21:$H$155,8,0),0)</f>
        <v>0</v>
      </c>
      <c r="J1531" s="88">
        <f>-IFERROR(VLOOKUP(C1531,SIRTAC!$A$16:$H$1288,8,0),0)</f>
        <v>-396.8</v>
      </c>
      <c r="K1531" s="88">
        <f>-IFERROR(VLOOKUP(C1531,Gastos!$A$9:$J$1281,10,0),0)</f>
        <v>-1559.42</v>
      </c>
      <c r="L1531" s="87">
        <f>-IFERROR(VLOOKUP(C1531,IDC!$A$25:$H$1532,8,0),0)</f>
        <v>-238.08</v>
      </c>
      <c r="M1531" s="122">
        <f t="shared" si="208"/>
        <v>39680</v>
      </c>
      <c r="N1531"/>
      <c r="P1531" s="35">
        <f t="shared" si="206"/>
        <v>-39680</v>
      </c>
      <c r="Q1531" s="66">
        <f t="shared" si="207"/>
        <v>0</v>
      </c>
    </row>
    <row r="1532" spans="1:17" hidden="1">
      <c r="A1532" s="1" t="s">
        <v>1578</v>
      </c>
      <c r="B1532" s="1" t="s">
        <v>15</v>
      </c>
      <c r="C1532" s="91">
        <v>127331234613</v>
      </c>
      <c r="D1532" s="3">
        <v>35074.800000000003</v>
      </c>
      <c r="E1532" s="3">
        <v>12918197.67</v>
      </c>
      <c r="F1532" s="35" t="s">
        <v>2750</v>
      </c>
      <c r="G1532"/>
      <c r="H1532"/>
      <c r="I1532" s="27">
        <f>-IFERROR(VLOOKUP(C1532,SIRCUPA!$A$21:$H$155,8,0),0)</f>
        <v>0</v>
      </c>
      <c r="J1532" s="88">
        <f>-IFERROR(VLOOKUP(C1532,SIRTAC!$A$16:$H$1288,8,0),0)</f>
        <v>-360</v>
      </c>
      <c r="K1532" s="88">
        <f>-IFERROR(VLOOKUP(C1532,Gastos!$A$9:$J$1281,10,0),0)</f>
        <v>-349.2</v>
      </c>
      <c r="L1532" s="87">
        <f>-IFERROR(VLOOKUP(C1532,IDC!$A$25:$H$1532,8,0),0)</f>
        <v>-216</v>
      </c>
      <c r="M1532" s="122">
        <f t="shared" si="208"/>
        <v>36000</v>
      </c>
      <c r="N1532"/>
      <c r="P1532" s="35">
        <f t="shared" si="206"/>
        <v>-36000</v>
      </c>
      <c r="Q1532" s="66">
        <f t="shared" si="207"/>
        <v>0</v>
      </c>
    </row>
    <row r="1533" spans="1:17" hidden="1">
      <c r="A1533" s="1" t="s">
        <v>1578</v>
      </c>
      <c r="B1533" s="1" t="s">
        <v>1675</v>
      </c>
      <c r="C1533" s="91">
        <v>127331112049</v>
      </c>
      <c r="D1533" s="3">
        <v>3524.4</v>
      </c>
      <c r="E1533" s="3">
        <v>12921722.07</v>
      </c>
      <c r="F1533" s="2" t="s">
        <v>2750</v>
      </c>
      <c r="G1533"/>
      <c r="H1533"/>
      <c r="I1533" s="27">
        <f>-IFERROR(VLOOKUP(C1533,SIRCUPA!$A$21:$H$155,8,0),0)</f>
        <v>-54</v>
      </c>
      <c r="J1533" s="88">
        <f>-IFERROR(VLOOKUP(C1533,SIRTAC!$A$16:$H$1288,8,0),0)</f>
        <v>0</v>
      </c>
      <c r="K1533" s="88">
        <f>-IFERROR(VLOOKUP(C1533,Gastos!$A$9:$J$1281,10,0),0)</f>
        <v>0</v>
      </c>
      <c r="L1533" s="87">
        <f>-IFERROR(VLOOKUP(C1533,IDC!$A$25:$H$1532,8,0),0)</f>
        <v>-21.6</v>
      </c>
      <c r="M1533" s="122">
        <f t="shared" si="208"/>
        <v>3600</v>
      </c>
      <c r="N1533"/>
      <c r="P1533" s="35">
        <f t="shared" si="206"/>
        <v>-3600</v>
      </c>
      <c r="Q1533" s="66">
        <f t="shared" si="207"/>
        <v>0</v>
      </c>
    </row>
    <row r="1534" spans="1:17" hidden="1">
      <c r="A1534" s="1" t="s">
        <v>1578</v>
      </c>
      <c r="B1534" s="1" t="s">
        <v>15</v>
      </c>
      <c r="C1534" s="91">
        <v>127331380259</v>
      </c>
      <c r="D1534" s="3">
        <v>34197.93</v>
      </c>
      <c r="E1534" s="3">
        <v>12955920</v>
      </c>
      <c r="F1534" s="35" t="s">
        <v>2750</v>
      </c>
      <c r="G1534"/>
      <c r="H1534"/>
      <c r="I1534" s="27">
        <f>-IFERROR(VLOOKUP(C1534,SIRCUPA!$A$21:$H$155,8,0),0)</f>
        <v>0</v>
      </c>
      <c r="J1534" s="88">
        <f>-IFERROR(VLOOKUP(C1534,SIRTAC!$A$16:$H$1288,8,0),0)</f>
        <v>-351</v>
      </c>
      <c r="K1534" s="88">
        <f>-IFERROR(VLOOKUP(C1534,Gastos!$A$9:$J$1281,10,0),0)</f>
        <v>-340.47</v>
      </c>
      <c r="L1534" s="87">
        <f>-IFERROR(VLOOKUP(C1534,IDC!$A$25:$H$1532,8,0),0)</f>
        <v>-210.6</v>
      </c>
      <c r="M1534" s="122">
        <f t="shared" si="208"/>
        <v>35100</v>
      </c>
      <c r="N1534"/>
      <c r="P1534" s="35">
        <f t="shared" si="206"/>
        <v>-35100</v>
      </c>
      <c r="Q1534" s="66">
        <f t="shared" si="207"/>
        <v>0</v>
      </c>
    </row>
    <row r="1535" spans="1:17" hidden="1">
      <c r="A1535" s="1" t="s">
        <v>1578</v>
      </c>
      <c r="B1535" s="1" t="s">
        <v>15</v>
      </c>
      <c r="C1535" s="91">
        <v>127331363373</v>
      </c>
      <c r="D1535" s="3">
        <v>73169.929999999993</v>
      </c>
      <c r="E1535" s="3">
        <v>13029089.93</v>
      </c>
      <c r="F1535" s="35" t="s">
        <v>2750</v>
      </c>
      <c r="G1535"/>
      <c r="H1535"/>
      <c r="I1535" s="27">
        <f>-IFERROR(VLOOKUP(C1535,SIRCUPA!$A$21:$H$155,8,0),0)</f>
        <v>0</v>
      </c>
      <c r="J1535" s="88">
        <f>-IFERROR(VLOOKUP(C1535,SIRTAC!$A$16:$H$1288,8,0),0)</f>
        <v>-751</v>
      </c>
      <c r="K1535" s="88">
        <f>-IFERROR(VLOOKUP(C1535,Gastos!$A$9:$J$1281,10,0),0)</f>
        <v>-728.47</v>
      </c>
      <c r="L1535" s="87">
        <f>-IFERROR(VLOOKUP(C1535,IDC!$A$25:$H$1532,8,0),0)</f>
        <v>-450.6</v>
      </c>
      <c r="M1535" s="122">
        <f t="shared" si="208"/>
        <v>75100</v>
      </c>
      <c r="N1535"/>
      <c r="P1535" s="35">
        <f t="shared" si="206"/>
        <v>-75100</v>
      </c>
      <c r="Q1535" s="66">
        <f t="shared" si="207"/>
        <v>0</v>
      </c>
    </row>
    <row r="1536" spans="1:17" hidden="1">
      <c r="A1536" s="1" t="s">
        <v>1578</v>
      </c>
      <c r="B1536" s="1" t="s">
        <v>1679</v>
      </c>
      <c r="C1536" s="91">
        <v>127331388995</v>
      </c>
      <c r="D1536" s="3">
        <v>7352.29</v>
      </c>
      <c r="E1536" s="3">
        <v>13036442.220000001</v>
      </c>
      <c r="F1536" s="2" t="s">
        <v>2750</v>
      </c>
      <c r="G1536"/>
      <c r="H1536"/>
      <c r="I1536" s="27">
        <f>-IFERROR(VLOOKUP(C1536,SIRCUPA!$A$21:$H$155,8,0),0)</f>
        <v>-112.65</v>
      </c>
      <c r="J1536" s="88">
        <f>-IFERROR(VLOOKUP(C1536,SIRTAC!$A$16:$H$1288,8,0),0)</f>
        <v>0</v>
      </c>
      <c r="K1536" s="88">
        <f>-IFERROR(VLOOKUP(C1536,Gastos!$A$9:$J$1281,10,0),0)</f>
        <v>0</v>
      </c>
      <c r="L1536" s="87">
        <f>-IFERROR(VLOOKUP(C1536,IDC!$A$25:$H$1532,8,0),0)</f>
        <v>-45.06</v>
      </c>
      <c r="M1536" s="122">
        <f t="shared" si="208"/>
        <v>7510</v>
      </c>
      <c r="N1536"/>
      <c r="P1536" s="35">
        <f t="shared" si="206"/>
        <v>-7510</v>
      </c>
      <c r="Q1536" s="66">
        <f t="shared" si="207"/>
        <v>0</v>
      </c>
    </row>
    <row r="1537" spans="1:18" hidden="1">
      <c r="A1537" s="1" t="s">
        <v>1578</v>
      </c>
      <c r="B1537" s="1" t="s">
        <v>15</v>
      </c>
      <c r="C1537" s="91">
        <v>127331361971</v>
      </c>
      <c r="D1537" s="3">
        <v>31413.34</v>
      </c>
      <c r="E1537" s="3">
        <v>13067855.560000001</v>
      </c>
      <c r="F1537" s="35" t="s">
        <v>2750</v>
      </c>
      <c r="G1537"/>
      <c r="H1537"/>
      <c r="I1537" s="27">
        <f>-IFERROR(VLOOKUP(C1537,SIRCUPA!$A$21:$H$155,8,0),0)</f>
        <v>0</v>
      </c>
      <c r="J1537" s="88">
        <f>-IFERROR(VLOOKUP(C1537,SIRTAC!$A$16:$H$1288,8,0),0)</f>
        <v>-346</v>
      </c>
      <c r="K1537" s="88">
        <f>-IFERROR(VLOOKUP(C1537,Gastos!$A$9:$J$1281,10,0),0)</f>
        <v>-2633.06</v>
      </c>
      <c r="L1537" s="87">
        <f>-IFERROR(VLOOKUP(C1537,IDC!$A$25:$H$1532,8,0),0)</f>
        <v>-207.6</v>
      </c>
      <c r="M1537" s="122">
        <f t="shared" si="208"/>
        <v>34600</v>
      </c>
      <c r="N1537"/>
      <c r="P1537" s="35">
        <f t="shared" si="206"/>
        <v>-34600</v>
      </c>
      <c r="Q1537" s="66">
        <f t="shared" si="207"/>
        <v>0</v>
      </c>
    </row>
    <row r="1538" spans="1:18" hidden="1">
      <c r="A1538" s="1" t="s">
        <v>1578</v>
      </c>
      <c r="B1538" s="1" t="s">
        <v>15</v>
      </c>
      <c r="C1538" s="91">
        <v>127894050264</v>
      </c>
      <c r="D1538" s="3">
        <v>51443.040000000001</v>
      </c>
      <c r="E1538" s="3">
        <v>13119298.6</v>
      </c>
      <c r="F1538" s="35" t="s">
        <v>2750</v>
      </c>
      <c r="G1538"/>
      <c r="H1538"/>
      <c r="I1538" s="27">
        <f>-IFERROR(VLOOKUP(C1538,SIRCUPA!$A$21:$H$155,8,0),0)</f>
        <v>0</v>
      </c>
      <c r="J1538" s="88">
        <f>-IFERROR(VLOOKUP(C1538,SIRTAC!$A$16:$H$1288,8,0),0)</f>
        <v>-528</v>
      </c>
      <c r="K1538" s="88">
        <f>-IFERROR(VLOOKUP(C1538,Gastos!$A$9:$J$1281,10,0),0)</f>
        <v>-512.16</v>
      </c>
      <c r="L1538" s="87">
        <f>-IFERROR(VLOOKUP(C1538,IDC!$A$25:$H$1532,8,0),0)</f>
        <v>-316.8</v>
      </c>
      <c r="M1538" s="122">
        <f t="shared" si="208"/>
        <v>52800.000000000007</v>
      </c>
      <c r="N1538"/>
      <c r="P1538" s="35">
        <f t="shared" si="206"/>
        <v>-52800</v>
      </c>
      <c r="Q1538" s="66">
        <f t="shared" si="207"/>
        <v>0</v>
      </c>
    </row>
    <row r="1539" spans="1:18" hidden="1">
      <c r="A1539" s="35" t="s">
        <v>1713</v>
      </c>
      <c r="B1539" s="35" t="s">
        <v>31</v>
      </c>
      <c r="C1539" s="91">
        <v>128058002836</v>
      </c>
      <c r="D1539" s="3">
        <v>-216466.05</v>
      </c>
      <c r="E1539" s="3">
        <v>11648454.140000001</v>
      </c>
      <c r="F1539" s="35" t="s">
        <v>2751</v>
      </c>
      <c r="G1539" s="4">
        <f>+D1539/1.006</f>
        <v>-215175</v>
      </c>
      <c r="H1539" s="4">
        <f>+D1539-G1539</f>
        <v>-1291.0499999999884</v>
      </c>
      <c r="I1539" s="27">
        <f>-IFERROR(VLOOKUP(C1539,SIRCUPA!$A$21:$H$155,8,0),0)</f>
        <v>0</v>
      </c>
      <c r="J1539" s="88">
        <f>-IFERROR(VLOOKUP(C1539,SIRTAC!$A$16:$H$1288,8,0),0)</f>
        <v>0</v>
      </c>
      <c r="K1539" s="88">
        <f>-IFERROR(VLOOKUP(C1539,Gastos!$A$9:$J$1281,10,0),0)</f>
        <v>0</v>
      </c>
      <c r="L1539" s="87">
        <f>+D1539-G1539</f>
        <v>-1291.0499999999884</v>
      </c>
      <c r="M1539" s="121">
        <f t="shared" ref="M1539" si="209">+D1539-I1539-J1539-K1539-L1539</f>
        <v>-215175</v>
      </c>
      <c r="O1539" s="35"/>
      <c r="Q1539" s="35">
        <f t="shared" ref="Q1539" si="210">+L1539/0.006</f>
        <v>-215174.99999999805</v>
      </c>
      <c r="R1539" s="66">
        <f t="shared" ref="R1539:R1541" si="211">+M1539-Q1539</f>
        <v>-1.9499566406011581E-9</v>
      </c>
    </row>
    <row r="1540" spans="1:18" hidden="1">
      <c r="A1540" s="59" t="s">
        <v>35</v>
      </c>
      <c r="B1540" s="59" t="s">
        <v>42</v>
      </c>
      <c r="C1540" s="112">
        <v>124618927966</v>
      </c>
      <c r="D1540" s="64">
        <v>-84294.94</v>
      </c>
      <c r="E1540" s="3">
        <v>9758405.3000000007</v>
      </c>
      <c r="F1540" s="59" t="s">
        <v>2751</v>
      </c>
      <c r="G1540" s="65">
        <f>+D1540/1.006</f>
        <v>-83792.186878727633</v>
      </c>
      <c r="H1540" s="65">
        <f>+D1540-G1540</f>
        <v>-502.75312127236975</v>
      </c>
      <c r="I1540" s="108">
        <f>-IFERROR(VLOOKUP(C1540,SIRCUPA!$A$21:$H$155,8,0),0)</f>
        <v>0</v>
      </c>
      <c r="J1540" s="108">
        <f>-IFERROR(VLOOKUP(C1540,SIRTAC!$A$16:$H$1288,8,0),0)</f>
        <v>0</v>
      </c>
      <c r="K1540" s="108">
        <f>-IFERROR(VLOOKUP(C1540,Gastos!$A$9:$J$1281,10,0),0)</f>
        <v>0</v>
      </c>
      <c r="L1540" s="65"/>
      <c r="M1540" s="123">
        <f t="shared" ref="M1540:M1541" si="212">+D1540</f>
        <v>-84294.94</v>
      </c>
      <c r="N1540" s="65"/>
      <c r="O1540" s="59"/>
      <c r="Q1540" s="3">
        <f>+D1540</f>
        <v>-84294.94</v>
      </c>
      <c r="R1540" s="66">
        <f t="shared" si="211"/>
        <v>0</v>
      </c>
    </row>
    <row r="1541" spans="1:18" hidden="1">
      <c r="A1541" s="59" t="s">
        <v>35</v>
      </c>
      <c r="B1541" s="59" t="s">
        <v>42</v>
      </c>
      <c r="C1541" s="112">
        <v>124624594370</v>
      </c>
      <c r="D1541" s="64">
        <v>-215724.16</v>
      </c>
      <c r="E1541" s="3">
        <v>9542175.3699999992</v>
      </c>
      <c r="F1541" s="59" t="s">
        <v>2751</v>
      </c>
      <c r="G1541" s="65">
        <f>+D1541/1.006</f>
        <v>-214437.53479125249</v>
      </c>
      <c r="H1541" s="65">
        <f>+D1541-G1541</f>
        <v>-1286.625208747515</v>
      </c>
      <c r="I1541" s="108">
        <f>-IFERROR(VLOOKUP(C1541,SIRCUPA!$A$21:$H$155,8,0),0)</f>
        <v>0</v>
      </c>
      <c r="J1541" s="108">
        <f>-IFERROR(VLOOKUP(C1541,SIRTAC!$A$16:$H$1288,8,0),0)</f>
        <v>0</v>
      </c>
      <c r="K1541" s="108">
        <f>-IFERROR(VLOOKUP(C1541,Gastos!$A$9:$J$1281,10,0),0)</f>
        <v>0</v>
      </c>
      <c r="L1541" s="65"/>
      <c r="M1541" s="123">
        <f t="shared" si="212"/>
        <v>-215724.16</v>
      </c>
      <c r="N1541" s="65"/>
      <c r="O1541" s="59"/>
      <c r="Q1541" s="3">
        <f>+D1541</f>
        <v>-215724.16</v>
      </c>
      <c r="R1541" s="66">
        <f t="shared" si="211"/>
        <v>0</v>
      </c>
    </row>
    <row r="1542" spans="1:18" hidden="1">
      <c r="A1542" s="1" t="s">
        <v>1683</v>
      </c>
      <c r="B1542" s="1" t="s">
        <v>15</v>
      </c>
      <c r="C1542" s="91">
        <v>127894055512</v>
      </c>
      <c r="D1542" s="3">
        <v>9743</v>
      </c>
      <c r="E1542" s="3">
        <v>13129041.6</v>
      </c>
      <c r="F1542" s="35" t="s">
        <v>2750</v>
      </c>
      <c r="G1542"/>
      <c r="H1542"/>
      <c r="I1542" s="27">
        <f>-IFERROR(VLOOKUP(C1542,SIRCUPA!$A$21:$H$155,8,0),0)</f>
        <v>0</v>
      </c>
      <c r="J1542" s="88">
        <f>-IFERROR(VLOOKUP(C1542,SIRTAC!$A$16:$H$1288,8,0),0)</f>
        <v>-100</v>
      </c>
      <c r="K1542" s="88">
        <f>-IFERROR(VLOOKUP(C1542,Gastos!$A$9:$J$1281,10,0),0)</f>
        <v>-97</v>
      </c>
      <c r="L1542" s="87">
        <f>-IFERROR(VLOOKUP(C1542,IDC!$A$25:$H$1532,8,0),0)</f>
        <v>-60</v>
      </c>
      <c r="M1542" s="122">
        <f t="shared" ref="M1542:M1563" si="213">+D1542-I1542-J1542-K1542-L1542</f>
        <v>10000</v>
      </c>
      <c r="N1542"/>
      <c r="P1542" s="35">
        <f t="shared" ref="P1542:P1563" si="214">+L1542/0.006</f>
        <v>-10000</v>
      </c>
      <c r="Q1542" s="66">
        <f t="shared" ref="Q1542:Q1563" si="215">+M1542+P1542</f>
        <v>0</v>
      </c>
    </row>
    <row r="1543" spans="1:18" hidden="1">
      <c r="A1543" s="1" t="s">
        <v>1683</v>
      </c>
      <c r="B1543" s="1" t="s">
        <v>15</v>
      </c>
      <c r="C1543" s="91">
        <v>127894447792</v>
      </c>
      <c r="D1543" s="3">
        <v>8029.95</v>
      </c>
      <c r="E1543" s="3">
        <v>13137071.550000001</v>
      </c>
      <c r="F1543" s="35" t="s">
        <v>2750</v>
      </c>
      <c r="G1543"/>
      <c r="H1543"/>
      <c r="I1543" s="27">
        <f>-IFERROR(VLOOKUP(C1543,SIRCUPA!$A$21:$H$155,8,0),0)</f>
        <v>0</v>
      </c>
      <c r="J1543" s="88">
        <f>-IFERROR(VLOOKUP(C1543,SIRTAC!$A$16:$H$1288,8,0),0)</f>
        <v>-85</v>
      </c>
      <c r="K1543" s="88">
        <f>-IFERROR(VLOOKUP(C1543,Gastos!$A$9:$J$1281,10,0),0)</f>
        <v>-334.05</v>
      </c>
      <c r="L1543" s="87">
        <f>-IFERROR(VLOOKUP(C1543,IDC!$A$25:$H$1532,8,0),0)</f>
        <v>-51</v>
      </c>
      <c r="M1543" s="122">
        <f t="shared" si="213"/>
        <v>8500</v>
      </c>
      <c r="N1543"/>
      <c r="P1543" s="35">
        <f t="shared" si="214"/>
        <v>-8500</v>
      </c>
      <c r="Q1543" s="66">
        <f t="shared" si="215"/>
        <v>0</v>
      </c>
    </row>
    <row r="1544" spans="1:18" hidden="1">
      <c r="A1544" s="1" t="s">
        <v>1683</v>
      </c>
      <c r="B1544" s="1" t="s">
        <v>15</v>
      </c>
      <c r="C1544" s="91">
        <v>127894737706</v>
      </c>
      <c r="D1544" s="3">
        <v>23578.06</v>
      </c>
      <c r="E1544" s="3">
        <v>13160649.609999999</v>
      </c>
      <c r="F1544" s="35" t="s">
        <v>2750</v>
      </c>
      <c r="G1544"/>
      <c r="H1544"/>
      <c r="I1544" s="27">
        <f>-IFERROR(VLOOKUP(C1544,SIRCUPA!$A$21:$H$155,8,0),0)</f>
        <v>0</v>
      </c>
      <c r="J1544" s="88">
        <f>-IFERROR(VLOOKUP(C1544,SIRTAC!$A$16:$H$1288,8,0),0)</f>
        <v>-242</v>
      </c>
      <c r="K1544" s="88">
        <f>-IFERROR(VLOOKUP(C1544,Gastos!$A$9:$J$1281,10,0),0)</f>
        <v>-234.74</v>
      </c>
      <c r="L1544" s="87">
        <f>-IFERROR(VLOOKUP(C1544,IDC!$A$25:$H$1532,8,0),0)</f>
        <v>-145.19999999999999</v>
      </c>
      <c r="M1544" s="122">
        <f t="shared" si="213"/>
        <v>24200.000000000004</v>
      </c>
      <c r="N1544"/>
      <c r="P1544" s="35">
        <f t="shared" si="214"/>
        <v>-24199.999999999996</v>
      </c>
      <c r="Q1544" s="66">
        <f t="shared" si="215"/>
        <v>0</v>
      </c>
    </row>
    <row r="1545" spans="1:18" hidden="1">
      <c r="A1545" s="1" t="s">
        <v>1683</v>
      </c>
      <c r="B1545" s="1" t="s">
        <v>15</v>
      </c>
      <c r="C1545" s="91">
        <v>127332392351</v>
      </c>
      <c r="D1545" s="3">
        <v>95509.17</v>
      </c>
      <c r="E1545" s="3">
        <v>13256158.779999999</v>
      </c>
      <c r="F1545" s="35" t="s">
        <v>2750</v>
      </c>
      <c r="G1545"/>
      <c r="H1545"/>
      <c r="I1545" s="27">
        <f>-IFERROR(VLOOKUP(C1545,SIRCUPA!$A$21:$H$155,8,0),0)</f>
        <v>0</v>
      </c>
      <c r="J1545" s="88">
        <f>-IFERROR(VLOOKUP(C1545,SIRTAC!$A$16:$H$1288,8,0),0)</f>
        <v>-1011</v>
      </c>
      <c r="K1545" s="88">
        <f>-IFERROR(VLOOKUP(C1545,Gastos!$A$9:$J$1281,10,0),0)</f>
        <v>-3973.23</v>
      </c>
      <c r="L1545" s="87">
        <f>-IFERROR(VLOOKUP(C1545,IDC!$A$25:$H$1532,8,0),0)</f>
        <v>-606.6</v>
      </c>
      <c r="M1545" s="122">
        <f t="shared" si="213"/>
        <v>101100</v>
      </c>
      <c r="N1545"/>
      <c r="P1545" s="35">
        <f t="shared" si="214"/>
        <v>-101100</v>
      </c>
      <c r="Q1545" s="66">
        <f t="shared" si="215"/>
        <v>0</v>
      </c>
    </row>
    <row r="1546" spans="1:18" hidden="1">
      <c r="A1546" s="1" t="s">
        <v>1683</v>
      </c>
      <c r="B1546" s="1" t="s">
        <v>15</v>
      </c>
      <c r="C1546" s="91">
        <v>127894833394</v>
      </c>
      <c r="D1546" s="3">
        <v>26403.53</v>
      </c>
      <c r="E1546" s="3">
        <v>13282562.310000001</v>
      </c>
      <c r="F1546" s="35" t="s">
        <v>2750</v>
      </c>
      <c r="G1546"/>
      <c r="H1546"/>
      <c r="I1546" s="27">
        <f>-IFERROR(VLOOKUP(C1546,SIRCUPA!$A$21:$H$155,8,0),0)</f>
        <v>0</v>
      </c>
      <c r="J1546" s="88">
        <f>-IFERROR(VLOOKUP(C1546,SIRTAC!$A$16:$H$1288,8,0),0)</f>
        <v>-271</v>
      </c>
      <c r="K1546" s="88">
        <f>-IFERROR(VLOOKUP(C1546,Gastos!$A$9:$J$1281,10,0),0)</f>
        <v>-262.87</v>
      </c>
      <c r="L1546" s="87">
        <f>-IFERROR(VLOOKUP(C1546,IDC!$A$25:$H$1532,8,0),0)</f>
        <v>-162.6</v>
      </c>
      <c r="M1546" s="122">
        <f t="shared" si="213"/>
        <v>27099.999999999996</v>
      </c>
      <c r="N1546"/>
      <c r="P1546" s="35">
        <f t="shared" si="214"/>
        <v>-27100</v>
      </c>
      <c r="Q1546" s="66">
        <f t="shared" si="215"/>
        <v>0</v>
      </c>
    </row>
    <row r="1547" spans="1:18" hidden="1">
      <c r="A1547" s="1" t="s">
        <v>1683</v>
      </c>
      <c r="B1547" s="1" t="s">
        <v>15</v>
      </c>
      <c r="C1547" s="91">
        <v>127332484489</v>
      </c>
      <c r="D1547" s="3">
        <v>25317.96</v>
      </c>
      <c r="E1547" s="3">
        <v>13307880.27</v>
      </c>
      <c r="F1547" s="35" t="s">
        <v>2750</v>
      </c>
      <c r="G1547"/>
      <c r="H1547"/>
      <c r="I1547" s="27">
        <f>-IFERROR(VLOOKUP(C1547,SIRCUPA!$A$21:$H$155,8,0),0)</f>
        <v>0</v>
      </c>
      <c r="J1547" s="88">
        <f>-IFERROR(VLOOKUP(C1547,SIRTAC!$A$16:$H$1288,8,0),0)</f>
        <v>-268</v>
      </c>
      <c r="K1547" s="88">
        <f>-IFERROR(VLOOKUP(C1547,Gastos!$A$9:$J$1281,10,0),0)</f>
        <v>-1053.24</v>
      </c>
      <c r="L1547" s="87">
        <f>-IFERROR(VLOOKUP(C1547,IDC!$A$25:$H$1532,8,0),0)</f>
        <v>-160.80000000000001</v>
      </c>
      <c r="M1547" s="122">
        <f t="shared" si="213"/>
        <v>26800</v>
      </c>
      <c r="N1547"/>
      <c r="P1547" s="35">
        <f t="shared" si="214"/>
        <v>-26800</v>
      </c>
      <c r="Q1547" s="66">
        <f t="shared" si="215"/>
        <v>0</v>
      </c>
    </row>
    <row r="1548" spans="1:18" hidden="1">
      <c r="A1548" s="1" t="s">
        <v>1683</v>
      </c>
      <c r="B1548" s="1" t="s">
        <v>15</v>
      </c>
      <c r="C1548" s="91">
        <v>127894879810</v>
      </c>
      <c r="D1548" s="3">
        <v>48325.279999999999</v>
      </c>
      <c r="E1548" s="3">
        <v>13356205.550000001</v>
      </c>
      <c r="F1548" s="35" t="s">
        <v>2750</v>
      </c>
      <c r="G1548"/>
      <c r="H1548"/>
      <c r="I1548" s="27">
        <f>-IFERROR(VLOOKUP(C1548,SIRCUPA!$A$21:$H$155,8,0),0)</f>
        <v>0</v>
      </c>
      <c r="J1548" s="88">
        <f>-IFERROR(VLOOKUP(C1548,SIRTAC!$A$16:$H$1288,8,0),0)</f>
        <v>-496</v>
      </c>
      <c r="K1548" s="88">
        <f>-IFERROR(VLOOKUP(C1548,Gastos!$A$9:$J$1281,10,0),0)</f>
        <v>-481.12</v>
      </c>
      <c r="L1548" s="87">
        <f>-IFERROR(VLOOKUP(C1548,IDC!$A$25:$H$1532,8,0),0)</f>
        <v>-297.60000000000002</v>
      </c>
      <c r="M1548" s="122">
        <f t="shared" si="213"/>
        <v>49600</v>
      </c>
      <c r="N1548"/>
      <c r="P1548" s="35">
        <f t="shared" si="214"/>
        <v>-49600</v>
      </c>
      <c r="Q1548" s="66">
        <f t="shared" si="215"/>
        <v>0</v>
      </c>
    </row>
    <row r="1549" spans="1:18" hidden="1">
      <c r="A1549" s="1" t="s">
        <v>1683</v>
      </c>
      <c r="B1549" s="1" t="s">
        <v>15</v>
      </c>
      <c r="C1549" s="91">
        <v>127332445685</v>
      </c>
      <c r="D1549" s="3">
        <v>62539.14</v>
      </c>
      <c r="E1549" s="3">
        <v>13418744.689999999</v>
      </c>
      <c r="F1549" s="35" t="s">
        <v>2750</v>
      </c>
      <c r="G1549"/>
      <c r="H1549"/>
      <c r="I1549" s="27">
        <f>-IFERROR(VLOOKUP(C1549,SIRCUPA!$A$21:$H$155,8,0),0)</f>
        <v>0</v>
      </c>
      <c r="J1549" s="88">
        <f>-IFERROR(VLOOKUP(C1549,SIRTAC!$A$16:$H$1288,8,0),0)</f>
        <v>-662</v>
      </c>
      <c r="K1549" s="88">
        <f>-IFERROR(VLOOKUP(C1549,Gastos!$A$9:$J$1281,10,0),0)</f>
        <v>-2601.66</v>
      </c>
      <c r="L1549" s="87">
        <f>-IFERROR(VLOOKUP(C1549,IDC!$A$25:$H$1532,8,0),0)</f>
        <v>-397.2</v>
      </c>
      <c r="M1549" s="122">
        <f t="shared" si="213"/>
        <v>66200</v>
      </c>
      <c r="N1549"/>
      <c r="P1549" s="35">
        <f t="shared" si="214"/>
        <v>-66200</v>
      </c>
      <c r="Q1549" s="66">
        <f t="shared" si="215"/>
        <v>0</v>
      </c>
    </row>
    <row r="1550" spans="1:18" hidden="1">
      <c r="A1550" s="1" t="s">
        <v>1683</v>
      </c>
      <c r="B1550" s="1" t="s">
        <v>15</v>
      </c>
      <c r="C1550" s="91">
        <v>127895243454</v>
      </c>
      <c r="D1550" s="3">
        <v>9447</v>
      </c>
      <c r="E1550" s="3">
        <v>13428191.689999999</v>
      </c>
      <c r="F1550" s="35" t="s">
        <v>2750</v>
      </c>
      <c r="G1550"/>
      <c r="H1550"/>
      <c r="I1550" s="27">
        <f>-IFERROR(VLOOKUP(C1550,SIRCUPA!$A$21:$H$155,8,0),0)</f>
        <v>0</v>
      </c>
      <c r="J1550" s="88">
        <f>-IFERROR(VLOOKUP(C1550,SIRTAC!$A$16:$H$1288,8,0),0)</f>
        <v>-100</v>
      </c>
      <c r="K1550" s="88">
        <f>-IFERROR(VLOOKUP(C1550,Gastos!$A$9:$J$1281,10,0),0)</f>
        <v>-393</v>
      </c>
      <c r="L1550" s="87">
        <f>-IFERROR(VLOOKUP(C1550,IDC!$A$25:$H$1532,8,0),0)</f>
        <v>-60</v>
      </c>
      <c r="M1550" s="122">
        <f t="shared" si="213"/>
        <v>10000</v>
      </c>
      <c r="N1550"/>
      <c r="P1550" s="35">
        <f t="shared" si="214"/>
        <v>-10000</v>
      </c>
      <c r="Q1550" s="66">
        <f t="shared" si="215"/>
        <v>0</v>
      </c>
    </row>
    <row r="1551" spans="1:18" hidden="1">
      <c r="A1551" s="1" t="s">
        <v>1683</v>
      </c>
      <c r="B1551" s="1" t="s">
        <v>15</v>
      </c>
      <c r="C1551" s="91">
        <v>127895360758</v>
      </c>
      <c r="D1551" s="3">
        <v>30593.02</v>
      </c>
      <c r="E1551" s="3">
        <v>13458784.710000001</v>
      </c>
      <c r="F1551" s="35" t="s">
        <v>2750</v>
      </c>
      <c r="G1551"/>
      <c r="H1551"/>
      <c r="I1551" s="27">
        <f>-IFERROR(VLOOKUP(C1551,SIRCUPA!$A$21:$H$155,8,0),0)</f>
        <v>0</v>
      </c>
      <c r="J1551" s="88">
        <f>-IFERROR(VLOOKUP(C1551,SIRTAC!$A$16:$H$1288,8,0),0)</f>
        <v>-314</v>
      </c>
      <c r="K1551" s="88">
        <f>-IFERROR(VLOOKUP(C1551,Gastos!$A$9:$J$1281,10,0),0)</f>
        <v>-304.58</v>
      </c>
      <c r="L1551" s="87">
        <f>-IFERROR(VLOOKUP(C1551,IDC!$A$25:$H$1532,8,0),0)</f>
        <v>-188.4</v>
      </c>
      <c r="M1551" s="122">
        <f t="shared" si="213"/>
        <v>31400.000000000004</v>
      </c>
      <c r="N1551"/>
      <c r="P1551" s="35">
        <f t="shared" si="214"/>
        <v>-31400</v>
      </c>
      <c r="Q1551" s="66">
        <f t="shared" si="215"/>
        <v>0</v>
      </c>
    </row>
    <row r="1552" spans="1:18" hidden="1">
      <c r="A1552" s="1" t="s">
        <v>1683</v>
      </c>
      <c r="B1552" s="1" t="s">
        <v>15</v>
      </c>
      <c r="C1552" s="91">
        <v>127895269884</v>
      </c>
      <c r="D1552" s="3">
        <v>83417.009999999995</v>
      </c>
      <c r="E1552" s="3">
        <v>13542201.720000001</v>
      </c>
      <c r="F1552" s="35" t="s">
        <v>2750</v>
      </c>
      <c r="G1552"/>
      <c r="H1552"/>
      <c r="I1552" s="27">
        <f>-IFERROR(VLOOKUP(C1552,SIRCUPA!$A$21:$H$155,8,0),0)</f>
        <v>0</v>
      </c>
      <c r="J1552" s="88">
        <f>-IFERROR(VLOOKUP(C1552,SIRTAC!$A$16:$H$1288,8,0),0)</f>
        <v>-883</v>
      </c>
      <c r="K1552" s="88">
        <f>-IFERROR(VLOOKUP(C1552,Gastos!$A$9:$J$1281,10,0),0)</f>
        <v>-3470.19</v>
      </c>
      <c r="L1552" s="87">
        <f>-IFERROR(VLOOKUP(C1552,IDC!$A$25:$H$1532,8,0),0)</f>
        <v>-529.79999999999995</v>
      </c>
      <c r="M1552" s="122">
        <f t="shared" si="213"/>
        <v>88300</v>
      </c>
      <c r="N1552"/>
      <c r="P1552" s="35">
        <f t="shared" si="214"/>
        <v>-88299.999999999985</v>
      </c>
      <c r="Q1552" s="66">
        <f t="shared" si="215"/>
        <v>0</v>
      </c>
    </row>
    <row r="1553" spans="1:18" hidden="1">
      <c r="A1553" s="1" t="s">
        <v>1683</v>
      </c>
      <c r="B1553" s="1" t="s">
        <v>15</v>
      </c>
      <c r="C1553" s="91">
        <v>127333073127</v>
      </c>
      <c r="D1553" s="3">
        <v>27767.55</v>
      </c>
      <c r="E1553" s="3">
        <v>13569969.27</v>
      </c>
      <c r="F1553" s="35" t="s">
        <v>2750</v>
      </c>
      <c r="G1553"/>
      <c r="H1553"/>
      <c r="I1553" s="27">
        <f>-IFERROR(VLOOKUP(C1553,SIRCUPA!$A$21:$H$155,8,0),0)</f>
        <v>0</v>
      </c>
      <c r="J1553" s="88">
        <f>-IFERROR(VLOOKUP(C1553,SIRTAC!$A$16:$H$1288,8,0),0)</f>
        <v>-285</v>
      </c>
      <c r="K1553" s="88">
        <f>-IFERROR(VLOOKUP(C1553,Gastos!$A$9:$J$1281,10,0),0)</f>
        <v>-276.45</v>
      </c>
      <c r="L1553" s="87">
        <f>-IFERROR(VLOOKUP(C1553,IDC!$A$25:$H$1532,8,0),0)</f>
        <v>-171</v>
      </c>
      <c r="M1553" s="122">
        <f t="shared" si="213"/>
        <v>28500</v>
      </c>
      <c r="N1553"/>
      <c r="P1553" s="35">
        <f t="shared" si="214"/>
        <v>-28500</v>
      </c>
      <c r="Q1553" s="66">
        <f t="shared" si="215"/>
        <v>0</v>
      </c>
    </row>
    <row r="1554" spans="1:18" hidden="1">
      <c r="A1554" s="1" t="s">
        <v>1683</v>
      </c>
      <c r="B1554" s="1" t="s">
        <v>15</v>
      </c>
      <c r="C1554" s="91">
        <v>127895917768</v>
      </c>
      <c r="D1554" s="3">
        <v>10064.08</v>
      </c>
      <c r="E1554" s="3">
        <v>13580033.35</v>
      </c>
      <c r="F1554" s="35" t="s">
        <v>2750</v>
      </c>
      <c r="G1554"/>
      <c r="H1554"/>
      <c r="I1554" s="27">
        <f>-IFERROR(VLOOKUP(C1554,SIRCUPA!$A$21:$H$155,8,0),0)</f>
        <v>0</v>
      </c>
      <c r="J1554" s="88">
        <f>-IFERROR(VLOOKUP(C1554,SIRTAC!$A$16:$H$1288,8,0),0)</f>
        <v>-104</v>
      </c>
      <c r="K1554" s="88">
        <f>-IFERROR(VLOOKUP(C1554,Gastos!$A$9:$J$1281,10,0),0)</f>
        <v>-169.52</v>
      </c>
      <c r="L1554" s="87">
        <f>-IFERROR(VLOOKUP(C1554,IDC!$A$25:$H$1532,8,0),0)</f>
        <v>-62.4</v>
      </c>
      <c r="M1554" s="122">
        <f t="shared" si="213"/>
        <v>10400</v>
      </c>
      <c r="N1554"/>
      <c r="P1554" s="35">
        <f t="shared" si="214"/>
        <v>-10400</v>
      </c>
      <c r="Q1554" s="66">
        <f t="shared" si="215"/>
        <v>0</v>
      </c>
    </row>
    <row r="1555" spans="1:18" hidden="1">
      <c r="A1555" s="1" t="s">
        <v>1683</v>
      </c>
      <c r="B1555" s="1" t="s">
        <v>15</v>
      </c>
      <c r="C1555" s="91">
        <v>127334214297</v>
      </c>
      <c r="D1555" s="3">
        <v>37705.410000000003</v>
      </c>
      <c r="E1555" s="3">
        <v>13617738.76</v>
      </c>
      <c r="F1555" s="35" t="s">
        <v>2750</v>
      </c>
      <c r="G1555"/>
      <c r="H1555"/>
      <c r="I1555" s="27">
        <f>-IFERROR(VLOOKUP(C1555,SIRCUPA!$A$21:$H$155,8,0),0)</f>
        <v>0</v>
      </c>
      <c r="J1555" s="88">
        <f>-IFERROR(VLOOKUP(C1555,SIRTAC!$A$16:$H$1288,8,0),0)</f>
        <v>-387</v>
      </c>
      <c r="K1555" s="88">
        <f>-IFERROR(VLOOKUP(C1555,Gastos!$A$9:$J$1281,10,0),0)</f>
        <v>-375.39</v>
      </c>
      <c r="L1555" s="87">
        <f>-IFERROR(VLOOKUP(C1555,IDC!$A$25:$H$1532,8,0),0)</f>
        <v>-232.2</v>
      </c>
      <c r="M1555" s="122">
        <f t="shared" si="213"/>
        <v>38700</v>
      </c>
      <c r="N1555"/>
      <c r="P1555" s="35">
        <f t="shared" si="214"/>
        <v>-38700</v>
      </c>
      <c r="Q1555" s="66">
        <f t="shared" si="215"/>
        <v>0</v>
      </c>
    </row>
    <row r="1556" spans="1:18" hidden="1">
      <c r="A1556" s="1" t="s">
        <v>1683</v>
      </c>
      <c r="B1556" s="1" t="s">
        <v>15</v>
      </c>
      <c r="C1556" s="91">
        <v>127334292265</v>
      </c>
      <c r="D1556" s="3">
        <v>48032.99</v>
      </c>
      <c r="E1556" s="3">
        <v>13665771.75</v>
      </c>
      <c r="F1556" s="35" t="s">
        <v>2750</v>
      </c>
      <c r="G1556"/>
      <c r="H1556"/>
      <c r="I1556" s="27">
        <f>-IFERROR(VLOOKUP(C1556,SIRCUPA!$A$21:$H$155,8,0),0)</f>
        <v>0</v>
      </c>
      <c r="J1556" s="88">
        <f>-IFERROR(VLOOKUP(C1556,SIRTAC!$A$16:$H$1288,8,0),0)</f>
        <v>-493</v>
      </c>
      <c r="K1556" s="88">
        <f>-IFERROR(VLOOKUP(C1556,Gastos!$A$9:$J$1281,10,0),0)</f>
        <v>-478.21</v>
      </c>
      <c r="L1556" s="87">
        <f>-IFERROR(VLOOKUP(C1556,IDC!$A$25:$H$1532,8,0),0)</f>
        <v>-295.8</v>
      </c>
      <c r="M1556" s="122">
        <f t="shared" si="213"/>
        <v>49300</v>
      </c>
      <c r="N1556"/>
      <c r="P1556" s="35">
        <f t="shared" si="214"/>
        <v>-49300</v>
      </c>
      <c r="Q1556" s="66">
        <f t="shared" si="215"/>
        <v>0</v>
      </c>
    </row>
    <row r="1557" spans="1:18" hidden="1">
      <c r="A1557" s="1" t="s">
        <v>1683</v>
      </c>
      <c r="B1557" s="1" t="s">
        <v>1699</v>
      </c>
      <c r="C1557" s="91">
        <v>127896570932</v>
      </c>
      <c r="D1557" s="3">
        <v>2413.23</v>
      </c>
      <c r="E1557" s="3">
        <v>13668184.98</v>
      </c>
      <c r="F1557" s="2" t="s">
        <v>2750</v>
      </c>
      <c r="G1557"/>
      <c r="H1557"/>
      <c r="I1557" s="27">
        <f>-IFERROR(VLOOKUP(C1557,SIRCUPA!$A$21:$H$155,8,0),0)</f>
        <v>-36.979999999999997</v>
      </c>
      <c r="J1557" s="88">
        <f>-IFERROR(VLOOKUP(C1557,SIRTAC!$A$16:$H$1288,8,0),0)</f>
        <v>0</v>
      </c>
      <c r="K1557" s="88">
        <f>-IFERROR(VLOOKUP(C1557,Gastos!$A$9:$J$1281,10,0),0)</f>
        <v>0</v>
      </c>
      <c r="L1557" s="87">
        <f>-IFERROR(VLOOKUP(C1557,IDC!$A$25:$H$1532,8,0),0)</f>
        <v>-14.79</v>
      </c>
      <c r="M1557" s="122">
        <f t="shared" si="213"/>
        <v>2465</v>
      </c>
      <c r="N1557"/>
      <c r="P1557" s="35">
        <f t="shared" si="214"/>
        <v>-2465</v>
      </c>
      <c r="Q1557" s="66">
        <f t="shared" si="215"/>
        <v>0</v>
      </c>
    </row>
    <row r="1558" spans="1:18" hidden="1">
      <c r="A1558" s="1" t="s">
        <v>1683</v>
      </c>
      <c r="B1558" s="1" t="s">
        <v>15</v>
      </c>
      <c r="C1558" s="91">
        <v>127334832777</v>
      </c>
      <c r="D1558" s="3">
        <v>19156.689999999999</v>
      </c>
      <c r="E1558" s="3">
        <v>13687341.67</v>
      </c>
      <c r="F1558" s="35" t="s">
        <v>2750</v>
      </c>
      <c r="G1558"/>
      <c r="H1558"/>
      <c r="I1558" s="27">
        <f>-IFERROR(VLOOKUP(C1558,SIRCUPA!$A$21:$H$155,8,0),0)</f>
        <v>0</v>
      </c>
      <c r="J1558" s="88">
        <f>-IFERROR(VLOOKUP(C1558,SIRTAC!$A$16:$H$1288,8,0),0)</f>
        <v>-211</v>
      </c>
      <c r="K1558" s="88">
        <f>-IFERROR(VLOOKUP(C1558,Gastos!$A$9:$J$1281,10,0),0)</f>
        <v>-1605.71</v>
      </c>
      <c r="L1558" s="87">
        <f>-IFERROR(VLOOKUP(C1558,IDC!$A$25:$H$1532,8,0),0)</f>
        <v>-126.6</v>
      </c>
      <c r="M1558" s="122">
        <f t="shared" si="213"/>
        <v>21099.999999999996</v>
      </c>
      <c r="N1558"/>
      <c r="P1558" s="35">
        <f t="shared" si="214"/>
        <v>-21100</v>
      </c>
      <c r="Q1558" s="66">
        <f t="shared" si="215"/>
        <v>0</v>
      </c>
    </row>
    <row r="1559" spans="1:18" hidden="1">
      <c r="A1559" s="1" t="s">
        <v>1683</v>
      </c>
      <c r="B1559" s="1" t="s">
        <v>15</v>
      </c>
      <c r="C1559" s="91">
        <v>127897506320</v>
      </c>
      <c r="D1559" s="3">
        <v>9447</v>
      </c>
      <c r="E1559" s="3">
        <v>13696788.67</v>
      </c>
      <c r="F1559" s="35" t="s">
        <v>2750</v>
      </c>
      <c r="G1559"/>
      <c r="H1559"/>
      <c r="I1559" s="27">
        <f>-IFERROR(VLOOKUP(C1559,SIRCUPA!$A$21:$H$155,8,0),0)</f>
        <v>0</v>
      </c>
      <c r="J1559" s="88">
        <f>-IFERROR(VLOOKUP(C1559,SIRTAC!$A$16:$H$1288,8,0),0)</f>
        <v>-100</v>
      </c>
      <c r="K1559" s="88">
        <f>-IFERROR(VLOOKUP(C1559,Gastos!$A$9:$J$1281,10,0),0)</f>
        <v>-393</v>
      </c>
      <c r="L1559" s="87">
        <f>-IFERROR(VLOOKUP(C1559,IDC!$A$25:$H$1532,8,0),0)</f>
        <v>-60</v>
      </c>
      <c r="M1559" s="122">
        <f t="shared" si="213"/>
        <v>10000</v>
      </c>
      <c r="N1559"/>
      <c r="P1559" s="35">
        <f t="shared" si="214"/>
        <v>-10000</v>
      </c>
      <c r="Q1559" s="66">
        <f t="shared" si="215"/>
        <v>0</v>
      </c>
    </row>
    <row r="1560" spans="1:18" hidden="1">
      <c r="A1560" s="1" t="s">
        <v>1683</v>
      </c>
      <c r="B1560" s="1" t="s">
        <v>15</v>
      </c>
      <c r="C1560" s="91">
        <v>127898260894</v>
      </c>
      <c r="D1560" s="3">
        <v>8768.7000000000007</v>
      </c>
      <c r="E1560" s="3">
        <v>13705557.369999999</v>
      </c>
      <c r="F1560" s="35" t="s">
        <v>2750</v>
      </c>
      <c r="G1560"/>
      <c r="H1560"/>
      <c r="I1560" s="27">
        <f>-IFERROR(VLOOKUP(C1560,SIRCUPA!$A$21:$H$155,8,0),0)</f>
        <v>0</v>
      </c>
      <c r="J1560" s="88">
        <f>-IFERROR(VLOOKUP(C1560,SIRTAC!$A$16:$H$1288,8,0),0)</f>
        <v>-90</v>
      </c>
      <c r="K1560" s="88">
        <f>-IFERROR(VLOOKUP(C1560,Gastos!$A$9:$J$1281,10,0),0)</f>
        <v>-87.3</v>
      </c>
      <c r="L1560" s="87">
        <f>-IFERROR(VLOOKUP(C1560,IDC!$A$25:$H$1532,8,0),0)</f>
        <v>-54</v>
      </c>
      <c r="M1560" s="122">
        <f t="shared" si="213"/>
        <v>9000</v>
      </c>
      <c r="N1560"/>
      <c r="P1560" s="35">
        <f t="shared" si="214"/>
        <v>-9000</v>
      </c>
      <c r="Q1560" s="66">
        <f t="shared" si="215"/>
        <v>0</v>
      </c>
    </row>
    <row r="1561" spans="1:18" hidden="1">
      <c r="A1561" s="1" t="s">
        <v>1683</v>
      </c>
      <c r="B1561" s="35" t="s">
        <v>1704</v>
      </c>
      <c r="C1561" s="91">
        <v>127335749687</v>
      </c>
      <c r="D1561" s="2">
        <v>440.55</v>
      </c>
      <c r="E1561" s="3">
        <v>13705997.92</v>
      </c>
      <c r="F1561" s="2" t="s">
        <v>2750</v>
      </c>
      <c r="G1561" s="35"/>
      <c r="H1561" s="35"/>
      <c r="I1561" s="27">
        <f>-IFERROR(VLOOKUP(C1561,SIRCUPA!$A$21:$H$155,8,0),0)</f>
        <v>-6.75</v>
      </c>
      <c r="J1561" s="88">
        <f>-IFERROR(VLOOKUP(C1561,SIRTAC!$A$16:$H$1288,8,0),0)</f>
        <v>0</v>
      </c>
      <c r="K1561" s="88">
        <f>-IFERROR(VLOOKUP(C1561,Gastos!$A$9:$J$1281,10,0),0)</f>
        <v>0</v>
      </c>
      <c r="L1561" s="87">
        <f>-IFERROR(VLOOKUP(C1561,IDC!$A$25:$H$1532,8,0),0)</f>
        <v>-2.7</v>
      </c>
      <c r="M1561" s="122">
        <f t="shared" si="213"/>
        <v>450</v>
      </c>
      <c r="N1561" s="35"/>
      <c r="O1561" s="35"/>
      <c r="P1561" s="35">
        <f t="shared" si="214"/>
        <v>-450</v>
      </c>
      <c r="Q1561" s="66">
        <f t="shared" si="215"/>
        <v>0</v>
      </c>
    </row>
    <row r="1562" spans="1:18" s="59" customFormat="1" hidden="1">
      <c r="A1562" s="35" t="s">
        <v>1683</v>
      </c>
      <c r="B1562" s="35" t="s">
        <v>15</v>
      </c>
      <c r="C1562" s="91">
        <v>127898519072</v>
      </c>
      <c r="D1562" s="3">
        <v>22896.05</v>
      </c>
      <c r="E1562" s="3">
        <v>13728893.970000001</v>
      </c>
      <c r="F1562" s="35" t="s">
        <v>2750</v>
      </c>
      <c r="G1562" s="35"/>
      <c r="H1562" s="35"/>
      <c r="I1562" s="27">
        <f>-IFERROR(VLOOKUP(C1562,SIRCUPA!$A$21:$H$155,8,0),0)</f>
        <v>0</v>
      </c>
      <c r="J1562" s="88">
        <f>-IFERROR(VLOOKUP(C1562,SIRTAC!$A$16:$H$1288,8,0),0)</f>
        <v>-235</v>
      </c>
      <c r="K1562" s="88">
        <f>-IFERROR(VLOOKUP(C1562,Gastos!$A$9:$J$1281,10,0),0)</f>
        <v>-227.95</v>
      </c>
      <c r="L1562" s="87">
        <f>-IFERROR(VLOOKUP(C1562,IDC!$A$25:$H$1532,8,0),0)</f>
        <v>-141</v>
      </c>
      <c r="M1562" s="122">
        <f t="shared" si="213"/>
        <v>23500</v>
      </c>
      <c r="N1562" s="35"/>
      <c r="O1562" s="35"/>
      <c r="P1562" s="35">
        <f t="shared" si="214"/>
        <v>-23500</v>
      </c>
      <c r="Q1562" s="66">
        <f t="shared" si="215"/>
        <v>0</v>
      </c>
    </row>
    <row r="1563" spans="1:18" s="59" customFormat="1" hidden="1">
      <c r="A1563" s="35" t="s">
        <v>1683</v>
      </c>
      <c r="B1563" s="35" t="s">
        <v>15</v>
      </c>
      <c r="C1563" s="91">
        <v>127898594082</v>
      </c>
      <c r="D1563" s="3">
        <v>36049.1</v>
      </c>
      <c r="E1563" s="3">
        <v>13764943.07</v>
      </c>
      <c r="F1563" s="35" t="s">
        <v>2750</v>
      </c>
      <c r="G1563" s="35"/>
      <c r="H1563" s="35"/>
      <c r="I1563" s="27">
        <f>-IFERROR(VLOOKUP(C1563,SIRCUPA!$A$21:$H$155,8,0),0)</f>
        <v>0</v>
      </c>
      <c r="J1563" s="88">
        <f>-IFERROR(VLOOKUP(C1563,SIRTAC!$A$16:$H$1288,8,0),0)</f>
        <v>-370</v>
      </c>
      <c r="K1563" s="88">
        <f>-IFERROR(VLOOKUP(C1563,Gastos!$A$9:$J$1281,10,0),0)</f>
        <v>-358.9</v>
      </c>
      <c r="L1563" s="87">
        <f>-IFERROR(VLOOKUP(C1563,IDC!$A$25:$H$1532,8,0),0)</f>
        <v>-222</v>
      </c>
      <c r="M1563" s="122">
        <f t="shared" si="213"/>
        <v>37000</v>
      </c>
      <c r="N1563" s="35"/>
      <c r="O1563" s="35"/>
      <c r="P1563" s="35">
        <f t="shared" si="214"/>
        <v>-37000</v>
      </c>
      <c r="Q1563" s="66">
        <f t="shared" si="215"/>
        <v>0</v>
      </c>
    </row>
    <row r="1564" spans="1:18" s="59" customFormat="1" hidden="1">
      <c r="A1564" s="59" t="s">
        <v>45</v>
      </c>
      <c r="B1564" s="59" t="s">
        <v>42</v>
      </c>
      <c r="C1564" s="112">
        <v>124167213727</v>
      </c>
      <c r="D1564" s="64">
        <v>-107615.09</v>
      </c>
      <c r="E1564" s="3">
        <v>9433265.9399999995</v>
      </c>
      <c r="F1564" s="59" t="s">
        <v>2751</v>
      </c>
      <c r="G1564" s="65">
        <f t="shared" ref="G1564:G1570" si="216">+D1564/1.006</f>
        <v>-106973.25049701789</v>
      </c>
      <c r="H1564" s="65">
        <f t="shared" ref="H1564:H1570" si="217">+D1564-G1564</f>
        <v>-641.8395029821113</v>
      </c>
      <c r="I1564" s="108">
        <f>-IFERROR(VLOOKUP(C1564,SIRCUPA!$A$21:$H$155,8,0),0)</f>
        <v>0</v>
      </c>
      <c r="J1564" s="108">
        <f>-IFERROR(VLOOKUP(C1564,SIRTAC!$A$16:$H$1288,8,0),0)</f>
        <v>0</v>
      </c>
      <c r="K1564" s="108">
        <f>-IFERROR(VLOOKUP(C1564,Gastos!$A$9:$J$1281,10,0),0)</f>
        <v>0</v>
      </c>
      <c r="L1564" s="65"/>
      <c r="M1564" s="123">
        <f t="shared" ref="M1564:M1570" si="218">+D1564</f>
        <v>-107615.09</v>
      </c>
      <c r="N1564" s="65"/>
      <c r="Q1564" s="3">
        <f t="shared" ref="Q1564:Q1570" si="219">+D1564</f>
        <v>-107615.09</v>
      </c>
      <c r="R1564" s="66">
        <f t="shared" ref="R1564:R1570" si="220">+M1564-Q1564</f>
        <v>0</v>
      </c>
    </row>
    <row r="1565" spans="1:18" s="59" customFormat="1" hidden="1">
      <c r="A1565" s="59" t="s">
        <v>529</v>
      </c>
      <c r="B1565" s="59" t="s">
        <v>42</v>
      </c>
      <c r="C1565" s="112">
        <v>125232161173</v>
      </c>
      <c r="D1565" s="64">
        <v>-450508.26</v>
      </c>
      <c r="E1565" s="3">
        <v>7715635.3499999996</v>
      </c>
      <c r="F1565" s="59" t="s">
        <v>2751</v>
      </c>
      <c r="G1565" s="65">
        <f t="shared" si="216"/>
        <v>-447821.33200795227</v>
      </c>
      <c r="H1565" s="65">
        <f t="shared" si="217"/>
        <v>-2686.927992047742</v>
      </c>
      <c r="I1565" s="108">
        <f>-IFERROR(VLOOKUP(C1565,SIRCUPA!$A$21:$H$155,8,0),0)</f>
        <v>0</v>
      </c>
      <c r="J1565" s="108">
        <f>-IFERROR(VLOOKUP(C1565,SIRTAC!$A$16:$H$1288,8,0),0)</f>
        <v>0</v>
      </c>
      <c r="K1565" s="108">
        <f>-IFERROR(VLOOKUP(C1565,Gastos!$A$9:$J$1281,10,0),0)</f>
        <v>0</v>
      </c>
      <c r="L1565" s="65"/>
      <c r="M1565" s="123">
        <f t="shared" si="218"/>
        <v>-450508.26</v>
      </c>
      <c r="N1565" s="65"/>
      <c r="Q1565" s="3">
        <f t="shared" si="219"/>
        <v>-450508.26</v>
      </c>
      <c r="R1565" s="66">
        <f t="shared" si="220"/>
        <v>0</v>
      </c>
    </row>
    <row r="1566" spans="1:18" hidden="1">
      <c r="A1566" s="59" t="s">
        <v>529</v>
      </c>
      <c r="B1566" s="59" t="s">
        <v>42</v>
      </c>
      <c r="C1566" s="112">
        <v>125232960111</v>
      </c>
      <c r="D1566" s="64">
        <v>-33241</v>
      </c>
      <c r="E1566" s="3">
        <v>8166343.0599999996</v>
      </c>
      <c r="F1566" s="59" t="s">
        <v>2751</v>
      </c>
      <c r="G1566" s="65">
        <f t="shared" si="216"/>
        <v>-33042.743538767398</v>
      </c>
      <c r="H1566" s="65">
        <f t="shared" si="217"/>
        <v>-198.25646123260231</v>
      </c>
      <c r="I1566" s="108">
        <f>-IFERROR(VLOOKUP(C1566,SIRCUPA!$A$21:$H$155,8,0),0)</f>
        <v>0</v>
      </c>
      <c r="J1566" s="108">
        <f>-IFERROR(VLOOKUP(C1566,SIRTAC!$A$16:$H$1288,8,0),0)</f>
        <v>0</v>
      </c>
      <c r="K1566" s="108">
        <f>-IFERROR(VLOOKUP(C1566,Gastos!$A$9:$J$1281,10,0),0)</f>
        <v>0</v>
      </c>
      <c r="L1566" s="65"/>
      <c r="M1566" s="123">
        <f t="shared" si="218"/>
        <v>-33241</v>
      </c>
      <c r="N1566" s="65"/>
      <c r="O1566" s="59"/>
      <c r="Q1566" s="3">
        <f t="shared" si="219"/>
        <v>-33241</v>
      </c>
      <c r="R1566" s="66">
        <f t="shared" si="220"/>
        <v>0</v>
      </c>
    </row>
    <row r="1567" spans="1:18" hidden="1">
      <c r="A1567" s="59" t="s">
        <v>936</v>
      </c>
      <c r="B1567" s="59" t="s">
        <v>42</v>
      </c>
      <c r="C1567" s="112">
        <v>126550128384</v>
      </c>
      <c r="D1567" s="64">
        <v>-119660.83</v>
      </c>
      <c r="E1567" s="3">
        <v>9071279.9800000004</v>
      </c>
      <c r="F1567" s="59" t="s">
        <v>2751</v>
      </c>
      <c r="G1567" s="65">
        <f t="shared" si="216"/>
        <v>-118947.14711729622</v>
      </c>
      <c r="H1567" s="65">
        <f t="shared" si="217"/>
        <v>-713.68288270378252</v>
      </c>
      <c r="I1567" s="108">
        <f>-IFERROR(VLOOKUP(C1567,SIRCUPA!$A$21:$H$155,8,0),0)</f>
        <v>0</v>
      </c>
      <c r="J1567" s="108">
        <f>-IFERROR(VLOOKUP(C1567,SIRTAC!$A$16:$H$1288,8,0),0)</f>
        <v>0</v>
      </c>
      <c r="K1567" s="108">
        <f>-IFERROR(VLOOKUP(C1567,Gastos!$A$9:$J$1281,10,0),0)</f>
        <v>0</v>
      </c>
      <c r="L1567" s="65"/>
      <c r="M1567" s="123">
        <f t="shared" si="218"/>
        <v>-119660.83</v>
      </c>
      <c r="N1567" s="65"/>
      <c r="O1567" s="59"/>
      <c r="Q1567" s="3">
        <f t="shared" si="219"/>
        <v>-119660.83</v>
      </c>
      <c r="R1567" s="66">
        <f t="shared" si="220"/>
        <v>0</v>
      </c>
    </row>
    <row r="1568" spans="1:18" hidden="1">
      <c r="A1568" s="59" t="s">
        <v>1320</v>
      </c>
      <c r="B1568" s="59" t="s">
        <v>42</v>
      </c>
      <c r="C1568" s="112">
        <v>126932959003</v>
      </c>
      <c r="D1568" s="64">
        <v>-98090.03</v>
      </c>
      <c r="E1568" s="3">
        <v>7862017.0099999998</v>
      </c>
      <c r="F1568" s="59" t="s">
        <v>2751</v>
      </c>
      <c r="G1568" s="65">
        <f t="shared" si="216"/>
        <v>-97505</v>
      </c>
      <c r="H1568" s="65">
        <f t="shared" si="217"/>
        <v>-585.02999999999884</v>
      </c>
      <c r="I1568" s="108">
        <f>-IFERROR(VLOOKUP(C1568,SIRCUPA!$A$21:$H$155,8,0),0)</f>
        <v>0</v>
      </c>
      <c r="J1568" s="108">
        <f>-IFERROR(VLOOKUP(C1568,SIRTAC!$A$16:$H$1288,8,0),0)</f>
        <v>0</v>
      </c>
      <c r="K1568" s="108">
        <f>-IFERROR(VLOOKUP(C1568,Gastos!$A$9:$J$1281,10,0),0)</f>
        <v>0</v>
      </c>
      <c r="L1568" s="65"/>
      <c r="M1568" s="123">
        <f t="shared" si="218"/>
        <v>-98090.03</v>
      </c>
      <c r="N1568" s="65"/>
      <c r="O1568" s="59"/>
      <c r="Q1568" s="3">
        <f t="shared" si="219"/>
        <v>-98090.03</v>
      </c>
      <c r="R1568" s="66">
        <f t="shared" si="220"/>
        <v>0</v>
      </c>
    </row>
    <row r="1569" spans="1:18" hidden="1">
      <c r="A1569" s="59" t="s">
        <v>903</v>
      </c>
      <c r="B1569" s="59" t="s">
        <v>927</v>
      </c>
      <c r="C1569" s="112">
        <v>125738338007</v>
      </c>
      <c r="D1569" s="64">
        <v>-113156</v>
      </c>
      <c r="E1569" s="3">
        <v>11485957.380000001</v>
      </c>
      <c r="F1569" s="59" t="s">
        <v>2751</v>
      </c>
      <c r="G1569" s="65">
        <f t="shared" si="216"/>
        <v>-112481.11332007952</v>
      </c>
      <c r="H1569" s="65">
        <f t="shared" si="217"/>
        <v>-674.88667992048431</v>
      </c>
      <c r="I1569" s="108">
        <f>-IFERROR(VLOOKUP(C1569,SIRCUPA!$A$21:$H$155,8,0),0)</f>
        <v>0</v>
      </c>
      <c r="J1569" s="108">
        <f>-IFERROR(VLOOKUP(C1569,SIRTAC!$A$16:$H$1288,8,0),0)</f>
        <v>0</v>
      </c>
      <c r="K1569" s="108">
        <f>-IFERROR(VLOOKUP(C1569,Gastos!$A$9:$J$1281,10,0),0)</f>
        <v>0</v>
      </c>
      <c r="L1569" s="65"/>
      <c r="M1569" s="123">
        <f t="shared" si="218"/>
        <v>-113156</v>
      </c>
      <c r="N1569" s="65"/>
      <c r="O1569" s="59"/>
      <c r="Q1569" s="3">
        <f t="shared" si="219"/>
        <v>-113156</v>
      </c>
      <c r="R1569" s="66">
        <f t="shared" si="220"/>
        <v>0</v>
      </c>
    </row>
    <row r="1570" spans="1:18" hidden="1">
      <c r="A1570" s="59" t="s">
        <v>930</v>
      </c>
      <c r="B1570" s="59" t="s">
        <v>927</v>
      </c>
      <c r="C1570" s="112">
        <v>126401610954</v>
      </c>
      <c r="D1570" s="64">
        <v>-1049644.75</v>
      </c>
      <c r="E1570" s="3">
        <v>10244282.439999999</v>
      </c>
      <c r="F1570" s="59" t="s">
        <v>2751</v>
      </c>
      <c r="G1570" s="65">
        <f t="shared" si="216"/>
        <v>-1043384.4433399602</v>
      </c>
      <c r="H1570" s="65">
        <f t="shared" si="217"/>
        <v>-6260.3066600398161</v>
      </c>
      <c r="I1570" s="108">
        <f>-IFERROR(VLOOKUP(C1570,SIRCUPA!$A$21:$H$155,8,0),0)</f>
        <v>0</v>
      </c>
      <c r="J1570" s="108">
        <f>-IFERROR(VLOOKUP(C1570,SIRTAC!$A$16:$H$1288,8,0),0)</f>
        <v>0</v>
      </c>
      <c r="K1570" s="108">
        <f>-IFERROR(VLOOKUP(C1570,Gastos!$A$9:$J$1281,10,0),0)</f>
        <v>0</v>
      </c>
      <c r="L1570" s="65"/>
      <c r="M1570" s="123">
        <f t="shared" si="218"/>
        <v>-1049644.75</v>
      </c>
      <c r="N1570" s="65"/>
      <c r="O1570" s="59"/>
      <c r="Q1570" s="3">
        <f t="shared" si="219"/>
        <v>-1049644.75</v>
      </c>
      <c r="R1570" s="66">
        <f t="shared" si="220"/>
        <v>0</v>
      </c>
    </row>
    <row r="1571" spans="1:18">
      <c r="M1571" s="121"/>
    </row>
    <row r="1572" spans="1:18">
      <c r="D1572" s="4">
        <f>SUBTOTAL(9,D5:D1571)</f>
        <v>-3549165.9799999995</v>
      </c>
      <c r="E1572" s="4">
        <f t="shared" ref="E1572:I1572" si="221">SUBTOTAL(9,E5:E1571)</f>
        <v>37489076.199999996</v>
      </c>
      <c r="F1572" s="4">
        <f t="shared" si="221"/>
        <v>0</v>
      </c>
      <c r="G1572" s="4">
        <f t="shared" si="221"/>
        <v>-3527997.9920477136</v>
      </c>
      <c r="H1572" s="4">
        <f t="shared" si="221"/>
        <v>-21167.987952286116</v>
      </c>
      <c r="I1572" s="4">
        <f t="shared" si="221"/>
        <v>0</v>
      </c>
      <c r="J1572" s="4">
        <f t="shared" ref="J1572" si="222">SUBTOTAL(9,J5:J1571)</f>
        <v>0</v>
      </c>
      <c r="K1572" s="4">
        <f t="shared" ref="K1572" si="223">SUBTOTAL(9,K5:K1571)</f>
        <v>0</v>
      </c>
      <c r="L1572" s="4">
        <f t="shared" ref="L1572" si="224">SUBTOTAL(9,L5:L1571)</f>
        <v>-21167.987952286116</v>
      </c>
      <c r="M1572" s="121">
        <f t="shared" ref="M1572" si="225">SUBTOTAL(9,M5:M1571)</f>
        <v>-3527997.9920477136</v>
      </c>
    </row>
    <row r="1573" spans="1:18">
      <c r="I1573" s="4">
        <f>+SIRCUPA!H157</f>
        <v>3773.3600000000006</v>
      </c>
      <c r="J1573" s="4">
        <f>+SIRTAC!H1290</f>
        <v>330967.95999999996</v>
      </c>
      <c r="K1573" s="4">
        <f>+Gastos!J1283</f>
        <v>796794.13000000024</v>
      </c>
      <c r="L1573" s="4">
        <f>+IDC!H1534</f>
        <v>403015.72999999952</v>
      </c>
    </row>
    <row r="1574" spans="1:18">
      <c r="I1574" s="4">
        <f>+I1572+I1573</f>
        <v>3773.3600000000006</v>
      </c>
      <c r="J1574" s="4">
        <f>+J1572+J1573</f>
        <v>330967.95999999996</v>
      </c>
      <c r="K1574" s="4">
        <f>+K1572+K1573</f>
        <v>796794.13000000024</v>
      </c>
      <c r="L1574" s="4">
        <f>+L1572+L1573</f>
        <v>381847.74204771337</v>
      </c>
    </row>
    <row r="1577" spans="1:18">
      <c r="I1577" s="7">
        <f>+A2</f>
        <v>12889777.09</v>
      </c>
      <c r="J1577" s="70" t="s">
        <v>2783</v>
      </c>
    </row>
    <row r="1578" spans="1:18">
      <c r="I1578" s="7">
        <f>+M1572</f>
        <v>-3527997.9920477136</v>
      </c>
      <c r="J1578" s="70" t="s">
        <v>2784</v>
      </c>
    </row>
    <row r="1579" spans="1:18">
      <c r="I1579" s="7">
        <f>+I1572</f>
        <v>0</v>
      </c>
      <c r="J1579" s="70" t="s">
        <v>2785</v>
      </c>
    </row>
    <row r="1580" spans="1:18">
      <c r="I1580" s="7">
        <f>+J1572</f>
        <v>0</v>
      </c>
      <c r="J1580" s="70" t="s">
        <v>2786</v>
      </c>
    </row>
    <row r="1581" spans="1:18">
      <c r="I1581" s="7">
        <f>+K1572</f>
        <v>0</v>
      </c>
      <c r="J1581" s="70" t="s">
        <v>2787</v>
      </c>
    </row>
    <row r="1582" spans="1:18">
      <c r="I1582" s="7">
        <f>+L1572</f>
        <v>-21167.987952286116</v>
      </c>
      <c r="J1582" s="70" t="s">
        <v>2788</v>
      </c>
    </row>
    <row r="1583" spans="1:18">
      <c r="I1583" s="7">
        <v>94412.800000000003</v>
      </c>
      <c r="J1583" s="70" t="s">
        <v>2789</v>
      </c>
    </row>
    <row r="1584" spans="1:18">
      <c r="I1584" s="7">
        <f>SUM(I1577:I1583)</f>
        <v>9435023.9100000001</v>
      </c>
      <c r="J1584" s="70" t="s">
        <v>2790</v>
      </c>
    </row>
    <row r="1585" spans="9:10">
      <c r="I1585" s="7">
        <f>+D2</f>
        <v>10882608.51</v>
      </c>
      <c r="J1585" s="70" t="s">
        <v>2791</v>
      </c>
    </row>
    <row r="1586" spans="9:10">
      <c r="I1586" s="109">
        <f>+I1584-I1585</f>
        <v>-1447584.5999999996</v>
      </c>
      <c r="J1586" s="110" t="s">
        <v>2792</v>
      </c>
    </row>
  </sheetData>
  <autoFilter ref="A4:O1570">
    <filterColumn colId="1">
      <filters>
        <filter val="Pago de servicios ARCA"/>
      </filters>
    </filterColumn>
    <sortState ref="A12:O1570">
      <sortCondition ref="B4:B157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8"/>
  <sheetViews>
    <sheetView zoomScale="85" zoomScaleNormal="85" workbookViewId="0">
      <pane xSplit="3" ySplit="4" topLeftCell="D1543" activePane="bottomRight" state="frozen"/>
      <selection pane="topRight" activeCell="D1" sqref="D1"/>
      <selection pane="bottomLeft" activeCell="A5" sqref="A5"/>
      <selection pane="bottomRight" activeCell="G1561" sqref="G1561"/>
    </sheetView>
  </sheetViews>
  <sheetFormatPr baseColWidth="10" defaultColWidth="9.140625" defaultRowHeight="15"/>
  <cols>
    <col min="1" max="1" width="17.7109375" style="1" customWidth="1"/>
    <col min="2" max="2" width="35" style="1" customWidth="1"/>
    <col min="3" max="3" width="20.5703125" style="1" customWidth="1"/>
    <col min="4" max="4" width="26" style="4" customWidth="1"/>
    <col min="5" max="5" width="28.5703125" style="4" hidden="1" customWidth="1"/>
    <col min="6" max="6" width="22.85546875" style="1" customWidth="1"/>
    <col min="7" max="7" width="19.28515625" style="4" customWidth="1"/>
    <col min="8" max="8" width="17.140625" style="4" bestFit="1" customWidth="1"/>
    <col min="9" max="16384" width="9.140625" style="1"/>
  </cols>
  <sheetData>
    <row r="1" spans="1:8">
      <c r="A1" s="1" t="s">
        <v>0</v>
      </c>
      <c r="B1" s="1" t="s">
        <v>1</v>
      </c>
      <c r="C1" s="1" t="s">
        <v>2</v>
      </c>
      <c r="D1" s="4" t="s">
        <v>3</v>
      </c>
    </row>
    <row r="2" spans="1:8">
      <c r="A2" s="1" t="s">
        <v>4</v>
      </c>
      <c r="B2" s="1" t="s">
        <v>5</v>
      </c>
      <c r="C2" s="1" t="s">
        <v>6</v>
      </c>
      <c r="D2" s="4" t="s">
        <v>7</v>
      </c>
    </row>
    <row r="3" spans="1:8">
      <c r="A3" s="1" t="s">
        <v>8</v>
      </c>
    </row>
    <row r="4" spans="1:8">
      <c r="A4" s="1" t="s">
        <v>9</v>
      </c>
      <c r="B4" s="1" t="s">
        <v>10</v>
      </c>
      <c r="C4" s="1" t="s">
        <v>11</v>
      </c>
      <c r="D4" s="4" t="s">
        <v>12</v>
      </c>
      <c r="E4" s="4" t="s">
        <v>13</v>
      </c>
      <c r="F4" s="4" t="s">
        <v>2729</v>
      </c>
      <c r="G4" s="4" t="s">
        <v>2730</v>
      </c>
      <c r="H4" s="4" t="s">
        <v>2731</v>
      </c>
    </row>
    <row r="5" spans="1:8">
      <c r="A5" s="1" t="s">
        <v>14</v>
      </c>
      <c r="B5" s="1" t="s">
        <v>15</v>
      </c>
      <c r="C5" s="1" t="s">
        <v>16</v>
      </c>
      <c r="D5" s="3">
        <v>14614.5</v>
      </c>
      <c r="E5" s="3">
        <v>12904391.59</v>
      </c>
      <c r="F5" s="1" t="s">
        <v>2732</v>
      </c>
      <c r="G5" s="3">
        <f t="shared" ref="G5:G14" si="0">+D5</f>
        <v>14614.5</v>
      </c>
      <c r="H5" s="4">
        <v>0</v>
      </c>
    </row>
    <row r="6" spans="1:8">
      <c r="A6" s="1" t="s">
        <v>14</v>
      </c>
      <c r="B6" s="1" t="s">
        <v>15</v>
      </c>
      <c r="C6" s="1" t="s">
        <v>17</v>
      </c>
      <c r="D6" s="3">
        <v>17050.25</v>
      </c>
      <c r="E6" s="3">
        <v>12921441.84</v>
      </c>
      <c r="F6" s="1" t="s">
        <v>2732</v>
      </c>
      <c r="G6" s="3">
        <f t="shared" si="0"/>
        <v>17050.25</v>
      </c>
      <c r="H6" s="4">
        <v>0</v>
      </c>
    </row>
    <row r="7" spans="1:8">
      <c r="A7" s="1" t="s">
        <v>14</v>
      </c>
      <c r="B7" s="1" t="s">
        <v>15</v>
      </c>
      <c r="C7" s="1" t="s">
        <v>18</v>
      </c>
      <c r="D7" s="3">
        <v>11984.28</v>
      </c>
      <c r="E7" s="3">
        <v>12933426.119999999</v>
      </c>
      <c r="F7" s="1" t="s">
        <v>2732</v>
      </c>
      <c r="G7" s="3">
        <f t="shared" si="0"/>
        <v>11984.28</v>
      </c>
      <c r="H7" s="4">
        <v>0</v>
      </c>
    </row>
    <row r="8" spans="1:8">
      <c r="A8" s="1" t="s">
        <v>14</v>
      </c>
      <c r="B8" s="1" t="s">
        <v>19</v>
      </c>
      <c r="C8" s="1" t="s">
        <v>20</v>
      </c>
      <c r="D8" s="2">
        <v>646.14</v>
      </c>
      <c r="E8" s="3">
        <v>12934072.26</v>
      </c>
      <c r="F8" s="2" t="s">
        <v>2732</v>
      </c>
      <c r="G8" s="3">
        <f t="shared" si="0"/>
        <v>646.14</v>
      </c>
      <c r="H8" s="4">
        <v>0</v>
      </c>
    </row>
    <row r="9" spans="1:8">
      <c r="A9" s="1" t="s">
        <v>14</v>
      </c>
      <c r="B9" s="1" t="s">
        <v>15</v>
      </c>
      <c r="C9" s="1" t="s">
        <v>21</v>
      </c>
      <c r="D9" s="3">
        <v>23870.35</v>
      </c>
      <c r="E9" s="3">
        <v>12957942.609999999</v>
      </c>
      <c r="F9" s="1" t="s">
        <v>2732</v>
      </c>
      <c r="G9" s="3">
        <f t="shared" si="0"/>
        <v>23870.35</v>
      </c>
      <c r="H9" s="4">
        <v>0</v>
      </c>
    </row>
    <row r="10" spans="1:8">
      <c r="A10" s="1" t="s">
        <v>14</v>
      </c>
      <c r="B10" s="1" t="s">
        <v>15</v>
      </c>
      <c r="C10" s="1" t="s">
        <v>22</v>
      </c>
      <c r="D10" s="3">
        <v>9743</v>
      </c>
      <c r="E10" s="3">
        <v>12967685.609999999</v>
      </c>
      <c r="F10" s="1" t="s">
        <v>2732</v>
      </c>
      <c r="G10" s="3">
        <f t="shared" si="0"/>
        <v>9743</v>
      </c>
      <c r="H10" s="4">
        <v>0</v>
      </c>
    </row>
    <row r="11" spans="1:8">
      <c r="A11" s="1" t="s">
        <v>14</v>
      </c>
      <c r="B11" s="1" t="s">
        <v>15</v>
      </c>
      <c r="C11" s="1" t="s">
        <v>23</v>
      </c>
      <c r="D11" s="3">
        <v>13153.05</v>
      </c>
      <c r="E11" s="3">
        <v>12980838.66</v>
      </c>
      <c r="F11" s="1" t="s">
        <v>2732</v>
      </c>
      <c r="G11" s="3">
        <f t="shared" si="0"/>
        <v>13153.05</v>
      </c>
      <c r="H11" s="4">
        <v>0</v>
      </c>
    </row>
    <row r="12" spans="1:8">
      <c r="A12" s="59" t="s">
        <v>14</v>
      </c>
      <c r="B12" s="59" t="s">
        <v>28</v>
      </c>
      <c r="C12" s="59" t="s">
        <v>27</v>
      </c>
      <c r="D12" s="63">
        <v>-550.29</v>
      </c>
      <c r="E12" s="64">
        <v>12726786.939999999</v>
      </c>
      <c r="F12" s="59"/>
      <c r="G12" s="64">
        <f t="shared" si="0"/>
        <v>-550.29</v>
      </c>
      <c r="H12" s="65"/>
    </row>
    <row r="13" spans="1:8">
      <c r="A13" s="59" t="s">
        <v>14</v>
      </c>
      <c r="B13" s="59" t="s">
        <v>28</v>
      </c>
      <c r="C13" s="59" t="s">
        <v>34</v>
      </c>
      <c r="D13" s="64">
        <v>-1012.07</v>
      </c>
      <c r="E13" s="64">
        <v>12043724.09</v>
      </c>
      <c r="F13" s="59"/>
      <c r="G13" s="64">
        <f t="shared" si="0"/>
        <v>-1012.07</v>
      </c>
      <c r="H13" s="65"/>
    </row>
    <row r="14" spans="1:8">
      <c r="A14" s="59" t="s">
        <v>14</v>
      </c>
      <c r="B14" s="59" t="s">
        <v>28</v>
      </c>
      <c r="C14" s="59" t="s">
        <v>30</v>
      </c>
      <c r="D14" s="64">
        <v>-1641.99</v>
      </c>
      <c r="E14" s="64">
        <v>12451479.789999999</v>
      </c>
      <c r="F14" s="59"/>
      <c r="G14" s="64">
        <f t="shared" si="0"/>
        <v>-1641.99</v>
      </c>
      <c r="H14" s="65"/>
    </row>
    <row r="15" spans="1:8">
      <c r="A15" s="1" t="s">
        <v>14</v>
      </c>
      <c r="B15" s="1" t="s">
        <v>29</v>
      </c>
      <c r="C15" s="1" t="s">
        <v>30</v>
      </c>
      <c r="D15" s="3">
        <v>-273665.15999999997</v>
      </c>
      <c r="E15" s="3">
        <v>12453121.779999999</v>
      </c>
      <c r="G15" s="4">
        <f>+D15/1.006</f>
        <v>-272032.96222664014</v>
      </c>
      <c r="H15" s="4">
        <f>+D15-G15</f>
        <v>-1632.1977733598324</v>
      </c>
    </row>
    <row r="16" spans="1:8">
      <c r="A16" s="1" t="s">
        <v>14</v>
      </c>
      <c r="B16" s="1" t="s">
        <v>33</v>
      </c>
      <c r="C16" s="1" t="s">
        <v>34</v>
      </c>
      <c r="D16" s="3">
        <v>-168677.75</v>
      </c>
      <c r="E16" s="3">
        <v>12044736.16</v>
      </c>
      <c r="G16" s="4">
        <f>+D16/1.006</f>
        <v>-167671.71968190855</v>
      </c>
      <c r="H16" s="4">
        <f>+D16-G16</f>
        <v>-1006.0303180914489</v>
      </c>
    </row>
    <row r="17" spans="1:8">
      <c r="A17" s="1" t="s">
        <v>14</v>
      </c>
      <c r="B17" s="1" t="s">
        <v>26</v>
      </c>
      <c r="C17" s="1" t="s">
        <v>27</v>
      </c>
      <c r="D17" s="3">
        <v>-91714.5</v>
      </c>
      <c r="E17" s="3">
        <v>12727337.23</v>
      </c>
      <c r="G17" s="4">
        <f>+D17/1.006</f>
        <v>-91167.495029821075</v>
      </c>
      <c r="H17" s="4">
        <f>+D17-G17</f>
        <v>-547.00497017892485</v>
      </c>
    </row>
    <row r="18" spans="1:8">
      <c r="A18" s="1" t="s">
        <v>14</v>
      </c>
      <c r="B18" s="1" t="s">
        <v>24</v>
      </c>
      <c r="C18" s="1" t="s">
        <v>25</v>
      </c>
      <c r="D18" s="3">
        <v>-161786.93</v>
      </c>
      <c r="E18" s="3">
        <v>12819051.73</v>
      </c>
      <c r="G18" s="4">
        <f>+D18/1.006</f>
        <v>-160821.99801192843</v>
      </c>
      <c r="H18" s="4">
        <f>+D18-G18</f>
        <v>-964.93198807156296</v>
      </c>
    </row>
    <row r="19" spans="1:8">
      <c r="A19" s="1" t="s">
        <v>14</v>
      </c>
      <c r="B19" s="1" t="s">
        <v>31</v>
      </c>
      <c r="C19" s="1" t="s">
        <v>32</v>
      </c>
      <c r="D19" s="3">
        <v>-238065.88</v>
      </c>
      <c r="E19" s="3">
        <v>12213413.91</v>
      </c>
      <c r="G19" s="4">
        <f>+D19/1.006</f>
        <v>-236646.00397614314</v>
      </c>
      <c r="H19" s="4">
        <f>+D19-G19</f>
        <v>-1419.8760238568648</v>
      </c>
    </row>
    <row r="20" spans="1:8">
      <c r="A20" s="59" t="s">
        <v>35</v>
      </c>
      <c r="B20" s="59" t="s">
        <v>28</v>
      </c>
      <c r="C20" s="59" t="s">
        <v>43</v>
      </c>
      <c r="D20" s="63">
        <v>-505.77</v>
      </c>
      <c r="E20" s="64">
        <v>9757899.5299999993</v>
      </c>
      <c r="F20" s="59"/>
      <c r="G20" s="64">
        <f>+D20</f>
        <v>-505.77</v>
      </c>
      <c r="H20" s="65"/>
    </row>
    <row r="21" spans="1:8" s="59" customFormat="1">
      <c r="A21" s="59" t="s">
        <v>35</v>
      </c>
      <c r="B21" s="59" t="s">
        <v>28</v>
      </c>
      <c r="C21" s="59" t="s">
        <v>44</v>
      </c>
      <c r="D21" s="64">
        <v>-1294.3399999999999</v>
      </c>
      <c r="E21" s="64">
        <v>9540881.0299999993</v>
      </c>
      <c r="G21" s="64">
        <f>+D21</f>
        <v>-1294.3399999999999</v>
      </c>
      <c r="H21" s="65"/>
    </row>
    <row r="22" spans="1:8" s="59" customFormat="1">
      <c r="A22" s="59" t="s">
        <v>35</v>
      </c>
      <c r="B22" s="59" t="s">
        <v>28</v>
      </c>
      <c r="C22" s="59" t="s">
        <v>41</v>
      </c>
      <c r="D22" s="64">
        <v>-4710.99</v>
      </c>
      <c r="E22" s="64">
        <v>9842700.2400000002</v>
      </c>
      <c r="G22" s="64">
        <f>+D22</f>
        <v>-4710.99</v>
      </c>
      <c r="H22" s="65"/>
    </row>
    <row r="23" spans="1:8" s="59" customFormat="1">
      <c r="A23" s="59" t="s">
        <v>35</v>
      </c>
      <c r="B23" s="59" t="s">
        <v>28</v>
      </c>
      <c r="C23" s="59" t="s">
        <v>37</v>
      </c>
      <c r="D23" s="64">
        <v>-5892.5</v>
      </c>
      <c r="E23" s="64">
        <v>11055747.49</v>
      </c>
      <c r="G23" s="64">
        <f>+D23</f>
        <v>-5892.5</v>
      </c>
      <c r="H23" s="65"/>
    </row>
    <row r="24" spans="1:8" s="59" customFormat="1">
      <c r="A24" s="1" t="s">
        <v>35</v>
      </c>
      <c r="B24" s="1" t="s">
        <v>36</v>
      </c>
      <c r="C24" s="1" t="s">
        <v>37</v>
      </c>
      <c r="D24" s="3">
        <v>-982084.1</v>
      </c>
      <c r="E24" s="3">
        <v>11061639.99</v>
      </c>
      <c r="F24" s="1"/>
      <c r="G24" s="4">
        <f>+D24/1.006</f>
        <v>-976226.73956262425</v>
      </c>
      <c r="H24" s="4">
        <f>+D24-G24</f>
        <v>-5857.3604373757262</v>
      </c>
    </row>
    <row r="25" spans="1:8" s="59" customFormat="1">
      <c r="A25" s="1" t="s">
        <v>35</v>
      </c>
      <c r="B25" s="1" t="s">
        <v>38</v>
      </c>
      <c r="C25" s="1" t="s">
        <v>39</v>
      </c>
      <c r="D25" s="3">
        <v>-423171.26</v>
      </c>
      <c r="E25" s="3">
        <v>10632576.23</v>
      </c>
      <c r="F25" s="1"/>
      <c r="G25" s="4">
        <f>+D25/1.006</f>
        <v>-420647.37574552686</v>
      </c>
      <c r="H25" s="4">
        <f>+D25-G25</f>
        <v>-2523.8842544731451</v>
      </c>
    </row>
    <row r="26" spans="1:8" s="59" customFormat="1">
      <c r="A26" s="1" t="s">
        <v>35</v>
      </c>
      <c r="B26" s="1" t="s">
        <v>40</v>
      </c>
      <c r="C26" s="1" t="s">
        <v>41</v>
      </c>
      <c r="D26" s="3">
        <v>-785165</v>
      </c>
      <c r="E26" s="3">
        <v>9847411.2300000004</v>
      </c>
      <c r="F26" s="1"/>
      <c r="G26" s="4">
        <f>+D26/1.006</f>
        <v>-780482.10735586483</v>
      </c>
      <c r="H26" s="4">
        <f>+D26-G26</f>
        <v>-4682.892644135165</v>
      </c>
    </row>
    <row r="27" spans="1:8" s="59" customFormat="1">
      <c r="A27" s="1" t="s">
        <v>35</v>
      </c>
      <c r="B27" s="1" t="s">
        <v>42</v>
      </c>
      <c r="C27" s="1" t="s">
        <v>43</v>
      </c>
      <c r="D27" s="3">
        <v>-84294.94</v>
      </c>
      <c r="E27" s="3">
        <v>9758405.3000000007</v>
      </c>
      <c r="F27" s="1"/>
      <c r="G27" s="4">
        <f>+D27/1.006</f>
        <v>-83792.186878727633</v>
      </c>
      <c r="H27" s="4">
        <f>+D27-G27</f>
        <v>-502.75312127236975</v>
      </c>
    </row>
    <row r="28" spans="1:8" s="59" customFormat="1">
      <c r="A28" s="1" t="s">
        <v>35</v>
      </c>
      <c r="B28" s="1" t="s">
        <v>42</v>
      </c>
      <c r="C28" s="1" t="s">
        <v>44</v>
      </c>
      <c r="D28" s="3">
        <v>-215724.16</v>
      </c>
      <c r="E28" s="3">
        <v>9542175.3699999992</v>
      </c>
      <c r="F28" s="1"/>
      <c r="G28" s="4">
        <f>+D28/1.006</f>
        <v>-214437.53479125249</v>
      </c>
      <c r="H28" s="4">
        <f>+D28-G28</f>
        <v>-1286.625208747515</v>
      </c>
    </row>
    <row r="29" spans="1:8" s="59" customFormat="1">
      <c r="A29" s="1" t="s">
        <v>45</v>
      </c>
      <c r="B29" s="1" t="s">
        <v>15</v>
      </c>
      <c r="C29" s="1" t="s">
        <v>52</v>
      </c>
      <c r="D29" s="3">
        <v>4774.07</v>
      </c>
      <c r="E29" s="3">
        <v>9025016.9100000001</v>
      </c>
      <c r="F29" s="1" t="s">
        <v>2732</v>
      </c>
      <c r="G29" s="3">
        <f t="shared" ref="G29:G43" si="1">+D29</f>
        <v>4774.07</v>
      </c>
      <c r="H29" s="4">
        <v>0</v>
      </c>
    </row>
    <row r="30" spans="1:8" s="59" customFormat="1">
      <c r="A30" s="1" t="s">
        <v>45</v>
      </c>
      <c r="B30" s="1" t="s">
        <v>15</v>
      </c>
      <c r="C30" s="1" t="s">
        <v>53</v>
      </c>
      <c r="D30" s="3">
        <v>8071.96</v>
      </c>
      <c r="E30" s="3">
        <v>9033088.8699999992</v>
      </c>
      <c r="F30" s="1" t="s">
        <v>2732</v>
      </c>
      <c r="G30" s="3">
        <f t="shared" si="1"/>
        <v>8071.96</v>
      </c>
      <c r="H30" s="4">
        <v>0</v>
      </c>
    </row>
    <row r="31" spans="1:8" s="59" customFormat="1">
      <c r="A31" s="1" t="s">
        <v>45</v>
      </c>
      <c r="B31" s="1" t="s">
        <v>15</v>
      </c>
      <c r="C31" s="1" t="s">
        <v>54</v>
      </c>
      <c r="D31" s="3">
        <v>28546.99</v>
      </c>
      <c r="E31" s="3">
        <v>9061635.8599999994</v>
      </c>
      <c r="F31" s="1" t="s">
        <v>2732</v>
      </c>
      <c r="G31" s="3">
        <f t="shared" si="1"/>
        <v>28546.99</v>
      </c>
      <c r="H31" s="4">
        <v>0</v>
      </c>
    </row>
    <row r="32" spans="1:8" s="59" customFormat="1">
      <c r="A32" s="1" t="s">
        <v>45</v>
      </c>
      <c r="B32" s="1" t="s">
        <v>55</v>
      </c>
      <c r="C32" s="1" t="s">
        <v>56</v>
      </c>
      <c r="D32" s="3">
        <v>1434.23</v>
      </c>
      <c r="E32" s="3">
        <v>9063070.0899999999</v>
      </c>
      <c r="F32" s="2" t="s">
        <v>2732</v>
      </c>
      <c r="G32" s="3">
        <f t="shared" si="1"/>
        <v>1434.23</v>
      </c>
      <c r="H32" s="4">
        <v>0</v>
      </c>
    </row>
    <row r="33" spans="1:8" s="59" customFormat="1">
      <c r="A33" s="1" t="s">
        <v>45</v>
      </c>
      <c r="B33" s="1" t="s">
        <v>15</v>
      </c>
      <c r="C33" s="1" t="s">
        <v>57</v>
      </c>
      <c r="D33" s="3">
        <v>28144.9</v>
      </c>
      <c r="E33" s="3">
        <v>9091214.9900000002</v>
      </c>
      <c r="F33" s="1" t="s">
        <v>2732</v>
      </c>
      <c r="G33" s="3">
        <f t="shared" si="1"/>
        <v>28144.9</v>
      </c>
      <c r="H33" s="4">
        <v>0</v>
      </c>
    </row>
    <row r="34" spans="1:8" s="59" customFormat="1">
      <c r="A34" s="1" t="s">
        <v>45</v>
      </c>
      <c r="B34" s="1" t="s">
        <v>15</v>
      </c>
      <c r="C34" s="1" t="s">
        <v>58</v>
      </c>
      <c r="D34" s="3">
        <v>5006.91</v>
      </c>
      <c r="E34" s="3">
        <v>9096221.9000000004</v>
      </c>
      <c r="F34" s="1" t="s">
        <v>2732</v>
      </c>
      <c r="G34" s="3">
        <f t="shared" si="1"/>
        <v>5006.91</v>
      </c>
      <c r="H34" s="4">
        <v>0</v>
      </c>
    </row>
    <row r="35" spans="1:8" s="59" customFormat="1">
      <c r="A35" s="1" t="s">
        <v>45</v>
      </c>
      <c r="B35" s="1" t="s">
        <v>15</v>
      </c>
      <c r="C35" s="1" t="s">
        <v>59</v>
      </c>
      <c r="D35" s="3">
        <v>33223.629999999997</v>
      </c>
      <c r="E35" s="3">
        <v>9129445.5299999993</v>
      </c>
      <c r="F35" s="1" t="s">
        <v>2732</v>
      </c>
      <c r="G35" s="3">
        <f t="shared" si="1"/>
        <v>33223.629999999997</v>
      </c>
      <c r="H35" s="4">
        <v>0</v>
      </c>
    </row>
    <row r="36" spans="1:8">
      <c r="A36" s="1" t="s">
        <v>45</v>
      </c>
      <c r="B36" s="1" t="s">
        <v>15</v>
      </c>
      <c r="C36" s="1" t="s">
        <v>60</v>
      </c>
      <c r="D36" s="3">
        <v>44817.8</v>
      </c>
      <c r="E36" s="3">
        <v>9174263.3300000001</v>
      </c>
      <c r="F36" s="1" t="s">
        <v>2732</v>
      </c>
      <c r="G36" s="3">
        <f t="shared" si="1"/>
        <v>44817.8</v>
      </c>
      <c r="H36" s="4">
        <v>0</v>
      </c>
    </row>
    <row r="37" spans="1:8">
      <c r="A37" s="1" t="s">
        <v>45</v>
      </c>
      <c r="B37" s="1" t="s">
        <v>15</v>
      </c>
      <c r="C37" s="1" t="s">
        <v>61</v>
      </c>
      <c r="D37" s="3">
        <v>11983.89</v>
      </c>
      <c r="E37" s="3">
        <v>9186247.2200000007</v>
      </c>
      <c r="F37" s="1" t="s">
        <v>2732</v>
      </c>
      <c r="G37" s="3">
        <f t="shared" si="1"/>
        <v>11983.89</v>
      </c>
      <c r="H37" s="4">
        <v>0</v>
      </c>
    </row>
    <row r="38" spans="1:8">
      <c r="A38" s="1" t="s">
        <v>45</v>
      </c>
      <c r="B38" s="1" t="s">
        <v>15</v>
      </c>
      <c r="C38" s="1" t="s">
        <v>62</v>
      </c>
      <c r="D38" s="3">
        <v>19485.03</v>
      </c>
      <c r="E38" s="3">
        <v>9205732.25</v>
      </c>
      <c r="F38" s="1" t="s">
        <v>2732</v>
      </c>
      <c r="G38" s="3">
        <f t="shared" si="1"/>
        <v>19485.03</v>
      </c>
      <c r="H38" s="4">
        <v>0</v>
      </c>
    </row>
    <row r="39" spans="1:8">
      <c r="A39" s="1" t="s">
        <v>45</v>
      </c>
      <c r="B39" s="1" t="s">
        <v>15</v>
      </c>
      <c r="C39" s="1" t="s">
        <v>63</v>
      </c>
      <c r="D39" s="3">
        <v>58356.67</v>
      </c>
      <c r="E39" s="3">
        <v>9264088.9199999999</v>
      </c>
      <c r="F39" s="1" t="s">
        <v>2732</v>
      </c>
      <c r="G39" s="3">
        <f t="shared" si="1"/>
        <v>58356.67</v>
      </c>
      <c r="H39" s="4">
        <v>0</v>
      </c>
    </row>
    <row r="40" spans="1:8">
      <c r="A40" s="1" t="s">
        <v>45</v>
      </c>
      <c r="B40" s="1" t="s">
        <v>15</v>
      </c>
      <c r="C40" s="1" t="s">
        <v>64</v>
      </c>
      <c r="D40" s="3">
        <v>69175.3</v>
      </c>
      <c r="E40" s="3">
        <v>9333264.2200000007</v>
      </c>
      <c r="F40" s="1" t="s">
        <v>2732</v>
      </c>
      <c r="G40" s="3">
        <f t="shared" si="1"/>
        <v>69175.3</v>
      </c>
      <c r="H40" s="4">
        <v>0</v>
      </c>
    </row>
    <row r="41" spans="1:8">
      <c r="A41" s="59" t="s">
        <v>45</v>
      </c>
      <c r="B41" s="59" t="s">
        <v>28</v>
      </c>
      <c r="C41" s="59" t="s">
        <v>51</v>
      </c>
      <c r="D41" s="63">
        <v>-271.44</v>
      </c>
      <c r="E41" s="64">
        <v>9020242.8399999999</v>
      </c>
      <c r="F41" s="59"/>
      <c r="G41" s="64">
        <f t="shared" si="1"/>
        <v>-271.44</v>
      </c>
      <c r="H41" s="65"/>
    </row>
    <row r="42" spans="1:8">
      <c r="A42" s="59" t="s">
        <v>45</v>
      </c>
      <c r="B42" s="59" t="s">
        <v>28</v>
      </c>
      <c r="C42" s="59" t="s">
        <v>46</v>
      </c>
      <c r="D42" s="63">
        <v>-645.69000000000005</v>
      </c>
      <c r="E42" s="64">
        <v>9432620.25</v>
      </c>
      <c r="F42" s="59"/>
      <c r="G42" s="64">
        <f t="shared" si="1"/>
        <v>-645.69000000000005</v>
      </c>
      <c r="H42" s="65"/>
    </row>
    <row r="43" spans="1:8">
      <c r="A43" s="59" t="s">
        <v>45</v>
      </c>
      <c r="B43" s="59" t="s">
        <v>28</v>
      </c>
      <c r="C43" s="59" t="s">
        <v>50</v>
      </c>
      <c r="D43" s="64">
        <v>-1262.06</v>
      </c>
      <c r="E43" s="64">
        <v>9065753.8900000006</v>
      </c>
      <c r="F43" s="59"/>
      <c r="G43" s="64">
        <f t="shared" si="1"/>
        <v>-1262.06</v>
      </c>
      <c r="H43" s="65"/>
    </row>
    <row r="44" spans="1:8">
      <c r="A44" s="1" t="s">
        <v>45</v>
      </c>
      <c r="B44" s="1" t="s">
        <v>49</v>
      </c>
      <c r="C44" s="1" t="s">
        <v>51</v>
      </c>
      <c r="D44" s="3">
        <v>-45239.61</v>
      </c>
      <c r="E44" s="3">
        <v>9020514.2799999993</v>
      </c>
      <c r="G44" s="4">
        <f>+D44/1.006</f>
        <v>-44969.791252485091</v>
      </c>
      <c r="H44" s="4">
        <f>+D44-G44</f>
        <v>-269.81874751490977</v>
      </c>
    </row>
    <row r="45" spans="1:8">
      <c r="A45" s="1" t="s">
        <v>45</v>
      </c>
      <c r="B45" s="1" t="s">
        <v>49</v>
      </c>
      <c r="C45" s="1" t="s">
        <v>50</v>
      </c>
      <c r="D45" s="3">
        <v>-210343.29</v>
      </c>
      <c r="E45" s="3">
        <v>9067015.9499999993</v>
      </c>
      <c r="G45" s="4">
        <f>+D45/1.006</f>
        <v>-209088.75745526841</v>
      </c>
      <c r="H45" s="4">
        <f>+D45-G45</f>
        <v>-1254.532544731599</v>
      </c>
    </row>
    <row r="46" spans="1:8">
      <c r="A46" s="1" t="s">
        <v>45</v>
      </c>
      <c r="B46" s="1" t="s">
        <v>47</v>
      </c>
      <c r="C46" s="1" t="s">
        <v>48</v>
      </c>
      <c r="D46" s="3">
        <v>-155261.01</v>
      </c>
      <c r="E46" s="3">
        <v>9277359.2400000002</v>
      </c>
      <c r="G46" s="4">
        <f>+D46/1.006</f>
        <v>-154335</v>
      </c>
      <c r="H46" s="4">
        <f>+D46-G46</f>
        <v>-926.01000000000931</v>
      </c>
    </row>
    <row r="47" spans="1:8">
      <c r="A47" s="1" t="s">
        <v>45</v>
      </c>
      <c r="B47" s="1" t="s">
        <v>42</v>
      </c>
      <c r="C47" s="1" t="s">
        <v>46</v>
      </c>
      <c r="D47" s="3">
        <v>-107615.09</v>
      </c>
      <c r="E47" s="3">
        <v>9433265.9399999995</v>
      </c>
      <c r="G47" s="4">
        <f>+D47/1.006</f>
        <v>-106973.25049701789</v>
      </c>
      <c r="H47" s="4">
        <f>+D47-G47</f>
        <v>-641.8395029821113</v>
      </c>
    </row>
    <row r="48" spans="1:8">
      <c r="A48" s="1" t="s">
        <v>65</v>
      </c>
      <c r="B48" s="1" t="s">
        <v>15</v>
      </c>
      <c r="C48" s="1" t="s">
        <v>66</v>
      </c>
      <c r="D48" s="3">
        <v>55729.96</v>
      </c>
      <c r="E48" s="3">
        <v>9388994.1799999997</v>
      </c>
      <c r="F48" s="1" t="s">
        <v>2732</v>
      </c>
      <c r="G48" s="3">
        <f t="shared" ref="G48:G79" si="2">+D48</f>
        <v>55729.96</v>
      </c>
      <c r="H48" s="4">
        <v>0</v>
      </c>
    </row>
    <row r="49" spans="1:8">
      <c r="A49" s="1" t="s">
        <v>65</v>
      </c>
      <c r="B49" s="1" t="s">
        <v>15</v>
      </c>
      <c r="C49" s="1" t="s">
        <v>67</v>
      </c>
      <c r="D49" s="3">
        <v>35756.81</v>
      </c>
      <c r="E49" s="3">
        <v>9424750.9900000002</v>
      </c>
      <c r="F49" s="1" t="s">
        <v>2732</v>
      </c>
      <c r="G49" s="3">
        <f t="shared" si="2"/>
        <v>35756.81</v>
      </c>
      <c r="H49" s="4">
        <v>0</v>
      </c>
    </row>
    <row r="50" spans="1:8">
      <c r="A50" s="1" t="s">
        <v>65</v>
      </c>
      <c r="B50" s="1" t="s">
        <v>68</v>
      </c>
      <c r="C50" s="1" t="s">
        <v>69</v>
      </c>
      <c r="D50" s="3">
        <v>1796.46</v>
      </c>
      <c r="E50" s="3">
        <v>9426547.4499999993</v>
      </c>
      <c r="F50" s="2" t="s">
        <v>2732</v>
      </c>
      <c r="G50" s="3">
        <f t="shared" si="2"/>
        <v>1796.46</v>
      </c>
      <c r="H50" s="4">
        <v>0</v>
      </c>
    </row>
    <row r="51" spans="1:8">
      <c r="A51" s="1" t="s">
        <v>65</v>
      </c>
      <c r="B51" s="1" t="s">
        <v>15</v>
      </c>
      <c r="C51" s="1" t="s">
        <v>70</v>
      </c>
      <c r="D51" s="3">
        <v>138720.76</v>
      </c>
      <c r="E51" s="3">
        <v>9565268.2100000009</v>
      </c>
      <c r="F51" s="1" t="s">
        <v>2732</v>
      </c>
      <c r="G51" s="3">
        <f t="shared" si="2"/>
        <v>138720.76</v>
      </c>
      <c r="H51" s="4">
        <v>0</v>
      </c>
    </row>
    <row r="52" spans="1:8">
      <c r="A52" s="1" t="s">
        <v>65</v>
      </c>
      <c r="B52" s="1" t="s">
        <v>15</v>
      </c>
      <c r="C52" s="1" t="s">
        <v>71</v>
      </c>
      <c r="D52" s="3">
        <v>14072.45</v>
      </c>
      <c r="E52" s="3">
        <v>9579340.6600000001</v>
      </c>
      <c r="F52" s="1" t="s">
        <v>2732</v>
      </c>
      <c r="G52" s="3">
        <f t="shared" si="2"/>
        <v>14072.45</v>
      </c>
      <c r="H52" s="4">
        <v>0</v>
      </c>
    </row>
    <row r="53" spans="1:8">
      <c r="A53" s="1" t="s">
        <v>65</v>
      </c>
      <c r="B53" s="1" t="s">
        <v>15</v>
      </c>
      <c r="C53" s="1" t="s">
        <v>72</v>
      </c>
      <c r="D53" s="3">
        <v>20362.87</v>
      </c>
      <c r="E53" s="3">
        <v>9599703.5299999993</v>
      </c>
      <c r="F53" s="1" t="s">
        <v>2732</v>
      </c>
      <c r="G53" s="3">
        <f t="shared" si="2"/>
        <v>20362.87</v>
      </c>
      <c r="H53" s="4">
        <v>0</v>
      </c>
    </row>
    <row r="54" spans="1:8">
      <c r="A54" s="1" t="s">
        <v>65</v>
      </c>
      <c r="B54" s="1" t="s">
        <v>15</v>
      </c>
      <c r="C54" s="1" t="s">
        <v>73</v>
      </c>
      <c r="D54" s="3">
        <v>27475.26</v>
      </c>
      <c r="E54" s="3">
        <v>9627178.7899999991</v>
      </c>
      <c r="F54" s="1" t="s">
        <v>2732</v>
      </c>
      <c r="G54" s="3">
        <f t="shared" si="2"/>
        <v>27475.26</v>
      </c>
      <c r="H54" s="4">
        <v>0</v>
      </c>
    </row>
    <row r="55" spans="1:8">
      <c r="A55" s="1" t="s">
        <v>65</v>
      </c>
      <c r="B55" s="1" t="s">
        <v>74</v>
      </c>
      <c r="C55" s="1" t="s">
        <v>75</v>
      </c>
      <c r="D55" s="3">
        <v>1380.39</v>
      </c>
      <c r="E55" s="3">
        <v>9628559.1799999997</v>
      </c>
      <c r="F55" s="2" t="s">
        <v>2732</v>
      </c>
      <c r="G55" s="3">
        <f t="shared" si="2"/>
        <v>1380.39</v>
      </c>
      <c r="H55" s="4">
        <v>0</v>
      </c>
    </row>
    <row r="56" spans="1:8">
      <c r="A56" s="1" t="s">
        <v>65</v>
      </c>
      <c r="B56" s="1" t="s">
        <v>15</v>
      </c>
      <c r="C56" s="1" t="s">
        <v>76</v>
      </c>
      <c r="D56" s="3">
        <v>9548.14</v>
      </c>
      <c r="E56" s="3">
        <v>9638107.3200000003</v>
      </c>
      <c r="F56" s="1" t="s">
        <v>2732</v>
      </c>
      <c r="G56" s="3">
        <f t="shared" si="2"/>
        <v>9548.14</v>
      </c>
      <c r="H56" s="4">
        <v>0</v>
      </c>
    </row>
    <row r="57" spans="1:8">
      <c r="A57" s="1" t="s">
        <v>65</v>
      </c>
      <c r="B57" s="1" t="s">
        <v>15</v>
      </c>
      <c r="C57" s="1" t="s">
        <v>77</v>
      </c>
      <c r="D57" s="3">
        <v>45984.04</v>
      </c>
      <c r="E57" s="3">
        <v>9684091.3599999994</v>
      </c>
      <c r="F57" s="1" t="s">
        <v>2732</v>
      </c>
      <c r="G57" s="3">
        <f t="shared" si="2"/>
        <v>45984.04</v>
      </c>
      <c r="H57" s="4">
        <v>0</v>
      </c>
    </row>
    <row r="58" spans="1:8">
      <c r="A58" s="1" t="s">
        <v>65</v>
      </c>
      <c r="B58" s="1" t="s">
        <v>15</v>
      </c>
      <c r="C58" s="1" t="s">
        <v>78</v>
      </c>
      <c r="D58" s="3">
        <v>19484.05</v>
      </c>
      <c r="E58" s="3">
        <v>9703575.4100000001</v>
      </c>
      <c r="F58" s="1" t="s">
        <v>2732</v>
      </c>
      <c r="G58" s="3">
        <f t="shared" si="2"/>
        <v>19484.05</v>
      </c>
      <c r="H58" s="4">
        <v>0</v>
      </c>
    </row>
    <row r="59" spans="1:8" s="59" customFormat="1">
      <c r="A59" s="1" t="s">
        <v>65</v>
      </c>
      <c r="B59" s="1" t="s">
        <v>15</v>
      </c>
      <c r="C59" s="1" t="s">
        <v>86</v>
      </c>
      <c r="D59" s="3">
        <v>15491.37</v>
      </c>
      <c r="E59" s="3">
        <v>8104551.1500000004</v>
      </c>
      <c r="F59" s="1" t="s">
        <v>2732</v>
      </c>
      <c r="G59" s="3">
        <f t="shared" si="2"/>
        <v>15491.37</v>
      </c>
      <c r="H59" s="4">
        <v>0</v>
      </c>
    </row>
    <row r="60" spans="1:8" s="59" customFormat="1">
      <c r="A60" s="1" t="s">
        <v>65</v>
      </c>
      <c r="B60" s="1" t="s">
        <v>15</v>
      </c>
      <c r="C60" s="1" t="s">
        <v>87</v>
      </c>
      <c r="D60" s="3">
        <v>4189.49</v>
      </c>
      <c r="E60" s="3">
        <v>8108740.6399999997</v>
      </c>
      <c r="F60" s="1" t="s">
        <v>2732</v>
      </c>
      <c r="G60" s="3">
        <f t="shared" si="2"/>
        <v>4189.49</v>
      </c>
      <c r="H60" s="4">
        <v>0</v>
      </c>
    </row>
    <row r="61" spans="1:8" s="59" customFormat="1">
      <c r="A61" s="1" t="s">
        <v>65</v>
      </c>
      <c r="B61" s="1" t="s">
        <v>88</v>
      </c>
      <c r="C61" s="1" t="s">
        <v>89</v>
      </c>
      <c r="D61" s="2">
        <v>210.48</v>
      </c>
      <c r="E61" s="3">
        <v>8108951.1200000001</v>
      </c>
      <c r="F61" s="2" t="s">
        <v>2732</v>
      </c>
      <c r="G61" s="3">
        <f t="shared" si="2"/>
        <v>210.48</v>
      </c>
      <c r="H61" s="4">
        <v>0</v>
      </c>
    </row>
    <row r="62" spans="1:8" s="59" customFormat="1">
      <c r="A62" s="1" t="s">
        <v>65</v>
      </c>
      <c r="B62" s="1" t="s">
        <v>15</v>
      </c>
      <c r="C62" s="1" t="s">
        <v>90</v>
      </c>
      <c r="D62" s="3">
        <v>4189.49</v>
      </c>
      <c r="E62" s="3">
        <v>8113140.6100000003</v>
      </c>
      <c r="F62" s="1" t="s">
        <v>2732</v>
      </c>
      <c r="G62" s="3">
        <f t="shared" si="2"/>
        <v>4189.49</v>
      </c>
      <c r="H62" s="4">
        <v>0</v>
      </c>
    </row>
    <row r="63" spans="1:8" s="59" customFormat="1">
      <c r="A63" s="1" t="s">
        <v>65</v>
      </c>
      <c r="B63" s="1" t="s">
        <v>15</v>
      </c>
      <c r="C63" s="1" t="s">
        <v>91</v>
      </c>
      <c r="D63" s="3">
        <v>7599.54</v>
      </c>
      <c r="E63" s="3">
        <v>8120740.1500000004</v>
      </c>
      <c r="F63" s="1" t="s">
        <v>2732</v>
      </c>
      <c r="G63" s="3">
        <f t="shared" si="2"/>
        <v>7599.54</v>
      </c>
      <c r="H63" s="4">
        <v>0</v>
      </c>
    </row>
    <row r="64" spans="1:8" s="59" customFormat="1">
      <c r="A64" s="1" t="s">
        <v>65</v>
      </c>
      <c r="B64" s="1" t="s">
        <v>92</v>
      </c>
      <c r="C64" s="1" t="s">
        <v>93</v>
      </c>
      <c r="D64" s="2">
        <v>381.81</v>
      </c>
      <c r="E64" s="3">
        <v>8121121.96</v>
      </c>
      <c r="F64" s="2" t="s">
        <v>2732</v>
      </c>
      <c r="G64" s="3">
        <f t="shared" si="2"/>
        <v>381.81</v>
      </c>
      <c r="H64" s="4">
        <v>0</v>
      </c>
    </row>
    <row r="65" spans="1:8" s="59" customFormat="1">
      <c r="A65" s="1" t="s">
        <v>65</v>
      </c>
      <c r="B65" s="1" t="s">
        <v>15</v>
      </c>
      <c r="C65" s="1" t="s">
        <v>94</v>
      </c>
      <c r="D65" s="3">
        <v>29229</v>
      </c>
      <c r="E65" s="3">
        <v>8150350.96</v>
      </c>
      <c r="F65" s="1" t="s">
        <v>2732</v>
      </c>
      <c r="G65" s="3">
        <f t="shared" si="2"/>
        <v>29229</v>
      </c>
      <c r="H65" s="4">
        <v>0</v>
      </c>
    </row>
    <row r="66" spans="1:8">
      <c r="A66" s="1" t="s">
        <v>65</v>
      </c>
      <c r="B66" s="1" t="s">
        <v>15</v>
      </c>
      <c r="C66" s="1" t="s">
        <v>95</v>
      </c>
      <c r="D66" s="3">
        <v>4062.21</v>
      </c>
      <c r="E66" s="3">
        <v>8154413.1699999999</v>
      </c>
      <c r="F66" s="1" t="s">
        <v>2732</v>
      </c>
      <c r="G66" s="3">
        <f t="shared" si="2"/>
        <v>4062.21</v>
      </c>
      <c r="H66" s="4">
        <v>0</v>
      </c>
    </row>
    <row r="67" spans="1:8">
      <c r="A67" s="1" t="s">
        <v>65</v>
      </c>
      <c r="B67" s="1" t="s">
        <v>15</v>
      </c>
      <c r="C67" s="1" t="s">
        <v>96</v>
      </c>
      <c r="D67" s="3">
        <v>106101.27</v>
      </c>
      <c r="E67" s="3">
        <v>8260514.4400000004</v>
      </c>
      <c r="F67" s="1" t="s">
        <v>2732</v>
      </c>
      <c r="G67" s="3">
        <f t="shared" si="2"/>
        <v>106101.27</v>
      </c>
      <c r="H67" s="4">
        <v>0</v>
      </c>
    </row>
    <row r="68" spans="1:8">
      <c r="A68" s="1" t="s">
        <v>65</v>
      </c>
      <c r="B68" s="1" t="s">
        <v>15</v>
      </c>
      <c r="C68" s="1" t="s">
        <v>97</v>
      </c>
      <c r="D68" s="3">
        <v>23188.34</v>
      </c>
      <c r="E68" s="3">
        <v>8283702.7800000003</v>
      </c>
      <c r="F68" s="1" t="s">
        <v>2732</v>
      </c>
      <c r="G68" s="3">
        <f t="shared" si="2"/>
        <v>23188.34</v>
      </c>
      <c r="H68" s="4">
        <v>0</v>
      </c>
    </row>
    <row r="69" spans="1:8">
      <c r="A69" s="1" t="s">
        <v>65</v>
      </c>
      <c r="B69" s="1" t="s">
        <v>15</v>
      </c>
      <c r="C69" s="1" t="s">
        <v>98</v>
      </c>
      <c r="D69" s="3">
        <v>4062.21</v>
      </c>
      <c r="E69" s="3">
        <v>8287764.9900000002</v>
      </c>
      <c r="F69" s="1" t="s">
        <v>2732</v>
      </c>
      <c r="G69" s="3">
        <f t="shared" si="2"/>
        <v>4062.21</v>
      </c>
      <c r="H69" s="4">
        <v>0</v>
      </c>
    </row>
    <row r="70" spans="1:8">
      <c r="A70" s="1" t="s">
        <v>65</v>
      </c>
      <c r="B70" s="1" t="s">
        <v>15</v>
      </c>
      <c r="C70" s="1" t="s">
        <v>99</v>
      </c>
      <c r="D70" s="3">
        <v>37356.28</v>
      </c>
      <c r="E70" s="3">
        <v>8325121.2699999996</v>
      </c>
      <c r="F70" s="1" t="s">
        <v>2732</v>
      </c>
      <c r="G70" s="3">
        <f t="shared" si="2"/>
        <v>37356.28</v>
      </c>
      <c r="H70" s="4">
        <v>0</v>
      </c>
    </row>
    <row r="71" spans="1:8">
      <c r="A71" s="1" t="s">
        <v>65</v>
      </c>
      <c r="B71" s="1" t="s">
        <v>15</v>
      </c>
      <c r="C71" s="1" t="s">
        <v>100</v>
      </c>
      <c r="D71" s="3">
        <v>3799.77</v>
      </c>
      <c r="E71" s="3">
        <v>8328921.04</v>
      </c>
      <c r="F71" s="1" t="s">
        <v>2732</v>
      </c>
      <c r="G71" s="3">
        <f t="shared" si="2"/>
        <v>3799.77</v>
      </c>
      <c r="H71" s="4">
        <v>0</v>
      </c>
    </row>
    <row r="72" spans="1:8">
      <c r="A72" s="1" t="s">
        <v>65</v>
      </c>
      <c r="B72" s="1" t="s">
        <v>15</v>
      </c>
      <c r="C72" s="1" t="s">
        <v>101</v>
      </c>
      <c r="D72" s="3">
        <v>8378.98</v>
      </c>
      <c r="E72" s="3">
        <v>8337300.0199999996</v>
      </c>
      <c r="F72" s="1" t="s">
        <v>2732</v>
      </c>
      <c r="G72" s="3">
        <f t="shared" si="2"/>
        <v>8378.98</v>
      </c>
      <c r="H72" s="4">
        <v>0</v>
      </c>
    </row>
    <row r="73" spans="1:8">
      <c r="A73" s="1" t="s">
        <v>65</v>
      </c>
      <c r="B73" s="1" t="s">
        <v>15</v>
      </c>
      <c r="C73" s="1" t="s">
        <v>102</v>
      </c>
      <c r="D73" s="3">
        <v>4189.49</v>
      </c>
      <c r="E73" s="3">
        <v>8341489.5099999998</v>
      </c>
      <c r="F73" s="1" t="s">
        <v>2732</v>
      </c>
      <c r="G73" s="3">
        <f t="shared" si="2"/>
        <v>4189.49</v>
      </c>
      <c r="H73" s="4">
        <v>0</v>
      </c>
    </row>
    <row r="74" spans="1:8">
      <c r="A74" s="1" t="s">
        <v>65</v>
      </c>
      <c r="B74" s="1" t="s">
        <v>15</v>
      </c>
      <c r="C74" s="1" t="s">
        <v>103</v>
      </c>
      <c r="D74" s="3">
        <v>79795.17</v>
      </c>
      <c r="E74" s="3">
        <v>8421284.6799999997</v>
      </c>
      <c r="F74" s="1" t="s">
        <v>2732</v>
      </c>
      <c r="G74" s="3">
        <f t="shared" si="2"/>
        <v>79795.17</v>
      </c>
      <c r="H74" s="4">
        <v>0</v>
      </c>
    </row>
    <row r="75" spans="1:8">
      <c r="A75" s="1" t="s">
        <v>65</v>
      </c>
      <c r="B75" s="1" t="s">
        <v>15</v>
      </c>
      <c r="C75" s="1" t="s">
        <v>104</v>
      </c>
      <c r="D75" s="3">
        <v>13542.77</v>
      </c>
      <c r="E75" s="3">
        <v>8434827.4499999993</v>
      </c>
      <c r="F75" s="1" t="s">
        <v>2732</v>
      </c>
      <c r="G75" s="3">
        <f t="shared" si="2"/>
        <v>13542.77</v>
      </c>
      <c r="H75" s="4">
        <v>0</v>
      </c>
    </row>
    <row r="76" spans="1:8">
      <c r="A76" s="1" t="s">
        <v>65</v>
      </c>
      <c r="B76" s="1" t="s">
        <v>15</v>
      </c>
      <c r="C76" s="1" t="s">
        <v>105</v>
      </c>
      <c r="D76" s="3">
        <v>3410.05</v>
      </c>
      <c r="E76" s="3">
        <v>8438237.5</v>
      </c>
      <c r="F76" s="1" t="s">
        <v>2732</v>
      </c>
      <c r="G76" s="3">
        <f t="shared" si="2"/>
        <v>3410.05</v>
      </c>
      <c r="H76" s="4">
        <v>0</v>
      </c>
    </row>
    <row r="77" spans="1:8">
      <c r="A77" s="1" t="s">
        <v>65</v>
      </c>
      <c r="B77" s="1" t="s">
        <v>106</v>
      </c>
      <c r="C77" s="1" t="s">
        <v>107</v>
      </c>
      <c r="D77" s="2">
        <v>171.32</v>
      </c>
      <c r="E77" s="3">
        <v>8438408.8200000003</v>
      </c>
      <c r="F77" s="2" t="s">
        <v>2732</v>
      </c>
      <c r="G77" s="3">
        <f t="shared" si="2"/>
        <v>171.32</v>
      </c>
      <c r="H77" s="4">
        <v>0</v>
      </c>
    </row>
    <row r="78" spans="1:8">
      <c r="A78" s="1" t="s">
        <v>65</v>
      </c>
      <c r="B78" s="1" t="s">
        <v>15</v>
      </c>
      <c r="C78" s="1" t="s">
        <v>108</v>
      </c>
      <c r="D78" s="3">
        <v>27377.83</v>
      </c>
      <c r="E78" s="3">
        <v>8465786.6500000004</v>
      </c>
      <c r="F78" s="1" t="s">
        <v>2732</v>
      </c>
      <c r="G78" s="3">
        <f t="shared" si="2"/>
        <v>27377.83</v>
      </c>
      <c r="H78" s="4">
        <v>0</v>
      </c>
    </row>
    <row r="79" spans="1:8">
      <c r="A79" s="1" t="s">
        <v>65</v>
      </c>
      <c r="B79" s="1" t="s">
        <v>109</v>
      </c>
      <c r="C79" s="1" t="s">
        <v>110</v>
      </c>
      <c r="D79" s="3">
        <v>4126.4799999999996</v>
      </c>
      <c r="E79" s="3">
        <v>8469913.1300000008</v>
      </c>
      <c r="F79" s="2" t="s">
        <v>2732</v>
      </c>
      <c r="G79" s="3">
        <f t="shared" si="2"/>
        <v>4126.4799999999996</v>
      </c>
      <c r="H79" s="4">
        <v>0</v>
      </c>
    </row>
    <row r="80" spans="1:8">
      <c r="A80" s="1" t="s">
        <v>65</v>
      </c>
      <c r="B80" s="1" t="s">
        <v>15</v>
      </c>
      <c r="C80" s="1" t="s">
        <v>111</v>
      </c>
      <c r="D80" s="3">
        <v>12568.47</v>
      </c>
      <c r="E80" s="3">
        <v>8482481.5999999996</v>
      </c>
      <c r="F80" s="1" t="s">
        <v>2732</v>
      </c>
      <c r="G80" s="3">
        <f t="shared" ref="G80:G103" si="3">+D80</f>
        <v>12568.47</v>
      </c>
      <c r="H80" s="4">
        <v>0</v>
      </c>
    </row>
    <row r="81" spans="1:8">
      <c r="A81" s="1" t="s">
        <v>65</v>
      </c>
      <c r="B81" s="1" t="s">
        <v>15</v>
      </c>
      <c r="C81" s="1" t="s">
        <v>112</v>
      </c>
      <c r="D81" s="3">
        <v>4189.49</v>
      </c>
      <c r="E81" s="3">
        <v>8486671.0899999999</v>
      </c>
      <c r="F81" s="1" t="s">
        <v>2732</v>
      </c>
      <c r="G81" s="3">
        <f t="shared" si="3"/>
        <v>4189.49</v>
      </c>
      <c r="H81" s="4">
        <v>0</v>
      </c>
    </row>
    <row r="82" spans="1:8">
      <c r="A82" s="1" t="s">
        <v>65</v>
      </c>
      <c r="B82" s="1" t="s">
        <v>15</v>
      </c>
      <c r="C82" s="1" t="s">
        <v>113</v>
      </c>
      <c r="D82" s="3">
        <v>9060.99</v>
      </c>
      <c r="E82" s="3">
        <v>8495732.0800000001</v>
      </c>
      <c r="F82" s="1" t="s">
        <v>2732</v>
      </c>
      <c r="G82" s="3">
        <f t="shared" si="3"/>
        <v>9060.99</v>
      </c>
      <c r="H82" s="4">
        <v>0</v>
      </c>
    </row>
    <row r="83" spans="1:8">
      <c r="A83" s="1" t="s">
        <v>65</v>
      </c>
      <c r="B83" s="1" t="s">
        <v>15</v>
      </c>
      <c r="C83" s="1" t="s">
        <v>114</v>
      </c>
      <c r="D83" s="3">
        <v>12568.47</v>
      </c>
      <c r="E83" s="3">
        <v>8508300.5500000007</v>
      </c>
      <c r="F83" s="1" t="s">
        <v>2732</v>
      </c>
      <c r="G83" s="3">
        <f t="shared" si="3"/>
        <v>12568.47</v>
      </c>
      <c r="H83" s="4">
        <v>0</v>
      </c>
    </row>
    <row r="84" spans="1:8">
      <c r="A84" s="1" t="s">
        <v>65</v>
      </c>
      <c r="B84" s="1" t="s">
        <v>15</v>
      </c>
      <c r="C84" s="1" t="s">
        <v>115</v>
      </c>
      <c r="D84" s="3">
        <v>32139.66</v>
      </c>
      <c r="E84" s="3">
        <v>8540440.2100000009</v>
      </c>
      <c r="F84" s="1" t="s">
        <v>2732</v>
      </c>
      <c r="G84" s="3">
        <f t="shared" si="3"/>
        <v>32139.66</v>
      </c>
      <c r="H84" s="4">
        <v>0</v>
      </c>
    </row>
    <row r="85" spans="1:8">
      <c r="A85" s="1" t="s">
        <v>65</v>
      </c>
      <c r="B85" s="1" t="s">
        <v>15</v>
      </c>
      <c r="C85" s="1" t="s">
        <v>116</v>
      </c>
      <c r="D85" s="3">
        <v>12568.47</v>
      </c>
      <c r="E85" s="3">
        <v>8553008.6799999997</v>
      </c>
      <c r="F85" s="1" t="s">
        <v>2732</v>
      </c>
      <c r="G85" s="3">
        <f t="shared" si="3"/>
        <v>12568.47</v>
      </c>
      <c r="H85" s="4">
        <v>0</v>
      </c>
    </row>
    <row r="86" spans="1:8">
      <c r="A86" s="1" t="s">
        <v>65</v>
      </c>
      <c r="B86" s="1" t="s">
        <v>15</v>
      </c>
      <c r="C86" s="1" t="s">
        <v>117</v>
      </c>
      <c r="D86" s="3">
        <v>3410.05</v>
      </c>
      <c r="E86" s="3">
        <v>8556418.7300000004</v>
      </c>
      <c r="F86" s="1" t="s">
        <v>2732</v>
      </c>
      <c r="G86" s="3">
        <f t="shared" si="3"/>
        <v>3410.05</v>
      </c>
      <c r="H86" s="4">
        <v>0</v>
      </c>
    </row>
    <row r="87" spans="1:8">
      <c r="A87" s="1" t="s">
        <v>65</v>
      </c>
      <c r="B87" s="1" t="s">
        <v>15</v>
      </c>
      <c r="C87" s="1" t="s">
        <v>118</v>
      </c>
      <c r="D87" s="3">
        <v>13250.48</v>
      </c>
      <c r="E87" s="3">
        <v>8569669.2100000009</v>
      </c>
      <c r="F87" s="1" t="s">
        <v>2732</v>
      </c>
      <c r="G87" s="3">
        <f t="shared" si="3"/>
        <v>13250.48</v>
      </c>
      <c r="H87" s="4">
        <v>0</v>
      </c>
    </row>
    <row r="88" spans="1:8">
      <c r="A88" s="1" t="s">
        <v>65</v>
      </c>
      <c r="B88" s="1" t="s">
        <v>15</v>
      </c>
      <c r="C88" s="1" t="s">
        <v>119</v>
      </c>
      <c r="D88" s="3">
        <v>10619.87</v>
      </c>
      <c r="E88" s="3">
        <v>8580289.0800000001</v>
      </c>
      <c r="F88" s="1" t="s">
        <v>2732</v>
      </c>
      <c r="G88" s="3">
        <f t="shared" si="3"/>
        <v>10619.87</v>
      </c>
      <c r="H88" s="4">
        <v>0</v>
      </c>
    </row>
    <row r="89" spans="1:8">
      <c r="A89" s="1" t="s">
        <v>65</v>
      </c>
      <c r="B89" s="1" t="s">
        <v>15</v>
      </c>
      <c r="C89" s="1" t="s">
        <v>120</v>
      </c>
      <c r="D89" s="3">
        <v>3799.77</v>
      </c>
      <c r="E89" s="3">
        <v>8584088.8499999996</v>
      </c>
      <c r="F89" s="1" t="s">
        <v>2732</v>
      </c>
      <c r="G89" s="3">
        <f t="shared" si="3"/>
        <v>3799.77</v>
      </c>
      <c r="H89" s="4">
        <v>0</v>
      </c>
    </row>
    <row r="90" spans="1:8">
      <c r="A90" s="1" t="s">
        <v>65</v>
      </c>
      <c r="B90" s="1" t="s">
        <v>15</v>
      </c>
      <c r="C90" s="1" t="s">
        <v>121</v>
      </c>
      <c r="D90" s="3">
        <v>4189.49</v>
      </c>
      <c r="E90" s="3">
        <v>8588278.3399999999</v>
      </c>
      <c r="F90" s="1" t="s">
        <v>2732</v>
      </c>
      <c r="G90" s="3">
        <f t="shared" si="3"/>
        <v>4189.49</v>
      </c>
      <c r="H90" s="4">
        <v>0</v>
      </c>
    </row>
    <row r="91" spans="1:8">
      <c r="A91" s="1" t="s">
        <v>65</v>
      </c>
      <c r="B91" s="1" t="s">
        <v>15</v>
      </c>
      <c r="C91" s="1" t="s">
        <v>122</v>
      </c>
      <c r="D91" s="3">
        <v>3799.77</v>
      </c>
      <c r="E91" s="3">
        <v>8592078.1099999994</v>
      </c>
      <c r="F91" s="1" t="s">
        <v>2732</v>
      </c>
      <c r="G91" s="3">
        <f t="shared" si="3"/>
        <v>3799.77</v>
      </c>
      <c r="H91" s="4">
        <v>0</v>
      </c>
    </row>
    <row r="92" spans="1:8">
      <c r="A92" s="1" t="s">
        <v>65</v>
      </c>
      <c r="B92" s="1" t="s">
        <v>15</v>
      </c>
      <c r="C92" s="1" t="s">
        <v>123</v>
      </c>
      <c r="D92" s="3">
        <v>8071.96</v>
      </c>
      <c r="E92" s="3">
        <v>8600150.0700000003</v>
      </c>
      <c r="F92" s="1" t="s">
        <v>2732</v>
      </c>
      <c r="G92" s="3">
        <f t="shared" si="3"/>
        <v>8071.96</v>
      </c>
      <c r="H92" s="4">
        <v>0</v>
      </c>
    </row>
    <row r="93" spans="1:8">
      <c r="A93" s="1" t="s">
        <v>65</v>
      </c>
      <c r="B93" s="1" t="s">
        <v>15</v>
      </c>
      <c r="C93" s="1" t="s">
        <v>124</v>
      </c>
      <c r="D93" s="3">
        <v>13932.49</v>
      </c>
      <c r="E93" s="3">
        <v>8614082.5600000005</v>
      </c>
      <c r="F93" s="1" t="s">
        <v>2732</v>
      </c>
      <c r="G93" s="3">
        <f t="shared" si="3"/>
        <v>13932.49</v>
      </c>
      <c r="H93" s="4">
        <v>0</v>
      </c>
    </row>
    <row r="94" spans="1:8">
      <c r="A94" s="1" t="s">
        <v>65</v>
      </c>
      <c r="B94" s="1" t="s">
        <v>15</v>
      </c>
      <c r="C94" s="1" t="s">
        <v>125</v>
      </c>
      <c r="D94" s="3">
        <v>20311.05</v>
      </c>
      <c r="E94" s="3">
        <v>8634393.6099999994</v>
      </c>
      <c r="F94" s="1" t="s">
        <v>2732</v>
      </c>
      <c r="G94" s="3">
        <f t="shared" si="3"/>
        <v>20311.05</v>
      </c>
      <c r="H94" s="4">
        <v>0</v>
      </c>
    </row>
    <row r="95" spans="1:8">
      <c r="A95" s="1" t="s">
        <v>65</v>
      </c>
      <c r="B95" s="1" t="s">
        <v>15</v>
      </c>
      <c r="C95" s="1" t="s">
        <v>126</v>
      </c>
      <c r="D95" s="3">
        <v>3799.77</v>
      </c>
      <c r="E95" s="3">
        <v>8638193.3800000008</v>
      </c>
      <c r="F95" s="1" t="s">
        <v>2732</v>
      </c>
      <c r="G95" s="3">
        <f t="shared" si="3"/>
        <v>3799.77</v>
      </c>
      <c r="H95" s="4">
        <v>0</v>
      </c>
    </row>
    <row r="96" spans="1:8">
      <c r="A96" s="1" t="s">
        <v>65</v>
      </c>
      <c r="B96" s="1" t="s">
        <v>15</v>
      </c>
      <c r="C96" s="1" t="s">
        <v>127</v>
      </c>
      <c r="D96" s="3">
        <v>12470.04</v>
      </c>
      <c r="E96" s="3">
        <v>8650663.4199999999</v>
      </c>
      <c r="F96" s="1" t="s">
        <v>2732</v>
      </c>
      <c r="G96" s="3">
        <f t="shared" si="3"/>
        <v>12470.04</v>
      </c>
      <c r="H96" s="4">
        <v>0</v>
      </c>
    </row>
    <row r="97" spans="1:8">
      <c r="A97" s="1" t="s">
        <v>65</v>
      </c>
      <c r="B97" s="1" t="s">
        <v>15</v>
      </c>
      <c r="C97" s="1" t="s">
        <v>128</v>
      </c>
      <c r="D97" s="3">
        <v>18414.27</v>
      </c>
      <c r="E97" s="3">
        <v>8669077.6899999995</v>
      </c>
      <c r="F97" s="1" t="s">
        <v>2732</v>
      </c>
      <c r="G97" s="3">
        <f t="shared" si="3"/>
        <v>18414.27</v>
      </c>
      <c r="H97" s="4">
        <v>0</v>
      </c>
    </row>
    <row r="98" spans="1:8">
      <c r="A98" s="1" t="s">
        <v>65</v>
      </c>
      <c r="B98" s="1" t="s">
        <v>15</v>
      </c>
      <c r="C98" s="1" t="s">
        <v>129</v>
      </c>
      <c r="D98" s="3">
        <v>9353.2800000000007</v>
      </c>
      <c r="E98" s="3">
        <v>8678430.9700000007</v>
      </c>
      <c r="F98" s="1" t="s">
        <v>2732</v>
      </c>
      <c r="G98" s="3">
        <f t="shared" si="3"/>
        <v>9353.2800000000007</v>
      </c>
      <c r="H98" s="4">
        <v>0</v>
      </c>
    </row>
    <row r="99" spans="1:8">
      <c r="A99" s="1" t="s">
        <v>65</v>
      </c>
      <c r="B99" s="1" t="s">
        <v>15</v>
      </c>
      <c r="C99" s="1" t="s">
        <v>130</v>
      </c>
      <c r="D99" s="3">
        <v>3799.77</v>
      </c>
      <c r="E99" s="3">
        <v>8682230.7400000002</v>
      </c>
      <c r="F99" s="1" t="s">
        <v>2732</v>
      </c>
      <c r="G99" s="3">
        <f t="shared" si="3"/>
        <v>3799.77</v>
      </c>
      <c r="H99" s="4">
        <v>0</v>
      </c>
    </row>
    <row r="100" spans="1:8">
      <c r="A100" s="1" t="s">
        <v>65</v>
      </c>
      <c r="B100" s="1" t="s">
        <v>15</v>
      </c>
      <c r="C100" s="1" t="s">
        <v>131</v>
      </c>
      <c r="D100" s="3">
        <v>1851.17</v>
      </c>
      <c r="E100" s="3">
        <v>8684081.9100000001</v>
      </c>
      <c r="F100" s="1" t="s">
        <v>2732</v>
      </c>
      <c r="G100" s="3">
        <f t="shared" si="3"/>
        <v>1851.17</v>
      </c>
      <c r="H100" s="4">
        <v>0</v>
      </c>
    </row>
    <row r="101" spans="1:8">
      <c r="A101" s="59" t="s">
        <v>65</v>
      </c>
      <c r="B101" s="59" t="s">
        <v>28</v>
      </c>
      <c r="C101" s="59" t="s">
        <v>85</v>
      </c>
      <c r="D101" s="63">
        <v>-822.12</v>
      </c>
      <c r="E101" s="64">
        <v>8089059.7800000003</v>
      </c>
      <c r="F101" s="59"/>
      <c r="G101" s="64">
        <f t="shared" si="3"/>
        <v>-822.12</v>
      </c>
      <c r="H101" s="65"/>
    </row>
    <row r="102" spans="1:8">
      <c r="A102" s="59" t="s">
        <v>65</v>
      </c>
      <c r="B102" s="59" t="s">
        <v>28</v>
      </c>
      <c r="C102" s="59" t="s">
        <v>84</v>
      </c>
      <c r="D102" s="64">
        <v>-1320.16</v>
      </c>
      <c r="E102" s="64">
        <v>8226901.9000000004</v>
      </c>
      <c r="F102" s="59"/>
      <c r="G102" s="64">
        <f t="shared" si="3"/>
        <v>-1320.16</v>
      </c>
      <c r="H102" s="65"/>
    </row>
    <row r="103" spans="1:8">
      <c r="A103" s="59" t="s">
        <v>65</v>
      </c>
      <c r="B103" s="59" t="s">
        <v>28</v>
      </c>
      <c r="C103" s="59" t="s">
        <v>80</v>
      </c>
      <c r="D103" s="64">
        <v>-7357.44</v>
      </c>
      <c r="E103" s="64">
        <v>8469977.9700000007</v>
      </c>
      <c r="F103" s="59"/>
      <c r="G103" s="64">
        <f t="shared" si="3"/>
        <v>-7357.44</v>
      </c>
      <c r="H103" s="65"/>
    </row>
    <row r="104" spans="1:8">
      <c r="A104" s="1" t="s">
        <v>65</v>
      </c>
      <c r="B104" s="1" t="s">
        <v>81</v>
      </c>
      <c r="C104" s="1" t="s">
        <v>82</v>
      </c>
      <c r="D104" s="3">
        <v>-21729.59</v>
      </c>
      <c r="E104" s="3">
        <v>8448248.3800000008</v>
      </c>
      <c r="F104" s="1" t="s">
        <v>1736</v>
      </c>
      <c r="G104" s="4">
        <f>+D104/1.006</f>
        <v>-21599.990059642147</v>
      </c>
      <c r="H104" s="4">
        <f>+D104-G104</f>
        <v>-129.59994035785348</v>
      </c>
    </row>
    <row r="105" spans="1:8">
      <c r="A105" s="1" t="s">
        <v>65</v>
      </c>
      <c r="B105" s="1" t="s">
        <v>83</v>
      </c>
      <c r="C105" s="1" t="s">
        <v>85</v>
      </c>
      <c r="D105" s="3">
        <v>-137020</v>
      </c>
      <c r="E105" s="3">
        <v>8089881.9000000004</v>
      </c>
      <c r="G105" s="4">
        <f>+D105/1.006</f>
        <v>-136202.78330019882</v>
      </c>
      <c r="H105" s="4">
        <f>+D105-G105</f>
        <v>-817.21669980118168</v>
      </c>
    </row>
    <row r="106" spans="1:8">
      <c r="A106" s="1" t="s">
        <v>65</v>
      </c>
      <c r="B106" s="1" t="s">
        <v>83</v>
      </c>
      <c r="C106" s="1" t="s">
        <v>84</v>
      </c>
      <c r="D106" s="3">
        <v>-220026.32</v>
      </c>
      <c r="E106" s="3">
        <v>8228222.0599999996</v>
      </c>
      <c r="G106" s="4">
        <f>+D106/1.006</f>
        <v>-218714.03578528829</v>
      </c>
      <c r="H106" s="4">
        <f>+D106-G106</f>
        <v>-1312.284214711719</v>
      </c>
    </row>
    <row r="107" spans="1:8">
      <c r="A107" s="1" t="s">
        <v>65</v>
      </c>
      <c r="B107" s="1" t="s">
        <v>79</v>
      </c>
      <c r="C107" s="1" t="s">
        <v>80</v>
      </c>
      <c r="D107" s="3">
        <v>-1226240</v>
      </c>
      <c r="E107" s="3">
        <v>8477335.4100000001</v>
      </c>
      <c r="G107" s="4">
        <f>+D107/1.006</f>
        <v>-1218926.4413518887</v>
      </c>
      <c r="H107" s="4">
        <f>+D107-G107</f>
        <v>-7313.5586481112987</v>
      </c>
    </row>
    <row r="108" spans="1:8">
      <c r="A108" s="1" t="s">
        <v>132</v>
      </c>
      <c r="B108" s="1" t="s">
        <v>15</v>
      </c>
      <c r="C108" s="1" t="s">
        <v>133</v>
      </c>
      <c r="D108" s="3">
        <v>3799.77</v>
      </c>
      <c r="E108" s="3">
        <v>8687881.6799999997</v>
      </c>
      <c r="F108" s="1" t="s">
        <v>2732</v>
      </c>
      <c r="G108" s="3">
        <f t="shared" ref="G108:G139" si="4">+D108</f>
        <v>3799.77</v>
      </c>
      <c r="H108" s="4">
        <v>0</v>
      </c>
    </row>
    <row r="109" spans="1:8">
      <c r="A109" s="1" t="s">
        <v>132</v>
      </c>
      <c r="B109" s="1" t="s">
        <v>134</v>
      </c>
      <c r="C109" s="1" t="s">
        <v>135</v>
      </c>
      <c r="D109" s="2">
        <v>381.81</v>
      </c>
      <c r="E109" s="3">
        <v>8688263.4900000002</v>
      </c>
      <c r="F109" s="2" t="s">
        <v>2732</v>
      </c>
      <c r="G109" s="3">
        <f t="shared" si="4"/>
        <v>381.81</v>
      </c>
      <c r="H109" s="4">
        <v>0</v>
      </c>
    </row>
    <row r="110" spans="1:8">
      <c r="A110" s="1" t="s">
        <v>132</v>
      </c>
      <c r="B110" s="1" t="s">
        <v>15</v>
      </c>
      <c r="C110" s="1" t="s">
        <v>136</v>
      </c>
      <c r="D110" s="3">
        <v>59319.519999999997</v>
      </c>
      <c r="E110" s="3">
        <v>8747583.0099999998</v>
      </c>
      <c r="F110" s="1" t="s">
        <v>2732</v>
      </c>
      <c r="G110" s="3">
        <f t="shared" si="4"/>
        <v>59319.519999999997</v>
      </c>
      <c r="H110" s="4">
        <v>0</v>
      </c>
    </row>
    <row r="111" spans="1:8">
      <c r="A111" s="1" t="s">
        <v>132</v>
      </c>
      <c r="B111" s="1" t="s">
        <v>15</v>
      </c>
      <c r="C111" s="1" t="s">
        <v>137</v>
      </c>
      <c r="D111" s="3">
        <v>7989.26</v>
      </c>
      <c r="E111" s="3">
        <v>8755572.2699999996</v>
      </c>
      <c r="F111" s="1" t="s">
        <v>2732</v>
      </c>
      <c r="G111" s="3">
        <f t="shared" si="4"/>
        <v>7989.26</v>
      </c>
      <c r="H111" s="4">
        <v>0</v>
      </c>
    </row>
    <row r="112" spans="1:8">
      <c r="A112" s="1" t="s">
        <v>132</v>
      </c>
      <c r="B112" s="1" t="s">
        <v>15</v>
      </c>
      <c r="C112" s="1" t="s">
        <v>138</v>
      </c>
      <c r="D112" s="3">
        <v>9060.99</v>
      </c>
      <c r="E112" s="3">
        <v>8764633.2599999998</v>
      </c>
      <c r="F112" s="1" t="s">
        <v>2732</v>
      </c>
      <c r="G112" s="3">
        <f t="shared" si="4"/>
        <v>9060.99</v>
      </c>
      <c r="H112" s="4">
        <v>0</v>
      </c>
    </row>
    <row r="113" spans="1:8">
      <c r="A113" s="1" t="s">
        <v>132</v>
      </c>
      <c r="B113" s="1" t="s">
        <v>15</v>
      </c>
      <c r="C113" s="1" t="s">
        <v>139</v>
      </c>
      <c r="D113" s="3">
        <v>15491.37</v>
      </c>
      <c r="E113" s="3">
        <v>8780124.6300000008</v>
      </c>
      <c r="F113" s="1" t="s">
        <v>2732</v>
      </c>
      <c r="G113" s="3">
        <f t="shared" si="4"/>
        <v>15491.37</v>
      </c>
      <c r="H113" s="4">
        <v>0</v>
      </c>
    </row>
    <row r="114" spans="1:8">
      <c r="A114" s="1" t="s">
        <v>132</v>
      </c>
      <c r="B114" s="1" t="s">
        <v>15</v>
      </c>
      <c r="C114" s="1" t="s">
        <v>140</v>
      </c>
      <c r="D114" s="3">
        <v>4871.5</v>
      </c>
      <c r="E114" s="3">
        <v>8784996.1300000008</v>
      </c>
      <c r="F114" s="1" t="s">
        <v>2732</v>
      </c>
      <c r="G114" s="3">
        <f t="shared" si="4"/>
        <v>4871.5</v>
      </c>
      <c r="H114" s="4">
        <v>0</v>
      </c>
    </row>
    <row r="115" spans="1:8">
      <c r="A115" s="1" t="s">
        <v>132</v>
      </c>
      <c r="B115" s="1" t="s">
        <v>15</v>
      </c>
      <c r="C115" s="1" t="s">
        <v>141</v>
      </c>
      <c r="D115" s="3">
        <v>4539.5</v>
      </c>
      <c r="E115" s="3">
        <v>8789535.6300000008</v>
      </c>
      <c r="F115" s="1" t="s">
        <v>2732</v>
      </c>
      <c r="G115" s="3">
        <f t="shared" si="4"/>
        <v>4539.5</v>
      </c>
      <c r="H115" s="4">
        <v>0</v>
      </c>
    </row>
    <row r="116" spans="1:8">
      <c r="A116" s="1" t="s">
        <v>132</v>
      </c>
      <c r="B116" s="1" t="s">
        <v>15</v>
      </c>
      <c r="C116" s="1" t="s">
        <v>142</v>
      </c>
      <c r="D116" s="3">
        <v>68980.44</v>
      </c>
      <c r="E116" s="3">
        <v>8858516.0700000003</v>
      </c>
      <c r="F116" s="1" t="s">
        <v>2732</v>
      </c>
      <c r="G116" s="3">
        <f t="shared" si="4"/>
        <v>68980.44</v>
      </c>
      <c r="H116" s="4">
        <v>0</v>
      </c>
    </row>
    <row r="117" spans="1:8">
      <c r="A117" s="1" t="s">
        <v>132</v>
      </c>
      <c r="B117" s="1" t="s">
        <v>15</v>
      </c>
      <c r="C117" s="1" t="s">
        <v>143</v>
      </c>
      <c r="D117" s="3">
        <v>2143.46</v>
      </c>
      <c r="E117" s="3">
        <v>8860659.5299999993</v>
      </c>
      <c r="F117" s="1" t="s">
        <v>2732</v>
      </c>
      <c r="G117" s="3">
        <f t="shared" si="4"/>
        <v>2143.46</v>
      </c>
      <c r="H117" s="4">
        <v>0</v>
      </c>
    </row>
    <row r="118" spans="1:8">
      <c r="A118" s="1" t="s">
        <v>132</v>
      </c>
      <c r="B118" s="1" t="s">
        <v>15</v>
      </c>
      <c r="C118" s="1" t="s">
        <v>144</v>
      </c>
      <c r="D118" s="3">
        <v>15686.23</v>
      </c>
      <c r="E118" s="3">
        <v>8876345.7599999998</v>
      </c>
      <c r="F118" s="1" t="s">
        <v>2732</v>
      </c>
      <c r="G118" s="3">
        <f t="shared" si="4"/>
        <v>15686.23</v>
      </c>
      <c r="H118" s="4">
        <v>0</v>
      </c>
    </row>
    <row r="119" spans="1:8">
      <c r="A119" s="1" t="s">
        <v>132</v>
      </c>
      <c r="B119" s="1" t="s">
        <v>15</v>
      </c>
      <c r="C119" s="1" t="s">
        <v>145</v>
      </c>
      <c r="D119" s="3">
        <v>4189.49</v>
      </c>
      <c r="E119" s="3">
        <v>8880535.25</v>
      </c>
      <c r="F119" s="1" t="s">
        <v>2732</v>
      </c>
      <c r="G119" s="3">
        <f t="shared" si="4"/>
        <v>4189.49</v>
      </c>
      <c r="H119" s="4">
        <v>0</v>
      </c>
    </row>
    <row r="120" spans="1:8">
      <c r="A120" s="1" t="s">
        <v>132</v>
      </c>
      <c r="B120" s="1" t="s">
        <v>15</v>
      </c>
      <c r="C120" s="1" t="s">
        <v>146</v>
      </c>
      <c r="D120" s="3">
        <v>4189.49</v>
      </c>
      <c r="E120" s="3">
        <v>8884724.7400000002</v>
      </c>
      <c r="F120" s="1" t="s">
        <v>2732</v>
      </c>
      <c r="G120" s="3">
        <f t="shared" si="4"/>
        <v>4189.49</v>
      </c>
      <c r="H120" s="4">
        <v>0</v>
      </c>
    </row>
    <row r="121" spans="1:8">
      <c r="A121" s="1" t="s">
        <v>132</v>
      </c>
      <c r="B121" s="1" t="s">
        <v>15</v>
      </c>
      <c r="C121" s="1" t="s">
        <v>147</v>
      </c>
      <c r="D121" s="3">
        <v>4189.49</v>
      </c>
      <c r="E121" s="3">
        <v>8888914.2300000004</v>
      </c>
      <c r="F121" s="1" t="s">
        <v>2732</v>
      </c>
      <c r="G121" s="3">
        <f t="shared" si="4"/>
        <v>4189.49</v>
      </c>
      <c r="H121" s="4">
        <v>0</v>
      </c>
    </row>
    <row r="122" spans="1:8">
      <c r="A122" s="1" t="s">
        <v>132</v>
      </c>
      <c r="B122" s="1" t="s">
        <v>15</v>
      </c>
      <c r="C122" s="1" t="s">
        <v>148</v>
      </c>
      <c r="D122" s="3">
        <v>4062.21</v>
      </c>
      <c r="E122" s="3">
        <v>8892976.4399999995</v>
      </c>
      <c r="F122" s="1" t="s">
        <v>2732</v>
      </c>
      <c r="G122" s="3">
        <f t="shared" si="4"/>
        <v>4062.21</v>
      </c>
      <c r="H122" s="4">
        <v>0</v>
      </c>
    </row>
    <row r="123" spans="1:8">
      <c r="A123" s="1" t="s">
        <v>132</v>
      </c>
      <c r="B123" s="1" t="s">
        <v>15</v>
      </c>
      <c r="C123" s="1" t="s">
        <v>149</v>
      </c>
      <c r="D123" s="3">
        <v>181414.66</v>
      </c>
      <c r="E123" s="3">
        <v>9074391.0999999996</v>
      </c>
      <c r="F123" s="1" t="s">
        <v>2732</v>
      </c>
      <c r="G123" s="3">
        <f t="shared" si="4"/>
        <v>181414.66</v>
      </c>
      <c r="H123" s="4">
        <v>0</v>
      </c>
    </row>
    <row r="124" spans="1:8">
      <c r="A124" s="1" t="s">
        <v>132</v>
      </c>
      <c r="B124" s="1" t="s">
        <v>15</v>
      </c>
      <c r="C124" s="1" t="s">
        <v>150</v>
      </c>
      <c r="D124" s="3">
        <v>3799.77</v>
      </c>
      <c r="E124" s="3">
        <v>9078190.8699999992</v>
      </c>
      <c r="F124" s="1" t="s">
        <v>2732</v>
      </c>
      <c r="G124" s="3">
        <f t="shared" si="4"/>
        <v>3799.77</v>
      </c>
      <c r="H124" s="4">
        <v>0</v>
      </c>
    </row>
    <row r="125" spans="1:8">
      <c r="A125" s="1" t="s">
        <v>132</v>
      </c>
      <c r="B125" s="1" t="s">
        <v>134</v>
      </c>
      <c r="C125" s="1" t="s">
        <v>151</v>
      </c>
      <c r="D125" s="2">
        <v>381.81</v>
      </c>
      <c r="E125" s="3">
        <v>9078572.6799999997</v>
      </c>
      <c r="F125" s="2" t="s">
        <v>2732</v>
      </c>
      <c r="G125" s="3">
        <f t="shared" si="4"/>
        <v>381.81</v>
      </c>
      <c r="H125" s="4">
        <v>0</v>
      </c>
    </row>
    <row r="126" spans="1:8">
      <c r="A126" s="1" t="s">
        <v>132</v>
      </c>
      <c r="B126" s="1" t="s">
        <v>15</v>
      </c>
      <c r="C126" s="1" t="s">
        <v>152</v>
      </c>
      <c r="D126" s="3">
        <v>4189.49</v>
      </c>
      <c r="E126" s="3">
        <v>9082762.1699999999</v>
      </c>
      <c r="F126" s="1" t="s">
        <v>2732</v>
      </c>
      <c r="G126" s="3">
        <f t="shared" si="4"/>
        <v>4189.49</v>
      </c>
      <c r="H126" s="4">
        <v>0</v>
      </c>
    </row>
    <row r="127" spans="1:8">
      <c r="A127" s="1" t="s">
        <v>132</v>
      </c>
      <c r="B127" s="1" t="s">
        <v>153</v>
      </c>
      <c r="C127" s="1" t="s">
        <v>154</v>
      </c>
      <c r="D127" s="2">
        <v>210.48</v>
      </c>
      <c r="E127" s="3">
        <v>9082972.6500000004</v>
      </c>
      <c r="F127" s="2" t="s">
        <v>2732</v>
      </c>
      <c r="G127" s="3">
        <f t="shared" si="4"/>
        <v>210.48</v>
      </c>
      <c r="H127" s="4">
        <v>0</v>
      </c>
    </row>
    <row r="128" spans="1:8">
      <c r="A128" s="1" t="s">
        <v>132</v>
      </c>
      <c r="B128" s="1" t="s">
        <v>15</v>
      </c>
      <c r="C128" s="1" t="s">
        <v>155</v>
      </c>
      <c r="D128" s="3">
        <v>4189.49</v>
      </c>
      <c r="E128" s="3">
        <v>9087162.1400000006</v>
      </c>
      <c r="F128" s="1" t="s">
        <v>2732</v>
      </c>
      <c r="G128" s="3">
        <f t="shared" si="4"/>
        <v>4189.49</v>
      </c>
      <c r="H128" s="4">
        <v>0</v>
      </c>
    </row>
    <row r="129" spans="1:8">
      <c r="A129" s="1" t="s">
        <v>132</v>
      </c>
      <c r="B129" s="1" t="s">
        <v>15</v>
      </c>
      <c r="C129" s="1" t="s">
        <v>156</v>
      </c>
      <c r="D129" s="3">
        <v>58555.43</v>
      </c>
      <c r="E129" s="3">
        <v>9145717.5700000003</v>
      </c>
      <c r="F129" s="1" t="s">
        <v>2732</v>
      </c>
      <c r="G129" s="3">
        <f t="shared" si="4"/>
        <v>58555.43</v>
      </c>
      <c r="H129" s="4">
        <v>0</v>
      </c>
    </row>
    <row r="130" spans="1:8">
      <c r="A130" s="1" t="s">
        <v>132</v>
      </c>
      <c r="B130" s="1" t="s">
        <v>157</v>
      </c>
      <c r="C130" s="1" t="s">
        <v>158</v>
      </c>
      <c r="D130" s="3">
        <v>2941.89</v>
      </c>
      <c r="E130" s="3">
        <v>9148659.4600000009</v>
      </c>
      <c r="F130" s="2" t="s">
        <v>2732</v>
      </c>
      <c r="G130" s="3">
        <f t="shared" si="4"/>
        <v>2941.89</v>
      </c>
      <c r="H130" s="4">
        <v>0</v>
      </c>
    </row>
    <row r="131" spans="1:8">
      <c r="A131" s="1" t="s">
        <v>132</v>
      </c>
      <c r="B131" s="1" t="s">
        <v>15</v>
      </c>
      <c r="C131" s="1" t="s">
        <v>159</v>
      </c>
      <c r="D131" s="3">
        <v>4189.49</v>
      </c>
      <c r="E131" s="3">
        <v>9152848.9499999993</v>
      </c>
      <c r="F131" s="1" t="s">
        <v>2732</v>
      </c>
      <c r="G131" s="3">
        <f t="shared" si="4"/>
        <v>4189.49</v>
      </c>
      <c r="H131" s="4">
        <v>0</v>
      </c>
    </row>
    <row r="132" spans="1:8">
      <c r="A132" s="1" t="s">
        <v>132</v>
      </c>
      <c r="B132" s="1" t="s">
        <v>160</v>
      </c>
      <c r="C132" s="1" t="s">
        <v>161</v>
      </c>
      <c r="D132" s="2">
        <v>489.5</v>
      </c>
      <c r="E132" s="3">
        <v>9153338.4499999993</v>
      </c>
      <c r="F132" s="2" t="s">
        <v>2732</v>
      </c>
      <c r="G132" s="3">
        <f t="shared" si="4"/>
        <v>489.5</v>
      </c>
      <c r="H132" s="4">
        <v>0</v>
      </c>
    </row>
    <row r="133" spans="1:8">
      <c r="A133" s="1" t="s">
        <v>132</v>
      </c>
      <c r="B133" s="1" t="s">
        <v>15</v>
      </c>
      <c r="C133" s="1" t="s">
        <v>162</v>
      </c>
      <c r="D133" s="3">
        <v>8029.95</v>
      </c>
      <c r="E133" s="3">
        <v>9161368.4000000004</v>
      </c>
      <c r="F133" s="1" t="s">
        <v>2732</v>
      </c>
      <c r="G133" s="3">
        <f t="shared" si="4"/>
        <v>8029.95</v>
      </c>
      <c r="H133" s="4">
        <v>0</v>
      </c>
    </row>
    <row r="134" spans="1:8">
      <c r="A134" s="1" t="s">
        <v>132</v>
      </c>
      <c r="B134" s="1" t="s">
        <v>15</v>
      </c>
      <c r="C134" s="1" t="s">
        <v>163</v>
      </c>
      <c r="D134" s="3">
        <v>4189.49</v>
      </c>
      <c r="E134" s="3">
        <v>9165557.8900000006</v>
      </c>
      <c r="F134" s="1" t="s">
        <v>2732</v>
      </c>
      <c r="G134" s="3">
        <f t="shared" si="4"/>
        <v>4189.49</v>
      </c>
      <c r="H134" s="4">
        <v>0</v>
      </c>
    </row>
    <row r="135" spans="1:8">
      <c r="A135" s="1" t="s">
        <v>132</v>
      </c>
      <c r="B135" s="1" t="s">
        <v>15</v>
      </c>
      <c r="C135" s="1" t="s">
        <v>164</v>
      </c>
      <c r="D135" s="3">
        <v>4189.49</v>
      </c>
      <c r="E135" s="3">
        <v>9169747.3800000008</v>
      </c>
      <c r="F135" s="1" t="s">
        <v>2732</v>
      </c>
      <c r="G135" s="3">
        <f t="shared" si="4"/>
        <v>4189.49</v>
      </c>
      <c r="H135" s="4">
        <v>0</v>
      </c>
    </row>
    <row r="136" spans="1:8">
      <c r="A136" s="1" t="s">
        <v>132</v>
      </c>
      <c r="B136" s="1" t="s">
        <v>165</v>
      </c>
      <c r="C136" s="1" t="s">
        <v>166</v>
      </c>
      <c r="D136" s="2">
        <v>420.97</v>
      </c>
      <c r="E136" s="3">
        <v>9170168.3499999996</v>
      </c>
      <c r="F136" s="2" t="s">
        <v>2732</v>
      </c>
      <c r="G136" s="3">
        <f t="shared" si="4"/>
        <v>420.97</v>
      </c>
      <c r="H136" s="4">
        <v>0</v>
      </c>
    </row>
    <row r="137" spans="1:8">
      <c r="A137" s="1" t="s">
        <v>132</v>
      </c>
      <c r="B137" s="1" t="s">
        <v>15</v>
      </c>
      <c r="C137" s="1" t="s">
        <v>167</v>
      </c>
      <c r="D137" s="3">
        <v>13932.49</v>
      </c>
      <c r="E137" s="3">
        <v>9184100.8399999999</v>
      </c>
      <c r="F137" s="1" t="s">
        <v>2732</v>
      </c>
      <c r="G137" s="3">
        <f t="shared" si="4"/>
        <v>13932.49</v>
      </c>
      <c r="H137" s="4">
        <v>0</v>
      </c>
    </row>
    <row r="138" spans="1:8">
      <c r="A138" s="1" t="s">
        <v>132</v>
      </c>
      <c r="B138" s="1" t="s">
        <v>15</v>
      </c>
      <c r="C138" s="1" t="s">
        <v>168</v>
      </c>
      <c r="D138" s="3">
        <v>38294.879999999997</v>
      </c>
      <c r="E138" s="3">
        <v>9222395.7200000007</v>
      </c>
      <c r="F138" s="1" t="s">
        <v>2732</v>
      </c>
      <c r="G138" s="3">
        <f t="shared" si="4"/>
        <v>38294.879999999997</v>
      </c>
      <c r="H138" s="4">
        <v>0</v>
      </c>
    </row>
    <row r="139" spans="1:8">
      <c r="A139" s="1" t="s">
        <v>132</v>
      </c>
      <c r="B139" s="1" t="s">
        <v>15</v>
      </c>
      <c r="C139" s="1" t="s">
        <v>169</v>
      </c>
      <c r="D139" s="3">
        <v>8378.98</v>
      </c>
      <c r="E139" s="3">
        <v>9230774.6999999993</v>
      </c>
      <c r="F139" s="1" t="s">
        <v>2732</v>
      </c>
      <c r="G139" s="3">
        <f t="shared" si="4"/>
        <v>8378.98</v>
      </c>
      <c r="H139" s="4">
        <v>0</v>
      </c>
    </row>
    <row r="140" spans="1:8">
      <c r="A140" s="1" t="s">
        <v>132</v>
      </c>
      <c r="B140" s="1" t="s">
        <v>15</v>
      </c>
      <c r="C140" s="1" t="s">
        <v>170</v>
      </c>
      <c r="D140" s="3">
        <v>21532.03</v>
      </c>
      <c r="E140" s="3">
        <v>9252306.7300000004</v>
      </c>
      <c r="F140" s="1" t="s">
        <v>2732</v>
      </c>
      <c r="G140" s="3">
        <f t="shared" ref="G140:G171" si="5">+D140</f>
        <v>21532.03</v>
      </c>
      <c r="H140" s="4">
        <v>0</v>
      </c>
    </row>
    <row r="141" spans="1:8">
      <c r="A141" s="1" t="s">
        <v>132</v>
      </c>
      <c r="B141" s="1" t="s">
        <v>15</v>
      </c>
      <c r="C141" s="1" t="s">
        <v>171</v>
      </c>
      <c r="D141" s="3">
        <v>9060.99</v>
      </c>
      <c r="E141" s="3">
        <v>9261367.7200000007</v>
      </c>
      <c r="F141" s="1" t="s">
        <v>2732</v>
      </c>
      <c r="G141" s="3">
        <f t="shared" si="5"/>
        <v>9060.99</v>
      </c>
      <c r="H141" s="4">
        <v>0</v>
      </c>
    </row>
    <row r="142" spans="1:8">
      <c r="A142" s="1" t="s">
        <v>132</v>
      </c>
      <c r="B142" s="1" t="s">
        <v>15</v>
      </c>
      <c r="C142" s="1" t="s">
        <v>172</v>
      </c>
      <c r="D142" s="3">
        <v>4189.49</v>
      </c>
      <c r="E142" s="3">
        <v>9265557.2100000009</v>
      </c>
      <c r="F142" s="1" t="s">
        <v>2732</v>
      </c>
      <c r="G142" s="3">
        <f t="shared" si="5"/>
        <v>4189.49</v>
      </c>
      <c r="H142" s="4">
        <v>0</v>
      </c>
    </row>
    <row r="143" spans="1:8">
      <c r="A143" s="1" t="s">
        <v>132</v>
      </c>
      <c r="B143" s="1" t="s">
        <v>15</v>
      </c>
      <c r="C143" s="1" t="s">
        <v>173</v>
      </c>
      <c r="D143" s="3">
        <v>94994.25</v>
      </c>
      <c r="E143" s="3">
        <v>9360551.4600000009</v>
      </c>
      <c r="F143" s="1" t="s">
        <v>2732</v>
      </c>
      <c r="G143" s="3">
        <f t="shared" si="5"/>
        <v>94994.25</v>
      </c>
      <c r="H143" s="4">
        <v>0</v>
      </c>
    </row>
    <row r="144" spans="1:8">
      <c r="A144" s="1" t="s">
        <v>132</v>
      </c>
      <c r="B144" s="1" t="s">
        <v>15</v>
      </c>
      <c r="C144" s="1" t="s">
        <v>174</v>
      </c>
      <c r="D144" s="3">
        <v>4189.49</v>
      </c>
      <c r="E144" s="3">
        <v>9364740.9499999993</v>
      </c>
      <c r="F144" s="1" t="s">
        <v>2732</v>
      </c>
      <c r="G144" s="3">
        <f t="shared" si="5"/>
        <v>4189.49</v>
      </c>
      <c r="H144" s="4">
        <v>0</v>
      </c>
    </row>
    <row r="145" spans="1:8">
      <c r="A145" s="1" t="s">
        <v>132</v>
      </c>
      <c r="B145" s="1" t="s">
        <v>165</v>
      </c>
      <c r="C145" s="1" t="s">
        <v>175</v>
      </c>
      <c r="D145" s="2">
        <v>420.97</v>
      </c>
      <c r="E145" s="3">
        <v>9365161.9199999999</v>
      </c>
      <c r="F145" s="2" t="s">
        <v>2732</v>
      </c>
      <c r="G145" s="3">
        <f t="shared" si="5"/>
        <v>420.97</v>
      </c>
      <c r="H145" s="4">
        <v>0</v>
      </c>
    </row>
    <row r="146" spans="1:8">
      <c r="A146" s="1" t="s">
        <v>132</v>
      </c>
      <c r="B146" s="1" t="s">
        <v>15</v>
      </c>
      <c r="C146" s="1" t="s">
        <v>176</v>
      </c>
      <c r="D146" s="3">
        <v>34879.94</v>
      </c>
      <c r="E146" s="3">
        <v>9400041.8599999994</v>
      </c>
      <c r="F146" s="1" t="s">
        <v>2732</v>
      </c>
      <c r="G146" s="3">
        <f t="shared" si="5"/>
        <v>34879.94</v>
      </c>
      <c r="H146" s="4">
        <v>0</v>
      </c>
    </row>
    <row r="147" spans="1:8">
      <c r="A147" s="1" t="s">
        <v>132</v>
      </c>
      <c r="B147" s="1" t="s">
        <v>15</v>
      </c>
      <c r="C147" s="1" t="s">
        <v>177</v>
      </c>
      <c r="D147" s="3">
        <v>9743</v>
      </c>
      <c r="E147" s="3">
        <v>9409784.8599999994</v>
      </c>
      <c r="F147" s="1" t="s">
        <v>2732</v>
      </c>
      <c r="G147" s="3">
        <f t="shared" si="5"/>
        <v>9743</v>
      </c>
      <c r="H147" s="4">
        <v>0</v>
      </c>
    </row>
    <row r="148" spans="1:8">
      <c r="A148" s="1" t="s">
        <v>132</v>
      </c>
      <c r="B148" s="1" t="s">
        <v>15</v>
      </c>
      <c r="C148" s="1" t="s">
        <v>178</v>
      </c>
      <c r="D148" s="3">
        <v>33695.74</v>
      </c>
      <c r="E148" s="3">
        <v>9443480.5999999996</v>
      </c>
      <c r="F148" s="1" t="s">
        <v>2732</v>
      </c>
      <c r="G148" s="3">
        <f t="shared" si="5"/>
        <v>33695.74</v>
      </c>
      <c r="H148" s="4">
        <v>0</v>
      </c>
    </row>
    <row r="149" spans="1:8">
      <c r="A149" s="1" t="s">
        <v>132</v>
      </c>
      <c r="B149" s="1" t="s">
        <v>15</v>
      </c>
      <c r="C149" s="1" t="s">
        <v>179</v>
      </c>
      <c r="D149" s="3">
        <v>4062.21</v>
      </c>
      <c r="E149" s="3">
        <v>9447542.8100000005</v>
      </c>
      <c r="F149" s="1" t="s">
        <v>2732</v>
      </c>
      <c r="G149" s="3">
        <f t="shared" si="5"/>
        <v>4062.21</v>
      </c>
      <c r="H149" s="4">
        <v>0</v>
      </c>
    </row>
    <row r="150" spans="1:8">
      <c r="A150" s="1" t="s">
        <v>132</v>
      </c>
      <c r="B150" s="1" t="s">
        <v>15</v>
      </c>
      <c r="C150" s="1" t="s">
        <v>180</v>
      </c>
      <c r="D150" s="3">
        <v>6820.1</v>
      </c>
      <c r="E150" s="3">
        <v>9454362.9100000001</v>
      </c>
      <c r="F150" s="1" t="s">
        <v>2732</v>
      </c>
      <c r="G150" s="3">
        <f t="shared" si="5"/>
        <v>6820.1</v>
      </c>
      <c r="H150" s="4">
        <v>0</v>
      </c>
    </row>
    <row r="151" spans="1:8">
      <c r="A151" s="1" t="s">
        <v>132</v>
      </c>
      <c r="B151" s="1" t="s">
        <v>15</v>
      </c>
      <c r="C151" s="1" t="s">
        <v>181</v>
      </c>
      <c r="D151" s="3">
        <v>12568.47</v>
      </c>
      <c r="E151" s="3">
        <v>9466931.3800000008</v>
      </c>
      <c r="F151" s="1" t="s">
        <v>2732</v>
      </c>
      <c r="G151" s="3">
        <f t="shared" si="5"/>
        <v>12568.47</v>
      </c>
      <c r="H151" s="4">
        <v>0</v>
      </c>
    </row>
    <row r="152" spans="1:8">
      <c r="A152" s="1" t="s">
        <v>132</v>
      </c>
      <c r="B152" s="1" t="s">
        <v>15</v>
      </c>
      <c r="C152" s="1" t="s">
        <v>182</v>
      </c>
      <c r="D152" s="3">
        <v>20168.009999999998</v>
      </c>
      <c r="E152" s="3">
        <v>9487099.3900000006</v>
      </c>
      <c r="F152" s="1" t="s">
        <v>2732</v>
      </c>
      <c r="G152" s="3">
        <f t="shared" si="5"/>
        <v>20168.009999999998</v>
      </c>
      <c r="H152" s="4">
        <v>0</v>
      </c>
    </row>
    <row r="153" spans="1:8">
      <c r="A153" s="1" t="s">
        <v>132</v>
      </c>
      <c r="B153" s="1" t="s">
        <v>15</v>
      </c>
      <c r="C153" s="1" t="s">
        <v>183</v>
      </c>
      <c r="D153" s="3">
        <v>84374.38</v>
      </c>
      <c r="E153" s="3">
        <v>9571473.7699999996</v>
      </c>
      <c r="F153" s="1" t="s">
        <v>2732</v>
      </c>
      <c r="G153" s="3">
        <f t="shared" si="5"/>
        <v>84374.38</v>
      </c>
      <c r="H153" s="4">
        <v>0</v>
      </c>
    </row>
    <row r="154" spans="1:8">
      <c r="A154" s="1" t="s">
        <v>132</v>
      </c>
      <c r="B154" s="1" t="s">
        <v>15</v>
      </c>
      <c r="C154" s="1" t="s">
        <v>184</v>
      </c>
      <c r="D154" s="3">
        <v>8476.41</v>
      </c>
      <c r="E154" s="3">
        <v>9579950.1799999997</v>
      </c>
      <c r="F154" s="1" t="s">
        <v>2732</v>
      </c>
      <c r="G154" s="3">
        <f t="shared" si="5"/>
        <v>8476.41</v>
      </c>
      <c r="H154" s="4">
        <v>0</v>
      </c>
    </row>
    <row r="155" spans="1:8">
      <c r="A155" s="1" t="s">
        <v>132</v>
      </c>
      <c r="B155" s="1" t="s">
        <v>15</v>
      </c>
      <c r="C155" s="1" t="s">
        <v>185</v>
      </c>
      <c r="D155" s="3">
        <v>28546.99</v>
      </c>
      <c r="E155" s="3">
        <v>9608497.1699999999</v>
      </c>
      <c r="F155" s="1" t="s">
        <v>2732</v>
      </c>
      <c r="G155" s="3">
        <f t="shared" si="5"/>
        <v>28546.99</v>
      </c>
      <c r="H155" s="4">
        <v>0</v>
      </c>
    </row>
    <row r="156" spans="1:8">
      <c r="A156" s="1" t="s">
        <v>132</v>
      </c>
      <c r="B156" s="1" t="s">
        <v>15</v>
      </c>
      <c r="C156" s="1" t="s">
        <v>186</v>
      </c>
      <c r="D156" s="3">
        <v>4189.49</v>
      </c>
      <c r="E156" s="3">
        <v>9612686.6600000001</v>
      </c>
      <c r="F156" s="1" t="s">
        <v>2732</v>
      </c>
      <c r="G156" s="3">
        <f t="shared" si="5"/>
        <v>4189.49</v>
      </c>
      <c r="H156" s="4">
        <v>0</v>
      </c>
    </row>
    <row r="157" spans="1:8" s="59" customFormat="1">
      <c r="A157" s="1" t="s">
        <v>132</v>
      </c>
      <c r="B157" s="1" t="s">
        <v>15</v>
      </c>
      <c r="C157" s="1" t="s">
        <v>193</v>
      </c>
      <c r="D157" s="3">
        <v>9260.58</v>
      </c>
      <c r="E157" s="3">
        <v>6448513.2599999998</v>
      </c>
      <c r="F157" s="1" t="s">
        <v>2732</v>
      </c>
      <c r="G157" s="3">
        <f t="shared" si="5"/>
        <v>9260.58</v>
      </c>
      <c r="H157" s="4">
        <v>0</v>
      </c>
    </row>
    <row r="158" spans="1:8" s="59" customFormat="1">
      <c r="A158" s="1" t="s">
        <v>132</v>
      </c>
      <c r="B158" s="1" t="s">
        <v>15</v>
      </c>
      <c r="C158" s="1" t="s">
        <v>194</v>
      </c>
      <c r="D158" s="3">
        <v>16075.95</v>
      </c>
      <c r="E158" s="3">
        <v>6464589.21</v>
      </c>
      <c r="F158" s="1" t="s">
        <v>2732</v>
      </c>
      <c r="G158" s="3">
        <f t="shared" si="5"/>
        <v>16075.95</v>
      </c>
      <c r="H158" s="4">
        <v>0</v>
      </c>
    </row>
    <row r="159" spans="1:8" s="59" customFormat="1">
      <c r="A159" s="1" t="s">
        <v>132</v>
      </c>
      <c r="B159" s="1" t="s">
        <v>15</v>
      </c>
      <c r="C159" s="1" t="s">
        <v>195</v>
      </c>
      <c r="D159" s="3">
        <v>7368.66</v>
      </c>
      <c r="E159" s="3">
        <v>6471957.8700000001</v>
      </c>
      <c r="F159" s="1" t="s">
        <v>2732</v>
      </c>
      <c r="G159" s="3">
        <f t="shared" si="5"/>
        <v>7368.66</v>
      </c>
      <c r="H159" s="4">
        <v>0</v>
      </c>
    </row>
    <row r="160" spans="1:8" s="59" customFormat="1">
      <c r="A160" s="1" t="s">
        <v>132</v>
      </c>
      <c r="B160" s="1" t="s">
        <v>15</v>
      </c>
      <c r="C160" s="1" t="s">
        <v>196</v>
      </c>
      <c r="D160" s="3">
        <v>4062.21</v>
      </c>
      <c r="E160" s="3">
        <v>6476020.0800000001</v>
      </c>
      <c r="F160" s="1" t="s">
        <v>2732</v>
      </c>
      <c r="G160" s="3">
        <f t="shared" si="5"/>
        <v>4062.21</v>
      </c>
      <c r="H160" s="4">
        <v>0</v>
      </c>
    </row>
    <row r="161" spans="1:8" s="59" customFormat="1">
      <c r="A161" s="1" t="s">
        <v>132</v>
      </c>
      <c r="B161" s="1" t="s">
        <v>15</v>
      </c>
      <c r="C161" s="1" t="s">
        <v>197</v>
      </c>
      <c r="D161" s="3">
        <v>8378.98</v>
      </c>
      <c r="E161" s="3">
        <v>6484399.0599999996</v>
      </c>
      <c r="F161" s="1" t="s">
        <v>2732</v>
      </c>
      <c r="G161" s="3">
        <f t="shared" si="5"/>
        <v>8378.98</v>
      </c>
      <c r="H161" s="4">
        <v>0</v>
      </c>
    </row>
    <row r="162" spans="1:8">
      <c r="A162" s="1" t="s">
        <v>132</v>
      </c>
      <c r="B162" s="1" t="s">
        <v>15</v>
      </c>
      <c r="C162" s="1" t="s">
        <v>198</v>
      </c>
      <c r="D162" s="3">
        <v>10619.87</v>
      </c>
      <c r="E162" s="3">
        <v>6495018.9299999997</v>
      </c>
      <c r="F162" s="1" t="s">
        <v>2732</v>
      </c>
      <c r="G162" s="3">
        <f t="shared" si="5"/>
        <v>10619.87</v>
      </c>
      <c r="H162" s="4">
        <v>0</v>
      </c>
    </row>
    <row r="163" spans="1:8">
      <c r="A163" s="1" t="s">
        <v>132</v>
      </c>
      <c r="B163" s="1" t="s">
        <v>15</v>
      </c>
      <c r="C163" s="1" t="s">
        <v>199</v>
      </c>
      <c r="D163" s="3">
        <v>11430.87</v>
      </c>
      <c r="E163" s="3">
        <v>6506449.7999999998</v>
      </c>
      <c r="F163" s="1" t="s">
        <v>2732</v>
      </c>
      <c r="G163" s="3">
        <f t="shared" si="5"/>
        <v>11430.87</v>
      </c>
      <c r="H163" s="4">
        <v>0</v>
      </c>
    </row>
    <row r="164" spans="1:8">
      <c r="A164" s="1" t="s">
        <v>132</v>
      </c>
      <c r="B164" s="1" t="s">
        <v>15</v>
      </c>
      <c r="C164" s="1" t="s">
        <v>200</v>
      </c>
      <c r="D164" s="3">
        <v>7368.66</v>
      </c>
      <c r="E164" s="3">
        <v>6513818.46</v>
      </c>
      <c r="F164" s="1" t="s">
        <v>2732</v>
      </c>
      <c r="G164" s="3">
        <f t="shared" si="5"/>
        <v>7368.66</v>
      </c>
      <c r="H164" s="4">
        <v>0</v>
      </c>
    </row>
    <row r="165" spans="1:8">
      <c r="A165" s="1" t="s">
        <v>132</v>
      </c>
      <c r="B165" s="1" t="s">
        <v>15</v>
      </c>
      <c r="C165" s="1" t="s">
        <v>201</v>
      </c>
      <c r="D165" s="3">
        <v>4062.21</v>
      </c>
      <c r="E165" s="3">
        <v>6517880.6699999999</v>
      </c>
      <c r="F165" s="1" t="s">
        <v>2732</v>
      </c>
      <c r="G165" s="3">
        <f t="shared" si="5"/>
        <v>4062.21</v>
      </c>
      <c r="H165" s="4">
        <v>0</v>
      </c>
    </row>
    <row r="166" spans="1:8">
      <c r="A166" s="1" t="s">
        <v>132</v>
      </c>
      <c r="B166" s="1" t="s">
        <v>15</v>
      </c>
      <c r="C166" s="1" t="s">
        <v>202</v>
      </c>
      <c r="D166" s="3">
        <v>4189.49</v>
      </c>
      <c r="E166" s="3">
        <v>6522070.1600000001</v>
      </c>
      <c r="F166" s="1" t="s">
        <v>2732</v>
      </c>
      <c r="G166" s="3">
        <f t="shared" si="5"/>
        <v>4189.49</v>
      </c>
      <c r="H166" s="4">
        <v>0</v>
      </c>
    </row>
    <row r="167" spans="1:8">
      <c r="A167" s="1" t="s">
        <v>132</v>
      </c>
      <c r="B167" s="1" t="s">
        <v>15</v>
      </c>
      <c r="C167" s="1" t="s">
        <v>203</v>
      </c>
      <c r="D167" s="3">
        <v>8768.7000000000007</v>
      </c>
      <c r="E167" s="3">
        <v>6530838.8600000003</v>
      </c>
      <c r="F167" s="1" t="s">
        <v>2732</v>
      </c>
      <c r="G167" s="3">
        <f t="shared" si="5"/>
        <v>8768.7000000000007</v>
      </c>
      <c r="H167" s="4">
        <v>0</v>
      </c>
    </row>
    <row r="168" spans="1:8">
      <c r="A168" s="1" t="s">
        <v>132</v>
      </c>
      <c r="B168" s="1" t="s">
        <v>15</v>
      </c>
      <c r="C168" s="1" t="s">
        <v>204</v>
      </c>
      <c r="D168" s="3">
        <v>8502.2999999999993</v>
      </c>
      <c r="E168" s="3">
        <v>6539341.1600000001</v>
      </c>
      <c r="F168" s="1" t="s">
        <v>2732</v>
      </c>
      <c r="G168" s="3">
        <f t="shared" si="5"/>
        <v>8502.2999999999993</v>
      </c>
      <c r="H168" s="4">
        <v>0</v>
      </c>
    </row>
    <row r="169" spans="1:8">
      <c r="A169" s="1" t="s">
        <v>132</v>
      </c>
      <c r="B169" s="1" t="s">
        <v>15</v>
      </c>
      <c r="C169" s="1" t="s">
        <v>205</v>
      </c>
      <c r="D169" s="3">
        <v>3177.65</v>
      </c>
      <c r="E169" s="3">
        <v>6542518.8099999996</v>
      </c>
      <c r="F169" s="1" t="s">
        <v>2732</v>
      </c>
      <c r="G169" s="3">
        <f t="shared" si="5"/>
        <v>3177.65</v>
      </c>
      <c r="H169" s="4">
        <v>0</v>
      </c>
    </row>
    <row r="170" spans="1:8">
      <c r="A170" s="1" t="s">
        <v>132</v>
      </c>
      <c r="B170" s="1" t="s">
        <v>15</v>
      </c>
      <c r="C170" s="1" t="s">
        <v>206</v>
      </c>
      <c r="D170" s="3">
        <v>45395</v>
      </c>
      <c r="E170" s="3">
        <v>6587913.8099999996</v>
      </c>
      <c r="F170" s="1" t="s">
        <v>2732</v>
      </c>
      <c r="G170" s="3">
        <f t="shared" si="5"/>
        <v>45395</v>
      </c>
      <c r="H170" s="4">
        <v>0</v>
      </c>
    </row>
    <row r="171" spans="1:8">
      <c r="A171" s="1" t="s">
        <v>132</v>
      </c>
      <c r="B171" s="1" t="s">
        <v>15</v>
      </c>
      <c r="C171" s="1" t="s">
        <v>207</v>
      </c>
      <c r="D171" s="3">
        <v>6820.1</v>
      </c>
      <c r="E171" s="3">
        <v>6594733.9100000001</v>
      </c>
      <c r="F171" s="1" t="s">
        <v>2732</v>
      </c>
      <c r="G171" s="3">
        <f t="shared" si="5"/>
        <v>6820.1</v>
      </c>
      <c r="H171" s="4">
        <v>0</v>
      </c>
    </row>
    <row r="172" spans="1:8">
      <c r="A172" s="1" t="s">
        <v>132</v>
      </c>
      <c r="B172" s="1" t="s">
        <v>208</v>
      </c>
      <c r="C172" s="1" t="s">
        <v>209</v>
      </c>
      <c r="D172" s="2">
        <v>342.65</v>
      </c>
      <c r="E172" s="3">
        <v>6595076.5599999996</v>
      </c>
      <c r="F172" s="2" t="s">
        <v>2732</v>
      </c>
      <c r="G172" s="3">
        <f t="shared" ref="G172:G205" si="6">+D172</f>
        <v>342.65</v>
      </c>
      <c r="H172" s="4">
        <v>0</v>
      </c>
    </row>
    <row r="173" spans="1:8">
      <c r="A173" s="1" t="s">
        <v>132</v>
      </c>
      <c r="B173" s="1" t="s">
        <v>15</v>
      </c>
      <c r="C173" s="1" t="s">
        <v>210</v>
      </c>
      <c r="D173" s="3">
        <v>44123.94</v>
      </c>
      <c r="E173" s="3">
        <v>6639200.5</v>
      </c>
      <c r="F173" s="1" t="s">
        <v>2732</v>
      </c>
      <c r="G173" s="3">
        <f t="shared" si="6"/>
        <v>44123.94</v>
      </c>
      <c r="H173" s="4">
        <v>0</v>
      </c>
    </row>
    <row r="174" spans="1:8">
      <c r="A174" s="1" t="s">
        <v>132</v>
      </c>
      <c r="B174" s="1" t="s">
        <v>15</v>
      </c>
      <c r="C174" s="1" t="s">
        <v>211</v>
      </c>
      <c r="D174" s="3">
        <v>4189.49</v>
      </c>
      <c r="E174" s="3">
        <v>6643389.9900000002</v>
      </c>
      <c r="F174" s="1" t="s">
        <v>2732</v>
      </c>
      <c r="G174" s="3">
        <f t="shared" si="6"/>
        <v>4189.49</v>
      </c>
      <c r="H174" s="4">
        <v>0</v>
      </c>
    </row>
    <row r="175" spans="1:8">
      <c r="A175" s="1" t="s">
        <v>132</v>
      </c>
      <c r="B175" s="1" t="s">
        <v>15</v>
      </c>
      <c r="C175" s="1" t="s">
        <v>212</v>
      </c>
      <c r="D175" s="3">
        <v>38948.910000000003</v>
      </c>
      <c r="E175" s="3">
        <v>6682338.9000000004</v>
      </c>
      <c r="F175" s="1" t="s">
        <v>2732</v>
      </c>
      <c r="G175" s="3">
        <f t="shared" si="6"/>
        <v>38948.910000000003</v>
      </c>
      <c r="H175" s="4">
        <v>0</v>
      </c>
    </row>
    <row r="176" spans="1:8">
      <c r="A176" s="1" t="s">
        <v>132</v>
      </c>
      <c r="B176" s="1" t="s">
        <v>15</v>
      </c>
      <c r="C176" s="1" t="s">
        <v>213</v>
      </c>
      <c r="D176" s="3">
        <v>7548.06</v>
      </c>
      <c r="E176" s="3">
        <v>6689886.96</v>
      </c>
      <c r="F176" s="1" t="s">
        <v>2732</v>
      </c>
      <c r="G176" s="3">
        <f t="shared" si="6"/>
        <v>7548.06</v>
      </c>
      <c r="H176" s="4">
        <v>0</v>
      </c>
    </row>
    <row r="177" spans="1:8">
      <c r="A177" s="1" t="s">
        <v>132</v>
      </c>
      <c r="B177" s="1" t="s">
        <v>15</v>
      </c>
      <c r="C177" s="1" t="s">
        <v>214</v>
      </c>
      <c r="D177" s="3">
        <v>14076.03</v>
      </c>
      <c r="E177" s="3">
        <v>6703962.9900000002</v>
      </c>
      <c r="F177" s="1" t="s">
        <v>2732</v>
      </c>
      <c r="G177" s="3">
        <f t="shared" si="6"/>
        <v>14076.03</v>
      </c>
      <c r="H177" s="4">
        <v>0</v>
      </c>
    </row>
    <row r="178" spans="1:8">
      <c r="A178" s="1" t="s">
        <v>132</v>
      </c>
      <c r="B178" s="1" t="s">
        <v>15</v>
      </c>
      <c r="C178" s="1" t="s">
        <v>215</v>
      </c>
      <c r="D178" s="3">
        <v>40238.589999999997</v>
      </c>
      <c r="E178" s="3">
        <v>6744201.5800000001</v>
      </c>
      <c r="F178" s="1" t="s">
        <v>2732</v>
      </c>
      <c r="G178" s="3">
        <f t="shared" si="6"/>
        <v>40238.589999999997</v>
      </c>
      <c r="H178" s="4">
        <v>0</v>
      </c>
    </row>
    <row r="179" spans="1:8">
      <c r="A179" s="1" t="s">
        <v>132</v>
      </c>
      <c r="B179" s="1" t="s">
        <v>216</v>
      </c>
      <c r="C179" s="1" t="s">
        <v>217</v>
      </c>
      <c r="D179" s="3">
        <v>2021.63</v>
      </c>
      <c r="E179" s="3">
        <v>6746223.21</v>
      </c>
      <c r="F179" s="2" t="s">
        <v>2732</v>
      </c>
      <c r="G179" s="3">
        <f t="shared" si="6"/>
        <v>2021.63</v>
      </c>
      <c r="H179" s="4">
        <v>0</v>
      </c>
    </row>
    <row r="180" spans="1:8">
      <c r="A180" s="1" t="s">
        <v>132</v>
      </c>
      <c r="B180" s="1" t="s">
        <v>15</v>
      </c>
      <c r="C180" s="1" t="s">
        <v>218</v>
      </c>
      <c r="D180" s="3">
        <v>99760.320000000007</v>
      </c>
      <c r="E180" s="3">
        <v>6845983.5300000003</v>
      </c>
      <c r="F180" s="1" t="s">
        <v>2732</v>
      </c>
      <c r="G180" s="3">
        <f t="shared" si="6"/>
        <v>99760.320000000007</v>
      </c>
      <c r="H180" s="4">
        <v>0</v>
      </c>
    </row>
    <row r="181" spans="1:8">
      <c r="A181" s="1" t="s">
        <v>132</v>
      </c>
      <c r="B181" s="1" t="s">
        <v>15</v>
      </c>
      <c r="C181" s="1" t="s">
        <v>219</v>
      </c>
      <c r="D181" s="3">
        <v>30690.45</v>
      </c>
      <c r="E181" s="3">
        <v>6876673.9800000004</v>
      </c>
      <c r="F181" s="1" t="s">
        <v>2732</v>
      </c>
      <c r="G181" s="3">
        <f t="shared" si="6"/>
        <v>30690.45</v>
      </c>
      <c r="H181" s="4">
        <v>0</v>
      </c>
    </row>
    <row r="182" spans="1:8">
      <c r="A182" s="1" t="s">
        <v>132</v>
      </c>
      <c r="B182" s="1" t="s">
        <v>15</v>
      </c>
      <c r="C182" s="1" t="s">
        <v>220</v>
      </c>
      <c r="D182" s="3">
        <v>19610.64</v>
      </c>
      <c r="E182" s="3">
        <v>6896284.6200000001</v>
      </c>
      <c r="F182" s="1" t="s">
        <v>2732</v>
      </c>
      <c r="G182" s="3">
        <f t="shared" si="6"/>
        <v>19610.64</v>
      </c>
      <c r="H182" s="4">
        <v>0</v>
      </c>
    </row>
    <row r="183" spans="1:8">
      <c r="A183" s="1" t="s">
        <v>132</v>
      </c>
      <c r="B183" s="1" t="s">
        <v>15</v>
      </c>
      <c r="C183" s="1" t="s">
        <v>221</v>
      </c>
      <c r="D183" s="3">
        <v>59140.01</v>
      </c>
      <c r="E183" s="3">
        <v>6955424.6299999999</v>
      </c>
      <c r="F183" s="1" t="s">
        <v>2732</v>
      </c>
      <c r="G183" s="3">
        <f t="shared" si="6"/>
        <v>59140.01</v>
      </c>
      <c r="H183" s="4">
        <v>0</v>
      </c>
    </row>
    <row r="184" spans="1:8">
      <c r="A184" s="1" t="s">
        <v>132</v>
      </c>
      <c r="B184" s="1" t="s">
        <v>15</v>
      </c>
      <c r="C184" s="1" t="s">
        <v>222</v>
      </c>
      <c r="D184" s="3">
        <v>16343.31</v>
      </c>
      <c r="E184" s="3">
        <v>6971767.9400000004</v>
      </c>
      <c r="F184" s="1" t="s">
        <v>2732</v>
      </c>
      <c r="G184" s="3">
        <f t="shared" si="6"/>
        <v>16343.31</v>
      </c>
      <c r="H184" s="4">
        <v>0</v>
      </c>
    </row>
    <row r="185" spans="1:8">
      <c r="A185" s="1" t="s">
        <v>132</v>
      </c>
      <c r="B185" s="1" t="s">
        <v>15</v>
      </c>
      <c r="C185" s="1" t="s">
        <v>223</v>
      </c>
      <c r="D185" s="3">
        <v>8785.7099999999991</v>
      </c>
      <c r="E185" s="3">
        <v>6980553.6500000004</v>
      </c>
      <c r="F185" s="1" t="s">
        <v>2732</v>
      </c>
      <c r="G185" s="3">
        <f t="shared" si="6"/>
        <v>8785.7099999999991</v>
      </c>
      <c r="H185" s="4">
        <v>0</v>
      </c>
    </row>
    <row r="186" spans="1:8">
      <c r="A186" s="1" t="s">
        <v>132</v>
      </c>
      <c r="B186" s="1" t="s">
        <v>15</v>
      </c>
      <c r="C186" s="1" t="s">
        <v>224</v>
      </c>
      <c r="D186" s="3">
        <v>35854.239999999998</v>
      </c>
      <c r="E186" s="3">
        <v>7016407.8899999997</v>
      </c>
      <c r="F186" s="1" t="s">
        <v>2732</v>
      </c>
      <c r="G186" s="3">
        <f t="shared" si="6"/>
        <v>35854.239999999998</v>
      </c>
      <c r="H186" s="4">
        <v>0</v>
      </c>
    </row>
    <row r="187" spans="1:8">
      <c r="A187" s="1" t="s">
        <v>132</v>
      </c>
      <c r="B187" s="1" t="s">
        <v>15</v>
      </c>
      <c r="C187" s="1" t="s">
        <v>225</v>
      </c>
      <c r="D187" s="3">
        <v>11399.31</v>
      </c>
      <c r="E187" s="3">
        <v>7027807.2000000002</v>
      </c>
      <c r="F187" s="1" t="s">
        <v>2732</v>
      </c>
      <c r="G187" s="3">
        <f t="shared" si="6"/>
        <v>11399.31</v>
      </c>
      <c r="H187" s="4">
        <v>0</v>
      </c>
    </row>
    <row r="188" spans="1:8">
      <c r="A188" s="1" t="s">
        <v>132</v>
      </c>
      <c r="B188" s="1" t="s">
        <v>15</v>
      </c>
      <c r="C188" s="1" t="s">
        <v>226</v>
      </c>
      <c r="D188" s="3">
        <v>3684.33</v>
      </c>
      <c r="E188" s="3">
        <v>7031491.5300000003</v>
      </c>
      <c r="F188" s="1" t="s">
        <v>2732</v>
      </c>
      <c r="G188" s="3">
        <f t="shared" si="6"/>
        <v>3684.33</v>
      </c>
      <c r="H188" s="4">
        <v>0</v>
      </c>
    </row>
    <row r="189" spans="1:8">
      <c r="A189" s="1" t="s">
        <v>132</v>
      </c>
      <c r="B189" s="1" t="s">
        <v>15</v>
      </c>
      <c r="C189" s="1" t="s">
        <v>227</v>
      </c>
      <c r="D189" s="3">
        <v>6820.1</v>
      </c>
      <c r="E189" s="3">
        <v>7038311.6299999999</v>
      </c>
      <c r="F189" s="1" t="s">
        <v>2732</v>
      </c>
      <c r="G189" s="3">
        <f t="shared" si="6"/>
        <v>6820.1</v>
      </c>
      <c r="H189" s="4">
        <v>0</v>
      </c>
    </row>
    <row r="190" spans="1:8">
      <c r="A190" s="1" t="s">
        <v>132</v>
      </c>
      <c r="B190" s="1" t="s">
        <v>15</v>
      </c>
      <c r="C190" s="1" t="s">
        <v>228</v>
      </c>
      <c r="D190" s="3">
        <v>14642.85</v>
      </c>
      <c r="E190" s="3">
        <v>7052954.4800000004</v>
      </c>
      <c r="F190" s="1" t="s">
        <v>2732</v>
      </c>
      <c r="G190" s="3">
        <f t="shared" si="6"/>
        <v>14642.85</v>
      </c>
      <c r="H190" s="4">
        <v>0</v>
      </c>
    </row>
    <row r="191" spans="1:8">
      <c r="A191" s="1" t="s">
        <v>132</v>
      </c>
      <c r="B191" s="1" t="s">
        <v>15</v>
      </c>
      <c r="C191" s="1" t="s">
        <v>229</v>
      </c>
      <c r="D191" s="3">
        <v>32875.56</v>
      </c>
      <c r="E191" s="3">
        <v>7085830.04</v>
      </c>
      <c r="F191" s="1" t="s">
        <v>2732</v>
      </c>
      <c r="G191" s="3">
        <f t="shared" si="6"/>
        <v>32875.56</v>
      </c>
      <c r="H191" s="4">
        <v>0</v>
      </c>
    </row>
    <row r="192" spans="1:8">
      <c r="A192" s="1" t="s">
        <v>132</v>
      </c>
      <c r="B192" s="1" t="s">
        <v>15</v>
      </c>
      <c r="C192" s="1" t="s">
        <v>230</v>
      </c>
      <c r="D192" s="3">
        <v>4189.49</v>
      </c>
      <c r="E192" s="3">
        <v>7090019.5300000003</v>
      </c>
      <c r="F192" s="1" t="s">
        <v>2732</v>
      </c>
      <c r="G192" s="3">
        <f t="shared" si="6"/>
        <v>4189.49</v>
      </c>
      <c r="H192" s="4">
        <v>0</v>
      </c>
    </row>
    <row r="193" spans="1:8">
      <c r="A193" s="1" t="s">
        <v>132</v>
      </c>
      <c r="B193" s="1" t="s">
        <v>15</v>
      </c>
      <c r="C193" s="1" t="s">
        <v>231</v>
      </c>
      <c r="D193" s="3">
        <v>39299.519999999997</v>
      </c>
      <c r="E193" s="3">
        <v>7129319.0499999998</v>
      </c>
      <c r="F193" s="1" t="s">
        <v>2732</v>
      </c>
      <c r="G193" s="3">
        <f t="shared" si="6"/>
        <v>39299.519999999997</v>
      </c>
      <c r="H193" s="4">
        <v>0</v>
      </c>
    </row>
    <row r="194" spans="1:8">
      <c r="A194" s="1" t="s">
        <v>132</v>
      </c>
      <c r="B194" s="1" t="s">
        <v>15</v>
      </c>
      <c r="C194" s="1" t="s">
        <v>232</v>
      </c>
      <c r="D194" s="3">
        <v>27182.97</v>
      </c>
      <c r="E194" s="3">
        <v>7156502.0199999996</v>
      </c>
      <c r="F194" s="1" t="s">
        <v>2732</v>
      </c>
      <c r="G194" s="3">
        <f t="shared" si="6"/>
        <v>27182.97</v>
      </c>
      <c r="H194" s="4">
        <v>0</v>
      </c>
    </row>
    <row r="195" spans="1:8">
      <c r="A195" s="1" t="s">
        <v>132</v>
      </c>
      <c r="B195" s="1" t="s">
        <v>233</v>
      </c>
      <c r="C195" s="1" t="s">
        <v>234</v>
      </c>
      <c r="D195" s="3">
        <v>1365.7</v>
      </c>
      <c r="E195" s="3">
        <v>7157867.7199999997</v>
      </c>
      <c r="F195" s="2" t="s">
        <v>2732</v>
      </c>
      <c r="G195" s="3">
        <f t="shared" si="6"/>
        <v>1365.7</v>
      </c>
      <c r="H195" s="4">
        <v>0</v>
      </c>
    </row>
    <row r="196" spans="1:8">
      <c r="A196" s="1" t="s">
        <v>132</v>
      </c>
      <c r="B196" s="1" t="s">
        <v>15</v>
      </c>
      <c r="C196" s="1" t="s">
        <v>235</v>
      </c>
      <c r="D196" s="3">
        <v>23060.66</v>
      </c>
      <c r="E196" s="3">
        <v>7180928.3799999999</v>
      </c>
      <c r="F196" s="1" t="s">
        <v>2732</v>
      </c>
      <c r="G196" s="3">
        <f t="shared" si="6"/>
        <v>23060.66</v>
      </c>
      <c r="H196" s="4">
        <v>0</v>
      </c>
    </row>
    <row r="197" spans="1:8">
      <c r="A197" s="1" t="s">
        <v>132</v>
      </c>
      <c r="B197" s="1" t="s">
        <v>15</v>
      </c>
      <c r="C197" s="1" t="s">
        <v>236</v>
      </c>
      <c r="D197" s="3">
        <v>35520.720000000001</v>
      </c>
      <c r="E197" s="3">
        <v>7216449.0999999996</v>
      </c>
      <c r="F197" s="1" t="s">
        <v>2732</v>
      </c>
      <c r="G197" s="3">
        <f t="shared" si="6"/>
        <v>35520.720000000001</v>
      </c>
      <c r="H197" s="4">
        <v>0</v>
      </c>
    </row>
    <row r="198" spans="1:8">
      <c r="A198" s="1" t="s">
        <v>132</v>
      </c>
      <c r="B198" s="1" t="s">
        <v>15</v>
      </c>
      <c r="C198" s="1" t="s">
        <v>237</v>
      </c>
      <c r="D198" s="3">
        <v>47838.13</v>
      </c>
      <c r="E198" s="3">
        <v>7264287.2300000004</v>
      </c>
      <c r="F198" s="1" t="s">
        <v>2732</v>
      </c>
      <c r="G198" s="3">
        <f t="shared" si="6"/>
        <v>47838.13</v>
      </c>
      <c r="H198" s="4">
        <v>0</v>
      </c>
    </row>
    <row r="199" spans="1:8">
      <c r="A199" s="1" t="s">
        <v>132</v>
      </c>
      <c r="B199" s="1" t="s">
        <v>15</v>
      </c>
      <c r="C199" s="1" t="s">
        <v>238</v>
      </c>
      <c r="D199" s="3">
        <v>16910.13</v>
      </c>
      <c r="E199" s="3">
        <v>7281197.3600000003</v>
      </c>
      <c r="F199" s="1" t="s">
        <v>2732</v>
      </c>
      <c r="G199" s="3">
        <f t="shared" si="6"/>
        <v>16910.13</v>
      </c>
      <c r="H199" s="4">
        <v>0</v>
      </c>
    </row>
    <row r="200" spans="1:8">
      <c r="A200" s="1" t="s">
        <v>132</v>
      </c>
      <c r="B200" s="1" t="s">
        <v>15</v>
      </c>
      <c r="C200" s="1" t="s">
        <v>239</v>
      </c>
      <c r="D200" s="3">
        <v>29191.23</v>
      </c>
      <c r="E200" s="3">
        <v>7310388.5899999999</v>
      </c>
      <c r="F200" s="1" t="s">
        <v>2732</v>
      </c>
      <c r="G200" s="3">
        <f t="shared" si="6"/>
        <v>29191.23</v>
      </c>
      <c r="H200" s="4">
        <v>0</v>
      </c>
    </row>
    <row r="201" spans="1:8">
      <c r="A201" s="1" t="s">
        <v>132</v>
      </c>
      <c r="B201" s="1" t="s">
        <v>15</v>
      </c>
      <c r="C201" s="1" t="s">
        <v>240</v>
      </c>
      <c r="D201" s="3">
        <v>34634.339999999997</v>
      </c>
      <c r="E201" s="3">
        <v>7345022.9299999997</v>
      </c>
      <c r="F201" s="1" t="s">
        <v>2732</v>
      </c>
      <c r="G201" s="3">
        <f t="shared" si="6"/>
        <v>34634.339999999997</v>
      </c>
      <c r="H201" s="4">
        <v>0</v>
      </c>
    </row>
    <row r="202" spans="1:8">
      <c r="A202" s="1" t="s">
        <v>132</v>
      </c>
      <c r="B202" s="1" t="s">
        <v>15</v>
      </c>
      <c r="C202" s="1" t="s">
        <v>241</v>
      </c>
      <c r="D202" s="3">
        <v>35854.239999999998</v>
      </c>
      <c r="E202" s="3">
        <v>7380877.1699999999</v>
      </c>
      <c r="F202" s="1" t="s">
        <v>2732</v>
      </c>
      <c r="G202" s="3">
        <f t="shared" si="6"/>
        <v>35854.239999999998</v>
      </c>
      <c r="H202" s="4">
        <v>0</v>
      </c>
    </row>
    <row r="203" spans="1:8">
      <c r="A203" s="1" t="s">
        <v>132</v>
      </c>
      <c r="B203" s="1" t="s">
        <v>242</v>
      </c>
      <c r="C203" s="1" t="s">
        <v>243</v>
      </c>
      <c r="D203" s="3">
        <v>3602.72</v>
      </c>
      <c r="E203" s="3">
        <v>7384479.8899999997</v>
      </c>
      <c r="F203" s="2" t="s">
        <v>2732</v>
      </c>
      <c r="G203" s="3">
        <f t="shared" si="6"/>
        <v>3602.72</v>
      </c>
      <c r="H203" s="4">
        <v>0</v>
      </c>
    </row>
    <row r="204" spans="1:8">
      <c r="A204" s="1" t="s">
        <v>132</v>
      </c>
      <c r="B204" s="1" t="s">
        <v>15</v>
      </c>
      <c r="C204" s="1" t="s">
        <v>244</v>
      </c>
      <c r="D204" s="3">
        <v>25721.52</v>
      </c>
      <c r="E204" s="3">
        <v>7410201.4100000001</v>
      </c>
      <c r="F204" s="1" t="s">
        <v>2732</v>
      </c>
      <c r="G204" s="3">
        <f t="shared" si="6"/>
        <v>25721.52</v>
      </c>
      <c r="H204" s="4">
        <v>0</v>
      </c>
    </row>
    <row r="205" spans="1:8">
      <c r="A205" s="59" t="s">
        <v>132</v>
      </c>
      <c r="B205" s="59" t="s">
        <v>28</v>
      </c>
      <c r="C205" s="59" t="s">
        <v>188</v>
      </c>
      <c r="D205" s="64">
        <v>-2599.61</v>
      </c>
      <c r="E205" s="64">
        <v>9176818.8800000008</v>
      </c>
      <c r="F205" s="59"/>
      <c r="G205" s="64">
        <f t="shared" si="6"/>
        <v>-2599.61</v>
      </c>
      <c r="H205" s="65"/>
    </row>
    <row r="206" spans="1:8">
      <c r="A206" s="1" t="s">
        <v>132</v>
      </c>
      <c r="B206" s="1" t="s">
        <v>189</v>
      </c>
      <c r="C206" s="1" t="s">
        <v>190</v>
      </c>
      <c r="D206" s="3">
        <v>-2213333.84</v>
      </c>
      <c r="E206" s="3">
        <v>6963485.04</v>
      </c>
      <c r="G206" s="4">
        <f>+D206/1.006</f>
        <v>-2200133.041749503</v>
      </c>
      <c r="H206" s="4">
        <f>+D206-G206</f>
        <v>-13200.798250496853</v>
      </c>
    </row>
    <row r="207" spans="1:8">
      <c r="A207" s="1" t="s">
        <v>132</v>
      </c>
      <c r="B207" s="1" t="s">
        <v>187</v>
      </c>
      <c r="C207" s="1" t="s">
        <v>188</v>
      </c>
      <c r="D207" s="3">
        <v>-433268.17</v>
      </c>
      <c r="E207" s="3">
        <v>9179418.4900000002</v>
      </c>
      <c r="G207" s="4">
        <f>+D207/1.006</f>
        <v>-430684.06560636184</v>
      </c>
      <c r="H207" s="4">
        <f>+D207-G207</f>
        <v>-2584.1043936381466</v>
      </c>
    </row>
    <row r="208" spans="1:8">
      <c r="A208" s="1" t="s">
        <v>132</v>
      </c>
      <c r="B208" s="1" t="s">
        <v>38</v>
      </c>
      <c r="C208" s="1" t="s">
        <v>192</v>
      </c>
      <c r="D208" s="3">
        <v>-138386.69</v>
      </c>
      <c r="E208" s="3">
        <v>6439252.6799999997</v>
      </c>
      <c r="G208" s="4">
        <f>+D208/1.006</f>
        <v>-137561.32206759445</v>
      </c>
      <c r="H208" s="4">
        <f>+D208-G208</f>
        <v>-825.36793240555562</v>
      </c>
    </row>
    <row r="209" spans="1:8">
      <c r="A209" s="1" t="s">
        <v>132</v>
      </c>
      <c r="B209" s="1" t="s">
        <v>38</v>
      </c>
      <c r="C209" s="1" t="s">
        <v>191</v>
      </c>
      <c r="D209" s="3">
        <v>-385845.67</v>
      </c>
      <c r="E209" s="3">
        <v>6577639.3700000001</v>
      </c>
      <c r="G209" s="4">
        <f>+D209/1.006</f>
        <v>-383544.40357852879</v>
      </c>
      <c r="H209" s="4">
        <f>+D209-G209</f>
        <v>-2301.2664214711986</v>
      </c>
    </row>
    <row r="210" spans="1:8">
      <c r="A210" s="1" t="s">
        <v>245</v>
      </c>
      <c r="B210" s="1" t="s">
        <v>15</v>
      </c>
      <c r="C210" s="1" t="s">
        <v>246</v>
      </c>
      <c r="D210" s="3">
        <v>8378.98</v>
      </c>
      <c r="E210" s="3">
        <v>7418580.3899999997</v>
      </c>
      <c r="F210" s="1" t="s">
        <v>2732</v>
      </c>
      <c r="G210" s="3">
        <f t="shared" ref="G210:G273" si="7">+D210</f>
        <v>8378.98</v>
      </c>
      <c r="H210" s="4">
        <v>0</v>
      </c>
    </row>
    <row r="211" spans="1:8">
      <c r="A211" s="1" t="s">
        <v>245</v>
      </c>
      <c r="B211" s="1" t="s">
        <v>15</v>
      </c>
      <c r="C211" s="1" t="s">
        <v>247</v>
      </c>
      <c r="D211" s="3">
        <v>12276.18</v>
      </c>
      <c r="E211" s="3">
        <v>7430856.5700000003</v>
      </c>
      <c r="F211" s="1" t="s">
        <v>2732</v>
      </c>
      <c r="G211" s="3">
        <f t="shared" si="7"/>
        <v>12276.18</v>
      </c>
      <c r="H211" s="4">
        <v>0</v>
      </c>
    </row>
    <row r="212" spans="1:8">
      <c r="A212" s="1" t="s">
        <v>245</v>
      </c>
      <c r="B212" s="1" t="s">
        <v>15</v>
      </c>
      <c r="C212" s="1" t="s">
        <v>248</v>
      </c>
      <c r="D212" s="3">
        <v>33158.97</v>
      </c>
      <c r="E212" s="3">
        <v>7464015.54</v>
      </c>
      <c r="F212" s="1" t="s">
        <v>2732</v>
      </c>
      <c r="G212" s="3">
        <f t="shared" si="7"/>
        <v>33158.97</v>
      </c>
      <c r="H212" s="4">
        <v>0</v>
      </c>
    </row>
    <row r="213" spans="1:8">
      <c r="A213" s="1" t="s">
        <v>245</v>
      </c>
      <c r="B213" s="1" t="s">
        <v>15</v>
      </c>
      <c r="C213" s="1" t="s">
        <v>249</v>
      </c>
      <c r="D213" s="3">
        <v>31957.040000000001</v>
      </c>
      <c r="E213" s="3">
        <v>7495972.5800000001</v>
      </c>
      <c r="F213" s="1" t="s">
        <v>2732</v>
      </c>
      <c r="G213" s="3">
        <f t="shared" si="7"/>
        <v>31957.040000000001</v>
      </c>
      <c r="H213" s="4">
        <v>0</v>
      </c>
    </row>
    <row r="214" spans="1:8">
      <c r="A214" s="1" t="s">
        <v>245</v>
      </c>
      <c r="B214" s="1" t="s">
        <v>250</v>
      </c>
      <c r="C214" s="1" t="s">
        <v>251</v>
      </c>
      <c r="D214" s="3">
        <v>1605.56</v>
      </c>
      <c r="E214" s="3">
        <v>7497578.1399999997</v>
      </c>
      <c r="F214" s="2" t="s">
        <v>2732</v>
      </c>
      <c r="G214" s="3">
        <f t="shared" si="7"/>
        <v>1605.56</v>
      </c>
      <c r="H214" s="4">
        <v>0</v>
      </c>
    </row>
    <row r="215" spans="1:8">
      <c r="A215" s="1" t="s">
        <v>245</v>
      </c>
      <c r="B215" s="1" t="s">
        <v>15</v>
      </c>
      <c r="C215" s="1" t="s">
        <v>252</v>
      </c>
      <c r="D215" s="3">
        <v>4161.1099999999997</v>
      </c>
      <c r="E215" s="3">
        <v>7501739.25</v>
      </c>
      <c r="F215" s="1" t="s">
        <v>2732</v>
      </c>
      <c r="G215" s="3">
        <f t="shared" si="7"/>
        <v>4161.1099999999997</v>
      </c>
      <c r="H215" s="4">
        <v>0</v>
      </c>
    </row>
    <row r="216" spans="1:8">
      <c r="A216" s="1" t="s">
        <v>245</v>
      </c>
      <c r="B216" s="1" t="s">
        <v>15</v>
      </c>
      <c r="C216" s="1" t="s">
        <v>253</v>
      </c>
      <c r="D216" s="3">
        <v>33675.96</v>
      </c>
      <c r="E216" s="3">
        <v>7535415.21</v>
      </c>
      <c r="F216" s="1" t="s">
        <v>2732</v>
      </c>
      <c r="G216" s="3">
        <f t="shared" si="7"/>
        <v>33675.96</v>
      </c>
      <c r="H216" s="4">
        <v>0</v>
      </c>
    </row>
    <row r="217" spans="1:8">
      <c r="A217" s="1" t="s">
        <v>245</v>
      </c>
      <c r="B217" s="1" t="s">
        <v>15</v>
      </c>
      <c r="C217" s="1" t="s">
        <v>254</v>
      </c>
      <c r="D217" s="3">
        <v>9060.99</v>
      </c>
      <c r="E217" s="3">
        <v>7544476.2000000002</v>
      </c>
      <c r="F217" s="1" t="s">
        <v>2732</v>
      </c>
      <c r="G217" s="3">
        <f t="shared" si="7"/>
        <v>9060.99</v>
      </c>
      <c r="H217" s="4">
        <v>0</v>
      </c>
    </row>
    <row r="218" spans="1:8">
      <c r="A218" s="1" t="s">
        <v>245</v>
      </c>
      <c r="B218" s="1" t="s">
        <v>15</v>
      </c>
      <c r="C218" s="1" t="s">
        <v>255</v>
      </c>
      <c r="D218" s="3">
        <v>46179.12</v>
      </c>
      <c r="E218" s="3">
        <v>7590655.3200000003</v>
      </c>
      <c r="F218" s="1" t="s">
        <v>2732</v>
      </c>
      <c r="G218" s="3">
        <f t="shared" si="7"/>
        <v>46179.12</v>
      </c>
      <c r="H218" s="4">
        <v>0</v>
      </c>
    </row>
    <row r="219" spans="1:8">
      <c r="A219" s="1" t="s">
        <v>245</v>
      </c>
      <c r="B219" s="1" t="s">
        <v>15</v>
      </c>
      <c r="C219" s="1" t="s">
        <v>256</v>
      </c>
      <c r="D219" s="3">
        <v>44684.31</v>
      </c>
      <c r="E219" s="3">
        <v>7635339.6299999999</v>
      </c>
      <c r="F219" s="1" t="s">
        <v>2732</v>
      </c>
      <c r="G219" s="3">
        <f t="shared" si="7"/>
        <v>44684.31</v>
      </c>
      <c r="H219" s="4">
        <v>0</v>
      </c>
    </row>
    <row r="220" spans="1:8">
      <c r="A220" s="1" t="s">
        <v>245</v>
      </c>
      <c r="B220" s="1" t="s">
        <v>15</v>
      </c>
      <c r="C220" s="1" t="s">
        <v>257</v>
      </c>
      <c r="D220" s="3">
        <v>24649.79</v>
      </c>
      <c r="E220" s="3">
        <v>7659989.4199999999</v>
      </c>
      <c r="F220" s="1" t="s">
        <v>2732</v>
      </c>
      <c r="G220" s="3">
        <f t="shared" si="7"/>
        <v>24649.79</v>
      </c>
      <c r="H220" s="4">
        <v>0</v>
      </c>
    </row>
    <row r="221" spans="1:8">
      <c r="A221" s="1" t="s">
        <v>245</v>
      </c>
      <c r="B221" s="1" t="s">
        <v>15</v>
      </c>
      <c r="C221" s="1" t="s">
        <v>258</v>
      </c>
      <c r="D221" s="3">
        <v>12178.75</v>
      </c>
      <c r="E221" s="3">
        <v>7672168.1699999999</v>
      </c>
      <c r="F221" s="1" t="s">
        <v>2732</v>
      </c>
      <c r="G221" s="3">
        <f t="shared" si="7"/>
        <v>12178.75</v>
      </c>
      <c r="H221" s="4">
        <v>0</v>
      </c>
    </row>
    <row r="222" spans="1:8">
      <c r="A222" s="1" t="s">
        <v>245</v>
      </c>
      <c r="B222" s="1" t="s">
        <v>15</v>
      </c>
      <c r="C222" s="1" t="s">
        <v>259</v>
      </c>
      <c r="D222" s="3">
        <v>66447.259999999995</v>
      </c>
      <c r="E222" s="3">
        <v>7738615.4299999997</v>
      </c>
      <c r="F222" s="1" t="s">
        <v>2732</v>
      </c>
      <c r="G222" s="3">
        <f t="shared" si="7"/>
        <v>66447.259999999995</v>
      </c>
      <c r="H222" s="4">
        <v>0</v>
      </c>
    </row>
    <row r="223" spans="1:8">
      <c r="A223" s="1" t="s">
        <v>245</v>
      </c>
      <c r="B223" s="1" t="s">
        <v>15</v>
      </c>
      <c r="C223" s="1" t="s">
        <v>260</v>
      </c>
      <c r="D223" s="3">
        <v>5163.79</v>
      </c>
      <c r="E223" s="3">
        <v>7743779.2199999997</v>
      </c>
      <c r="F223" s="1" t="s">
        <v>2732</v>
      </c>
      <c r="G223" s="3">
        <f t="shared" si="7"/>
        <v>5163.79</v>
      </c>
      <c r="H223" s="4">
        <v>0</v>
      </c>
    </row>
    <row r="224" spans="1:8">
      <c r="A224" s="1" t="s">
        <v>245</v>
      </c>
      <c r="B224" s="1" t="s">
        <v>15</v>
      </c>
      <c r="C224" s="1" t="s">
        <v>261</v>
      </c>
      <c r="D224" s="3">
        <v>7368.66</v>
      </c>
      <c r="E224" s="3">
        <v>7751147.8799999999</v>
      </c>
      <c r="F224" s="1" t="s">
        <v>2732</v>
      </c>
      <c r="G224" s="3">
        <f t="shared" si="7"/>
        <v>7368.66</v>
      </c>
      <c r="H224" s="4">
        <v>0</v>
      </c>
    </row>
    <row r="225" spans="1:8">
      <c r="A225" s="1" t="s">
        <v>245</v>
      </c>
      <c r="B225" s="1" t="s">
        <v>15</v>
      </c>
      <c r="C225" s="1" t="s">
        <v>262</v>
      </c>
      <c r="D225" s="3">
        <v>37126.71</v>
      </c>
      <c r="E225" s="3">
        <v>7788274.5899999999</v>
      </c>
      <c r="F225" s="1" t="s">
        <v>2732</v>
      </c>
      <c r="G225" s="3">
        <f t="shared" si="7"/>
        <v>37126.71</v>
      </c>
      <c r="H225" s="4">
        <v>0</v>
      </c>
    </row>
    <row r="226" spans="1:8">
      <c r="A226" s="1" t="s">
        <v>245</v>
      </c>
      <c r="B226" s="1" t="s">
        <v>15</v>
      </c>
      <c r="C226" s="1" t="s">
        <v>263</v>
      </c>
      <c r="D226" s="3">
        <v>1838.63</v>
      </c>
      <c r="E226" s="3">
        <v>7790113.2199999997</v>
      </c>
      <c r="F226" s="1" t="s">
        <v>2732</v>
      </c>
      <c r="G226" s="3">
        <f t="shared" si="7"/>
        <v>1838.63</v>
      </c>
      <c r="H226" s="4">
        <v>0</v>
      </c>
    </row>
    <row r="227" spans="1:8">
      <c r="A227" s="1" t="s">
        <v>245</v>
      </c>
      <c r="B227" s="1" t="s">
        <v>15</v>
      </c>
      <c r="C227" s="1" t="s">
        <v>264</v>
      </c>
      <c r="D227" s="3">
        <v>4161.1099999999997</v>
      </c>
      <c r="E227" s="3">
        <v>7794274.3300000001</v>
      </c>
      <c r="F227" s="1" t="s">
        <v>2732</v>
      </c>
      <c r="G227" s="3">
        <f t="shared" si="7"/>
        <v>4161.1099999999997</v>
      </c>
      <c r="H227" s="4">
        <v>0</v>
      </c>
    </row>
    <row r="228" spans="1:8">
      <c r="A228" s="1" t="s">
        <v>245</v>
      </c>
      <c r="B228" s="1" t="s">
        <v>15</v>
      </c>
      <c r="C228" s="1" t="s">
        <v>265</v>
      </c>
      <c r="D228" s="3">
        <v>10327.58</v>
      </c>
      <c r="E228" s="3">
        <v>7804601.9100000001</v>
      </c>
      <c r="F228" s="1" t="s">
        <v>2732</v>
      </c>
      <c r="G228" s="3">
        <f t="shared" si="7"/>
        <v>10327.58</v>
      </c>
      <c r="H228" s="4">
        <v>0</v>
      </c>
    </row>
    <row r="229" spans="1:8">
      <c r="A229" s="1" t="s">
        <v>245</v>
      </c>
      <c r="B229" s="1" t="s">
        <v>15</v>
      </c>
      <c r="C229" s="1" t="s">
        <v>266</v>
      </c>
      <c r="D229" s="3">
        <v>37705.410000000003</v>
      </c>
      <c r="E229" s="3">
        <v>7842307.3200000003</v>
      </c>
      <c r="F229" s="1" t="s">
        <v>2732</v>
      </c>
      <c r="G229" s="3">
        <f t="shared" si="7"/>
        <v>37705.410000000003</v>
      </c>
      <c r="H229" s="4">
        <v>0</v>
      </c>
    </row>
    <row r="230" spans="1:8">
      <c r="A230" s="1" t="s">
        <v>245</v>
      </c>
      <c r="B230" s="1" t="s">
        <v>15</v>
      </c>
      <c r="C230" s="1" t="s">
        <v>267</v>
      </c>
      <c r="D230" s="3">
        <v>3799.77</v>
      </c>
      <c r="E230" s="3">
        <v>7846107.0899999999</v>
      </c>
      <c r="F230" s="1" t="s">
        <v>2732</v>
      </c>
      <c r="G230" s="3">
        <f t="shared" si="7"/>
        <v>3799.77</v>
      </c>
      <c r="H230" s="4">
        <v>0</v>
      </c>
    </row>
    <row r="231" spans="1:8">
      <c r="A231" s="1" t="s">
        <v>245</v>
      </c>
      <c r="B231" s="1" t="s">
        <v>15</v>
      </c>
      <c r="C231" s="1" t="s">
        <v>268</v>
      </c>
      <c r="D231" s="3">
        <v>3410.05</v>
      </c>
      <c r="E231" s="3">
        <v>7849517.1399999997</v>
      </c>
      <c r="F231" s="1" t="s">
        <v>2732</v>
      </c>
      <c r="G231" s="3">
        <f t="shared" si="7"/>
        <v>3410.05</v>
      </c>
      <c r="H231" s="4">
        <v>0</v>
      </c>
    </row>
    <row r="232" spans="1:8">
      <c r="A232" s="1" t="s">
        <v>245</v>
      </c>
      <c r="B232" s="1" t="s">
        <v>15</v>
      </c>
      <c r="C232" s="1" t="s">
        <v>269</v>
      </c>
      <c r="D232" s="3">
        <v>46376.68</v>
      </c>
      <c r="E232" s="3">
        <v>7895893.8200000003</v>
      </c>
      <c r="F232" s="1" t="s">
        <v>2732</v>
      </c>
      <c r="G232" s="3">
        <f t="shared" si="7"/>
        <v>46376.68</v>
      </c>
      <c r="H232" s="4">
        <v>0</v>
      </c>
    </row>
    <row r="233" spans="1:8">
      <c r="A233" s="1" t="s">
        <v>245</v>
      </c>
      <c r="B233" s="1" t="s">
        <v>270</v>
      </c>
      <c r="C233" s="1" t="s">
        <v>271</v>
      </c>
      <c r="D233" s="3">
        <v>2330.02</v>
      </c>
      <c r="E233" s="3">
        <v>7898223.8399999999</v>
      </c>
      <c r="F233" s="2" t="s">
        <v>2732</v>
      </c>
      <c r="G233" s="3">
        <f t="shared" si="7"/>
        <v>2330.02</v>
      </c>
      <c r="H233" s="4">
        <v>0</v>
      </c>
    </row>
    <row r="234" spans="1:8">
      <c r="A234" s="1" t="s">
        <v>245</v>
      </c>
      <c r="B234" s="1" t="s">
        <v>15</v>
      </c>
      <c r="C234" s="1" t="s">
        <v>272</v>
      </c>
      <c r="D234" s="3">
        <v>4384.3500000000004</v>
      </c>
      <c r="E234" s="3">
        <v>7902608.1900000004</v>
      </c>
      <c r="F234" s="1" t="s">
        <v>2732</v>
      </c>
      <c r="G234" s="3">
        <f t="shared" si="7"/>
        <v>4384.3500000000004</v>
      </c>
      <c r="H234" s="4">
        <v>0</v>
      </c>
    </row>
    <row r="235" spans="1:8">
      <c r="A235" s="1" t="s">
        <v>245</v>
      </c>
      <c r="B235" s="1" t="s">
        <v>15</v>
      </c>
      <c r="C235" s="1" t="s">
        <v>273</v>
      </c>
      <c r="D235" s="3">
        <v>8573.84</v>
      </c>
      <c r="E235" s="3">
        <v>7911182.0300000003</v>
      </c>
      <c r="F235" s="1" t="s">
        <v>2732</v>
      </c>
      <c r="G235" s="3">
        <f t="shared" si="7"/>
        <v>8573.84</v>
      </c>
      <c r="H235" s="4">
        <v>0</v>
      </c>
    </row>
    <row r="236" spans="1:8">
      <c r="A236" s="1" t="s">
        <v>245</v>
      </c>
      <c r="B236" s="1" t="s">
        <v>15</v>
      </c>
      <c r="C236" s="1" t="s">
        <v>274</v>
      </c>
      <c r="D236" s="3">
        <v>5163.79</v>
      </c>
      <c r="E236" s="3">
        <v>7916345.8200000003</v>
      </c>
      <c r="F236" s="1" t="s">
        <v>2732</v>
      </c>
      <c r="G236" s="3">
        <f t="shared" si="7"/>
        <v>5163.79</v>
      </c>
      <c r="H236" s="4">
        <v>0</v>
      </c>
    </row>
    <row r="237" spans="1:8">
      <c r="A237" s="1" t="s">
        <v>245</v>
      </c>
      <c r="B237" s="1" t="s">
        <v>15</v>
      </c>
      <c r="C237" s="1" t="s">
        <v>275</v>
      </c>
      <c r="D237" s="3">
        <v>99287.97</v>
      </c>
      <c r="E237" s="3">
        <v>8015633.79</v>
      </c>
      <c r="F237" s="1" t="s">
        <v>2732</v>
      </c>
      <c r="G237" s="3">
        <f t="shared" si="7"/>
        <v>99287.97</v>
      </c>
      <c r="H237" s="4">
        <v>0</v>
      </c>
    </row>
    <row r="238" spans="1:8">
      <c r="A238" s="1" t="s">
        <v>245</v>
      </c>
      <c r="B238" s="1" t="s">
        <v>15</v>
      </c>
      <c r="C238" s="1" t="s">
        <v>276</v>
      </c>
      <c r="D238" s="3">
        <v>12568.47</v>
      </c>
      <c r="E238" s="3">
        <v>8028202.2599999998</v>
      </c>
      <c r="F238" s="1" t="s">
        <v>2732</v>
      </c>
      <c r="G238" s="3">
        <f t="shared" si="7"/>
        <v>12568.47</v>
      </c>
      <c r="H238" s="4">
        <v>0</v>
      </c>
    </row>
    <row r="239" spans="1:8">
      <c r="A239" s="1" t="s">
        <v>245</v>
      </c>
      <c r="B239" s="1" t="s">
        <v>15</v>
      </c>
      <c r="C239" s="1" t="s">
        <v>277</v>
      </c>
      <c r="D239" s="3">
        <v>26073.72</v>
      </c>
      <c r="E239" s="3">
        <v>8054275.9800000004</v>
      </c>
      <c r="F239" s="1" t="s">
        <v>2732</v>
      </c>
      <c r="G239" s="3">
        <f t="shared" si="7"/>
        <v>26073.72</v>
      </c>
      <c r="H239" s="4">
        <v>0</v>
      </c>
    </row>
    <row r="240" spans="1:8">
      <c r="A240" s="1" t="s">
        <v>245</v>
      </c>
      <c r="B240" s="1" t="s">
        <v>15</v>
      </c>
      <c r="C240" s="1" t="s">
        <v>278</v>
      </c>
      <c r="D240" s="3">
        <v>26750.1</v>
      </c>
      <c r="E240" s="3">
        <v>8081026.0800000001</v>
      </c>
      <c r="F240" s="1" t="s">
        <v>2732</v>
      </c>
      <c r="G240" s="3">
        <f t="shared" si="7"/>
        <v>26750.1</v>
      </c>
      <c r="H240" s="4">
        <v>0</v>
      </c>
    </row>
    <row r="241" spans="1:8">
      <c r="A241" s="1" t="s">
        <v>245</v>
      </c>
      <c r="B241" s="1" t="s">
        <v>15</v>
      </c>
      <c r="C241" s="1" t="s">
        <v>279</v>
      </c>
      <c r="D241" s="2">
        <v>563.16</v>
      </c>
      <c r="E241" s="3">
        <v>8081589.2400000002</v>
      </c>
      <c r="F241" s="1" t="s">
        <v>2732</v>
      </c>
      <c r="G241" s="3">
        <f t="shared" si="7"/>
        <v>563.16</v>
      </c>
      <c r="H241" s="4">
        <v>0</v>
      </c>
    </row>
    <row r="242" spans="1:8">
      <c r="A242" s="1" t="s">
        <v>245</v>
      </c>
      <c r="B242" s="1" t="s">
        <v>15</v>
      </c>
      <c r="C242" s="1" t="s">
        <v>280</v>
      </c>
      <c r="D242" s="3">
        <v>31912.400000000001</v>
      </c>
      <c r="E242" s="3">
        <v>8113501.6399999997</v>
      </c>
      <c r="F242" s="1" t="s">
        <v>2732</v>
      </c>
      <c r="G242" s="3">
        <f t="shared" si="7"/>
        <v>31912.400000000001</v>
      </c>
      <c r="H242" s="4">
        <v>0</v>
      </c>
    </row>
    <row r="243" spans="1:8">
      <c r="A243" s="1" t="s">
        <v>245</v>
      </c>
      <c r="B243" s="1" t="s">
        <v>15</v>
      </c>
      <c r="C243" s="1" t="s">
        <v>281</v>
      </c>
      <c r="D243" s="3">
        <v>15393.94</v>
      </c>
      <c r="E243" s="3">
        <v>8128895.5800000001</v>
      </c>
      <c r="F243" s="1" t="s">
        <v>2732</v>
      </c>
      <c r="G243" s="3">
        <f t="shared" si="7"/>
        <v>15393.94</v>
      </c>
      <c r="H243" s="4">
        <v>0</v>
      </c>
    </row>
    <row r="244" spans="1:8">
      <c r="A244" s="1" t="s">
        <v>245</v>
      </c>
      <c r="B244" s="1" t="s">
        <v>15</v>
      </c>
      <c r="C244" s="1" t="s">
        <v>282</v>
      </c>
      <c r="D244" s="3">
        <v>14614.5</v>
      </c>
      <c r="E244" s="3">
        <v>8143510.0800000001</v>
      </c>
      <c r="F244" s="1" t="s">
        <v>2732</v>
      </c>
      <c r="G244" s="3">
        <f t="shared" si="7"/>
        <v>14614.5</v>
      </c>
      <c r="H244" s="4">
        <v>0</v>
      </c>
    </row>
    <row r="245" spans="1:8">
      <c r="A245" s="1" t="s">
        <v>245</v>
      </c>
      <c r="B245" s="1" t="s">
        <v>15</v>
      </c>
      <c r="C245" s="1" t="s">
        <v>283</v>
      </c>
      <c r="D245" s="3">
        <v>8124.42</v>
      </c>
      <c r="E245" s="3">
        <v>8151634.5</v>
      </c>
      <c r="F245" s="1" t="s">
        <v>2732</v>
      </c>
      <c r="G245" s="3">
        <f t="shared" si="7"/>
        <v>8124.42</v>
      </c>
      <c r="H245" s="4">
        <v>0</v>
      </c>
    </row>
    <row r="246" spans="1:8">
      <c r="A246" s="1" t="s">
        <v>245</v>
      </c>
      <c r="B246" s="1" t="s">
        <v>15</v>
      </c>
      <c r="C246" s="1" t="s">
        <v>284</v>
      </c>
      <c r="D246" s="3">
        <v>58665.87</v>
      </c>
      <c r="E246" s="3">
        <v>8210300.3700000001</v>
      </c>
      <c r="F246" s="1" t="s">
        <v>2732</v>
      </c>
      <c r="G246" s="3">
        <f t="shared" si="7"/>
        <v>58665.87</v>
      </c>
      <c r="H246" s="4">
        <v>0</v>
      </c>
    </row>
    <row r="247" spans="1:8">
      <c r="A247" s="1" t="s">
        <v>245</v>
      </c>
      <c r="B247" s="1" t="s">
        <v>15</v>
      </c>
      <c r="C247" s="1" t="s">
        <v>285</v>
      </c>
      <c r="D247" s="3">
        <v>46571.54</v>
      </c>
      <c r="E247" s="3">
        <v>8256871.9100000001</v>
      </c>
      <c r="F247" s="1" t="s">
        <v>2732</v>
      </c>
      <c r="G247" s="3">
        <f t="shared" si="7"/>
        <v>46571.54</v>
      </c>
      <c r="H247" s="4">
        <v>0</v>
      </c>
    </row>
    <row r="248" spans="1:8">
      <c r="A248" s="1" t="s">
        <v>245</v>
      </c>
      <c r="B248" s="1" t="s">
        <v>286</v>
      </c>
      <c r="C248" s="1" t="s">
        <v>287</v>
      </c>
      <c r="D248" s="3">
        <v>4679.62</v>
      </c>
      <c r="E248" s="3">
        <v>8261551.5300000003</v>
      </c>
      <c r="F248" s="2" t="s">
        <v>2732</v>
      </c>
      <c r="G248" s="3">
        <f t="shared" si="7"/>
        <v>4679.62</v>
      </c>
      <c r="H248" s="4">
        <v>0</v>
      </c>
    </row>
    <row r="249" spans="1:8">
      <c r="A249" s="1" t="s">
        <v>245</v>
      </c>
      <c r="B249" s="1" t="s">
        <v>15</v>
      </c>
      <c r="C249" s="1" t="s">
        <v>288</v>
      </c>
      <c r="D249" s="3">
        <v>25721.52</v>
      </c>
      <c r="E249" s="3">
        <v>8287273.0499999998</v>
      </c>
      <c r="F249" s="1" t="s">
        <v>2732</v>
      </c>
      <c r="G249" s="3">
        <f t="shared" si="7"/>
        <v>25721.52</v>
      </c>
      <c r="H249" s="4">
        <v>0</v>
      </c>
    </row>
    <row r="250" spans="1:8">
      <c r="A250" s="1" t="s">
        <v>245</v>
      </c>
      <c r="B250" s="1" t="s">
        <v>15</v>
      </c>
      <c r="C250" s="1" t="s">
        <v>289</v>
      </c>
      <c r="D250" s="3">
        <v>11789.03</v>
      </c>
      <c r="E250" s="3">
        <v>8299062.0800000001</v>
      </c>
      <c r="F250" s="1" t="s">
        <v>2732</v>
      </c>
      <c r="G250" s="3">
        <f t="shared" si="7"/>
        <v>11789.03</v>
      </c>
      <c r="H250" s="4">
        <v>0</v>
      </c>
    </row>
    <row r="251" spans="1:8">
      <c r="A251" s="1" t="s">
        <v>245</v>
      </c>
      <c r="B251" s="1" t="s">
        <v>15</v>
      </c>
      <c r="C251" s="1" t="s">
        <v>290</v>
      </c>
      <c r="D251" s="3">
        <v>8999.61</v>
      </c>
      <c r="E251" s="3">
        <v>8308061.6900000004</v>
      </c>
      <c r="F251" s="1" t="s">
        <v>2732</v>
      </c>
      <c r="G251" s="3">
        <f t="shared" si="7"/>
        <v>8999.61</v>
      </c>
      <c r="H251" s="4">
        <v>0</v>
      </c>
    </row>
    <row r="252" spans="1:8">
      <c r="A252" s="1" t="s">
        <v>245</v>
      </c>
      <c r="B252" s="1" t="s">
        <v>15</v>
      </c>
      <c r="C252" s="1" t="s">
        <v>291</v>
      </c>
      <c r="D252" s="3">
        <v>9353.2800000000007</v>
      </c>
      <c r="E252" s="3">
        <v>8317414.9699999997</v>
      </c>
      <c r="F252" s="1" t="s">
        <v>2732</v>
      </c>
      <c r="G252" s="3">
        <f t="shared" si="7"/>
        <v>9353.2800000000007</v>
      </c>
      <c r="H252" s="4">
        <v>0</v>
      </c>
    </row>
    <row r="253" spans="1:8">
      <c r="A253" s="1" t="s">
        <v>245</v>
      </c>
      <c r="B253" s="1" t="s">
        <v>15</v>
      </c>
      <c r="C253" s="1" t="s">
        <v>292</v>
      </c>
      <c r="D253" s="3">
        <v>8378.98</v>
      </c>
      <c r="E253" s="3">
        <v>8325793.9500000002</v>
      </c>
      <c r="F253" s="1" t="s">
        <v>2732</v>
      </c>
      <c r="G253" s="3">
        <f t="shared" si="7"/>
        <v>8378.98</v>
      </c>
      <c r="H253" s="4">
        <v>0</v>
      </c>
    </row>
    <row r="254" spans="1:8">
      <c r="A254" s="1" t="s">
        <v>245</v>
      </c>
      <c r="B254" s="1" t="s">
        <v>293</v>
      </c>
      <c r="C254" s="1" t="s">
        <v>294</v>
      </c>
      <c r="D254" s="2">
        <v>420.97</v>
      </c>
      <c r="E254" s="3">
        <v>8326214.9199999999</v>
      </c>
      <c r="F254" s="2" t="s">
        <v>2732</v>
      </c>
      <c r="G254" s="3">
        <f t="shared" si="7"/>
        <v>420.97</v>
      </c>
      <c r="H254" s="4">
        <v>0</v>
      </c>
    </row>
    <row r="255" spans="1:8">
      <c r="A255" s="1" t="s">
        <v>245</v>
      </c>
      <c r="B255" s="1" t="s">
        <v>15</v>
      </c>
      <c r="C255" s="1" t="s">
        <v>295</v>
      </c>
      <c r="D255" s="3">
        <v>47305.440000000002</v>
      </c>
      <c r="E255" s="3">
        <v>8373520.3600000003</v>
      </c>
      <c r="F255" s="1" t="s">
        <v>2732</v>
      </c>
      <c r="G255" s="3">
        <f t="shared" si="7"/>
        <v>47305.440000000002</v>
      </c>
      <c r="H255" s="4">
        <v>0</v>
      </c>
    </row>
    <row r="256" spans="1:8">
      <c r="A256" s="1" t="s">
        <v>245</v>
      </c>
      <c r="B256" s="1" t="s">
        <v>15</v>
      </c>
      <c r="C256" s="1" t="s">
        <v>296</v>
      </c>
      <c r="D256" s="3">
        <v>20947.45</v>
      </c>
      <c r="E256" s="3">
        <v>8394467.8100000005</v>
      </c>
      <c r="F256" s="1" t="s">
        <v>2732</v>
      </c>
      <c r="G256" s="3">
        <f t="shared" si="7"/>
        <v>20947.45</v>
      </c>
      <c r="H256" s="4">
        <v>0</v>
      </c>
    </row>
    <row r="257" spans="1:8">
      <c r="A257" s="1" t="s">
        <v>245</v>
      </c>
      <c r="B257" s="1" t="s">
        <v>15</v>
      </c>
      <c r="C257" s="1" t="s">
        <v>297</v>
      </c>
      <c r="D257" s="3">
        <v>109121.60000000001</v>
      </c>
      <c r="E257" s="3">
        <v>8503589.4100000001</v>
      </c>
      <c r="F257" s="1" t="s">
        <v>2732</v>
      </c>
      <c r="G257" s="3">
        <f t="shared" si="7"/>
        <v>109121.60000000001</v>
      </c>
      <c r="H257" s="4">
        <v>0</v>
      </c>
    </row>
    <row r="258" spans="1:8">
      <c r="A258" s="1" t="s">
        <v>245</v>
      </c>
      <c r="B258" s="1" t="s">
        <v>15</v>
      </c>
      <c r="C258" s="1" t="s">
        <v>298</v>
      </c>
      <c r="D258" s="3">
        <v>18219.41</v>
      </c>
      <c r="E258" s="3">
        <v>8521808.8200000003</v>
      </c>
      <c r="F258" s="1" t="s">
        <v>2732</v>
      </c>
      <c r="G258" s="3">
        <f t="shared" si="7"/>
        <v>18219.41</v>
      </c>
      <c r="H258" s="4">
        <v>0</v>
      </c>
    </row>
    <row r="259" spans="1:8">
      <c r="A259" s="1" t="s">
        <v>245</v>
      </c>
      <c r="B259" s="1" t="s">
        <v>15</v>
      </c>
      <c r="C259" s="1" t="s">
        <v>299</v>
      </c>
      <c r="D259" s="3">
        <v>40172.080000000002</v>
      </c>
      <c r="E259" s="3">
        <v>8561980.9000000004</v>
      </c>
      <c r="F259" s="1" t="s">
        <v>2732</v>
      </c>
      <c r="G259" s="3">
        <f t="shared" si="7"/>
        <v>40172.080000000002</v>
      </c>
      <c r="H259" s="4">
        <v>0</v>
      </c>
    </row>
    <row r="260" spans="1:8">
      <c r="A260" s="1" t="s">
        <v>245</v>
      </c>
      <c r="B260" s="1" t="s">
        <v>15</v>
      </c>
      <c r="C260" s="1" t="s">
        <v>300</v>
      </c>
      <c r="D260" s="3">
        <v>3410.05</v>
      </c>
      <c r="E260" s="3">
        <v>8565390.9499999993</v>
      </c>
      <c r="F260" s="1" t="s">
        <v>2732</v>
      </c>
      <c r="G260" s="3">
        <f t="shared" si="7"/>
        <v>3410.05</v>
      </c>
      <c r="H260" s="4">
        <v>0</v>
      </c>
    </row>
    <row r="261" spans="1:8">
      <c r="A261" s="1" t="s">
        <v>245</v>
      </c>
      <c r="B261" s="1" t="s">
        <v>15</v>
      </c>
      <c r="C261" s="1" t="s">
        <v>301</v>
      </c>
      <c r="D261" s="3">
        <v>5163.79</v>
      </c>
      <c r="E261" s="3">
        <v>8570554.7400000002</v>
      </c>
      <c r="F261" s="1" t="s">
        <v>2732</v>
      </c>
      <c r="G261" s="3">
        <f t="shared" si="7"/>
        <v>5163.79</v>
      </c>
      <c r="H261" s="4">
        <v>0</v>
      </c>
    </row>
    <row r="262" spans="1:8">
      <c r="A262" s="1" t="s">
        <v>245</v>
      </c>
      <c r="B262" s="1" t="s">
        <v>302</v>
      </c>
      <c r="C262" s="1" t="s">
        <v>303</v>
      </c>
      <c r="D262" s="2">
        <v>259.43</v>
      </c>
      <c r="E262" s="3">
        <v>8570814.1699999999</v>
      </c>
      <c r="F262" s="2" t="s">
        <v>2732</v>
      </c>
      <c r="G262" s="3">
        <f t="shared" si="7"/>
        <v>259.43</v>
      </c>
      <c r="H262" s="4">
        <v>0</v>
      </c>
    </row>
    <row r="263" spans="1:8">
      <c r="A263" s="1" t="s">
        <v>245</v>
      </c>
      <c r="B263" s="1" t="s">
        <v>15</v>
      </c>
      <c r="C263" s="1" t="s">
        <v>304</v>
      </c>
      <c r="D263" s="3">
        <v>10327.58</v>
      </c>
      <c r="E263" s="3">
        <v>8581141.75</v>
      </c>
      <c r="F263" s="1" t="s">
        <v>2732</v>
      </c>
      <c r="G263" s="3">
        <f t="shared" si="7"/>
        <v>10327.58</v>
      </c>
      <c r="H263" s="4">
        <v>0</v>
      </c>
    </row>
    <row r="264" spans="1:8">
      <c r="A264" s="1" t="s">
        <v>245</v>
      </c>
      <c r="B264" s="1" t="s">
        <v>15</v>
      </c>
      <c r="C264" s="1" t="s">
        <v>305</v>
      </c>
      <c r="D264" s="3">
        <v>13640.2</v>
      </c>
      <c r="E264" s="3">
        <v>8594781.9499999993</v>
      </c>
      <c r="F264" s="1" t="s">
        <v>2732</v>
      </c>
      <c r="G264" s="3">
        <f t="shared" si="7"/>
        <v>13640.2</v>
      </c>
      <c r="H264" s="4">
        <v>0</v>
      </c>
    </row>
    <row r="265" spans="1:8">
      <c r="A265" s="1" t="s">
        <v>245</v>
      </c>
      <c r="B265" s="1" t="s">
        <v>15</v>
      </c>
      <c r="C265" s="1" t="s">
        <v>306</v>
      </c>
      <c r="D265" s="3">
        <v>77944</v>
      </c>
      <c r="E265" s="3">
        <v>8672725.9499999993</v>
      </c>
      <c r="F265" s="1" t="s">
        <v>2732</v>
      </c>
      <c r="G265" s="3">
        <f t="shared" si="7"/>
        <v>77944</v>
      </c>
      <c r="H265" s="4">
        <v>0</v>
      </c>
    </row>
    <row r="266" spans="1:8">
      <c r="A266" s="1" t="s">
        <v>245</v>
      </c>
      <c r="B266" s="1" t="s">
        <v>307</v>
      </c>
      <c r="C266" s="1" t="s">
        <v>306</v>
      </c>
      <c r="D266" s="3">
        <v>-77944</v>
      </c>
      <c r="E266" s="3">
        <v>8594781.9499999993</v>
      </c>
      <c r="F266" s="1" t="s">
        <v>2732</v>
      </c>
      <c r="G266" s="3">
        <f t="shared" si="7"/>
        <v>-77944</v>
      </c>
      <c r="H266" s="4">
        <v>0</v>
      </c>
    </row>
    <row r="267" spans="1:8">
      <c r="A267" s="1" t="s">
        <v>245</v>
      </c>
      <c r="B267" s="1" t="s">
        <v>15</v>
      </c>
      <c r="C267" s="1" t="s">
        <v>308</v>
      </c>
      <c r="D267" s="3">
        <v>70247.03</v>
      </c>
      <c r="E267" s="3">
        <v>8665028.9800000004</v>
      </c>
      <c r="F267" s="1" t="s">
        <v>2732</v>
      </c>
      <c r="G267" s="3">
        <f t="shared" si="7"/>
        <v>70247.03</v>
      </c>
      <c r="H267" s="4">
        <v>0</v>
      </c>
    </row>
    <row r="268" spans="1:8">
      <c r="A268" s="1" t="s">
        <v>245</v>
      </c>
      <c r="B268" s="1" t="s">
        <v>15</v>
      </c>
      <c r="C268" s="1" t="s">
        <v>309</v>
      </c>
      <c r="D268" s="3">
        <v>21532.03</v>
      </c>
      <c r="E268" s="3">
        <v>8686561.0099999998</v>
      </c>
      <c r="F268" s="1" t="s">
        <v>2732</v>
      </c>
      <c r="G268" s="3">
        <f t="shared" si="7"/>
        <v>21532.03</v>
      </c>
      <c r="H268" s="4">
        <v>0</v>
      </c>
    </row>
    <row r="269" spans="1:8">
      <c r="A269" s="1" t="s">
        <v>245</v>
      </c>
      <c r="B269" s="1" t="s">
        <v>15</v>
      </c>
      <c r="C269" s="1" t="s">
        <v>310</v>
      </c>
      <c r="D269" s="3">
        <v>17732.259999999998</v>
      </c>
      <c r="E269" s="3">
        <v>8704293.2699999996</v>
      </c>
      <c r="F269" s="1" t="s">
        <v>2732</v>
      </c>
      <c r="G269" s="3">
        <f t="shared" si="7"/>
        <v>17732.259999999998</v>
      </c>
      <c r="H269" s="4">
        <v>0</v>
      </c>
    </row>
    <row r="270" spans="1:8">
      <c r="A270" s="1" t="s">
        <v>245</v>
      </c>
      <c r="B270" s="1" t="s">
        <v>15</v>
      </c>
      <c r="C270" s="1" t="s">
        <v>311</v>
      </c>
      <c r="D270" s="3">
        <v>12860.76</v>
      </c>
      <c r="E270" s="3">
        <v>8717154.0299999993</v>
      </c>
      <c r="F270" s="1" t="s">
        <v>2732</v>
      </c>
      <c r="G270" s="3">
        <f t="shared" si="7"/>
        <v>12860.76</v>
      </c>
      <c r="H270" s="4">
        <v>0</v>
      </c>
    </row>
    <row r="271" spans="1:8">
      <c r="A271" s="1" t="s">
        <v>245</v>
      </c>
      <c r="B271" s="1" t="s">
        <v>15</v>
      </c>
      <c r="C271" s="1" t="s">
        <v>312</v>
      </c>
      <c r="D271" s="3">
        <v>33321.06</v>
      </c>
      <c r="E271" s="3">
        <v>8750475.0899999999</v>
      </c>
      <c r="F271" s="1" t="s">
        <v>2732</v>
      </c>
      <c r="G271" s="3">
        <f t="shared" si="7"/>
        <v>33321.06</v>
      </c>
      <c r="H271" s="4">
        <v>0</v>
      </c>
    </row>
    <row r="272" spans="1:8">
      <c r="A272" s="1" t="s">
        <v>245</v>
      </c>
      <c r="B272" s="1" t="s">
        <v>313</v>
      </c>
      <c r="C272" s="1" t="s">
        <v>314</v>
      </c>
      <c r="D272" s="3">
        <v>1674.09</v>
      </c>
      <c r="E272" s="3">
        <v>8752149.1799999997</v>
      </c>
      <c r="F272" s="2" t="s">
        <v>2732</v>
      </c>
      <c r="G272" s="3">
        <f t="shared" si="7"/>
        <v>1674.09</v>
      </c>
      <c r="H272" s="4">
        <v>0</v>
      </c>
    </row>
    <row r="273" spans="1:8">
      <c r="A273" s="1" t="s">
        <v>245</v>
      </c>
      <c r="B273" s="1" t="s">
        <v>15</v>
      </c>
      <c r="C273" s="1" t="s">
        <v>315</v>
      </c>
      <c r="D273" s="3">
        <v>4189.49</v>
      </c>
      <c r="E273" s="3">
        <v>8756338.6699999999</v>
      </c>
      <c r="F273" s="1" t="s">
        <v>2732</v>
      </c>
      <c r="G273" s="3">
        <f t="shared" si="7"/>
        <v>4189.49</v>
      </c>
      <c r="H273" s="4">
        <v>0</v>
      </c>
    </row>
    <row r="274" spans="1:8">
      <c r="A274" s="1" t="s">
        <v>245</v>
      </c>
      <c r="B274" s="1" t="s">
        <v>316</v>
      </c>
      <c r="C274" s="1" t="s">
        <v>317</v>
      </c>
      <c r="D274" s="2">
        <v>631.45000000000005</v>
      </c>
      <c r="E274" s="3">
        <v>8756970.1199999992</v>
      </c>
      <c r="F274" s="2" t="s">
        <v>2732</v>
      </c>
      <c r="G274" s="3">
        <f t="shared" ref="G274:G337" si="8">+D274</f>
        <v>631.45000000000005</v>
      </c>
      <c r="H274" s="4">
        <v>0</v>
      </c>
    </row>
    <row r="275" spans="1:8">
      <c r="A275" s="1" t="s">
        <v>245</v>
      </c>
      <c r="B275" s="1" t="s">
        <v>15</v>
      </c>
      <c r="C275" s="1" t="s">
        <v>318</v>
      </c>
      <c r="D275" s="3">
        <v>4251.1499999999996</v>
      </c>
      <c r="E275" s="3">
        <v>8761221.2699999996</v>
      </c>
      <c r="F275" s="1" t="s">
        <v>2732</v>
      </c>
      <c r="G275" s="3">
        <f t="shared" si="8"/>
        <v>4251.1499999999996</v>
      </c>
      <c r="H275" s="4">
        <v>0</v>
      </c>
    </row>
    <row r="276" spans="1:8">
      <c r="A276" s="1" t="s">
        <v>245</v>
      </c>
      <c r="B276" s="1" t="s">
        <v>15</v>
      </c>
      <c r="C276" s="1" t="s">
        <v>319</v>
      </c>
      <c r="D276" s="3">
        <v>14264.97</v>
      </c>
      <c r="E276" s="3">
        <v>8775486.2400000002</v>
      </c>
      <c r="F276" s="1" t="s">
        <v>2732</v>
      </c>
      <c r="G276" s="3">
        <f t="shared" si="8"/>
        <v>14264.97</v>
      </c>
      <c r="H276" s="4">
        <v>0</v>
      </c>
    </row>
    <row r="277" spans="1:8">
      <c r="A277" s="1" t="s">
        <v>245</v>
      </c>
      <c r="B277" s="1" t="s">
        <v>15</v>
      </c>
      <c r="C277" s="1" t="s">
        <v>320</v>
      </c>
      <c r="D277" s="3">
        <v>27377.83</v>
      </c>
      <c r="E277" s="3">
        <v>8802864.0700000003</v>
      </c>
      <c r="F277" s="1" t="s">
        <v>2732</v>
      </c>
      <c r="G277" s="3">
        <f t="shared" si="8"/>
        <v>27377.83</v>
      </c>
      <c r="H277" s="4">
        <v>0</v>
      </c>
    </row>
    <row r="278" spans="1:8">
      <c r="A278" s="1" t="s">
        <v>245</v>
      </c>
      <c r="B278" s="1" t="s">
        <v>15</v>
      </c>
      <c r="C278" s="1" t="s">
        <v>321</v>
      </c>
      <c r="D278" s="3">
        <v>47301.59</v>
      </c>
      <c r="E278" s="3">
        <v>8850165.6600000001</v>
      </c>
      <c r="F278" s="1" t="s">
        <v>2732</v>
      </c>
      <c r="G278" s="3">
        <f t="shared" si="8"/>
        <v>47301.59</v>
      </c>
      <c r="H278" s="4">
        <v>0</v>
      </c>
    </row>
    <row r="279" spans="1:8">
      <c r="A279" s="1" t="s">
        <v>245</v>
      </c>
      <c r="B279" s="1" t="s">
        <v>15</v>
      </c>
      <c r="C279" s="1" t="s">
        <v>322</v>
      </c>
      <c r="D279" s="3">
        <v>8378.98</v>
      </c>
      <c r="E279" s="3">
        <v>8858544.6400000006</v>
      </c>
      <c r="F279" s="1" t="s">
        <v>2732</v>
      </c>
      <c r="G279" s="3">
        <f t="shared" si="8"/>
        <v>8378.98</v>
      </c>
      <c r="H279" s="4">
        <v>0</v>
      </c>
    </row>
    <row r="280" spans="1:8">
      <c r="A280" s="1" t="s">
        <v>245</v>
      </c>
      <c r="B280" s="1" t="s">
        <v>15</v>
      </c>
      <c r="C280" s="1" t="s">
        <v>323</v>
      </c>
      <c r="D280" s="3">
        <v>46384.77</v>
      </c>
      <c r="E280" s="3">
        <v>8904929.4100000001</v>
      </c>
      <c r="F280" s="1" t="s">
        <v>2732</v>
      </c>
      <c r="G280" s="3">
        <f t="shared" si="8"/>
        <v>46384.77</v>
      </c>
      <c r="H280" s="4">
        <v>0</v>
      </c>
    </row>
    <row r="281" spans="1:8">
      <c r="A281" s="1" t="s">
        <v>245</v>
      </c>
      <c r="B281" s="1" t="s">
        <v>15</v>
      </c>
      <c r="C281" s="1" t="s">
        <v>324</v>
      </c>
      <c r="D281" s="3">
        <v>12373.61</v>
      </c>
      <c r="E281" s="3">
        <v>8917303.0199999996</v>
      </c>
      <c r="F281" s="1" t="s">
        <v>2732</v>
      </c>
      <c r="G281" s="3">
        <f t="shared" si="8"/>
        <v>12373.61</v>
      </c>
      <c r="H281" s="4">
        <v>0</v>
      </c>
    </row>
    <row r="282" spans="1:8">
      <c r="A282" s="1" t="s">
        <v>245</v>
      </c>
      <c r="B282" s="1" t="s">
        <v>325</v>
      </c>
      <c r="C282" s="1" t="s">
        <v>326</v>
      </c>
      <c r="D282" s="3">
        <v>1864.99</v>
      </c>
      <c r="E282" s="3">
        <v>8919168.0099999998</v>
      </c>
      <c r="F282" s="2" t="s">
        <v>2732</v>
      </c>
      <c r="G282" s="3">
        <f t="shared" si="8"/>
        <v>1864.99</v>
      </c>
      <c r="H282" s="4">
        <v>0</v>
      </c>
    </row>
    <row r="283" spans="1:8">
      <c r="A283" s="1" t="s">
        <v>245</v>
      </c>
      <c r="B283" s="1" t="s">
        <v>15</v>
      </c>
      <c r="C283" s="1" t="s">
        <v>327</v>
      </c>
      <c r="D283" s="3">
        <v>15776.49</v>
      </c>
      <c r="E283" s="3">
        <v>8934944.5</v>
      </c>
      <c r="F283" s="1" t="s">
        <v>2732</v>
      </c>
      <c r="G283" s="3">
        <f t="shared" si="8"/>
        <v>15776.49</v>
      </c>
      <c r="H283" s="4">
        <v>0</v>
      </c>
    </row>
    <row r="284" spans="1:8">
      <c r="A284" s="1" t="s">
        <v>245</v>
      </c>
      <c r="B284" s="1" t="s">
        <v>15</v>
      </c>
      <c r="C284" s="1" t="s">
        <v>328</v>
      </c>
      <c r="D284" s="3">
        <v>32998.57</v>
      </c>
      <c r="E284" s="3">
        <v>8967943.0700000003</v>
      </c>
      <c r="F284" s="1" t="s">
        <v>2732</v>
      </c>
      <c r="G284" s="3">
        <f t="shared" si="8"/>
        <v>32998.57</v>
      </c>
      <c r="H284" s="4">
        <v>0</v>
      </c>
    </row>
    <row r="285" spans="1:8">
      <c r="A285" s="1" t="s">
        <v>245</v>
      </c>
      <c r="B285" s="1" t="s">
        <v>329</v>
      </c>
      <c r="C285" s="1" t="s">
        <v>330</v>
      </c>
      <c r="D285" s="3">
        <v>3338.39</v>
      </c>
      <c r="E285" s="3">
        <v>8971281.4600000009</v>
      </c>
      <c r="F285" s="2" t="s">
        <v>2732</v>
      </c>
      <c r="G285" s="3">
        <f t="shared" si="8"/>
        <v>3338.39</v>
      </c>
      <c r="H285" s="4">
        <v>0</v>
      </c>
    </row>
    <row r="286" spans="1:8">
      <c r="A286" s="1" t="s">
        <v>245</v>
      </c>
      <c r="B286" s="1" t="s">
        <v>15</v>
      </c>
      <c r="C286" s="1" t="s">
        <v>331</v>
      </c>
      <c r="D286" s="3">
        <v>15199.08</v>
      </c>
      <c r="E286" s="3">
        <v>8986480.5399999991</v>
      </c>
      <c r="F286" s="1" t="s">
        <v>2732</v>
      </c>
      <c r="G286" s="3">
        <f t="shared" si="8"/>
        <v>15199.08</v>
      </c>
      <c r="H286" s="4">
        <v>0</v>
      </c>
    </row>
    <row r="287" spans="1:8">
      <c r="A287" s="1" t="s">
        <v>245</v>
      </c>
      <c r="B287" s="1" t="s">
        <v>15</v>
      </c>
      <c r="C287" s="1" t="s">
        <v>332</v>
      </c>
      <c r="D287" s="3">
        <v>32151.9</v>
      </c>
      <c r="E287" s="3">
        <v>9018632.4399999995</v>
      </c>
      <c r="F287" s="1" t="s">
        <v>2732</v>
      </c>
      <c r="G287" s="3">
        <f t="shared" si="8"/>
        <v>32151.9</v>
      </c>
      <c r="H287" s="4">
        <v>0</v>
      </c>
    </row>
    <row r="288" spans="1:8">
      <c r="A288" s="1" t="s">
        <v>245</v>
      </c>
      <c r="B288" s="1" t="s">
        <v>15</v>
      </c>
      <c r="C288" s="1" t="s">
        <v>333</v>
      </c>
      <c r="D288" s="3">
        <v>8378.98</v>
      </c>
      <c r="E288" s="3">
        <v>9027011.4199999999</v>
      </c>
      <c r="F288" s="1" t="s">
        <v>2732</v>
      </c>
      <c r="G288" s="3">
        <f t="shared" si="8"/>
        <v>8378.98</v>
      </c>
      <c r="H288" s="4">
        <v>0</v>
      </c>
    </row>
    <row r="289" spans="1:8">
      <c r="A289" s="1" t="s">
        <v>245</v>
      </c>
      <c r="B289" s="1" t="s">
        <v>15</v>
      </c>
      <c r="C289" s="1" t="s">
        <v>334</v>
      </c>
      <c r="D289" s="3">
        <v>26306.1</v>
      </c>
      <c r="E289" s="3">
        <v>9053317.5199999996</v>
      </c>
      <c r="F289" s="1" t="s">
        <v>2732</v>
      </c>
      <c r="G289" s="3">
        <f t="shared" si="8"/>
        <v>26306.1</v>
      </c>
      <c r="H289" s="4">
        <v>0</v>
      </c>
    </row>
    <row r="290" spans="1:8">
      <c r="A290" s="1" t="s">
        <v>245</v>
      </c>
      <c r="B290" s="1" t="s">
        <v>15</v>
      </c>
      <c r="C290" s="1" t="s">
        <v>335</v>
      </c>
      <c r="D290" s="3">
        <v>7599.54</v>
      </c>
      <c r="E290" s="3">
        <v>9060917.0600000005</v>
      </c>
      <c r="F290" s="1" t="s">
        <v>2732</v>
      </c>
      <c r="G290" s="3">
        <f t="shared" si="8"/>
        <v>7599.54</v>
      </c>
      <c r="H290" s="4">
        <v>0</v>
      </c>
    </row>
    <row r="291" spans="1:8">
      <c r="A291" s="1" t="s">
        <v>245</v>
      </c>
      <c r="B291" s="1" t="s">
        <v>15</v>
      </c>
      <c r="C291" s="1" t="s">
        <v>336</v>
      </c>
      <c r="D291" s="2">
        <v>584.58000000000004</v>
      </c>
      <c r="E291" s="3">
        <v>9061501.6400000006</v>
      </c>
      <c r="F291" s="1" t="s">
        <v>2732</v>
      </c>
      <c r="G291" s="3">
        <f t="shared" si="8"/>
        <v>584.58000000000004</v>
      </c>
      <c r="H291" s="4">
        <v>0</v>
      </c>
    </row>
    <row r="292" spans="1:8">
      <c r="A292" s="1" t="s">
        <v>245</v>
      </c>
      <c r="B292" s="1" t="s">
        <v>15</v>
      </c>
      <c r="C292" s="1" t="s">
        <v>337</v>
      </c>
      <c r="D292" s="3">
        <v>8378.98</v>
      </c>
      <c r="E292" s="3">
        <v>9069880.6199999992</v>
      </c>
      <c r="F292" s="1" t="s">
        <v>2732</v>
      </c>
      <c r="G292" s="3">
        <f t="shared" si="8"/>
        <v>8378.98</v>
      </c>
      <c r="H292" s="4">
        <v>0</v>
      </c>
    </row>
    <row r="293" spans="1:8">
      <c r="A293" s="1" t="s">
        <v>245</v>
      </c>
      <c r="B293" s="1" t="s">
        <v>15</v>
      </c>
      <c r="C293" s="1" t="s">
        <v>338</v>
      </c>
      <c r="D293" s="3">
        <v>37607.980000000003</v>
      </c>
      <c r="E293" s="3">
        <v>9107488.5999999996</v>
      </c>
      <c r="F293" s="1" t="s">
        <v>2732</v>
      </c>
      <c r="G293" s="3">
        <f t="shared" si="8"/>
        <v>37607.980000000003</v>
      </c>
      <c r="H293" s="4">
        <v>0</v>
      </c>
    </row>
    <row r="294" spans="1:8">
      <c r="A294" s="1" t="s">
        <v>245</v>
      </c>
      <c r="B294" s="1" t="s">
        <v>15</v>
      </c>
      <c r="C294" s="1" t="s">
        <v>339</v>
      </c>
      <c r="D294" s="3">
        <v>37997.699999999997</v>
      </c>
      <c r="E294" s="3">
        <v>9145486.3000000007</v>
      </c>
      <c r="F294" s="1" t="s">
        <v>2732</v>
      </c>
      <c r="G294" s="3">
        <f t="shared" si="8"/>
        <v>37997.699999999997</v>
      </c>
      <c r="H294" s="4">
        <v>0</v>
      </c>
    </row>
    <row r="295" spans="1:8">
      <c r="A295" s="1" t="s">
        <v>245</v>
      </c>
      <c r="B295" s="1" t="s">
        <v>15</v>
      </c>
      <c r="C295" s="1" t="s">
        <v>340</v>
      </c>
      <c r="D295" s="3">
        <v>26451.599999999999</v>
      </c>
      <c r="E295" s="3">
        <v>9171937.9000000004</v>
      </c>
      <c r="F295" s="1" t="s">
        <v>2732</v>
      </c>
      <c r="G295" s="3">
        <f t="shared" si="8"/>
        <v>26451.599999999999</v>
      </c>
      <c r="H295" s="4">
        <v>0</v>
      </c>
    </row>
    <row r="296" spans="1:8">
      <c r="A296" s="1" t="s">
        <v>245</v>
      </c>
      <c r="B296" s="1" t="s">
        <v>15</v>
      </c>
      <c r="C296" s="1" t="s">
        <v>341</v>
      </c>
      <c r="D296" s="3">
        <v>33515.919999999998</v>
      </c>
      <c r="E296" s="3">
        <v>9205453.8200000003</v>
      </c>
      <c r="F296" s="1" t="s">
        <v>2732</v>
      </c>
      <c r="G296" s="3">
        <f t="shared" si="8"/>
        <v>33515.919999999998</v>
      </c>
      <c r="H296" s="4">
        <v>0</v>
      </c>
    </row>
    <row r="297" spans="1:8">
      <c r="A297" s="1" t="s">
        <v>245</v>
      </c>
      <c r="B297" s="1" t="s">
        <v>15</v>
      </c>
      <c r="C297" s="1" t="s">
        <v>342</v>
      </c>
      <c r="D297" s="3">
        <v>8378.98</v>
      </c>
      <c r="E297" s="3">
        <v>9213832.8000000007</v>
      </c>
      <c r="F297" s="1" t="s">
        <v>2732</v>
      </c>
      <c r="G297" s="3">
        <f t="shared" si="8"/>
        <v>8378.98</v>
      </c>
      <c r="H297" s="4">
        <v>0</v>
      </c>
    </row>
    <row r="298" spans="1:8">
      <c r="A298" s="1" t="s">
        <v>245</v>
      </c>
      <c r="B298" s="1" t="s">
        <v>15</v>
      </c>
      <c r="C298" s="1" t="s">
        <v>343</v>
      </c>
      <c r="D298" s="3">
        <v>10327.58</v>
      </c>
      <c r="E298" s="3">
        <v>9224160.3800000008</v>
      </c>
      <c r="F298" s="1" t="s">
        <v>2732</v>
      </c>
      <c r="G298" s="3">
        <f t="shared" si="8"/>
        <v>10327.58</v>
      </c>
      <c r="H298" s="4">
        <v>0</v>
      </c>
    </row>
    <row r="299" spans="1:8">
      <c r="A299" s="1" t="s">
        <v>245</v>
      </c>
      <c r="B299" s="1" t="s">
        <v>15</v>
      </c>
      <c r="C299" s="1" t="s">
        <v>344</v>
      </c>
      <c r="D299" s="3">
        <v>43940.93</v>
      </c>
      <c r="E299" s="3">
        <v>9268101.3100000005</v>
      </c>
      <c r="F299" s="1" t="s">
        <v>2732</v>
      </c>
      <c r="G299" s="3">
        <f t="shared" si="8"/>
        <v>43940.93</v>
      </c>
      <c r="H299" s="4">
        <v>0</v>
      </c>
    </row>
    <row r="300" spans="1:8">
      <c r="A300" s="1" t="s">
        <v>245</v>
      </c>
      <c r="B300" s="1" t="s">
        <v>345</v>
      </c>
      <c r="C300" s="1" t="s">
        <v>346</v>
      </c>
      <c r="D300" s="3">
        <v>6622.93</v>
      </c>
      <c r="E300" s="3">
        <v>9274724.2400000002</v>
      </c>
      <c r="F300" s="2" t="s">
        <v>2732</v>
      </c>
      <c r="G300" s="3">
        <f t="shared" si="8"/>
        <v>6622.93</v>
      </c>
      <c r="H300" s="4">
        <v>0</v>
      </c>
    </row>
    <row r="301" spans="1:8">
      <c r="A301" s="1" t="s">
        <v>245</v>
      </c>
      <c r="B301" s="1" t="s">
        <v>15</v>
      </c>
      <c r="C301" s="1" t="s">
        <v>347</v>
      </c>
      <c r="D301" s="3">
        <v>28059.84</v>
      </c>
      <c r="E301" s="3">
        <v>9302784.0800000001</v>
      </c>
      <c r="F301" s="1" t="s">
        <v>2732</v>
      </c>
      <c r="G301" s="3">
        <f t="shared" si="8"/>
        <v>28059.84</v>
      </c>
      <c r="H301" s="4">
        <v>0</v>
      </c>
    </row>
    <row r="302" spans="1:8">
      <c r="A302" s="1" t="s">
        <v>245</v>
      </c>
      <c r="B302" s="1" t="s">
        <v>15</v>
      </c>
      <c r="C302" s="1" t="s">
        <v>348</v>
      </c>
      <c r="D302" s="3">
        <v>8281.5499999999993</v>
      </c>
      <c r="E302" s="3">
        <v>9311065.6300000008</v>
      </c>
      <c r="F302" s="1" t="s">
        <v>2732</v>
      </c>
      <c r="G302" s="3">
        <f t="shared" si="8"/>
        <v>8281.5499999999993</v>
      </c>
      <c r="H302" s="4">
        <v>0</v>
      </c>
    </row>
    <row r="303" spans="1:8">
      <c r="A303" s="1" t="s">
        <v>245</v>
      </c>
      <c r="B303" s="1" t="s">
        <v>15</v>
      </c>
      <c r="C303" s="1" t="s">
        <v>349</v>
      </c>
      <c r="D303" s="3">
        <v>53391.64</v>
      </c>
      <c r="E303" s="3">
        <v>9364457.2699999996</v>
      </c>
      <c r="F303" s="1" t="s">
        <v>2732</v>
      </c>
      <c r="G303" s="3">
        <f t="shared" si="8"/>
        <v>53391.64</v>
      </c>
      <c r="H303" s="4">
        <v>0</v>
      </c>
    </row>
    <row r="304" spans="1:8">
      <c r="A304" s="1" t="s">
        <v>245</v>
      </c>
      <c r="B304" s="1" t="s">
        <v>15</v>
      </c>
      <c r="C304" s="1" t="s">
        <v>350</v>
      </c>
      <c r="D304" s="3">
        <v>25884.78</v>
      </c>
      <c r="E304" s="3">
        <v>9390342.0500000007</v>
      </c>
      <c r="F304" s="1" t="s">
        <v>2732</v>
      </c>
      <c r="G304" s="3">
        <f t="shared" si="8"/>
        <v>25884.78</v>
      </c>
      <c r="H304" s="4">
        <v>0</v>
      </c>
    </row>
    <row r="305" spans="1:8">
      <c r="A305" s="1" t="s">
        <v>245</v>
      </c>
      <c r="B305" s="1" t="s">
        <v>15</v>
      </c>
      <c r="C305" s="1" t="s">
        <v>351</v>
      </c>
      <c r="D305" s="3">
        <v>43258.92</v>
      </c>
      <c r="E305" s="3">
        <v>9433600.9700000007</v>
      </c>
      <c r="F305" s="1" t="s">
        <v>2732</v>
      </c>
      <c r="G305" s="3">
        <f t="shared" si="8"/>
        <v>43258.92</v>
      </c>
      <c r="H305" s="4">
        <v>0</v>
      </c>
    </row>
    <row r="306" spans="1:8">
      <c r="A306" s="1" t="s">
        <v>245</v>
      </c>
      <c r="B306" s="1" t="s">
        <v>15</v>
      </c>
      <c r="C306" s="1" t="s">
        <v>352</v>
      </c>
      <c r="D306" s="3">
        <v>7599.54</v>
      </c>
      <c r="E306" s="3">
        <v>9441200.5099999998</v>
      </c>
      <c r="F306" s="1" t="s">
        <v>2732</v>
      </c>
      <c r="G306" s="3">
        <f t="shared" si="8"/>
        <v>7599.54</v>
      </c>
      <c r="H306" s="4">
        <v>0</v>
      </c>
    </row>
    <row r="307" spans="1:8">
      <c r="A307" s="1" t="s">
        <v>245</v>
      </c>
      <c r="B307" s="1" t="s">
        <v>15</v>
      </c>
      <c r="C307" s="1" t="s">
        <v>353</v>
      </c>
      <c r="D307" s="3">
        <v>8281.5499999999993</v>
      </c>
      <c r="E307" s="3">
        <v>9449482.0600000005</v>
      </c>
      <c r="F307" s="1" t="s">
        <v>2732</v>
      </c>
      <c r="G307" s="3">
        <f t="shared" si="8"/>
        <v>8281.5499999999993</v>
      </c>
      <c r="H307" s="4">
        <v>0</v>
      </c>
    </row>
    <row r="308" spans="1:8">
      <c r="A308" s="1" t="s">
        <v>245</v>
      </c>
      <c r="B308" s="1" t="s">
        <v>15</v>
      </c>
      <c r="C308" s="1" t="s">
        <v>354</v>
      </c>
      <c r="D308" s="3">
        <v>42284.62</v>
      </c>
      <c r="E308" s="3">
        <v>9491766.6799999997</v>
      </c>
      <c r="F308" s="1" t="s">
        <v>2732</v>
      </c>
      <c r="G308" s="3">
        <f t="shared" si="8"/>
        <v>42284.62</v>
      </c>
      <c r="H308" s="4">
        <v>0</v>
      </c>
    </row>
    <row r="309" spans="1:8">
      <c r="A309" s="1" t="s">
        <v>245</v>
      </c>
      <c r="B309" s="1" t="s">
        <v>15</v>
      </c>
      <c r="C309" s="1" t="s">
        <v>355</v>
      </c>
      <c r="D309" s="3">
        <v>33820.26</v>
      </c>
      <c r="E309" s="3">
        <v>9525586.9399999995</v>
      </c>
      <c r="F309" s="1" t="s">
        <v>2732</v>
      </c>
      <c r="G309" s="3">
        <f t="shared" si="8"/>
        <v>33820.26</v>
      </c>
      <c r="H309" s="4">
        <v>0</v>
      </c>
    </row>
    <row r="310" spans="1:8">
      <c r="A310" s="1" t="s">
        <v>245</v>
      </c>
      <c r="B310" s="1" t="s">
        <v>15</v>
      </c>
      <c r="C310" s="1" t="s">
        <v>356</v>
      </c>
      <c r="D310" s="3">
        <v>4189.49</v>
      </c>
      <c r="E310" s="3">
        <v>9529776.4299999997</v>
      </c>
      <c r="F310" s="1" t="s">
        <v>2732</v>
      </c>
      <c r="G310" s="3">
        <f t="shared" si="8"/>
        <v>4189.49</v>
      </c>
      <c r="H310" s="4">
        <v>0</v>
      </c>
    </row>
    <row r="311" spans="1:8">
      <c r="A311" s="1" t="s">
        <v>245</v>
      </c>
      <c r="B311" s="1" t="s">
        <v>357</v>
      </c>
      <c r="C311" s="1" t="s">
        <v>358</v>
      </c>
      <c r="D311" s="2">
        <v>210.48</v>
      </c>
      <c r="E311" s="3">
        <v>9529986.9100000001</v>
      </c>
      <c r="F311" s="2" t="s">
        <v>2732</v>
      </c>
      <c r="G311" s="3">
        <f t="shared" si="8"/>
        <v>210.48</v>
      </c>
      <c r="H311" s="4">
        <v>0</v>
      </c>
    </row>
    <row r="312" spans="1:8">
      <c r="A312" s="1" t="s">
        <v>245</v>
      </c>
      <c r="B312" s="1" t="s">
        <v>15</v>
      </c>
      <c r="C312" s="1" t="s">
        <v>359</v>
      </c>
      <c r="D312" s="3">
        <v>38611.879999999997</v>
      </c>
      <c r="E312" s="3">
        <v>9568598.7899999991</v>
      </c>
      <c r="F312" s="1" t="s">
        <v>2732</v>
      </c>
      <c r="G312" s="3">
        <f t="shared" si="8"/>
        <v>38611.879999999997</v>
      </c>
      <c r="H312" s="4">
        <v>0</v>
      </c>
    </row>
    <row r="313" spans="1:8">
      <c r="A313" s="1" t="s">
        <v>245</v>
      </c>
      <c r="B313" s="1" t="s">
        <v>15</v>
      </c>
      <c r="C313" s="1" t="s">
        <v>360</v>
      </c>
      <c r="D313" s="3">
        <v>14906.79</v>
      </c>
      <c r="E313" s="3">
        <v>9583505.5800000001</v>
      </c>
      <c r="F313" s="1" t="s">
        <v>2732</v>
      </c>
      <c r="G313" s="3">
        <f t="shared" si="8"/>
        <v>14906.79</v>
      </c>
      <c r="H313" s="4">
        <v>0</v>
      </c>
    </row>
    <row r="314" spans="1:8">
      <c r="A314" s="1" t="s">
        <v>245</v>
      </c>
      <c r="B314" s="1" t="s">
        <v>15</v>
      </c>
      <c r="C314" s="1" t="s">
        <v>361</v>
      </c>
      <c r="D314" s="3">
        <v>20362.87</v>
      </c>
      <c r="E314" s="3">
        <v>9603868.4499999993</v>
      </c>
      <c r="F314" s="1" t="s">
        <v>2732</v>
      </c>
      <c r="G314" s="3">
        <f t="shared" si="8"/>
        <v>20362.87</v>
      </c>
      <c r="H314" s="4">
        <v>0</v>
      </c>
    </row>
    <row r="315" spans="1:8">
      <c r="A315" s="1" t="s">
        <v>245</v>
      </c>
      <c r="B315" s="1" t="s">
        <v>15</v>
      </c>
      <c r="C315" s="1" t="s">
        <v>362</v>
      </c>
      <c r="D315" s="3">
        <v>11052.99</v>
      </c>
      <c r="E315" s="3">
        <v>9614921.4399999995</v>
      </c>
      <c r="F315" s="1" t="s">
        <v>2732</v>
      </c>
      <c r="G315" s="3">
        <f t="shared" si="8"/>
        <v>11052.99</v>
      </c>
      <c r="H315" s="4">
        <v>0</v>
      </c>
    </row>
    <row r="316" spans="1:8">
      <c r="A316" s="1" t="s">
        <v>245</v>
      </c>
      <c r="B316" s="1" t="s">
        <v>15</v>
      </c>
      <c r="C316" s="1" t="s">
        <v>363</v>
      </c>
      <c r="D316" s="3">
        <v>6820.1</v>
      </c>
      <c r="E316" s="3">
        <v>9621741.5399999991</v>
      </c>
      <c r="F316" s="1" t="s">
        <v>2732</v>
      </c>
      <c r="G316" s="3">
        <f t="shared" si="8"/>
        <v>6820.1</v>
      </c>
      <c r="H316" s="4">
        <v>0</v>
      </c>
    </row>
    <row r="317" spans="1:8">
      <c r="A317" s="1" t="s">
        <v>245</v>
      </c>
      <c r="B317" s="1" t="s">
        <v>15</v>
      </c>
      <c r="C317" s="1" t="s">
        <v>364</v>
      </c>
      <c r="D317" s="3">
        <v>33515.919999999998</v>
      </c>
      <c r="E317" s="3">
        <v>9655257.4600000009</v>
      </c>
      <c r="F317" s="1" t="s">
        <v>2732</v>
      </c>
      <c r="G317" s="3">
        <f t="shared" si="8"/>
        <v>33515.919999999998</v>
      </c>
      <c r="H317" s="4">
        <v>0</v>
      </c>
    </row>
    <row r="318" spans="1:8">
      <c r="A318" s="1" t="s">
        <v>245</v>
      </c>
      <c r="B318" s="1" t="s">
        <v>15</v>
      </c>
      <c r="C318" s="1" t="s">
        <v>365</v>
      </c>
      <c r="D318" s="3">
        <v>79113.16</v>
      </c>
      <c r="E318" s="3">
        <v>9734370.6199999992</v>
      </c>
      <c r="F318" s="1" t="s">
        <v>2732</v>
      </c>
      <c r="G318" s="3">
        <f t="shared" si="8"/>
        <v>79113.16</v>
      </c>
      <c r="H318" s="4">
        <v>0</v>
      </c>
    </row>
    <row r="319" spans="1:8">
      <c r="A319" s="1" t="s">
        <v>245</v>
      </c>
      <c r="B319" s="1" t="s">
        <v>15</v>
      </c>
      <c r="C319" s="1" t="s">
        <v>366</v>
      </c>
      <c r="D319" s="3">
        <v>32639.05</v>
      </c>
      <c r="E319" s="3">
        <v>9767009.6699999999</v>
      </c>
      <c r="F319" s="1" t="s">
        <v>2732</v>
      </c>
      <c r="G319" s="3">
        <f t="shared" si="8"/>
        <v>32639.05</v>
      </c>
      <c r="H319" s="4">
        <v>0</v>
      </c>
    </row>
    <row r="320" spans="1:8">
      <c r="A320" s="1" t="s">
        <v>245</v>
      </c>
      <c r="B320" s="1" t="s">
        <v>367</v>
      </c>
      <c r="C320" s="1" t="s">
        <v>368</v>
      </c>
      <c r="D320" s="3">
        <v>1639.82</v>
      </c>
      <c r="E320" s="3">
        <v>9768649.4900000002</v>
      </c>
      <c r="F320" s="2" t="s">
        <v>2732</v>
      </c>
      <c r="G320" s="3">
        <f t="shared" si="8"/>
        <v>1639.82</v>
      </c>
      <c r="H320" s="4">
        <v>0</v>
      </c>
    </row>
    <row r="321" spans="1:8">
      <c r="A321" s="1" t="s">
        <v>245</v>
      </c>
      <c r="B321" s="1" t="s">
        <v>15</v>
      </c>
      <c r="C321" s="1" t="s">
        <v>369</v>
      </c>
      <c r="D321" s="3">
        <v>7368.66</v>
      </c>
      <c r="E321" s="3">
        <v>9776018.1500000004</v>
      </c>
      <c r="F321" s="1" t="s">
        <v>2732</v>
      </c>
      <c r="G321" s="3">
        <f t="shared" si="8"/>
        <v>7368.66</v>
      </c>
      <c r="H321" s="4">
        <v>0</v>
      </c>
    </row>
    <row r="322" spans="1:8">
      <c r="A322" s="1" t="s">
        <v>245</v>
      </c>
      <c r="B322" s="1" t="s">
        <v>15</v>
      </c>
      <c r="C322" s="1" t="s">
        <v>370</v>
      </c>
      <c r="D322" s="3">
        <v>8281.5499999999993</v>
      </c>
      <c r="E322" s="3">
        <v>9784299.6999999993</v>
      </c>
      <c r="F322" s="1" t="s">
        <v>2732</v>
      </c>
      <c r="G322" s="3">
        <f t="shared" si="8"/>
        <v>8281.5499999999993</v>
      </c>
      <c r="H322" s="4">
        <v>0</v>
      </c>
    </row>
    <row r="323" spans="1:8">
      <c r="A323" s="1" t="s">
        <v>245</v>
      </c>
      <c r="B323" s="1" t="s">
        <v>15</v>
      </c>
      <c r="C323" s="1" t="s">
        <v>371</v>
      </c>
      <c r="D323" s="3">
        <v>35854.239999999998</v>
      </c>
      <c r="E323" s="3">
        <v>9820153.9399999995</v>
      </c>
      <c r="F323" s="1" t="s">
        <v>2732</v>
      </c>
      <c r="G323" s="3">
        <f t="shared" si="8"/>
        <v>35854.239999999998</v>
      </c>
      <c r="H323" s="4">
        <v>0</v>
      </c>
    </row>
    <row r="324" spans="1:8">
      <c r="A324" s="1" t="s">
        <v>245</v>
      </c>
      <c r="B324" s="1" t="s">
        <v>372</v>
      </c>
      <c r="C324" s="1" t="s">
        <v>373</v>
      </c>
      <c r="D324" s="3">
        <v>1801.36</v>
      </c>
      <c r="E324" s="3">
        <v>9821955.3000000007</v>
      </c>
      <c r="F324" s="2" t="s">
        <v>2732</v>
      </c>
      <c r="G324" s="3">
        <f t="shared" si="8"/>
        <v>1801.36</v>
      </c>
      <c r="H324" s="4">
        <v>0</v>
      </c>
    </row>
    <row r="325" spans="1:8">
      <c r="A325" s="1" t="s">
        <v>245</v>
      </c>
      <c r="B325" s="1" t="s">
        <v>15</v>
      </c>
      <c r="C325" s="1" t="s">
        <v>374</v>
      </c>
      <c r="D325" s="3">
        <v>48746.52</v>
      </c>
      <c r="E325" s="3">
        <v>9870701.8200000003</v>
      </c>
      <c r="F325" s="1" t="s">
        <v>2732</v>
      </c>
      <c r="G325" s="3">
        <f t="shared" si="8"/>
        <v>48746.52</v>
      </c>
      <c r="H325" s="4">
        <v>0</v>
      </c>
    </row>
    <row r="326" spans="1:8">
      <c r="A326" s="1" t="s">
        <v>245</v>
      </c>
      <c r="B326" s="1" t="s">
        <v>15</v>
      </c>
      <c r="C326" s="1" t="s">
        <v>375</v>
      </c>
      <c r="D326" s="3">
        <v>40055.279999999999</v>
      </c>
      <c r="E326" s="3">
        <v>9910757.0999999996</v>
      </c>
      <c r="F326" s="1" t="s">
        <v>2732</v>
      </c>
      <c r="G326" s="3">
        <f t="shared" si="8"/>
        <v>40055.279999999999</v>
      </c>
      <c r="H326" s="4">
        <v>0</v>
      </c>
    </row>
    <row r="327" spans="1:8">
      <c r="A327" s="1" t="s">
        <v>245</v>
      </c>
      <c r="B327" s="1" t="s">
        <v>15</v>
      </c>
      <c r="C327" s="1" t="s">
        <v>376</v>
      </c>
      <c r="D327" s="3">
        <v>7599.54</v>
      </c>
      <c r="E327" s="3">
        <v>9918356.6400000006</v>
      </c>
      <c r="F327" s="1" t="s">
        <v>2732</v>
      </c>
      <c r="G327" s="3">
        <f t="shared" si="8"/>
        <v>7599.54</v>
      </c>
      <c r="H327" s="4">
        <v>0</v>
      </c>
    </row>
    <row r="328" spans="1:8">
      <c r="A328" s="1" t="s">
        <v>245</v>
      </c>
      <c r="B328" s="1" t="s">
        <v>15</v>
      </c>
      <c r="C328" s="1" t="s">
        <v>377</v>
      </c>
      <c r="D328" s="3">
        <v>2143.46</v>
      </c>
      <c r="E328" s="3">
        <v>9920500.0999999996</v>
      </c>
      <c r="F328" s="1" t="s">
        <v>2732</v>
      </c>
      <c r="G328" s="3">
        <f t="shared" si="8"/>
        <v>2143.46</v>
      </c>
      <c r="H328" s="4">
        <v>0</v>
      </c>
    </row>
    <row r="329" spans="1:8">
      <c r="A329" s="1" t="s">
        <v>378</v>
      </c>
      <c r="B329" s="1" t="s">
        <v>15</v>
      </c>
      <c r="C329" s="1" t="s">
        <v>379</v>
      </c>
      <c r="D329" s="3">
        <v>12107.94</v>
      </c>
      <c r="E329" s="3">
        <v>9932608.0399999991</v>
      </c>
      <c r="F329" s="1" t="s">
        <v>2732</v>
      </c>
      <c r="G329" s="3">
        <f t="shared" si="8"/>
        <v>12107.94</v>
      </c>
      <c r="H329" s="4">
        <v>0</v>
      </c>
    </row>
    <row r="330" spans="1:8">
      <c r="A330" s="1" t="s">
        <v>378</v>
      </c>
      <c r="B330" s="1" t="s">
        <v>15</v>
      </c>
      <c r="C330" s="1" t="s">
        <v>380</v>
      </c>
      <c r="D330" s="3">
        <v>8378.98</v>
      </c>
      <c r="E330" s="3">
        <v>9940987.0199999996</v>
      </c>
      <c r="F330" s="1" t="s">
        <v>2732</v>
      </c>
      <c r="G330" s="3">
        <f t="shared" si="8"/>
        <v>8378.98</v>
      </c>
      <c r="H330" s="4">
        <v>0</v>
      </c>
    </row>
    <row r="331" spans="1:8">
      <c r="A331" s="1" t="s">
        <v>378</v>
      </c>
      <c r="B331" s="1" t="s">
        <v>15</v>
      </c>
      <c r="C331" s="1" t="s">
        <v>381</v>
      </c>
      <c r="D331" s="3">
        <v>96170.46</v>
      </c>
      <c r="E331" s="3">
        <v>10037157.48</v>
      </c>
      <c r="F331" s="1" t="s">
        <v>2732</v>
      </c>
      <c r="G331" s="3">
        <f t="shared" si="8"/>
        <v>96170.46</v>
      </c>
      <c r="H331" s="4">
        <v>0</v>
      </c>
    </row>
    <row r="332" spans="1:8">
      <c r="A332" s="1" t="s">
        <v>378</v>
      </c>
      <c r="B332" s="1" t="s">
        <v>15</v>
      </c>
      <c r="C332" s="1" t="s">
        <v>382</v>
      </c>
      <c r="D332" s="3">
        <v>8281.5499999999993</v>
      </c>
      <c r="E332" s="3">
        <v>10045439.029999999</v>
      </c>
      <c r="F332" s="1" t="s">
        <v>2732</v>
      </c>
      <c r="G332" s="3">
        <f t="shared" si="8"/>
        <v>8281.5499999999993</v>
      </c>
      <c r="H332" s="4">
        <v>0</v>
      </c>
    </row>
    <row r="333" spans="1:8">
      <c r="A333" s="1" t="s">
        <v>378</v>
      </c>
      <c r="B333" s="1" t="s">
        <v>15</v>
      </c>
      <c r="C333" s="1" t="s">
        <v>383</v>
      </c>
      <c r="D333" s="3">
        <v>10327.58</v>
      </c>
      <c r="E333" s="3">
        <v>10055766.609999999</v>
      </c>
      <c r="F333" s="1" t="s">
        <v>2732</v>
      </c>
      <c r="G333" s="3">
        <f t="shared" si="8"/>
        <v>10327.58</v>
      </c>
      <c r="H333" s="4">
        <v>0</v>
      </c>
    </row>
    <row r="334" spans="1:8">
      <c r="A334" s="1" t="s">
        <v>378</v>
      </c>
      <c r="B334" s="1" t="s">
        <v>15</v>
      </c>
      <c r="C334" s="1" t="s">
        <v>384</v>
      </c>
      <c r="D334" s="3">
        <v>37023.4</v>
      </c>
      <c r="E334" s="3">
        <v>10092790.01</v>
      </c>
      <c r="F334" s="1" t="s">
        <v>2732</v>
      </c>
      <c r="G334" s="3">
        <f t="shared" si="8"/>
        <v>37023.4</v>
      </c>
      <c r="H334" s="4">
        <v>0</v>
      </c>
    </row>
    <row r="335" spans="1:8">
      <c r="A335" s="1" t="s">
        <v>378</v>
      </c>
      <c r="B335" s="1" t="s">
        <v>385</v>
      </c>
      <c r="C335" s="1" t="s">
        <v>386</v>
      </c>
      <c r="D335" s="3">
        <v>3720.2</v>
      </c>
      <c r="E335" s="3">
        <v>10096510.210000001</v>
      </c>
      <c r="F335" s="2" t="s">
        <v>2732</v>
      </c>
      <c r="G335" s="3">
        <f t="shared" si="8"/>
        <v>3720.2</v>
      </c>
      <c r="H335" s="4">
        <v>0</v>
      </c>
    </row>
    <row r="336" spans="1:8">
      <c r="A336" s="1" t="s">
        <v>378</v>
      </c>
      <c r="B336" s="1" t="s">
        <v>15</v>
      </c>
      <c r="C336" s="1" t="s">
        <v>387</v>
      </c>
      <c r="D336" s="3">
        <v>82133.490000000005</v>
      </c>
      <c r="E336" s="3">
        <v>10178643.699999999</v>
      </c>
      <c r="F336" s="1" t="s">
        <v>2732</v>
      </c>
      <c r="G336" s="3">
        <f t="shared" si="8"/>
        <v>82133.490000000005</v>
      </c>
      <c r="H336" s="4">
        <v>0</v>
      </c>
    </row>
    <row r="337" spans="1:8">
      <c r="A337" s="1" t="s">
        <v>378</v>
      </c>
      <c r="B337" s="1" t="s">
        <v>15</v>
      </c>
      <c r="C337" s="1" t="s">
        <v>388</v>
      </c>
      <c r="D337" s="3">
        <v>56304.12</v>
      </c>
      <c r="E337" s="3">
        <v>10234947.82</v>
      </c>
      <c r="F337" s="1" t="s">
        <v>2732</v>
      </c>
      <c r="G337" s="3">
        <f t="shared" si="8"/>
        <v>56304.12</v>
      </c>
      <c r="H337" s="4">
        <v>0</v>
      </c>
    </row>
    <row r="338" spans="1:8">
      <c r="A338" s="1" t="s">
        <v>378</v>
      </c>
      <c r="B338" s="1" t="s">
        <v>15</v>
      </c>
      <c r="C338" s="1" t="s">
        <v>389</v>
      </c>
      <c r="D338" s="3">
        <v>4189.49</v>
      </c>
      <c r="E338" s="3">
        <v>10239137.310000001</v>
      </c>
      <c r="F338" s="1" t="s">
        <v>2732</v>
      </c>
      <c r="G338" s="3">
        <f t="shared" ref="G338:G401" si="9">+D338</f>
        <v>4189.49</v>
      </c>
      <c r="H338" s="4">
        <v>0</v>
      </c>
    </row>
    <row r="339" spans="1:8">
      <c r="A339" s="1" t="s">
        <v>378</v>
      </c>
      <c r="B339" s="1" t="s">
        <v>15</v>
      </c>
      <c r="C339" s="1" t="s">
        <v>390</v>
      </c>
      <c r="D339" s="3">
        <v>113269.53</v>
      </c>
      <c r="E339" s="3">
        <v>10352406.84</v>
      </c>
      <c r="F339" s="1" t="s">
        <v>2732</v>
      </c>
      <c r="G339" s="3">
        <f t="shared" si="9"/>
        <v>113269.53</v>
      </c>
      <c r="H339" s="4">
        <v>0</v>
      </c>
    </row>
    <row r="340" spans="1:8">
      <c r="A340" s="1" t="s">
        <v>378</v>
      </c>
      <c r="B340" s="1" t="s">
        <v>15</v>
      </c>
      <c r="C340" s="1" t="s">
        <v>391</v>
      </c>
      <c r="D340" s="3">
        <v>8378.98</v>
      </c>
      <c r="E340" s="3">
        <v>10360785.82</v>
      </c>
      <c r="F340" s="1" t="s">
        <v>2732</v>
      </c>
      <c r="G340" s="3">
        <f t="shared" si="9"/>
        <v>8378.98</v>
      </c>
      <c r="H340" s="4">
        <v>0</v>
      </c>
    </row>
    <row r="341" spans="1:8">
      <c r="A341" s="1" t="s">
        <v>378</v>
      </c>
      <c r="B341" s="1" t="s">
        <v>15</v>
      </c>
      <c r="C341" s="1" t="s">
        <v>392</v>
      </c>
      <c r="D341" s="3">
        <v>8281.5499999999993</v>
      </c>
      <c r="E341" s="3">
        <v>10369067.369999999</v>
      </c>
      <c r="F341" s="1" t="s">
        <v>2732</v>
      </c>
      <c r="G341" s="3">
        <f t="shared" si="9"/>
        <v>8281.5499999999993</v>
      </c>
      <c r="H341" s="4">
        <v>0</v>
      </c>
    </row>
    <row r="342" spans="1:8">
      <c r="A342" s="1" t="s">
        <v>378</v>
      </c>
      <c r="B342" s="1" t="s">
        <v>15</v>
      </c>
      <c r="C342" s="1" t="s">
        <v>393</v>
      </c>
      <c r="D342" s="3">
        <v>4189.49</v>
      </c>
      <c r="E342" s="3">
        <v>10373256.859999999</v>
      </c>
      <c r="F342" s="1" t="s">
        <v>2732</v>
      </c>
      <c r="G342" s="3">
        <f t="shared" si="9"/>
        <v>4189.49</v>
      </c>
      <c r="H342" s="4">
        <v>0</v>
      </c>
    </row>
    <row r="343" spans="1:8">
      <c r="A343" s="1" t="s">
        <v>378</v>
      </c>
      <c r="B343" s="1" t="s">
        <v>15</v>
      </c>
      <c r="C343" s="1" t="s">
        <v>394</v>
      </c>
      <c r="D343" s="3">
        <v>14614.5</v>
      </c>
      <c r="E343" s="3">
        <v>10387871.359999999</v>
      </c>
      <c r="F343" s="1" t="s">
        <v>2732</v>
      </c>
      <c r="G343" s="3">
        <f t="shared" si="9"/>
        <v>14614.5</v>
      </c>
      <c r="H343" s="4">
        <v>0</v>
      </c>
    </row>
    <row r="344" spans="1:8">
      <c r="A344" s="1" t="s">
        <v>378</v>
      </c>
      <c r="B344" s="1" t="s">
        <v>15</v>
      </c>
      <c r="C344" s="1" t="s">
        <v>395</v>
      </c>
      <c r="D344" s="3">
        <v>33414.160000000003</v>
      </c>
      <c r="E344" s="3">
        <v>10421285.52</v>
      </c>
      <c r="F344" s="1" t="s">
        <v>2732</v>
      </c>
      <c r="G344" s="3">
        <f t="shared" si="9"/>
        <v>33414.160000000003</v>
      </c>
      <c r="H344" s="4">
        <v>0</v>
      </c>
    </row>
    <row r="345" spans="1:8">
      <c r="A345" s="1" t="s">
        <v>378</v>
      </c>
      <c r="B345" s="1" t="s">
        <v>15</v>
      </c>
      <c r="C345" s="1" t="s">
        <v>396</v>
      </c>
      <c r="D345" s="3">
        <v>41700.04</v>
      </c>
      <c r="E345" s="3">
        <v>10462985.560000001</v>
      </c>
      <c r="F345" s="1" t="s">
        <v>2732</v>
      </c>
      <c r="G345" s="3">
        <f t="shared" si="9"/>
        <v>41700.04</v>
      </c>
      <c r="H345" s="4">
        <v>0</v>
      </c>
    </row>
    <row r="346" spans="1:8">
      <c r="A346" s="1" t="s">
        <v>378</v>
      </c>
      <c r="B346" s="1" t="s">
        <v>397</v>
      </c>
      <c r="C346" s="1" t="s">
        <v>398</v>
      </c>
      <c r="D346" s="3">
        <v>2095.06</v>
      </c>
      <c r="E346" s="3">
        <v>10465080.619999999</v>
      </c>
      <c r="F346" s="2" t="s">
        <v>2732</v>
      </c>
      <c r="G346" s="3">
        <f t="shared" si="9"/>
        <v>2095.06</v>
      </c>
      <c r="H346" s="4">
        <v>0</v>
      </c>
    </row>
    <row r="347" spans="1:8">
      <c r="A347" s="1" t="s">
        <v>378</v>
      </c>
      <c r="B347" s="1" t="s">
        <v>15</v>
      </c>
      <c r="C347" s="1" t="s">
        <v>399</v>
      </c>
      <c r="D347" s="3">
        <v>31762.18</v>
      </c>
      <c r="E347" s="3">
        <v>10496842.800000001</v>
      </c>
      <c r="F347" s="1" t="s">
        <v>2732</v>
      </c>
      <c r="G347" s="3">
        <f t="shared" si="9"/>
        <v>31762.18</v>
      </c>
      <c r="H347" s="4">
        <v>0</v>
      </c>
    </row>
    <row r="348" spans="1:8">
      <c r="A348" s="1" t="s">
        <v>378</v>
      </c>
      <c r="B348" s="1" t="s">
        <v>400</v>
      </c>
      <c r="C348" s="1" t="s">
        <v>401</v>
      </c>
      <c r="D348" s="3">
        <v>1595.77</v>
      </c>
      <c r="E348" s="3">
        <v>10498438.57</v>
      </c>
      <c r="F348" s="2" t="s">
        <v>2732</v>
      </c>
      <c r="G348" s="3">
        <f t="shared" si="9"/>
        <v>1595.77</v>
      </c>
      <c r="H348" s="4">
        <v>0</v>
      </c>
    </row>
    <row r="349" spans="1:8">
      <c r="A349" s="1" t="s">
        <v>378</v>
      </c>
      <c r="B349" s="1" t="s">
        <v>15</v>
      </c>
      <c r="C349" s="1" t="s">
        <v>402</v>
      </c>
      <c r="D349" s="3">
        <v>10522.44</v>
      </c>
      <c r="E349" s="3">
        <v>10508961.01</v>
      </c>
      <c r="F349" s="1" t="s">
        <v>2732</v>
      </c>
      <c r="G349" s="3">
        <f t="shared" si="9"/>
        <v>10522.44</v>
      </c>
      <c r="H349" s="4">
        <v>0</v>
      </c>
    </row>
    <row r="350" spans="1:8">
      <c r="A350" s="1" t="s">
        <v>378</v>
      </c>
      <c r="B350" s="1" t="s">
        <v>15</v>
      </c>
      <c r="C350" s="1" t="s">
        <v>403</v>
      </c>
      <c r="D350" s="3">
        <v>8313.36</v>
      </c>
      <c r="E350" s="3">
        <v>10517274.369999999</v>
      </c>
      <c r="F350" s="1" t="s">
        <v>2732</v>
      </c>
      <c r="G350" s="3">
        <f t="shared" si="9"/>
        <v>8313.36</v>
      </c>
      <c r="H350" s="4">
        <v>0</v>
      </c>
    </row>
    <row r="351" spans="1:8">
      <c r="A351" s="1" t="s">
        <v>378</v>
      </c>
      <c r="B351" s="1" t="s">
        <v>15</v>
      </c>
      <c r="C351" s="1" t="s">
        <v>404</v>
      </c>
      <c r="D351" s="3">
        <v>8573.84</v>
      </c>
      <c r="E351" s="3">
        <v>10525848.210000001</v>
      </c>
      <c r="F351" s="1" t="s">
        <v>2732</v>
      </c>
      <c r="G351" s="3">
        <f t="shared" si="9"/>
        <v>8573.84</v>
      </c>
      <c r="H351" s="4">
        <v>0</v>
      </c>
    </row>
    <row r="352" spans="1:8">
      <c r="A352" s="1" t="s">
        <v>378</v>
      </c>
      <c r="B352" s="1" t="s">
        <v>15</v>
      </c>
      <c r="C352" s="1" t="s">
        <v>405</v>
      </c>
      <c r="D352" s="3">
        <v>7599.54</v>
      </c>
      <c r="E352" s="3">
        <v>10533447.75</v>
      </c>
      <c r="F352" s="1" t="s">
        <v>2732</v>
      </c>
      <c r="G352" s="3">
        <f t="shared" si="9"/>
        <v>7599.54</v>
      </c>
      <c r="H352" s="4">
        <v>0</v>
      </c>
    </row>
    <row r="353" spans="1:8">
      <c r="A353" s="1" t="s">
        <v>378</v>
      </c>
      <c r="B353" s="1" t="s">
        <v>15</v>
      </c>
      <c r="C353" s="1" t="s">
        <v>406</v>
      </c>
      <c r="D353" s="3">
        <v>44622.94</v>
      </c>
      <c r="E353" s="3">
        <v>10578070.689999999</v>
      </c>
      <c r="F353" s="1" t="s">
        <v>2732</v>
      </c>
      <c r="G353" s="3">
        <f t="shared" si="9"/>
        <v>44622.94</v>
      </c>
      <c r="H353" s="4">
        <v>0</v>
      </c>
    </row>
    <row r="354" spans="1:8">
      <c r="A354" s="1" t="s">
        <v>378</v>
      </c>
      <c r="B354" s="1" t="s">
        <v>15</v>
      </c>
      <c r="C354" s="1" t="s">
        <v>407</v>
      </c>
      <c r="D354" s="3">
        <v>8378.98</v>
      </c>
      <c r="E354" s="3">
        <v>10586449.67</v>
      </c>
      <c r="F354" s="1" t="s">
        <v>2732</v>
      </c>
      <c r="G354" s="3">
        <f t="shared" si="9"/>
        <v>8378.98</v>
      </c>
      <c r="H354" s="4">
        <v>0</v>
      </c>
    </row>
    <row r="355" spans="1:8">
      <c r="A355" s="1" t="s">
        <v>378</v>
      </c>
      <c r="B355" s="1" t="s">
        <v>15</v>
      </c>
      <c r="C355" s="1" t="s">
        <v>408</v>
      </c>
      <c r="D355" s="3">
        <v>5553.51</v>
      </c>
      <c r="E355" s="3">
        <v>10592003.18</v>
      </c>
      <c r="F355" s="1" t="s">
        <v>2732</v>
      </c>
      <c r="G355" s="3">
        <f t="shared" si="9"/>
        <v>5553.51</v>
      </c>
      <c r="H355" s="4">
        <v>0</v>
      </c>
    </row>
    <row r="356" spans="1:8">
      <c r="A356" s="1" t="s">
        <v>378</v>
      </c>
      <c r="B356" s="1" t="s">
        <v>409</v>
      </c>
      <c r="C356" s="1" t="s">
        <v>410</v>
      </c>
      <c r="D356" s="2">
        <v>279.01</v>
      </c>
      <c r="E356" s="3">
        <v>10592282.189999999</v>
      </c>
      <c r="F356" s="2" t="s">
        <v>2732</v>
      </c>
      <c r="G356" s="3">
        <f t="shared" si="9"/>
        <v>279.01</v>
      </c>
      <c r="H356" s="4">
        <v>0</v>
      </c>
    </row>
    <row r="357" spans="1:8">
      <c r="A357" s="1" t="s">
        <v>378</v>
      </c>
      <c r="B357" s="1" t="s">
        <v>15</v>
      </c>
      <c r="C357" s="1" t="s">
        <v>411</v>
      </c>
      <c r="D357" s="3">
        <v>53196.78</v>
      </c>
      <c r="E357" s="3">
        <v>10645478.970000001</v>
      </c>
      <c r="F357" s="1" t="s">
        <v>2732</v>
      </c>
      <c r="G357" s="3">
        <f t="shared" si="9"/>
        <v>53196.78</v>
      </c>
      <c r="H357" s="4">
        <v>0</v>
      </c>
    </row>
    <row r="358" spans="1:8">
      <c r="A358" s="1" t="s">
        <v>378</v>
      </c>
      <c r="B358" s="1" t="s">
        <v>15</v>
      </c>
      <c r="C358" s="1" t="s">
        <v>412</v>
      </c>
      <c r="D358" s="3">
        <v>6820.1</v>
      </c>
      <c r="E358" s="3">
        <v>10652299.07</v>
      </c>
      <c r="F358" s="1" t="s">
        <v>2732</v>
      </c>
      <c r="G358" s="3">
        <f t="shared" si="9"/>
        <v>6820.1</v>
      </c>
      <c r="H358" s="4">
        <v>0</v>
      </c>
    </row>
    <row r="359" spans="1:8">
      <c r="A359" s="1" t="s">
        <v>378</v>
      </c>
      <c r="B359" s="1" t="s">
        <v>15</v>
      </c>
      <c r="C359" s="1" t="s">
        <v>413</v>
      </c>
      <c r="D359" s="3">
        <v>8378.98</v>
      </c>
      <c r="E359" s="3">
        <v>10660678.050000001</v>
      </c>
      <c r="F359" s="1" t="s">
        <v>2732</v>
      </c>
      <c r="G359" s="3">
        <f t="shared" si="9"/>
        <v>8378.98</v>
      </c>
      <c r="H359" s="4">
        <v>0</v>
      </c>
    </row>
    <row r="360" spans="1:8">
      <c r="A360" s="1" t="s">
        <v>378</v>
      </c>
      <c r="B360" s="1" t="s">
        <v>15</v>
      </c>
      <c r="C360" s="1" t="s">
        <v>414</v>
      </c>
      <c r="D360" s="3">
        <v>30687.02</v>
      </c>
      <c r="E360" s="3">
        <v>10691365.07</v>
      </c>
      <c r="F360" s="1" t="s">
        <v>2732</v>
      </c>
      <c r="G360" s="3">
        <f t="shared" si="9"/>
        <v>30687.02</v>
      </c>
      <c r="H360" s="4">
        <v>0</v>
      </c>
    </row>
    <row r="361" spans="1:8">
      <c r="A361" s="1" t="s">
        <v>378</v>
      </c>
      <c r="B361" s="1" t="s">
        <v>15</v>
      </c>
      <c r="C361" s="1" t="s">
        <v>415</v>
      </c>
      <c r="D361" s="3">
        <v>6820.1</v>
      </c>
      <c r="E361" s="3">
        <v>10698185.17</v>
      </c>
      <c r="F361" s="1" t="s">
        <v>2732</v>
      </c>
      <c r="G361" s="3">
        <f t="shared" si="9"/>
        <v>6820.1</v>
      </c>
      <c r="H361" s="4">
        <v>0</v>
      </c>
    </row>
    <row r="362" spans="1:8">
      <c r="A362" s="1" t="s">
        <v>378</v>
      </c>
      <c r="B362" s="1" t="s">
        <v>15</v>
      </c>
      <c r="C362" s="1" t="s">
        <v>416</v>
      </c>
      <c r="D362" s="3">
        <v>4871.5</v>
      </c>
      <c r="E362" s="3">
        <v>10703056.67</v>
      </c>
      <c r="F362" s="1" t="s">
        <v>2732</v>
      </c>
      <c r="G362" s="3">
        <f t="shared" si="9"/>
        <v>4871.5</v>
      </c>
      <c r="H362" s="4">
        <v>0</v>
      </c>
    </row>
    <row r="363" spans="1:8">
      <c r="A363" s="1" t="s">
        <v>378</v>
      </c>
      <c r="B363" s="1" t="s">
        <v>417</v>
      </c>
      <c r="C363" s="1" t="s">
        <v>418</v>
      </c>
      <c r="D363" s="2">
        <v>244.75</v>
      </c>
      <c r="E363" s="3">
        <v>10703301.42</v>
      </c>
      <c r="F363" s="2" t="s">
        <v>2732</v>
      </c>
      <c r="G363" s="3">
        <f t="shared" si="9"/>
        <v>244.75</v>
      </c>
      <c r="H363" s="4">
        <v>0</v>
      </c>
    </row>
    <row r="364" spans="1:8">
      <c r="A364" s="1" t="s">
        <v>378</v>
      </c>
      <c r="B364" s="1" t="s">
        <v>15</v>
      </c>
      <c r="C364" s="1" t="s">
        <v>419</v>
      </c>
      <c r="D364" s="3">
        <v>25039.51</v>
      </c>
      <c r="E364" s="3">
        <v>10728340.93</v>
      </c>
      <c r="F364" s="1" t="s">
        <v>2732</v>
      </c>
      <c r="G364" s="3">
        <f t="shared" si="9"/>
        <v>25039.51</v>
      </c>
      <c r="H364" s="4">
        <v>0</v>
      </c>
    </row>
    <row r="365" spans="1:8">
      <c r="A365" s="1" t="s">
        <v>378</v>
      </c>
      <c r="B365" s="1" t="s">
        <v>15</v>
      </c>
      <c r="C365" s="1" t="s">
        <v>420</v>
      </c>
      <c r="D365" s="3">
        <v>4871.5</v>
      </c>
      <c r="E365" s="3">
        <v>10733212.43</v>
      </c>
      <c r="F365" s="1" t="s">
        <v>2732</v>
      </c>
      <c r="G365" s="3">
        <f t="shared" si="9"/>
        <v>4871.5</v>
      </c>
      <c r="H365" s="4">
        <v>0</v>
      </c>
    </row>
    <row r="366" spans="1:8">
      <c r="A366" s="1" t="s">
        <v>378</v>
      </c>
      <c r="B366" s="1" t="s">
        <v>15</v>
      </c>
      <c r="C366" s="1" t="s">
        <v>421</v>
      </c>
      <c r="D366" s="3">
        <v>48617.57</v>
      </c>
      <c r="E366" s="3">
        <v>10781830</v>
      </c>
      <c r="F366" s="1" t="s">
        <v>2732</v>
      </c>
      <c r="G366" s="3">
        <f t="shared" si="9"/>
        <v>48617.57</v>
      </c>
      <c r="H366" s="4">
        <v>0</v>
      </c>
    </row>
    <row r="367" spans="1:8">
      <c r="A367" s="1" t="s">
        <v>378</v>
      </c>
      <c r="B367" s="1" t="s">
        <v>15</v>
      </c>
      <c r="C367" s="1" t="s">
        <v>422</v>
      </c>
      <c r="D367" s="3">
        <v>17927.12</v>
      </c>
      <c r="E367" s="3">
        <v>10799757.119999999</v>
      </c>
      <c r="F367" s="1" t="s">
        <v>2732</v>
      </c>
      <c r="G367" s="3">
        <f t="shared" si="9"/>
        <v>17927.12</v>
      </c>
      <c r="H367" s="4">
        <v>0</v>
      </c>
    </row>
    <row r="368" spans="1:8">
      <c r="A368" s="1" t="s">
        <v>378</v>
      </c>
      <c r="B368" s="1" t="s">
        <v>15</v>
      </c>
      <c r="C368" s="1" t="s">
        <v>423</v>
      </c>
      <c r="D368" s="3">
        <v>24649.79</v>
      </c>
      <c r="E368" s="3">
        <v>10824406.91</v>
      </c>
      <c r="F368" s="1" t="s">
        <v>2732</v>
      </c>
      <c r="G368" s="3">
        <f t="shared" si="9"/>
        <v>24649.79</v>
      </c>
      <c r="H368" s="4">
        <v>0</v>
      </c>
    </row>
    <row r="369" spans="1:8">
      <c r="A369" s="1" t="s">
        <v>378</v>
      </c>
      <c r="B369" s="1" t="s">
        <v>15</v>
      </c>
      <c r="C369" s="1" t="s">
        <v>424</v>
      </c>
      <c r="D369" s="3">
        <v>4871.5</v>
      </c>
      <c r="E369" s="3">
        <v>10829278.41</v>
      </c>
      <c r="F369" s="1" t="s">
        <v>2732</v>
      </c>
      <c r="G369" s="3">
        <f t="shared" si="9"/>
        <v>4871.5</v>
      </c>
      <c r="H369" s="4">
        <v>0</v>
      </c>
    </row>
    <row r="370" spans="1:8">
      <c r="A370" s="1" t="s">
        <v>378</v>
      </c>
      <c r="B370" s="1" t="s">
        <v>15</v>
      </c>
      <c r="C370" s="1" t="s">
        <v>425</v>
      </c>
      <c r="D370" s="3">
        <v>8963.56</v>
      </c>
      <c r="E370" s="3">
        <v>10838241.970000001</v>
      </c>
      <c r="F370" s="1" t="s">
        <v>2732</v>
      </c>
      <c r="G370" s="3">
        <f t="shared" si="9"/>
        <v>8963.56</v>
      </c>
      <c r="H370" s="4">
        <v>0</v>
      </c>
    </row>
    <row r="371" spans="1:8">
      <c r="A371" s="1" t="s">
        <v>378</v>
      </c>
      <c r="B371" s="1" t="s">
        <v>15</v>
      </c>
      <c r="C371" s="1" t="s">
        <v>426</v>
      </c>
      <c r="D371" s="3">
        <v>6820.1</v>
      </c>
      <c r="E371" s="3">
        <v>10845062.07</v>
      </c>
      <c r="F371" s="1" t="s">
        <v>2732</v>
      </c>
      <c r="G371" s="3">
        <f t="shared" si="9"/>
        <v>6820.1</v>
      </c>
      <c r="H371" s="4">
        <v>0</v>
      </c>
    </row>
    <row r="372" spans="1:8">
      <c r="A372" s="1" t="s">
        <v>378</v>
      </c>
      <c r="B372" s="1" t="s">
        <v>15</v>
      </c>
      <c r="C372" s="1" t="s">
        <v>427</v>
      </c>
      <c r="D372" s="3">
        <v>54887.07</v>
      </c>
      <c r="E372" s="3">
        <v>10899949.140000001</v>
      </c>
      <c r="F372" s="1" t="s">
        <v>2732</v>
      </c>
      <c r="G372" s="3">
        <f t="shared" si="9"/>
        <v>54887.07</v>
      </c>
      <c r="H372" s="4">
        <v>0</v>
      </c>
    </row>
    <row r="373" spans="1:8">
      <c r="A373" s="1" t="s">
        <v>378</v>
      </c>
      <c r="B373" s="1" t="s">
        <v>15</v>
      </c>
      <c r="C373" s="1" t="s">
        <v>428</v>
      </c>
      <c r="D373" s="3">
        <v>10327.58</v>
      </c>
      <c r="E373" s="3">
        <v>10910276.720000001</v>
      </c>
      <c r="F373" s="1" t="s">
        <v>2732</v>
      </c>
      <c r="G373" s="3">
        <f t="shared" si="9"/>
        <v>10327.58</v>
      </c>
      <c r="H373" s="4">
        <v>0</v>
      </c>
    </row>
    <row r="374" spans="1:8">
      <c r="A374" s="1" t="s">
        <v>378</v>
      </c>
      <c r="B374" s="1" t="s">
        <v>15</v>
      </c>
      <c r="C374" s="1" t="s">
        <v>429</v>
      </c>
      <c r="D374" s="3">
        <v>60539.7</v>
      </c>
      <c r="E374" s="3">
        <v>10970816.42</v>
      </c>
      <c r="F374" s="1" t="s">
        <v>2732</v>
      </c>
      <c r="G374" s="3">
        <f t="shared" si="9"/>
        <v>60539.7</v>
      </c>
      <c r="H374" s="4">
        <v>0</v>
      </c>
    </row>
    <row r="375" spans="1:8">
      <c r="A375" s="1" t="s">
        <v>378</v>
      </c>
      <c r="B375" s="1" t="s">
        <v>15</v>
      </c>
      <c r="C375" s="1" t="s">
        <v>430</v>
      </c>
      <c r="D375" s="3">
        <v>14614.5</v>
      </c>
      <c r="E375" s="3">
        <v>10985430.92</v>
      </c>
      <c r="F375" s="1" t="s">
        <v>2732</v>
      </c>
      <c r="G375" s="3">
        <f t="shared" si="9"/>
        <v>14614.5</v>
      </c>
      <c r="H375" s="4">
        <v>0</v>
      </c>
    </row>
    <row r="376" spans="1:8">
      <c r="A376" s="1" t="s">
        <v>378</v>
      </c>
      <c r="B376" s="1" t="s">
        <v>15</v>
      </c>
      <c r="C376" s="1" t="s">
        <v>431</v>
      </c>
      <c r="D376" s="3">
        <v>8974.65</v>
      </c>
      <c r="E376" s="3">
        <v>10994405.57</v>
      </c>
      <c r="F376" s="1" t="s">
        <v>2732</v>
      </c>
      <c r="G376" s="3">
        <f t="shared" si="9"/>
        <v>8974.65</v>
      </c>
      <c r="H376" s="4">
        <v>0</v>
      </c>
    </row>
    <row r="377" spans="1:8">
      <c r="A377" s="1" t="s">
        <v>378</v>
      </c>
      <c r="B377" s="1" t="s">
        <v>15</v>
      </c>
      <c r="C377" s="1" t="s">
        <v>432</v>
      </c>
      <c r="D377" s="3">
        <v>20555.34</v>
      </c>
      <c r="E377" s="3">
        <v>11014960.91</v>
      </c>
      <c r="F377" s="1" t="s">
        <v>2732</v>
      </c>
      <c r="G377" s="3">
        <f t="shared" si="9"/>
        <v>20555.34</v>
      </c>
      <c r="H377" s="4">
        <v>0</v>
      </c>
    </row>
    <row r="378" spans="1:8">
      <c r="A378" s="1" t="s">
        <v>378</v>
      </c>
      <c r="B378" s="1" t="s">
        <v>15</v>
      </c>
      <c r="C378" s="1" t="s">
        <v>433</v>
      </c>
      <c r="D378" s="3">
        <v>44873.25</v>
      </c>
      <c r="E378" s="3">
        <v>11059834.16</v>
      </c>
      <c r="F378" s="1" t="s">
        <v>2732</v>
      </c>
      <c r="G378" s="3">
        <f t="shared" si="9"/>
        <v>44873.25</v>
      </c>
      <c r="H378" s="4">
        <v>0</v>
      </c>
    </row>
    <row r="379" spans="1:8">
      <c r="A379" s="1" t="s">
        <v>378</v>
      </c>
      <c r="B379" s="1" t="s">
        <v>15</v>
      </c>
      <c r="C379" s="1" t="s">
        <v>434</v>
      </c>
      <c r="D379" s="3">
        <v>8378.98</v>
      </c>
      <c r="E379" s="3">
        <v>11068213.140000001</v>
      </c>
      <c r="F379" s="1" t="s">
        <v>2732</v>
      </c>
      <c r="G379" s="3">
        <f t="shared" si="9"/>
        <v>8378.98</v>
      </c>
      <c r="H379" s="4">
        <v>0</v>
      </c>
    </row>
    <row r="380" spans="1:8">
      <c r="A380" s="1" t="s">
        <v>378</v>
      </c>
      <c r="B380" s="1" t="s">
        <v>15</v>
      </c>
      <c r="C380" s="1" t="s">
        <v>435</v>
      </c>
      <c r="D380" s="3">
        <v>143800.22</v>
      </c>
      <c r="E380" s="3">
        <v>11212013.359999999</v>
      </c>
      <c r="F380" s="1" t="s">
        <v>2732</v>
      </c>
      <c r="G380" s="3">
        <f t="shared" si="9"/>
        <v>143800.22</v>
      </c>
      <c r="H380" s="4">
        <v>0</v>
      </c>
    </row>
    <row r="381" spans="1:8">
      <c r="A381" s="1" t="s">
        <v>378</v>
      </c>
      <c r="B381" s="1" t="s">
        <v>15</v>
      </c>
      <c r="C381" s="1" t="s">
        <v>436</v>
      </c>
      <c r="D381" s="3">
        <v>21532.03</v>
      </c>
      <c r="E381" s="3">
        <v>11233545.390000001</v>
      </c>
      <c r="F381" s="1" t="s">
        <v>2732</v>
      </c>
      <c r="G381" s="3">
        <f t="shared" si="9"/>
        <v>21532.03</v>
      </c>
      <c r="H381" s="4">
        <v>0</v>
      </c>
    </row>
    <row r="382" spans="1:8">
      <c r="A382" s="1" t="s">
        <v>378</v>
      </c>
      <c r="B382" s="1" t="s">
        <v>15</v>
      </c>
      <c r="C382" s="1" t="s">
        <v>437</v>
      </c>
      <c r="D382" s="3">
        <v>12092.16</v>
      </c>
      <c r="E382" s="3">
        <v>11245637.550000001</v>
      </c>
      <c r="F382" s="1" t="s">
        <v>2732</v>
      </c>
      <c r="G382" s="3">
        <f t="shared" si="9"/>
        <v>12092.16</v>
      </c>
      <c r="H382" s="4">
        <v>0</v>
      </c>
    </row>
    <row r="383" spans="1:8">
      <c r="A383" s="1" t="s">
        <v>378</v>
      </c>
      <c r="B383" s="1" t="s">
        <v>15</v>
      </c>
      <c r="C383" s="1" t="s">
        <v>438</v>
      </c>
      <c r="D383" s="3">
        <v>7014.96</v>
      </c>
      <c r="E383" s="3">
        <v>11252652.51</v>
      </c>
      <c r="F383" s="1" t="s">
        <v>2732</v>
      </c>
      <c r="G383" s="3">
        <f t="shared" si="9"/>
        <v>7014.96</v>
      </c>
      <c r="H383" s="4">
        <v>0</v>
      </c>
    </row>
    <row r="384" spans="1:8">
      <c r="A384" s="1" t="s">
        <v>378</v>
      </c>
      <c r="B384" s="1" t="s">
        <v>15</v>
      </c>
      <c r="C384" s="1" t="s">
        <v>439</v>
      </c>
      <c r="D384" s="3">
        <v>8378.98</v>
      </c>
      <c r="E384" s="3">
        <v>11261031.49</v>
      </c>
      <c r="F384" s="1" t="s">
        <v>2732</v>
      </c>
      <c r="G384" s="3">
        <f t="shared" si="9"/>
        <v>8378.98</v>
      </c>
      <c r="H384" s="4">
        <v>0</v>
      </c>
    </row>
    <row r="385" spans="1:8">
      <c r="A385" s="1" t="s">
        <v>378</v>
      </c>
      <c r="B385" s="1" t="s">
        <v>15</v>
      </c>
      <c r="C385" s="1" t="s">
        <v>440</v>
      </c>
      <c r="D385" s="3">
        <v>44233.22</v>
      </c>
      <c r="E385" s="3">
        <v>11305264.710000001</v>
      </c>
      <c r="F385" s="1" t="s">
        <v>2732</v>
      </c>
      <c r="G385" s="3">
        <f t="shared" si="9"/>
        <v>44233.22</v>
      </c>
      <c r="H385" s="4">
        <v>0</v>
      </c>
    </row>
    <row r="386" spans="1:8">
      <c r="A386" s="1" t="s">
        <v>378</v>
      </c>
      <c r="B386" s="1" t="s">
        <v>15</v>
      </c>
      <c r="C386" s="1" t="s">
        <v>441</v>
      </c>
      <c r="D386" s="3">
        <v>10717.3</v>
      </c>
      <c r="E386" s="3">
        <v>11315982.01</v>
      </c>
      <c r="F386" s="1" t="s">
        <v>2732</v>
      </c>
      <c r="G386" s="3">
        <f t="shared" si="9"/>
        <v>10717.3</v>
      </c>
      <c r="H386" s="4">
        <v>0</v>
      </c>
    </row>
    <row r="387" spans="1:8">
      <c r="A387" s="1" t="s">
        <v>378</v>
      </c>
      <c r="B387" s="1" t="s">
        <v>15</v>
      </c>
      <c r="C387" s="1" t="s">
        <v>442</v>
      </c>
      <c r="D387" s="3">
        <v>8378.98</v>
      </c>
      <c r="E387" s="3">
        <v>11324360.99</v>
      </c>
      <c r="F387" s="1" t="s">
        <v>2732</v>
      </c>
      <c r="G387" s="3">
        <f t="shared" si="9"/>
        <v>8378.98</v>
      </c>
      <c r="H387" s="4">
        <v>0</v>
      </c>
    </row>
    <row r="388" spans="1:8">
      <c r="A388" s="1" t="s">
        <v>378</v>
      </c>
      <c r="B388" s="1" t="s">
        <v>15</v>
      </c>
      <c r="C388" s="1" t="s">
        <v>443</v>
      </c>
      <c r="D388" s="3">
        <v>29191.23</v>
      </c>
      <c r="E388" s="3">
        <v>11353552.220000001</v>
      </c>
      <c r="F388" s="1" t="s">
        <v>2732</v>
      </c>
      <c r="G388" s="3">
        <f t="shared" si="9"/>
        <v>29191.23</v>
      </c>
      <c r="H388" s="4">
        <v>0</v>
      </c>
    </row>
    <row r="389" spans="1:8">
      <c r="A389" s="1" t="s">
        <v>378</v>
      </c>
      <c r="B389" s="1" t="s">
        <v>15</v>
      </c>
      <c r="C389" s="1" t="s">
        <v>444</v>
      </c>
      <c r="D389" s="3">
        <v>46766.400000000001</v>
      </c>
      <c r="E389" s="3">
        <v>11400318.619999999</v>
      </c>
      <c r="F389" s="1" t="s">
        <v>2732</v>
      </c>
      <c r="G389" s="3">
        <f t="shared" si="9"/>
        <v>46766.400000000001</v>
      </c>
      <c r="H389" s="4">
        <v>0</v>
      </c>
    </row>
    <row r="390" spans="1:8">
      <c r="A390" s="1" t="s">
        <v>378</v>
      </c>
      <c r="B390" s="1" t="s">
        <v>345</v>
      </c>
      <c r="C390" s="1" t="s">
        <v>445</v>
      </c>
      <c r="D390" s="3">
        <v>4699.2</v>
      </c>
      <c r="E390" s="3">
        <v>11405017.82</v>
      </c>
      <c r="F390" s="2" t="s">
        <v>2732</v>
      </c>
      <c r="G390" s="3">
        <f t="shared" si="9"/>
        <v>4699.2</v>
      </c>
      <c r="H390" s="4">
        <v>0</v>
      </c>
    </row>
    <row r="391" spans="1:8">
      <c r="A391" s="1" t="s">
        <v>378</v>
      </c>
      <c r="B391" s="1" t="s">
        <v>15</v>
      </c>
      <c r="C391" s="1" t="s">
        <v>446</v>
      </c>
      <c r="D391" s="3">
        <v>16757.96</v>
      </c>
      <c r="E391" s="3">
        <v>11421775.779999999</v>
      </c>
      <c r="F391" s="1" t="s">
        <v>2732</v>
      </c>
      <c r="G391" s="3">
        <f t="shared" si="9"/>
        <v>16757.96</v>
      </c>
      <c r="H391" s="4">
        <v>0</v>
      </c>
    </row>
    <row r="392" spans="1:8">
      <c r="A392" s="1" t="s">
        <v>378</v>
      </c>
      <c r="B392" s="1" t="s">
        <v>15</v>
      </c>
      <c r="C392" s="1" t="s">
        <v>447</v>
      </c>
      <c r="D392" s="3">
        <v>20850.02</v>
      </c>
      <c r="E392" s="3">
        <v>11442625.800000001</v>
      </c>
      <c r="F392" s="1" t="s">
        <v>2732</v>
      </c>
      <c r="G392" s="3">
        <f t="shared" si="9"/>
        <v>20850.02</v>
      </c>
      <c r="H392" s="4">
        <v>0</v>
      </c>
    </row>
    <row r="393" spans="1:8">
      <c r="A393" s="1" t="s">
        <v>378</v>
      </c>
      <c r="B393" s="1" t="s">
        <v>15</v>
      </c>
      <c r="C393" s="1" t="s">
        <v>448</v>
      </c>
      <c r="D393" s="3">
        <v>31859.61</v>
      </c>
      <c r="E393" s="3">
        <v>11474485.41</v>
      </c>
      <c r="F393" s="1" t="s">
        <v>2732</v>
      </c>
      <c r="G393" s="3">
        <f t="shared" si="9"/>
        <v>31859.61</v>
      </c>
      <c r="H393" s="4">
        <v>0</v>
      </c>
    </row>
    <row r="394" spans="1:8">
      <c r="A394" s="1" t="s">
        <v>378</v>
      </c>
      <c r="B394" s="1" t="s">
        <v>15</v>
      </c>
      <c r="C394" s="1" t="s">
        <v>449</v>
      </c>
      <c r="D394" s="3">
        <v>74826.240000000005</v>
      </c>
      <c r="E394" s="3">
        <v>11549311.65</v>
      </c>
      <c r="F394" s="1" t="s">
        <v>2732</v>
      </c>
      <c r="G394" s="3">
        <f t="shared" si="9"/>
        <v>74826.240000000005</v>
      </c>
      <c r="H394" s="4">
        <v>0</v>
      </c>
    </row>
    <row r="395" spans="1:8">
      <c r="A395" s="1" t="s">
        <v>378</v>
      </c>
      <c r="B395" s="1" t="s">
        <v>15</v>
      </c>
      <c r="C395" s="1" t="s">
        <v>450</v>
      </c>
      <c r="D395" s="3">
        <v>98306.87</v>
      </c>
      <c r="E395" s="3">
        <v>11647618.52</v>
      </c>
      <c r="F395" s="1" t="s">
        <v>2732</v>
      </c>
      <c r="G395" s="3">
        <f t="shared" si="9"/>
        <v>98306.87</v>
      </c>
      <c r="H395" s="4">
        <v>0</v>
      </c>
    </row>
    <row r="396" spans="1:8">
      <c r="A396" s="1" t="s">
        <v>378</v>
      </c>
      <c r="B396" s="1" t="s">
        <v>15</v>
      </c>
      <c r="C396" s="1" t="s">
        <v>451</v>
      </c>
      <c r="D396" s="3">
        <v>18073.259999999998</v>
      </c>
      <c r="E396" s="3">
        <v>11665691.779999999</v>
      </c>
      <c r="F396" s="1" t="s">
        <v>2732</v>
      </c>
      <c r="G396" s="3">
        <f t="shared" si="9"/>
        <v>18073.259999999998</v>
      </c>
      <c r="H396" s="4">
        <v>0</v>
      </c>
    </row>
    <row r="397" spans="1:8">
      <c r="A397" s="1" t="s">
        <v>378</v>
      </c>
      <c r="B397" s="1" t="s">
        <v>15</v>
      </c>
      <c r="C397" s="1" t="s">
        <v>452</v>
      </c>
      <c r="D397" s="3">
        <v>34292.61</v>
      </c>
      <c r="E397" s="3">
        <v>11699984.390000001</v>
      </c>
      <c r="F397" s="1" t="s">
        <v>2732</v>
      </c>
      <c r="G397" s="3">
        <f t="shared" si="9"/>
        <v>34292.61</v>
      </c>
      <c r="H397" s="4">
        <v>0</v>
      </c>
    </row>
    <row r="398" spans="1:8">
      <c r="A398" s="1" t="s">
        <v>378</v>
      </c>
      <c r="B398" s="1" t="s">
        <v>15</v>
      </c>
      <c r="C398" s="1" t="s">
        <v>453</v>
      </c>
      <c r="D398" s="3">
        <v>27864.98</v>
      </c>
      <c r="E398" s="3">
        <v>11727849.369999999</v>
      </c>
      <c r="F398" s="1" t="s">
        <v>2732</v>
      </c>
      <c r="G398" s="3">
        <f t="shared" si="9"/>
        <v>27864.98</v>
      </c>
      <c r="H398" s="4">
        <v>0</v>
      </c>
    </row>
    <row r="399" spans="1:8">
      <c r="A399" s="1" t="s">
        <v>378</v>
      </c>
      <c r="B399" s="1" t="s">
        <v>15</v>
      </c>
      <c r="C399" s="1" t="s">
        <v>454</v>
      </c>
      <c r="D399" s="3">
        <v>46084.39</v>
      </c>
      <c r="E399" s="3">
        <v>11773933.76</v>
      </c>
      <c r="F399" s="1" t="s">
        <v>2732</v>
      </c>
      <c r="G399" s="3">
        <f t="shared" si="9"/>
        <v>46084.39</v>
      </c>
      <c r="H399" s="4">
        <v>0</v>
      </c>
    </row>
    <row r="400" spans="1:8">
      <c r="A400" s="1" t="s">
        <v>378</v>
      </c>
      <c r="B400" s="1" t="s">
        <v>15</v>
      </c>
      <c r="C400" s="1" t="s">
        <v>455</v>
      </c>
      <c r="D400" s="3">
        <v>35367.089999999997</v>
      </c>
      <c r="E400" s="3">
        <v>11809300.85</v>
      </c>
      <c r="F400" s="1" t="s">
        <v>2732</v>
      </c>
      <c r="G400" s="3">
        <f t="shared" si="9"/>
        <v>35367.089999999997</v>
      </c>
      <c r="H400" s="4">
        <v>0</v>
      </c>
    </row>
    <row r="401" spans="1:8">
      <c r="A401" s="1" t="s">
        <v>378</v>
      </c>
      <c r="B401" s="1" t="s">
        <v>15</v>
      </c>
      <c r="C401" s="1" t="s">
        <v>456</v>
      </c>
      <c r="D401" s="3">
        <v>39459.15</v>
      </c>
      <c r="E401" s="3">
        <v>11848760</v>
      </c>
      <c r="F401" s="1" t="s">
        <v>2732</v>
      </c>
      <c r="G401" s="3">
        <f t="shared" si="9"/>
        <v>39459.15</v>
      </c>
      <c r="H401" s="4">
        <v>0</v>
      </c>
    </row>
    <row r="402" spans="1:8">
      <c r="A402" s="1" t="s">
        <v>378</v>
      </c>
      <c r="B402" s="1" t="s">
        <v>15</v>
      </c>
      <c r="C402" s="1" t="s">
        <v>457</v>
      </c>
      <c r="D402" s="3">
        <v>66771.3</v>
      </c>
      <c r="E402" s="3">
        <v>11915531.300000001</v>
      </c>
      <c r="F402" s="1" t="s">
        <v>2732</v>
      </c>
      <c r="G402" s="3">
        <f t="shared" ref="G402:G420" si="10">+D402</f>
        <v>66771.3</v>
      </c>
      <c r="H402" s="4">
        <v>0</v>
      </c>
    </row>
    <row r="403" spans="1:8">
      <c r="A403" s="1" t="s">
        <v>378</v>
      </c>
      <c r="B403" s="1" t="s">
        <v>15</v>
      </c>
      <c r="C403" s="1" t="s">
        <v>458</v>
      </c>
      <c r="D403" s="3">
        <v>36843.300000000003</v>
      </c>
      <c r="E403" s="3">
        <v>11952374.6</v>
      </c>
      <c r="F403" s="1" t="s">
        <v>2732</v>
      </c>
      <c r="G403" s="3">
        <f t="shared" si="10"/>
        <v>36843.300000000003</v>
      </c>
      <c r="H403" s="4">
        <v>0</v>
      </c>
    </row>
    <row r="404" spans="1:8">
      <c r="A404" s="1" t="s">
        <v>378</v>
      </c>
      <c r="B404" s="1" t="s">
        <v>15</v>
      </c>
      <c r="C404" s="1" t="s">
        <v>459</v>
      </c>
      <c r="D404" s="3">
        <v>9541.4699999999993</v>
      </c>
      <c r="E404" s="3">
        <v>11961916.07</v>
      </c>
      <c r="F404" s="1" t="s">
        <v>2732</v>
      </c>
      <c r="G404" s="3">
        <f t="shared" si="10"/>
        <v>9541.4699999999993</v>
      </c>
      <c r="H404" s="4">
        <v>0</v>
      </c>
    </row>
    <row r="405" spans="1:8">
      <c r="A405" s="1" t="s">
        <v>378</v>
      </c>
      <c r="B405" s="1" t="s">
        <v>15</v>
      </c>
      <c r="C405" s="1" t="s">
        <v>460</v>
      </c>
      <c r="D405" s="3">
        <v>23675.49</v>
      </c>
      <c r="E405" s="3">
        <v>11985591.560000001</v>
      </c>
      <c r="F405" s="1" t="s">
        <v>2732</v>
      </c>
      <c r="G405" s="3">
        <f t="shared" si="10"/>
        <v>23675.49</v>
      </c>
      <c r="H405" s="4">
        <v>0</v>
      </c>
    </row>
    <row r="406" spans="1:8">
      <c r="A406" s="1" t="s">
        <v>378</v>
      </c>
      <c r="B406" s="1" t="s">
        <v>15</v>
      </c>
      <c r="C406" s="1" t="s">
        <v>461</v>
      </c>
      <c r="D406" s="3">
        <v>115640.15</v>
      </c>
      <c r="E406" s="3">
        <v>12101231.710000001</v>
      </c>
      <c r="F406" s="1" t="s">
        <v>2732</v>
      </c>
      <c r="G406" s="3">
        <f t="shared" si="10"/>
        <v>115640.15</v>
      </c>
      <c r="H406" s="4">
        <v>0</v>
      </c>
    </row>
    <row r="407" spans="1:8">
      <c r="A407" s="1" t="s">
        <v>378</v>
      </c>
      <c r="B407" s="1" t="s">
        <v>15</v>
      </c>
      <c r="C407" s="1" t="s">
        <v>462</v>
      </c>
      <c r="D407" s="3">
        <v>29852.52</v>
      </c>
      <c r="E407" s="3">
        <v>12131084.23</v>
      </c>
      <c r="F407" s="1" t="s">
        <v>2732</v>
      </c>
      <c r="G407" s="3">
        <f t="shared" si="10"/>
        <v>29852.52</v>
      </c>
      <c r="H407" s="4">
        <v>0</v>
      </c>
    </row>
    <row r="408" spans="1:8">
      <c r="A408" s="1" t="s">
        <v>378</v>
      </c>
      <c r="B408" s="1" t="s">
        <v>15</v>
      </c>
      <c r="C408" s="1" t="s">
        <v>463</v>
      </c>
      <c r="D408" s="3">
        <v>5553.51</v>
      </c>
      <c r="E408" s="3">
        <v>12136637.74</v>
      </c>
      <c r="F408" s="1" t="s">
        <v>2732</v>
      </c>
      <c r="G408" s="3">
        <f t="shared" si="10"/>
        <v>5553.51</v>
      </c>
      <c r="H408" s="4">
        <v>0</v>
      </c>
    </row>
    <row r="409" spans="1:8">
      <c r="A409" s="1" t="s">
        <v>378</v>
      </c>
      <c r="B409" s="1" t="s">
        <v>464</v>
      </c>
      <c r="C409" s="1" t="s">
        <v>465</v>
      </c>
      <c r="D409" s="2">
        <v>837.04</v>
      </c>
      <c r="E409" s="3">
        <v>12137474.779999999</v>
      </c>
      <c r="F409" s="2" t="s">
        <v>2732</v>
      </c>
      <c r="G409" s="3">
        <f t="shared" si="10"/>
        <v>837.04</v>
      </c>
      <c r="H409" s="4">
        <v>0</v>
      </c>
    </row>
    <row r="410" spans="1:8">
      <c r="A410" s="1" t="s">
        <v>466</v>
      </c>
      <c r="B410" s="1" t="s">
        <v>15</v>
      </c>
      <c r="C410" s="1" t="s">
        <v>467</v>
      </c>
      <c r="D410" s="3">
        <v>32833.910000000003</v>
      </c>
      <c r="E410" s="3">
        <v>12170308.689999999</v>
      </c>
      <c r="F410" s="1" t="s">
        <v>2732</v>
      </c>
      <c r="G410" s="3">
        <f t="shared" si="10"/>
        <v>32833.910000000003</v>
      </c>
      <c r="H410" s="4">
        <v>0</v>
      </c>
    </row>
    <row r="411" spans="1:8">
      <c r="A411" s="1" t="s">
        <v>466</v>
      </c>
      <c r="B411" s="1" t="s">
        <v>468</v>
      </c>
      <c r="C411" s="1" t="s">
        <v>469</v>
      </c>
      <c r="D411" s="3">
        <v>3299.23</v>
      </c>
      <c r="E411" s="3">
        <v>12173607.92</v>
      </c>
      <c r="F411" s="2" t="s">
        <v>2732</v>
      </c>
      <c r="G411" s="3">
        <f t="shared" si="10"/>
        <v>3299.23</v>
      </c>
      <c r="H411" s="4">
        <v>0</v>
      </c>
    </row>
    <row r="412" spans="1:8">
      <c r="A412" s="1" t="s">
        <v>466</v>
      </c>
      <c r="B412" s="1" t="s">
        <v>15</v>
      </c>
      <c r="C412" s="1" t="s">
        <v>470</v>
      </c>
      <c r="D412" s="3">
        <v>9743</v>
      </c>
      <c r="E412" s="3">
        <v>12183350.92</v>
      </c>
      <c r="F412" s="1" t="s">
        <v>2732</v>
      </c>
      <c r="G412" s="3">
        <f t="shared" si="10"/>
        <v>9743</v>
      </c>
      <c r="H412" s="4">
        <v>0</v>
      </c>
    </row>
    <row r="413" spans="1:8">
      <c r="A413" s="1" t="s">
        <v>466</v>
      </c>
      <c r="B413" s="1" t="s">
        <v>15</v>
      </c>
      <c r="C413" s="1" t="s">
        <v>471</v>
      </c>
      <c r="D413" s="3">
        <v>69272.73</v>
      </c>
      <c r="E413" s="3">
        <v>12252623.65</v>
      </c>
      <c r="F413" s="1" t="s">
        <v>2732</v>
      </c>
      <c r="G413" s="3">
        <f t="shared" si="10"/>
        <v>69272.73</v>
      </c>
      <c r="H413" s="4">
        <v>0</v>
      </c>
    </row>
    <row r="414" spans="1:8">
      <c r="A414" s="1" t="s">
        <v>466</v>
      </c>
      <c r="B414" s="1" t="s">
        <v>15</v>
      </c>
      <c r="C414" s="1" t="s">
        <v>472</v>
      </c>
      <c r="D414" s="3">
        <v>14127.35</v>
      </c>
      <c r="E414" s="3">
        <v>12266751</v>
      </c>
      <c r="F414" s="1" t="s">
        <v>2732</v>
      </c>
      <c r="G414" s="3">
        <f t="shared" si="10"/>
        <v>14127.35</v>
      </c>
      <c r="H414" s="4">
        <v>0</v>
      </c>
    </row>
    <row r="415" spans="1:8">
      <c r="A415" s="1" t="s">
        <v>466</v>
      </c>
      <c r="B415" s="1" t="s">
        <v>15</v>
      </c>
      <c r="C415" s="1" t="s">
        <v>473</v>
      </c>
      <c r="D415" s="3">
        <v>18998.849999999999</v>
      </c>
      <c r="E415" s="3">
        <v>12285749.85</v>
      </c>
      <c r="F415" s="1" t="s">
        <v>2732</v>
      </c>
      <c r="G415" s="3">
        <f t="shared" si="10"/>
        <v>18998.849999999999</v>
      </c>
      <c r="H415" s="4">
        <v>0</v>
      </c>
    </row>
    <row r="416" spans="1:8">
      <c r="A416" s="1" t="s">
        <v>466</v>
      </c>
      <c r="B416" s="1" t="s">
        <v>15</v>
      </c>
      <c r="C416" s="1" t="s">
        <v>474</v>
      </c>
      <c r="D416" s="3">
        <v>7599.54</v>
      </c>
      <c r="E416" s="3">
        <v>12293349.390000001</v>
      </c>
      <c r="F416" s="1" t="s">
        <v>2732</v>
      </c>
      <c r="G416" s="3">
        <f t="shared" si="10"/>
        <v>7599.54</v>
      </c>
      <c r="H416" s="4">
        <v>0</v>
      </c>
    </row>
    <row r="417" spans="1:8">
      <c r="A417" s="1" t="s">
        <v>466</v>
      </c>
      <c r="B417" s="1" t="s">
        <v>475</v>
      </c>
      <c r="C417" s="1" t="s">
        <v>476</v>
      </c>
      <c r="D417" s="2">
        <v>763.62</v>
      </c>
      <c r="E417" s="3">
        <v>12294113.01</v>
      </c>
      <c r="F417" s="2" t="s">
        <v>2732</v>
      </c>
      <c r="G417" s="3">
        <f t="shared" si="10"/>
        <v>763.62</v>
      </c>
      <c r="H417" s="4">
        <v>0</v>
      </c>
    </row>
    <row r="418" spans="1:8" s="59" customFormat="1">
      <c r="A418" s="59" t="s">
        <v>466</v>
      </c>
      <c r="B418" s="59" t="s">
        <v>28</v>
      </c>
      <c r="C418" s="59" t="s">
        <v>483</v>
      </c>
      <c r="D418" s="63">
        <v>-570.35</v>
      </c>
      <c r="E418" s="64">
        <v>10580640.08</v>
      </c>
      <c r="G418" s="64">
        <f t="shared" si="10"/>
        <v>-570.35</v>
      </c>
      <c r="H418" s="65"/>
    </row>
    <row r="419" spans="1:8" s="59" customFormat="1">
      <c r="A419" s="59" t="s">
        <v>466</v>
      </c>
      <c r="B419" s="59" t="s">
        <v>28</v>
      </c>
      <c r="C419" s="59" t="s">
        <v>482</v>
      </c>
      <c r="D419" s="64">
        <v>-1571.04</v>
      </c>
      <c r="E419" s="64">
        <v>10676268.800000001</v>
      </c>
      <c r="G419" s="64">
        <f t="shared" si="10"/>
        <v>-1571.04</v>
      </c>
      <c r="H419" s="65"/>
    </row>
    <row r="420" spans="1:8" s="59" customFormat="1">
      <c r="A420" s="59" t="s">
        <v>466</v>
      </c>
      <c r="B420" s="59" t="s">
        <v>28</v>
      </c>
      <c r="C420" s="59" t="s">
        <v>477</v>
      </c>
      <c r="D420" s="64">
        <v>-1623.75</v>
      </c>
      <c r="E420" s="64">
        <v>12021864.83</v>
      </c>
      <c r="G420" s="64">
        <f t="shared" si="10"/>
        <v>-1623.75</v>
      </c>
      <c r="H420" s="65"/>
    </row>
    <row r="421" spans="1:8" s="59" customFormat="1">
      <c r="A421" s="1" t="s">
        <v>466</v>
      </c>
      <c r="B421" s="1" t="s">
        <v>29</v>
      </c>
      <c r="C421" s="1" t="s">
        <v>477</v>
      </c>
      <c r="D421" s="3">
        <v>-270624.43</v>
      </c>
      <c r="E421" s="3">
        <v>12023488.58</v>
      </c>
      <c r="F421" s="1"/>
      <c r="G421" s="4">
        <f t="shared" ref="G421:G426" si="11">+D421/1.006</f>
        <v>-269010.36779324053</v>
      </c>
      <c r="H421" s="4">
        <f t="shared" ref="H421:H426" si="12">+D421-G421</f>
        <v>-1614.0622067594668</v>
      </c>
    </row>
    <row r="422" spans="1:8" s="59" customFormat="1">
      <c r="A422" s="1" t="s">
        <v>466</v>
      </c>
      <c r="B422" s="1" t="s">
        <v>26</v>
      </c>
      <c r="C422" s="1" t="s">
        <v>483</v>
      </c>
      <c r="D422" s="3">
        <v>-95058.37</v>
      </c>
      <c r="E422" s="3">
        <v>10581210.43</v>
      </c>
      <c r="F422" s="1"/>
      <c r="G422" s="4">
        <f t="shared" si="11"/>
        <v>-94491.421471172958</v>
      </c>
      <c r="H422" s="4">
        <f t="shared" si="12"/>
        <v>-566.94852882703708</v>
      </c>
    </row>
    <row r="423" spans="1:8" s="59" customFormat="1">
      <c r="A423" s="1" t="s">
        <v>466</v>
      </c>
      <c r="B423" s="23" t="s">
        <v>478</v>
      </c>
      <c r="C423" s="23" t="s">
        <v>479</v>
      </c>
      <c r="D423" s="33">
        <v>-991916</v>
      </c>
      <c r="E423" s="3">
        <v>11029948.83</v>
      </c>
      <c r="F423" s="1"/>
      <c r="G423" s="4">
        <f t="shared" si="11"/>
        <v>-986000</v>
      </c>
      <c r="H423" s="4">
        <f t="shared" si="12"/>
        <v>-5916</v>
      </c>
    </row>
    <row r="424" spans="1:8" s="59" customFormat="1">
      <c r="A424" s="1" t="s">
        <v>466</v>
      </c>
      <c r="B424" s="23" t="s">
        <v>478</v>
      </c>
      <c r="C424" s="23" t="s">
        <v>484</v>
      </c>
      <c r="D424" s="33">
        <v>-1861502.4</v>
      </c>
      <c r="E424" s="3">
        <v>8719137.6799999997</v>
      </c>
      <c r="F424" s="1"/>
      <c r="G424" s="4">
        <f t="shared" si="11"/>
        <v>-1850400</v>
      </c>
      <c r="H424" s="4">
        <f t="shared" si="12"/>
        <v>-11102.399999999907</v>
      </c>
    </row>
    <row r="425" spans="1:8" s="59" customFormat="1">
      <c r="A425" s="1" t="s">
        <v>466</v>
      </c>
      <c r="B425" s="1" t="s">
        <v>481</v>
      </c>
      <c r="C425" s="1" t="s">
        <v>482</v>
      </c>
      <c r="D425" s="3">
        <v>-261840.61</v>
      </c>
      <c r="E425" s="3">
        <v>10677839.84</v>
      </c>
      <c r="F425" s="1"/>
      <c r="G425" s="4">
        <f t="shared" si="11"/>
        <v>-260278.93638170973</v>
      </c>
      <c r="H425" s="4">
        <f t="shared" si="12"/>
        <v>-1561.6736182902532</v>
      </c>
    </row>
    <row r="426" spans="1:8" s="59" customFormat="1">
      <c r="A426" s="1" t="s">
        <v>466</v>
      </c>
      <c r="B426" s="1" t="s">
        <v>31</v>
      </c>
      <c r="C426" s="1" t="s">
        <v>480</v>
      </c>
      <c r="D426" s="3">
        <v>-90268.38</v>
      </c>
      <c r="E426" s="3">
        <v>10939680.449999999</v>
      </c>
      <c r="F426" s="1"/>
      <c r="G426" s="4">
        <f t="shared" si="11"/>
        <v>-89730</v>
      </c>
      <c r="H426" s="4">
        <f t="shared" si="12"/>
        <v>-538.38000000000466</v>
      </c>
    </row>
    <row r="427" spans="1:8" s="59" customFormat="1">
      <c r="A427" s="59" t="s">
        <v>485</v>
      </c>
      <c r="B427" s="59" t="s">
        <v>28</v>
      </c>
      <c r="C427" s="59" t="s">
        <v>487</v>
      </c>
      <c r="D427" s="63">
        <v>-935.78</v>
      </c>
      <c r="E427" s="64">
        <v>8562238.6199999992</v>
      </c>
      <c r="G427" s="64">
        <f>+D427</f>
        <v>-935.78</v>
      </c>
      <c r="H427" s="65"/>
    </row>
    <row r="428" spans="1:8" s="59" customFormat="1">
      <c r="A428" s="1" t="s">
        <v>485</v>
      </c>
      <c r="B428" s="1" t="s">
        <v>486</v>
      </c>
      <c r="C428" s="1" t="s">
        <v>487</v>
      </c>
      <c r="D428" s="3">
        <v>-155963.28</v>
      </c>
      <c r="E428" s="3">
        <v>8563174.4000000004</v>
      </c>
      <c r="F428" s="1"/>
      <c r="G428" s="4">
        <f>+D428/1.006</f>
        <v>-155033.0815109344</v>
      </c>
      <c r="H428" s="4">
        <f>+D428-G428</f>
        <v>-930.19848906560219</v>
      </c>
    </row>
    <row r="429" spans="1:8" s="59" customFormat="1">
      <c r="A429" s="1" t="s">
        <v>488</v>
      </c>
      <c r="B429" s="1" t="s">
        <v>15</v>
      </c>
      <c r="C429" s="1" t="s">
        <v>490</v>
      </c>
      <c r="D429" s="3">
        <v>6820.1</v>
      </c>
      <c r="E429" s="3">
        <v>8277595.3200000003</v>
      </c>
      <c r="F429" s="1" t="s">
        <v>2732</v>
      </c>
      <c r="G429" s="3">
        <f t="shared" ref="G429:G463" si="13">+D429</f>
        <v>6820.1</v>
      </c>
      <c r="H429" s="4">
        <v>0</v>
      </c>
    </row>
    <row r="430" spans="1:8" s="59" customFormat="1">
      <c r="A430" s="1" t="s">
        <v>488</v>
      </c>
      <c r="B430" s="1" t="s">
        <v>15</v>
      </c>
      <c r="C430" s="1" t="s">
        <v>491</v>
      </c>
      <c r="D430" s="3">
        <v>7794.4</v>
      </c>
      <c r="E430" s="3">
        <v>8285389.7199999997</v>
      </c>
      <c r="F430" s="1" t="s">
        <v>2732</v>
      </c>
      <c r="G430" s="3">
        <f t="shared" si="13"/>
        <v>7794.4</v>
      </c>
      <c r="H430" s="4">
        <v>0</v>
      </c>
    </row>
    <row r="431" spans="1:8">
      <c r="A431" s="1" t="s">
        <v>488</v>
      </c>
      <c r="B431" s="1" t="s">
        <v>15</v>
      </c>
      <c r="C431" s="1" t="s">
        <v>492</v>
      </c>
      <c r="D431" s="3">
        <v>14029.92</v>
      </c>
      <c r="E431" s="3">
        <v>8299419.6399999997</v>
      </c>
      <c r="F431" s="1" t="s">
        <v>2732</v>
      </c>
      <c r="G431" s="3">
        <f t="shared" si="13"/>
        <v>14029.92</v>
      </c>
      <c r="H431" s="4">
        <v>0</v>
      </c>
    </row>
    <row r="432" spans="1:8">
      <c r="A432" s="1" t="s">
        <v>488</v>
      </c>
      <c r="B432" s="1" t="s">
        <v>15</v>
      </c>
      <c r="C432" s="1" t="s">
        <v>493</v>
      </c>
      <c r="D432" s="3">
        <v>15978.52</v>
      </c>
      <c r="E432" s="3">
        <v>8315398.1600000001</v>
      </c>
      <c r="F432" s="1" t="s">
        <v>2732</v>
      </c>
      <c r="G432" s="3">
        <f t="shared" si="13"/>
        <v>15978.52</v>
      </c>
      <c r="H432" s="4">
        <v>0</v>
      </c>
    </row>
    <row r="433" spans="1:8">
      <c r="A433" s="1" t="s">
        <v>488</v>
      </c>
      <c r="B433" s="1" t="s">
        <v>15</v>
      </c>
      <c r="C433" s="1" t="s">
        <v>494</v>
      </c>
      <c r="D433" s="3">
        <v>17050.25</v>
      </c>
      <c r="E433" s="3">
        <v>8332448.4100000001</v>
      </c>
      <c r="F433" s="1" t="s">
        <v>2732</v>
      </c>
      <c r="G433" s="3">
        <f t="shared" si="13"/>
        <v>17050.25</v>
      </c>
      <c r="H433" s="4">
        <v>0</v>
      </c>
    </row>
    <row r="434" spans="1:8">
      <c r="A434" s="1" t="s">
        <v>488</v>
      </c>
      <c r="B434" s="1" t="s">
        <v>15</v>
      </c>
      <c r="C434" s="1" t="s">
        <v>495</v>
      </c>
      <c r="D434" s="3">
        <v>5163.79</v>
      </c>
      <c r="E434" s="3">
        <v>8337612.2000000002</v>
      </c>
      <c r="F434" s="1" t="s">
        <v>2732</v>
      </c>
      <c r="G434" s="3">
        <f t="shared" si="13"/>
        <v>5163.79</v>
      </c>
      <c r="H434" s="4">
        <v>0</v>
      </c>
    </row>
    <row r="435" spans="1:8">
      <c r="A435" s="1" t="s">
        <v>488</v>
      </c>
      <c r="B435" s="1" t="s">
        <v>496</v>
      </c>
      <c r="C435" s="1" t="s">
        <v>497</v>
      </c>
      <c r="D435" s="2">
        <v>259.43</v>
      </c>
      <c r="E435" s="3">
        <v>8337871.6299999999</v>
      </c>
      <c r="F435" s="2" t="s">
        <v>2732</v>
      </c>
      <c r="G435" s="3">
        <f t="shared" si="13"/>
        <v>259.43</v>
      </c>
      <c r="H435" s="4">
        <v>0</v>
      </c>
    </row>
    <row r="436" spans="1:8">
      <c r="A436" s="1" t="s">
        <v>488</v>
      </c>
      <c r="B436" s="1" t="s">
        <v>15</v>
      </c>
      <c r="C436" s="1" t="s">
        <v>498</v>
      </c>
      <c r="D436" s="3">
        <v>14359.44</v>
      </c>
      <c r="E436" s="3">
        <v>8352231.0700000003</v>
      </c>
      <c r="F436" s="1" t="s">
        <v>2732</v>
      </c>
      <c r="G436" s="3">
        <f t="shared" si="13"/>
        <v>14359.44</v>
      </c>
      <c r="H436" s="4">
        <v>0</v>
      </c>
    </row>
    <row r="437" spans="1:8">
      <c r="A437" s="1" t="s">
        <v>488</v>
      </c>
      <c r="B437" s="1" t="s">
        <v>15</v>
      </c>
      <c r="C437" s="1" t="s">
        <v>499</v>
      </c>
      <c r="D437" s="3">
        <v>14419.64</v>
      </c>
      <c r="E437" s="3">
        <v>8366650.71</v>
      </c>
      <c r="F437" s="1" t="s">
        <v>2732</v>
      </c>
      <c r="G437" s="3">
        <f t="shared" si="13"/>
        <v>14419.64</v>
      </c>
      <c r="H437" s="4">
        <v>0</v>
      </c>
    </row>
    <row r="438" spans="1:8">
      <c r="A438" s="1" t="s">
        <v>488</v>
      </c>
      <c r="B438" s="1" t="s">
        <v>15</v>
      </c>
      <c r="C438" s="1" t="s">
        <v>500</v>
      </c>
      <c r="D438" s="3">
        <v>9742.99</v>
      </c>
      <c r="E438" s="3">
        <v>8376393.7000000002</v>
      </c>
      <c r="F438" s="1" t="s">
        <v>2732</v>
      </c>
      <c r="G438" s="3">
        <f t="shared" si="13"/>
        <v>9742.99</v>
      </c>
      <c r="H438" s="4">
        <v>0</v>
      </c>
    </row>
    <row r="439" spans="1:8">
      <c r="A439" s="1" t="s">
        <v>488</v>
      </c>
      <c r="B439" s="1" t="s">
        <v>15</v>
      </c>
      <c r="C439" s="1" t="s">
        <v>501</v>
      </c>
      <c r="D439" s="3">
        <v>9548.14</v>
      </c>
      <c r="E439" s="3">
        <v>8385941.8399999999</v>
      </c>
      <c r="F439" s="1" t="s">
        <v>2732</v>
      </c>
      <c r="G439" s="3">
        <f t="shared" si="13"/>
        <v>9548.14</v>
      </c>
      <c r="H439" s="4">
        <v>0</v>
      </c>
    </row>
    <row r="440" spans="1:8">
      <c r="A440" s="1" t="s">
        <v>488</v>
      </c>
      <c r="B440" s="1" t="s">
        <v>15</v>
      </c>
      <c r="C440" s="1" t="s">
        <v>503</v>
      </c>
      <c r="D440" s="3">
        <v>42186.22</v>
      </c>
      <c r="E440" s="3">
        <v>8314765.0599999996</v>
      </c>
      <c r="F440" s="1" t="s">
        <v>2732</v>
      </c>
      <c r="G440" s="3">
        <f t="shared" si="13"/>
        <v>42186.22</v>
      </c>
      <c r="H440" s="4">
        <v>0</v>
      </c>
    </row>
    <row r="441" spans="1:8">
      <c r="A441" s="1" t="s">
        <v>488</v>
      </c>
      <c r="B441" s="1" t="s">
        <v>15</v>
      </c>
      <c r="C441" s="1" t="s">
        <v>504</v>
      </c>
      <c r="D441" s="3">
        <v>28644.42</v>
      </c>
      <c r="E441" s="3">
        <v>8343409.4800000004</v>
      </c>
      <c r="F441" s="1" t="s">
        <v>2732</v>
      </c>
      <c r="G441" s="3">
        <f t="shared" si="13"/>
        <v>28644.42</v>
      </c>
      <c r="H441" s="4">
        <v>0</v>
      </c>
    </row>
    <row r="442" spans="1:8" s="59" customFormat="1">
      <c r="A442" s="1" t="s">
        <v>488</v>
      </c>
      <c r="B442" s="1" t="s">
        <v>505</v>
      </c>
      <c r="C442" s="1" t="s">
        <v>506</v>
      </c>
      <c r="D442" s="3">
        <v>1439.13</v>
      </c>
      <c r="E442" s="3">
        <v>8344848.6100000003</v>
      </c>
      <c r="F442" s="2" t="s">
        <v>2732</v>
      </c>
      <c r="G442" s="3">
        <f t="shared" si="13"/>
        <v>1439.13</v>
      </c>
      <c r="H442" s="4">
        <v>0</v>
      </c>
    </row>
    <row r="443" spans="1:8" s="59" customFormat="1">
      <c r="A443" s="1" t="s">
        <v>488</v>
      </c>
      <c r="B443" s="1" t="s">
        <v>15</v>
      </c>
      <c r="C443" s="1" t="s">
        <v>507</v>
      </c>
      <c r="D443" s="3">
        <v>33158.97</v>
      </c>
      <c r="E443" s="3">
        <v>8378007.5800000001</v>
      </c>
      <c r="F443" s="1" t="s">
        <v>2732</v>
      </c>
      <c r="G443" s="3">
        <f t="shared" si="13"/>
        <v>33158.97</v>
      </c>
      <c r="H443" s="4">
        <v>0</v>
      </c>
    </row>
    <row r="444" spans="1:8">
      <c r="A444" s="1" t="s">
        <v>488</v>
      </c>
      <c r="B444" s="1" t="s">
        <v>15</v>
      </c>
      <c r="C444" s="1" t="s">
        <v>508</v>
      </c>
      <c r="D444" s="3">
        <v>50027.19</v>
      </c>
      <c r="E444" s="3">
        <v>8428034.7699999996</v>
      </c>
      <c r="F444" s="1" t="s">
        <v>2732</v>
      </c>
      <c r="G444" s="3">
        <f t="shared" si="13"/>
        <v>50027.19</v>
      </c>
      <c r="H444" s="4">
        <v>0</v>
      </c>
    </row>
    <row r="445" spans="1:8">
      <c r="A445" s="1" t="s">
        <v>488</v>
      </c>
      <c r="B445" s="1" t="s">
        <v>15</v>
      </c>
      <c r="C445" s="1" t="s">
        <v>509</v>
      </c>
      <c r="D445" s="3">
        <v>4629.03</v>
      </c>
      <c r="E445" s="3">
        <v>8432663.8000000007</v>
      </c>
      <c r="F445" s="1" t="s">
        <v>2732</v>
      </c>
      <c r="G445" s="3">
        <f t="shared" si="13"/>
        <v>4629.03</v>
      </c>
      <c r="H445" s="4">
        <v>0</v>
      </c>
    </row>
    <row r="446" spans="1:8">
      <c r="A446" s="1" t="s">
        <v>488</v>
      </c>
      <c r="B446" s="1" t="s">
        <v>15</v>
      </c>
      <c r="C446" s="1" t="s">
        <v>510</v>
      </c>
      <c r="D446" s="3">
        <v>28155.32</v>
      </c>
      <c r="E446" s="3">
        <v>8460819.1199999992</v>
      </c>
      <c r="F446" s="1" t="s">
        <v>2732</v>
      </c>
      <c r="G446" s="3">
        <f t="shared" si="13"/>
        <v>28155.32</v>
      </c>
      <c r="H446" s="4">
        <v>0</v>
      </c>
    </row>
    <row r="447" spans="1:8">
      <c r="A447" s="1" t="s">
        <v>488</v>
      </c>
      <c r="B447" s="1" t="s">
        <v>511</v>
      </c>
      <c r="C447" s="1" t="s">
        <v>512</v>
      </c>
      <c r="D447" s="3">
        <v>1413.68</v>
      </c>
      <c r="E447" s="3">
        <v>8462232.8000000007</v>
      </c>
      <c r="F447" s="2" t="s">
        <v>2732</v>
      </c>
      <c r="G447" s="3">
        <f t="shared" si="13"/>
        <v>1413.68</v>
      </c>
      <c r="H447" s="4">
        <v>0</v>
      </c>
    </row>
    <row r="448" spans="1:8">
      <c r="A448" s="1" t="s">
        <v>488</v>
      </c>
      <c r="B448" s="1" t="s">
        <v>15</v>
      </c>
      <c r="C448" s="1" t="s">
        <v>513</v>
      </c>
      <c r="D448" s="3">
        <v>35756.81</v>
      </c>
      <c r="E448" s="3">
        <v>8497989.6099999994</v>
      </c>
      <c r="F448" s="1" t="s">
        <v>2732</v>
      </c>
      <c r="G448" s="3">
        <f t="shared" si="13"/>
        <v>35756.81</v>
      </c>
      <c r="H448" s="4">
        <v>0</v>
      </c>
    </row>
    <row r="449" spans="1:8">
      <c r="A449" s="1" t="s">
        <v>488</v>
      </c>
      <c r="B449" s="1" t="s">
        <v>15</v>
      </c>
      <c r="C449" s="1" t="s">
        <v>514</v>
      </c>
      <c r="D449" s="3">
        <v>29033.17</v>
      </c>
      <c r="E449" s="3">
        <v>8527022.7799999993</v>
      </c>
      <c r="F449" s="1" t="s">
        <v>2732</v>
      </c>
      <c r="G449" s="3">
        <f t="shared" si="13"/>
        <v>29033.17</v>
      </c>
      <c r="H449" s="4">
        <v>0</v>
      </c>
    </row>
    <row r="450" spans="1:8">
      <c r="A450" s="1" t="s">
        <v>488</v>
      </c>
      <c r="B450" s="1" t="s">
        <v>15</v>
      </c>
      <c r="C450" s="1" t="s">
        <v>515</v>
      </c>
      <c r="D450" s="3">
        <v>1851.17</v>
      </c>
      <c r="E450" s="3">
        <v>8528873.9499999993</v>
      </c>
      <c r="F450" s="1" t="s">
        <v>2732</v>
      </c>
      <c r="G450" s="3">
        <f t="shared" si="13"/>
        <v>1851.17</v>
      </c>
      <c r="H450" s="4">
        <v>0</v>
      </c>
    </row>
    <row r="451" spans="1:8">
      <c r="A451" s="1" t="s">
        <v>488</v>
      </c>
      <c r="B451" s="1" t="s">
        <v>15</v>
      </c>
      <c r="C451" s="1" t="s">
        <v>516</v>
      </c>
      <c r="D451" s="3">
        <v>35853.269999999997</v>
      </c>
      <c r="E451" s="3">
        <v>8564727.2200000007</v>
      </c>
      <c r="F451" s="1" t="s">
        <v>2732</v>
      </c>
      <c r="G451" s="3">
        <f t="shared" si="13"/>
        <v>35853.269999999997</v>
      </c>
      <c r="H451" s="4">
        <v>0</v>
      </c>
    </row>
    <row r="452" spans="1:8">
      <c r="A452" s="1" t="s">
        <v>488</v>
      </c>
      <c r="B452" s="1" t="s">
        <v>15</v>
      </c>
      <c r="C452" s="1" t="s">
        <v>517</v>
      </c>
      <c r="D452" s="3">
        <v>19484.05</v>
      </c>
      <c r="E452" s="3">
        <v>8584211.2699999996</v>
      </c>
      <c r="F452" s="1" t="s">
        <v>2732</v>
      </c>
      <c r="G452" s="3">
        <f t="shared" si="13"/>
        <v>19484.05</v>
      </c>
      <c r="H452" s="4">
        <v>0</v>
      </c>
    </row>
    <row r="453" spans="1:8">
      <c r="A453" s="1" t="s">
        <v>488</v>
      </c>
      <c r="B453" s="1" t="s">
        <v>15</v>
      </c>
      <c r="C453" s="1" t="s">
        <v>518</v>
      </c>
      <c r="D453" s="3">
        <v>39845.949999999997</v>
      </c>
      <c r="E453" s="3">
        <v>8624057.2200000007</v>
      </c>
      <c r="F453" s="1" t="s">
        <v>2732</v>
      </c>
      <c r="G453" s="3">
        <f t="shared" si="13"/>
        <v>39845.949999999997</v>
      </c>
      <c r="H453" s="4">
        <v>0</v>
      </c>
    </row>
    <row r="454" spans="1:8">
      <c r="A454" s="1" t="s">
        <v>488</v>
      </c>
      <c r="B454" s="1" t="s">
        <v>519</v>
      </c>
      <c r="C454" s="1" t="s">
        <v>520</v>
      </c>
      <c r="D454" s="3">
        <v>2001.08</v>
      </c>
      <c r="E454" s="3">
        <v>8626058.3000000007</v>
      </c>
      <c r="F454" s="2" t="s">
        <v>2732</v>
      </c>
      <c r="G454" s="3">
        <f t="shared" si="13"/>
        <v>2001.08</v>
      </c>
      <c r="H454" s="4">
        <v>0</v>
      </c>
    </row>
    <row r="455" spans="1:8">
      <c r="A455" s="1" t="s">
        <v>488</v>
      </c>
      <c r="B455" s="1" t="s">
        <v>15</v>
      </c>
      <c r="C455" s="1" t="s">
        <v>521</v>
      </c>
      <c r="D455" s="3">
        <v>59140.01</v>
      </c>
      <c r="E455" s="3">
        <v>8685198.3100000005</v>
      </c>
      <c r="F455" s="1" t="s">
        <v>2732</v>
      </c>
      <c r="G455" s="3">
        <f t="shared" si="13"/>
        <v>59140.01</v>
      </c>
      <c r="H455" s="4">
        <v>0</v>
      </c>
    </row>
    <row r="456" spans="1:8">
      <c r="A456" s="1" t="s">
        <v>488</v>
      </c>
      <c r="B456" s="1" t="s">
        <v>15</v>
      </c>
      <c r="C456" s="1" t="s">
        <v>522</v>
      </c>
      <c r="D456" s="3">
        <v>38968.1</v>
      </c>
      <c r="E456" s="3">
        <v>8724166.4100000001</v>
      </c>
      <c r="F456" s="1" t="s">
        <v>2732</v>
      </c>
      <c r="G456" s="3">
        <f t="shared" si="13"/>
        <v>38968.1</v>
      </c>
      <c r="H456" s="4">
        <v>0</v>
      </c>
    </row>
    <row r="457" spans="1:8">
      <c r="A457" s="1" t="s">
        <v>488</v>
      </c>
      <c r="B457" s="1" t="s">
        <v>15</v>
      </c>
      <c r="C457" s="1" t="s">
        <v>523</v>
      </c>
      <c r="D457" s="3">
        <v>27572.69</v>
      </c>
      <c r="E457" s="3">
        <v>8751739.0999999996</v>
      </c>
      <c r="F457" s="1" t="s">
        <v>2732</v>
      </c>
      <c r="G457" s="3">
        <f t="shared" si="13"/>
        <v>27572.69</v>
      </c>
      <c r="H457" s="4">
        <v>0</v>
      </c>
    </row>
    <row r="458" spans="1:8">
      <c r="A458" s="1" t="s">
        <v>488</v>
      </c>
      <c r="B458" s="1" t="s">
        <v>524</v>
      </c>
      <c r="C458" s="1" t="s">
        <v>525</v>
      </c>
      <c r="D458" s="3">
        <v>1385.28</v>
      </c>
      <c r="E458" s="3">
        <v>8753124.3800000008</v>
      </c>
      <c r="F458" s="2" t="s">
        <v>2732</v>
      </c>
      <c r="G458" s="3">
        <f t="shared" si="13"/>
        <v>1385.28</v>
      </c>
      <c r="H458" s="4">
        <v>0</v>
      </c>
    </row>
    <row r="459" spans="1:8">
      <c r="A459" s="1" t="s">
        <v>488</v>
      </c>
      <c r="B459" s="1" t="s">
        <v>15</v>
      </c>
      <c r="C459" s="1" t="s">
        <v>526</v>
      </c>
      <c r="D459" s="3">
        <v>42794.91</v>
      </c>
      <c r="E459" s="3">
        <v>8795919.2899999991</v>
      </c>
      <c r="F459" s="1" t="s">
        <v>2732</v>
      </c>
      <c r="G459" s="3">
        <f t="shared" si="13"/>
        <v>42794.91</v>
      </c>
      <c r="H459" s="4">
        <v>0</v>
      </c>
    </row>
    <row r="460" spans="1:8">
      <c r="A460" s="1" t="s">
        <v>488</v>
      </c>
      <c r="B460" s="1" t="s">
        <v>15</v>
      </c>
      <c r="C460" s="1" t="s">
        <v>527</v>
      </c>
      <c r="D460" s="3">
        <v>40628.31</v>
      </c>
      <c r="E460" s="3">
        <v>8836547.5999999996</v>
      </c>
      <c r="F460" s="1" t="s">
        <v>2732</v>
      </c>
      <c r="G460" s="3">
        <f t="shared" si="13"/>
        <v>40628.31</v>
      </c>
      <c r="H460" s="4">
        <v>0</v>
      </c>
    </row>
    <row r="461" spans="1:8">
      <c r="A461" s="1" t="s">
        <v>488</v>
      </c>
      <c r="B461" s="1" t="s">
        <v>15</v>
      </c>
      <c r="C461" s="1" t="s">
        <v>528</v>
      </c>
      <c r="D461" s="3">
        <v>50563.25</v>
      </c>
      <c r="E461" s="3">
        <v>8887110.8499999996</v>
      </c>
      <c r="F461" s="1" t="s">
        <v>2732</v>
      </c>
      <c r="G461" s="3">
        <f t="shared" si="13"/>
        <v>50563.25</v>
      </c>
      <c r="H461" s="4">
        <v>0</v>
      </c>
    </row>
    <row r="462" spans="1:8">
      <c r="A462" s="59" t="s">
        <v>488</v>
      </c>
      <c r="B462" s="59" t="s">
        <v>28</v>
      </c>
      <c r="C462" s="59" t="s">
        <v>502</v>
      </c>
      <c r="D462" s="63">
        <v>-676.12</v>
      </c>
      <c r="E462" s="64">
        <v>8272578.8399999999</v>
      </c>
      <c r="F462" s="59"/>
      <c r="G462" s="64">
        <f t="shared" si="13"/>
        <v>-676.12</v>
      </c>
      <c r="H462" s="65"/>
    </row>
    <row r="463" spans="1:8">
      <c r="A463" s="59" t="s">
        <v>488</v>
      </c>
      <c r="B463" s="59" t="s">
        <v>28</v>
      </c>
      <c r="C463" s="59" t="s">
        <v>489</v>
      </c>
      <c r="D463" s="64">
        <v>-1738.35</v>
      </c>
      <c r="E463" s="64">
        <v>8270775.2199999997</v>
      </c>
      <c r="F463" s="59"/>
      <c r="G463" s="64">
        <f t="shared" si="13"/>
        <v>-1738.35</v>
      </c>
      <c r="H463" s="65"/>
    </row>
    <row r="464" spans="1:8">
      <c r="A464" s="1" t="s">
        <v>488</v>
      </c>
      <c r="B464" s="1" t="s">
        <v>49</v>
      </c>
      <c r="C464" s="1" t="s">
        <v>502</v>
      </c>
      <c r="D464" s="3">
        <v>-112686.88</v>
      </c>
      <c r="E464" s="3">
        <v>8273254.96</v>
      </c>
      <c r="G464" s="4">
        <f>+D464/1.006</f>
        <v>-112014.7912524851</v>
      </c>
      <c r="H464" s="4">
        <f>+D464-G464</f>
        <v>-672.08874751490657</v>
      </c>
    </row>
    <row r="465" spans="1:8">
      <c r="A465" s="1" t="s">
        <v>488</v>
      </c>
      <c r="B465" s="1" t="s">
        <v>49</v>
      </c>
      <c r="C465" s="1" t="s">
        <v>489</v>
      </c>
      <c r="D465" s="3">
        <v>-289725.05</v>
      </c>
      <c r="E465" s="3">
        <v>8272513.5700000003</v>
      </c>
      <c r="G465" s="4">
        <f>+D465/1.006</f>
        <v>-287997.06759443338</v>
      </c>
      <c r="H465" s="4">
        <f>+D465-G465</f>
        <v>-1727.9824055666104</v>
      </c>
    </row>
    <row r="466" spans="1:8">
      <c r="A466" s="1" t="s">
        <v>529</v>
      </c>
      <c r="B466" s="1" t="s">
        <v>15</v>
      </c>
      <c r="C466" s="1" t="s">
        <v>530</v>
      </c>
      <c r="D466" s="3">
        <v>16757.96</v>
      </c>
      <c r="E466" s="3">
        <v>8903868.8100000005</v>
      </c>
      <c r="F466" s="1" t="s">
        <v>2732</v>
      </c>
      <c r="G466" s="3">
        <f t="shared" ref="G466:G497" si="14">+D466</f>
        <v>16757.96</v>
      </c>
      <c r="H466" s="4">
        <v>0</v>
      </c>
    </row>
    <row r="467" spans="1:8">
      <c r="A467" s="1" t="s">
        <v>529</v>
      </c>
      <c r="B467" s="1" t="s">
        <v>15</v>
      </c>
      <c r="C467" s="1" t="s">
        <v>531</v>
      </c>
      <c r="D467" s="3">
        <v>90022.399999999994</v>
      </c>
      <c r="E467" s="3">
        <v>8993891.2100000009</v>
      </c>
      <c r="F467" s="1" t="s">
        <v>2732</v>
      </c>
      <c r="G467" s="3">
        <f t="shared" si="14"/>
        <v>90022.399999999994</v>
      </c>
      <c r="H467" s="4">
        <v>0</v>
      </c>
    </row>
    <row r="468" spans="1:8">
      <c r="A468" s="1" t="s">
        <v>529</v>
      </c>
      <c r="B468" s="1" t="s">
        <v>15</v>
      </c>
      <c r="C468" s="1" t="s">
        <v>532</v>
      </c>
      <c r="D468" s="3">
        <v>63324.63</v>
      </c>
      <c r="E468" s="3">
        <v>9057215.8399999999</v>
      </c>
      <c r="F468" s="1" t="s">
        <v>2732</v>
      </c>
      <c r="G468" s="3">
        <f t="shared" si="14"/>
        <v>63324.63</v>
      </c>
      <c r="H468" s="4">
        <v>0</v>
      </c>
    </row>
    <row r="469" spans="1:8">
      <c r="A469" s="1" t="s">
        <v>529</v>
      </c>
      <c r="B469" s="1" t="s">
        <v>533</v>
      </c>
      <c r="C469" s="1" t="s">
        <v>534</v>
      </c>
      <c r="D469" s="3">
        <v>6362.52</v>
      </c>
      <c r="E469" s="3">
        <v>9063578.3599999994</v>
      </c>
      <c r="F469" s="2" t="s">
        <v>2732</v>
      </c>
      <c r="G469" s="3">
        <f t="shared" si="14"/>
        <v>6362.52</v>
      </c>
      <c r="H469" s="4">
        <v>0</v>
      </c>
    </row>
    <row r="470" spans="1:8">
      <c r="A470" s="1" t="s">
        <v>529</v>
      </c>
      <c r="B470" s="1" t="s">
        <v>15</v>
      </c>
      <c r="C470" s="1" t="s">
        <v>535</v>
      </c>
      <c r="D470" s="3">
        <v>18892.11</v>
      </c>
      <c r="E470" s="3">
        <v>9082470.4700000007</v>
      </c>
      <c r="F470" s="1" t="s">
        <v>2732</v>
      </c>
      <c r="G470" s="3">
        <f t="shared" si="14"/>
        <v>18892.11</v>
      </c>
      <c r="H470" s="4">
        <v>0</v>
      </c>
    </row>
    <row r="471" spans="1:8">
      <c r="A471" s="1" t="s">
        <v>529</v>
      </c>
      <c r="B471" s="1" t="s">
        <v>15</v>
      </c>
      <c r="C471" s="1" t="s">
        <v>536</v>
      </c>
      <c r="D471" s="3">
        <v>33513.97</v>
      </c>
      <c r="E471" s="3">
        <v>9115984.4399999995</v>
      </c>
      <c r="F471" s="1" t="s">
        <v>2732</v>
      </c>
      <c r="G471" s="3">
        <f t="shared" si="14"/>
        <v>33513.97</v>
      </c>
      <c r="H471" s="4">
        <v>0</v>
      </c>
    </row>
    <row r="472" spans="1:8">
      <c r="A472" s="1" t="s">
        <v>529</v>
      </c>
      <c r="B472" s="1" t="s">
        <v>15</v>
      </c>
      <c r="C472" s="1" t="s">
        <v>537</v>
      </c>
      <c r="D472" s="3">
        <v>40930.81</v>
      </c>
      <c r="E472" s="3">
        <v>9156915.25</v>
      </c>
      <c r="F472" s="1" t="s">
        <v>2732</v>
      </c>
      <c r="G472" s="3">
        <f t="shared" si="14"/>
        <v>40930.81</v>
      </c>
      <c r="H472" s="4">
        <v>0</v>
      </c>
    </row>
    <row r="473" spans="1:8">
      <c r="A473" s="1" t="s">
        <v>529</v>
      </c>
      <c r="B473" s="1" t="s">
        <v>15</v>
      </c>
      <c r="C473" s="1" t="s">
        <v>538</v>
      </c>
      <c r="D473" s="3">
        <v>34763.07</v>
      </c>
      <c r="E473" s="3">
        <v>9191678.3200000003</v>
      </c>
      <c r="F473" s="1" t="s">
        <v>2732</v>
      </c>
      <c r="G473" s="3">
        <f t="shared" si="14"/>
        <v>34763.07</v>
      </c>
      <c r="H473" s="4">
        <v>0</v>
      </c>
    </row>
    <row r="474" spans="1:8">
      <c r="A474" s="1" t="s">
        <v>529</v>
      </c>
      <c r="B474" s="1" t="s">
        <v>15</v>
      </c>
      <c r="C474" s="1" t="s">
        <v>539</v>
      </c>
      <c r="D474" s="3">
        <v>61184.09</v>
      </c>
      <c r="E474" s="3">
        <v>9252862.4100000001</v>
      </c>
      <c r="F474" s="1" t="s">
        <v>2732</v>
      </c>
      <c r="G474" s="3">
        <f t="shared" si="14"/>
        <v>61184.09</v>
      </c>
      <c r="H474" s="4">
        <v>0</v>
      </c>
    </row>
    <row r="475" spans="1:8">
      <c r="A475" s="1" t="s">
        <v>529</v>
      </c>
      <c r="B475" s="1" t="s">
        <v>15</v>
      </c>
      <c r="C475" s="1" t="s">
        <v>540</v>
      </c>
      <c r="D475" s="3">
        <v>5163.79</v>
      </c>
      <c r="E475" s="3">
        <v>9258026.1999999993</v>
      </c>
      <c r="F475" s="1" t="s">
        <v>2732</v>
      </c>
      <c r="G475" s="3">
        <f t="shared" si="14"/>
        <v>5163.79</v>
      </c>
      <c r="H475" s="4">
        <v>0</v>
      </c>
    </row>
    <row r="476" spans="1:8">
      <c r="A476" s="1" t="s">
        <v>529</v>
      </c>
      <c r="B476" s="1" t="s">
        <v>541</v>
      </c>
      <c r="C476" s="1" t="s">
        <v>542</v>
      </c>
      <c r="D476" s="2">
        <v>259.43</v>
      </c>
      <c r="E476" s="3">
        <v>9258285.6300000008</v>
      </c>
      <c r="F476" s="2" t="s">
        <v>2732</v>
      </c>
      <c r="G476" s="3">
        <f t="shared" si="14"/>
        <v>259.43</v>
      </c>
      <c r="H476" s="4">
        <v>0</v>
      </c>
    </row>
    <row r="477" spans="1:8">
      <c r="A477" s="1" t="s">
        <v>529</v>
      </c>
      <c r="B477" s="1" t="s">
        <v>15</v>
      </c>
      <c r="C477" s="1" t="s">
        <v>543</v>
      </c>
      <c r="D477" s="3">
        <v>26829.48</v>
      </c>
      <c r="E477" s="3">
        <v>9285115.1099999994</v>
      </c>
      <c r="F477" s="1" t="s">
        <v>2732</v>
      </c>
      <c r="G477" s="3">
        <f t="shared" si="14"/>
        <v>26829.48</v>
      </c>
      <c r="H477" s="4">
        <v>0</v>
      </c>
    </row>
    <row r="478" spans="1:8">
      <c r="A478" s="1" t="s">
        <v>529</v>
      </c>
      <c r="B478" s="1" t="s">
        <v>15</v>
      </c>
      <c r="C478" s="1" t="s">
        <v>544</v>
      </c>
      <c r="D478" s="3">
        <v>10327.58</v>
      </c>
      <c r="E478" s="3">
        <v>9295442.6899999995</v>
      </c>
      <c r="F478" s="1" t="s">
        <v>2732</v>
      </c>
      <c r="G478" s="3">
        <f t="shared" si="14"/>
        <v>10327.58</v>
      </c>
      <c r="H478" s="4">
        <v>0</v>
      </c>
    </row>
    <row r="479" spans="1:8">
      <c r="A479" s="1" t="s">
        <v>529</v>
      </c>
      <c r="B479" s="1" t="s">
        <v>15</v>
      </c>
      <c r="C479" s="1" t="s">
        <v>545</v>
      </c>
      <c r="D479" s="3">
        <v>27280.400000000001</v>
      </c>
      <c r="E479" s="3">
        <v>9322723.0899999999</v>
      </c>
      <c r="F479" s="1" t="s">
        <v>2732</v>
      </c>
      <c r="G479" s="3">
        <f t="shared" si="14"/>
        <v>27280.400000000001</v>
      </c>
      <c r="H479" s="4">
        <v>0</v>
      </c>
    </row>
    <row r="480" spans="1:8">
      <c r="A480" s="1" t="s">
        <v>529</v>
      </c>
      <c r="B480" s="1" t="s">
        <v>15</v>
      </c>
      <c r="C480" s="1" t="s">
        <v>546</v>
      </c>
      <c r="D480" s="3">
        <v>29229</v>
      </c>
      <c r="E480" s="3">
        <v>9351952.0899999999</v>
      </c>
      <c r="F480" s="1" t="s">
        <v>2732</v>
      </c>
      <c r="G480" s="3">
        <f t="shared" si="14"/>
        <v>29229</v>
      </c>
      <c r="H480" s="4">
        <v>0</v>
      </c>
    </row>
    <row r="481" spans="1:8">
      <c r="A481" s="1" t="s">
        <v>529</v>
      </c>
      <c r="B481" s="1" t="s">
        <v>15</v>
      </c>
      <c r="C481" s="1" t="s">
        <v>547</v>
      </c>
      <c r="D481" s="3">
        <v>17634.830000000002</v>
      </c>
      <c r="E481" s="3">
        <v>9369586.9199999999</v>
      </c>
      <c r="F481" s="1" t="s">
        <v>2732</v>
      </c>
      <c r="G481" s="3">
        <f t="shared" si="14"/>
        <v>17634.830000000002</v>
      </c>
      <c r="H481" s="4">
        <v>0</v>
      </c>
    </row>
    <row r="482" spans="1:8">
      <c r="A482" s="1" t="s">
        <v>529</v>
      </c>
      <c r="B482" s="1" t="s">
        <v>15</v>
      </c>
      <c r="C482" s="1" t="s">
        <v>548</v>
      </c>
      <c r="D482" s="3">
        <v>15199.08</v>
      </c>
      <c r="E482" s="3">
        <v>9384786</v>
      </c>
      <c r="F482" s="1" t="s">
        <v>2732</v>
      </c>
      <c r="G482" s="3">
        <f t="shared" si="14"/>
        <v>15199.08</v>
      </c>
      <c r="H482" s="4">
        <v>0</v>
      </c>
    </row>
    <row r="483" spans="1:8">
      <c r="A483" s="1" t="s">
        <v>529</v>
      </c>
      <c r="B483" s="1" t="s">
        <v>15</v>
      </c>
      <c r="C483" s="1" t="s">
        <v>549</v>
      </c>
      <c r="D483" s="3">
        <v>7794.4</v>
      </c>
      <c r="E483" s="3">
        <v>9392580.4000000004</v>
      </c>
      <c r="F483" s="1" t="s">
        <v>2732</v>
      </c>
      <c r="G483" s="3">
        <f t="shared" si="14"/>
        <v>7794.4</v>
      </c>
      <c r="H483" s="4">
        <v>0</v>
      </c>
    </row>
    <row r="484" spans="1:8">
      <c r="A484" s="1" t="s">
        <v>529</v>
      </c>
      <c r="B484" s="1" t="s">
        <v>15</v>
      </c>
      <c r="C484" s="1" t="s">
        <v>550</v>
      </c>
      <c r="D484" s="3">
        <v>36536.25</v>
      </c>
      <c r="E484" s="3">
        <v>9429116.6500000004</v>
      </c>
      <c r="F484" s="1" t="s">
        <v>2732</v>
      </c>
      <c r="G484" s="3">
        <f t="shared" si="14"/>
        <v>36536.25</v>
      </c>
      <c r="H484" s="4">
        <v>0</v>
      </c>
    </row>
    <row r="485" spans="1:8">
      <c r="A485" s="1" t="s">
        <v>529</v>
      </c>
      <c r="B485" s="1" t="s">
        <v>551</v>
      </c>
      <c r="C485" s="1" t="s">
        <v>552</v>
      </c>
      <c r="D485" s="3">
        <v>3671.25</v>
      </c>
      <c r="E485" s="3">
        <v>9432787.9000000004</v>
      </c>
      <c r="F485" s="2" t="s">
        <v>2732</v>
      </c>
      <c r="G485" s="3">
        <f t="shared" si="14"/>
        <v>3671.25</v>
      </c>
      <c r="H485" s="4">
        <v>0</v>
      </c>
    </row>
    <row r="486" spans="1:8" s="59" customFormat="1">
      <c r="A486" s="1" t="s">
        <v>529</v>
      </c>
      <c r="B486" s="1" t="s">
        <v>15</v>
      </c>
      <c r="C486" s="1" t="s">
        <v>564</v>
      </c>
      <c r="D486" s="3">
        <v>8184.12</v>
      </c>
      <c r="E486" s="3">
        <v>7557389.9199999999</v>
      </c>
      <c r="F486" s="1" t="s">
        <v>2732</v>
      </c>
      <c r="G486" s="3">
        <f t="shared" si="14"/>
        <v>8184.12</v>
      </c>
      <c r="H486" s="4">
        <v>0</v>
      </c>
    </row>
    <row r="487" spans="1:8" s="59" customFormat="1">
      <c r="A487" s="1" t="s">
        <v>529</v>
      </c>
      <c r="B487" s="1" t="s">
        <v>15</v>
      </c>
      <c r="C487" s="1" t="s">
        <v>565</v>
      </c>
      <c r="D487" s="3">
        <v>10717.3</v>
      </c>
      <c r="E487" s="3">
        <v>7568107.2199999997</v>
      </c>
      <c r="F487" s="1" t="s">
        <v>2732</v>
      </c>
      <c r="G487" s="3">
        <f t="shared" si="14"/>
        <v>10717.3</v>
      </c>
      <c r="H487" s="4">
        <v>0</v>
      </c>
    </row>
    <row r="488" spans="1:8" s="59" customFormat="1">
      <c r="A488" s="1" t="s">
        <v>529</v>
      </c>
      <c r="B488" s="1" t="s">
        <v>566</v>
      </c>
      <c r="C488" s="1" t="s">
        <v>567</v>
      </c>
      <c r="D488" s="2">
        <v>538.45000000000005</v>
      </c>
      <c r="E488" s="3">
        <v>7568645.6699999999</v>
      </c>
      <c r="F488" s="2" t="s">
        <v>2732</v>
      </c>
      <c r="G488" s="3">
        <f t="shared" si="14"/>
        <v>538.45000000000005</v>
      </c>
      <c r="H488" s="4">
        <v>0</v>
      </c>
    </row>
    <row r="489" spans="1:8" s="59" customFormat="1">
      <c r="A489" s="1" t="s">
        <v>529</v>
      </c>
      <c r="B489" s="1" t="s">
        <v>15</v>
      </c>
      <c r="C489" s="1" t="s">
        <v>568</v>
      </c>
      <c r="D489" s="3">
        <v>22408.9</v>
      </c>
      <c r="E489" s="3">
        <v>7591054.5700000003</v>
      </c>
      <c r="F489" s="1" t="s">
        <v>2732</v>
      </c>
      <c r="G489" s="3">
        <f t="shared" si="14"/>
        <v>22408.9</v>
      </c>
      <c r="H489" s="4">
        <v>0</v>
      </c>
    </row>
    <row r="490" spans="1:8" s="59" customFormat="1">
      <c r="A490" s="1" t="s">
        <v>529</v>
      </c>
      <c r="B490" s="1" t="s">
        <v>15</v>
      </c>
      <c r="C490" s="1" t="s">
        <v>569</v>
      </c>
      <c r="D490" s="3">
        <v>33914.730000000003</v>
      </c>
      <c r="E490" s="3">
        <v>7624969.2999999998</v>
      </c>
      <c r="F490" s="1" t="s">
        <v>2732</v>
      </c>
      <c r="G490" s="3">
        <f t="shared" si="14"/>
        <v>33914.730000000003</v>
      </c>
      <c r="H490" s="4">
        <v>0</v>
      </c>
    </row>
    <row r="491" spans="1:8" s="59" customFormat="1">
      <c r="A491" s="1" t="s">
        <v>529</v>
      </c>
      <c r="B491" s="1" t="s">
        <v>15</v>
      </c>
      <c r="C491" s="1" t="s">
        <v>570</v>
      </c>
      <c r="D491" s="3">
        <v>8378.98</v>
      </c>
      <c r="E491" s="3">
        <v>7633348.2800000003</v>
      </c>
      <c r="F491" s="1" t="s">
        <v>2732</v>
      </c>
      <c r="G491" s="3">
        <f t="shared" si="14"/>
        <v>8378.98</v>
      </c>
      <c r="H491" s="4">
        <v>0</v>
      </c>
    </row>
    <row r="492" spans="1:8" s="59" customFormat="1">
      <c r="A492" s="1" t="s">
        <v>529</v>
      </c>
      <c r="B492" s="1" t="s">
        <v>15</v>
      </c>
      <c r="C492" s="1" t="s">
        <v>571</v>
      </c>
      <c r="D492" s="3">
        <v>4189.49</v>
      </c>
      <c r="E492" s="3">
        <v>7637537.7699999996</v>
      </c>
      <c r="F492" s="1" t="s">
        <v>2732</v>
      </c>
      <c r="G492" s="3">
        <f t="shared" si="14"/>
        <v>4189.49</v>
      </c>
      <c r="H492" s="4">
        <v>0</v>
      </c>
    </row>
    <row r="493" spans="1:8" s="59" customFormat="1">
      <c r="A493" s="1" t="s">
        <v>529</v>
      </c>
      <c r="B493" s="1" t="s">
        <v>15</v>
      </c>
      <c r="C493" s="1" t="s">
        <v>572</v>
      </c>
      <c r="D493" s="3">
        <v>6820.1</v>
      </c>
      <c r="E493" s="3">
        <v>7644357.8700000001</v>
      </c>
      <c r="F493" s="1" t="s">
        <v>2732</v>
      </c>
      <c r="G493" s="3">
        <f t="shared" si="14"/>
        <v>6820.1</v>
      </c>
      <c r="H493" s="4">
        <v>0</v>
      </c>
    </row>
    <row r="494" spans="1:8" s="59" customFormat="1">
      <c r="A494" s="1" t="s">
        <v>529</v>
      </c>
      <c r="B494" s="1" t="s">
        <v>15</v>
      </c>
      <c r="C494" s="1" t="s">
        <v>573</v>
      </c>
      <c r="D494" s="3">
        <v>4062.21</v>
      </c>
      <c r="E494" s="3">
        <v>7648420.0800000001</v>
      </c>
      <c r="F494" s="1" t="s">
        <v>2732</v>
      </c>
      <c r="G494" s="3">
        <f t="shared" si="14"/>
        <v>4062.21</v>
      </c>
      <c r="H494" s="4">
        <v>0</v>
      </c>
    </row>
    <row r="495" spans="1:8" s="59" customFormat="1">
      <c r="A495" s="1" t="s">
        <v>529</v>
      </c>
      <c r="B495" s="1" t="s">
        <v>15</v>
      </c>
      <c r="C495" s="1" t="s">
        <v>574</v>
      </c>
      <c r="D495" s="3">
        <v>3410.05</v>
      </c>
      <c r="E495" s="3">
        <v>7651830.1299999999</v>
      </c>
      <c r="F495" s="1" t="s">
        <v>2732</v>
      </c>
      <c r="G495" s="3">
        <f t="shared" si="14"/>
        <v>3410.05</v>
      </c>
      <c r="H495" s="4">
        <v>0</v>
      </c>
    </row>
    <row r="496" spans="1:8" s="59" customFormat="1">
      <c r="A496" s="1" t="s">
        <v>529</v>
      </c>
      <c r="B496" s="1" t="s">
        <v>575</v>
      </c>
      <c r="C496" s="1" t="s">
        <v>576</v>
      </c>
      <c r="D496" s="2">
        <v>513.97</v>
      </c>
      <c r="E496" s="3">
        <v>7652344.0999999996</v>
      </c>
      <c r="F496" s="2" t="s">
        <v>2732</v>
      </c>
      <c r="G496" s="3">
        <f t="shared" si="14"/>
        <v>513.97</v>
      </c>
      <c r="H496" s="4">
        <v>0</v>
      </c>
    </row>
    <row r="497" spans="1:8">
      <c r="A497" s="1" t="s">
        <v>529</v>
      </c>
      <c r="B497" s="1" t="s">
        <v>15</v>
      </c>
      <c r="C497" s="1" t="s">
        <v>577</v>
      </c>
      <c r="D497" s="3">
        <v>28341</v>
      </c>
      <c r="E497" s="3">
        <v>7680685.0999999996</v>
      </c>
      <c r="F497" s="1" t="s">
        <v>2732</v>
      </c>
      <c r="G497" s="3">
        <f t="shared" si="14"/>
        <v>28341</v>
      </c>
      <c r="H497" s="4">
        <v>0</v>
      </c>
    </row>
    <row r="498" spans="1:8">
      <c r="A498" s="1" t="s">
        <v>529</v>
      </c>
      <c r="B498" s="1" t="s">
        <v>15</v>
      </c>
      <c r="C498" s="1" t="s">
        <v>578</v>
      </c>
      <c r="D498" s="3">
        <v>8322.2199999999993</v>
      </c>
      <c r="E498" s="3">
        <v>7689007.3200000003</v>
      </c>
      <c r="F498" s="1" t="s">
        <v>2732</v>
      </c>
      <c r="G498" s="3">
        <f t="shared" ref="G498:G529" si="15">+D498</f>
        <v>8322.2199999999993</v>
      </c>
      <c r="H498" s="4">
        <v>0</v>
      </c>
    </row>
    <row r="499" spans="1:8">
      <c r="A499" s="1" t="s">
        <v>529</v>
      </c>
      <c r="B499" s="1" t="s">
        <v>15</v>
      </c>
      <c r="C499" s="1" t="s">
        <v>579</v>
      </c>
      <c r="D499" s="3">
        <v>3799.77</v>
      </c>
      <c r="E499" s="3">
        <v>7692807.0899999999</v>
      </c>
      <c r="F499" s="1" t="s">
        <v>2732</v>
      </c>
      <c r="G499" s="3">
        <f t="shared" si="15"/>
        <v>3799.77</v>
      </c>
      <c r="H499" s="4">
        <v>0</v>
      </c>
    </row>
    <row r="500" spans="1:8">
      <c r="A500" s="1" t="s">
        <v>529</v>
      </c>
      <c r="B500" s="1" t="s">
        <v>15</v>
      </c>
      <c r="C500" s="1" t="s">
        <v>580</v>
      </c>
      <c r="D500" s="3">
        <v>21337.17</v>
      </c>
      <c r="E500" s="3">
        <v>7714144.2599999998</v>
      </c>
      <c r="F500" s="1" t="s">
        <v>2732</v>
      </c>
      <c r="G500" s="3">
        <f t="shared" si="15"/>
        <v>21337.17</v>
      </c>
      <c r="H500" s="4">
        <v>0</v>
      </c>
    </row>
    <row r="501" spans="1:8">
      <c r="A501" s="1" t="s">
        <v>529</v>
      </c>
      <c r="B501" s="1" t="s">
        <v>15</v>
      </c>
      <c r="C501" s="1" t="s">
        <v>581</v>
      </c>
      <c r="D501" s="3">
        <v>26964.63</v>
      </c>
      <c r="E501" s="3">
        <v>7741108.8899999997</v>
      </c>
      <c r="F501" s="1" t="s">
        <v>2732</v>
      </c>
      <c r="G501" s="3">
        <f t="shared" si="15"/>
        <v>26964.63</v>
      </c>
      <c r="H501" s="4">
        <v>0</v>
      </c>
    </row>
    <row r="502" spans="1:8">
      <c r="A502" s="1" t="s">
        <v>529</v>
      </c>
      <c r="B502" s="1" t="s">
        <v>15</v>
      </c>
      <c r="C502" s="1" t="s">
        <v>582</v>
      </c>
      <c r="D502" s="3">
        <v>20594.46</v>
      </c>
      <c r="E502" s="3">
        <v>7761703.3499999996</v>
      </c>
      <c r="F502" s="1" t="s">
        <v>2732</v>
      </c>
      <c r="G502" s="3">
        <f t="shared" si="15"/>
        <v>20594.46</v>
      </c>
      <c r="H502" s="4">
        <v>0</v>
      </c>
    </row>
    <row r="503" spans="1:8">
      <c r="A503" s="1" t="s">
        <v>529</v>
      </c>
      <c r="B503" s="1" t="s">
        <v>15</v>
      </c>
      <c r="C503" s="1" t="s">
        <v>583</v>
      </c>
      <c r="D503" s="3">
        <v>2143.46</v>
      </c>
      <c r="E503" s="3">
        <v>7763846.8099999996</v>
      </c>
      <c r="F503" s="1" t="s">
        <v>2732</v>
      </c>
      <c r="G503" s="3">
        <f t="shared" si="15"/>
        <v>2143.46</v>
      </c>
      <c r="H503" s="4">
        <v>0</v>
      </c>
    </row>
    <row r="504" spans="1:8">
      <c r="A504" s="1" t="s">
        <v>529</v>
      </c>
      <c r="B504" s="1" t="s">
        <v>15</v>
      </c>
      <c r="C504" s="1" t="s">
        <v>584</v>
      </c>
      <c r="D504" s="3">
        <v>53489.07</v>
      </c>
      <c r="E504" s="3">
        <v>7817335.8799999999</v>
      </c>
      <c r="F504" s="1" t="s">
        <v>2732</v>
      </c>
      <c r="G504" s="3">
        <f t="shared" si="15"/>
        <v>53489.07</v>
      </c>
      <c r="H504" s="4">
        <v>0</v>
      </c>
    </row>
    <row r="505" spans="1:8">
      <c r="A505" s="1" t="s">
        <v>529</v>
      </c>
      <c r="B505" s="1" t="s">
        <v>15</v>
      </c>
      <c r="C505" s="1" t="s">
        <v>585</v>
      </c>
      <c r="D505" s="3">
        <v>7368.66</v>
      </c>
      <c r="E505" s="3">
        <v>7824704.54</v>
      </c>
      <c r="F505" s="1" t="s">
        <v>2732</v>
      </c>
      <c r="G505" s="3">
        <f t="shared" si="15"/>
        <v>7368.66</v>
      </c>
      <c r="H505" s="4">
        <v>0</v>
      </c>
    </row>
    <row r="506" spans="1:8">
      <c r="A506" s="1" t="s">
        <v>529</v>
      </c>
      <c r="B506" s="1" t="s">
        <v>15</v>
      </c>
      <c r="C506" s="1" t="s">
        <v>586</v>
      </c>
      <c r="D506" s="3">
        <v>17551.82</v>
      </c>
      <c r="E506" s="3">
        <v>7842256.3600000003</v>
      </c>
      <c r="F506" s="1" t="s">
        <v>2732</v>
      </c>
      <c r="G506" s="3">
        <f t="shared" si="15"/>
        <v>17551.82</v>
      </c>
      <c r="H506" s="4">
        <v>0</v>
      </c>
    </row>
    <row r="507" spans="1:8">
      <c r="A507" s="1" t="s">
        <v>529</v>
      </c>
      <c r="B507" s="1" t="s">
        <v>15</v>
      </c>
      <c r="C507" s="1" t="s">
        <v>587</v>
      </c>
      <c r="D507" s="3">
        <v>4189.49</v>
      </c>
      <c r="E507" s="3">
        <v>7846445.8499999996</v>
      </c>
      <c r="F507" s="1" t="s">
        <v>2732</v>
      </c>
      <c r="G507" s="3">
        <f t="shared" si="15"/>
        <v>4189.49</v>
      </c>
      <c r="H507" s="4">
        <v>0</v>
      </c>
    </row>
    <row r="508" spans="1:8">
      <c r="A508" s="1" t="s">
        <v>529</v>
      </c>
      <c r="B508" s="1" t="s">
        <v>15</v>
      </c>
      <c r="C508" s="1" t="s">
        <v>588</v>
      </c>
      <c r="D508" s="3">
        <v>4189.49</v>
      </c>
      <c r="E508" s="3">
        <v>7850635.3399999999</v>
      </c>
      <c r="F508" s="1" t="s">
        <v>2732</v>
      </c>
      <c r="G508" s="3">
        <f t="shared" si="15"/>
        <v>4189.49</v>
      </c>
      <c r="H508" s="4">
        <v>0</v>
      </c>
    </row>
    <row r="509" spans="1:8">
      <c r="A509" s="1" t="s">
        <v>529</v>
      </c>
      <c r="B509" s="1" t="s">
        <v>15</v>
      </c>
      <c r="C509" s="1" t="s">
        <v>589</v>
      </c>
      <c r="D509" s="3">
        <v>4189.49</v>
      </c>
      <c r="E509" s="3">
        <v>7854824.8300000001</v>
      </c>
      <c r="F509" s="1" t="s">
        <v>2732</v>
      </c>
      <c r="G509" s="3">
        <f t="shared" si="15"/>
        <v>4189.49</v>
      </c>
      <c r="H509" s="4">
        <v>0</v>
      </c>
    </row>
    <row r="510" spans="1:8">
      <c r="A510" s="1" t="s">
        <v>529</v>
      </c>
      <c r="B510" s="1" t="s">
        <v>15</v>
      </c>
      <c r="C510" s="1" t="s">
        <v>590</v>
      </c>
      <c r="D510" s="3">
        <v>8378.98</v>
      </c>
      <c r="E510" s="3">
        <v>7863203.8099999996</v>
      </c>
      <c r="F510" s="1" t="s">
        <v>2732</v>
      </c>
      <c r="G510" s="3">
        <f t="shared" si="15"/>
        <v>8378.98</v>
      </c>
      <c r="H510" s="4">
        <v>0</v>
      </c>
    </row>
    <row r="511" spans="1:8">
      <c r="A511" s="1" t="s">
        <v>529</v>
      </c>
      <c r="B511" s="1" t="s">
        <v>15</v>
      </c>
      <c r="C511" s="1" t="s">
        <v>591</v>
      </c>
      <c r="D511" s="3">
        <v>8573.84</v>
      </c>
      <c r="E511" s="3">
        <v>7871777.6500000004</v>
      </c>
      <c r="F511" s="1" t="s">
        <v>2732</v>
      </c>
      <c r="G511" s="3">
        <f t="shared" si="15"/>
        <v>8573.84</v>
      </c>
      <c r="H511" s="4">
        <v>0</v>
      </c>
    </row>
    <row r="512" spans="1:8">
      <c r="A512" s="1" t="s">
        <v>529</v>
      </c>
      <c r="B512" s="1" t="s">
        <v>15</v>
      </c>
      <c r="C512" s="1" t="s">
        <v>592</v>
      </c>
      <c r="D512" s="3">
        <v>5163.79</v>
      </c>
      <c r="E512" s="3">
        <v>7876941.4400000004</v>
      </c>
      <c r="F512" s="1" t="s">
        <v>2732</v>
      </c>
      <c r="G512" s="3">
        <f t="shared" si="15"/>
        <v>5163.79</v>
      </c>
      <c r="H512" s="4">
        <v>0</v>
      </c>
    </row>
    <row r="513" spans="1:8">
      <c r="A513" s="1" t="s">
        <v>529</v>
      </c>
      <c r="B513" s="1" t="s">
        <v>593</v>
      </c>
      <c r="C513" s="1" t="s">
        <v>594</v>
      </c>
      <c r="D513" s="2">
        <v>259.43</v>
      </c>
      <c r="E513" s="3">
        <v>7877200.8700000001</v>
      </c>
      <c r="F513" s="2" t="s">
        <v>2732</v>
      </c>
      <c r="G513" s="3">
        <f t="shared" si="15"/>
        <v>259.43</v>
      </c>
      <c r="H513" s="4">
        <v>0</v>
      </c>
    </row>
    <row r="514" spans="1:8">
      <c r="A514" s="1" t="s">
        <v>529</v>
      </c>
      <c r="B514" s="1" t="s">
        <v>15</v>
      </c>
      <c r="C514" s="1" t="s">
        <v>595</v>
      </c>
      <c r="D514" s="3">
        <v>27670.12</v>
      </c>
      <c r="E514" s="3">
        <v>7904870.9900000002</v>
      </c>
      <c r="F514" s="1" t="s">
        <v>2732</v>
      </c>
      <c r="G514" s="3">
        <f t="shared" si="15"/>
        <v>27670.12</v>
      </c>
      <c r="H514" s="4">
        <v>0</v>
      </c>
    </row>
    <row r="515" spans="1:8">
      <c r="A515" s="1" t="s">
        <v>529</v>
      </c>
      <c r="B515" s="1" t="s">
        <v>596</v>
      </c>
      <c r="C515" s="1" t="s">
        <v>597</v>
      </c>
      <c r="D515" s="3">
        <v>1390.18</v>
      </c>
      <c r="E515" s="3">
        <v>7906261.1699999999</v>
      </c>
      <c r="F515" s="2" t="s">
        <v>2732</v>
      </c>
      <c r="G515" s="3">
        <f t="shared" si="15"/>
        <v>1390.18</v>
      </c>
      <c r="H515" s="4">
        <v>0</v>
      </c>
    </row>
    <row r="516" spans="1:8">
      <c r="A516" s="1" t="s">
        <v>529</v>
      </c>
      <c r="B516" s="1" t="s">
        <v>15</v>
      </c>
      <c r="C516" s="1" t="s">
        <v>598</v>
      </c>
      <c r="D516" s="3">
        <v>4189.49</v>
      </c>
      <c r="E516" s="3">
        <v>7910450.6600000001</v>
      </c>
      <c r="F516" s="1" t="s">
        <v>2732</v>
      </c>
      <c r="G516" s="3">
        <f t="shared" si="15"/>
        <v>4189.49</v>
      </c>
      <c r="H516" s="4">
        <v>0</v>
      </c>
    </row>
    <row r="517" spans="1:8">
      <c r="A517" s="1" t="s">
        <v>529</v>
      </c>
      <c r="B517" s="1" t="s">
        <v>15</v>
      </c>
      <c r="C517" s="1" t="s">
        <v>599</v>
      </c>
      <c r="D517" s="3">
        <v>4871.5</v>
      </c>
      <c r="E517" s="3">
        <v>7915322.1600000001</v>
      </c>
      <c r="F517" s="1" t="s">
        <v>2732</v>
      </c>
      <c r="G517" s="3">
        <f t="shared" si="15"/>
        <v>4871.5</v>
      </c>
      <c r="H517" s="4">
        <v>0</v>
      </c>
    </row>
    <row r="518" spans="1:8">
      <c r="A518" s="1" t="s">
        <v>529</v>
      </c>
      <c r="B518" s="1" t="s">
        <v>15</v>
      </c>
      <c r="C518" s="1" t="s">
        <v>600</v>
      </c>
      <c r="D518" s="3">
        <v>4189.49</v>
      </c>
      <c r="E518" s="3">
        <v>7919511.6500000004</v>
      </c>
      <c r="F518" s="1" t="s">
        <v>2732</v>
      </c>
      <c r="G518" s="3">
        <f t="shared" si="15"/>
        <v>4189.49</v>
      </c>
      <c r="H518" s="4">
        <v>0</v>
      </c>
    </row>
    <row r="519" spans="1:8">
      <c r="A519" s="1" t="s">
        <v>529</v>
      </c>
      <c r="B519" s="1" t="s">
        <v>15</v>
      </c>
      <c r="C519" s="1" t="s">
        <v>601</v>
      </c>
      <c r="D519" s="3">
        <v>8378.98</v>
      </c>
      <c r="E519" s="3">
        <v>7927890.6299999999</v>
      </c>
      <c r="F519" s="1" t="s">
        <v>2732</v>
      </c>
      <c r="G519" s="3">
        <f t="shared" si="15"/>
        <v>8378.98</v>
      </c>
      <c r="H519" s="4">
        <v>0</v>
      </c>
    </row>
    <row r="520" spans="1:8">
      <c r="A520" s="1" t="s">
        <v>529</v>
      </c>
      <c r="B520" s="1" t="s">
        <v>15</v>
      </c>
      <c r="C520" s="1" t="s">
        <v>602</v>
      </c>
      <c r="D520" s="3">
        <v>18121.98</v>
      </c>
      <c r="E520" s="3">
        <v>7946012.6100000003</v>
      </c>
      <c r="F520" s="1" t="s">
        <v>2732</v>
      </c>
      <c r="G520" s="3">
        <f t="shared" si="15"/>
        <v>18121.98</v>
      </c>
      <c r="H520" s="4">
        <v>0</v>
      </c>
    </row>
    <row r="521" spans="1:8">
      <c r="A521" s="1" t="s">
        <v>529</v>
      </c>
      <c r="B521" s="1" t="s">
        <v>15</v>
      </c>
      <c r="C521" s="1" t="s">
        <v>603</v>
      </c>
      <c r="D521" s="3">
        <v>81548.91</v>
      </c>
      <c r="E521" s="3">
        <v>8027561.5199999996</v>
      </c>
      <c r="F521" s="1" t="s">
        <v>2732</v>
      </c>
      <c r="G521" s="3">
        <f t="shared" si="15"/>
        <v>81548.91</v>
      </c>
      <c r="H521" s="4">
        <v>0</v>
      </c>
    </row>
    <row r="522" spans="1:8">
      <c r="A522" s="1" t="s">
        <v>529</v>
      </c>
      <c r="B522" s="1" t="s">
        <v>15</v>
      </c>
      <c r="C522" s="1" t="s">
        <v>604</v>
      </c>
      <c r="D522" s="3">
        <v>18043.77</v>
      </c>
      <c r="E522" s="3">
        <v>8045605.29</v>
      </c>
      <c r="F522" s="1" t="s">
        <v>2732</v>
      </c>
      <c r="G522" s="3">
        <f t="shared" si="15"/>
        <v>18043.77</v>
      </c>
      <c r="H522" s="4">
        <v>0</v>
      </c>
    </row>
    <row r="523" spans="1:8">
      <c r="A523" s="1" t="s">
        <v>529</v>
      </c>
      <c r="B523" s="1" t="s">
        <v>15</v>
      </c>
      <c r="C523" s="1" t="s">
        <v>605</v>
      </c>
      <c r="D523" s="3">
        <v>12710.6</v>
      </c>
      <c r="E523" s="3">
        <v>8058315.8899999997</v>
      </c>
      <c r="F523" s="1" t="s">
        <v>2732</v>
      </c>
      <c r="G523" s="3">
        <f t="shared" si="15"/>
        <v>12710.6</v>
      </c>
      <c r="H523" s="4">
        <v>0</v>
      </c>
    </row>
    <row r="524" spans="1:8">
      <c r="A524" s="1" t="s">
        <v>529</v>
      </c>
      <c r="B524" s="1" t="s">
        <v>15</v>
      </c>
      <c r="C524" s="1" t="s">
        <v>606</v>
      </c>
      <c r="D524" s="3">
        <v>23480.63</v>
      </c>
      <c r="E524" s="3">
        <v>8081796.5199999996</v>
      </c>
      <c r="F524" s="1" t="s">
        <v>2732</v>
      </c>
      <c r="G524" s="3">
        <f t="shared" si="15"/>
        <v>23480.63</v>
      </c>
      <c r="H524" s="4">
        <v>0</v>
      </c>
    </row>
    <row r="525" spans="1:8">
      <c r="A525" s="1" t="s">
        <v>529</v>
      </c>
      <c r="B525" s="1" t="s">
        <v>607</v>
      </c>
      <c r="C525" s="1" t="s">
        <v>608</v>
      </c>
      <c r="D525" s="3">
        <v>1179.69</v>
      </c>
      <c r="E525" s="3">
        <v>8082976.21</v>
      </c>
      <c r="F525" s="2" t="s">
        <v>2732</v>
      </c>
      <c r="G525" s="3">
        <f t="shared" si="15"/>
        <v>1179.69</v>
      </c>
      <c r="H525" s="4">
        <v>0</v>
      </c>
    </row>
    <row r="526" spans="1:8">
      <c r="A526" s="1" t="s">
        <v>529</v>
      </c>
      <c r="B526" s="1" t="s">
        <v>15</v>
      </c>
      <c r="C526" s="1" t="s">
        <v>609</v>
      </c>
      <c r="D526" s="3">
        <v>30982.74</v>
      </c>
      <c r="E526" s="3">
        <v>8113958.9500000002</v>
      </c>
      <c r="F526" s="1" t="s">
        <v>2732</v>
      </c>
      <c r="G526" s="3">
        <f t="shared" si="15"/>
        <v>30982.74</v>
      </c>
      <c r="H526" s="4">
        <v>0</v>
      </c>
    </row>
    <row r="527" spans="1:8">
      <c r="A527" s="1" t="s">
        <v>529</v>
      </c>
      <c r="B527" s="1" t="s">
        <v>15</v>
      </c>
      <c r="C527" s="1" t="s">
        <v>610</v>
      </c>
      <c r="D527" s="3">
        <v>13932.49</v>
      </c>
      <c r="E527" s="3">
        <v>8127891.4400000004</v>
      </c>
      <c r="F527" s="1" t="s">
        <v>2732</v>
      </c>
      <c r="G527" s="3">
        <f t="shared" si="15"/>
        <v>13932.49</v>
      </c>
      <c r="H527" s="4">
        <v>0</v>
      </c>
    </row>
    <row r="528" spans="1:8">
      <c r="A528" s="1" t="s">
        <v>529</v>
      </c>
      <c r="B528" s="1" t="s">
        <v>15</v>
      </c>
      <c r="C528" s="1" t="s">
        <v>611</v>
      </c>
      <c r="D528" s="3">
        <v>8124.42</v>
      </c>
      <c r="E528" s="3">
        <v>8136015.8600000003</v>
      </c>
      <c r="F528" s="1" t="s">
        <v>2732</v>
      </c>
      <c r="G528" s="3">
        <f t="shared" si="15"/>
        <v>8124.42</v>
      </c>
      <c r="H528" s="4">
        <v>0</v>
      </c>
    </row>
    <row r="529" spans="1:8">
      <c r="A529" s="1" t="s">
        <v>529</v>
      </c>
      <c r="B529" s="1" t="s">
        <v>15</v>
      </c>
      <c r="C529" s="1" t="s">
        <v>612</v>
      </c>
      <c r="D529" s="3">
        <v>17439.97</v>
      </c>
      <c r="E529" s="3">
        <v>8153455.8300000001</v>
      </c>
      <c r="F529" s="1" t="s">
        <v>2732</v>
      </c>
      <c r="G529" s="3">
        <f t="shared" si="15"/>
        <v>17439.97</v>
      </c>
      <c r="H529" s="4">
        <v>0</v>
      </c>
    </row>
    <row r="530" spans="1:8">
      <c r="A530" s="1" t="s">
        <v>529</v>
      </c>
      <c r="B530" s="1" t="s">
        <v>15</v>
      </c>
      <c r="C530" s="1" t="s">
        <v>613</v>
      </c>
      <c r="D530" s="3">
        <v>27280.400000000001</v>
      </c>
      <c r="E530" s="3">
        <v>8180736.2300000004</v>
      </c>
      <c r="F530" s="1" t="s">
        <v>2732</v>
      </c>
      <c r="G530" s="3">
        <f t="shared" ref="G530:G535" si="16">+D530</f>
        <v>27280.400000000001</v>
      </c>
      <c r="H530" s="4">
        <v>0</v>
      </c>
    </row>
    <row r="531" spans="1:8">
      <c r="A531" s="1" t="s">
        <v>529</v>
      </c>
      <c r="B531" s="1" t="s">
        <v>15</v>
      </c>
      <c r="C531" s="1" t="s">
        <v>614</v>
      </c>
      <c r="D531" s="3">
        <v>8071.96</v>
      </c>
      <c r="E531" s="3">
        <v>8188808.1900000004</v>
      </c>
      <c r="F531" s="1" t="s">
        <v>2732</v>
      </c>
      <c r="G531" s="3">
        <f t="shared" si="16"/>
        <v>8071.96</v>
      </c>
      <c r="H531" s="4">
        <v>0</v>
      </c>
    </row>
    <row r="532" spans="1:8">
      <c r="A532" s="1" t="s">
        <v>529</v>
      </c>
      <c r="B532" s="1" t="s">
        <v>15</v>
      </c>
      <c r="C532" s="1" t="s">
        <v>615</v>
      </c>
      <c r="D532" s="3">
        <v>54755.66</v>
      </c>
      <c r="E532" s="3">
        <v>8243563.8499999996</v>
      </c>
      <c r="F532" s="1" t="s">
        <v>2732</v>
      </c>
      <c r="G532" s="3">
        <f t="shared" si="16"/>
        <v>54755.66</v>
      </c>
      <c r="H532" s="4">
        <v>0</v>
      </c>
    </row>
    <row r="533" spans="1:8">
      <c r="A533" s="1" t="s">
        <v>529</v>
      </c>
      <c r="B533" s="1" t="s">
        <v>15</v>
      </c>
      <c r="C533" s="1" t="s">
        <v>616</v>
      </c>
      <c r="D533" s="3">
        <v>12471.04</v>
      </c>
      <c r="E533" s="3">
        <v>8256034.8899999997</v>
      </c>
      <c r="F533" s="1" t="s">
        <v>2732</v>
      </c>
      <c r="G533" s="3">
        <f t="shared" si="16"/>
        <v>12471.04</v>
      </c>
      <c r="H533" s="4">
        <v>0</v>
      </c>
    </row>
    <row r="534" spans="1:8">
      <c r="A534" s="1" t="s">
        <v>529</v>
      </c>
      <c r="B534" s="1" t="s">
        <v>15</v>
      </c>
      <c r="C534" s="1" t="s">
        <v>617</v>
      </c>
      <c r="D534" s="3">
        <v>15199.08</v>
      </c>
      <c r="E534" s="3">
        <v>8271233.9699999997</v>
      </c>
      <c r="F534" s="1" t="s">
        <v>2732</v>
      </c>
      <c r="G534" s="3">
        <f t="shared" si="16"/>
        <v>15199.08</v>
      </c>
      <c r="H534" s="4">
        <v>0</v>
      </c>
    </row>
    <row r="535" spans="1:8">
      <c r="A535" s="1" t="s">
        <v>529</v>
      </c>
      <c r="B535" s="1" t="s">
        <v>15</v>
      </c>
      <c r="C535" s="1" t="s">
        <v>618</v>
      </c>
      <c r="D535" s="3">
        <v>6820.1</v>
      </c>
      <c r="E535" s="3">
        <v>8278054.0700000003</v>
      </c>
      <c r="F535" s="1" t="s">
        <v>2732</v>
      </c>
      <c r="G535" s="3">
        <f t="shared" si="16"/>
        <v>6820.1</v>
      </c>
      <c r="H535" s="4">
        <v>0</v>
      </c>
    </row>
    <row r="536" spans="1:8">
      <c r="A536" s="1" t="s">
        <v>529</v>
      </c>
      <c r="B536" s="1" t="s">
        <v>553</v>
      </c>
      <c r="C536" s="1" t="s">
        <v>554</v>
      </c>
      <c r="D536" s="3">
        <v>-25262.46</v>
      </c>
      <c r="E536" s="3">
        <v>9407525.4399999995</v>
      </c>
      <c r="G536" s="4">
        <f>+D536/1.006</f>
        <v>-25111.789264413517</v>
      </c>
      <c r="H536" s="4">
        <f>+D536-G536</f>
        <v>-150.6707355864819</v>
      </c>
    </row>
    <row r="537" spans="1:8">
      <c r="A537" s="59" t="s">
        <v>529</v>
      </c>
      <c r="B537" s="59" t="s">
        <v>28</v>
      </c>
      <c r="C537" s="59" t="s">
        <v>560</v>
      </c>
      <c r="D537" s="63">
        <v>-199.45</v>
      </c>
      <c r="E537" s="64">
        <v>8166143.6100000003</v>
      </c>
      <c r="F537" s="59"/>
      <c r="G537" s="64">
        <f>+D537</f>
        <v>-199.45</v>
      </c>
      <c r="H537" s="65"/>
    </row>
    <row r="538" spans="1:8">
      <c r="A538" s="59" t="s">
        <v>529</v>
      </c>
      <c r="B538" s="59" t="s">
        <v>28</v>
      </c>
      <c r="C538" s="59" t="s">
        <v>563</v>
      </c>
      <c r="D538" s="63">
        <v>-976.5</v>
      </c>
      <c r="E538" s="64">
        <v>7549205.7999999998</v>
      </c>
      <c r="F538" s="59"/>
      <c r="G538" s="64">
        <f>+D538</f>
        <v>-976.5</v>
      </c>
      <c r="H538" s="65"/>
    </row>
    <row r="539" spans="1:8">
      <c r="A539" s="59" t="s">
        <v>529</v>
      </c>
      <c r="B539" s="59" t="s">
        <v>28</v>
      </c>
      <c r="C539" s="59" t="s">
        <v>559</v>
      </c>
      <c r="D539" s="64">
        <v>-1130.42</v>
      </c>
      <c r="E539" s="64">
        <v>8199584.0599999996</v>
      </c>
      <c r="F539" s="59"/>
      <c r="G539" s="64">
        <f>+D539</f>
        <v>-1130.42</v>
      </c>
      <c r="H539" s="65"/>
    </row>
    <row r="540" spans="1:8">
      <c r="A540" s="59" t="s">
        <v>529</v>
      </c>
      <c r="B540" s="59" t="s">
        <v>28</v>
      </c>
      <c r="C540" s="59" t="s">
        <v>558</v>
      </c>
      <c r="D540" s="64">
        <v>-1435.64</v>
      </c>
      <c r="E540" s="64">
        <v>8389116.9800000004</v>
      </c>
      <c r="F540" s="59"/>
      <c r="G540" s="64">
        <f>+D540</f>
        <v>-1435.64</v>
      </c>
      <c r="H540" s="65"/>
    </row>
    <row r="541" spans="1:8">
      <c r="A541" s="59" t="s">
        <v>529</v>
      </c>
      <c r="B541" s="59" t="s">
        <v>28</v>
      </c>
      <c r="C541" s="59" t="s">
        <v>561</v>
      </c>
      <c r="D541" s="64">
        <v>-2703.05</v>
      </c>
      <c r="E541" s="64">
        <v>7712932.2999999998</v>
      </c>
      <c r="F541" s="59"/>
      <c r="G541" s="64">
        <f>+D541</f>
        <v>-2703.05</v>
      </c>
      <c r="H541" s="65"/>
    </row>
    <row r="542" spans="1:8">
      <c r="A542" s="1" t="s">
        <v>529</v>
      </c>
      <c r="B542" s="1" t="s">
        <v>562</v>
      </c>
      <c r="C542" s="1" t="s">
        <v>563</v>
      </c>
      <c r="D542" s="3">
        <v>-162750</v>
      </c>
      <c r="E542" s="3">
        <v>7550182.2999999998</v>
      </c>
      <c r="G542" s="4">
        <f t="shared" ref="G542:G549" si="17">+D542/1.006</f>
        <v>-161779.32405566602</v>
      </c>
      <c r="H542" s="4">
        <f t="shared" ref="H542:H549" si="18">+D542-G542</f>
        <v>-970.67594433398335</v>
      </c>
    </row>
    <row r="543" spans="1:8">
      <c r="A543" s="1" t="s">
        <v>529</v>
      </c>
      <c r="B543" s="1" t="s">
        <v>38</v>
      </c>
      <c r="C543" s="1" t="s">
        <v>557</v>
      </c>
      <c r="D543" s="3">
        <v>-446172.78</v>
      </c>
      <c r="E543" s="3">
        <v>8629825.3599999994</v>
      </c>
      <c r="G543" s="4">
        <f t="shared" si="17"/>
        <v>-443511.70974155073</v>
      </c>
      <c r="H543" s="4">
        <f t="shared" si="18"/>
        <v>-2661.0702584492974</v>
      </c>
    </row>
    <row r="544" spans="1:8">
      <c r="A544" s="1" t="s">
        <v>529</v>
      </c>
      <c r="B544" s="1" t="s">
        <v>83</v>
      </c>
      <c r="C544" s="1" t="s">
        <v>559</v>
      </c>
      <c r="D544" s="3">
        <v>-188402.5</v>
      </c>
      <c r="E544" s="3">
        <v>8200714.4800000004</v>
      </c>
      <c r="G544" s="4">
        <f t="shared" si="17"/>
        <v>-187278.82703777336</v>
      </c>
      <c r="H544" s="4">
        <f t="shared" si="18"/>
        <v>-1123.672962226643</v>
      </c>
    </row>
    <row r="545" spans="1:8">
      <c r="A545" s="1" t="s">
        <v>529</v>
      </c>
      <c r="B545" s="1" t="s">
        <v>83</v>
      </c>
      <c r="C545" s="1" t="s">
        <v>558</v>
      </c>
      <c r="D545" s="3">
        <v>-239272.74</v>
      </c>
      <c r="E545" s="3">
        <v>8390552.6199999992</v>
      </c>
      <c r="G545" s="4">
        <f t="shared" si="17"/>
        <v>-237845.66600397613</v>
      </c>
      <c r="H545" s="4">
        <f t="shared" si="18"/>
        <v>-1427.073996023857</v>
      </c>
    </row>
    <row r="546" spans="1:8">
      <c r="A546" s="1" t="s">
        <v>529</v>
      </c>
      <c r="B546" s="1" t="s">
        <v>47</v>
      </c>
      <c r="C546" s="1" t="s">
        <v>555</v>
      </c>
      <c r="D546" s="3">
        <v>-114709.15</v>
      </c>
      <c r="E546" s="3">
        <v>9292816.2899999991</v>
      </c>
      <c r="G546" s="4">
        <f t="shared" si="17"/>
        <v>-114025</v>
      </c>
      <c r="H546" s="4">
        <f t="shared" si="18"/>
        <v>-684.14999999999418</v>
      </c>
    </row>
    <row r="547" spans="1:8">
      <c r="A547" s="1" t="s">
        <v>529</v>
      </c>
      <c r="B547" s="1" t="s">
        <v>47</v>
      </c>
      <c r="C547" s="1" t="s">
        <v>556</v>
      </c>
      <c r="D547" s="3">
        <v>-216818.15</v>
      </c>
      <c r="E547" s="3">
        <v>9075998.1400000006</v>
      </c>
      <c r="G547" s="4">
        <f t="shared" si="17"/>
        <v>-215525</v>
      </c>
      <c r="H547" s="4">
        <f t="shared" si="18"/>
        <v>-1293.1499999999942</v>
      </c>
    </row>
    <row r="548" spans="1:8">
      <c r="A548" s="1" t="s">
        <v>529</v>
      </c>
      <c r="B548" s="1" t="s">
        <v>42</v>
      </c>
      <c r="C548" s="1" t="s">
        <v>560</v>
      </c>
      <c r="D548" s="3">
        <v>-33241</v>
      </c>
      <c r="E548" s="3">
        <v>8166343.0599999996</v>
      </c>
      <c r="G548" s="4">
        <f t="shared" si="17"/>
        <v>-33042.743538767398</v>
      </c>
      <c r="H548" s="4">
        <f t="shared" si="18"/>
        <v>-198.25646123260231</v>
      </c>
    </row>
    <row r="549" spans="1:8">
      <c r="A549" s="1" t="s">
        <v>529</v>
      </c>
      <c r="B549" s="1" t="s">
        <v>42</v>
      </c>
      <c r="C549" s="1" t="s">
        <v>561</v>
      </c>
      <c r="D549" s="3">
        <v>-450508.26</v>
      </c>
      <c r="E549" s="3">
        <v>7715635.3499999996</v>
      </c>
      <c r="G549" s="4">
        <f t="shared" si="17"/>
        <v>-447821.33200795227</v>
      </c>
      <c r="H549" s="4">
        <f t="shared" si="18"/>
        <v>-2686.927992047742</v>
      </c>
    </row>
    <row r="550" spans="1:8">
      <c r="A550" s="1" t="s">
        <v>619</v>
      </c>
      <c r="B550" s="1" t="s">
        <v>15</v>
      </c>
      <c r="C550" s="1" t="s">
        <v>620</v>
      </c>
      <c r="D550" s="3">
        <v>16368.24</v>
      </c>
      <c r="E550" s="3">
        <v>8294422.3099999996</v>
      </c>
      <c r="F550" s="1" t="s">
        <v>2732</v>
      </c>
      <c r="G550" s="3">
        <f t="shared" ref="G550:G581" si="19">+D550</f>
        <v>16368.24</v>
      </c>
      <c r="H550" s="4">
        <v>0</v>
      </c>
    </row>
    <row r="551" spans="1:8">
      <c r="A551" s="1" t="s">
        <v>619</v>
      </c>
      <c r="B551" s="1" t="s">
        <v>15</v>
      </c>
      <c r="C551" s="1" t="s">
        <v>621</v>
      </c>
      <c r="D551" s="3">
        <v>13542.77</v>
      </c>
      <c r="E551" s="3">
        <v>8307965.0800000001</v>
      </c>
      <c r="F551" s="1" t="s">
        <v>2732</v>
      </c>
      <c r="G551" s="3">
        <f t="shared" si="19"/>
        <v>13542.77</v>
      </c>
      <c r="H551" s="4">
        <v>0</v>
      </c>
    </row>
    <row r="552" spans="1:8">
      <c r="A552" s="1" t="s">
        <v>619</v>
      </c>
      <c r="B552" s="1" t="s">
        <v>15</v>
      </c>
      <c r="C552" s="1" t="s">
        <v>622</v>
      </c>
      <c r="D552" s="3">
        <v>8378.98</v>
      </c>
      <c r="E552" s="3">
        <v>8316344.0599999996</v>
      </c>
      <c r="F552" s="1" t="s">
        <v>2732</v>
      </c>
      <c r="G552" s="3">
        <f t="shared" si="19"/>
        <v>8378.98</v>
      </c>
      <c r="H552" s="4">
        <v>0</v>
      </c>
    </row>
    <row r="553" spans="1:8">
      <c r="A553" s="1" t="s">
        <v>619</v>
      </c>
      <c r="B553" s="1" t="s">
        <v>15</v>
      </c>
      <c r="C553" s="1" t="s">
        <v>623</v>
      </c>
      <c r="D553" s="3">
        <v>3799.77</v>
      </c>
      <c r="E553" s="3">
        <v>8320143.8300000001</v>
      </c>
      <c r="F553" s="1" t="s">
        <v>2732</v>
      </c>
      <c r="G553" s="3">
        <f t="shared" si="19"/>
        <v>3799.77</v>
      </c>
      <c r="H553" s="4">
        <v>0</v>
      </c>
    </row>
    <row r="554" spans="1:8">
      <c r="A554" s="1" t="s">
        <v>619</v>
      </c>
      <c r="B554" s="1" t="s">
        <v>15</v>
      </c>
      <c r="C554" s="1" t="s">
        <v>624</v>
      </c>
      <c r="D554" s="3">
        <v>35127.51</v>
      </c>
      <c r="E554" s="3">
        <v>8355271.3399999999</v>
      </c>
      <c r="F554" s="1" t="s">
        <v>2732</v>
      </c>
      <c r="G554" s="3">
        <f t="shared" si="19"/>
        <v>35127.51</v>
      </c>
      <c r="H554" s="4">
        <v>0</v>
      </c>
    </row>
    <row r="555" spans="1:8">
      <c r="A555" s="1" t="s">
        <v>619</v>
      </c>
      <c r="B555" s="1" t="s">
        <v>15</v>
      </c>
      <c r="C555" s="1" t="s">
        <v>625</v>
      </c>
      <c r="D555" s="3">
        <v>4189.49</v>
      </c>
      <c r="E555" s="3">
        <v>8359460.8300000001</v>
      </c>
      <c r="F555" s="1" t="s">
        <v>2732</v>
      </c>
      <c r="G555" s="3">
        <f t="shared" si="19"/>
        <v>4189.49</v>
      </c>
      <c r="H555" s="4">
        <v>0</v>
      </c>
    </row>
    <row r="556" spans="1:8">
      <c r="A556" s="1" t="s">
        <v>619</v>
      </c>
      <c r="B556" s="1" t="s">
        <v>15</v>
      </c>
      <c r="C556" s="1" t="s">
        <v>626</v>
      </c>
      <c r="D556" s="3">
        <v>28644.42</v>
      </c>
      <c r="E556" s="3">
        <v>8388105.25</v>
      </c>
      <c r="F556" s="1" t="s">
        <v>2732</v>
      </c>
      <c r="G556" s="3">
        <f t="shared" si="19"/>
        <v>28644.42</v>
      </c>
      <c r="H556" s="4">
        <v>0</v>
      </c>
    </row>
    <row r="557" spans="1:8">
      <c r="A557" s="1" t="s">
        <v>619</v>
      </c>
      <c r="B557" s="1" t="s">
        <v>15</v>
      </c>
      <c r="C557" s="1" t="s">
        <v>627</v>
      </c>
      <c r="D557" s="3">
        <v>14614.5</v>
      </c>
      <c r="E557" s="3">
        <v>8402719.75</v>
      </c>
      <c r="F557" s="1" t="s">
        <v>2732</v>
      </c>
      <c r="G557" s="3">
        <f t="shared" si="19"/>
        <v>14614.5</v>
      </c>
      <c r="H557" s="4">
        <v>0</v>
      </c>
    </row>
    <row r="558" spans="1:8">
      <c r="A558" s="1" t="s">
        <v>619</v>
      </c>
      <c r="B558" s="1" t="s">
        <v>15</v>
      </c>
      <c r="C558" s="1" t="s">
        <v>628</v>
      </c>
      <c r="D558" s="3">
        <v>8378.98</v>
      </c>
      <c r="E558" s="3">
        <v>8411098.7300000004</v>
      </c>
      <c r="F558" s="1" t="s">
        <v>2732</v>
      </c>
      <c r="G558" s="3">
        <f t="shared" si="19"/>
        <v>8378.98</v>
      </c>
      <c r="H558" s="4">
        <v>0</v>
      </c>
    </row>
    <row r="559" spans="1:8">
      <c r="A559" s="1" t="s">
        <v>619</v>
      </c>
      <c r="B559" s="1" t="s">
        <v>15</v>
      </c>
      <c r="C559" s="1" t="s">
        <v>629</v>
      </c>
      <c r="D559" s="3">
        <v>8378.98</v>
      </c>
      <c r="E559" s="3">
        <v>8419477.7100000009</v>
      </c>
      <c r="F559" s="1" t="s">
        <v>2732</v>
      </c>
      <c r="G559" s="3">
        <f t="shared" si="19"/>
        <v>8378.98</v>
      </c>
      <c r="H559" s="4">
        <v>0</v>
      </c>
    </row>
    <row r="560" spans="1:8">
      <c r="A560" s="1" t="s">
        <v>619</v>
      </c>
      <c r="B560" s="1" t="s">
        <v>15</v>
      </c>
      <c r="C560" s="1" t="s">
        <v>630</v>
      </c>
      <c r="D560" s="3">
        <v>29911.01</v>
      </c>
      <c r="E560" s="3">
        <v>8449388.7200000007</v>
      </c>
      <c r="F560" s="1" t="s">
        <v>2732</v>
      </c>
      <c r="G560" s="3">
        <f t="shared" si="19"/>
        <v>29911.01</v>
      </c>
      <c r="H560" s="4">
        <v>0</v>
      </c>
    </row>
    <row r="561" spans="1:8">
      <c r="A561" s="1" t="s">
        <v>619</v>
      </c>
      <c r="B561" s="1" t="s">
        <v>15</v>
      </c>
      <c r="C561" s="1" t="s">
        <v>631</v>
      </c>
      <c r="D561" s="3">
        <v>37413.120000000003</v>
      </c>
      <c r="E561" s="3">
        <v>8486801.8399999999</v>
      </c>
      <c r="F561" s="1" t="s">
        <v>2732</v>
      </c>
      <c r="G561" s="3">
        <f t="shared" si="19"/>
        <v>37413.120000000003</v>
      </c>
      <c r="H561" s="4">
        <v>0</v>
      </c>
    </row>
    <row r="562" spans="1:8">
      <c r="A562" s="1" t="s">
        <v>619</v>
      </c>
      <c r="B562" s="1" t="s">
        <v>15</v>
      </c>
      <c r="C562" s="1" t="s">
        <v>632</v>
      </c>
      <c r="D562" s="3">
        <v>16660.53</v>
      </c>
      <c r="E562" s="3">
        <v>8503462.3699999992</v>
      </c>
      <c r="F562" s="1" t="s">
        <v>2732</v>
      </c>
      <c r="G562" s="3">
        <f t="shared" si="19"/>
        <v>16660.53</v>
      </c>
      <c r="H562" s="4">
        <v>0</v>
      </c>
    </row>
    <row r="563" spans="1:8">
      <c r="A563" s="1" t="s">
        <v>619</v>
      </c>
      <c r="B563" s="1" t="s">
        <v>15</v>
      </c>
      <c r="C563" s="1" t="s">
        <v>633</v>
      </c>
      <c r="D563" s="3">
        <v>12568.47</v>
      </c>
      <c r="E563" s="3">
        <v>8516030.8399999999</v>
      </c>
      <c r="F563" s="1" t="s">
        <v>2732</v>
      </c>
      <c r="G563" s="3">
        <f t="shared" si="19"/>
        <v>12568.47</v>
      </c>
      <c r="H563" s="4">
        <v>0</v>
      </c>
    </row>
    <row r="564" spans="1:8">
      <c r="A564" s="1" t="s">
        <v>619</v>
      </c>
      <c r="B564" s="1" t="s">
        <v>15</v>
      </c>
      <c r="C564" s="1" t="s">
        <v>634</v>
      </c>
      <c r="D564" s="3">
        <v>18024.55</v>
      </c>
      <c r="E564" s="3">
        <v>8534055.3900000006</v>
      </c>
      <c r="F564" s="1" t="s">
        <v>2732</v>
      </c>
      <c r="G564" s="3">
        <f t="shared" si="19"/>
        <v>18024.55</v>
      </c>
      <c r="H564" s="4">
        <v>0</v>
      </c>
    </row>
    <row r="565" spans="1:8">
      <c r="A565" s="1" t="s">
        <v>619</v>
      </c>
      <c r="B565" s="1" t="s">
        <v>15</v>
      </c>
      <c r="C565" s="1" t="s">
        <v>635</v>
      </c>
      <c r="D565" s="3">
        <v>7807.94</v>
      </c>
      <c r="E565" s="3">
        <v>8541863.3300000001</v>
      </c>
      <c r="F565" s="1" t="s">
        <v>2732</v>
      </c>
      <c r="G565" s="3">
        <f t="shared" si="19"/>
        <v>7807.94</v>
      </c>
      <c r="H565" s="4">
        <v>0</v>
      </c>
    </row>
    <row r="566" spans="1:8">
      <c r="A566" s="1" t="s">
        <v>619</v>
      </c>
      <c r="B566" s="1" t="s">
        <v>15</v>
      </c>
      <c r="C566" s="1" t="s">
        <v>636</v>
      </c>
      <c r="D566" s="3">
        <v>79210.59</v>
      </c>
      <c r="E566" s="3">
        <v>8621073.9199999999</v>
      </c>
      <c r="F566" s="1" t="s">
        <v>2732</v>
      </c>
      <c r="G566" s="3">
        <f t="shared" si="19"/>
        <v>79210.59</v>
      </c>
      <c r="H566" s="4">
        <v>0</v>
      </c>
    </row>
    <row r="567" spans="1:8">
      <c r="A567" s="1" t="s">
        <v>619</v>
      </c>
      <c r="B567" s="1" t="s">
        <v>15</v>
      </c>
      <c r="C567" s="1" t="s">
        <v>637</v>
      </c>
      <c r="D567" s="3">
        <v>91194.48</v>
      </c>
      <c r="E567" s="3">
        <v>8712268.4000000004</v>
      </c>
      <c r="F567" s="1" t="s">
        <v>2732</v>
      </c>
      <c r="G567" s="3">
        <f t="shared" si="19"/>
        <v>91194.48</v>
      </c>
      <c r="H567" s="4">
        <v>0</v>
      </c>
    </row>
    <row r="568" spans="1:8">
      <c r="A568" s="1" t="s">
        <v>619</v>
      </c>
      <c r="B568" s="1" t="s">
        <v>15</v>
      </c>
      <c r="C568" s="1" t="s">
        <v>638</v>
      </c>
      <c r="D568" s="3">
        <v>27182.97</v>
      </c>
      <c r="E568" s="3">
        <v>8739451.3699999992</v>
      </c>
      <c r="F568" s="1" t="s">
        <v>2732</v>
      </c>
      <c r="G568" s="3">
        <f t="shared" si="19"/>
        <v>27182.97</v>
      </c>
      <c r="H568" s="4">
        <v>0</v>
      </c>
    </row>
    <row r="569" spans="1:8">
      <c r="A569" s="1" t="s">
        <v>619</v>
      </c>
      <c r="B569" s="1" t="s">
        <v>15</v>
      </c>
      <c r="C569" s="1" t="s">
        <v>639</v>
      </c>
      <c r="D569" s="3">
        <v>8378.98</v>
      </c>
      <c r="E569" s="3">
        <v>8747830.3499999996</v>
      </c>
      <c r="F569" s="1" t="s">
        <v>2732</v>
      </c>
      <c r="G569" s="3">
        <f t="shared" si="19"/>
        <v>8378.98</v>
      </c>
      <c r="H569" s="4">
        <v>0</v>
      </c>
    </row>
    <row r="570" spans="1:8">
      <c r="A570" s="1" t="s">
        <v>619</v>
      </c>
      <c r="B570" s="1" t="s">
        <v>15</v>
      </c>
      <c r="C570" s="1" t="s">
        <v>640</v>
      </c>
      <c r="D570" s="3">
        <v>7444.78</v>
      </c>
      <c r="E570" s="3">
        <v>8755275.1300000008</v>
      </c>
      <c r="F570" s="1" t="s">
        <v>2732</v>
      </c>
      <c r="G570" s="3">
        <f t="shared" si="19"/>
        <v>7444.78</v>
      </c>
      <c r="H570" s="4">
        <v>0</v>
      </c>
    </row>
    <row r="571" spans="1:8">
      <c r="A571" s="1" t="s">
        <v>619</v>
      </c>
      <c r="B571" s="1" t="s">
        <v>15</v>
      </c>
      <c r="C571" s="1" t="s">
        <v>641</v>
      </c>
      <c r="D571" s="3">
        <v>9447</v>
      </c>
      <c r="E571" s="3">
        <v>8764722.1300000008</v>
      </c>
      <c r="F571" s="1" t="s">
        <v>2732</v>
      </c>
      <c r="G571" s="3">
        <f t="shared" si="19"/>
        <v>9447</v>
      </c>
      <c r="H571" s="4">
        <v>0</v>
      </c>
    </row>
    <row r="572" spans="1:8">
      <c r="A572" s="1" t="s">
        <v>619</v>
      </c>
      <c r="B572" s="1" t="s">
        <v>15</v>
      </c>
      <c r="C572" s="1" t="s">
        <v>642</v>
      </c>
      <c r="D572" s="3">
        <v>4539.5</v>
      </c>
      <c r="E572" s="3">
        <v>8769261.6300000008</v>
      </c>
      <c r="F572" s="1" t="s">
        <v>2732</v>
      </c>
      <c r="G572" s="3">
        <f t="shared" si="19"/>
        <v>4539.5</v>
      </c>
      <c r="H572" s="4">
        <v>0</v>
      </c>
    </row>
    <row r="573" spans="1:8">
      <c r="A573" s="1" t="s">
        <v>619</v>
      </c>
      <c r="B573" s="1" t="s">
        <v>15</v>
      </c>
      <c r="C573" s="1" t="s">
        <v>643</v>
      </c>
      <c r="D573" s="3">
        <v>43356.35</v>
      </c>
      <c r="E573" s="3">
        <v>8812617.9800000004</v>
      </c>
      <c r="F573" s="1" t="s">
        <v>2732</v>
      </c>
      <c r="G573" s="3">
        <f t="shared" si="19"/>
        <v>43356.35</v>
      </c>
      <c r="H573" s="4">
        <v>0</v>
      </c>
    </row>
    <row r="574" spans="1:8">
      <c r="A574" s="1" t="s">
        <v>619</v>
      </c>
      <c r="B574" s="1" t="s">
        <v>15</v>
      </c>
      <c r="C574" s="1" t="s">
        <v>644</v>
      </c>
      <c r="D574" s="3">
        <v>66828.320000000007</v>
      </c>
      <c r="E574" s="3">
        <v>8879446.3000000007</v>
      </c>
      <c r="F574" s="1" t="s">
        <v>2732</v>
      </c>
      <c r="G574" s="3">
        <f t="shared" si="19"/>
        <v>66828.320000000007</v>
      </c>
      <c r="H574" s="4">
        <v>0</v>
      </c>
    </row>
    <row r="575" spans="1:8">
      <c r="A575" s="1" t="s">
        <v>619</v>
      </c>
      <c r="B575" s="1" t="s">
        <v>15</v>
      </c>
      <c r="C575" s="1" t="s">
        <v>645</v>
      </c>
      <c r="D575" s="3">
        <v>12763.33</v>
      </c>
      <c r="E575" s="3">
        <v>8892209.6300000008</v>
      </c>
      <c r="F575" s="1" t="s">
        <v>2732</v>
      </c>
      <c r="G575" s="3">
        <f t="shared" si="19"/>
        <v>12763.33</v>
      </c>
      <c r="H575" s="4">
        <v>0</v>
      </c>
    </row>
    <row r="576" spans="1:8">
      <c r="A576" s="1" t="s">
        <v>619</v>
      </c>
      <c r="B576" s="1" t="s">
        <v>15</v>
      </c>
      <c r="C576" s="1" t="s">
        <v>646</v>
      </c>
      <c r="D576" s="3">
        <v>30787.88</v>
      </c>
      <c r="E576" s="3">
        <v>8922997.5099999998</v>
      </c>
      <c r="F576" s="1" t="s">
        <v>2732</v>
      </c>
      <c r="G576" s="3">
        <f t="shared" si="19"/>
        <v>30787.88</v>
      </c>
      <c r="H576" s="4">
        <v>0</v>
      </c>
    </row>
    <row r="577" spans="1:8">
      <c r="A577" s="1" t="s">
        <v>619</v>
      </c>
      <c r="B577" s="1" t="s">
        <v>15</v>
      </c>
      <c r="C577" s="1" t="s">
        <v>647</v>
      </c>
      <c r="D577" s="3">
        <v>22311.47</v>
      </c>
      <c r="E577" s="3">
        <v>8945308.9800000004</v>
      </c>
      <c r="F577" s="1" t="s">
        <v>2732</v>
      </c>
      <c r="G577" s="3">
        <f t="shared" si="19"/>
        <v>22311.47</v>
      </c>
      <c r="H577" s="4">
        <v>0</v>
      </c>
    </row>
    <row r="578" spans="1:8">
      <c r="A578" s="1" t="s">
        <v>619</v>
      </c>
      <c r="B578" s="1" t="s">
        <v>15</v>
      </c>
      <c r="C578" s="1" t="s">
        <v>648</v>
      </c>
      <c r="D578" s="3">
        <v>14419.64</v>
      </c>
      <c r="E578" s="3">
        <v>8959728.6199999992</v>
      </c>
      <c r="F578" s="1" t="s">
        <v>2732</v>
      </c>
      <c r="G578" s="3">
        <f t="shared" si="19"/>
        <v>14419.64</v>
      </c>
      <c r="H578" s="4">
        <v>0</v>
      </c>
    </row>
    <row r="579" spans="1:8">
      <c r="A579" s="1" t="s">
        <v>619</v>
      </c>
      <c r="B579" s="1" t="s">
        <v>15</v>
      </c>
      <c r="C579" s="1" t="s">
        <v>649</v>
      </c>
      <c r="D579" s="3">
        <v>22993.48</v>
      </c>
      <c r="E579" s="3">
        <v>8982722.0999999996</v>
      </c>
      <c r="F579" s="1" t="s">
        <v>2732</v>
      </c>
      <c r="G579" s="3">
        <f t="shared" si="19"/>
        <v>22993.48</v>
      </c>
      <c r="H579" s="4">
        <v>0</v>
      </c>
    </row>
    <row r="580" spans="1:8">
      <c r="A580" s="1" t="s">
        <v>619</v>
      </c>
      <c r="B580" s="1" t="s">
        <v>15</v>
      </c>
      <c r="C580" s="1" t="s">
        <v>650</v>
      </c>
      <c r="D580" s="3">
        <v>8378.98</v>
      </c>
      <c r="E580" s="3">
        <v>8991101.0800000001</v>
      </c>
      <c r="F580" s="1" t="s">
        <v>2732</v>
      </c>
      <c r="G580" s="3">
        <f t="shared" si="19"/>
        <v>8378.98</v>
      </c>
      <c r="H580" s="4">
        <v>0</v>
      </c>
    </row>
    <row r="581" spans="1:8">
      <c r="A581" s="1" t="s">
        <v>619</v>
      </c>
      <c r="B581" s="1" t="s">
        <v>15</v>
      </c>
      <c r="C581" s="1" t="s">
        <v>651</v>
      </c>
      <c r="D581" s="3">
        <v>6820.1</v>
      </c>
      <c r="E581" s="3">
        <v>8997921.1799999997</v>
      </c>
      <c r="F581" s="1" t="s">
        <v>2732</v>
      </c>
      <c r="G581" s="3">
        <f t="shared" si="19"/>
        <v>6820.1</v>
      </c>
      <c r="H581" s="4">
        <v>0</v>
      </c>
    </row>
    <row r="582" spans="1:8">
      <c r="A582" s="1" t="s">
        <v>619</v>
      </c>
      <c r="B582" s="1" t="s">
        <v>15</v>
      </c>
      <c r="C582" s="1" t="s">
        <v>652</v>
      </c>
      <c r="D582" s="3">
        <v>4189.49</v>
      </c>
      <c r="E582" s="3">
        <v>9002110.6699999999</v>
      </c>
      <c r="F582" s="1" t="s">
        <v>2732</v>
      </c>
      <c r="G582" s="3">
        <f t="shared" ref="G582:G613" si="20">+D582</f>
        <v>4189.49</v>
      </c>
      <c r="H582" s="4">
        <v>0</v>
      </c>
    </row>
    <row r="583" spans="1:8">
      <c r="A583" s="1" t="s">
        <v>619</v>
      </c>
      <c r="B583" s="1" t="s">
        <v>653</v>
      </c>
      <c r="C583" s="1" t="s">
        <v>654</v>
      </c>
      <c r="D583" s="2">
        <v>210.48</v>
      </c>
      <c r="E583" s="3">
        <v>9002321.1500000004</v>
      </c>
      <c r="F583" s="2" t="s">
        <v>2732</v>
      </c>
      <c r="G583" s="3">
        <f t="shared" si="20"/>
        <v>210.48</v>
      </c>
      <c r="H583" s="4">
        <v>0</v>
      </c>
    </row>
    <row r="584" spans="1:8">
      <c r="A584" s="1" t="s">
        <v>619</v>
      </c>
      <c r="B584" s="1" t="s">
        <v>15</v>
      </c>
      <c r="C584" s="1" t="s">
        <v>655</v>
      </c>
      <c r="D584" s="3">
        <v>50541.45</v>
      </c>
      <c r="E584" s="3">
        <v>9052862.5999999996</v>
      </c>
      <c r="F584" s="1" t="s">
        <v>2732</v>
      </c>
      <c r="G584" s="3">
        <f t="shared" si="20"/>
        <v>50541.45</v>
      </c>
      <c r="H584" s="4">
        <v>0</v>
      </c>
    </row>
    <row r="585" spans="1:8">
      <c r="A585" s="1" t="s">
        <v>619</v>
      </c>
      <c r="B585" s="1" t="s">
        <v>15</v>
      </c>
      <c r="C585" s="1" t="s">
        <v>656</v>
      </c>
      <c r="D585" s="3">
        <v>27670.12</v>
      </c>
      <c r="E585" s="3">
        <v>9080532.7200000007</v>
      </c>
      <c r="F585" s="1" t="s">
        <v>2732</v>
      </c>
      <c r="G585" s="3">
        <f t="shared" si="20"/>
        <v>27670.12</v>
      </c>
      <c r="H585" s="4">
        <v>0</v>
      </c>
    </row>
    <row r="586" spans="1:8">
      <c r="A586" s="1" t="s">
        <v>619</v>
      </c>
      <c r="B586" s="1" t="s">
        <v>15</v>
      </c>
      <c r="C586" s="1" t="s">
        <v>657</v>
      </c>
      <c r="D586" s="3">
        <v>16143.92</v>
      </c>
      <c r="E586" s="3">
        <v>9096676.6400000006</v>
      </c>
      <c r="F586" s="1" t="s">
        <v>2732</v>
      </c>
      <c r="G586" s="3">
        <f t="shared" si="20"/>
        <v>16143.92</v>
      </c>
      <c r="H586" s="4">
        <v>0</v>
      </c>
    </row>
    <row r="587" spans="1:8">
      <c r="A587" s="1" t="s">
        <v>619</v>
      </c>
      <c r="B587" s="1" t="s">
        <v>15</v>
      </c>
      <c r="C587" s="1" t="s">
        <v>658</v>
      </c>
      <c r="D587" s="3">
        <v>71708.479999999996</v>
      </c>
      <c r="E587" s="3">
        <v>9168385.1199999992</v>
      </c>
      <c r="F587" s="1" t="s">
        <v>2732</v>
      </c>
      <c r="G587" s="3">
        <f t="shared" si="20"/>
        <v>71708.479999999996</v>
      </c>
      <c r="H587" s="4">
        <v>0</v>
      </c>
    </row>
    <row r="588" spans="1:8">
      <c r="A588" s="1" t="s">
        <v>619</v>
      </c>
      <c r="B588" s="1" t="s">
        <v>15</v>
      </c>
      <c r="C588" s="1" t="s">
        <v>659</v>
      </c>
      <c r="D588" s="3">
        <v>47253.55</v>
      </c>
      <c r="E588" s="3">
        <v>9215638.6699999999</v>
      </c>
      <c r="F588" s="1" t="s">
        <v>2732</v>
      </c>
      <c r="G588" s="3">
        <f t="shared" si="20"/>
        <v>47253.55</v>
      </c>
      <c r="H588" s="4">
        <v>0</v>
      </c>
    </row>
    <row r="589" spans="1:8">
      <c r="A589" s="1" t="s">
        <v>619</v>
      </c>
      <c r="B589" s="1" t="s">
        <v>15</v>
      </c>
      <c r="C589" s="1" t="s">
        <v>662</v>
      </c>
      <c r="D589" s="3">
        <v>12568.47</v>
      </c>
      <c r="E589" s="3">
        <v>9190982.1199999992</v>
      </c>
      <c r="F589" s="1" t="s">
        <v>2732</v>
      </c>
      <c r="G589" s="3">
        <f t="shared" si="20"/>
        <v>12568.47</v>
      </c>
      <c r="H589" s="4">
        <v>0</v>
      </c>
    </row>
    <row r="590" spans="1:8">
      <c r="A590" s="1" t="s">
        <v>619</v>
      </c>
      <c r="B590" s="1" t="s">
        <v>663</v>
      </c>
      <c r="C590" s="1" t="s">
        <v>664</v>
      </c>
      <c r="D590" s="2">
        <v>631.45000000000005</v>
      </c>
      <c r="E590" s="3">
        <v>9191613.5700000003</v>
      </c>
      <c r="F590" s="2" t="s">
        <v>2732</v>
      </c>
      <c r="G590" s="3">
        <f t="shared" si="20"/>
        <v>631.45000000000005</v>
      </c>
      <c r="H590" s="4">
        <v>0</v>
      </c>
    </row>
    <row r="591" spans="1:8">
      <c r="A591" s="1" t="s">
        <v>619</v>
      </c>
      <c r="B591" s="1" t="s">
        <v>15</v>
      </c>
      <c r="C591" s="1" t="s">
        <v>665</v>
      </c>
      <c r="D591" s="3">
        <v>10136.879999999999</v>
      </c>
      <c r="E591" s="3">
        <v>9201750.4499999993</v>
      </c>
      <c r="F591" s="1" t="s">
        <v>2732</v>
      </c>
      <c r="G591" s="3">
        <f t="shared" si="20"/>
        <v>10136.879999999999</v>
      </c>
      <c r="H591" s="4">
        <v>0</v>
      </c>
    </row>
    <row r="592" spans="1:8">
      <c r="A592" s="1" t="s">
        <v>619</v>
      </c>
      <c r="B592" s="1" t="s">
        <v>15</v>
      </c>
      <c r="C592" s="1" t="s">
        <v>666</v>
      </c>
      <c r="D592" s="3">
        <v>34782.51</v>
      </c>
      <c r="E592" s="3">
        <v>9236532.9600000009</v>
      </c>
      <c r="F592" s="1" t="s">
        <v>2732</v>
      </c>
      <c r="G592" s="3">
        <f t="shared" si="20"/>
        <v>34782.51</v>
      </c>
      <c r="H592" s="4">
        <v>0</v>
      </c>
    </row>
    <row r="593" spans="1:8">
      <c r="A593" s="1" t="s">
        <v>619</v>
      </c>
      <c r="B593" s="1" t="s">
        <v>15</v>
      </c>
      <c r="C593" s="1" t="s">
        <v>667</v>
      </c>
      <c r="D593" s="3">
        <v>3873.27</v>
      </c>
      <c r="E593" s="3">
        <v>9240406.2300000004</v>
      </c>
      <c r="F593" s="1" t="s">
        <v>2732</v>
      </c>
      <c r="G593" s="3">
        <f t="shared" si="20"/>
        <v>3873.27</v>
      </c>
      <c r="H593" s="4">
        <v>0</v>
      </c>
    </row>
    <row r="594" spans="1:8">
      <c r="A594" s="1" t="s">
        <v>619</v>
      </c>
      <c r="B594" s="1" t="s">
        <v>15</v>
      </c>
      <c r="C594" s="1" t="s">
        <v>668</v>
      </c>
      <c r="D594" s="3">
        <v>11430.87</v>
      </c>
      <c r="E594" s="3">
        <v>9251837.0999999996</v>
      </c>
      <c r="F594" s="1" t="s">
        <v>2732</v>
      </c>
      <c r="G594" s="3">
        <f t="shared" si="20"/>
        <v>11430.87</v>
      </c>
      <c r="H594" s="4">
        <v>0</v>
      </c>
    </row>
    <row r="595" spans="1:8">
      <c r="A595" s="1" t="s">
        <v>619</v>
      </c>
      <c r="B595" s="1" t="s">
        <v>15</v>
      </c>
      <c r="C595" s="1" t="s">
        <v>669</v>
      </c>
      <c r="D595" s="3">
        <v>8573.84</v>
      </c>
      <c r="E595" s="3">
        <v>9260410.9399999995</v>
      </c>
      <c r="F595" s="1" t="s">
        <v>2732</v>
      </c>
      <c r="G595" s="3">
        <f t="shared" si="20"/>
        <v>8573.84</v>
      </c>
      <c r="H595" s="4">
        <v>0</v>
      </c>
    </row>
    <row r="596" spans="1:8">
      <c r="A596" s="1" t="s">
        <v>619</v>
      </c>
      <c r="B596" s="1" t="s">
        <v>15</v>
      </c>
      <c r="C596" s="1" t="s">
        <v>670</v>
      </c>
      <c r="D596" s="3">
        <v>24184.32</v>
      </c>
      <c r="E596" s="3">
        <v>9284595.2599999998</v>
      </c>
      <c r="F596" s="1" t="s">
        <v>2732</v>
      </c>
      <c r="G596" s="3">
        <f t="shared" si="20"/>
        <v>24184.32</v>
      </c>
      <c r="H596" s="4">
        <v>0</v>
      </c>
    </row>
    <row r="597" spans="1:8">
      <c r="A597" s="1" t="s">
        <v>619</v>
      </c>
      <c r="B597" s="1" t="s">
        <v>15</v>
      </c>
      <c r="C597" s="1" t="s">
        <v>671</v>
      </c>
      <c r="D597" s="3">
        <v>4189.49</v>
      </c>
      <c r="E597" s="3">
        <v>9288784.75</v>
      </c>
      <c r="F597" s="1" t="s">
        <v>2732</v>
      </c>
      <c r="G597" s="3">
        <f t="shared" si="20"/>
        <v>4189.49</v>
      </c>
      <c r="H597" s="4">
        <v>0</v>
      </c>
    </row>
    <row r="598" spans="1:8">
      <c r="A598" s="1" t="s">
        <v>619</v>
      </c>
      <c r="B598" s="1" t="s">
        <v>15</v>
      </c>
      <c r="C598" s="1" t="s">
        <v>672</v>
      </c>
      <c r="D598" s="3">
        <v>3684.33</v>
      </c>
      <c r="E598" s="3">
        <v>9292469.0800000001</v>
      </c>
      <c r="F598" s="1" t="s">
        <v>2732</v>
      </c>
      <c r="G598" s="3">
        <f t="shared" si="20"/>
        <v>3684.33</v>
      </c>
      <c r="H598" s="4">
        <v>0</v>
      </c>
    </row>
    <row r="599" spans="1:8">
      <c r="A599" s="1" t="s">
        <v>619</v>
      </c>
      <c r="B599" s="1" t="s">
        <v>15</v>
      </c>
      <c r="C599" s="1" t="s">
        <v>673</v>
      </c>
      <c r="D599" s="3">
        <v>30891.69</v>
      </c>
      <c r="E599" s="3">
        <v>9323360.7699999996</v>
      </c>
      <c r="F599" s="1" t="s">
        <v>2732</v>
      </c>
      <c r="G599" s="3">
        <f t="shared" si="20"/>
        <v>30891.69</v>
      </c>
      <c r="H599" s="4">
        <v>0</v>
      </c>
    </row>
    <row r="600" spans="1:8">
      <c r="A600" s="1" t="s">
        <v>619</v>
      </c>
      <c r="B600" s="1" t="s">
        <v>15</v>
      </c>
      <c r="C600" s="1" t="s">
        <v>674</v>
      </c>
      <c r="D600" s="3">
        <v>24059.35</v>
      </c>
      <c r="E600" s="3">
        <v>9347420.1199999992</v>
      </c>
      <c r="F600" s="1" t="s">
        <v>2732</v>
      </c>
      <c r="G600" s="3">
        <f t="shared" si="20"/>
        <v>24059.35</v>
      </c>
      <c r="H600" s="4">
        <v>0</v>
      </c>
    </row>
    <row r="601" spans="1:8">
      <c r="A601" s="1" t="s">
        <v>619</v>
      </c>
      <c r="B601" s="1" t="s">
        <v>15</v>
      </c>
      <c r="C601" s="1" t="s">
        <v>675</v>
      </c>
      <c r="D601" s="3">
        <v>4062.21</v>
      </c>
      <c r="E601" s="3">
        <v>9351482.3300000001</v>
      </c>
      <c r="F601" s="1" t="s">
        <v>2732</v>
      </c>
      <c r="G601" s="3">
        <f t="shared" si="20"/>
        <v>4062.21</v>
      </c>
      <c r="H601" s="4">
        <v>0</v>
      </c>
    </row>
    <row r="602" spans="1:8">
      <c r="A602" s="1" t="s">
        <v>619</v>
      </c>
      <c r="B602" s="1" t="s">
        <v>15</v>
      </c>
      <c r="C602" s="1" t="s">
        <v>676</v>
      </c>
      <c r="D602" s="3">
        <v>36341.39</v>
      </c>
      <c r="E602" s="3">
        <v>9387823.7200000007</v>
      </c>
      <c r="F602" s="1" t="s">
        <v>2732</v>
      </c>
      <c r="G602" s="3">
        <f t="shared" si="20"/>
        <v>36341.39</v>
      </c>
      <c r="H602" s="4">
        <v>0</v>
      </c>
    </row>
    <row r="603" spans="1:8">
      <c r="A603" s="1" t="s">
        <v>619</v>
      </c>
      <c r="B603" s="1" t="s">
        <v>15</v>
      </c>
      <c r="C603" s="1" t="s">
        <v>677</v>
      </c>
      <c r="D603" s="3">
        <v>27085.54</v>
      </c>
      <c r="E603" s="3">
        <v>9414909.2599999998</v>
      </c>
      <c r="F603" s="1" t="s">
        <v>2732</v>
      </c>
      <c r="G603" s="3">
        <f t="shared" si="20"/>
        <v>27085.54</v>
      </c>
      <c r="H603" s="4">
        <v>0</v>
      </c>
    </row>
    <row r="604" spans="1:8">
      <c r="A604" s="1" t="s">
        <v>619</v>
      </c>
      <c r="B604" s="1" t="s">
        <v>678</v>
      </c>
      <c r="C604" s="1" t="s">
        <v>679</v>
      </c>
      <c r="D604" s="3">
        <v>1360.81</v>
      </c>
      <c r="E604" s="3">
        <v>9416270.0700000003</v>
      </c>
      <c r="F604" s="2" t="s">
        <v>2732</v>
      </c>
      <c r="G604" s="3">
        <f t="shared" si="20"/>
        <v>1360.81</v>
      </c>
      <c r="H604" s="4">
        <v>0</v>
      </c>
    </row>
    <row r="605" spans="1:8">
      <c r="A605" s="1" t="s">
        <v>619</v>
      </c>
      <c r="B605" s="1" t="s">
        <v>15</v>
      </c>
      <c r="C605" s="1" t="s">
        <v>680</v>
      </c>
      <c r="D605" s="3">
        <v>37997.699999999997</v>
      </c>
      <c r="E605" s="3">
        <v>9454267.7699999996</v>
      </c>
      <c r="F605" s="1" t="s">
        <v>2732</v>
      </c>
      <c r="G605" s="3">
        <f t="shared" si="20"/>
        <v>37997.699999999997</v>
      </c>
      <c r="H605" s="4">
        <v>0</v>
      </c>
    </row>
    <row r="606" spans="1:8">
      <c r="A606" s="1" t="s">
        <v>619</v>
      </c>
      <c r="B606" s="1" t="s">
        <v>681</v>
      </c>
      <c r="C606" s="1" t="s">
        <v>682</v>
      </c>
      <c r="D606" s="3">
        <v>1909.05</v>
      </c>
      <c r="E606" s="3">
        <v>9456176.8200000003</v>
      </c>
      <c r="F606" s="2" t="s">
        <v>2732</v>
      </c>
      <c r="G606" s="3">
        <f t="shared" si="20"/>
        <v>1909.05</v>
      </c>
      <c r="H606" s="4">
        <v>0</v>
      </c>
    </row>
    <row r="607" spans="1:8">
      <c r="A607" s="1" t="s">
        <v>619</v>
      </c>
      <c r="B607" s="1" t="s">
        <v>15</v>
      </c>
      <c r="C607" s="1" t="s">
        <v>683</v>
      </c>
      <c r="D607" s="3">
        <v>30203.3</v>
      </c>
      <c r="E607" s="3">
        <v>9486380.1199999992</v>
      </c>
      <c r="F607" s="1" t="s">
        <v>2732</v>
      </c>
      <c r="G607" s="3">
        <f t="shared" si="20"/>
        <v>30203.3</v>
      </c>
      <c r="H607" s="4">
        <v>0</v>
      </c>
    </row>
    <row r="608" spans="1:8">
      <c r="A608" s="1" t="s">
        <v>619</v>
      </c>
      <c r="B608" s="1" t="s">
        <v>684</v>
      </c>
      <c r="C608" s="1" t="s">
        <v>685</v>
      </c>
      <c r="D608" s="3">
        <v>1517.45</v>
      </c>
      <c r="E608" s="3">
        <v>9487897.5700000003</v>
      </c>
      <c r="F608" s="2" t="s">
        <v>2732</v>
      </c>
      <c r="G608" s="3">
        <f t="shared" si="20"/>
        <v>1517.45</v>
      </c>
      <c r="H608" s="4">
        <v>0</v>
      </c>
    </row>
    <row r="609" spans="1:8">
      <c r="A609" s="1" t="s">
        <v>619</v>
      </c>
      <c r="B609" s="1" t="s">
        <v>15</v>
      </c>
      <c r="C609" s="1" t="s">
        <v>686</v>
      </c>
      <c r="D609" s="3">
        <v>6820.1</v>
      </c>
      <c r="E609" s="3">
        <v>9494717.6699999999</v>
      </c>
      <c r="F609" s="1" t="s">
        <v>2732</v>
      </c>
      <c r="G609" s="3">
        <f t="shared" si="20"/>
        <v>6820.1</v>
      </c>
      <c r="H609" s="4">
        <v>0</v>
      </c>
    </row>
    <row r="610" spans="1:8">
      <c r="A610" s="1" t="s">
        <v>619</v>
      </c>
      <c r="B610" s="1" t="s">
        <v>15</v>
      </c>
      <c r="C610" s="1" t="s">
        <v>687</v>
      </c>
      <c r="D610" s="3">
        <v>39654.01</v>
      </c>
      <c r="E610" s="3">
        <v>9534371.6799999997</v>
      </c>
      <c r="F610" s="1" t="s">
        <v>2732</v>
      </c>
      <c r="G610" s="3">
        <f t="shared" si="20"/>
        <v>39654.01</v>
      </c>
      <c r="H610" s="4">
        <v>0</v>
      </c>
    </row>
    <row r="611" spans="1:8">
      <c r="A611" s="1" t="s">
        <v>619</v>
      </c>
      <c r="B611" s="1" t="s">
        <v>15</v>
      </c>
      <c r="C611" s="1" t="s">
        <v>688</v>
      </c>
      <c r="D611" s="3">
        <v>36049.1</v>
      </c>
      <c r="E611" s="3">
        <v>9570420.7799999993</v>
      </c>
      <c r="F611" s="1" t="s">
        <v>2732</v>
      </c>
      <c r="G611" s="3">
        <f t="shared" si="20"/>
        <v>36049.1</v>
      </c>
      <c r="H611" s="4">
        <v>0</v>
      </c>
    </row>
    <row r="612" spans="1:8">
      <c r="A612" s="1" t="s">
        <v>619</v>
      </c>
      <c r="B612" s="1" t="s">
        <v>15</v>
      </c>
      <c r="C612" s="1" t="s">
        <v>689</v>
      </c>
      <c r="D612" s="3">
        <v>7794.4</v>
      </c>
      <c r="E612" s="3">
        <v>9578215.1799999997</v>
      </c>
      <c r="F612" s="1" t="s">
        <v>2732</v>
      </c>
      <c r="G612" s="3">
        <f t="shared" si="20"/>
        <v>7794.4</v>
      </c>
      <c r="H612" s="4">
        <v>0</v>
      </c>
    </row>
    <row r="613" spans="1:8">
      <c r="A613" s="1" t="s">
        <v>619</v>
      </c>
      <c r="B613" s="1" t="s">
        <v>15</v>
      </c>
      <c r="C613" s="1" t="s">
        <v>690</v>
      </c>
      <c r="D613" s="3">
        <v>51247.56</v>
      </c>
      <c r="E613" s="3">
        <v>9629462.7400000002</v>
      </c>
      <c r="F613" s="1" t="s">
        <v>2732</v>
      </c>
      <c r="G613" s="3">
        <f t="shared" si="20"/>
        <v>51247.56</v>
      </c>
      <c r="H613" s="4">
        <v>0</v>
      </c>
    </row>
    <row r="614" spans="1:8">
      <c r="A614" s="1" t="s">
        <v>619</v>
      </c>
      <c r="B614" s="1" t="s">
        <v>15</v>
      </c>
      <c r="C614" s="1" t="s">
        <v>691</v>
      </c>
      <c r="D614" s="3">
        <v>21142.31</v>
      </c>
      <c r="E614" s="3">
        <v>9650605.0500000007</v>
      </c>
      <c r="F614" s="1" t="s">
        <v>2732</v>
      </c>
      <c r="G614" s="3">
        <f t="shared" ref="G614:G633" si="21">+D614</f>
        <v>21142.31</v>
      </c>
      <c r="H614" s="4">
        <v>0</v>
      </c>
    </row>
    <row r="615" spans="1:8">
      <c r="A615" s="1" t="s">
        <v>619</v>
      </c>
      <c r="B615" s="1" t="s">
        <v>15</v>
      </c>
      <c r="C615" s="1" t="s">
        <v>692</v>
      </c>
      <c r="D615" s="3">
        <v>43739.61</v>
      </c>
      <c r="E615" s="3">
        <v>9694344.6600000001</v>
      </c>
      <c r="F615" s="1" t="s">
        <v>2732</v>
      </c>
      <c r="G615" s="3">
        <f t="shared" si="21"/>
        <v>43739.61</v>
      </c>
      <c r="H615" s="4">
        <v>0</v>
      </c>
    </row>
    <row r="616" spans="1:8">
      <c r="A616" s="1" t="s">
        <v>619</v>
      </c>
      <c r="B616" s="1" t="s">
        <v>15</v>
      </c>
      <c r="C616" s="1" t="s">
        <v>693</v>
      </c>
      <c r="D616" s="3">
        <v>7989.26</v>
      </c>
      <c r="E616" s="3">
        <v>9702333.9199999999</v>
      </c>
      <c r="F616" s="1" t="s">
        <v>2732</v>
      </c>
      <c r="G616" s="3">
        <f t="shared" si="21"/>
        <v>7989.26</v>
      </c>
      <c r="H616" s="4">
        <v>0</v>
      </c>
    </row>
    <row r="617" spans="1:8">
      <c r="A617" s="1" t="s">
        <v>619</v>
      </c>
      <c r="B617" s="1" t="s">
        <v>15</v>
      </c>
      <c r="C617" s="1" t="s">
        <v>694</v>
      </c>
      <c r="D617" s="3">
        <v>15393.94</v>
      </c>
      <c r="E617" s="3">
        <v>9717727.8599999994</v>
      </c>
      <c r="F617" s="1" t="s">
        <v>2732</v>
      </c>
      <c r="G617" s="3">
        <f t="shared" si="21"/>
        <v>15393.94</v>
      </c>
      <c r="H617" s="4">
        <v>0</v>
      </c>
    </row>
    <row r="618" spans="1:8">
      <c r="A618" s="1" t="s">
        <v>619</v>
      </c>
      <c r="B618" s="1" t="s">
        <v>15</v>
      </c>
      <c r="C618" s="1" t="s">
        <v>695</v>
      </c>
      <c r="D618" s="3">
        <v>43064.06</v>
      </c>
      <c r="E618" s="3">
        <v>9760791.9199999999</v>
      </c>
      <c r="F618" s="1" t="s">
        <v>2732</v>
      </c>
      <c r="G618" s="3">
        <f t="shared" si="21"/>
        <v>43064.06</v>
      </c>
      <c r="H618" s="4">
        <v>0</v>
      </c>
    </row>
    <row r="619" spans="1:8">
      <c r="A619" s="1" t="s">
        <v>619</v>
      </c>
      <c r="B619" s="1" t="s">
        <v>15</v>
      </c>
      <c r="C619" s="1" t="s">
        <v>696</v>
      </c>
      <c r="D619" s="3">
        <v>37637.86</v>
      </c>
      <c r="E619" s="3">
        <v>9798429.7799999993</v>
      </c>
      <c r="F619" s="1" t="s">
        <v>2732</v>
      </c>
      <c r="G619" s="3">
        <f t="shared" si="21"/>
        <v>37637.86</v>
      </c>
      <c r="H619" s="4">
        <v>0</v>
      </c>
    </row>
    <row r="620" spans="1:8">
      <c r="A620" s="1" t="s">
        <v>619</v>
      </c>
      <c r="B620" s="1" t="s">
        <v>15</v>
      </c>
      <c r="C620" s="1" t="s">
        <v>697</v>
      </c>
      <c r="D620" s="3">
        <v>43648.639999999999</v>
      </c>
      <c r="E620" s="3">
        <v>9842078.4199999999</v>
      </c>
      <c r="F620" s="1" t="s">
        <v>2732</v>
      </c>
      <c r="G620" s="3">
        <f t="shared" si="21"/>
        <v>43648.639999999999</v>
      </c>
      <c r="H620" s="4">
        <v>0</v>
      </c>
    </row>
    <row r="621" spans="1:8">
      <c r="A621" s="1" t="s">
        <v>619</v>
      </c>
      <c r="B621" s="1" t="s">
        <v>15</v>
      </c>
      <c r="C621" s="1" t="s">
        <v>698</v>
      </c>
      <c r="D621" s="3">
        <v>7746.54</v>
      </c>
      <c r="E621" s="3">
        <v>9849824.9600000009</v>
      </c>
      <c r="F621" s="1" t="s">
        <v>2732</v>
      </c>
      <c r="G621" s="3">
        <f t="shared" si="21"/>
        <v>7746.54</v>
      </c>
      <c r="H621" s="4">
        <v>0</v>
      </c>
    </row>
    <row r="622" spans="1:8">
      <c r="A622" s="1" t="s">
        <v>619</v>
      </c>
      <c r="B622" s="1" t="s">
        <v>15</v>
      </c>
      <c r="C622" s="1" t="s">
        <v>699</v>
      </c>
      <c r="D622" s="3">
        <v>11009.59</v>
      </c>
      <c r="E622" s="3">
        <v>9860834.5500000007</v>
      </c>
      <c r="F622" s="1" t="s">
        <v>2732</v>
      </c>
      <c r="G622" s="3">
        <f t="shared" si="21"/>
        <v>11009.59</v>
      </c>
      <c r="H622" s="4">
        <v>0</v>
      </c>
    </row>
    <row r="623" spans="1:8">
      <c r="A623" s="1" t="s">
        <v>619</v>
      </c>
      <c r="B623" s="1" t="s">
        <v>15</v>
      </c>
      <c r="C623" s="1" t="s">
        <v>700</v>
      </c>
      <c r="D623" s="3">
        <v>7746.54</v>
      </c>
      <c r="E623" s="3">
        <v>9868581.0899999999</v>
      </c>
      <c r="F623" s="1" t="s">
        <v>2732</v>
      </c>
      <c r="G623" s="3">
        <f t="shared" si="21"/>
        <v>7746.54</v>
      </c>
      <c r="H623" s="4">
        <v>0</v>
      </c>
    </row>
    <row r="624" spans="1:8">
      <c r="A624" s="1" t="s">
        <v>619</v>
      </c>
      <c r="B624" s="1" t="s">
        <v>15</v>
      </c>
      <c r="C624" s="1" t="s">
        <v>701</v>
      </c>
      <c r="D624" s="3">
        <v>26640.54</v>
      </c>
      <c r="E624" s="3">
        <v>9895221.6300000008</v>
      </c>
      <c r="F624" s="1" t="s">
        <v>2732</v>
      </c>
      <c r="G624" s="3">
        <f t="shared" si="21"/>
        <v>26640.54</v>
      </c>
      <c r="H624" s="4">
        <v>0</v>
      </c>
    </row>
    <row r="625" spans="1:8">
      <c r="A625" s="1" t="s">
        <v>619</v>
      </c>
      <c r="B625" s="1" t="s">
        <v>15</v>
      </c>
      <c r="C625" s="1" t="s">
        <v>702</v>
      </c>
      <c r="D625" s="3">
        <v>4871.5</v>
      </c>
      <c r="E625" s="3">
        <v>9900093.1300000008</v>
      </c>
      <c r="F625" s="1" t="s">
        <v>2732</v>
      </c>
      <c r="G625" s="3">
        <f t="shared" si="21"/>
        <v>4871.5</v>
      </c>
      <c r="H625" s="4">
        <v>0</v>
      </c>
    </row>
    <row r="626" spans="1:8">
      <c r="A626" s="1" t="s">
        <v>619</v>
      </c>
      <c r="B626" s="1" t="s">
        <v>15</v>
      </c>
      <c r="C626" s="1" t="s">
        <v>703</v>
      </c>
      <c r="D626" s="3">
        <v>33321.06</v>
      </c>
      <c r="E626" s="3">
        <v>9933414.1899999995</v>
      </c>
      <c r="F626" s="1" t="s">
        <v>2732</v>
      </c>
      <c r="G626" s="3">
        <f t="shared" si="21"/>
        <v>33321.06</v>
      </c>
      <c r="H626" s="4">
        <v>0</v>
      </c>
    </row>
    <row r="627" spans="1:8">
      <c r="A627" s="1" t="s">
        <v>619</v>
      </c>
      <c r="B627" s="1" t="s">
        <v>15</v>
      </c>
      <c r="C627" s="1" t="s">
        <v>704</v>
      </c>
      <c r="D627" s="3">
        <v>72780.210000000006</v>
      </c>
      <c r="E627" s="3">
        <v>10006194.4</v>
      </c>
      <c r="F627" s="1" t="s">
        <v>2732</v>
      </c>
      <c r="G627" s="3">
        <f t="shared" si="21"/>
        <v>72780.210000000006</v>
      </c>
      <c r="H627" s="4">
        <v>0</v>
      </c>
    </row>
    <row r="628" spans="1:8">
      <c r="A628" s="1" t="s">
        <v>619</v>
      </c>
      <c r="B628" s="1" t="s">
        <v>705</v>
      </c>
      <c r="C628" s="1" t="s">
        <v>706</v>
      </c>
      <c r="D628" s="3">
        <v>3656.56</v>
      </c>
      <c r="E628" s="3">
        <v>10009850.960000001</v>
      </c>
      <c r="F628" s="2" t="s">
        <v>2732</v>
      </c>
      <c r="G628" s="3">
        <f t="shared" si="21"/>
        <v>3656.56</v>
      </c>
      <c r="H628" s="4">
        <v>0</v>
      </c>
    </row>
    <row r="629" spans="1:8">
      <c r="A629" s="1" t="s">
        <v>619</v>
      </c>
      <c r="B629" s="1" t="s">
        <v>15</v>
      </c>
      <c r="C629" s="1" t="s">
        <v>707</v>
      </c>
      <c r="D629" s="3">
        <v>45723.48</v>
      </c>
      <c r="E629" s="3">
        <v>10055574.439999999</v>
      </c>
      <c r="F629" s="1" t="s">
        <v>2732</v>
      </c>
      <c r="G629" s="3">
        <f t="shared" si="21"/>
        <v>45723.48</v>
      </c>
      <c r="H629" s="4">
        <v>0</v>
      </c>
    </row>
    <row r="630" spans="1:8">
      <c r="A630" s="1" t="s">
        <v>619</v>
      </c>
      <c r="B630" s="1" t="s">
        <v>15</v>
      </c>
      <c r="C630" s="1" t="s">
        <v>708</v>
      </c>
      <c r="D630" s="3">
        <v>66276.7</v>
      </c>
      <c r="E630" s="3">
        <v>10121851.140000001</v>
      </c>
      <c r="F630" s="1" t="s">
        <v>2732</v>
      </c>
      <c r="G630" s="3">
        <f t="shared" si="21"/>
        <v>66276.7</v>
      </c>
      <c r="H630" s="4">
        <v>0</v>
      </c>
    </row>
    <row r="631" spans="1:8">
      <c r="A631" s="1" t="s">
        <v>619</v>
      </c>
      <c r="B631" s="1" t="s">
        <v>15</v>
      </c>
      <c r="C631" s="1" t="s">
        <v>709</v>
      </c>
      <c r="D631" s="3">
        <v>16910.13</v>
      </c>
      <c r="E631" s="3">
        <v>10138761.27</v>
      </c>
      <c r="F631" s="1" t="s">
        <v>2732</v>
      </c>
      <c r="G631" s="3">
        <f t="shared" si="21"/>
        <v>16910.13</v>
      </c>
      <c r="H631" s="4">
        <v>0</v>
      </c>
    </row>
    <row r="632" spans="1:8">
      <c r="A632" s="1" t="s">
        <v>619</v>
      </c>
      <c r="B632" s="1" t="s">
        <v>15</v>
      </c>
      <c r="C632" s="1" t="s">
        <v>710</v>
      </c>
      <c r="D632" s="3">
        <v>3410.05</v>
      </c>
      <c r="E632" s="3">
        <v>10142171.32</v>
      </c>
      <c r="F632" s="1" t="s">
        <v>2732</v>
      </c>
      <c r="G632" s="3">
        <f t="shared" si="21"/>
        <v>3410.05</v>
      </c>
      <c r="H632" s="4">
        <v>0</v>
      </c>
    </row>
    <row r="633" spans="1:8">
      <c r="A633" s="1" t="s">
        <v>619</v>
      </c>
      <c r="B633" s="1" t="s">
        <v>15</v>
      </c>
      <c r="C633" s="1" t="s">
        <v>711</v>
      </c>
      <c r="D633" s="3">
        <v>9743</v>
      </c>
      <c r="E633" s="3">
        <v>10151914.32</v>
      </c>
      <c r="F633" s="1" t="s">
        <v>2732</v>
      </c>
      <c r="G633" s="3">
        <f t="shared" si="21"/>
        <v>9743</v>
      </c>
      <c r="H633" s="4">
        <v>0</v>
      </c>
    </row>
    <row r="634" spans="1:8">
      <c r="A634" s="1" t="s">
        <v>619</v>
      </c>
      <c r="B634" s="1" t="s">
        <v>660</v>
      </c>
      <c r="C634" s="1" t="s">
        <v>661</v>
      </c>
      <c r="D634" s="3">
        <v>-37225.019999999997</v>
      </c>
      <c r="E634" s="3">
        <v>9178413.6500000004</v>
      </c>
      <c r="F634" s="1" t="s">
        <v>1738</v>
      </c>
      <c r="G634" s="4">
        <f>+D634/1.006</f>
        <v>-37003.00198807157</v>
      </c>
      <c r="H634" s="4">
        <f>+D634-G634</f>
        <v>-222.01801192842686</v>
      </c>
    </row>
    <row r="635" spans="1:8">
      <c r="A635" s="1" t="s">
        <v>712</v>
      </c>
      <c r="B635" s="1" t="s">
        <v>15</v>
      </c>
      <c r="C635" s="1" t="s">
        <v>713</v>
      </c>
      <c r="D635" s="3">
        <v>40725.74</v>
      </c>
      <c r="E635" s="3">
        <v>10192640.060000001</v>
      </c>
      <c r="F635" s="1" t="s">
        <v>2732</v>
      </c>
      <c r="G635" s="3">
        <f t="shared" ref="G635:G666" si="22">+D635</f>
        <v>40725.74</v>
      </c>
      <c r="H635" s="4">
        <v>0</v>
      </c>
    </row>
    <row r="636" spans="1:8">
      <c r="A636" s="1" t="s">
        <v>712</v>
      </c>
      <c r="B636" s="1" t="s">
        <v>15</v>
      </c>
      <c r="C636" s="1" t="s">
        <v>714</v>
      </c>
      <c r="D636" s="3">
        <v>36049.1</v>
      </c>
      <c r="E636" s="3">
        <v>10228689.16</v>
      </c>
      <c r="F636" s="1" t="s">
        <v>2732</v>
      </c>
      <c r="G636" s="3">
        <f t="shared" si="22"/>
        <v>36049.1</v>
      </c>
      <c r="H636" s="4">
        <v>0</v>
      </c>
    </row>
    <row r="637" spans="1:8">
      <c r="A637" s="1" t="s">
        <v>712</v>
      </c>
      <c r="B637" s="1" t="s">
        <v>15</v>
      </c>
      <c r="C637" s="1" t="s">
        <v>715</v>
      </c>
      <c r="D637" s="3">
        <v>34977.370000000003</v>
      </c>
      <c r="E637" s="3">
        <v>10263666.529999999</v>
      </c>
      <c r="F637" s="1" t="s">
        <v>2732</v>
      </c>
      <c r="G637" s="3">
        <f t="shared" si="22"/>
        <v>34977.370000000003</v>
      </c>
      <c r="H637" s="4">
        <v>0</v>
      </c>
    </row>
    <row r="638" spans="1:8">
      <c r="A638" s="1" t="s">
        <v>712</v>
      </c>
      <c r="B638" s="1" t="s">
        <v>15</v>
      </c>
      <c r="C638" s="1" t="s">
        <v>716</v>
      </c>
      <c r="D638" s="3">
        <v>37159.68</v>
      </c>
      <c r="E638" s="3">
        <v>10300826.210000001</v>
      </c>
      <c r="F638" s="1" t="s">
        <v>2732</v>
      </c>
      <c r="G638" s="3">
        <f t="shared" si="22"/>
        <v>37159.68</v>
      </c>
      <c r="H638" s="4">
        <v>0</v>
      </c>
    </row>
    <row r="639" spans="1:8">
      <c r="A639" s="1" t="s">
        <v>712</v>
      </c>
      <c r="B639" s="1" t="s">
        <v>15</v>
      </c>
      <c r="C639" s="1" t="s">
        <v>717</v>
      </c>
      <c r="D639" s="3">
        <v>14737.32</v>
      </c>
      <c r="E639" s="3">
        <v>10315563.529999999</v>
      </c>
      <c r="F639" s="1" t="s">
        <v>2732</v>
      </c>
      <c r="G639" s="3">
        <f t="shared" si="22"/>
        <v>14737.32</v>
      </c>
      <c r="H639" s="4">
        <v>0</v>
      </c>
    </row>
    <row r="640" spans="1:8">
      <c r="A640" s="1" t="s">
        <v>712</v>
      </c>
      <c r="B640" s="1" t="s">
        <v>15</v>
      </c>
      <c r="C640" s="1" t="s">
        <v>718</v>
      </c>
      <c r="D640" s="3">
        <v>46195.83</v>
      </c>
      <c r="E640" s="3">
        <v>10361759.359999999</v>
      </c>
      <c r="F640" s="1" t="s">
        <v>2732</v>
      </c>
      <c r="G640" s="3">
        <f t="shared" si="22"/>
        <v>46195.83</v>
      </c>
      <c r="H640" s="4">
        <v>0</v>
      </c>
    </row>
    <row r="641" spans="1:8">
      <c r="A641" s="1" t="s">
        <v>712</v>
      </c>
      <c r="B641" s="1" t="s">
        <v>15</v>
      </c>
      <c r="C641" s="1" t="s">
        <v>719</v>
      </c>
      <c r="D641" s="3">
        <v>27572.69</v>
      </c>
      <c r="E641" s="3">
        <v>10389332.050000001</v>
      </c>
      <c r="F641" s="1" t="s">
        <v>2732</v>
      </c>
      <c r="G641" s="3">
        <f t="shared" si="22"/>
        <v>27572.69</v>
      </c>
      <c r="H641" s="4">
        <v>0</v>
      </c>
    </row>
    <row r="642" spans="1:8">
      <c r="A642" s="1" t="s">
        <v>712</v>
      </c>
      <c r="B642" s="1" t="s">
        <v>15</v>
      </c>
      <c r="C642" s="1" t="s">
        <v>720</v>
      </c>
      <c r="D642" s="3">
        <v>40453.660000000003</v>
      </c>
      <c r="E642" s="3">
        <v>10429785.710000001</v>
      </c>
      <c r="F642" s="1" t="s">
        <v>2732</v>
      </c>
      <c r="G642" s="3">
        <f t="shared" si="22"/>
        <v>40453.660000000003</v>
      </c>
      <c r="H642" s="4">
        <v>0</v>
      </c>
    </row>
    <row r="643" spans="1:8">
      <c r="A643" s="1" t="s">
        <v>712</v>
      </c>
      <c r="B643" s="1" t="s">
        <v>15</v>
      </c>
      <c r="C643" s="1" t="s">
        <v>721</v>
      </c>
      <c r="D643" s="3">
        <v>47896.29</v>
      </c>
      <c r="E643" s="3">
        <v>10477682</v>
      </c>
      <c r="F643" s="1" t="s">
        <v>2732</v>
      </c>
      <c r="G643" s="3">
        <f t="shared" si="22"/>
        <v>47896.29</v>
      </c>
      <c r="H643" s="4">
        <v>0</v>
      </c>
    </row>
    <row r="644" spans="1:8">
      <c r="A644" s="1" t="s">
        <v>712</v>
      </c>
      <c r="B644" s="1" t="s">
        <v>15</v>
      </c>
      <c r="C644" s="1" t="s">
        <v>722</v>
      </c>
      <c r="D644" s="3">
        <v>16059.9</v>
      </c>
      <c r="E644" s="3">
        <v>10493741.9</v>
      </c>
      <c r="F644" s="1" t="s">
        <v>2732</v>
      </c>
      <c r="G644" s="3">
        <f t="shared" si="22"/>
        <v>16059.9</v>
      </c>
      <c r="H644" s="4">
        <v>0</v>
      </c>
    </row>
    <row r="645" spans="1:8">
      <c r="A645" s="1" t="s">
        <v>712</v>
      </c>
      <c r="B645" s="1" t="s">
        <v>15</v>
      </c>
      <c r="C645" s="1" t="s">
        <v>723</v>
      </c>
      <c r="D645" s="3">
        <v>11301.88</v>
      </c>
      <c r="E645" s="3">
        <v>10505043.779999999</v>
      </c>
      <c r="F645" s="1" t="s">
        <v>2732</v>
      </c>
      <c r="G645" s="3">
        <f t="shared" si="22"/>
        <v>11301.88</v>
      </c>
      <c r="H645" s="4">
        <v>0</v>
      </c>
    </row>
    <row r="646" spans="1:8">
      <c r="A646" s="1" t="s">
        <v>712</v>
      </c>
      <c r="B646" s="1" t="s">
        <v>15</v>
      </c>
      <c r="C646" s="1" t="s">
        <v>724</v>
      </c>
      <c r="D646" s="3">
        <v>7989.26</v>
      </c>
      <c r="E646" s="3">
        <v>10513033.039999999</v>
      </c>
      <c r="F646" s="1" t="s">
        <v>2732</v>
      </c>
      <c r="G646" s="3">
        <f t="shared" si="22"/>
        <v>7989.26</v>
      </c>
      <c r="H646" s="4">
        <v>0</v>
      </c>
    </row>
    <row r="647" spans="1:8">
      <c r="A647" s="1" t="s">
        <v>712</v>
      </c>
      <c r="B647" s="1" t="s">
        <v>15</v>
      </c>
      <c r="C647" s="1" t="s">
        <v>725</v>
      </c>
      <c r="D647" s="3">
        <v>24747.22</v>
      </c>
      <c r="E647" s="3">
        <v>10537780.26</v>
      </c>
      <c r="F647" s="1" t="s">
        <v>2732</v>
      </c>
      <c r="G647" s="3">
        <f t="shared" si="22"/>
        <v>24747.22</v>
      </c>
      <c r="H647" s="4">
        <v>0</v>
      </c>
    </row>
    <row r="648" spans="1:8">
      <c r="A648" s="1" t="s">
        <v>712</v>
      </c>
      <c r="B648" s="1" t="s">
        <v>726</v>
      </c>
      <c r="C648" s="1" t="s">
        <v>727</v>
      </c>
      <c r="D648" s="3">
        <v>2486.66</v>
      </c>
      <c r="E648" s="3">
        <v>10540266.92</v>
      </c>
      <c r="F648" s="2" t="s">
        <v>2732</v>
      </c>
      <c r="G648" s="3">
        <f t="shared" si="22"/>
        <v>2486.66</v>
      </c>
      <c r="H648" s="4">
        <v>0</v>
      </c>
    </row>
    <row r="649" spans="1:8">
      <c r="A649" s="1" t="s">
        <v>712</v>
      </c>
      <c r="B649" s="1" t="s">
        <v>15</v>
      </c>
      <c r="C649" s="1" t="s">
        <v>728</v>
      </c>
      <c r="D649" s="3">
        <v>28813.35</v>
      </c>
      <c r="E649" s="3">
        <v>10569080.27</v>
      </c>
      <c r="F649" s="1" t="s">
        <v>2732</v>
      </c>
      <c r="G649" s="3">
        <f t="shared" si="22"/>
        <v>28813.35</v>
      </c>
      <c r="H649" s="4">
        <v>0</v>
      </c>
    </row>
    <row r="650" spans="1:8">
      <c r="A650" s="1" t="s">
        <v>712</v>
      </c>
      <c r="B650" s="1" t="s">
        <v>15</v>
      </c>
      <c r="C650" s="1" t="s">
        <v>729</v>
      </c>
      <c r="D650" s="3">
        <v>45304.21</v>
      </c>
      <c r="E650" s="3">
        <v>10614384.48</v>
      </c>
      <c r="F650" s="1" t="s">
        <v>2732</v>
      </c>
      <c r="G650" s="3">
        <f t="shared" si="22"/>
        <v>45304.21</v>
      </c>
      <c r="H650" s="4">
        <v>0</v>
      </c>
    </row>
    <row r="651" spans="1:8">
      <c r="A651" s="1" t="s">
        <v>712</v>
      </c>
      <c r="B651" s="1" t="s">
        <v>15</v>
      </c>
      <c r="C651" s="1" t="s">
        <v>730</v>
      </c>
      <c r="D651" s="3">
        <v>38585.75</v>
      </c>
      <c r="E651" s="3">
        <v>10652970.23</v>
      </c>
      <c r="F651" s="1" t="s">
        <v>2732</v>
      </c>
      <c r="G651" s="3">
        <f t="shared" si="22"/>
        <v>38585.75</v>
      </c>
      <c r="H651" s="4">
        <v>0</v>
      </c>
    </row>
    <row r="652" spans="1:8">
      <c r="A652" s="1" t="s">
        <v>712</v>
      </c>
      <c r="B652" s="1" t="s">
        <v>15</v>
      </c>
      <c r="C652" s="1" t="s">
        <v>731</v>
      </c>
      <c r="D652" s="3">
        <v>16173.38</v>
      </c>
      <c r="E652" s="3">
        <v>10669143.609999999</v>
      </c>
      <c r="F652" s="1" t="s">
        <v>2732</v>
      </c>
      <c r="G652" s="3">
        <f t="shared" si="22"/>
        <v>16173.38</v>
      </c>
      <c r="H652" s="4">
        <v>0</v>
      </c>
    </row>
    <row r="653" spans="1:8">
      <c r="A653" s="1" t="s">
        <v>712</v>
      </c>
      <c r="B653" s="1" t="s">
        <v>732</v>
      </c>
      <c r="C653" s="1" t="s">
        <v>733</v>
      </c>
      <c r="D653" s="2">
        <v>812.57</v>
      </c>
      <c r="E653" s="3">
        <v>10669956.18</v>
      </c>
      <c r="F653" s="2" t="s">
        <v>2732</v>
      </c>
      <c r="G653" s="3">
        <f t="shared" si="22"/>
        <v>812.57</v>
      </c>
      <c r="H653" s="4">
        <v>0</v>
      </c>
    </row>
    <row r="654" spans="1:8">
      <c r="A654" s="1" t="s">
        <v>712</v>
      </c>
      <c r="B654" s="1" t="s">
        <v>15</v>
      </c>
      <c r="C654" s="1" t="s">
        <v>734</v>
      </c>
      <c r="D654" s="3">
        <v>7209.82</v>
      </c>
      <c r="E654" s="3">
        <v>10677166</v>
      </c>
      <c r="F654" s="1" t="s">
        <v>2732</v>
      </c>
      <c r="G654" s="3">
        <f t="shared" si="22"/>
        <v>7209.82</v>
      </c>
      <c r="H654" s="4">
        <v>0</v>
      </c>
    </row>
    <row r="655" spans="1:8">
      <c r="A655" s="1" t="s">
        <v>712</v>
      </c>
      <c r="B655" s="1" t="s">
        <v>15</v>
      </c>
      <c r="C655" s="1" t="s">
        <v>735</v>
      </c>
      <c r="D655" s="3">
        <v>19680.86</v>
      </c>
      <c r="E655" s="3">
        <v>10696846.859999999</v>
      </c>
      <c r="F655" s="1" t="s">
        <v>2732</v>
      </c>
      <c r="G655" s="3">
        <f t="shared" si="22"/>
        <v>19680.86</v>
      </c>
      <c r="H655" s="4">
        <v>0</v>
      </c>
    </row>
    <row r="656" spans="1:8">
      <c r="A656" s="1" t="s">
        <v>712</v>
      </c>
      <c r="B656" s="1" t="s">
        <v>15</v>
      </c>
      <c r="C656" s="1" t="s">
        <v>736</v>
      </c>
      <c r="D656" s="3">
        <v>12471.04</v>
      </c>
      <c r="E656" s="3">
        <v>10709317.9</v>
      </c>
      <c r="F656" s="1" t="s">
        <v>2732</v>
      </c>
      <c r="G656" s="3">
        <f t="shared" si="22"/>
        <v>12471.04</v>
      </c>
      <c r="H656" s="4">
        <v>0</v>
      </c>
    </row>
    <row r="657" spans="1:8">
      <c r="A657" s="1" t="s">
        <v>712</v>
      </c>
      <c r="B657" s="1" t="s">
        <v>15</v>
      </c>
      <c r="C657" s="1" t="s">
        <v>737</v>
      </c>
      <c r="D657" s="3">
        <v>7599.54</v>
      </c>
      <c r="E657" s="3">
        <v>10716917.439999999</v>
      </c>
      <c r="F657" s="1" t="s">
        <v>2732</v>
      </c>
      <c r="G657" s="3">
        <f t="shared" si="22"/>
        <v>7599.54</v>
      </c>
      <c r="H657" s="4">
        <v>0</v>
      </c>
    </row>
    <row r="658" spans="1:8">
      <c r="A658" s="1" t="s">
        <v>712</v>
      </c>
      <c r="B658" s="1" t="s">
        <v>15</v>
      </c>
      <c r="C658" s="1" t="s">
        <v>738</v>
      </c>
      <c r="D658" s="3">
        <v>12847.92</v>
      </c>
      <c r="E658" s="3">
        <v>10729765.359999999</v>
      </c>
      <c r="F658" s="1" t="s">
        <v>2732</v>
      </c>
      <c r="G658" s="3">
        <f t="shared" si="22"/>
        <v>12847.92</v>
      </c>
      <c r="H658" s="4">
        <v>0</v>
      </c>
    </row>
    <row r="659" spans="1:8">
      <c r="A659" s="1" t="s">
        <v>712</v>
      </c>
      <c r="B659" s="1" t="s">
        <v>15</v>
      </c>
      <c r="C659" s="1" t="s">
        <v>739</v>
      </c>
      <c r="D659" s="3">
        <v>33047.56</v>
      </c>
      <c r="E659" s="3">
        <v>10762812.92</v>
      </c>
      <c r="F659" s="1" t="s">
        <v>2732</v>
      </c>
      <c r="G659" s="3">
        <f t="shared" si="22"/>
        <v>33047.56</v>
      </c>
      <c r="H659" s="4">
        <v>0</v>
      </c>
    </row>
    <row r="660" spans="1:8">
      <c r="A660" s="1" t="s">
        <v>712</v>
      </c>
      <c r="B660" s="1" t="s">
        <v>15</v>
      </c>
      <c r="C660" s="1" t="s">
        <v>740</v>
      </c>
      <c r="D660" s="3">
        <v>7463.13</v>
      </c>
      <c r="E660" s="3">
        <v>10770276.050000001</v>
      </c>
      <c r="F660" s="1" t="s">
        <v>2732</v>
      </c>
      <c r="G660" s="3">
        <f t="shared" si="22"/>
        <v>7463.13</v>
      </c>
      <c r="H660" s="4">
        <v>0</v>
      </c>
    </row>
    <row r="661" spans="1:8">
      <c r="A661" s="1" t="s">
        <v>712</v>
      </c>
      <c r="B661" s="1" t="s">
        <v>15</v>
      </c>
      <c r="C661" s="1" t="s">
        <v>741</v>
      </c>
      <c r="D661" s="3">
        <v>39393.99</v>
      </c>
      <c r="E661" s="3">
        <v>10809670.039999999</v>
      </c>
      <c r="F661" s="1" t="s">
        <v>2732</v>
      </c>
      <c r="G661" s="3">
        <f t="shared" si="22"/>
        <v>39393.99</v>
      </c>
      <c r="H661" s="4">
        <v>0</v>
      </c>
    </row>
    <row r="662" spans="1:8">
      <c r="A662" s="1" t="s">
        <v>712</v>
      </c>
      <c r="B662" s="1" t="s">
        <v>15</v>
      </c>
      <c r="C662" s="1" t="s">
        <v>742</v>
      </c>
      <c r="D662" s="3">
        <v>12186.63</v>
      </c>
      <c r="E662" s="3">
        <v>10821856.67</v>
      </c>
      <c r="F662" s="1" t="s">
        <v>2732</v>
      </c>
      <c r="G662" s="3">
        <f t="shared" si="22"/>
        <v>12186.63</v>
      </c>
      <c r="H662" s="4">
        <v>0</v>
      </c>
    </row>
    <row r="663" spans="1:8">
      <c r="A663" s="1" t="s">
        <v>712</v>
      </c>
      <c r="B663" s="1" t="s">
        <v>15</v>
      </c>
      <c r="C663" s="1" t="s">
        <v>743</v>
      </c>
      <c r="D663" s="3">
        <v>3903.97</v>
      </c>
      <c r="E663" s="3">
        <v>10825760.640000001</v>
      </c>
      <c r="F663" s="1" t="s">
        <v>2732</v>
      </c>
      <c r="G663" s="3">
        <f t="shared" si="22"/>
        <v>3903.97</v>
      </c>
      <c r="H663" s="4">
        <v>0</v>
      </c>
    </row>
    <row r="664" spans="1:8">
      <c r="A664" s="1" t="s">
        <v>712</v>
      </c>
      <c r="B664" s="1" t="s">
        <v>15</v>
      </c>
      <c r="C664" s="1" t="s">
        <v>744</v>
      </c>
      <c r="D664" s="3">
        <v>60287.71</v>
      </c>
      <c r="E664" s="3">
        <v>10886048.35</v>
      </c>
      <c r="F664" s="1" t="s">
        <v>2732</v>
      </c>
      <c r="G664" s="3">
        <f t="shared" si="22"/>
        <v>60287.71</v>
      </c>
      <c r="H664" s="4">
        <v>0</v>
      </c>
    </row>
    <row r="665" spans="1:8">
      <c r="A665" s="1" t="s">
        <v>712</v>
      </c>
      <c r="B665" s="1" t="s">
        <v>15</v>
      </c>
      <c r="C665" s="1" t="s">
        <v>745</v>
      </c>
      <c r="D665" s="3">
        <v>10327.58</v>
      </c>
      <c r="E665" s="3">
        <v>10896375.93</v>
      </c>
      <c r="F665" s="1" t="s">
        <v>2732</v>
      </c>
      <c r="G665" s="3">
        <f t="shared" si="22"/>
        <v>10327.58</v>
      </c>
      <c r="H665" s="4">
        <v>0</v>
      </c>
    </row>
    <row r="666" spans="1:8">
      <c r="A666" s="1" t="s">
        <v>712</v>
      </c>
      <c r="B666" s="1" t="s">
        <v>15</v>
      </c>
      <c r="C666" s="1" t="s">
        <v>746</v>
      </c>
      <c r="D666" s="3">
        <v>14614.5</v>
      </c>
      <c r="E666" s="3">
        <v>10910990.43</v>
      </c>
      <c r="F666" s="1" t="s">
        <v>2732</v>
      </c>
      <c r="G666" s="3">
        <f t="shared" si="22"/>
        <v>14614.5</v>
      </c>
      <c r="H666" s="4">
        <v>0</v>
      </c>
    </row>
    <row r="667" spans="1:8">
      <c r="A667" s="1" t="s">
        <v>712</v>
      </c>
      <c r="B667" s="1" t="s">
        <v>747</v>
      </c>
      <c r="C667" s="1" t="s">
        <v>748</v>
      </c>
      <c r="D667" s="2">
        <v>734.25</v>
      </c>
      <c r="E667" s="3">
        <v>10911724.68</v>
      </c>
      <c r="F667" s="2" t="s">
        <v>2732</v>
      </c>
      <c r="G667" s="3">
        <f t="shared" ref="G667:G698" si="23">+D667</f>
        <v>734.25</v>
      </c>
      <c r="H667" s="4">
        <v>0</v>
      </c>
    </row>
    <row r="668" spans="1:8">
      <c r="A668" s="1" t="s">
        <v>712</v>
      </c>
      <c r="B668" s="1" t="s">
        <v>15</v>
      </c>
      <c r="C668" s="1" t="s">
        <v>749</v>
      </c>
      <c r="D668" s="3">
        <v>36731.11</v>
      </c>
      <c r="E668" s="3">
        <v>10948455.789999999</v>
      </c>
      <c r="F668" s="1" t="s">
        <v>2732</v>
      </c>
      <c r="G668" s="3">
        <f t="shared" si="23"/>
        <v>36731.11</v>
      </c>
      <c r="H668" s="4">
        <v>0</v>
      </c>
    </row>
    <row r="669" spans="1:8">
      <c r="A669" s="1" t="s">
        <v>712</v>
      </c>
      <c r="B669" s="1" t="s">
        <v>15</v>
      </c>
      <c r="C669" s="1" t="s">
        <v>750</v>
      </c>
      <c r="D669" s="3">
        <v>40141.160000000003</v>
      </c>
      <c r="E669" s="3">
        <v>10988596.949999999</v>
      </c>
      <c r="F669" s="1" t="s">
        <v>2732</v>
      </c>
      <c r="G669" s="3">
        <f t="shared" si="23"/>
        <v>40141.160000000003</v>
      </c>
      <c r="H669" s="4">
        <v>0</v>
      </c>
    </row>
    <row r="670" spans="1:8">
      <c r="A670" s="1" t="s">
        <v>712</v>
      </c>
      <c r="B670" s="1" t="s">
        <v>15</v>
      </c>
      <c r="C670" s="1" t="s">
        <v>751</v>
      </c>
      <c r="D670" s="3">
        <v>38679.71</v>
      </c>
      <c r="E670" s="3">
        <v>11027276.66</v>
      </c>
      <c r="F670" s="1" t="s">
        <v>2732</v>
      </c>
      <c r="G670" s="3">
        <f t="shared" si="23"/>
        <v>38679.71</v>
      </c>
      <c r="H670" s="4">
        <v>0</v>
      </c>
    </row>
    <row r="671" spans="1:8">
      <c r="A671" s="1" t="s">
        <v>712</v>
      </c>
      <c r="B671" s="1" t="s">
        <v>15</v>
      </c>
      <c r="C671" s="1" t="s">
        <v>752</v>
      </c>
      <c r="D671" s="3">
        <v>13797.42</v>
      </c>
      <c r="E671" s="3">
        <v>11041074.08</v>
      </c>
      <c r="F671" s="1" t="s">
        <v>2732</v>
      </c>
      <c r="G671" s="3">
        <f t="shared" si="23"/>
        <v>13797.42</v>
      </c>
      <c r="H671" s="4">
        <v>0</v>
      </c>
    </row>
    <row r="672" spans="1:8">
      <c r="A672" s="1" t="s">
        <v>712</v>
      </c>
      <c r="B672" s="1" t="s">
        <v>15</v>
      </c>
      <c r="C672" s="1" t="s">
        <v>753</v>
      </c>
      <c r="D672" s="3">
        <v>16757.96</v>
      </c>
      <c r="E672" s="3">
        <v>11057832.039999999</v>
      </c>
      <c r="F672" s="1" t="s">
        <v>2732</v>
      </c>
      <c r="G672" s="3">
        <f t="shared" si="23"/>
        <v>16757.96</v>
      </c>
      <c r="H672" s="4">
        <v>0</v>
      </c>
    </row>
    <row r="673" spans="1:8">
      <c r="A673" s="1" t="s">
        <v>712</v>
      </c>
      <c r="B673" s="1" t="s">
        <v>15</v>
      </c>
      <c r="C673" s="1" t="s">
        <v>754</v>
      </c>
      <c r="D673" s="3">
        <v>22896.05</v>
      </c>
      <c r="E673" s="3">
        <v>11080728.09</v>
      </c>
      <c r="F673" s="1" t="s">
        <v>2732</v>
      </c>
      <c r="G673" s="3">
        <f t="shared" si="23"/>
        <v>22896.05</v>
      </c>
      <c r="H673" s="4">
        <v>0</v>
      </c>
    </row>
    <row r="674" spans="1:8">
      <c r="A674" s="1" t="s">
        <v>712</v>
      </c>
      <c r="B674" s="1" t="s">
        <v>15</v>
      </c>
      <c r="C674" s="1" t="s">
        <v>755</v>
      </c>
      <c r="D674" s="3">
        <v>96650.559999999998</v>
      </c>
      <c r="E674" s="3">
        <v>11177378.65</v>
      </c>
      <c r="F674" s="1" t="s">
        <v>2732</v>
      </c>
      <c r="G674" s="3">
        <f t="shared" si="23"/>
        <v>96650.559999999998</v>
      </c>
      <c r="H674" s="4">
        <v>0</v>
      </c>
    </row>
    <row r="675" spans="1:8">
      <c r="A675" s="1" t="s">
        <v>712</v>
      </c>
      <c r="B675" s="1" t="s">
        <v>15</v>
      </c>
      <c r="C675" s="1" t="s">
        <v>756</v>
      </c>
      <c r="D675" s="3">
        <v>7463.13</v>
      </c>
      <c r="E675" s="3">
        <v>11184841.779999999</v>
      </c>
      <c r="F675" s="1" t="s">
        <v>2732</v>
      </c>
      <c r="G675" s="3">
        <f t="shared" si="23"/>
        <v>7463.13</v>
      </c>
      <c r="H675" s="4">
        <v>0</v>
      </c>
    </row>
    <row r="676" spans="1:8">
      <c r="A676" s="1" t="s">
        <v>712</v>
      </c>
      <c r="B676" s="1" t="s">
        <v>15</v>
      </c>
      <c r="C676" s="1" t="s">
        <v>757</v>
      </c>
      <c r="D676" s="3">
        <v>56899.12</v>
      </c>
      <c r="E676" s="3">
        <v>11241740.9</v>
      </c>
      <c r="F676" s="1" t="s">
        <v>2732</v>
      </c>
      <c r="G676" s="3">
        <f t="shared" si="23"/>
        <v>56899.12</v>
      </c>
      <c r="H676" s="4">
        <v>0</v>
      </c>
    </row>
    <row r="677" spans="1:8">
      <c r="A677" s="1" t="s">
        <v>712</v>
      </c>
      <c r="B677" s="1" t="s">
        <v>15</v>
      </c>
      <c r="C677" s="1" t="s">
        <v>758</v>
      </c>
      <c r="D677" s="3">
        <v>27772.99</v>
      </c>
      <c r="E677" s="3">
        <v>11269513.890000001</v>
      </c>
      <c r="F677" s="1" t="s">
        <v>2732</v>
      </c>
      <c r="G677" s="3">
        <f t="shared" si="23"/>
        <v>27772.99</v>
      </c>
      <c r="H677" s="4">
        <v>0</v>
      </c>
    </row>
    <row r="678" spans="1:8">
      <c r="A678" s="1" t="s">
        <v>712</v>
      </c>
      <c r="B678" s="1" t="s">
        <v>15</v>
      </c>
      <c r="C678" s="1" t="s">
        <v>759</v>
      </c>
      <c r="D678" s="3">
        <v>10230.15</v>
      </c>
      <c r="E678" s="3">
        <v>11279744.039999999</v>
      </c>
      <c r="F678" s="1" t="s">
        <v>2732</v>
      </c>
      <c r="G678" s="3">
        <f t="shared" si="23"/>
        <v>10230.15</v>
      </c>
      <c r="H678" s="4">
        <v>0</v>
      </c>
    </row>
    <row r="679" spans="1:8">
      <c r="A679" s="1" t="s">
        <v>712</v>
      </c>
      <c r="B679" s="1" t="s">
        <v>15</v>
      </c>
      <c r="C679" s="1" t="s">
        <v>760</v>
      </c>
      <c r="D679" s="3">
        <v>22896.05</v>
      </c>
      <c r="E679" s="3">
        <v>11302640.09</v>
      </c>
      <c r="F679" s="1" t="s">
        <v>2732</v>
      </c>
      <c r="G679" s="3">
        <f t="shared" si="23"/>
        <v>22896.05</v>
      </c>
      <c r="H679" s="4">
        <v>0</v>
      </c>
    </row>
    <row r="680" spans="1:8">
      <c r="A680" s="1" t="s">
        <v>712</v>
      </c>
      <c r="B680" s="1" t="s">
        <v>15</v>
      </c>
      <c r="C680" s="1" t="s">
        <v>761</v>
      </c>
      <c r="D680" s="3">
        <v>15393.94</v>
      </c>
      <c r="E680" s="3">
        <v>11318034.029999999</v>
      </c>
      <c r="F680" s="1" t="s">
        <v>2732</v>
      </c>
      <c r="G680" s="3">
        <f t="shared" si="23"/>
        <v>15393.94</v>
      </c>
      <c r="H680" s="4">
        <v>0</v>
      </c>
    </row>
    <row r="681" spans="1:8">
      <c r="A681" s="1" t="s">
        <v>712</v>
      </c>
      <c r="B681" s="1" t="s">
        <v>15</v>
      </c>
      <c r="C681" s="1" t="s">
        <v>762</v>
      </c>
      <c r="D681" s="3">
        <v>45986.96</v>
      </c>
      <c r="E681" s="3">
        <v>11364020.99</v>
      </c>
      <c r="F681" s="1" t="s">
        <v>2732</v>
      </c>
      <c r="G681" s="3">
        <f t="shared" si="23"/>
        <v>45986.96</v>
      </c>
      <c r="H681" s="4">
        <v>0</v>
      </c>
    </row>
    <row r="682" spans="1:8">
      <c r="A682" s="1" t="s">
        <v>712</v>
      </c>
      <c r="B682" s="1" t="s">
        <v>15</v>
      </c>
      <c r="C682" s="1" t="s">
        <v>763</v>
      </c>
      <c r="D682" s="3">
        <v>35854.239999999998</v>
      </c>
      <c r="E682" s="3">
        <v>11399875.23</v>
      </c>
      <c r="F682" s="1" t="s">
        <v>2732</v>
      </c>
      <c r="G682" s="3">
        <f t="shared" si="23"/>
        <v>35854.239999999998</v>
      </c>
      <c r="H682" s="4">
        <v>0</v>
      </c>
    </row>
    <row r="683" spans="1:8">
      <c r="A683" s="1" t="s">
        <v>712</v>
      </c>
      <c r="B683" s="1" t="s">
        <v>15</v>
      </c>
      <c r="C683" s="1" t="s">
        <v>764</v>
      </c>
      <c r="D683" s="3">
        <v>114308.7</v>
      </c>
      <c r="E683" s="3">
        <v>11514183.93</v>
      </c>
      <c r="F683" s="1" t="s">
        <v>2732</v>
      </c>
      <c r="G683" s="3">
        <f t="shared" si="23"/>
        <v>114308.7</v>
      </c>
      <c r="H683" s="4">
        <v>0</v>
      </c>
    </row>
    <row r="684" spans="1:8">
      <c r="A684" s="1" t="s">
        <v>712</v>
      </c>
      <c r="B684" s="1" t="s">
        <v>15</v>
      </c>
      <c r="C684" s="1" t="s">
        <v>765</v>
      </c>
      <c r="D684" s="3">
        <v>7014.96</v>
      </c>
      <c r="E684" s="3">
        <v>11521198.890000001</v>
      </c>
      <c r="F684" s="1" t="s">
        <v>2732</v>
      </c>
      <c r="G684" s="3">
        <f t="shared" si="23"/>
        <v>7014.96</v>
      </c>
      <c r="H684" s="4">
        <v>0</v>
      </c>
    </row>
    <row r="685" spans="1:8">
      <c r="A685" s="1" t="s">
        <v>712</v>
      </c>
      <c r="B685" s="1" t="s">
        <v>15</v>
      </c>
      <c r="C685" s="1" t="s">
        <v>766</v>
      </c>
      <c r="D685" s="3">
        <v>13640.2</v>
      </c>
      <c r="E685" s="3">
        <v>11534839.09</v>
      </c>
      <c r="F685" s="1" t="s">
        <v>2732</v>
      </c>
      <c r="G685" s="3">
        <f t="shared" si="23"/>
        <v>13640.2</v>
      </c>
      <c r="H685" s="4">
        <v>0</v>
      </c>
    </row>
    <row r="686" spans="1:8">
      <c r="A686" s="1" t="s">
        <v>712</v>
      </c>
      <c r="B686" s="1" t="s">
        <v>15</v>
      </c>
      <c r="C686" s="1" t="s">
        <v>768</v>
      </c>
      <c r="D686" s="3">
        <v>7081.62</v>
      </c>
      <c r="E686" s="3">
        <v>10893151.310000001</v>
      </c>
      <c r="F686" s="1" t="s">
        <v>2732</v>
      </c>
      <c r="G686" s="3">
        <f t="shared" si="23"/>
        <v>7081.62</v>
      </c>
      <c r="H686" s="4">
        <v>0</v>
      </c>
    </row>
    <row r="687" spans="1:8">
      <c r="A687" s="1" t="s">
        <v>712</v>
      </c>
      <c r="B687" s="1" t="s">
        <v>15</v>
      </c>
      <c r="C687" s="1" t="s">
        <v>769</v>
      </c>
      <c r="D687" s="3">
        <v>14906.79</v>
      </c>
      <c r="E687" s="3">
        <v>10908058.1</v>
      </c>
      <c r="F687" s="1" t="s">
        <v>2732</v>
      </c>
      <c r="G687" s="3">
        <f t="shared" si="23"/>
        <v>14906.79</v>
      </c>
      <c r="H687" s="4">
        <v>0</v>
      </c>
    </row>
    <row r="688" spans="1:8">
      <c r="A688" s="1" t="s">
        <v>712</v>
      </c>
      <c r="B688" s="1" t="s">
        <v>15</v>
      </c>
      <c r="C688" s="1" t="s">
        <v>770</v>
      </c>
      <c r="D688" s="3">
        <v>38192.559999999998</v>
      </c>
      <c r="E688" s="3">
        <v>10946250.66</v>
      </c>
      <c r="F688" s="1" t="s">
        <v>2732</v>
      </c>
      <c r="G688" s="3">
        <f t="shared" si="23"/>
        <v>38192.559999999998</v>
      </c>
      <c r="H688" s="4">
        <v>0</v>
      </c>
    </row>
    <row r="689" spans="1:8">
      <c r="A689" s="1" t="s">
        <v>712</v>
      </c>
      <c r="B689" s="1" t="s">
        <v>15</v>
      </c>
      <c r="C689" s="1" t="s">
        <v>771</v>
      </c>
      <c r="D689" s="3">
        <v>15491.37</v>
      </c>
      <c r="E689" s="3">
        <v>10961742.029999999</v>
      </c>
      <c r="F689" s="1" t="s">
        <v>2732</v>
      </c>
      <c r="G689" s="3">
        <f t="shared" si="23"/>
        <v>15491.37</v>
      </c>
      <c r="H689" s="4">
        <v>0</v>
      </c>
    </row>
    <row r="690" spans="1:8">
      <c r="A690" s="1" t="s">
        <v>712</v>
      </c>
      <c r="B690" s="1" t="s">
        <v>15</v>
      </c>
      <c r="C690" s="1" t="s">
        <v>772</v>
      </c>
      <c r="D690" s="3">
        <v>11430.87</v>
      </c>
      <c r="E690" s="3">
        <v>10973172.9</v>
      </c>
      <c r="F690" s="1" t="s">
        <v>2732</v>
      </c>
      <c r="G690" s="3">
        <f t="shared" si="23"/>
        <v>11430.87</v>
      </c>
      <c r="H690" s="4">
        <v>0</v>
      </c>
    </row>
    <row r="691" spans="1:8">
      <c r="A691" s="1" t="s">
        <v>712</v>
      </c>
      <c r="B691" s="1" t="s">
        <v>15</v>
      </c>
      <c r="C691" s="1" t="s">
        <v>773</v>
      </c>
      <c r="D691" s="3">
        <v>3903.97</v>
      </c>
      <c r="E691" s="3">
        <v>10977076.869999999</v>
      </c>
      <c r="F691" s="1" t="s">
        <v>2732</v>
      </c>
      <c r="G691" s="3">
        <f t="shared" si="23"/>
        <v>3903.97</v>
      </c>
      <c r="H691" s="4">
        <v>0</v>
      </c>
    </row>
    <row r="692" spans="1:8">
      <c r="A692" s="1" t="s">
        <v>712</v>
      </c>
      <c r="B692" s="1" t="s">
        <v>15</v>
      </c>
      <c r="C692" s="1" t="s">
        <v>774</v>
      </c>
      <c r="D692" s="3">
        <v>8378.98</v>
      </c>
      <c r="E692" s="3">
        <v>10985455.85</v>
      </c>
      <c r="F692" s="1" t="s">
        <v>2732</v>
      </c>
      <c r="G692" s="3">
        <f t="shared" si="23"/>
        <v>8378.98</v>
      </c>
      <c r="H692" s="4">
        <v>0</v>
      </c>
    </row>
    <row r="693" spans="1:8">
      <c r="A693" s="1" t="s">
        <v>712</v>
      </c>
      <c r="B693" s="1" t="s">
        <v>15</v>
      </c>
      <c r="C693" s="1" t="s">
        <v>775</v>
      </c>
      <c r="D693" s="3">
        <v>15199.08</v>
      </c>
      <c r="E693" s="3">
        <v>11000654.93</v>
      </c>
      <c r="F693" s="1" t="s">
        <v>2732</v>
      </c>
      <c r="G693" s="3">
        <f t="shared" si="23"/>
        <v>15199.08</v>
      </c>
      <c r="H693" s="4">
        <v>0</v>
      </c>
    </row>
    <row r="694" spans="1:8">
      <c r="A694" s="1" t="s">
        <v>712</v>
      </c>
      <c r="B694" s="1" t="s">
        <v>776</v>
      </c>
      <c r="C694" s="1" t="s">
        <v>777</v>
      </c>
      <c r="D694" s="3">
        <v>1527.24</v>
      </c>
      <c r="E694" s="3">
        <v>11002182.17</v>
      </c>
      <c r="F694" s="2" t="s">
        <v>2732</v>
      </c>
      <c r="G694" s="3">
        <f t="shared" si="23"/>
        <v>1527.24</v>
      </c>
      <c r="H694" s="4">
        <v>0</v>
      </c>
    </row>
    <row r="695" spans="1:8">
      <c r="A695" s="1" t="s">
        <v>712</v>
      </c>
      <c r="B695" s="1" t="s">
        <v>15</v>
      </c>
      <c r="C695" s="1" t="s">
        <v>778</v>
      </c>
      <c r="D695" s="3">
        <v>10619.87</v>
      </c>
      <c r="E695" s="3">
        <v>11012802.039999999</v>
      </c>
      <c r="F695" s="1" t="s">
        <v>2732</v>
      </c>
      <c r="G695" s="3">
        <f t="shared" si="23"/>
        <v>10619.87</v>
      </c>
      <c r="H695" s="4">
        <v>0</v>
      </c>
    </row>
    <row r="696" spans="1:8">
      <c r="A696" s="1" t="s">
        <v>712</v>
      </c>
      <c r="B696" s="1" t="s">
        <v>15</v>
      </c>
      <c r="C696" s="1" t="s">
        <v>779</v>
      </c>
      <c r="D696" s="3">
        <v>4062.21</v>
      </c>
      <c r="E696" s="3">
        <v>11016864.25</v>
      </c>
      <c r="F696" s="1" t="s">
        <v>2732</v>
      </c>
      <c r="G696" s="3">
        <f t="shared" si="23"/>
        <v>4062.21</v>
      </c>
      <c r="H696" s="4">
        <v>0</v>
      </c>
    </row>
    <row r="697" spans="1:8">
      <c r="A697" s="1" t="s">
        <v>712</v>
      </c>
      <c r="B697" s="1" t="s">
        <v>15</v>
      </c>
      <c r="C697" s="1" t="s">
        <v>780</v>
      </c>
      <c r="D697" s="3">
        <v>4189.49</v>
      </c>
      <c r="E697" s="3">
        <v>11021053.74</v>
      </c>
      <c r="F697" s="1" t="s">
        <v>2732</v>
      </c>
      <c r="G697" s="3">
        <f t="shared" si="23"/>
        <v>4189.49</v>
      </c>
      <c r="H697" s="4">
        <v>0</v>
      </c>
    </row>
    <row r="698" spans="1:8">
      <c r="A698" s="1" t="s">
        <v>712</v>
      </c>
      <c r="B698" s="1" t="s">
        <v>15</v>
      </c>
      <c r="C698" s="1" t="s">
        <v>781</v>
      </c>
      <c r="D698" s="3">
        <v>12276.18</v>
      </c>
      <c r="E698" s="3">
        <v>11033329.92</v>
      </c>
      <c r="F698" s="1" t="s">
        <v>2732</v>
      </c>
      <c r="G698" s="3">
        <f t="shared" si="23"/>
        <v>12276.18</v>
      </c>
      <c r="H698" s="4">
        <v>0</v>
      </c>
    </row>
    <row r="699" spans="1:8">
      <c r="A699" s="1" t="s">
        <v>712</v>
      </c>
      <c r="B699" s="1" t="s">
        <v>15</v>
      </c>
      <c r="C699" s="1" t="s">
        <v>782</v>
      </c>
      <c r="D699" s="3">
        <v>25818.95</v>
      </c>
      <c r="E699" s="3">
        <v>11059148.869999999</v>
      </c>
      <c r="F699" s="1" t="s">
        <v>2732</v>
      </c>
      <c r="G699" s="3">
        <f t="shared" ref="G699:G724" si="24">+D699</f>
        <v>25818.95</v>
      </c>
      <c r="H699" s="4">
        <v>0</v>
      </c>
    </row>
    <row r="700" spans="1:8">
      <c r="A700" s="1" t="s">
        <v>712</v>
      </c>
      <c r="B700" s="1" t="s">
        <v>15</v>
      </c>
      <c r="C700" s="1" t="s">
        <v>783</v>
      </c>
      <c r="D700" s="3">
        <v>46857.120000000003</v>
      </c>
      <c r="E700" s="3">
        <v>11106005.99</v>
      </c>
      <c r="F700" s="1" t="s">
        <v>2732</v>
      </c>
      <c r="G700" s="3">
        <f t="shared" si="24"/>
        <v>46857.120000000003</v>
      </c>
      <c r="H700" s="4">
        <v>0</v>
      </c>
    </row>
    <row r="701" spans="1:8">
      <c r="A701" s="1" t="s">
        <v>712</v>
      </c>
      <c r="B701" s="1" t="s">
        <v>15</v>
      </c>
      <c r="C701" s="1" t="s">
        <v>784</v>
      </c>
      <c r="D701" s="3">
        <v>33226.44</v>
      </c>
      <c r="E701" s="3">
        <v>11139232.43</v>
      </c>
      <c r="F701" s="1" t="s">
        <v>2732</v>
      </c>
      <c r="G701" s="3">
        <f t="shared" si="24"/>
        <v>33226.44</v>
      </c>
      <c r="H701" s="4">
        <v>0</v>
      </c>
    </row>
    <row r="702" spans="1:8">
      <c r="A702" s="1" t="s">
        <v>712</v>
      </c>
      <c r="B702" s="1" t="s">
        <v>15</v>
      </c>
      <c r="C702" s="1" t="s">
        <v>785</v>
      </c>
      <c r="D702" s="3">
        <v>8768.7000000000007</v>
      </c>
      <c r="E702" s="3">
        <v>11148001.130000001</v>
      </c>
      <c r="F702" s="1" t="s">
        <v>2732</v>
      </c>
      <c r="G702" s="3">
        <f t="shared" si="24"/>
        <v>8768.7000000000007</v>
      </c>
      <c r="H702" s="4">
        <v>0</v>
      </c>
    </row>
    <row r="703" spans="1:8">
      <c r="A703" s="1" t="s">
        <v>712</v>
      </c>
      <c r="B703" s="1" t="s">
        <v>15</v>
      </c>
      <c r="C703" s="1" t="s">
        <v>786</v>
      </c>
      <c r="D703" s="3">
        <v>5195.8500000000004</v>
      </c>
      <c r="E703" s="3">
        <v>11153196.98</v>
      </c>
      <c r="F703" s="1" t="s">
        <v>2732</v>
      </c>
      <c r="G703" s="3">
        <f t="shared" si="24"/>
        <v>5195.8500000000004</v>
      </c>
      <c r="H703" s="4">
        <v>0</v>
      </c>
    </row>
    <row r="704" spans="1:8">
      <c r="A704" s="1" t="s">
        <v>712</v>
      </c>
      <c r="B704" s="1" t="s">
        <v>15</v>
      </c>
      <c r="C704" s="1" t="s">
        <v>787</v>
      </c>
      <c r="D704" s="3">
        <v>35135.730000000003</v>
      </c>
      <c r="E704" s="3">
        <v>11188332.710000001</v>
      </c>
      <c r="F704" s="1" t="s">
        <v>2732</v>
      </c>
      <c r="G704" s="3">
        <f t="shared" si="24"/>
        <v>35135.730000000003</v>
      </c>
      <c r="H704" s="4">
        <v>0</v>
      </c>
    </row>
    <row r="705" spans="1:8">
      <c r="A705" s="1" t="s">
        <v>712</v>
      </c>
      <c r="B705" s="1" t="s">
        <v>15</v>
      </c>
      <c r="C705" s="1" t="s">
        <v>788</v>
      </c>
      <c r="D705" s="3">
        <v>29229</v>
      </c>
      <c r="E705" s="3">
        <v>11217561.710000001</v>
      </c>
      <c r="F705" s="1" t="s">
        <v>2732</v>
      </c>
      <c r="G705" s="3">
        <f t="shared" si="24"/>
        <v>29229</v>
      </c>
      <c r="H705" s="4">
        <v>0</v>
      </c>
    </row>
    <row r="706" spans="1:8">
      <c r="A706" s="1" t="s">
        <v>712</v>
      </c>
      <c r="B706" s="1" t="s">
        <v>789</v>
      </c>
      <c r="C706" s="1" t="s">
        <v>790</v>
      </c>
      <c r="D706" s="3">
        <v>1468.5</v>
      </c>
      <c r="E706" s="3">
        <v>11219030.210000001</v>
      </c>
      <c r="F706" s="2" t="s">
        <v>2732</v>
      </c>
      <c r="G706" s="3">
        <f t="shared" si="24"/>
        <v>1468.5</v>
      </c>
      <c r="H706" s="4">
        <v>0</v>
      </c>
    </row>
    <row r="707" spans="1:8">
      <c r="A707" s="1" t="s">
        <v>712</v>
      </c>
      <c r="B707" s="1" t="s">
        <v>15</v>
      </c>
      <c r="C707" s="1" t="s">
        <v>791</v>
      </c>
      <c r="D707" s="3">
        <v>46857.120000000003</v>
      </c>
      <c r="E707" s="3">
        <v>11265887.33</v>
      </c>
      <c r="F707" s="1" t="s">
        <v>2732</v>
      </c>
      <c r="G707" s="3">
        <f t="shared" si="24"/>
        <v>46857.120000000003</v>
      </c>
      <c r="H707" s="4">
        <v>0</v>
      </c>
    </row>
    <row r="708" spans="1:8">
      <c r="A708" s="1" t="s">
        <v>712</v>
      </c>
      <c r="B708" s="1" t="s">
        <v>15</v>
      </c>
      <c r="C708" s="1" t="s">
        <v>792</v>
      </c>
      <c r="D708" s="3">
        <v>53470.02</v>
      </c>
      <c r="E708" s="3">
        <v>11319357.35</v>
      </c>
      <c r="F708" s="1" t="s">
        <v>2732</v>
      </c>
      <c r="G708" s="3">
        <f t="shared" si="24"/>
        <v>53470.02</v>
      </c>
      <c r="H708" s="4">
        <v>0</v>
      </c>
    </row>
    <row r="709" spans="1:8">
      <c r="A709" s="1" t="s">
        <v>712</v>
      </c>
      <c r="B709" s="1" t="s">
        <v>15</v>
      </c>
      <c r="C709" s="1" t="s">
        <v>793</v>
      </c>
      <c r="D709" s="3">
        <v>25999.22</v>
      </c>
      <c r="E709" s="3">
        <v>11345356.57</v>
      </c>
      <c r="F709" s="1" t="s">
        <v>2732</v>
      </c>
      <c r="G709" s="3">
        <f t="shared" si="24"/>
        <v>25999.22</v>
      </c>
      <c r="H709" s="4">
        <v>0</v>
      </c>
    </row>
    <row r="710" spans="1:8">
      <c r="A710" s="1" t="s">
        <v>712</v>
      </c>
      <c r="B710" s="1" t="s">
        <v>15</v>
      </c>
      <c r="C710" s="1" t="s">
        <v>794</v>
      </c>
      <c r="D710" s="3">
        <v>29415.96</v>
      </c>
      <c r="E710" s="3">
        <v>11374772.529999999</v>
      </c>
      <c r="F710" s="1" t="s">
        <v>2732</v>
      </c>
      <c r="G710" s="3">
        <f t="shared" si="24"/>
        <v>29415.96</v>
      </c>
      <c r="H710" s="4">
        <v>0</v>
      </c>
    </row>
    <row r="711" spans="1:8">
      <c r="A711" s="1" t="s">
        <v>712</v>
      </c>
      <c r="B711" s="1" t="s">
        <v>15</v>
      </c>
      <c r="C711" s="1" t="s">
        <v>795</v>
      </c>
      <c r="D711" s="3">
        <v>32249.33</v>
      </c>
      <c r="E711" s="3">
        <v>11407021.859999999</v>
      </c>
      <c r="F711" s="1" t="s">
        <v>2732</v>
      </c>
      <c r="G711" s="3">
        <f t="shared" si="24"/>
        <v>32249.33</v>
      </c>
      <c r="H711" s="4">
        <v>0</v>
      </c>
    </row>
    <row r="712" spans="1:8">
      <c r="A712" s="1" t="s">
        <v>712</v>
      </c>
      <c r="B712" s="1" t="s">
        <v>15</v>
      </c>
      <c r="C712" s="1" t="s">
        <v>796</v>
      </c>
      <c r="D712" s="3">
        <v>41992.33</v>
      </c>
      <c r="E712" s="3">
        <v>11449014.189999999</v>
      </c>
      <c r="F712" s="1" t="s">
        <v>2732</v>
      </c>
      <c r="G712" s="3">
        <f t="shared" si="24"/>
        <v>41992.33</v>
      </c>
      <c r="H712" s="4">
        <v>0</v>
      </c>
    </row>
    <row r="713" spans="1:8">
      <c r="A713" s="1" t="s">
        <v>712</v>
      </c>
      <c r="B713" s="1" t="s">
        <v>15</v>
      </c>
      <c r="C713" s="1" t="s">
        <v>797</v>
      </c>
      <c r="D713" s="3">
        <v>31469.89</v>
      </c>
      <c r="E713" s="3">
        <v>11480484.08</v>
      </c>
      <c r="F713" s="1" t="s">
        <v>2732</v>
      </c>
      <c r="G713" s="3">
        <f t="shared" si="24"/>
        <v>31469.89</v>
      </c>
      <c r="H713" s="4">
        <v>0</v>
      </c>
    </row>
    <row r="714" spans="1:8">
      <c r="A714" s="1" t="s">
        <v>712</v>
      </c>
      <c r="B714" s="1" t="s">
        <v>798</v>
      </c>
      <c r="C714" s="1" t="s">
        <v>799</v>
      </c>
      <c r="D714" s="3">
        <v>3162.17</v>
      </c>
      <c r="E714" s="3">
        <v>11483646.25</v>
      </c>
      <c r="F714" s="2" t="s">
        <v>2732</v>
      </c>
      <c r="G714" s="3">
        <f t="shared" si="24"/>
        <v>3162.17</v>
      </c>
      <c r="H714" s="4">
        <v>0</v>
      </c>
    </row>
    <row r="715" spans="1:8">
      <c r="A715" s="1" t="s">
        <v>712</v>
      </c>
      <c r="B715" s="1" t="s">
        <v>15</v>
      </c>
      <c r="C715" s="1" t="s">
        <v>800</v>
      </c>
      <c r="D715" s="3">
        <v>62728.08</v>
      </c>
      <c r="E715" s="3">
        <v>11546374.33</v>
      </c>
      <c r="F715" s="1" t="s">
        <v>2732</v>
      </c>
      <c r="G715" s="3">
        <f t="shared" si="24"/>
        <v>62728.08</v>
      </c>
      <c r="H715" s="4">
        <v>0</v>
      </c>
    </row>
    <row r="716" spans="1:8">
      <c r="A716" s="1" t="s">
        <v>712</v>
      </c>
      <c r="B716" s="1" t="s">
        <v>15</v>
      </c>
      <c r="C716" s="1" t="s">
        <v>801</v>
      </c>
      <c r="D716" s="3">
        <v>21532.03</v>
      </c>
      <c r="E716" s="3">
        <v>11567906.359999999</v>
      </c>
      <c r="F716" s="1" t="s">
        <v>2732</v>
      </c>
      <c r="G716" s="3">
        <f t="shared" si="24"/>
        <v>21532.03</v>
      </c>
      <c r="H716" s="4">
        <v>0</v>
      </c>
    </row>
    <row r="717" spans="1:8">
      <c r="A717" s="1" t="s">
        <v>712</v>
      </c>
      <c r="B717" s="1" t="s">
        <v>802</v>
      </c>
      <c r="C717" s="1" t="s">
        <v>803</v>
      </c>
      <c r="D717" s="3">
        <v>1081.79</v>
      </c>
      <c r="E717" s="3">
        <v>11568988.15</v>
      </c>
      <c r="F717" s="2" t="s">
        <v>2732</v>
      </c>
      <c r="G717" s="3">
        <f t="shared" si="24"/>
        <v>1081.79</v>
      </c>
      <c r="H717" s="4">
        <v>0</v>
      </c>
    </row>
    <row r="718" spans="1:8">
      <c r="A718" s="1" t="s">
        <v>712</v>
      </c>
      <c r="B718" s="1" t="s">
        <v>15</v>
      </c>
      <c r="C718" s="1" t="s">
        <v>804</v>
      </c>
      <c r="D718" s="3">
        <v>35993.07</v>
      </c>
      <c r="E718" s="3">
        <v>11604981.220000001</v>
      </c>
      <c r="F718" s="1" t="s">
        <v>2732</v>
      </c>
      <c r="G718" s="3">
        <f t="shared" si="24"/>
        <v>35993.07</v>
      </c>
      <c r="H718" s="4">
        <v>0</v>
      </c>
    </row>
    <row r="719" spans="1:8">
      <c r="A719" s="1" t="s">
        <v>712</v>
      </c>
      <c r="B719" s="1" t="s">
        <v>15</v>
      </c>
      <c r="C719" s="1" t="s">
        <v>805</v>
      </c>
      <c r="D719" s="3">
        <v>38670.32</v>
      </c>
      <c r="E719" s="3">
        <v>11643651.539999999</v>
      </c>
      <c r="F719" s="1" t="s">
        <v>2732</v>
      </c>
      <c r="G719" s="3">
        <f t="shared" si="24"/>
        <v>38670.32</v>
      </c>
      <c r="H719" s="4">
        <v>0</v>
      </c>
    </row>
    <row r="720" spans="1:8">
      <c r="A720" s="1" t="s">
        <v>712</v>
      </c>
      <c r="B720" s="1" t="s">
        <v>15</v>
      </c>
      <c r="C720" s="1" t="s">
        <v>806</v>
      </c>
      <c r="D720" s="3">
        <v>37120.83</v>
      </c>
      <c r="E720" s="3">
        <v>11680772.369999999</v>
      </c>
      <c r="F720" s="1" t="s">
        <v>2732</v>
      </c>
      <c r="G720" s="3">
        <f t="shared" si="24"/>
        <v>37120.83</v>
      </c>
      <c r="H720" s="4">
        <v>0</v>
      </c>
    </row>
    <row r="721" spans="1:8">
      <c r="A721" s="1" t="s">
        <v>712</v>
      </c>
      <c r="B721" s="1" t="s">
        <v>15</v>
      </c>
      <c r="C721" s="1" t="s">
        <v>807</v>
      </c>
      <c r="D721" s="3">
        <v>3410.05</v>
      </c>
      <c r="E721" s="3">
        <v>11684182.42</v>
      </c>
      <c r="F721" s="1" t="s">
        <v>2732</v>
      </c>
      <c r="G721" s="3">
        <f t="shared" si="24"/>
        <v>3410.05</v>
      </c>
      <c r="H721" s="4">
        <v>0</v>
      </c>
    </row>
    <row r="722" spans="1:8">
      <c r="A722" s="1" t="s">
        <v>712</v>
      </c>
      <c r="B722" s="1" t="s">
        <v>15</v>
      </c>
      <c r="C722" s="1" t="s">
        <v>808</v>
      </c>
      <c r="D722" s="3">
        <v>3410.05</v>
      </c>
      <c r="E722" s="3">
        <v>11687592.470000001</v>
      </c>
      <c r="F722" s="1" t="s">
        <v>2732</v>
      </c>
      <c r="G722" s="3">
        <f t="shared" si="24"/>
        <v>3410.05</v>
      </c>
      <c r="H722" s="4">
        <v>0</v>
      </c>
    </row>
    <row r="723" spans="1:8">
      <c r="A723" s="1" t="s">
        <v>712</v>
      </c>
      <c r="B723" s="1" t="s">
        <v>15</v>
      </c>
      <c r="C723" s="1" t="s">
        <v>809</v>
      </c>
      <c r="D723" s="3">
        <v>94603.18</v>
      </c>
      <c r="E723" s="3">
        <v>11782195.65</v>
      </c>
      <c r="F723" s="1" t="s">
        <v>2732</v>
      </c>
      <c r="G723" s="3">
        <f t="shared" si="24"/>
        <v>94603.18</v>
      </c>
      <c r="H723" s="4">
        <v>0</v>
      </c>
    </row>
    <row r="724" spans="1:8">
      <c r="A724" s="59" t="s">
        <v>712</v>
      </c>
      <c r="B724" s="59" t="s">
        <v>28</v>
      </c>
      <c r="C724" s="59" t="s">
        <v>767</v>
      </c>
      <c r="D724" s="64">
        <v>-3869.4</v>
      </c>
      <c r="E724" s="64">
        <v>10886069.689999999</v>
      </c>
      <c r="F724" s="59"/>
      <c r="G724" s="64">
        <f t="shared" si="24"/>
        <v>-3869.4</v>
      </c>
      <c r="H724" s="65"/>
    </row>
    <row r="725" spans="1:8">
      <c r="A725" s="1" t="s">
        <v>712</v>
      </c>
      <c r="B725" s="1" t="s">
        <v>40</v>
      </c>
      <c r="C725" s="1" t="s">
        <v>767</v>
      </c>
      <c r="D725" s="3">
        <v>-644900</v>
      </c>
      <c r="E725" s="3">
        <v>10889939.09</v>
      </c>
      <c r="G725" s="4">
        <f>+D725/1.006</f>
        <v>-641053.67793240561</v>
      </c>
      <c r="H725" s="4">
        <f>+D725-G725</f>
        <v>-3846.3220675943885</v>
      </c>
    </row>
    <row r="726" spans="1:8">
      <c r="A726" s="1" t="s">
        <v>810</v>
      </c>
      <c r="B726" s="1" t="s">
        <v>15</v>
      </c>
      <c r="C726" s="1" t="s">
        <v>811</v>
      </c>
      <c r="D726" s="3">
        <v>26695.82</v>
      </c>
      <c r="E726" s="3">
        <v>11808891.470000001</v>
      </c>
      <c r="F726" s="1" t="s">
        <v>2732</v>
      </c>
      <c r="G726" s="3">
        <f t="shared" ref="G726:G757" si="25">+D726</f>
        <v>26695.82</v>
      </c>
      <c r="H726" s="4">
        <v>0</v>
      </c>
    </row>
    <row r="727" spans="1:8">
      <c r="A727" s="1" t="s">
        <v>810</v>
      </c>
      <c r="B727" s="1" t="s">
        <v>15</v>
      </c>
      <c r="C727" s="1" t="s">
        <v>812</v>
      </c>
      <c r="D727" s="3">
        <v>37976.94</v>
      </c>
      <c r="E727" s="3">
        <v>11846868.41</v>
      </c>
      <c r="F727" s="1" t="s">
        <v>2732</v>
      </c>
      <c r="G727" s="3">
        <f t="shared" si="25"/>
        <v>37976.94</v>
      </c>
      <c r="H727" s="4">
        <v>0</v>
      </c>
    </row>
    <row r="728" spans="1:8">
      <c r="A728" s="1" t="s">
        <v>810</v>
      </c>
      <c r="B728" s="1" t="s">
        <v>15</v>
      </c>
      <c r="C728" s="1" t="s">
        <v>813</v>
      </c>
      <c r="D728" s="3">
        <v>15199.08</v>
      </c>
      <c r="E728" s="3">
        <v>11862067.49</v>
      </c>
      <c r="F728" s="1" t="s">
        <v>2732</v>
      </c>
      <c r="G728" s="3">
        <f t="shared" si="25"/>
        <v>15199.08</v>
      </c>
      <c r="H728" s="4">
        <v>0</v>
      </c>
    </row>
    <row r="729" spans="1:8">
      <c r="A729" s="1" t="s">
        <v>810</v>
      </c>
      <c r="B729" s="1" t="s">
        <v>15</v>
      </c>
      <c r="C729" s="1" t="s">
        <v>814</v>
      </c>
      <c r="D729" s="3">
        <v>31080.17</v>
      </c>
      <c r="E729" s="3">
        <v>11893147.66</v>
      </c>
      <c r="F729" s="1" t="s">
        <v>2732</v>
      </c>
      <c r="G729" s="3">
        <f t="shared" si="25"/>
        <v>31080.17</v>
      </c>
      <c r="H729" s="4">
        <v>0</v>
      </c>
    </row>
    <row r="730" spans="1:8">
      <c r="A730" s="1" t="s">
        <v>810</v>
      </c>
      <c r="B730" s="1" t="s">
        <v>15</v>
      </c>
      <c r="C730" s="1" t="s">
        <v>815</v>
      </c>
      <c r="D730" s="3">
        <v>54755.66</v>
      </c>
      <c r="E730" s="3">
        <v>11947903.32</v>
      </c>
      <c r="F730" s="1" t="s">
        <v>2732</v>
      </c>
      <c r="G730" s="3">
        <f t="shared" si="25"/>
        <v>54755.66</v>
      </c>
      <c r="H730" s="4">
        <v>0</v>
      </c>
    </row>
    <row r="731" spans="1:8">
      <c r="A731" s="1" t="s">
        <v>810</v>
      </c>
      <c r="B731" s="1" t="s">
        <v>816</v>
      </c>
      <c r="C731" s="1" t="s">
        <v>817</v>
      </c>
      <c r="D731" s="3">
        <v>2750.99</v>
      </c>
      <c r="E731" s="3">
        <v>11950654.310000001</v>
      </c>
      <c r="F731" s="2" t="s">
        <v>2732</v>
      </c>
      <c r="G731" s="3">
        <f t="shared" si="25"/>
        <v>2750.99</v>
      </c>
      <c r="H731" s="4">
        <v>0</v>
      </c>
    </row>
    <row r="732" spans="1:8">
      <c r="A732" s="1" t="s">
        <v>810</v>
      </c>
      <c r="B732" s="1" t="s">
        <v>15</v>
      </c>
      <c r="C732" s="1" t="s">
        <v>818</v>
      </c>
      <c r="D732" s="3">
        <v>2143.46</v>
      </c>
      <c r="E732" s="3">
        <v>11952797.77</v>
      </c>
      <c r="F732" s="1" t="s">
        <v>2732</v>
      </c>
      <c r="G732" s="3">
        <f t="shared" si="25"/>
        <v>2143.46</v>
      </c>
      <c r="H732" s="4">
        <v>0</v>
      </c>
    </row>
    <row r="733" spans="1:8">
      <c r="A733" s="1" t="s">
        <v>810</v>
      </c>
      <c r="B733" s="1" t="s">
        <v>15</v>
      </c>
      <c r="C733" s="1" t="s">
        <v>819</v>
      </c>
      <c r="D733" s="3">
        <v>65656.649999999994</v>
      </c>
      <c r="E733" s="3">
        <v>12018454.42</v>
      </c>
      <c r="F733" s="1" t="s">
        <v>2732</v>
      </c>
      <c r="G733" s="3">
        <f t="shared" si="25"/>
        <v>65656.649999999994</v>
      </c>
      <c r="H733" s="4">
        <v>0</v>
      </c>
    </row>
    <row r="734" spans="1:8">
      <c r="A734" s="1" t="s">
        <v>810</v>
      </c>
      <c r="B734" s="1" t="s">
        <v>15</v>
      </c>
      <c r="C734" s="1" t="s">
        <v>820</v>
      </c>
      <c r="D734" s="3">
        <v>6476.34</v>
      </c>
      <c r="E734" s="3">
        <v>12024930.76</v>
      </c>
      <c r="F734" s="1" t="s">
        <v>2732</v>
      </c>
      <c r="G734" s="3">
        <f t="shared" si="25"/>
        <v>6476.34</v>
      </c>
      <c r="H734" s="4">
        <v>0</v>
      </c>
    </row>
    <row r="735" spans="1:8">
      <c r="A735" s="1" t="s">
        <v>810</v>
      </c>
      <c r="B735" s="1" t="s">
        <v>15</v>
      </c>
      <c r="C735" s="1" t="s">
        <v>821</v>
      </c>
      <c r="D735" s="3">
        <v>87006.87</v>
      </c>
      <c r="E735" s="3">
        <v>12111937.630000001</v>
      </c>
      <c r="F735" s="1" t="s">
        <v>2732</v>
      </c>
      <c r="G735" s="3">
        <f t="shared" si="25"/>
        <v>87006.87</v>
      </c>
      <c r="H735" s="4">
        <v>0</v>
      </c>
    </row>
    <row r="736" spans="1:8">
      <c r="A736" s="1" t="s">
        <v>810</v>
      </c>
      <c r="B736" s="1" t="s">
        <v>15</v>
      </c>
      <c r="C736" s="1" t="s">
        <v>822</v>
      </c>
      <c r="D736" s="3">
        <v>34670.49</v>
      </c>
      <c r="E736" s="3">
        <v>12146608.119999999</v>
      </c>
      <c r="F736" s="1" t="s">
        <v>2732</v>
      </c>
      <c r="G736" s="3">
        <f t="shared" si="25"/>
        <v>34670.49</v>
      </c>
      <c r="H736" s="4">
        <v>0</v>
      </c>
    </row>
    <row r="737" spans="1:8">
      <c r="A737" s="1" t="s">
        <v>810</v>
      </c>
      <c r="B737" s="1" t="s">
        <v>15</v>
      </c>
      <c r="C737" s="1" t="s">
        <v>823</v>
      </c>
      <c r="D737" s="3">
        <v>54073.65</v>
      </c>
      <c r="E737" s="3">
        <v>12200681.77</v>
      </c>
      <c r="F737" s="1" t="s">
        <v>2732</v>
      </c>
      <c r="G737" s="3">
        <f t="shared" si="25"/>
        <v>54073.65</v>
      </c>
      <c r="H737" s="4">
        <v>0</v>
      </c>
    </row>
    <row r="738" spans="1:8">
      <c r="A738" s="1" t="s">
        <v>810</v>
      </c>
      <c r="B738" s="1" t="s">
        <v>15</v>
      </c>
      <c r="C738" s="1" t="s">
        <v>824</v>
      </c>
      <c r="D738" s="3">
        <v>49397.01</v>
      </c>
      <c r="E738" s="3">
        <v>12250078.779999999</v>
      </c>
      <c r="F738" s="1" t="s">
        <v>2732</v>
      </c>
      <c r="G738" s="3">
        <f t="shared" si="25"/>
        <v>49397.01</v>
      </c>
      <c r="H738" s="4">
        <v>0</v>
      </c>
    </row>
    <row r="739" spans="1:8">
      <c r="A739" s="1" t="s">
        <v>810</v>
      </c>
      <c r="B739" s="1" t="s">
        <v>825</v>
      </c>
      <c r="C739" s="1" t="s">
        <v>826</v>
      </c>
      <c r="D739" s="3">
        <v>4963.53</v>
      </c>
      <c r="E739" s="3">
        <v>12255042.310000001</v>
      </c>
      <c r="F739" s="2" t="s">
        <v>2732</v>
      </c>
      <c r="G739" s="3">
        <f t="shared" si="25"/>
        <v>4963.53</v>
      </c>
      <c r="H739" s="4">
        <v>0</v>
      </c>
    </row>
    <row r="740" spans="1:8">
      <c r="A740" s="1" t="s">
        <v>810</v>
      </c>
      <c r="B740" s="1" t="s">
        <v>15</v>
      </c>
      <c r="C740" s="1" t="s">
        <v>827</v>
      </c>
      <c r="D740" s="3">
        <v>43746.07</v>
      </c>
      <c r="E740" s="3">
        <v>12298788.380000001</v>
      </c>
      <c r="F740" s="1" t="s">
        <v>2732</v>
      </c>
      <c r="G740" s="3">
        <f t="shared" si="25"/>
        <v>43746.07</v>
      </c>
      <c r="H740" s="4">
        <v>0</v>
      </c>
    </row>
    <row r="741" spans="1:8">
      <c r="A741" s="1" t="s">
        <v>810</v>
      </c>
      <c r="B741" s="1" t="s">
        <v>15</v>
      </c>
      <c r="C741" s="1" t="s">
        <v>828</v>
      </c>
      <c r="D741" s="3">
        <v>47801.82</v>
      </c>
      <c r="E741" s="3">
        <v>12346590.199999999</v>
      </c>
      <c r="F741" s="1" t="s">
        <v>2732</v>
      </c>
      <c r="G741" s="3">
        <f t="shared" si="25"/>
        <v>47801.82</v>
      </c>
      <c r="H741" s="4">
        <v>0</v>
      </c>
    </row>
    <row r="742" spans="1:8">
      <c r="A742" s="1" t="s">
        <v>810</v>
      </c>
      <c r="B742" s="1" t="s">
        <v>15</v>
      </c>
      <c r="C742" s="1" t="s">
        <v>829</v>
      </c>
      <c r="D742" s="3">
        <v>34009.199999999997</v>
      </c>
      <c r="E742" s="3">
        <v>12380599.4</v>
      </c>
      <c r="F742" s="1" t="s">
        <v>2732</v>
      </c>
      <c r="G742" s="3">
        <f t="shared" si="25"/>
        <v>34009.199999999997</v>
      </c>
      <c r="H742" s="4">
        <v>0</v>
      </c>
    </row>
    <row r="743" spans="1:8">
      <c r="A743" s="1" t="s">
        <v>810</v>
      </c>
      <c r="B743" s="1" t="s">
        <v>15</v>
      </c>
      <c r="C743" s="1" t="s">
        <v>830</v>
      </c>
      <c r="D743" s="3">
        <v>64888.38</v>
      </c>
      <c r="E743" s="3">
        <v>12445487.779999999</v>
      </c>
      <c r="F743" s="1" t="s">
        <v>2732</v>
      </c>
      <c r="G743" s="3">
        <f t="shared" si="25"/>
        <v>64888.38</v>
      </c>
      <c r="H743" s="4">
        <v>0</v>
      </c>
    </row>
    <row r="744" spans="1:8">
      <c r="A744" s="1" t="s">
        <v>810</v>
      </c>
      <c r="B744" s="1" t="s">
        <v>15</v>
      </c>
      <c r="C744" s="1" t="s">
        <v>831</v>
      </c>
      <c r="D744" s="3">
        <v>8768.7000000000007</v>
      </c>
      <c r="E744" s="3">
        <v>12454256.48</v>
      </c>
      <c r="F744" s="1" t="s">
        <v>2732</v>
      </c>
      <c r="G744" s="3">
        <f t="shared" si="25"/>
        <v>8768.7000000000007</v>
      </c>
      <c r="H744" s="4">
        <v>0</v>
      </c>
    </row>
    <row r="745" spans="1:8">
      <c r="A745" s="1" t="s">
        <v>810</v>
      </c>
      <c r="B745" s="1" t="s">
        <v>15</v>
      </c>
      <c r="C745" s="1" t="s">
        <v>832</v>
      </c>
      <c r="D745" s="3">
        <v>17571.419999999998</v>
      </c>
      <c r="E745" s="3">
        <v>12471827.9</v>
      </c>
      <c r="F745" s="1" t="s">
        <v>2732</v>
      </c>
      <c r="G745" s="3">
        <f t="shared" si="25"/>
        <v>17571.419999999998</v>
      </c>
      <c r="H745" s="4">
        <v>0</v>
      </c>
    </row>
    <row r="746" spans="1:8">
      <c r="A746" s="1" t="s">
        <v>810</v>
      </c>
      <c r="B746" s="1" t="s">
        <v>15</v>
      </c>
      <c r="C746" s="1" t="s">
        <v>833</v>
      </c>
      <c r="D746" s="3">
        <v>35142.839999999997</v>
      </c>
      <c r="E746" s="3">
        <v>12506970.74</v>
      </c>
      <c r="F746" s="1" t="s">
        <v>2732</v>
      </c>
      <c r="G746" s="3">
        <f t="shared" si="25"/>
        <v>35142.839999999997</v>
      </c>
      <c r="H746" s="4">
        <v>0</v>
      </c>
    </row>
    <row r="747" spans="1:8">
      <c r="A747" s="1" t="s">
        <v>810</v>
      </c>
      <c r="B747" s="1" t="s">
        <v>15</v>
      </c>
      <c r="C747" s="1" t="s">
        <v>834</v>
      </c>
      <c r="D747" s="3">
        <v>118085.16</v>
      </c>
      <c r="E747" s="3">
        <v>12625055.9</v>
      </c>
      <c r="F747" s="1" t="s">
        <v>2732</v>
      </c>
      <c r="G747" s="3">
        <f t="shared" si="25"/>
        <v>118085.16</v>
      </c>
      <c r="H747" s="4">
        <v>0</v>
      </c>
    </row>
    <row r="748" spans="1:8">
      <c r="A748" s="1" t="s">
        <v>810</v>
      </c>
      <c r="B748" s="1" t="s">
        <v>15</v>
      </c>
      <c r="C748" s="1" t="s">
        <v>835</v>
      </c>
      <c r="D748" s="3">
        <v>16800.939999999999</v>
      </c>
      <c r="E748" s="3">
        <v>12641856.84</v>
      </c>
      <c r="F748" s="1" t="s">
        <v>2732</v>
      </c>
      <c r="G748" s="3">
        <f t="shared" si="25"/>
        <v>16800.939999999999</v>
      </c>
      <c r="H748" s="4">
        <v>0</v>
      </c>
    </row>
    <row r="749" spans="1:8">
      <c r="A749" s="1" t="s">
        <v>810</v>
      </c>
      <c r="B749" s="1" t="s">
        <v>15</v>
      </c>
      <c r="C749" s="1" t="s">
        <v>836</v>
      </c>
      <c r="D749" s="3">
        <v>38582.28</v>
      </c>
      <c r="E749" s="3">
        <v>12680439.119999999</v>
      </c>
      <c r="F749" s="1" t="s">
        <v>2732</v>
      </c>
      <c r="G749" s="3">
        <f t="shared" si="25"/>
        <v>38582.28</v>
      </c>
      <c r="H749" s="4">
        <v>0</v>
      </c>
    </row>
    <row r="750" spans="1:8">
      <c r="A750" s="1" t="s">
        <v>810</v>
      </c>
      <c r="B750" s="1" t="s">
        <v>837</v>
      </c>
      <c r="C750" s="1" t="s">
        <v>838</v>
      </c>
      <c r="D750" s="3">
        <v>3876.84</v>
      </c>
      <c r="E750" s="3">
        <v>12684315.960000001</v>
      </c>
      <c r="F750" s="2" t="s">
        <v>2732</v>
      </c>
      <c r="G750" s="3">
        <f t="shared" si="25"/>
        <v>3876.84</v>
      </c>
      <c r="H750" s="4">
        <v>0</v>
      </c>
    </row>
    <row r="751" spans="1:8">
      <c r="A751" s="1" t="s">
        <v>810</v>
      </c>
      <c r="B751" s="1" t="s">
        <v>15</v>
      </c>
      <c r="C751" s="1" t="s">
        <v>839</v>
      </c>
      <c r="D751" s="3">
        <v>65005.64</v>
      </c>
      <c r="E751" s="3">
        <v>12749321.6</v>
      </c>
      <c r="F751" s="1" t="s">
        <v>2732</v>
      </c>
      <c r="G751" s="3">
        <f t="shared" si="25"/>
        <v>65005.64</v>
      </c>
      <c r="H751" s="4">
        <v>0</v>
      </c>
    </row>
    <row r="752" spans="1:8">
      <c r="A752" s="1" t="s">
        <v>810</v>
      </c>
      <c r="B752" s="1" t="s">
        <v>15</v>
      </c>
      <c r="C752" s="1" t="s">
        <v>840</v>
      </c>
      <c r="D752" s="3">
        <v>5163.79</v>
      </c>
      <c r="E752" s="3">
        <v>12754485.390000001</v>
      </c>
      <c r="F752" s="1" t="s">
        <v>2732</v>
      </c>
      <c r="G752" s="3">
        <f t="shared" si="25"/>
        <v>5163.79</v>
      </c>
      <c r="H752" s="4">
        <v>0</v>
      </c>
    </row>
    <row r="753" spans="1:8">
      <c r="A753" s="1" t="s">
        <v>810</v>
      </c>
      <c r="B753" s="1" t="s">
        <v>15</v>
      </c>
      <c r="C753" s="1" t="s">
        <v>841</v>
      </c>
      <c r="D753" s="3">
        <v>14906.79</v>
      </c>
      <c r="E753" s="3">
        <v>12769392.18</v>
      </c>
      <c r="F753" s="1" t="s">
        <v>2732</v>
      </c>
      <c r="G753" s="3">
        <f t="shared" si="25"/>
        <v>14906.79</v>
      </c>
      <c r="H753" s="4">
        <v>0</v>
      </c>
    </row>
    <row r="754" spans="1:8">
      <c r="A754" s="1" t="s">
        <v>810</v>
      </c>
      <c r="B754" s="1" t="s">
        <v>15</v>
      </c>
      <c r="C754" s="1" t="s">
        <v>842</v>
      </c>
      <c r="D754" s="3">
        <v>5163.79</v>
      </c>
      <c r="E754" s="3">
        <v>12774555.970000001</v>
      </c>
      <c r="F754" s="1" t="s">
        <v>2732</v>
      </c>
      <c r="G754" s="3">
        <f t="shared" si="25"/>
        <v>5163.79</v>
      </c>
      <c r="H754" s="4">
        <v>0</v>
      </c>
    </row>
    <row r="755" spans="1:8">
      <c r="A755" s="1" t="s">
        <v>810</v>
      </c>
      <c r="B755" s="1" t="s">
        <v>843</v>
      </c>
      <c r="C755" s="1" t="s">
        <v>844</v>
      </c>
      <c r="D755" s="2">
        <v>518.87</v>
      </c>
      <c r="E755" s="3">
        <v>12775074.84</v>
      </c>
      <c r="F755" s="2" t="s">
        <v>2732</v>
      </c>
      <c r="G755" s="3">
        <f t="shared" si="25"/>
        <v>518.87</v>
      </c>
      <c r="H755" s="4">
        <v>0</v>
      </c>
    </row>
    <row r="756" spans="1:8">
      <c r="A756" s="1" t="s">
        <v>810</v>
      </c>
      <c r="B756" s="1" t="s">
        <v>15</v>
      </c>
      <c r="C756" s="1" t="s">
        <v>845</v>
      </c>
      <c r="D756" s="3">
        <v>3799.77</v>
      </c>
      <c r="E756" s="3">
        <v>12778874.609999999</v>
      </c>
      <c r="F756" s="1" t="s">
        <v>2732</v>
      </c>
      <c r="G756" s="3">
        <f t="shared" si="25"/>
        <v>3799.77</v>
      </c>
      <c r="H756" s="4">
        <v>0</v>
      </c>
    </row>
    <row r="757" spans="1:8">
      <c r="A757" s="1" t="s">
        <v>810</v>
      </c>
      <c r="B757" s="1" t="s">
        <v>15</v>
      </c>
      <c r="C757" s="1" t="s">
        <v>846</v>
      </c>
      <c r="D757" s="3">
        <v>10035.290000000001</v>
      </c>
      <c r="E757" s="3">
        <v>12788909.9</v>
      </c>
      <c r="F757" s="1" t="s">
        <v>2732</v>
      </c>
      <c r="G757" s="3">
        <f t="shared" si="25"/>
        <v>10035.290000000001</v>
      </c>
      <c r="H757" s="4">
        <v>0</v>
      </c>
    </row>
    <row r="758" spans="1:8">
      <c r="A758" s="1" t="s">
        <v>810</v>
      </c>
      <c r="B758" s="1" t="s">
        <v>15</v>
      </c>
      <c r="C758" s="1" t="s">
        <v>847</v>
      </c>
      <c r="D758" s="3">
        <v>9258.06</v>
      </c>
      <c r="E758" s="3">
        <v>12798167.960000001</v>
      </c>
      <c r="F758" s="1" t="s">
        <v>2732</v>
      </c>
      <c r="G758" s="3">
        <f t="shared" ref="G758:G789" si="26">+D758</f>
        <v>9258.06</v>
      </c>
      <c r="H758" s="4">
        <v>0</v>
      </c>
    </row>
    <row r="759" spans="1:8">
      <c r="A759" s="1" t="s">
        <v>810</v>
      </c>
      <c r="B759" s="1" t="s">
        <v>15</v>
      </c>
      <c r="C759" s="1" t="s">
        <v>848</v>
      </c>
      <c r="D759" s="3">
        <v>25136.94</v>
      </c>
      <c r="E759" s="3">
        <v>12823304.9</v>
      </c>
      <c r="F759" s="1" t="s">
        <v>2732</v>
      </c>
      <c r="G759" s="3">
        <f t="shared" si="26"/>
        <v>25136.94</v>
      </c>
      <c r="H759" s="4">
        <v>0</v>
      </c>
    </row>
    <row r="760" spans="1:8">
      <c r="A760" s="1" t="s">
        <v>810</v>
      </c>
      <c r="B760" s="1" t="s">
        <v>15</v>
      </c>
      <c r="C760" s="1" t="s">
        <v>849</v>
      </c>
      <c r="D760" s="3">
        <v>16075.95</v>
      </c>
      <c r="E760" s="3">
        <v>12839380.85</v>
      </c>
      <c r="F760" s="1" t="s">
        <v>2732</v>
      </c>
      <c r="G760" s="3">
        <f t="shared" si="26"/>
        <v>16075.95</v>
      </c>
      <c r="H760" s="4">
        <v>0</v>
      </c>
    </row>
    <row r="761" spans="1:8">
      <c r="A761" s="1" t="s">
        <v>810</v>
      </c>
      <c r="B761" s="1" t="s">
        <v>15</v>
      </c>
      <c r="C761" s="1" t="s">
        <v>850</v>
      </c>
      <c r="D761" s="3">
        <v>40310.76</v>
      </c>
      <c r="E761" s="3">
        <v>12879691.609999999</v>
      </c>
      <c r="F761" s="1" t="s">
        <v>2732</v>
      </c>
      <c r="G761" s="3">
        <f t="shared" si="26"/>
        <v>40310.76</v>
      </c>
      <c r="H761" s="4">
        <v>0</v>
      </c>
    </row>
    <row r="762" spans="1:8">
      <c r="A762" s="1" t="s">
        <v>810</v>
      </c>
      <c r="B762" s="1" t="s">
        <v>15</v>
      </c>
      <c r="C762" s="1" t="s">
        <v>851</v>
      </c>
      <c r="D762" s="3">
        <v>11336.4</v>
      </c>
      <c r="E762" s="3">
        <v>12891028.01</v>
      </c>
      <c r="F762" s="1" t="s">
        <v>2732</v>
      </c>
      <c r="G762" s="3">
        <f t="shared" si="26"/>
        <v>11336.4</v>
      </c>
      <c r="H762" s="4">
        <v>0</v>
      </c>
    </row>
    <row r="763" spans="1:8">
      <c r="A763" s="1" t="s">
        <v>810</v>
      </c>
      <c r="B763" s="1" t="s">
        <v>15</v>
      </c>
      <c r="C763" s="1" t="s">
        <v>852</v>
      </c>
      <c r="D763" s="3">
        <v>50273.88</v>
      </c>
      <c r="E763" s="3">
        <v>12941301.890000001</v>
      </c>
      <c r="F763" s="1" t="s">
        <v>2732</v>
      </c>
      <c r="G763" s="3">
        <f t="shared" si="26"/>
        <v>50273.88</v>
      </c>
      <c r="H763" s="4">
        <v>0</v>
      </c>
    </row>
    <row r="764" spans="1:8">
      <c r="A764" s="1" t="s">
        <v>810</v>
      </c>
      <c r="B764" s="1" t="s">
        <v>15</v>
      </c>
      <c r="C764" s="1" t="s">
        <v>853</v>
      </c>
      <c r="D764" s="3">
        <v>3660.54</v>
      </c>
      <c r="E764" s="3">
        <v>12944962.43</v>
      </c>
      <c r="F764" s="1" t="s">
        <v>2732</v>
      </c>
      <c r="G764" s="3">
        <f t="shared" si="26"/>
        <v>3660.54</v>
      </c>
      <c r="H764" s="4">
        <v>0</v>
      </c>
    </row>
    <row r="765" spans="1:8">
      <c r="A765" s="1" t="s">
        <v>810</v>
      </c>
      <c r="B765" s="1" t="s">
        <v>15</v>
      </c>
      <c r="C765" s="1" t="s">
        <v>854</v>
      </c>
      <c r="D765" s="3">
        <v>15209.67</v>
      </c>
      <c r="E765" s="3">
        <v>12960172.1</v>
      </c>
      <c r="F765" s="1" t="s">
        <v>2732</v>
      </c>
      <c r="G765" s="3">
        <f t="shared" si="26"/>
        <v>15209.67</v>
      </c>
      <c r="H765" s="4">
        <v>0</v>
      </c>
    </row>
    <row r="766" spans="1:8">
      <c r="A766" s="1" t="s">
        <v>810</v>
      </c>
      <c r="B766" s="1" t="s">
        <v>15</v>
      </c>
      <c r="C766" s="1" t="s">
        <v>855</v>
      </c>
      <c r="D766" s="3">
        <v>7321.08</v>
      </c>
      <c r="E766" s="3">
        <v>12967493.18</v>
      </c>
      <c r="F766" s="1" t="s">
        <v>2732</v>
      </c>
      <c r="G766" s="3">
        <f t="shared" si="26"/>
        <v>7321.08</v>
      </c>
      <c r="H766" s="4">
        <v>0</v>
      </c>
    </row>
    <row r="767" spans="1:8">
      <c r="A767" s="1" t="s">
        <v>810</v>
      </c>
      <c r="B767" s="1" t="s">
        <v>15</v>
      </c>
      <c r="C767" s="1" t="s">
        <v>856</v>
      </c>
      <c r="D767" s="3">
        <v>55158.9</v>
      </c>
      <c r="E767" s="3">
        <v>13022652.08</v>
      </c>
      <c r="F767" s="1" t="s">
        <v>2732</v>
      </c>
      <c r="G767" s="3">
        <f t="shared" si="26"/>
        <v>55158.9</v>
      </c>
      <c r="H767" s="4">
        <v>0</v>
      </c>
    </row>
    <row r="768" spans="1:8">
      <c r="A768" s="1" t="s">
        <v>810</v>
      </c>
      <c r="B768" s="1" t="s">
        <v>15</v>
      </c>
      <c r="C768" s="1" t="s">
        <v>857</v>
      </c>
      <c r="D768" s="3">
        <v>23806.44</v>
      </c>
      <c r="E768" s="3">
        <v>13046458.52</v>
      </c>
      <c r="F768" s="1" t="s">
        <v>2732</v>
      </c>
      <c r="G768" s="3">
        <f t="shared" si="26"/>
        <v>23806.44</v>
      </c>
      <c r="H768" s="4">
        <v>0</v>
      </c>
    </row>
    <row r="769" spans="1:8">
      <c r="A769" s="1" t="s">
        <v>810</v>
      </c>
      <c r="B769" s="1" t="s">
        <v>15</v>
      </c>
      <c r="C769" s="1" t="s">
        <v>858</v>
      </c>
      <c r="D769" s="3">
        <v>19388.57</v>
      </c>
      <c r="E769" s="3">
        <v>13065847.09</v>
      </c>
      <c r="F769" s="1" t="s">
        <v>2732</v>
      </c>
      <c r="G769" s="3">
        <f t="shared" si="26"/>
        <v>19388.57</v>
      </c>
      <c r="H769" s="4">
        <v>0</v>
      </c>
    </row>
    <row r="770" spans="1:8">
      <c r="A770" s="1" t="s">
        <v>810</v>
      </c>
      <c r="B770" s="1" t="s">
        <v>859</v>
      </c>
      <c r="C770" s="1" t="s">
        <v>860</v>
      </c>
      <c r="D770" s="2">
        <v>974.1</v>
      </c>
      <c r="E770" s="3">
        <v>13066821.189999999</v>
      </c>
      <c r="F770" s="2" t="s">
        <v>2732</v>
      </c>
      <c r="G770" s="3">
        <f t="shared" si="26"/>
        <v>974.1</v>
      </c>
      <c r="H770" s="4">
        <v>0</v>
      </c>
    </row>
    <row r="771" spans="1:8">
      <c r="A771" s="1" t="s">
        <v>810</v>
      </c>
      <c r="B771" s="1" t="s">
        <v>15</v>
      </c>
      <c r="C771" s="1" t="s">
        <v>861</v>
      </c>
      <c r="D771" s="3">
        <v>12763.33</v>
      </c>
      <c r="E771" s="3">
        <v>13079584.52</v>
      </c>
      <c r="F771" s="1" t="s">
        <v>2732</v>
      </c>
      <c r="G771" s="3">
        <f t="shared" si="26"/>
        <v>12763.33</v>
      </c>
      <c r="H771" s="4">
        <v>0</v>
      </c>
    </row>
    <row r="772" spans="1:8">
      <c r="A772" s="1" t="s">
        <v>810</v>
      </c>
      <c r="B772" s="1" t="s">
        <v>15</v>
      </c>
      <c r="C772" s="1" t="s">
        <v>862</v>
      </c>
      <c r="D772" s="3">
        <v>22334.34</v>
      </c>
      <c r="E772" s="3">
        <v>13101918.859999999</v>
      </c>
      <c r="F772" s="1" t="s">
        <v>2732</v>
      </c>
      <c r="G772" s="3">
        <f t="shared" si="26"/>
        <v>22334.34</v>
      </c>
      <c r="H772" s="4">
        <v>0</v>
      </c>
    </row>
    <row r="773" spans="1:8">
      <c r="A773" s="1" t="s">
        <v>810</v>
      </c>
      <c r="B773" s="1" t="s">
        <v>863</v>
      </c>
      <c r="C773" s="1" t="s">
        <v>864</v>
      </c>
      <c r="D773" s="3">
        <v>2408.34</v>
      </c>
      <c r="E773" s="3">
        <v>13104327.199999999</v>
      </c>
      <c r="F773" s="2" t="s">
        <v>2732</v>
      </c>
      <c r="G773" s="3">
        <f t="shared" si="26"/>
        <v>2408.34</v>
      </c>
      <c r="H773" s="4">
        <v>0</v>
      </c>
    </row>
    <row r="774" spans="1:8">
      <c r="A774" s="1" t="s">
        <v>810</v>
      </c>
      <c r="B774" s="1" t="s">
        <v>15</v>
      </c>
      <c r="C774" s="1" t="s">
        <v>865</v>
      </c>
      <c r="D774" s="3">
        <v>20362.87</v>
      </c>
      <c r="E774" s="3">
        <v>13124690.07</v>
      </c>
      <c r="F774" s="1" t="s">
        <v>2732</v>
      </c>
      <c r="G774" s="3">
        <f t="shared" si="26"/>
        <v>20362.87</v>
      </c>
      <c r="H774" s="4">
        <v>0</v>
      </c>
    </row>
    <row r="775" spans="1:8">
      <c r="A775" s="1" t="s">
        <v>810</v>
      </c>
      <c r="B775" s="1" t="s">
        <v>15</v>
      </c>
      <c r="C775" s="1" t="s">
        <v>866</v>
      </c>
      <c r="D775" s="3">
        <v>29143.59</v>
      </c>
      <c r="E775" s="3">
        <v>13153833.66</v>
      </c>
      <c r="F775" s="1" t="s">
        <v>2732</v>
      </c>
      <c r="G775" s="3">
        <f t="shared" si="26"/>
        <v>29143.59</v>
      </c>
      <c r="H775" s="4">
        <v>0</v>
      </c>
    </row>
    <row r="776" spans="1:8">
      <c r="A776" s="1" t="s">
        <v>810</v>
      </c>
      <c r="B776" s="1" t="s">
        <v>15</v>
      </c>
      <c r="C776" s="1" t="s">
        <v>867</v>
      </c>
      <c r="D776" s="3">
        <v>11052.99</v>
      </c>
      <c r="E776" s="3">
        <v>13164886.65</v>
      </c>
      <c r="F776" s="1" t="s">
        <v>2732</v>
      </c>
      <c r="G776" s="3">
        <f t="shared" si="26"/>
        <v>11052.99</v>
      </c>
      <c r="H776" s="4">
        <v>0</v>
      </c>
    </row>
    <row r="777" spans="1:8">
      <c r="A777" s="1" t="s">
        <v>810</v>
      </c>
      <c r="B777" s="1" t="s">
        <v>15</v>
      </c>
      <c r="C777" s="1" t="s">
        <v>868</v>
      </c>
      <c r="D777" s="3">
        <v>24747.22</v>
      </c>
      <c r="E777" s="3">
        <v>13189633.869999999</v>
      </c>
      <c r="F777" s="1" t="s">
        <v>2732</v>
      </c>
      <c r="G777" s="3">
        <f t="shared" si="26"/>
        <v>24747.22</v>
      </c>
      <c r="H777" s="4">
        <v>0</v>
      </c>
    </row>
    <row r="778" spans="1:8">
      <c r="A778" s="1" t="s">
        <v>810</v>
      </c>
      <c r="B778" s="1" t="s">
        <v>15</v>
      </c>
      <c r="C778" s="1" t="s">
        <v>869</v>
      </c>
      <c r="D778" s="3">
        <v>59529.73</v>
      </c>
      <c r="E778" s="3">
        <v>13249163.6</v>
      </c>
      <c r="F778" s="1" t="s">
        <v>2732</v>
      </c>
      <c r="G778" s="3">
        <f t="shared" si="26"/>
        <v>59529.73</v>
      </c>
      <c r="H778" s="4">
        <v>0</v>
      </c>
    </row>
    <row r="779" spans="1:8">
      <c r="A779" s="1" t="s">
        <v>810</v>
      </c>
      <c r="B779" s="1" t="s">
        <v>15</v>
      </c>
      <c r="C779" s="1" t="s">
        <v>870</v>
      </c>
      <c r="D779" s="3">
        <v>7794.4</v>
      </c>
      <c r="E779" s="3">
        <v>13256958</v>
      </c>
      <c r="F779" s="1" t="s">
        <v>2732</v>
      </c>
      <c r="G779" s="3">
        <f t="shared" si="26"/>
        <v>7794.4</v>
      </c>
      <c r="H779" s="4">
        <v>0</v>
      </c>
    </row>
    <row r="780" spans="1:8">
      <c r="A780" s="1" t="s">
        <v>810</v>
      </c>
      <c r="B780" s="1" t="s">
        <v>15</v>
      </c>
      <c r="C780" s="1" t="s">
        <v>871</v>
      </c>
      <c r="D780" s="3">
        <v>26306.1</v>
      </c>
      <c r="E780" s="3">
        <v>13283264.1</v>
      </c>
      <c r="F780" s="1" t="s">
        <v>2732</v>
      </c>
      <c r="G780" s="3">
        <f t="shared" si="26"/>
        <v>26306.1</v>
      </c>
      <c r="H780" s="4">
        <v>0</v>
      </c>
    </row>
    <row r="781" spans="1:8">
      <c r="A781" s="1" t="s">
        <v>810</v>
      </c>
      <c r="B781" s="1" t="s">
        <v>15</v>
      </c>
      <c r="C781" s="1" t="s">
        <v>872</v>
      </c>
      <c r="D781" s="3">
        <v>9255.85</v>
      </c>
      <c r="E781" s="3">
        <v>13292519.949999999</v>
      </c>
      <c r="F781" s="1" t="s">
        <v>2732</v>
      </c>
      <c r="G781" s="3">
        <f t="shared" si="26"/>
        <v>9255.85</v>
      </c>
      <c r="H781" s="4">
        <v>0</v>
      </c>
    </row>
    <row r="782" spans="1:8">
      <c r="A782" s="1" t="s">
        <v>810</v>
      </c>
      <c r="B782" s="1" t="s">
        <v>15</v>
      </c>
      <c r="C782" s="1" t="s">
        <v>873</v>
      </c>
      <c r="D782" s="3">
        <v>10717.3</v>
      </c>
      <c r="E782" s="3">
        <v>13303237.25</v>
      </c>
      <c r="F782" s="1" t="s">
        <v>2732</v>
      </c>
      <c r="G782" s="3">
        <f t="shared" si="26"/>
        <v>10717.3</v>
      </c>
      <c r="H782" s="4">
        <v>0</v>
      </c>
    </row>
    <row r="783" spans="1:8">
      <c r="A783" s="1" t="s">
        <v>810</v>
      </c>
      <c r="B783" s="1" t="s">
        <v>874</v>
      </c>
      <c r="C783" s="1" t="s">
        <v>875</v>
      </c>
      <c r="D783" s="2">
        <v>538.45000000000005</v>
      </c>
      <c r="E783" s="3">
        <v>13303775.699999999</v>
      </c>
      <c r="F783" s="2" t="s">
        <v>2732</v>
      </c>
      <c r="G783" s="3">
        <f t="shared" si="26"/>
        <v>538.45000000000005</v>
      </c>
      <c r="H783" s="4">
        <v>0</v>
      </c>
    </row>
    <row r="784" spans="1:8">
      <c r="A784" s="1" t="s">
        <v>810</v>
      </c>
      <c r="B784" s="1" t="s">
        <v>15</v>
      </c>
      <c r="C784" s="1" t="s">
        <v>876</v>
      </c>
      <c r="D784" s="3">
        <v>8502.2999999999993</v>
      </c>
      <c r="E784" s="3">
        <v>13312278</v>
      </c>
      <c r="F784" s="1" t="s">
        <v>2732</v>
      </c>
      <c r="G784" s="3">
        <f t="shared" si="26"/>
        <v>8502.2999999999993</v>
      </c>
      <c r="H784" s="4">
        <v>0</v>
      </c>
    </row>
    <row r="785" spans="1:8">
      <c r="A785" s="1" t="s">
        <v>810</v>
      </c>
      <c r="B785" s="1" t="s">
        <v>15</v>
      </c>
      <c r="C785" s="1" t="s">
        <v>877</v>
      </c>
      <c r="D785" s="3">
        <v>7599.54</v>
      </c>
      <c r="E785" s="3">
        <v>13319877.539999999</v>
      </c>
      <c r="F785" s="1" t="s">
        <v>2732</v>
      </c>
      <c r="G785" s="3">
        <f t="shared" si="26"/>
        <v>7599.54</v>
      </c>
      <c r="H785" s="4">
        <v>0</v>
      </c>
    </row>
    <row r="786" spans="1:8">
      <c r="A786" s="1" t="s">
        <v>810</v>
      </c>
      <c r="B786" s="1" t="s">
        <v>878</v>
      </c>
      <c r="C786" s="1" t="s">
        <v>879</v>
      </c>
      <c r="D786" s="2">
        <v>763.62</v>
      </c>
      <c r="E786" s="3">
        <v>13320641.16</v>
      </c>
      <c r="F786" s="2" t="s">
        <v>2732</v>
      </c>
      <c r="G786" s="3">
        <f t="shared" si="26"/>
        <v>763.62</v>
      </c>
      <c r="H786" s="4">
        <v>0</v>
      </c>
    </row>
    <row r="787" spans="1:8">
      <c r="A787" s="1" t="s">
        <v>810</v>
      </c>
      <c r="B787" s="1" t="s">
        <v>15</v>
      </c>
      <c r="C787" s="1" t="s">
        <v>880</v>
      </c>
      <c r="D787" s="3">
        <v>22408.9</v>
      </c>
      <c r="E787" s="3">
        <v>13343050.060000001</v>
      </c>
      <c r="F787" s="1" t="s">
        <v>2732</v>
      </c>
      <c r="G787" s="3">
        <f t="shared" si="26"/>
        <v>22408.9</v>
      </c>
      <c r="H787" s="4">
        <v>0</v>
      </c>
    </row>
    <row r="788" spans="1:8">
      <c r="A788" s="1" t="s">
        <v>810</v>
      </c>
      <c r="B788" s="1" t="s">
        <v>15</v>
      </c>
      <c r="C788" s="1" t="s">
        <v>881</v>
      </c>
      <c r="D788" s="3">
        <v>5163.79</v>
      </c>
      <c r="E788" s="3">
        <v>13348213.85</v>
      </c>
      <c r="F788" s="1" t="s">
        <v>2732</v>
      </c>
      <c r="G788" s="3">
        <f t="shared" si="26"/>
        <v>5163.79</v>
      </c>
      <c r="H788" s="4">
        <v>0</v>
      </c>
    </row>
    <row r="789" spans="1:8">
      <c r="A789" s="1" t="s">
        <v>810</v>
      </c>
      <c r="B789" s="1" t="s">
        <v>15</v>
      </c>
      <c r="C789" s="1" t="s">
        <v>882</v>
      </c>
      <c r="D789" s="3">
        <v>24513.3</v>
      </c>
      <c r="E789" s="3">
        <v>13372727.15</v>
      </c>
      <c r="F789" s="1" t="s">
        <v>2732</v>
      </c>
      <c r="G789" s="3">
        <f t="shared" si="26"/>
        <v>24513.3</v>
      </c>
      <c r="H789" s="4">
        <v>0</v>
      </c>
    </row>
    <row r="790" spans="1:8">
      <c r="A790" s="1" t="s">
        <v>810</v>
      </c>
      <c r="B790" s="1" t="s">
        <v>15</v>
      </c>
      <c r="C790" s="1" t="s">
        <v>883</v>
      </c>
      <c r="D790" s="3">
        <v>20877.87</v>
      </c>
      <c r="E790" s="3">
        <v>13393605.02</v>
      </c>
      <c r="F790" s="1" t="s">
        <v>2732</v>
      </c>
      <c r="G790" s="3">
        <f t="shared" ref="G790:G820" si="27">+D790</f>
        <v>20877.87</v>
      </c>
      <c r="H790" s="4">
        <v>0</v>
      </c>
    </row>
    <row r="791" spans="1:8">
      <c r="A791" s="1" t="s">
        <v>810</v>
      </c>
      <c r="B791" s="1" t="s">
        <v>15</v>
      </c>
      <c r="C791" s="1" t="s">
        <v>884</v>
      </c>
      <c r="D791" s="3">
        <v>37023.4</v>
      </c>
      <c r="E791" s="3">
        <v>13430628.42</v>
      </c>
      <c r="F791" s="1" t="s">
        <v>2732</v>
      </c>
      <c r="G791" s="3">
        <f t="shared" si="27"/>
        <v>37023.4</v>
      </c>
      <c r="H791" s="4">
        <v>0</v>
      </c>
    </row>
    <row r="792" spans="1:8">
      <c r="A792" s="1" t="s">
        <v>810</v>
      </c>
      <c r="B792" s="1" t="s">
        <v>15</v>
      </c>
      <c r="C792" s="1" t="s">
        <v>885</v>
      </c>
      <c r="D792" s="3">
        <v>18121.98</v>
      </c>
      <c r="E792" s="3">
        <v>13448750.4</v>
      </c>
      <c r="F792" s="1" t="s">
        <v>2732</v>
      </c>
      <c r="G792" s="3">
        <f t="shared" si="27"/>
        <v>18121.98</v>
      </c>
      <c r="H792" s="4">
        <v>0</v>
      </c>
    </row>
    <row r="793" spans="1:8">
      <c r="A793" s="1" t="s">
        <v>810</v>
      </c>
      <c r="B793" s="1" t="s">
        <v>15</v>
      </c>
      <c r="C793" s="1" t="s">
        <v>886</v>
      </c>
      <c r="D793" s="3">
        <v>13547.8</v>
      </c>
      <c r="E793" s="3">
        <v>13462298.199999999</v>
      </c>
      <c r="F793" s="1" t="s">
        <v>2732</v>
      </c>
      <c r="G793" s="3">
        <f t="shared" si="27"/>
        <v>13547.8</v>
      </c>
      <c r="H793" s="4">
        <v>0</v>
      </c>
    </row>
    <row r="794" spans="1:8">
      <c r="A794" s="1" t="s">
        <v>810</v>
      </c>
      <c r="B794" s="1" t="s">
        <v>15</v>
      </c>
      <c r="C794" s="1" t="s">
        <v>887</v>
      </c>
      <c r="D794" s="3">
        <v>21608.02</v>
      </c>
      <c r="E794" s="3">
        <v>13483906.220000001</v>
      </c>
      <c r="F794" s="1" t="s">
        <v>2732</v>
      </c>
      <c r="G794" s="3">
        <f t="shared" si="27"/>
        <v>21608.02</v>
      </c>
      <c r="H794" s="4">
        <v>0</v>
      </c>
    </row>
    <row r="795" spans="1:8">
      <c r="A795" s="1" t="s">
        <v>810</v>
      </c>
      <c r="B795" s="1" t="s">
        <v>15</v>
      </c>
      <c r="C795" s="1" t="s">
        <v>888</v>
      </c>
      <c r="D795" s="3">
        <v>31469.89</v>
      </c>
      <c r="E795" s="3">
        <v>13515376.109999999</v>
      </c>
      <c r="F795" s="1" t="s">
        <v>2732</v>
      </c>
      <c r="G795" s="3">
        <f t="shared" si="27"/>
        <v>31469.89</v>
      </c>
      <c r="H795" s="4">
        <v>0</v>
      </c>
    </row>
    <row r="796" spans="1:8">
      <c r="A796" s="1" t="s">
        <v>810</v>
      </c>
      <c r="B796" s="1" t="s">
        <v>15</v>
      </c>
      <c r="C796" s="1" t="s">
        <v>889</v>
      </c>
      <c r="D796" s="3">
        <v>8378.98</v>
      </c>
      <c r="E796" s="3">
        <v>13523755.09</v>
      </c>
      <c r="F796" s="1" t="s">
        <v>2732</v>
      </c>
      <c r="G796" s="3">
        <f t="shared" si="27"/>
        <v>8378.98</v>
      </c>
      <c r="H796" s="4">
        <v>0</v>
      </c>
    </row>
    <row r="797" spans="1:8">
      <c r="A797" s="1" t="s">
        <v>810</v>
      </c>
      <c r="B797" s="1" t="s">
        <v>15</v>
      </c>
      <c r="C797" s="1" t="s">
        <v>890</v>
      </c>
      <c r="D797" s="3">
        <v>39361.72</v>
      </c>
      <c r="E797" s="3">
        <v>13563116.810000001</v>
      </c>
      <c r="F797" s="1" t="s">
        <v>2732</v>
      </c>
      <c r="G797" s="3">
        <f t="shared" si="27"/>
        <v>39361.72</v>
      </c>
      <c r="H797" s="4">
        <v>0</v>
      </c>
    </row>
    <row r="798" spans="1:8">
      <c r="A798" s="1" t="s">
        <v>810</v>
      </c>
      <c r="B798" s="1" t="s">
        <v>15</v>
      </c>
      <c r="C798" s="1" t="s">
        <v>891</v>
      </c>
      <c r="D798" s="3">
        <v>42674.34</v>
      </c>
      <c r="E798" s="3">
        <v>13605791.15</v>
      </c>
      <c r="F798" s="1" t="s">
        <v>2732</v>
      </c>
      <c r="G798" s="3">
        <f t="shared" si="27"/>
        <v>42674.34</v>
      </c>
      <c r="H798" s="4">
        <v>0</v>
      </c>
    </row>
    <row r="799" spans="1:8">
      <c r="A799" s="1" t="s">
        <v>810</v>
      </c>
      <c r="B799" s="1" t="s">
        <v>15</v>
      </c>
      <c r="C799" s="1" t="s">
        <v>892</v>
      </c>
      <c r="D799" s="3">
        <v>9730.41</v>
      </c>
      <c r="E799" s="3">
        <v>13615521.560000001</v>
      </c>
      <c r="F799" s="1" t="s">
        <v>2732</v>
      </c>
      <c r="G799" s="3">
        <f t="shared" si="27"/>
        <v>9730.41</v>
      </c>
      <c r="H799" s="4">
        <v>0</v>
      </c>
    </row>
    <row r="800" spans="1:8">
      <c r="A800" s="1" t="s">
        <v>810</v>
      </c>
      <c r="B800" s="1" t="s">
        <v>15</v>
      </c>
      <c r="C800" s="1" t="s">
        <v>893</v>
      </c>
      <c r="D800" s="3">
        <v>28157.27</v>
      </c>
      <c r="E800" s="3">
        <v>13643678.83</v>
      </c>
      <c r="F800" s="1" t="s">
        <v>2732</v>
      </c>
      <c r="G800" s="3">
        <f t="shared" si="27"/>
        <v>28157.27</v>
      </c>
      <c r="H800" s="4">
        <v>0</v>
      </c>
    </row>
    <row r="801" spans="1:8">
      <c r="A801" s="1" t="s">
        <v>810</v>
      </c>
      <c r="B801" s="1" t="s">
        <v>15</v>
      </c>
      <c r="C801" s="1" t="s">
        <v>894</v>
      </c>
      <c r="D801" s="3">
        <v>76872.27</v>
      </c>
      <c r="E801" s="3">
        <v>13720551.1</v>
      </c>
      <c r="F801" s="1" t="s">
        <v>2732</v>
      </c>
      <c r="G801" s="3">
        <f t="shared" si="27"/>
        <v>76872.27</v>
      </c>
      <c r="H801" s="4">
        <v>0</v>
      </c>
    </row>
    <row r="802" spans="1:8">
      <c r="A802" s="1" t="s">
        <v>810</v>
      </c>
      <c r="B802" s="1" t="s">
        <v>15</v>
      </c>
      <c r="C802" s="1" t="s">
        <v>895</v>
      </c>
      <c r="D802" s="3">
        <v>4384.3500000000004</v>
      </c>
      <c r="E802" s="3">
        <v>13724935.449999999</v>
      </c>
      <c r="F802" s="1" t="s">
        <v>2732</v>
      </c>
      <c r="G802" s="3">
        <f t="shared" si="27"/>
        <v>4384.3500000000004</v>
      </c>
      <c r="H802" s="4">
        <v>0</v>
      </c>
    </row>
    <row r="803" spans="1:8">
      <c r="A803" s="1" t="s">
        <v>810</v>
      </c>
      <c r="B803" s="1" t="s">
        <v>15</v>
      </c>
      <c r="C803" s="1" t="s">
        <v>896</v>
      </c>
      <c r="D803" s="3">
        <v>66129</v>
      </c>
      <c r="E803" s="3">
        <v>13791064.449999999</v>
      </c>
      <c r="F803" s="1" t="s">
        <v>2732</v>
      </c>
      <c r="G803" s="3">
        <f t="shared" si="27"/>
        <v>66129</v>
      </c>
      <c r="H803" s="4">
        <v>0</v>
      </c>
    </row>
    <row r="804" spans="1:8">
      <c r="A804" s="1" t="s">
        <v>810</v>
      </c>
      <c r="B804" s="1" t="s">
        <v>15</v>
      </c>
      <c r="C804" s="1" t="s">
        <v>897</v>
      </c>
      <c r="D804" s="3">
        <v>19973.150000000001</v>
      </c>
      <c r="E804" s="3">
        <v>13811037.6</v>
      </c>
      <c r="F804" s="1" t="s">
        <v>2732</v>
      </c>
      <c r="G804" s="3">
        <f t="shared" si="27"/>
        <v>19973.150000000001</v>
      </c>
      <c r="H804" s="4">
        <v>0</v>
      </c>
    </row>
    <row r="805" spans="1:8">
      <c r="A805" s="1" t="s">
        <v>810</v>
      </c>
      <c r="B805" s="1" t="s">
        <v>15</v>
      </c>
      <c r="C805" s="1" t="s">
        <v>898</v>
      </c>
      <c r="D805" s="3">
        <v>47740.7</v>
      </c>
      <c r="E805" s="3">
        <v>13858778.300000001</v>
      </c>
      <c r="F805" s="1" t="s">
        <v>2732</v>
      </c>
      <c r="G805" s="3">
        <f t="shared" si="27"/>
        <v>47740.7</v>
      </c>
      <c r="H805" s="4">
        <v>0</v>
      </c>
    </row>
    <row r="806" spans="1:8">
      <c r="A806" s="1" t="s">
        <v>810</v>
      </c>
      <c r="B806" s="1" t="s">
        <v>15</v>
      </c>
      <c r="C806" s="1" t="s">
        <v>899</v>
      </c>
      <c r="D806" s="3">
        <v>39582.93</v>
      </c>
      <c r="E806" s="3">
        <v>13898361.23</v>
      </c>
      <c r="F806" s="1" t="s">
        <v>2732</v>
      </c>
      <c r="G806" s="3">
        <f t="shared" si="27"/>
        <v>39582.93</v>
      </c>
      <c r="H806" s="4">
        <v>0</v>
      </c>
    </row>
    <row r="807" spans="1:8">
      <c r="A807" s="1" t="s">
        <v>810</v>
      </c>
      <c r="B807" s="1" t="s">
        <v>15</v>
      </c>
      <c r="C807" s="1" t="s">
        <v>900</v>
      </c>
      <c r="D807" s="3">
        <v>11241.93</v>
      </c>
      <c r="E807" s="3">
        <v>13909603.16</v>
      </c>
      <c r="F807" s="1" t="s">
        <v>2732</v>
      </c>
      <c r="G807" s="3">
        <f t="shared" si="27"/>
        <v>11241.93</v>
      </c>
      <c r="H807" s="4">
        <v>0</v>
      </c>
    </row>
    <row r="808" spans="1:8">
      <c r="A808" s="1" t="s">
        <v>810</v>
      </c>
      <c r="B808" s="1" t="s">
        <v>15</v>
      </c>
      <c r="C808" s="1" t="s">
        <v>901</v>
      </c>
      <c r="D808" s="3">
        <v>17342.54</v>
      </c>
      <c r="E808" s="3">
        <v>13926945.699999999</v>
      </c>
      <c r="F808" s="1" t="s">
        <v>2732</v>
      </c>
      <c r="G808" s="3">
        <f t="shared" si="27"/>
        <v>17342.54</v>
      </c>
      <c r="H808" s="4">
        <v>0</v>
      </c>
    </row>
    <row r="809" spans="1:8">
      <c r="A809" s="1" t="s">
        <v>810</v>
      </c>
      <c r="B809" s="1" t="s">
        <v>15</v>
      </c>
      <c r="C809" s="1" t="s">
        <v>902</v>
      </c>
      <c r="D809" s="3">
        <v>41094.449999999997</v>
      </c>
      <c r="E809" s="3">
        <v>13968040.15</v>
      </c>
      <c r="F809" s="1" t="s">
        <v>2732</v>
      </c>
      <c r="G809" s="3">
        <f t="shared" si="27"/>
        <v>41094.449999999997</v>
      </c>
      <c r="H809" s="4">
        <v>0</v>
      </c>
    </row>
    <row r="810" spans="1:8">
      <c r="A810" s="1" t="s">
        <v>903</v>
      </c>
      <c r="B810" s="1" t="s">
        <v>15</v>
      </c>
      <c r="C810" s="1" t="s">
        <v>904</v>
      </c>
      <c r="D810" s="3">
        <v>57288.84</v>
      </c>
      <c r="E810" s="3">
        <v>14025328.99</v>
      </c>
      <c r="F810" s="1" t="s">
        <v>2732</v>
      </c>
      <c r="G810" s="3">
        <f t="shared" si="27"/>
        <v>57288.84</v>
      </c>
      <c r="H810" s="4">
        <v>0</v>
      </c>
    </row>
    <row r="811" spans="1:8">
      <c r="A811" s="1" t="s">
        <v>903</v>
      </c>
      <c r="B811" s="1" t="s">
        <v>15</v>
      </c>
      <c r="C811" s="1" t="s">
        <v>905</v>
      </c>
      <c r="D811" s="3">
        <v>83692.37</v>
      </c>
      <c r="E811" s="3">
        <v>14109021.359999999</v>
      </c>
      <c r="F811" s="1" t="s">
        <v>2732</v>
      </c>
      <c r="G811" s="3">
        <f t="shared" si="27"/>
        <v>83692.37</v>
      </c>
      <c r="H811" s="4">
        <v>0</v>
      </c>
    </row>
    <row r="812" spans="1:8">
      <c r="A812" s="1" t="s">
        <v>903</v>
      </c>
      <c r="B812" s="1" t="s">
        <v>15</v>
      </c>
      <c r="C812" s="1" t="s">
        <v>906</v>
      </c>
      <c r="D812" s="3">
        <v>31630.82</v>
      </c>
      <c r="E812" s="3">
        <v>14140652.18</v>
      </c>
      <c r="F812" s="1" t="s">
        <v>2732</v>
      </c>
      <c r="G812" s="3">
        <f t="shared" si="27"/>
        <v>31630.82</v>
      </c>
      <c r="H812" s="4">
        <v>0</v>
      </c>
    </row>
    <row r="813" spans="1:8">
      <c r="A813" s="1" t="s">
        <v>903</v>
      </c>
      <c r="B813" s="1" t="s">
        <v>15</v>
      </c>
      <c r="C813" s="1" t="s">
        <v>907</v>
      </c>
      <c r="D813" s="3">
        <v>22896.05</v>
      </c>
      <c r="E813" s="3">
        <v>14163548.23</v>
      </c>
      <c r="F813" s="1" t="s">
        <v>2732</v>
      </c>
      <c r="G813" s="3">
        <f t="shared" si="27"/>
        <v>22896.05</v>
      </c>
      <c r="H813" s="4">
        <v>0</v>
      </c>
    </row>
    <row r="814" spans="1:8">
      <c r="A814" s="1" t="s">
        <v>903</v>
      </c>
      <c r="B814" s="1" t="s">
        <v>15</v>
      </c>
      <c r="C814" s="1" t="s">
        <v>908</v>
      </c>
      <c r="D814" s="3">
        <v>26988.11</v>
      </c>
      <c r="E814" s="3">
        <v>14190536.34</v>
      </c>
      <c r="F814" s="1" t="s">
        <v>2732</v>
      </c>
      <c r="G814" s="3">
        <f t="shared" si="27"/>
        <v>26988.11</v>
      </c>
      <c r="H814" s="4">
        <v>0</v>
      </c>
    </row>
    <row r="815" spans="1:8">
      <c r="A815" s="1" t="s">
        <v>903</v>
      </c>
      <c r="B815" s="1" t="s">
        <v>15</v>
      </c>
      <c r="C815" s="1" t="s">
        <v>909</v>
      </c>
      <c r="D815" s="3">
        <v>8768.7000000000007</v>
      </c>
      <c r="E815" s="3">
        <v>14199305.039999999</v>
      </c>
      <c r="F815" s="1" t="s">
        <v>2732</v>
      </c>
      <c r="G815" s="3">
        <f t="shared" si="27"/>
        <v>8768.7000000000007</v>
      </c>
      <c r="H815" s="4">
        <v>0</v>
      </c>
    </row>
    <row r="816" spans="1:8">
      <c r="A816" s="1" t="s">
        <v>903</v>
      </c>
      <c r="B816" s="1" t="s">
        <v>15</v>
      </c>
      <c r="C816" s="1" t="s">
        <v>910</v>
      </c>
      <c r="D816" s="3">
        <v>48812.43</v>
      </c>
      <c r="E816" s="3">
        <v>14248117.470000001</v>
      </c>
      <c r="F816" s="1" t="s">
        <v>2732</v>
      </c>
      <c r="G816" s="3">
        <f t="shared" si="27"/>
        <v>48812.43</v>
      </c>
      <c r="H816" s="4">
        <v>0</v>
      </c>
    </row>
    <row r="817" spans="1:8">
      <c r="A817" s="1" t="s">
        <v>903</v>
      </c>
      <c r="B817" s="1" t="s">
        <v>911</v>
      </c>
      <c r="C817" s="1" t="s">
        <v>912</v>
      </c>
      <c r="D817" s="3">
        <v>4904.79</v>
      </c>
      <c r="E817" s="3">
        <v>14253022.26</v>
      </c>
      <c r="F817" s="2" t="s">
        <v>2732</v>
      </c>
      <c r="G817" s="3">
        <f t="shared" si="27"/>
        <v>4904.79</v>
      </c>
      <c r="H817" s="4">
        <v>0</v>
      </c>
    </row>
    <row r="818" spans="1:8">
      <c r="A818" s="1" t="s">
        <v>903</v>
      </c>
      <c r="B818" s="1" t="s">
        <v>15</v>
      </c>
      <c r="C818" s="1" t="s">
        <v>913</v>
      </c>
      <c r="D818" s="3">
        <v>35172.230000000003</v>
      </c>
      <c r="E818" s="3">
        <v>14288194.49</v>
      </c>
      <c r="F818" s="1" t="s">
        <v>2732</v>
      </c>
      <c r="G818" s="3">
        <f t="shared" si="27"/>
        <v>35172.230000000003</v>
      </c>
      <c r="H818" s="4">
        <v>0</v>
      </c>
    </row>
    <row r="819" spans="1:8">
      <c r="A819" s="1" t="s">
        <v>903</v>
      </c>
      <c r="B819" s="1" t="s">
        <v>15</v>
      </c>
      <c r="C819" s="1" t="s">
        <v>914</v>
      </c>
      <c r="D819" s="3">
        <v>21063.279999999999</v>
      </c>
      <c r="E819" s="3">
        <v>14309257.77</v>
      </c>
      <c r="F819" s="1" t="s">
        <v>2732</v>
      </c>
      <c r="G819" s="3">
        <f t="shared" si="27"/>
        <v>21063.279999999999</v>
      </c>
      <c r="H819" s="4">
        <v>0</v>
      </c>
    </row>
    <row r="820" spans="1:8">
      <c r="A820" s="1" t="s">
        <v>903</v>
      </c>
      <c r="B820" s="1" t="s">
        <v>15</v>
      </c>
      <c r="C820" s="1" t="s">
        <v>915</v>
      </c>
      <c r="D820" s="3">
        <v>37607.980000000003</v>
      </c>
      <c r="E820" s="3">
        <v>14346865.75</v>
      </c>
      <c r="F820" s="1" t="s">
        <v>2732</v>
      </c>
      <c r="G820" s="3">
        <f t="shared" si="27"/>
        <v>37607.980000000003</v>
      </c>
      <c r="H820" s="4">
        <v>0</v>
      </c>
    </row>
    <row r="821" spans="1:8">
      <c r="A821" s="1" t="s">
        <v>903</v>
      </c>
      <c r="B821" s="1" t="s">
        <v>920</v>
      </c>
      <c r="C821" s="1" t="s">
        <v>921</v>
      </c>
      <c r="D821" s="3">
        <v>-103632.08</v>
      </c>
      <c r="E821" s="3">
        <v>12303049</v>
      </c>
      <c r="F821" s="1" t="s">
        <v>1743</v>
      </c>
      <c r="G821" s="4">
        <f>+D821/1.006</f>
        <v>-103013.99602385686</v>
      </c>
      <c r="H821" s="4">
        <f>+D821-G821</f>
        <v>-618.08397614314163</v>
      </c>
    </row>
    <row r="822" spans="1:8">
      <c r="A822" s="59" t="s">
        <v>903</v>
      </c>
      <c r="B822" s="59" t="s">
        <v>28</v>
      </c>
      <c r="C822" s="59" t="s">
        <v>928</v>
      </c>
      <c r="D822" s="63">
        <v>-678.94</v>
      </c>
      <c r="E822" s="64">
        <v>11485278.439999999</v>
      </c>
      <c r="F822" s="59"/>
      <c r="G822" s="64">
        <f>+D822</f>
        <v>-678.94</v>
      </c>
      <c r="H822" s="65"/>
    </row>
    <row r="823" spans="1:8">
      <c r="A823" s="59" t="s">
        <v>903</v>
      </c>
      <c r="B823" s="59" t="s">
        <v>28</v>
      </c>
      <c r="C823" s="59" t="s">
        <v>919</v>
      </c>
      <c r="D823" s="64">
        <v>-1587.26</v>
      </c>
      <c r="E823" s="64">
        <v>12406681.08</v>
      </c>
      <c r="F823" s="59"/>
      <c r="G823" s="64">
        <f>+D823</f>
        <v>-1587.26</v>
      </c>
      <c r="H823" s="65"/>
    </row>
    <row r="824" spans="1:8">
      <c r="A824" s="1" t="s">
        <v>903</v>
      </c>
      <c r="B824" s="1" t="s">
        <v>29</v>
      </c>
      <c r="C824" s="1" t="s">
        <v>919</v>
      </c>
      <c r="D824" s="3">
        <v>-264542.99</v>
      </c>
      <c r="E824" s="3">
        <v>12408268.34</v>
      </c>
      <c r="G824" s="4">
        <f t="shared" ref="G824:G833" si="28">+D824/1.006</f>
        <v>-262965.19880715705</v>
      </c>
      <c r="H824" s="4">
        <f t="shared" ref="H824:H833" si="29">+D824-G824</f>
        <v>-1577.7911928429385</v>
      </c>
    </row>
    <row r="825" spans="1:8">
      <c r="A825" s="1" t="s">
        <v>903</v>
      </c>
      <c r="B825" s="1" t="s">
        <v>81</v>
      </c>
      <c r="C825" s="1" t="s">
        <v>929</v>
      </c>
      <c r="D825" s="3">
        <v>-21729.59</v>
      </c>
      <c r="E825" s="3">
        <v>11463548.85</v>
      </c>
      <c r="F825" s="1" t="s">
        <v>1736</v>
      </c>
      <c r="G825" s="4">
        <f t="shared" si="28"/>
        <v>-21599.990059642147</v>
      </c>
      <c r="H825" s="4">
        <f t="shared" si="29"/>
        <v>-129.59994035785348</v>
      </c>
    </row>
    <row r="826" spans="1:8">
      <c r="A826" s="1" t="s">
        <v>903</v>
      </c>
      <c r="B826" s="23" t="s">
        <v>478</v>
      </c>
      <c r="C826" s="23" t="s">
        <v>918</v>
      </c>
      <c r="D826" s="33">
        <v>-857112</v>
      </c>
      <c r="E826" s="3">
        <v>12672811.33</v>
      </c>
      <c r="G826" s="4">
        <f t="shared" si="28"/>
        <v>-852000</v>
      </c>
      <c r="H826" s="4">
        <f t="shared" si="29"/>
        <v>-5112</v>
      </c>
    </row>
    <row r="827" spans="1:8">
      <c r="A827" s="1" t="s">
        <v>903</v>
      </c>
      <c r="B827" s="1" t="s">
        <v>24</v>
      </c>
      <c r="C827" s="1" t="s">
        <v>924</v>
      </c>
      <c r="D827" s="3">
        <v>-16055.76</v>
      </c>
      <c r="E827" s="3">
        <v>11840213.550000001</v>
      </c>
      <c r="G827" s="4">
        <f t="shared" si="28"/>
        <v>-15960</v>
      </c>
      <c r="H827" s="4">
        <f t="shared" si="29"/>
        <v>-95.760000000000218</v>
      </c>
    </row>
    <row r="828" spans="1:8">
      <c r="A828" s="1" t="s">
        <v>903</v>
      </c>
      <c r="B828" s="1" t="s">
        <v>24</v>
      </c>
      <c r="C828" s="1" t="s">
        <v>925</v>
      </c>
      <c r="D828" s="3">
        <v>-26107.51</v>
      </c>
      <c r="E828" s="3">
        <v>11814106.039999999</v>
      </c>
      <c r="G828" s="4">
        <f t="shared" si="28"/>
        <v>-25951.799204771371</v>
      </c>
      <c r="H828" s="4">
        <f t="shared" si="29"/>
        <v>-155.71079522862783</v>
      </c>
    </row>
    <row r="829" spans="1:8">
      <c r="A829" s="1" t="s">
        <v>903</v>
      </c>
      <c r="B829" s="1" t="s">
        <v>24</v>
      </c>
      <c r="C829" s="1" t="s">
        <v>926</v>
      </c>
      <c r="D829" s="3">
        <v>-214992.66</v>
      </c>
      <c r="E829" s="3">
        <v>11599113.380000001</v>
      </c>
      <c r="G829" s="4">
        <f t="shared" si="28"/>
        <v>-213710.3976143141</v>
      </c>
      <c r="H829" s="4">
        <f t="shared" si="29"/>
        <v>-1282.2623856858991</v>
      </c>
    </row>
    <row r="830" spans="1:8">
      <c r="A830" s="1" t="s">
        <v>903</v>
      </c>
      <c r="B830" s="1" t="s">
        <v>916</v>
      </c>
      <c r="C830" s="1" t="s">
        <v>917</v>
      </c>
      <c r="D830" s="3">
        <v>-816942.42</v>
      </c>
      <c r="E830" s="3">
        <v>13529923.33</v>
      </c>
      <c r="G830" s="4">
        <f t="shared" si="28"/>
        <v>-812070</v>
      </c>
      <c r="H830" s="4">
        <f t="shared" si="29"/>
        <v>-4872.4200000000419</v>
      </c>
    </row>
    <row r="831" spans="1:8">
      <c r="A831" s="1" t="s">
        <v>903</v>
      </c>
      <c r="B831" s="1" t="s">
        <v>47</v>
      </c>
      <c r="C831" s="1" t="s">
        <v>922</v>
      </c>
      <c r="D831" s="3">
        <v>-126076.95</v>
      </c>
      <c r="E831" s="3">
        <v>12176972.050000001</v>
      </c>
      <c r="G831" s="4">
        <f t="shared" si="28"/>
        <v>-125325</v>
      </c>
      <c r="H831" s="4">
        <f t="shared" si="29"/>
        <v>-751.94999999999709</v>
      </c>
    </row>
    <row r="832" spans="1:8">
      <c r="A832" s="1" t="s">
        <v>903</v>
      </c>
      <c r="B832" s="1" t="s">
        <v>47</v>
      </c>
      <c r="C832" s="1" t="s">
        <v>923</v>
      </c>
      <c r="D832" s="3">
        <v>-320702.74</v>
      </c>
      <c r="E832" s="3">
        <v>11856269.310000001</v>
      </c>
      <c r="G832" s="4">
        <f t="shared" si="28"/>
        <v>-318790</v>
      </c>
      <c r="H832" s="4">
        <f t="shared" si="29"/>
        <v>-1912.7399999999907</v>
      </c>
    </row>
    <row r="833" spans="1:8">
      <c r="A833" s="1" t="s">
        <v>903</v>
      </c>
      <c r="B833" s="1" t="s">
        <v>927</v>
      </c>
      <c r="C833" s="1" t="s">
        <v>928</v>
      </c>
      <c r="D833" s="3">
        <v>-113156</v>
      </c>
      <c r="E833" s="3">
        <v>11485957.380000001</v>
      </c>
      <c r="G833" s="4">
        <f t="shared" si="28"/>
        <v>-112481.11332007952</v>
      </c>
      <c r="H833" s="4">
        <f t="shared" si="29"/>
        <v>-674.88667992048431</v>
      </c>
    </row>
    <row r="834" spans="1:8">
      <c r="A834" s="59" t="s">
        <v>930</v>
      </c>
      <c r="B834" s="59" t="s">
        <v>28</v>
      </c>
      <c r="C834" s="59" t="s">
        <v>935</v>
      </c>
      <c r="D834" s="64">
        <v>-1691.28</v>
      </c>
      <c r="E834" s="64">
        <v>9393566.8300000001</v>
      </c>
      <c r="F834" s="59"/>
      <c r="G834" s="64">
        <f>+D834</f>
        <v>-1691.28</v>
      </c>
      <c r="H834" s="65"/>
    </row>
    <row r="835" spans="1:8">
      <c r="A835" s="59" t="s">
        <v>930</v>
      </c>
      <c r="B835" s="59" t="s">
        <v>28</v>
      </c>
      <c r="C835" s="59" t="s">
        <v>934</v>
      </c>
      <c r="D835" s="64">
        <v>-3345.01</v>
      </c>
      <c r="E835" s="64">
        <v>9677138.1099999994</v>
      </c>
      <c r="F835" s="59"/>
      <c r="G835" s="64">
        <f>+D835</f>
        <v>-3345.01</v>
      </c>
      <c r="H835" s="65"/>
    </row>
    <row r="836" spans="1:8">
      <c r="A836" s="59" t="s">
        <v>930</v>
      </c>
      <c r="B836" s="59" t="s">
        <v>28</v>
      </c>
      <c r="C836" s="59" t="s">
        <v>932</v>
      </c>
      <c r="D836" s="64">
        <v>-6297.87</v>
      </c>
      <c r="E836" s="64">
        <v>10237984.57</v>
      </c>
      <c r="F836" s="59"/>
      <c r="G836" s="64">
        <f>+D836</f>
        <v>-6297.87</v>
      </c>
      <c r="H836" s="65"/>
    </row>
    <row r="837" spans="1:8">
      <c r="A837" s="83" t="s">
        <v>930</v>
      </c>
      <c r="B837" s="83" t="s">
        <v>933</v>
      </c>
      <c r="C837" s="83" t="s">
        <v>934</v>
      </c>
      <c r="D837" s="84">
        <v>-557501.44999999995</v>
      </c>
      <c r="E837" s="82">
        <v>9680483.1199999992</v>
      </c>
      <c r="F837" s="83"/>
      <c r="G837" s="85">
        <f>+D837/1.006</f>
        <v>-554176.39165009931</v>
      </c>
      <c r="H837" s="85">
        <f>+D837-G837</f>
        <v>-3325.0583499006461</v>
      </c>
    </row>
    <row r="838" spans="1:8">
      <c r="A838" s="1" t="s">
        <v>930</v>
      </c>
      <c r="B838" s="1" t="s">
        <v>79</v>
      </c>
      <c r="C838" s="1" t="s">
        <v>935</v>
      </c>
      <c r="D838" s="3">
        <v>-281880</v>
      </c>
      <c r="E838" s="3">
        <v>9395258.1099999994</v>
      </c>
      <c r="G838" s="4">
        <f>+D838/1.006</f>
        <v>-280198.80715705763</v>
      </c>
      <c r="H838" s="4">
        <f>+D838-G838</f>
        <v>-1681.1928429423715</v>
      </c>
    </row>
    <row r="839" spans="1:8">
      <c r="A839" s="1" t="s">
        <v>930</v>
      </c>
      <c r="B839" s="1" t="s">
        <v>31</v>
      </c>
      <c r="C839" s="1" t="s">
        <v>931</v>
      </c>
      <c r="D839" s="3">
        <v>-169621.66</v>
      </c>
      <c r="E839" s="3">
        <v>11293927.189999999</v>
      </c>
      <c r="G839" s="4">
        <f>+D839/1.006</f>
        <v>-168610</v>
      </c>
      <c r="H839" s="4">
        <f>+D839-G839</f>
        <v>-1011.6600000000035</v>
      </c>
    </row>
    <row r="840" spans="1:8">
      <c r="A840" s="1" t="s">
        <v>930</v>
      </c>
      <c r="B840" s="1" t="s">
        <v>927</v>
      </c>
      <c r="C840" s="1" t="s">
        <v>932</v>
      </c>
      <c r="D840" s="3">
        <v>-1049644.75</v>
      </c>
      <c r="E840" s="3">
        <v>10244282.439999999</v>
      </c>
      <c r="G840" s="4">
        <f>+D840/1.006</f>
        <v>-1043384.4433399602</v>
      </c>
      <c r="H840" s="4">
        <f>+D840-G840</f>
        <v>-6260.3066600398161</v>
      </c>
    </row>
    <row r="841" spans="1:8">
      <c r="A841" s="1" t="s">
        <v>936</v>
      </c>
      <c r="B841" s="1" t="s">
        <v>15</v>
      </c>
      <c r="C841" s="1" t="s">
        <v>941</v>
      </c>
      <c r="D841" s="3">
        <v>8378.98</v>
      </c>
      <c r="E841" s="3">
        <v>7909468.7800000003</v>
      </c>
      <c r="F841" s="1" t="s">
        <v>2732</v>
      </c>
      <c r="G841" s="3">
        <f t="shared" ref="G841:G863" si="30">+D841</f>
        <v>8378.98</v>
      </c>
      <c r="H841" s="4">
        <f>+D841-G841</f>
        <v>0</v>
      </c>
    </row>
    <row r="842" spans="1:8">
      <c r="A842" s="1" t="s">
        <v>936</v>
      </c>
      <c r="B842" s="1" t="s">
        <v>15</v>
      </c>
      <c r="C842" s="1" t="s">
        <v>942</v>
      </c>
      <c r="D842" s="3">
        <v>8124.42</v>
      </c>
      <c r="E842" s="3">
        <v>7917593.2000000002</v>
      </c>
      <c r="F842" s="1" t="s">
        <v>2732</v>
      </c>
      <c r="G842" s="3">
        <f t="shared" si="30"/>
        <v>8124.42</v>
      </c>
      <c r="H842" s="4">
        <v>0</v>
      </c>
    </row>
    <row r="843" spans="1:8">
      <c r="A843" s="1" t="s">
        <v>936</v>
      </c>
      <c r="B843" s="1" t="s">
        <v>15</v>
      </c>
      <c r="C843" s="1" t="s">
        <v>943</v>
      </c>
      <c r="D843" s="3">
        <v>12568.47</v>
      </c>
      <c r="E843" s="3">
        <v>7930161.6699999999</v>
      </c>
      <c r="F843" s="1" t="s">
        <v>2732</v>
      </c>
      <c r="G843" s="3">
        <f t="shared" si="30"/>
        <v>12568.47</v>
      </c>
      <c r="H843" s="4">
        <v>0</v>
      </c>
    </row>
    <row r="844" spans="1:8">
      <c r="A844" s="1" t="s">
        <v>936</v>
      </c>
      <c r="B844" s="1" t="s">
        <v>15</v>
      </c>
      <c r="C844" s="1" t="s">
        <v>944</v>
      </c>
      <c r="D844" s="3">
        <v>9446.06</v>
      </c>
      <c r="E844" s="3">
        <v>7939607.7300000004</v>
      </c>
      <c r="F844" s="1" t="s">
        <v>2732</v>
      </c>
      <c r="G844" s="3">
        <f t="shared" si="30"/>
        <v>9446.06</v>
      </c>
      <c r="H844" s="4">
        <v>0</v>
      </c>
    </row>
    <row r="845" spans="1:8">
      <c r="A845" s="1" t="s">
        <v>936</v>
      </c>
      <c r="B845" s="1" t="s">
        <v>15</v>
      </c>
      <c r="C845" s="1" t="s">
        <v>945</v>
      </c>
      <c r="D845" s="3">
        <v>8378.98</v>
      </c>
      <c r="E845" s="3">
        <v>7947986.71</v>
      </c>
      <c r="F845" s="1" t="s">
        <v>2732</v>
      </c>
      <c r="G845" s="3">
        <f t="shared" si="30"/>
        <v>8378.98</v>
      </c>
      <c r="H845" s="4">
        <v>0</v>
      </c>
    </row>
    <row r="846" spans="1:8">
      <c r="A846" s="1" t="s">
        <v>936</v>
      </c>
      <c r="B846" s="1" t="s">
        <v>15</v>
      </c>
      <c r="C846" s="1" t="s">
        <v>946</v>
      </c>
      <c r="D846" s="3">
        <v>37704.44</v>
      </c>
      <c r="E846" s="3">
        <v>7985691.1500000004</v>
      </c>
      <c r="F846" s="1" t="s">
        <v>2732</v>
      </c>
      <c r="G846" s="3">
        <f t="shared" si="30"/>
        <v>37704.44</v>
      </c>
      <c r="H846" s="4">
        <v>0</v>
      </c>
    </row>
    <row r="847" spans="1:8">
      <c r="A847" s="1" t="s">
        <v>936</v>
      </c>
      <c r="B847" s="1" t="s">
        <v>15</v>
      </c>
      <c r="C847" s="1" t="s">
        <v>947</v>
      </c>
      <c r="D847" s="3">
        <v>42576.86</v>
      </c>
      <c r="E847" s="3">
        <v>8028268.0099999998</v>
      </c>
      <c r="F847" s="1" t="s">
        <v>2732</v>
      </c>
      <c r="G847" s="3">
        <f t="shared" si="30"/>
        <v>42576.86</v>
      </c>
      <c r="H847" s="4">
        <v>0</v>
      </c>
    </row>
    <row r="848" spans="1:8">
      <c r="A848" s="1" t="s">
        <v>936</v>
      </c>
      <c r="B848" s="1" t="s">
        <v>15</v>
      </c>
      <c r="C848" s="1" t="s">
        <v>948</v>
      </c>
      <c r="D848" s="3">
        <v>19291.14</v>
      </c>
      <c r="E848" s="3">
        <v>8047559.1500000004</v>
      </c>
      <c r="F848" s="1" t="s">
        <v>2732</v>
      </c>
      <c r="G848" s="3">
        <f t="shared" si="30"/>
        <v>19291.14</v>
      </c>
      <c r="H848" s="4">
        <v>0</v>
      </c>
    </row>
    <row r="849" spans="1:8">
      <c r="A849" s="1" t="s">
        <v>936</v>
      </c>
      <c r="B849" s="1" t="s">
        <v>15</v>
      </c>
      <c r="C849" s="1" t="s">
        <v>949</v>
      </c>
      <c r="D849" s="3">
        <v>25136.94</v>
      </c>
      <c r="E849" s="3">
        <v>8072696.0899999999</v>
      </c>
      <c r="F849" s="1" t="s">
        <v>2732</v>
      </c>
      <c r="G849" s="3">
        <f t="shared" si="30"/>
        <v>25136.94</v>
      </c>
      <c r="H849" s="4">
        <v>0</v>
      </c>
    </row>
    <row r="850" spans="1:8">
      <c r="A850" s="1" t="s">
        <v>936</v>
      </c>
      <c r="B850" s="1" t="s">
        <v>15</v>
      </c>
      <c r="C850" s="1" t="s">
        <v>950</v>
      </c>
      <c r="D850" s="3">
        <v>49643.01</v>
      </c>
      <c r="E850" s="3">
        <v>8122339.0999999996</v>
      </c>
      <c r="F850" s="1" t="s">
        <v>2732</v>
      </c>
      <c r="G850" s="3">
        <f t="shared" si="30"/>
        <v>49643.01</v>
      </c>
      <c r="H850" s="4">
        <v>0</v>
      </c>
    </row>
    <row r="851" spans="1:8">
      <c r="A851" s="1" t="s">
        <v>936</v>
      </c>
      <c r="B851" s="1" t="s">
        <v>15</v>
      </c>
      <c r="C851" s="1" t="s">
        <v>951</v>
      </c>
      <c r="D851" s="3">
        <v>69467.59</v>
      </c>
      <c r="E851" s="3">
        <v>8191806.6900000004</v>
      </c>
      <c r="F851" s="1" t="s">
        <v>2732</v>
      </c>
      <c r="G851" s="3">
        <f t="shared" si="30"/>
        <v>69467.59</v>
      </c>
      <c r="H851" s="4">
        <v>0</v>
      </c>
    </row>
    <row r="852" spans="1:8">
      <c r="A852" s="1" t="s">
        <v>936</v>
      </c>
      <c r="B852" s="1" t="s">
        <v>15</v>
      </c>
      <c r="C852" s="1" t="s">
        <v>952</v>
      </c>
      <c r="D852" s="3">
        <v>8378.98</v>
      </c>
      <c r="E852" s="3">
        <v>8200185.6699999999</v>
      </c>
      <c r="F852" s="1" t="s">
        <v>2732</v>
      </c>
      <c r="G852" s="3">
        <f t="shared" si="30"/>
        <v>8378.98</v>
      </c>
      <c r="H852" s="4">
        <v>0</v>
      </c>
    </row>
    <row r="853" spans="1:8">
      <c r="A853" s="1" t="s">
        <v>936</v>
      </c>
      <c r="B853" s="1" t="s">
        <v>15</v>
      </c>
      <c r="C853" s="1" t="s">
        <v>953</v>
      </c>
      <c r="D853" s="3">
        <v>19484.05</v>
      </c>
      <c r="E853" s="3">
        <v>8219669.7199999997</v>
      </c>
      <c r="F853" s="1" t="s">
        <v>2732</v>
      </c>
      <c r="G853" s="3">
        <f t="shared" si="30"/>
        <v>19484.05</v>
      </c>
      <c r="H853" s="4">
        <v>0</v>
      </c>
    </row>
    <row r="854" spans="1:8">
      <c r="A854" s="1" t="s">
        <v>936</v>
      </c>
      <c r="B854" s="1" t="s">
        <v>15</v>
      </c>
      <c r="C854" s="1" t="s">
        <v>954</v>
      </c>
      <c r="D854" s="3">
        <v>33223.629999999997</v>
      </c>
      <c r="E854" s="3">
        <v>8252893.3499999996</v>
      </c>
      <c r="F854" s="1" t="s">
        <v>2732</v>
      </c>
      <c r="G854" s="3">
        <f t="shared" si="30"/>
        <v>33223.629999999997</v>
      </c>
      <c r="H854" s="4">
        <v>0</v>
      </c>
    </row>
    <row r="855" spans="1:8">
      <c r="A855" s="1" t="s">
        <v>936</v>
      </c>
      <c r="B855" s="1" t="s">
        <v>15</v>
      </c>
      <c r="C855" s="1" t="s">
        <v>955</v>
      </c>
      <c r="D855" s="3">
        <v>33320.089999999997</v>
      </c>
      <c r="E855" s="3">
        <v>8286213.4400000004</v>
      </c>
      <c r="F855" s="1" t="s">
        <v>2732</v>
      </c>
      <c r="G855" s="3">
        <f t="shared" si="30"/>
        <v>33320.089999999997</v>
      </c>
      <c r="H855" s="4">
        <v>0</v>
      </c>
    </row>
    <row r="856" spans="1:8">
      <c r="A856" s="1" t="s">
        <v>936</v>
      </c>
      <c r="B856" s="1" t="s">
        <v>15</v>
      </c>
      <c r="C856" s="1" t="s">
        <v>956</v>
      </c>
      <c r="D856" s="3">
        <v>4189.49</v>
      </c>
      <c r="E856" s="3">
        <v>8290402.9299999997</v>
      </c>
      <c r="F856" s="1" t="s">
        <v>2732</v>
      </c>
      <c r="G856" s="3">
        <f t="shared" si="30"/>
        <v>4189.49</v>
      </c>
      <c r="H856" s="4">
        <v>0</v>
      </c>
    </row>
    <row r="857" spans="1:8">
      <c r="A857" s="1" t="s">
        <v>936</v>
      </c>
      <c r="B857" s="1" t="s">
        <v>15</v>
      </c>
      <c r="C857" s="1" t="s">
        <v>957</v>
      </c>
      <c r="D857" s="3">
        <v>19778.29</v>
      </c>
      <c r="E857" s="3">
        <v>8310181.2199999997</v>
      </c>
      <c r="F857" s="1" t="s">
        <v>2732</v>
      </c>
      <c r="G857" s="3">
        <f t="shared" si="30"/>
        <v>19778.29</v>
      </c>
      <c r="H857" s="4">
        <v>0</v>
      </c>
    </row>
    <row r="858" spans="1:8">
      <c r="A858" s="1" t="s">
        <v>936</v>
      </c>
      <c r="B858" s="1" t="s">
        <v>15</v>
      </c>
      <c r="C858" s="1" t="s">
        <v>958</v>
      </c>
      <c r="D858" s="3">
        <v>27961.439999999999</v>
      </c>
      <c r="E858" s="3">
        <v>8338142.6600000001</v>
      </c>
      <c r="F858" s="1" t="s">
        <v>2732</v>
      </c>
      <c r="G858" s="3">
        <f t="shared" si="30"/>
        <v>27961.439999999999</v>
      </c>
      <c r="H858" s="4">
        <v>0</v>
      </c>
    </row>
    <row r="859" spans="1:8">
      <c r="A859" s="1" t="s">
        <v>936</v>
      </c>
      <c r="B859" s="1" t="s">
        <v>15</v>
      </c>
      <c r="C859" s="1" t="s">
        <v>959</v>
      </c>
      <c r="D859" s="3">
        <v>79732.679999999993</v>
      </c>
      <c r="E859" s="3">
        <v>8417875.3399999999</v>
      </c>
      <c r="F859" s="1" t="s">
        <v>2732</v>
      </c>
      <c r="G859" s="3">
        <f t="shared" si="30"/>
        <v>79732.679999999993</v>
      </c>
      <c r="H859" s="4">
        <v>0</v>
      </c>
    </row>
    <row r="860" spans="1:8">
      <c r="A860" s="59" t="s">
        <v>936</v>
      </c>
      <c r="B860" s="59" t="s">
        <v>28</v>
      </c>
      <c r="C860" s="59" t="s">
        <v>939</v>
      </c>
      <c r="D860" s="63">
        <v>-657.26</v>
      </c>
      <c r="E860" s="64">
        <v>8960361.6199999992</v>
      </c>
      <c r="F860" s="59"/>
      <c r="G860" s="64">
        <f t="shared" si="30"/>
        <v>-657.26</v>
      </c>
      <c r="H860" s="65"/>
    </row>
    <row r="861" spans="1:8">
      <c r="A861" s="59" t="s">
        <v>936</v>
      </c>
      <c r="B861" s="59" t="s">
        <v>28</v>
      </c>
      <c r="C861" s="59" t="s">
        <v>938</v>
      </c>
      <c r="D861" s="63">
        <v>-717.96</v>
      </c>
      <c r="E861" s="64">
        <v>9070562.0199999996</v>
      </c>
      <c r="F861" s="59"/>
      <c r="G861" s="64">
        <f t="shared" si="30"/>
        <v>-717.96</v>
      </c>
      <c r="H861" s="65"/>
    </row>
    <row r="862" spans="1:8">
      <c r="A862" s="59" t="s">
        <v>936</v>
      </c>
      <c r="B862" s="59" t="s">
        <v>28</v>
      </c>
      <c r="C862" s="59" t="s">
        <v>937</v>
      </c>
      <c r="D862" s="64">
        <v>-1208.51</v>
      </c>
      <c r="E862" s="64">
        <v>9190940.8100000005</v>
      </c>
      <c r="F862" s="59"/>
      <c r="G862" s="64">
        <f t="shared" si="30"/>
        <v>-1208.51</v>
      </c>
      <c r="H862" s="65"/>
    </row>
    <row r="863" spans="1:8">
      <c r="A863" s="59" t="s">
        <v>936</v>
      </c>
      <c r="B863" s="59" t="s">
        <v>28</v>
      </c>
      <c r="C863" s="59" t="s">
        <v>940</v>
      </c>
      <c r="D863" s="64">
        <v>-6317.72</v>
      </c>
      <c r="E863" s="64">
        <v>7901089.7999999998</v>
      </c>
      <c r="F863" s="59"/>
      <c r="G863" s="64">
        <f t="shared" si="30"/>
        <v>-6317.72</v>
      </c>
      <c r="H863" s="65"/>
    </row>
    <row r="864" spans="1:8">
      <c r="A864" s="1" t="s">
        <v>936</v>
      </c>
      <c r="B864" s="1" t="s">
        <v>49</v>
      </c>
      <c r="C864" s="1" t="s">
        <v>939</v>
      </c>
      <c r="D864" s="3">
        <v>-109543.14</v>
      </c>
      <c r="E864" s="3">
        <v>8961018.8800000008</v>
      </c>
      <c r="G864" s="4">
        <f>+D864/1.006</f>
        <v>-108889.80119284295</v>
      </c>
      <c r="H864" s="4">
        <f>+D864-G864</f>
        <v>-653.33880715705163</v>
      </c>
    </row>
    <row r="865" spans="1:8">
      <c r="A865" s="1" t="s">
        <v>936</v>
      </c>
      <c r="B865" s="1" t="s">
        <v>49</v>
      </c>
      <c r="C865" s="1" t="s">
        <v>937</v>
      </c>
      <c r="D865" s="3">
        <v>-201417.51</v>
      </c>
      <c r="E865" s="3">
        <v>9192149.3200000003</v>
      </c>
      <c r="G865" s="4">
        <f>+D865/1.006</f>
        <v>-200216.21272365807</v>
      </c>
      <c r="H865" s="4">
        <f>+D865-G865</f>
        <v>-1201.2972763419384</v>
      </c>
    </row>
    <row r="866" spans="1:8">
      <c r="A866" s="1" t="s">
        <v>936</v>
      </c>
      <c r="B866" s="1" t="s">
        <v>36</v>
      </c>
      <c r="C866" s="1" t="s">
        <v>940</v>
      </c>
      <c r="D866" s="3">
        <v>-1052954.1000000001</v>
      </c>
      <c r="E866" s="3">
        <v>7907407.5199999996</v>
      </c>
      <c r="G866" s="4">
        <f>+D866/1.006</f>
        <v>-1046674.0556660041</v>
      </c>
      <c r="H866" s="4">
        <f>+D866-G866</f>
        <v>-6280.0443339960184</v>
      </c>
    </row>
    <row r="867" spans="1:8">
      <c r="A867" s="1" t="s">
        <v>936</v>
      </c>
      <c r="B867" s="1" t="s">
        <v>42</v>
      </c>
      <c r="C867" s="1" t="s">
        <v>938</v>
      </c>
      <c r="D867" s="3">
        <v>-119660.83</v>
      </c>
      <c r="E867" s="3">
        <v>9071279.9800000004</v>
      </c>
      <c r="G867" s="4">
        <f>+D867/1.006</f>
        <v>-118947.14711729622</v>
      </c>
      <c r="H867" s="4">
        <f>+D867-G867</f>
        <v>-713.68288270378252</v>
      </c>
    </row>
    <row r="868" spans="1:8">
      <c r="A868" s="1" t="s">
        <v>960</v>
      </c>
      <c r="B868" s="1" t="s">
        <v>15</v>
      </c>
      <c r="C868" s="1" t="s">
        <v>961</v>
      </c>
      <c r="D868" s="3">
        <v>9743</v>
      </c>
      <c r="E868" s="3">
        <v>8427618.3399999999</v>
      </c>
      <c r="F868" s="1" t="s">
        <v>2732</v>
      </c>
      <c r="G868" s="3">
        <f t="shared" ref="G868:G899" si="31">+D868</f>
        <v>9743</v>
      </c>
      <c r="H868" s="4">
        <v>0</v>
      </c>
    </row>
    <row r="869" spans="1:8">
      <c r="A869" s="1" t="s">
        <v>960</v>
      </c>
      <c r="B869" s="1" t="s">
        <v>15</v>
      </c>
      <c r="C869" s="1" t="s">
        <v>962</v>
      </c>
      <c r="D869" s="3">
        <v>49388.86</v>
      </c>
      <c r="E869" s="3">
        <v>8477007.1999999993</v>
      </c>
      <c r="F869" s="1" t="s">
        <v>2732</v>
      </c>
      <c r="G869" s="3">
        <f t="shared" si="31"/>
        <v>49388.86</v>
      </c>
      <c r="H869" s="4">
        <v>0</v>
      </c>
    </row>
    <row r="870" spans="1:8">
      <c r="A870" s="1" t="s">
        <v>960</v>
      </c>
      <c r="B870" s="1" t="s">
        <v>15</v>
      </c>
      <c r="C870" s="1" t="s">
        <v>963</v>
      </c>
      <c r="D870" s="3">
        <v>7807.94</v>
      </c>
      <c r="E870" s="3">
        <v>8484815.1400000006</v>
      </c>
      <c r="F870" s="1" t="s">
        <v>2732</v>
      </c>
      <c r="G870" s="3">
        <f t="shared" si="31"/>
        <v>7807.94</v>
      </c>
      <c r="H870" s="4">
        <v>0</v>
      </c>
    </row>
    <row r="871" spans="1:8">
      <c r="A871" s="1" t="s">
        <v>960</v>
      </c>
      <c r="B871" s="1" t="s">
        <v>15</v>
      </c>
      <c r="C871" s="1" t="s">
        <v>964</v>
      </c>
      <c r="D871" s="3">
        <v>8596.77</v>
      </c>
      <c r="E871" s="3">
        <v>8493411.9100000001</v>
      </c>
      <c r="F871" s="1" t="s">
        <v>2732</v>
      </c>
      <c r="G871" s="3">
        <f t="shared" si="31"/>
        <v>8596.77</v>
      </c>
      <c r="H871" s="4">
        <v>0</v>
      </c>
    </row>
    <row r="872" spans="1:8">
      <c r="A872" s="1" t="s">
        <v>960</v>
      </c>
      <c r="B872" s="1" t="s">
        <v>15</v>
      </c>
      <c r="C872" s="1" t="s">
        <v>965</v>
      </c>
      <c r="D872" s="3">
        <v>49785.760000000002</v>
      </c>
      <c r="E872" s="3">
        <v>8543197.6699999999</v>
      </c>
      <c r="F872" s="1" t="s">
        <v>2732</v>
      </c>
      <c r="G872" s="3">
        <f t="shared" si="31"/>
        <v>49785.760000000002</v>
      </c>
      <c r="H872" s="4">
        <v>0</v>
      </c>
    </row>
    <row r="873" spans="1:8">
      <c r="A873" s="1" t="s">
        <v>960</v>
      </c>
      <c r="B873" s="1" t="s">
        <v>15</v>
      </c>
      <c r="C873" s="1" t="s">
        <v>966</v>
      </c>
      <c r="D873" s="3">
        <v>42868.23</v>
      </c>
      <c r="E873" s="3">
        <v>8586065.9000000004</v>
      </c>
      <c r="F873" s="1" t="s">
        <v>2732</v>
      </c>
      <c r="G873" s="3">
        <f t="shared" si="31"/>
        <v>42868.23</v>
      </c>
      <c r="H873" s="4">
        <v>0</v>
      </c>
    </row>
    <row r="874" spans="1:8">
      <c r="A874" s="1" t="s">
        <v>960</v>
      </c>
      <c r="B874" s="1" t="s">
        <v>15</v>
      </c>
      <c r="C874" s="1" t="s">
        <v>967</v>
      </c>
      <c r="D874" s="3">
        <v>24648.82</v>
      </c>
      <c r="E874" s="3">
        <v>8610714.7200000007</v>
      </c>
      <c r="F874" s="1" t="s">
        <v>2732</v>
      </c>
      <c r="G874" s="3">
        <f t="shared" si="31"/>
        <v>24648.82</v>
      </c>
      <c r="H874" s="4">
        <v>0</v>
      </c>
    </row>
    <row r="875" spans="1:8">
      <c r="A875" s="1" t="s">
        <v>960</v>
      </c>
      <c r="B875" s="1" t="s">
        <v>15</v>
      </c>
      <c r="C875" s="1" t="s">
        <v>969</v>
      </c>
      <c r="D875" s="3">
        <v>8171.1</v>
      </c>
      <c r="E875" s="3">
        <v>7628981.8200000003</v>
      </c>
      <c r="F875" s="1" t="s">
        <v>2732</v>
      </c>
      <c r="G875" s="3">
        <f t="shared" si="31"/>
        <v>8171.1</v>
      </c>
      <c r="H875" s="4">
        <v>0</v>
      </c>
    </row>
    <row r="876" spans="1:8">
      <c r="A876" s="1" t="s">
        <v>960</v>
      </c>
      <c r="B876" s="1" t="s">
        <v>15</v>
      </c>
      <c r="C876" s="1" t="s">
        <v>970</v>
      </c>
      <c r="D876" s="3">
        <v>4189.49</v>
      </c>
      <c r="E876" s="3">
        <v>7633171.3099999996</v>
      </c>
      <c r="F876" s="1" t="s">
        <v>2732</v>
      </c>
      <c r="G876" s="3">
        <f t="shared" si="31"/>
        <v>4189.49</v>
      </c>
      <c r="H876" s="4">
        <v>0</v>
      </c>
    </row>
    <row r="877" spans="1:8">
      <c r="A877" s="1" t="s">
        <v>960</v>
      </c>
      <c r="B877" s="1" t="s">
        <v>15</v>
      </c>
      <c r="C877" s="1" t="s">
        <v>971</v>
      </c>
      <c r="D877" s="3">
        <v>25136.94</v>
      </c>
      <c r="E877" s="3">
        <v>7658308.25</v>
      </c>
      <c r="F877" s="1" t="s">
        <v>2732</v>
      </c>
      <c r="G877" s="3">
        <f t="shared" si="31"/>
        <v>25136.94</v>
      </c>
      <c r="H877" s="4">
        <v>0</v>
      </c>
    </row>
    <row r="878" spans="1:8">
      <c r="A878" s="1" t="s">
        <v>960</v>
      </c>
      <c r="B878" s="1" t="s">
        <v>15</v>
      </c>
      <c r="C878" s="1" t="s">
        <v>972</v>
      </c>
      <c r="D878" s="3">
        <v>4189.49</v>
      </c>
      <c r="E878" s="3">
        <v>7662497.7400000002</v>
      </c>
      <c r="F878" s="1" t="s">
        <v>2732</v>
      </c>
      <c r="G878" s="3">
        <f t="shared" si="31"/>
        <v>4189.49</v>
      </c>
      <c r="H878" s="4">
        <v>0</v>
      </c>
    </row>
    <row r="879" spans="1:8">
      <c r="A879" s="1" t="s">
        <v>960</v>
      </c>
      <c r="B879" s="1" t="s">
        <v>15</v>
      </c>
      <c r="C879" s="1" t="s">
        <v>973</v>
      </c>
      <c r="D879" s="3">
        <v>8378.98</v>
      </c>
      <c r="E879" s="3">
        <v>7670876.7199999997</v>
      </c>
      <c r="F879" s="1" t="s">
        <v>2732</v>
      </c>
      <c r="G879" s="3">
        <f t="shared" si="31"/>
        <v>8378.98</v>
      </c>
      <c r="H879" s="4">
        <v>0</v>
      </c>
    </row>
    <row r="880" spans="1:8">
      <c r="A880" s="1" t="s">
        <v>960</v>
      </c>
      <c r="B880" s="1" t="s">
        <v>15</v>
      </c>
      <c r="C880" s="1" t="s">
        <v>974</v>
      </c>
      <c r="D880" s="3">
        <v>21971.18</v>
      </c>
      <c r="E880" s="3">
        <v>7692847.9000000004</v>
      </c>
      <c r="F880" s="1" t="s">
        <v>2732</v>
      </c>
      <c r="G880" s="3">
        <f t="shared" si="31"/>
        <v>21971.18</v>
      </c>
      <c r="H880" s="4">
        <v>0</v>
      </c>
    </row>
    <row r="881" spans="1:8">
      <c r="A881" s="1" t="s">
        <v>960</v>
      </c>
      <c r="B881" s="1" t="s">
        <v>15</v>
      </c>
      <c r="C881" s="1" t="s">
        <v>975</v>
      </c>
      <c r="D881" s="3">
        <v>48572.65</v>
      </c>
      <c r="E881" s="3">
        <v>7741420.5499999998</v>
      </c>
      <c r="F881" s="1" t="s">
        <v>2732</v>
      </c>
      <c r="G881" s="3">
        <f t="shared" si="31"/>
        <v>48572.65</v>
      </c>
      <c r="H881" s="4">
        <v>0</v>
      </c>
    </row>
    <row r="882" spans="1:8">
      <c r="A882" s="1" t="s">
        <v>960</v>
      </c>
      <c r="B882" s="1" t="s">
        <v>15</v>
      </c>
      <c r="C882" s="1" t="s">
        <v>976</v>
      </c>
      <c r="D882" s="3">
        <v>4189.49</v>
      </c>
      <c r="E882" s="3">
        <v>7745610.04</v>
      </c>
      <c r="F882" s="1" t="s">
        <v>2732</v>
      </c>
      <c r="G882" s="3">
        <f t="shared" si="31"/>
        <v>4189.49</v>
      </c>
      <c r="H882" s="4">
        <v>0</v>
      </c>
    </row>
    <row r="883" spans="1:8">
      <c r="A883" s="1" t="s">
        <v>960</v>
      </c>
      <c r="B883" s="1" t="s">
        <v>15</v>
      </c>
      <c r="C883" s="1" t="s">
        <v>977</v>
      </c>
      <c r="D883" s="3">
        <v>4062.21</v>
      </c>
      <c r="E883" s="3">
        <v>7749672.25</v>
      </c>
      <c r="F883" s="1" t="s">
        <v>2732</v>
      </c>
      <c r="G883" s="3">
        <f t="shared" si="31"/>
        <v>4062.21</v>
      </c>
      <c r="H883" s="4">
        <v>0</v>
      </c>
    </row>
    <row r="884" spans="1:8">
      <c r="A884" s="1" t="s">
        <v>960</v>
      </c>
      <c r="B884" s="1" t="s">
        <v>15</v>
      </c>
      <c r="C884" s="1" t="s">
        <v>978</v>
      </c>
      <c r="D884" s="3">
        <v>7172.41</v>
      </c>
      <c r="E884" s="3">
        <v>7756844.6600000001</v>
      </c>
      <c r="F884" s="1" t="s">
        <v>2732</v>
      </c>
      <c r="G884" s="3">
        <f t="shared" si="31"/>
        <v>7172.41</v>
      </c>
      <c r="H884" s="4">
        <v>0</v>
      </c>
    </row>
    <row r="885" spans="1:8">
      <c r="A885" s="1" t="s">
        <v>960</v>
      </c>
      <c r="B885" s="1" t="s">
        <v>15</v>
      </c>
      <c r="C885" s="1" t="s">
        <v>979</v>
      </c>
      <c r="D885" s="3">
        <v>4062.21</v>
      </c>
      <c r="E885" s="3">
        <v>7760906.8700000001</v>
      </c>
      <c r="F885" s="1" t="s">
        <v>2732</v>
      </c>
      <c r="G885" s="3">
        <f t="shared" si="31"/>
        <v>4062.21</v>
      </c>
      <c r="H885" s="4">
        <v>0</v>
      </c>
    </row>
    <row r="886" spans="1:8">
      <c r="A886" s="1" t="s">
        <v>960</v>
      </c>
      <c r="B886" s="1" t="s">
        <v>15</v>
      </c>
      <c r="C886" s="1" t="s">
        <v>980</v>
      </c>
      <c r="D886" s="3">
        <v>4189.49</v>
      </c>
      <c r="E886" s="3">
        <v>7765096.3600000003</v>
      </c>
      <c r="F886" s="1" t="s">
        <v>2732</v>
      </c>
      <c r="G886" s="3">
        <f t="shared" si="31"/>
        <v>4189.49</v>
      </c>
      <c r="H886" s="4">
        <v>0</v>
      </c>
    </row>
    <row r="887" spans="1:8">
      <c r="A887" s="1" t="s">
        <v>960</v>
      </c>
      <c r="B887" s="1" t="s">
        <v>15</v>
      </c>
      <c r="C887" s="1" t="s">
        <v>981</v>
      </c>
      <c r="D887" s="3">
        <v>8974.65</v>
      </c>
      <c r="E887" s="3">
        <v>7774071.0099999998</v>
      </c>
      <c r="F887" s="1" t="s">
        <v>2732</v>
      </c>
      <c r="G887" s="3">
        <f t="shared" si="31"/>
        <v>8974.65</v>
      </c>
      <c r="H887" s="4">
        <v>0</v>
      </c>
    </row>
    <row r="888" spans="1:8">
      <c r="A888" s="1" t="s">
        <v>960</v>
      </c>
      <c r="B888" s="1" t="s">
        <v>15</v>
      </c>
      <c r="C888" s="1" t="s">
        <v>982</v>
      </c>
      <c r="D888" s="3">
        <v>4189.49</v>
      </c>
      <c r="E888" s="3">
        <v>7778260.5</v>
      </c>
      <c r="F888" s="1" t="s">
        <v>2732</v>
      </c>
      <c r="G888" s="3">
        <f t="shared" si="31"/>
        <v>4189.49</v>
      </c>
      <c r="H888" s="4">
        <v>0</v>
      </c>
    </row>
    <row r="889" spans="1:8">
      <c r="A889" s="1" t="s">
        <v>960</v>
      </c>
      <c r="B889" s="1" t="s">
        <v>15</v>
      </c>
      <c r="C889" s="1" t="s">
        <v>983</v>
      </c>
      <c r="D889" s="3">
        <v>3799.77</v>
      </c>
      <c r="E889" s="3">
        <v>7782060.2699999996</v>
      </c>
      <c r="F889" s="1" t="s">
        <v>2732</v>
      </c>
      <c r="G889" s="3">
        <f t="shared" si="31"/>
        <v>3799.77</v>
      </c>
      <c r="H889" s="4">
        <v>0</v>
      </c>
    </row>
    <row r="890" spans="1:8">
      <c r="A890" s="1" t="s">
        <v>960</v>
      </c>
      <c r="B890" s="1" t="s">
        <v>15</v>
      </c>
      <c r="C890" s="1" t="s">
        <v>984</v>
      </c>
      <c r="D890" s="3">
        <v>5553.51</v>
      </c>
      <c r="E890" s="3">
        <v>7787613.7800000003</v>
      </c>
      <c r="F890" s="1" t="s">
        <v>2732</v>
      </c>
      <c r="G890" s="3">
        <f t="shared" si="31"/>
        <v>5553.51</v>
      </c>
      <c r="H890" s="4">
        <v>0</v>
      </c>
    </row>
    <row r="891" spans="1:8">
      <c r="A891" s="1" t="s">
        <v>960</v>
      </c>
      <c r="B891" s="1" t="s">
        <v>15</v>
      </c>
      <c r="C891" s="1" t="s">
        <v>985</v>
      </c>
      <c r="D891" s="3">
        <v>3410.05</v>
      </c>
      <c r="E891" s="3">
        <v>7791023.8300000001</v>
      </c>
      <c r="F891" s="1" t="s">
        <v>2732</v>
      </c>
      <c r="G891" s="3">
        <f t="shared" si="31"/>
        <v>3410.05</v>
      </c>
      <c r="H891" s="4">
        <v>0</v>
      </c>
    </row>
    <row r="892" spans="1:8">
      <c r="A892" s="1" t="s">
        <v>960</v>
      </c>
      <c r="B892" s="1" t="s">
        <v>15</v>
      </c>
      <c r="C892" s="1" t="s">
        <v>986</v>
      </c>
      <c r="D892" s="3">
        <v>3410.05</v>
      </c>
      <c r="E892" s="3">
        <v>7794433.8799999999</v>
      </c>
      <c r="F892" s="1" t="s">
        <v>2732</v>
      </c>
      <c r="G892" s="3">
        <f t="shared" si="31"/>
        <v>3410.05</v>
      </c>
      <c r="H892" s="4">
        <v>0</v>
      </c>
    </row>
    <row r="893" spans="1:8">
      <c r="A893" s="1" t="s">
        <v>960</v>
      </c>
      <c r="B893" s="1" t="s">
        <v>15</v>
      </c>
      <c r="C893" s="1" t="s">
        <v>987</v>
      </c>
      <c r="D893" s="3">
        <v>37032.239999999998</v>
      </c>
      <c r="E893" s="3">
        <v>7831466.1200000001</v>
      </c>
      <c r="F893" s="1" t="s">
        <v>2732</v>
      </c>
      <c r="G893" s="3">
        <f t="shared" si="31"/>
        <v>37032.239999999998</v>
      </c>
      <c r="H893" s="4">
        <v>0</v>
      </c>
    </row>
    <row r="894" spans="1:8">
      <c r="A894" s="1" t="s">
        <v>960</v>
      </c>
      <c r="B894" s="1" t="s">
        <v>15</v>
      </c>
      <c r="C894" s="1" t="s">
        <v>988</v>
      </c>
      <c r="D894" s="3">
        <v>3410.05</v>
      </c>
      <c r="E894" s="3">
        <v>7834876.1699999999</v>
      </c>
      <c r="F894" s="1" t="s">
        <v>2732</v>
      </c>
      <c r="G894" s="3">
        <f t="shared" si="31"/>
        <v>3410.05</v>
      </c>
      <c r="H894" s="4">
        <v>0</v>
      </c>
    </row>
    <row r="895" spans="1:8">
      <c r="A895" s="1" t="s">
        <v>960</v>
      </c>
      <c r="B895" s="1" t="s">
        <v>15</v>
      </c>
      <c r="C895" s="1" t="s">
        <v>989</v>
      </c>
      <c r="D895" s="3">
        <v>4189.49</v>
      </c>
      <c r="E895" s="3">
        <v>7839065.6600000001</v>
      </c>
      <c r="F895" s="1" t="s">
        <v>2732</v>
      </c>
      <c r="G895" s="3">
        <f t="shared" si="31"/>
        <v>4189.49</v>
      </c>
      <c r="H895" s="4">
        <v>0</v>
      </c>
    </row>
    <row r="896" spans="1:8">
      <c r="A896" s="1" t="s">
        <v>960</v>
      </c>
      <c r="B896" s="1" t="s">
        <v>15</v>
      </c>
      <c r="C896" s="1" t="s">
        <v>990</v>
      </c>
      <c r="D896" s="3">
        <v>11886.46</v>
      </c>
      <c r="E896" s="3">
        <v>7850952.1200000001</v>
      </c>
      <c r="F896" s="1" t="s">
        <v>2732</v>
      </c>
      <c r="G896" s="3">
        <f t="shared" si="31"/>
        <v>11886.46</v>
      </c>
      <c r="H896" s="4">
        <v>0</v>
      </c>
    </row>
    <row r="897" spans="1:8">
      <c r="A897" s="1" t="s">
        <v>960</v>
      </c>
      <c r="B897" s="1" t="s">
        <v>15</v>
      </c>
      <c r="C897" s="1" t="s">
        <v>991</v>
      </c>
      <c r="D897" s="3">
        <v>4062.21</v>
      </c>
      <c r="E897" s="3">
        <v>7855014.3300000001</v>
      </c>
      <c r="F897" s="1" t="s">
        <v>2732</v>
      </c>
      <c r="G897" s="3">
        <f t="shared" si="31"/>
        <v>4062.21</v>
      </c>
      <c r="H897" s="4">
        <v>0</v>
      </c>
    </row>
    <row r="898" spans="1:8">
      <c r="A898" s="1" t="s">
        <v>960</v>
      </c>
      <c r="B898" s="1" t="s">
        <v>15</v>
      </c>
      <c r="C898" s="1" t="s">
        <v>992</v>
      </c>
      <c r="D898" s="3">
        <v>7414.94</v>
      </c>
      <c r="E898" s="3">
        <v>7862429.2699999996</v>
      </c>
      <c r="F898" s="1" t="s">
        <v>2732</v>
      </c>
      <c r="G898" s="3">
        <f t="shared" si="31"/>
        <v>7414.94</v>
      </c>
      <c r="H898" s="4">
        <v>0</v>
      </c>
    </row>
    <row r="899" spans="1:8">
      <c r="A899" s="1" t="s">
        <v>960</v>
      </c>
      <c r="B899" s="1" t="s">
        <v>15</v>
      </c>
      <c r="C899" s="1" t="s">
        <v>993</v>
      </c>
      <c r="D899" s="3">
        <v>18043.77</v>
      </c>
      <c r="E899" s="3">
        <v>7880473.04</v>
      </c>
      <c r="F899" s="1" t="s">
        <v>2732</v>
      </c>
      <c r="G899" s="3">
        <f t="shared" si="31"/>
        <v>18043.77</v>
      </c>
      <c r="H899" s="4">
        <v>0</v>
      </c>
    </row>
    <row r="900" spans="1:8">
      <c r="A900" s="1" t="s">
        <v>960</v>
      </c>
      <c r="B900" s="1" t="s">
        <v>15</v>
      </c>
      <c r="C900" s="1" t="s">
        <v>994</v>
      </c>
      <c r="D900" s="3">
        <v>4062.21</v>
      </c>
      <c r="E900" s="3">
        <v>7884535.25</v>
      </c>
      <c r="F900" s="1" t="s">
        <v>2732</v>
      </c>
      <c r="G900" s="3">
        <f t="shared" ref="G900:G931" si="32">+D900</f>
        <v>4062.21</v>
      </c>
      <c r="H900" s="4">
        <v>0</v>
      </c>
    </row>
    <row r="901" spans="1:8">
      <c r="A901" s="1" t="s">
        <v>960</v>
      </c>
      <c r="B901" s="1" t="s">
        <v>15</v>
      </c>
      <c r="C901" s="1" t="s">
        <v>995</v>
      </c>
      <c r="D901" s="3">
        <v>4189.49</v>
      </c>
      <c r="E901" s="3">
        <v>7888724.7400000002</v>
      </c>
      <c r="F901" s="1" t="s">
        <v>2732</v>
      </c>
      <c r="G901" s="3">
        <f t="shared" si="32"/>
        <v>4189.49</v>
      </c>
      <c r="H901" s="4">
        <v>0</v>
      </c>
    </row>
    <row r="902" spans="1:8">
      <c r="A902" s="1" t="s">
        <v>960</v>
      </c>
      <c r="B902" s="1" t="s">
        <v>15</v>
      </c>
      <c r="C902" s="1" t="s">
        <v>996</v>
      </c>
      <c r="D902" s="3">
        <v>5163.79</v>
      </c>
      <c r="E902" s="3">
        <v>7893888.5300000003</v>
      </c>
      <c r="F902" s="1" t="s">
        <v>2732</v>
      </c>
      <c r="G902" s="3">
        <f t="shared" si="32"/>
        <v>5163.79</v>
      </c>
      <c r="H902" s="4">
        <v>0</v>
      </c>
    </row>
    <row r="903" spans="1:8">
      <c r="A903" s="1" t="s">
        <v>960</v>
      </c>
      <c r="B903" s="1" t="s">
        <v>15</v>
      </c>
      <c r="C903" s="1" t="s">
        <v>997</v>
      </c>
      <c r="D903" s="3">
        <v>4062.21</v>
      </c>
      <c r="E903" s="3">
        <v>7897950.7400000002</v>
      </c>
      <c r="F903" s="1" t="s">
        <v>2732</v>
      </c>
      <c r="G903" s="3">
        <f t="shared" si="32"/>
        <v>4062.21</v>
      </c>
      <c r="H903" s="4">
        <v>0</v>
      </c>
    </row>
    <row r="904" spans="1:8">
      <c r="A904" s="1" t="s">
        <v>960</v>
      </c>
      <c r="B904" s="1" t="s">
        <v>15</v>
      </c>
      <c r="C904" s="1" t="s">
        <v>998</v>
      </c>
      <c r="D904" s="3">
        <v>4035.98</v>
      </c>
      <c r="E904" s="3">
        <v>7901986.7199999997</v>
      </c>
      <c r="F904" s="1" t="s">
        <v>2732</v>
      </c>
      <c r="G904" s="3">
        <f t="shared" si="32"/>
        <v>4035.98</v>
      </c>
      <c r="H904" s="4">
        <v>0</v>
      </c>
    </row>
    <row r="905" spans="1:8">
      <c r="A905" s="1" t="s">
        <v>960</v>
      </c>
      <c r="B905" s="1" t="s">
        <v>15</v>
      </c>
      <c r="C905" s="1" t="s">
        <v>999</v>
      </c>
      <c r="D905" s="3">
        <v>16757.96</v>
      </c>
      <c r="E905" s="3">
        <v>7918744.6799999997</v>
      </c>
      <c r="F905" s="1" t="s">
        <v>2732</v>
      </c>
      <c r="G905" s="3">
        <f t="shared" si="32"/>
        <v>16757.96</v>
      </c>
      <c r="H905" s="4">
        <v>0</v>
      </c>
    </row>
    <row r="906" spans="1:8">
      <c r="A906" s="1" t="s">
        <v>960</v>
      </c>
      <c r="B906" s="1" t="s">
        <v>15</v>
      </c>
      <c r="C906" s="1" t="s">
        <v>1000</v>
      </c>
      <c r="D906" s="3">
        <v>54755.66</v>
      </c>
      <c r="E906" s="3">
        <v>7973500.3399999999</v>
      </c>
      <c r="F906" s="1" t="s">
        <v>2732</v>
      </c>
      <c r="G906" s="3">
        <f t="shared" si="32"/>
        <v>54755.66</v>
      </c>
      <c r="H906" s="4">
        <v>0</v>
      </c>
    </row>
    <row r="907" spans="1:8">
      <c r="A907" s="1" t="s">
        <v>960</v>
      </c>
      <c r="B907" s="1" t="s">
        <v>1001</v>
      </c>
      <c r="C907" s="1" t="s">
        <v>1002</v>
      </c>
      <c r="D907" s="3">
        <v>2750.99</v>
      </c>
      <c r="E907" s="3">
        <v>7976251.3300000001</v>
      </c>
      <c r="F907" s="2" t="s">
        <v>2732</v>
      </c>
      <c r="G907" s="3">
        <f t="shared" si="32"/>
        <v>2750.99</v>
      </c>
      <c r="H907" s="4">
        <v>0</v>
      </c>
    </row>
    <row r="908" spans="1:8">
      <c r="A908" s="1" t="s">
        <v>960</v>
      </c>
      <c r="B908" s="1" t="s">
        <v>15</v>
      </c>
      <c r="C908" s="1" t="s">
        <v>1003</v>
      </c>
      <c r="D908" s="3">
        <v>20850.02</v>
      </c>
      <c r="E908" s="3">
        <v>7997101.3499999996</v>
      </c>
      <c r="F908" s="1" t="s">
        <v>2732</v>
      </c>
      <c r="G908" s="3">
        <f t="shared" si="32"/>
        <v>20850.02</v>
      </c>
      <c r="H908" s="4">
        <v>0</v>
      </c>
    </row>
    <row r="909" spans="1:8">
      <c r="A909" s="1" t="s">
        <v>960</v>
      </c>
      <c r="B909" s="1" t="s">
        <v>15</v>
      </c>
      <c r="C909" s="1" t="s">
        <v>1004</v>
      </c>
      <c r="D909" s="3">
        <v>3410.05</v>
      </c>
      <c r="E909" s="3">
        <v>8000511.4000000004</v>
      </c>
      <c r="F909" s="1" t="s">
        <v>2732</v>
      </c>
      <c r="G909" s="3">
        <f t="shared" si="32"/>
        <v>3410.05</v>
      </c>
      <c r="H909" s="4">
        <v>0</v>
      </c>
    </row>
    <row r="910" spans="1:8">
      <c r="A910" s="1" t="s">
        <v>960</v>
      </c>
      <c r="B910" s="1" t="s">
        <v>15</v>
      </c>
      <c r="C910" s="1" t="s">
        <v>1005</v>
      </c>
      <c r="D910" s="3">
        <v>4189.49</v>
      </c>
      <c r="E910" s="3">
        <v>8004700.8899999997</v>
      </c>
      <c r="F910" s="1" t="s">
        <v>2732</v>
      </c>
      <c r="G910" s="3">
        <f t="shared" si="32"/>
        <v>4189.49</v>
      </c>
      <c r="H910" s="4">
        <v>0</v>
      </c>
    </row>
    <row r="911" spans="1:8">
      <c r="A911" s="1" t="s">
        <v>960</v>
      </c>
      <c r="B911" s="1" t="s">
        <v>15</v>
      </c>
      <c r="C911" s="1" t="s">
        <v>1006</v>
      </c>
      <c r="D911" s="3">
        <v>52417.34</v>
      </c>
      <c r="E911" s="3">
        <v>8057118.2300000004</v>
      </c>
      <c r="F911" s="1" t="s">
        <v>2732</v>
      </c>
      <c r="G911" s="3">
        <f t="shared" si="32"/>
        <v>52417.34</v>
      </c>
      <c r="H911" s="4">
        <v>0</v>
      </c>
    </row>
    <row r="912" spans="1:8">
      <c r="A912" s="1" t="s">
        <v>960</v>
      </c>
      <c r="B912" s="1" t="s">
        <v>15</v>
      </c>
      <c r="C912" s="1" t="s">
        <v>1007</v>
      </c>
      <c r="D912" s="3">
        <v>3410.05</v>
      </c>
      <c r="E912" s="3">
        <v>8060528.2800000003</v>
      </c>
      <c r="F912" s="1" t="s">
        <v>2732</v>
      </c>
      <c r="G912" s="3">
        <f t="shared" si="32"/>
        <v>3410.05</v>
      </c>
      <c r="H912" s="4">
        <v>0</v>
      </c>
    </row>
    <row r="913" spans="1:8">
      <c r="A913" s="1" t="s">
        <v>960</v>
      </c>
      <c r="B913" s="1" t="s">
        <v>15</v>
      </c>
      <c r="C913" s="1" t="s">
        <v>1008</v>
      </c>
      <c r="D913" s="3">
        <v>13347.91</v>
      </c>
      <c r="E913" s="3">
        <v>8073876.1900000004</v>
      </c>
      <c r="F913" s="1" t="s">
        <v>2732</v>
      </c>
      <c r="G913" s="3">
        <f t="shared" si="32"/>
        <v>13347.91</v>
      </c>
      <c r="H913" s="4">
        <v>0</v>
      </c>
    </row>
    <row r="914" spans="1:8">
      <c r="A914" s="1" t="s">
        <v>960</v>
      </c>
      <c r="B914" s="1" t="s">
        <v>15</v>
      </c>
      <c r="C914" s="1" t="s">
        <v>1009</v>
      </c>
      <c r="D914" s="3">
        <v>8378.98</v>
      </c>
      <c r="E914" s="3">
        <v>8082255.1699999999</v>
      </c>
      <c r="F914" s="1" t="s">
        <v>2732</v>
      </c>
      <c r="G914" s="3">
        <f t="shared" si="32"/>
        <v>8378.98</v>
      </c>
      <c r="H914" s="4">
        <v>0</v>
      </c>
    </row>
    <row r="915" spans="1:8">
      <c r="A915" s="1" t="s">
        <v>960</v>
      </c>
      <c r="B915" s="1" t="s">
        <v>15</v>
      </c>
      <c r="C915" s="1" t="s">
        <v>1010</v>
      </c>
      <c r="D915" s="3">
        <v>8378.98</v>
      </c>
      <c r="E915" s="3">
        <v>8090634.1500000004</v>
      </c>
      <c r="F915" s="1" t="s">
        <v>2732</v>
      </c>
      <c r="G915" s="3">
        <f t="shared" si="32"/>
        <v>8378.98</v>
      </c>
      <c r="H915" s="4">
        <v>0</v>
      </c>
    </row>
    <row r="916" spans="1:8">
      <c r="A916" s="1" t="s">
        <v>960</v>
      </c>
      <c r="B916" s="1" t="s">
        <v>15</v>
      </c>
      <c r="C916" s="1" t="s">
        <v>1011</v>
      </c>
      <c r="D916" s="3">
        <v>14419.64</v>
      </c>
      <c r="E916" s="3">
        <v>8105053.79</v>
      </c>
      <c r="F916" s="1" t="s">
        <v>2732</v>
      </c>
      <c r="G916" s="3">
        <f t="shared" si="32"/>
        <v>14419.64</v>
      </c>
      <c r="H916" s="4">
        <v>0</v>
      </c>
    </row>
    <row r="917" spans="1:8">
      <c r="A917" s="1" t="s">
        <v>960</v>
      </c>
      <c r="B917" s="1" t="s">
        <v>15</v>
      </c>
      <c r="C917" s="1" t="s">
        <v>1012</v>
      </c>
      <c r="D917" s="3">
        <v>24122.02</v>
      </c>
      <c r="E917" s="3">
        <v>8129175.8099999996</v>
      </c>
      <c r="F917" s="1" t="s">
        <v>2732</v>
      </c>
      <c r="G917" s="3">
        <f t="shared" si="32"/>
        <v>24122.02</v>
      </c>
      <c r="H917" s="4">
        <v>0</v>
      </c>
    </row>
    <row r="918" spans="1:8">
      <c r="A918" s="1" t="s">
        <v>960</v>
      </c>
      <c r="B918" s="1" t="s">
        <v>15</v>
      </c>
      <c r="C918" s="1" t="s">
        <v>1013</v>
      </c>
      <c r="D918" s="3">
        <v>5163.79</v>
      </c>
      <c r="E918" s="3">
        <v>8134339.5999999996</v>
      </c>
      <c r="F918" s="1" t="s">
        <v>2732</v>
      </c>
      <c r="G918" s="3">
        <f t="shared" si="32"/>
        <v>5163.79</v>
      </c>
      <c r="H918" s="4">
        <v>0</v>
      </c>
    </row>
    <row r="919" spans="1:8">
      <c r="A919" s="1" t="s">
        <v>960</v>
      </c>
      <c r="B919" s="1" t="s">
        <v>15</v>
      </c>
      <c r="C919" s="1" t="s">
        <v>1014</v>
      </c>
      <c r="D919" s="3">
        <v>10327.58</v>
      </c>
      <c r="E919" s="3">
        <v>8144667.1799999997</v>
      </c>
      <c r="F919" s="1" t="s">
        <v>2732</v>
      </c>
      <c r="G919" s="3">
        <f t="shared" si="32"/>
        <v>10327.58</v>
      </c>
      <c r="H919" s="4">
        <v>0</v>
      </c>
    </row>
    <row r="920" spans="1:8">
      <c r="A920" s="1" t="s">
        <v>960</v>
      </c>
      <c r="B920" s="1" t="s">
        <v>15</v>
      </c>
      <c r="C920" s="1" t="s">
        <v>1015</v>
      </c>
      <c r="D920" s="3">
        <v>104444.96</v>
      </c>
      <c r="E920" s="3">
        <v>8249112.1399999997</v>
      </c>
      <c r="F920" s="1" t="s">
        <v>2732</v>
      </c>
      <c r="G920" s="3">
        <f t="shared" si="32"/>
        <v>104444.96</v>
      </c>
      <c r="H920" s="4">
        <v>0</v>
      </c>
    </row>
    <row r="921" spans="1:8">
      <c r="A921" s="1" t="s">
        <v>960</v>
      </c>
      <c r="B921" s="1" t="s">
        <v>1016</v>
      </c>
      <c r="C921" s="1" t="s">
        <v>1017</v>
      </c>
      <c r="D921" s="3">
        <v>5247.44</v>
      </c>
      <c r="E921" s="3">
        <v>8254359.5800000001</v>
      </c>
      <c r="F921" s="2" t="s">
        <v>2732</v>
      </c>
      <c r="G921" s="3">
        <f t="shared" si="32"/>
        <v>5247.44</v>
      </c>
      <c r="H921" s="4">
        <v>0</v>
      </c>
    </row>
    <row r="922" spans="1:8">
      <c r="A922" s="1" t="s">
        <v>960</v>
      </c>
      <c r="B922" s="1" t="s">
        <v>15</v>
      </c>
      <c r="C922" s="1" t="s">
        <v>1018</v>
      </c>
      <c r="D922" s="3">
        <v>8378.98</v>
      </c>
      <c r="E922" s="3">
        <v>8262738.5599999996</v>
      </c>
      <c r="F922" s="1" t="s">
        <v>2732</v>
      </c>
      <c r="G922" s="3">
        <f t="shared" si="32"/>
        <v>8378.98</v>
      </c>
      <c r="H922" s="4">
        <v>0</v>
      </c>
    </row>
    <row r="923" spans="1:8">
      <c r="A923" s="1" t="s">
        <v>960</v>
      </c>
      <c r="B923" s="1" t="s">
        <v>15</v>
      </c>
      <c r="C923" s="1" t="s">
        <v>1019</v>
      </c>
      <c r="D923" s="3">
        <v>16757.96</v>
      </c>
      <c r="E923" s="3">
        <v>8279496.5199999996</v>
      </c>
      <c r="F923" s="1" t="s">
        <v>2732</v>
      </c>
      <c r="G923" s="3">
        <f t="shared" si="32"/>
        <v>16757.96</v>
      </c>
      <c r="H923" s="4">
        <v>0</v>
      </c>
    </row>
    <row r="924" spans="1:8">
      <c r="A924" s="1" t="s">
        <v>960</v>
      </c>
      <c r="B924" s="1" t="s">
        <v>15</v>
      </c>
      <c r="C924" s="1" t="s">
        <v>1020</v>
      </c>
      <c r="D924" s="3">
        <v>4189.49</v>
      </c>
      <c r="E924" s="3">
        <v>8283686.0099999998</v>
      </c>
      <c r="F924" s="1" t="s">
        <v>2732</v>
      </c>
      <c r="G924" s="3">
        <f t="shared" si="32"/>
        <v>4189.49</v>
      </c>
      <c r="H924" s="4">
        <v>0</v>
      </c>
    </row>
    <row r="925" spans="1:8">
      <c r="A925" s="1" t="s">
        <v>960</v>
      </c>
      <c r="B925" s="1" t="s">
        <v>15</v>
      </c>
      <c r="C925" s="1" t="s">
        <v>1021</v>
      </c>
      <c r="D925" s="3">
        <v>21337.17</v>
      </c>
      <c r="E925" s="3">
        <v>8305023.1799999997</v>
      </c>
      <c r="F925" s="1" t="s">
        <v>2732</v>
      </c>
      <c r="G925" s="3">
        <f t="shared" si="32"/>
        <v>21337.17</v>
      </c>
      <c r="H925" s="4">
        <v>0</v>
      </c>
    </row>
    <row r="926" spans="1:8">
      <c r="A926" s="1" t="s">
        <v>960</v>
      </c>
      <c r="B926" s="1" t="s">
        <v>15</v>
      </c>
      <c r="C926" s="1" t="s">
        <v>1022</v>
      </c>
      <c r="D926" s="3">
        <v>8378.98</v>
      </c>
      <c r="E926" s="3">
        <v>8313402.1600000001</v>
      </c>
      <c r="F926" s="1" t="s">
        <v>2732</v>
      </c>
      <c r="G926" s="3">
        <f t="shared" si="32"/>
        <v>8378.98</v>
      </c>
      <c r="H926" s="4">
        <v>0</v>
      </c>
    </row>
    <row r="927" spans="1:8">
      <c r="A927" s="1" t="s">
        <v>960</v>
      </c>
      <c r="B927" s="1" t="s">
        <v>15</v>
      </c>
      <c r="C927" s="1" t="s">
        <v>1023</v>
      </c>
      <c r="D927" s="3">
        <v>9353.2800000000007</v>
      </c>
      <c r="E927" s="3">
        <v>8322755.4400000004</v>
      </c>
      <c r="F927" s="1" t="s">
        <v>2732</v>
      </c>
      <c r="G927" s="3">
        <f t="shared" si="32"/>
        <v>9353.2800000000007</v>
      </c>
      <c r="H927" s="4">
        <v>0</v>
      </c>
    </row>
    <row r="928" spans="1:8">
      <c r="A928" s="1" t="s">
        <v>960</v>
      </c>
      <c r="B928" s="1" t="s">
        <v>1024</v>
      </c>
      <c r="C928" s="1" t="s">
        <v>1025</v>
      </c>
      <c r="D928" s="2">
        <v>469.92</v>
      </c>
      <c r="E928" s="3">
        <v>8323225.3600000003</v>
      </c>
      <c r="F928" s="2" t="s">
        <v>2732</v>
      </c>
      <c r="G928" s="3">
        <f t="shared" si="32"/>
        <v>469.92</v>
      </c>
      <c r="H928" s="4">
        <v>0</v>
      </c>
    </row>
    <row r="929" spans="1:8">
      <c r="A929" s="1" t="s">
        <v>960</v>
      </c>
      <c r="B929" s="1" t="s">
        <v>15</v>
      </c>
      <c r="C929" s="1" t="s">
        <v>1026</v>
      </c>
      <c r="D929" s="3">
        <v>3410.05</v>
      </c>
      <c r="E929" s="3">
        <v>8326635.4100000001</v>
      </c>
      <c r="F929" s="1" t="s">
        <v>2732</v>
      </c>
      <c r="G929" s="3">
        <f t="shared" si="32"/>
        <v>3410.05</v>
      </c>
      <c r="H929" s="4">
        <v>0</v>
      </c>
    </row>
    <row r="930" spans="1:8">
      <c r="A930" s="1" t="s">
        <v>960</v>
      </c>
      <c r="B930" s="1" t="s">
        <v>1027</v>
      </c>
      <c r="C930" s="1" t="s">
        <v>1028</v>
      </c>
      <c r="D930" s="2">
        <v>171.32</v>
      </c>
      <c r="E930" s="3">
        <v>8326806.7300000004</v>
      </c>
      <c r="F930" s="2" t="s">
        <v>2732</v>
      </c>
      <c r="G930" s="3">
        <f t="shared" si="32"/>
        <v>171.32</v>
      </c>
      <c r="H930" s="4">
        <v>0</v>
      </c>
    </row>
    <row r="931" spans="1:8">
      <c r="A931" s="1" t="s">
        <v>960</v>
      </c>
      <c r="B931" s="1" t="s">
        <v>15</v>
      </c>
      <c r="C931" s="1" t="s">
        <v>1029</v>
      </c>
      <c r="D931" s="3">
        <v>9060.99</v>
      </c>
      <c r="E931" s="3">
        <v>8335867.7199999997</v>
      </c>
      <c r="F931" s="1" t="s">
        <v>2732</v>
      </c>
      <c r="G931" s="3">
        <f t="shared" si="32"/>
        <v>9060.99</v>
      </c>
      <c r="H931" s="4">
        <v>0</v>
      </c>
    </row>
    <row r="932" spans="1:8">
      <c r="A932" s="1" t="s">
        <v>960</v>
      </c>
      <c r="B932" s="23" t="s">
        <v>478</v>
      </c>
      <c r="C932" s="23" t="s">
        <v>968</v>
      </c>
      <c r="D932" s="33">
        <v>-989904</v>
      </c>
      <c r="E932" s="3">
        <v>7620810.7199999997</v>
      </c>
      <c r="G932" s="4">
        <f>+D932/1.006</f>
        <v>-984000</v>
      </c>
      <c r="H932" s="4">
        <f>+D932-G932</f>
        <v>-5904</v>
      </c>
    </row>
    <row r="933" spans="1:8">
      <c r="A933" s="1" t="s">
        <v>1030</v>
      </c>
      <c r="B933" s="1" t="s">
        <v>15</v>
      </c>
      <c r="C933" s="1" t="s">
        <v>1085</v>
      </c>
      <c r="D933" s="3">
        <v>8124.42</v>
      </c>
      <c r="E933" s="3">
        <v>7342063.7599999998</v>
      </c>
      <c r="F933" s="1" t="s">
        <v>2732</v>
      </c>
      <c r="G933" s="3">
        <f t="shared" ref="G933:G964" si="33">+D933</f>
        <v>8124.42</v>
      </c>
      <c r="H933" s="4">
        <f>+D933-G933</f>
        <v>0</v>
      </c>
    </row>
    <row r="934" spans="1:8">
      <c r="A934" s="1" t="s">
        <v>1030</v>
      </c>
      <c r="B934" s="1" t="s">
        <v>15</v>
      </c>
      <c r="C934" s="1" t="s">
        <v>1031</v>
      </c>
      <c r="D934" s="3">
        <v>4035.98</v>
      </c>
      <c r="E934" s="3">
        <v>8339903.7000000002</v>
      </c>
      <c r="F934" s="1" t="s">
        <v>2732</v>
      </c>
      <c r="G934" s="3">
        <f t="shared" si="33"/>
        <v>4035.98</v>
      </c>
      <c r="H934" s="4">
        <v>0</v>
      </c>
    </row>
    <row r="935" spans="1:8">
      <c r="A935" s="1" t="s">
        <v>1030</v>
      </c>
      <c r="B935" s="1" t="s">
        <v>15</v>
      </c>
      <c r="C935" s="1" t="s">
        <v>1032</v>
      </c>
      <c r="D935" s="3">
        <v>4062.21</v>
      </c>
      <c r="E935" s="3">
        <v>8343965.9100000001</v>
      </c>
      <c r="F935" s="1" t="s">
        <v>2732</v>
      </c>
      <c r="G935" s="3">
        <f t="shared" si="33"/>
        <v>4062.21</v>
      </c>
      <c r="H935" s="4">
        <v>0</v>
      </c>
    </row>
    <row r="936" spans="1:8">
      <c r="A936" s="1" t="s">
        <v>1030</v>
      </c>
      <c r="B936" s="1" t="s">
        <v>15</v>
      </c>
      <c r="C936" s="1" t="s">
        <v>1033</v>
      </c>
      <c r="D936" s="3">
        <v>8124.42</v>
      </c>
      <c r="E936" s="3">
        <v>8352090.3300000001</v>
      </c>
      <c r="F936" s="1" t="s">
        <v>2732</v>
      </c>
      <c r="G936" s="3">
        <f t="shared" si="33"/>
        <v>8124.42</v>
      </c>
      <c r="H936" s="4">
        <v>0</v>
      </c>
    </row>
    <row r="937" spans="1:8">
      <c r="A937" s="1" t="s">
        <v>1030</v>
      </c>
      <c r="B937" s="1" t="s">
        <v>15</v>
      </c>
      <c r="C937" s="1" t="s">
        <v>1034</v>
      </c>
      <c r="D937" s="3">
        <v>12568.47</v>
      </c>
      <c r="E937" s="3">
        <v>8364658.7999999998</v>
      </c>
      <c r="F937" s="1" t="s">
        <v>2732</v>
      </c>
      <c r="G937" s="3">
        <f t="shared" si="33"/>
        <v>12568.47</v>
      </c>
      <c r="H937" s="4">
        <v>0</v>
      </c>
    </row>
    <row r="938" spans="1:8">
      <c r="A938" s="1" t="s">
        <v>1030</v>
      </c>
      <c r="B938" s="1" t="s">
        <v>15</v>
      </c>
      <c r="C938" s="1" t="s">
        <v>1035</v>
      </c>
      <c r="D938" s="3">
        <v>20752.59</v>
      </c>
      <c r="E938" s="3">
        <v>8385411.3899999997</v>
      </c>
      <c r="F938" s="1" t="s">
        <v>2732</v>
      </c>
      <c r="G938" s="3">
        <f t="shared" si="33"/>
        <v>20752.59</v>
      </c>
      <c r="H938" s="4">
        <v>0</v>
      </c>
    </row>
    <row r="939" spans="1:8">
      <c r="A939" s="1" t="s">
        <v>1030</v>
      </c>
      <c r="B939" s="1" t="s">
        <v>15</v>
      </c>
      <c r="C939" s="1" t="s">
        <v>1036</v>
      </c>
      <c r="D939" s="3">
        <v>4384.3500000000004</v>
      </c>
      <c r="E939" s="3">
        <v>8389795.7400000002</v>
      </c>
      <c r="F939" s="1" t="s">
        <v>2732</v>
      </c>
      <c r="G939" s="3">
        <f t="shared" si="33"/>
        <v>4384.3500000000004</v>
      </c>
      <c r="H939" s="4">
        <v>0</v>
      </c>
    </row>
    <row r="940" spans="1:8">
      <c r="A940" s="1" t="s">
        <v>1030</v>
      </c>
      <c r="B940" s="1" t="s">
        <v>15</v>
      </c>
      <c r="C940" s="1" t="s">
        <v>1037</v>
      </c>
      <c r="D940" s="3">
        <v>9060.99</v>
      </c>
      <c r="E940" s="3">
        <v>8398856.7300000004</v>
      </c>
      <c r="F940" s="1" t="s">
        <v>2732</v>
      </c>
      <c r="G940" s="3">
        <f t="shared" si="33"/>
        <v>9060.99</v>
      </c>
      <c r="H940" s="4">
        <v>0</v>
      </c>
    </row>
    <row r="941" spans="1:8">
      <c r="A941" s="1" t="s">
        <v>1030</v>
      </c>
      <c r="B941" s="1" t="s">
        <v>15</v>
      </c>
      <c r="C941" s="1" t="s">
        <v>1038</v>
      </c>
      <c r="D941" s="3">
        <v>7807.94</v>
      </c>
      <c r="E941" s="3">
        <v>8406664.6699999999</v>
      </c>
      <c r="F941" s="1" t="s">
        <v>2732</v>
      </c>
      <c r="G941" s="3">
        <f t="shared" si="33"/>
        <v>7807.94</v>
      </c>
      <c r="H941" s="4">
        <v>0</v>
      </c>
    </row>
    <row r="942" spans="1:8">
      <c r="A942" s="1" t="s">
        <v>1030</v>
      </c>
      <c r="B942" s="1" t="s">
        <v>15</v>
      </c>
      <c r="C942" s="1" t="s">
        <v>1039</v>
      </c>
      <c r="D942" s="3">
        <v>21728.1</v>
      </c>
      <c r="E942" s="3">
        <v>8428392.7699999996</v>
      </c>
      <c r="F942" s="1" t="s">
        <v>2732</v>
      </c>
      <c r="G942" s="3">
        <f t="shared" si="33"/>
        <v>21728.1</v>
      </c>
      <c r="H942" s="4">
        <v>0</v>
      </c>
    </row>
    <row r="943" spans="1:8">
      <c r="A943" s="1" t="s">
        <v>1030</v>
      </c>
      <c r="B943" s="1" t="s">
        <v>15</v>
      </c>
      <c r="C943" s="1" t="s">
        <v>1040</v>
      </c>
      <c r="D943" s="3">
        <v>65862.679999999993</v>
      </c>
      <c r="E943" s="3">
        <v>8494255.4499999993</v>
      </c>
      <c r="F943" s="1" t="s">
        <v>2732</v>
      </c>
      <c r="G943" s="3">
        <f t="shared" si="33"/>
        <v>65862.679999999993</v>
      </c>
      <c r="H943" s="4">
        <v>0</v>
      </c>
    </row>
    <row r="944" spans="1:8">
      <c r="A944" s="1" t="s">
        <v>1030</v>
      </c>
      <c r="B944" s="1" t="s">
        <v>15</v>
      </c>
      <c r="C944" s="1" t="s">
        <v>1041</v>
      </c>
      <c r="D944" s="3">
        <v>19522.88</v>
      </c>
      <c r="E944" s="3">
        <v>8513778.3300000001</v>
      </c>
      <c r="F944" s="1" t="s">
        <v>2732</v>
      </c>
      <c r="G944" s="3">
        <f t="shared" si="33"/>
        <v>19522.88</v>
      </c>
      <c r="H944" s="4">
        <v>0</v>
      </c>
    </row>
    <row r="945" spans="1:8">
      <c r="A945" s="1" t="s">
        <v>1030</v>
      </c>
      <c r="B945" s="1" t="s">
        <v>15</v>
      </c>
      <c r="C945" s="1" t="s">
        <v>1042</v>
      </c>
      <c r="D945" s="3">
        <v>81338.67</v>
      </c>
      <c r="E945" s="3">
        <v>8595117</v>
      </c>
      <c r="F945" s="1" t="s">
        <v>2732</v>
      </c>
      <c r="G945" s="3">
        <f t="shared" si="33"/>
        <v>81338.67</v>
      </c>
      <c r="H945" s="4">
        <v>0</v>
      </c>
    </row>
    <row r="946" spans="1:8">
      <c r="A946" s="1" t="s">
        <v>1030</v>
      </c>
      <c r="B946" s="1" t="s">
        <v>15</v>
      </c>
      <c r="C946" s="1" t="s">
        <v>1043</v>
      </c>
      <c r="D946" s="3">
        <v>16425.5</v>
      </c>
      <c r="E946" s="3">
        <v>8611542.5</v>
      </c>
      <c r="F946" s="1" t="s">
        <v>2732</v>
      </c>
      <c r="G946" s="3">
        <f t="shared" si="33"/>
        <v>16425.5</v>
      </c>
      <c r="H946" s="4">
        <v>0</v>
      </c>
    </row>
    <row r="947" spans="1:8">
      <c r="A947" s="1" t="s">
        <v>1030</v>
      </c>
      <c r="B947" s="1" t="s">
        <v>15</v>
      </c>
      <c r="C947" s="1" t="s">
        <v>1044</v>
      </c>
      <c r="D947" s="3">
        <v>9060.99</v>
      </c>
      <c r="E947" s="3">
        <v>8620603.4900000002</v>
      </c>
      <c r="F947" s="1" t="s">
        <v>2732</v>
      </c>
      <c r="G947" s="3">
        <f t="shared" si="33"/>
        <v>9060.99</v>
      </c>
      <c r="H947" s="4">
        <v>0</v>
      </c>
    </row>
    <row r="948" spans="1:8">
      <c r="A948" s="1" t="s">
        <v>1030</v>
      </c>
      <c r="B948" s="1" t="s">
        <v>15</v>
      </c>
      <c r="C948" s="1" t="s">
        <v>1045</v>
      </c>
      <c r="D948" s="3">
        <v>12568.47</v>
      </c>
      <c r="E948" s="3">
        <v>8633171.9600000009</v>
      </c>
      <c r="F948" s="1" t="s">
        <v>2732</v>
      </c>
      <c r="G948" s="3">
        <f t="shared" si="33"/>
        <v>12568.47</v>
      </c>
      <c r="H948" s="4">
        <v>0</v>
      </c>
    </row>
    <row r="949" spans="1:8">
      <c r="A949" s="1" t="s">
        <v>1030</v>
      </c>
      <c r="B949" s="1" t="s">
        <v>15</v>
      </c>
      <c r="C949" s="1" t="s">
        <v>1046</v>
      </c>
      <c r="D949" s="3">
        <v>31859.61</v>
      </c>
      <c r="E949" s="3">
        <v>8665031.5700000003</v>
      </c>
      <c r="F949" s="1" t="s">
        <v>2732</v>
      </c>
      <c r="G949" s="3">
        <f t="shared" si="33"/>
        <v>31859.61</v>
      </c>
      <c r="H949" s="4">
        <v>0</v>
      </c>
    </row>
    <row r="950" spans="1:8">
      <c r="A950" s="1" t="s">
        <v>1030</v>
      </c>
      <c r="B950" s="1" t="s">
        <v>15</v>
      </c>
      <c r="C950" s="1" t="s">
        <v>1047</v>
      </c>
      <c r="D950" s="3">
        <v>21921.75</v>
      </c>
      <c r="E950" s="3">
        <v>8686953.3200000003</v>
      </c>
      <c r="F950" s="1" t="s">
        <v>2732</v>
      </c>
      <c r="G950" s="3">
        <f t="shared" si="33"/>
        <v>21921.75</v>
      </c>
      <c r="H950" s="4">
        <v>0</v>
      </c>
    </row>
    <row r="951" spans="1:8">
      <c r="A951" s="1" t="s">
        <v>1030</v>
      </c>
      <c r="B951" s="1" t="s">
        <v>15</v>
      </c>
      <c r="C951" s="1" t="s">
        <v>1048</v>
      </c>
      <c r="D951" s="3">
        <v>34100.5</v>
      </c>
      <c r="E951" s="3">
        <v>8721053.8200000003</v>
      </c>
      <c r="F951" s="1" t="s">
        <v>2732</v>
      </c>
      <c r="G951" s="3">
        <f t="shared" si="33"/>
        <v>34100.5</v>
      </c>
      <c r="H951" s="4">
        <v>0</v>
      </c>
    </row>
    <row r="952" spans="1:8">
      <c r="A952" s="1" t="s">
        <v>1030</v>
      </c>
      <c r="B952" s="1" t="s">
        <v>15</v>
      </c>
      <c r="C952" s="1" t="s">
        <v>1049</v>
      </c>
      <c r="D952" s="3">
        <v>13250.48</v>
      </c>
      <c r="E952" s="3">
        <v>8734304.3000000007</v>
      </c>
      <c r="F952" s="1" t="s">
        <v>2732</v>
      </c>
      <c r="G952" s="3">
        <f t="shared" si="33"/>
        <v>13250.48</v>
      </c>
      <c r="H952" s="4">
        <v>0</v>
      </c>
    </row>
    <row r="953" spans="1:8">
      <c r="A953" s="1" t="s">
        <v>1030</v>
      </c>
      <c r="B953" s="1" t="s">
        <v>15</v>
      </c>
      <c r="C953" s="1" t="s">
        <v>1050</v>
      </c>
      <c r="D953" s="3">
        <v>13250.48</v>
      </c>
      <c r="E953" s="3">
        <v>8747554.7799999993</v>
      </c>
      <c r="F953" s="1" t="s">
        <v>2732</v>
      </c>
      <c r="G953" s="3">
        <f t="shared" si="33"/>
        <v>13250.48</v>
      </c>
      <c r="H953" s="4">
        <v>0</v>
      </c>
    </row>
    <row r="954" spans="1:8">
      <c r="A954" s="1" t="s">
        <v>1030</v>
      </c>
      <c r="B954" s="1" t="s">
        <v>1027</v>
      </c>
      <c r="C954" s="1" t="s">
        <v>1051</v>
      </c>
      <c r="D954" s="2">
        <v>665.72</v>
      </c>
      <c r="E954" s="3">
        <v>8748220.5</v>
      </c>
      <c r="F954" s="2" t="s">
        <v>2732</v>
      </c>
      <c r="G954" s="3">
        <f t="shared" si="33"/>
        <v>665.72</v>
      </c>
      <c r="H954" s="4">
        <v>0</v>
      </c>
    </row>
    <row r="955" spans="1:8">
      <c r="A955" s="1" t="s">
        <v>1030</v>
      </c>
      <c r="B955" s="1" t="s">
        <v>15</v>
      </c>
      <c r="C955" s="1" t="s">
        <v>1052</v>
      </c>
      <c r="D955" s="3">
        <v>3799.77</v>
      </c>
      <c r="E955" s="3">
        <v>8752020.2699999996</v>
      </c>
      <c r="F955" s="1" t="s">
        <v>2732</v>
      </c>
      <c r="G955" s="3">
        <f t="shared" si="33"/>
        <v>3799.77</v>
      </c>
      <c r="H955" s="4">
        <v>0</v>
      </c>
    </row>
    <row r="956" spans="1:8">
      <c r="A956" s="1" t="s">
        <v>1030</v>
      </c>
      <c r="B956" s="1" t="s">
        <v>15</v>
      </c>
      <c r="C956" s="1" t="s">
        <v>1053</v>
      </c>
      <c r="D956" s="3">
        <v>23285.77</v>
      </c>
      <c r="E956" s="3">
        <v>8775306.0399999991</v>
      </c>
      <c r="F956" s="1" t="s">
        <v>2732</v>
      </c>
      <c r="G956" s="3">
        <f t="shared" si="33"/>
        <v>23285.77</v>
      </c>
      <c r="H956" s="4">
        <v>0</v>
      </c>
    </row>
    <row r="957" spans="1:8">
      <c r="A957" s="1" t="s">
        <v>1030</v>
      </c>
      <c r="B957" s="1" t="s">
        <v>15</v>
      </c>
      <c r="C957" s="1" t="s">
        <v>1054</v>
      </c>
      <c r="D957" s="3">
        <v>3799.77</v>
      </c>
      <c r="E957" s="3">
        <v>8779105.8100000005</v>
      </c>
      <c r="F957" s="1" t="s">
        <v>2732</v>
      </c>
      <c r="G957" s="3">
        <f t="shared" si="33"/>
        <v>3799.77</v>
      </c>
      <c r="H957" s="4">
        <v>0</v>
      </c>
    </row>
    <row r="958" spans="1:8">
      <c r="A958" s="1" t="s">
        <v>1030</v>
      </c>
      <c r="B958" s="1" t="s">
        <v>15</v>
      </c>
      <c r="C958" s="1" t="s">
        <v>1055</v>
      </c>
      <c r="D958" s="3">
        <v>7989.26</v>
      </c>
      <c r="E958" s="3">
        <v>8787095.0700000003</v>
      </c>
      <c r="F958" s="1" t="s">
        <v>2732</v>
      </c>
      <c r="G958" s="3">
        <f t="shared" si="33"/>
        <v>7989.26</v>
      </c>
      <c r="H958" s="4">
        <v>0</v>
      </c>
    </row>
    <row r="959" spans="1:8">
      <c r="A959" s="1" t="s">
        <v>1030</v>
      </c>
      <c r="B959" s="1" t="s">
        <v>15</v>
      </c>
      <c r="C959" s="1" t="s">
        <v>1056</v>
      </c>
      <c r="D959" s="3">
        <v>61186.04</v>
      </c>
      <c r="E959" s="3">
        <v>8848281.1099999994</v>
      </c>
      <c r="F959" s="1" t="s">
        <v>2732</v>
      </c>
      <c r="G959" s="3">
        <f t="shared" si="33"/>
        <v>61186.04</v>
      </c>
      <c r="H959" s="4">
        <v>0</v>
      </c>
    </row>
    <row r="960" spans="1:8">
      <c r="A960" s="1" t="s">
        <v>1030</v>
      </c>
      <c r="B960" s="1" t="s">
        <v>15</v>
      </c>
      <c r="C960" s="1" t="s">
        <v>1057</v>
      </c>
      <c r="D960" s="3">
        <v>9060.99</v>
      </c>
      <c r="E960" s="3">
        <v>8857342.0999999996</v>
      </c>
      <c r="F960" s="1" t="s">
        <v>2732</v>
      </c>
      <c r="G960" s="3">
        <f t="shared" si="33"/>
        <v>9060.99</v>
      </c>
      <c r="H960" s="4">
        <v>0</v>
      </c>
    </row>
    <row r="961" spans="1:8">
      <c r="A961" s="1" t="s">
        <v>1030</v>
      </c>
      <c r="B961" s="1" t="s">
        <v>15</v>
      </c>
      <c r="C961" s="1" t="s">
        <v>1058</v>
      </c>
      <c r="D961" s="3">
        <v>4189.49</v>
      </c>
      <c r="E961" s="3">
        <v>8861531.5899999999</v>
      </c>
      <c r="F961" s="1" t="s">
        <v>2732</v>
      </c>
      <c r="G961" s="3">
        <f t="shared" si="33"/>
        <v>4189.49</v>
      </c>
      <c r="H961" s="4">
        <v>0</v>
      </c>
    </row>
    <row r="962" spans="1:8">
      <c r="A962" s="1" t="s">
        <v>1030</v>
      </c>
      <c r="B962" s="1" t="s">
        <v>15</v>
      </c>
      <c r="C962" s="1" t="s">
        <v>1059</v>
      </c>
      <c r="D962" s="3">
        <v>4871.5</v>
      </c>
      <c r="E962" s="3">
        <v>8866403.0899999999</v>
      </c>
      <c r="F962" s="1" t="s">
        <v>2732</v>
      </c>
      <c r="G962" s="3">
        <f t="shared" si="33"/>
        <v>4871.5</v>
      </c>
      <c r="H962" s="4">
        <v>0</v>
      </c>
    </row>
    <row r="963" spans="1:8">
      <c r="A963" s="1" t="s">
        <v>1030</v>
      </c>
      <c r="B963" s="1" t="s">
        <v>15</v>
      </c>
      <c r="C963" s="1" t="s">
        <v>1060</v>
      </c>
      <c r="D963" s="3">
        <v>3177.65</v>
      </c>
      <c r="E963" s="3">
        <v>8869580.7400000002</v>
      </c>
      <c r="F963" s="1" t="s">
        <v>2732</v>
      </c>
      <c r="G963" s="3">
        <f t="shared" si="33"/>
        <v>3177.65</v>
      </c>
      <c r="H963" s="4">
        <v>0</v>
      </c>
    </row>
    <row r="964" spans="1:8">
      <c r="A964" s="1" t="s">
        <v>1030</v>
      </c>
      <c r="B964" s="1" t="s">
        <v>15</v>
      </c>
      <c r="C964" s="1" t="s">
        <v>1061</v>
      </c>
      <c r="D964" s="3">
        <v>12568.47</v>
      </c>
      <c r="E964" s="3">
        <v>8882149.2100000009</v>
      </c>
      <c r="F964" s="1" t="s">
        <v>2732</v>
      </c>
      <c r="G964" s="3">
        <f t="shared" si="33"/>
        <v>12568.47</v>
      </c>
      <c r="H964" s="4">
        <v>0</v>
      </c>
    </row>
    <row r="965" spans="1:8">
      <c r="A965" s="1" t="s">
        <v>1030</v>
      </c>
      <c r="B965" s="1" t="s">
        <v>15</v>
      </c>
      <c r="C965" s="1" t="s">
        <v>1062</v>
      </c>
      <c r="D965" s="3">
        <v>8184.12</v>
      </c>
      <c r="E965" s="3">
        <v>8890333.3300000001</v>
      </c>
      <c r="F965" s="1" t="s">
        <v>2732</v>
      </c>
      <c r="G965" s="3">
        <f t="shared" ref="G965:G1001" si="34">+D965</f>
        <v>8184.12</v>
      </c>
      <c r="H965" s="4">
        <v>0</v>
      </c>
    </row>
    <row r="966" spans="1:8">
      <c r="A966" s="1" t="s">
        <v>1030</v>
      </c>
      <c r="B966" s="1" t="s">
        <v>15</v>
      </c>
      <c r="C966" s="1" t="s">
        <v>1063</v>
      </c>
      <c r="D966" s="3">
        <v>5350.02</v>
      </c>
      <c r="E966" s="3">
        <v>8895683.3499999996</v>
      </c>
      <c r="F966" s="1" t="s">
        <v>2732</v>
      </c>
      <c r="G966" s="3">
        <f t="shared" si="34"/>
        <v>5350.02</v>
      </c>
      <c r="H966" s="4">
        <v>0</v>
      </c>
    </row>
    <row r="967" spans="1:8">
      <c r="A967" s="1" t="s">
        <v>1030</v>
      </c>
      <c r="B967" s="1" t="s">
        <v>15</v>
      </c>
      <c r="C967" s="1" t="s">
        <v>1064</v>
      </c>
      <c r="D967" s="3">
        <v>4871.5</v>
      </c>
      <c r="E967" s="3">
        <v>8900554.8499999996</v>
      </c>
      <c r="F967" s="1" t="s">
        <v>2732</v>
      </c>
      <c r="G967" s="3">
        <f t="shared" si="34"/>
        <v>4871.5</v>
      </c>
      <c r="H967" s="4">
        <v>0</v>
      </c>
    </row>
    <row r="968" spans="1:8">
      <c r="A968" s="1" t="s">
        <v>1030</v>
      </c>
      <c r="B968" s="1" t="s">
        <v>15</v>
      </c>
      <c r="C968" s="1" t="s">
        <v>1065</v>
      </c>
      <c r="D968" s="3">
        <v>51053.32</v>
      </c>
      <c r="E968" s="3">
        <v>8951608.1699999999</v>
      </c>
      <c r="F968" s="1" t="s">
        <v>2732</v>
      </c>
      <c r="G968" s="3">
        <f t="shared" si="34"/>
        <v>51053.32</v>
      </c>
      <c r="H968" s="4">
        <v>0</v>
      </c>
    </row>
    <row r="969" spans="1:8">
      <c r="A969" s="1" t="s">
        <v>1030</v>
      </c>
      <c r="B969" s="1" t="s">
        <v>15</v>
      </c>
      <c r="C969" s="1" t="s">
        <v>1066</v>
      </c>
      <c r="D969" s="3">
        <v>9353.2800000000007</v>
      </c>
      <c r="E969" s="3">
        <v>8960961.4499999993</v>
      </c>
      <c r="F969" s="1" t="s">
        <v>2732</v>
      </c>
      <c r="G969" s="3">
        <f t="shared" si="34"/>
        <v>9353.2800000000007</v>
      </c>
      <c r="H969" s="4">
        <v>0</v>
      </c>
    </row>
    <row r="970" spans="1:8">
      <c r="A970" s="1" t="s">
        <v>1030</v>
      </c>
      <c r="B970" s="1" t="s">
        <v>15</v>
      </c>
      <c r="C970" s="1" t="s">
        <v>1067</v>
      </c>
      <c r="D970" s="3">
        <v>11983.89</v>
      </c>
      <c r="E970" s="3">
        <v>8972945.3399999999</v>
      </c>
      <c r="F970" s="1" t="s">
        <v>2732</v>
      </c>
      <c r="G970" s="3">
        <f t="shared" si="34"/>
        <v>11983.89</v>
      </c>
      <c r="H970" s="4">
        <v>0</v>
      </c>
    </row>
    <row r="971" spans="1:8">
      <c r="A971" s="1" t="s">
        <v>1030</v>
      </c>
      <c r="B971" s="1" t="s">
        <v>15</v>
      </c>
      <c r="C971" s="1" t="s">
        <v>1068</v>
      </c>
      <c r="D971" s="3">
        <v>23090.91</v>
      </c>
      <c r="E971" s="3">
        <v>8996036.25</v>
      </c>
      <c r="F971" s="1" t="s">
        <v>2732</v>
      </c>
      <c r="G971" s="3">
        <f t="shared" si="34"/>
        <v>23090.91</v>
      </c>
      <c r="H971" s="4">
        <v>0</v>
      </c>
    </row>
    <row r="972" spans="1:8">
      <c r="A972" s="1" t="s">
        <v>1030</v>
      </c>
      <c r="B972" s="1" t="s">
        <v>15</v>
      </c>
      <c r="C972" s="1" t="s">
        <v>1069</v>
      </c>
      <c r="D972" s="3">
        <v>16368.24</v>
      </c>
      <c r="E972" s="3">
        <v>9012404.4900000002</v>
      </c>
      <c r="F972" s="1" t="s">
        <v>2732</v>
      </c>
      <c r="G972" s="3">
        <f t="shared" si="34"/>
        <v>16368.24</v>
      </c>
      <c r="H972" s="4">
        <v>0</v>
      </c>
    </row>
    <row r="973" spans="1:8">
      <c r="A973" s="1" t="s">
        <v>1030</v>
      </c>
      <c r="B973" s="1" t="s">
        <v>15</v>
      </c>
      <c r="C973" s="1" t="s">
        <v>1070</v>
      </c>
      <c r="D973" s="3">
        <v>22408.9</v>
      </c>
      <c r="E973" s="3">
        <v>9034813.3900000006</v>
      </c>
      <c r="F973" s="1" t="s">
        <v>2732</v>
      </c>
      <c r="G973" s="3">
        <f t="shared" si="34"/>
        <v>22408.9</v>
      </c>
      <c r="H973" s="4">
        <v>0</v>
      </c>
    </row>
    <row r="974" spans="1:8">
      <c r="A974" s="1" t="s">
        <v>1030</v>
      </c>
      <c r="B974" s="1" t="s">
        <v>15</v>
      </c>
      <c r="C974" s="1" t="s">
        <v>1071</v>
      </c>
      <c r="D974" s="3">
        <v>44915.23</v>
      </c>
      <c r="E974" s="3">
        <v>9079728.6199999992</v>
      </c>
      <c r="F974" s="1" t="s">
        <v>2732</v>
      </c>
      <c r="G974" s="3">
        <f t="shared" si="34"/>
        <v>44915.23</v>
      </c>
      <c r="H974" s="4">
        <v>0</v>
      </c>
    </row>
    <row r="975" spans="1:8">
      <c r="A975" s="1" t="s">
        <v>1030</v>
      </c>
      <c r="B975" s="1" t="s">
        <v>15</v>
      </c>
      <c r="C975" s="1" t="s">
        <v>1072</v>
      </c>
      <c r="D975" s="3">
        <v>18302.7</v>
      </c>
      <c r="E975" s="3">
        <v>9098031.3200000003</v>
      </c>
      <c r="F975" s="1" t="s">
        <v>2732</v>
      </c>
      <c r="G975" s="3">
        <f t="shared" si="34"/>
        <v>18302.7</v>
      </c>
      <c r="H975" s="4">
        <v>0</v>
      </c>
    </row>
    <row r="976" spans="1:8">
      <c r="A976" s="1" t="s">
        <v>1030</v>
      </c>
      <c r="B976" s="1" t="s">
        <v>15</v>
      </c>
      <c r="C976" s="1" t="s">
        <v>1073</v>
      </c>
      <c r="D976" s="3">
        <v>7599.54</v>
      </c>
      <c r="E976" s="3">
        <v>9105630.8599999994</v>
      </c>
      <c r="F976" s="1" t="s">
        <v>2732</v>
      </c>
      <c r="G976" s="3">
        <f t="shared" si="34"/>
        <v>7599.54</v>
      </c>
      <c r="H976" s="4">
        <v>0</v>
      </c>
    </row>
    <row r="977" spans="1:8">
      <c r="A977" s="1" t="s">
        <v>1030</v>
      </c>
      <c r="B977" s="1" t="s">
        <v>15</v>
      </c>
      <c r="C977" s="1" t="s">
        <v>1086</v>
      </c>
      <c r="D977" s="3">
        <v>3684.33</v>
      </c>
      <c r="E977" s="3">
        <v>7345748.0899999999</v>
      </c>
      <c r="F977" s="1" t="s">
        <v>2732</v>
      </c>
      <c r="G977" s="3">
        <f t="shared" si="34"/>
        <v>3684.33</v>
      </c>
      <c r="H977" s="4">
        <v>0</v>
      </c>
    </row>
    <row r="978" spans="1:8">
      <c r="A978" s="1" t="s">
        <v>1030</v>
      </c>
      <c r="B978" s="1" t="s">
        <v>15</v>
      </c>
      <c r="C978" s="1" t="s">
        <v>1087</v>
      </c>
      <c r="D978" s="3">
        <v>8768.7000000000007</v>
      </c>
      <c r="E978" s="3">
        <v>7354516.79</v>
      </c>
      <c r="F978" s="1" t="s">
        <v>2732</v>
      </c>
      <c r="G978" s="3">
        <f t="shared" si="34"/>
        <v>8768.7000000000007</v>
      </c>
      <c r="H978" s="4">
        <v>0</v>
      </c>
    </row>
    <row r="979" spans="1:8">
      <c r="A979" s="1" t="s">
        <v>1030</v>
      </c>
      <c r="B979" s="1" t="s">
        <v>15</v>
      </c>
      <c r="C979" s="1" t="s">
        <v>1088</v>
      </c>
      <c r="D979" s="3">
        <v>8502.2999999999993</v>
      </c>
      <c r="E979" s="3">
        <v>7363019.0899999999</v>
      </c>
      <c r="F979" s="1" t="s">
        <v>2732</v>
      </c>
      <c r="G979" s="3">
        <f t="shared" si="34"/>
        <v>8502.2999999999993</v>
      </c>
      <c r="H979" s="4">
        <v>0</v>
      </c>
    </row>
    <row r="980" spans="1:8">
      <c r="A980" s="1" t="s">
        <v>1030</v>
      </c>
      <c r="B980" s="1" t="s">
        <v>15</v>
      </c>
      <c r="C980" s="1" t="s">
        <v>1089</v>
      </c>
      <c r="D980" s="3">
        <v>8124.42</v>
      </c>
      <c r="E980" s="3">
        <v>7371143.5099999998</v>
      </c>
      <c r="F980" s="1" t="s">
        <v>2732</v>
      </c>
      <c r="G980" s="3">
        <f t="shared" si="34"/>
        <v>8124.42</v>
      </c>
      <c r="H980" s="4">
        <v>0</v>
      </c>
    </row>
    <row r="981" spans="1:8">
      <c r="A981" s="1" t="s">
        <v>1030</v>
      </c>
      <c r="B981" s="1" t="s">
        <v>15</v>
      </c>
      <c r="C981" s="1" t="s">
        <v>1090</v>
      </c>
      <c r="D981" s="3">
        <v>8768.7000000000007</v>
      </c>
      <c r="E981" s="3">
        <v>7379912.21</v>
      </c>
      <c r="F981" s="1" t="s">
        <v>2732</v>
      </c>
      <c r="G981" s="3">
        <f t="shared" si="34"/>
        <v>8768.7000000000007</v>
      </c>
      <c r="H981" s="4">
        <v>0</v>
      </c>
    </row>
    <row r="982" spans="1:8">
      <c r="A982" s="1" t="s">
        <v>1030</v>
      </c>
      <c r="B982" s="1" t="s">
        <v>15</v>
      </c>
      <c r="C982" s="1" t="s">
        <v>1091</v>
      </c>
      <c r="D982" s="3">
        <v>8768.7000000000007</v>
      </c>
      <c r="E982" s="3">
        <v>7388680.9100000001</v>
      </c>
      <c r="F982" s="1" t="s">
        <v>2732</v>
      </c>
      <c r="G982" s="3">
        <f t="shared" si="34"/>
        <v>8768.7000000000007</v>
      </c>
      <c r="H982" s="4">
        <v>0</v>
      </c>
    </row>
    <row r="983" spans="1:8">
      <c r="A983" s="1" t="s">
        <v>1030</v>
      </c>
      <c r="B983" s="1" t="s">
        <v>15</v>
      </c>
      <c r="C983" s="1" t="s">
        <v>1092</v>
      </c>
      <c r="D983" s="3">
        <v>20612.009999999998</v>
      </c>
      <c r="E983" s="3">
        <v>7409292.9199999999</v>
      </c>
      <c r="F983" s="1" t="s">
        <v>2732</v>
      </c>
      <c r="G983" s="3">
        <f t="shared" si="34"/>
        <v>20612.009999999998</v>
      </c>
      <c r="H983" s="4">
        <v>0</v>
      </c>
    </row>
    <row r="984" spans="1:8">
      <c r="A984" s="1" t="s">
        <v>1030</v>
      </c>
      <c r="B984" s="1" t="s">
        <v>15</v>
      </c>
      <c r="C984" s="1" t="s">
        <v>1093</v>
      </c>
      <c r="D984" s="3">
        <v>4035.98</v>
      </c>
      <c r="E984" s="3">
        <v>7413328.9000000004</v>
      </c>
      <c r="F984" s="1" t="s">
        <v>2732</v>
      </c>
      <c r="G984" s="3">
        <f t="shared" si="34"/>
        <v>4035.98</v>
      </c>
      <c r="H984" s="4">
        <v>0</v>
      </c>
    </row>
    <row r="985" spans="1:8">
      <c r="A985" s="1" t="s">
        <v>1030</v>
      </c>
      <c r="B985" s="1" t="s">
        <v>15</v>
      </c>
      <c r="C985" s="1" t="s">
        <v>1094</v>
      </c>
      <c r="D985" s="3">
        <v>46961.26</v>
      </c>
      <c r="E985" s="3">
        <v>7460290.1600000001</v>
      </c>
      <c r="F985" s="1" t="s">
        <v>2732</v>
      </c>
      <c r="G985" s="3">
        <f t="shared" si="34"/>
        <v>46961.26</v>
      </c>
      <c r="H985" s="4">
        <v>0</v>
      </c>
    </row>
    <row r="986" spans="1:8">
      <c r="A986" s="1" t="s">
        <v>1030</v>
      </c>
      <c r="B986" s="1" t="s">
        <v>15</v>
      </c>
      <c r="C986" s="1" t="s">
        <v>1095</v>
      </c>
      <c r="D986" s="3">
        <v>5163.79</v>
      </c>
      <c r="E986" s="3">
        <v>7465453.9500000002</v>
      </c>
      <c r="F986" s="1" t="s">
        <v>2732</v>
      </c>
      <c r="G986" s="3">
        <f t="shared" si="34"/>
        <v>5163.79</v>
      </c>
      <c r="H986" s="4">
        <v>0</v>
      </c>
    </row>
    <row r="987" spans="1:8">
      <c r="A987" s="1" t="s">
        <v>1030</v>
      </c>
      <c r="B987" s="1" t="s">
        <v>593</v>
      </c>
      <c r="C987" s="1" t="s">
        <v>1096</v>
      </c>
      <c r="D987" s="2">
        <v>259.43</v>
      </c>
      <c r="E987" s="3">
        <v>7465713.3799999999</v>
      </c>
      <c r="F987" s="2" t="s">
        <v>2732</v>
      </c>
      <c r="G987" s="3">
        <f t="shared" si="34"/>
        <v>259.43</v>
      </c>
      <c r="H987" s="4">
        <v>0</v>
      </c>
    </row>
    <row r="988" spans="1:8">
      <c r="A988" s="1" t="s">
        <v>1030</v>
      </c>
      <c r="B988" s="1" t="s">
        <v>15</v>
      </c>
      <c r="C988" s="1" t="s">
        <v>1097</v>
      </c>
      <c r="D988" s="3">
        <v>3799.77</v>
      </c>
      <c r="E988" s="3">
        <v>7469513.1500000004</v>
      </c>
      <c r="F988" s="1" t="s">
        <v>2732</v>
      </c>
      <c r="G988" s="3">
        <f t="shared" si="34"/>
        <v>3799.77</v>
      </c>
      <c r="H988" s="4">
        <v>0</v>
      </c>
    </row>
    <row r="989" spans="1:8">
      <c r="A989" s="1" t="s">
        <v>1030</v>
      </c>
      <c r="B989" s="1" t="s">
        <v>15</v>
      </c>
      <c r="C989" s="1" t="s">
        <v>1098</v>
      </c>
      <c r="D989" s="3">
        <v>26013.81</v>
      </c>
      <c r="E989" s="3">
        <v>7495526.96</v>
      </c>
      <c r="F989" s="1" t="s">
        <v>2732</v>
      </c>
      <c r="G989" s="3">
        <f t="shared" si="34"/>
        <v>26013.81</v>
      </c>
      <c r="H989" s="4">
        <v>0</v>
      </c>
    </row>
    <row r="990" spans="1:8">
      <c r="A990" s="1" t="s">
        <v>1030</v>
      </c>
      <c r="B990" s="1" t="s">
        <v>15</v>
      </c>
      <c r="C990" s="1" t="s">
        <v>1099</v>
      </c>
      <c r="D990" s="3">
        <v>8768.7000000000007</v>
      </c>
      <c r="E990" s="3">
        <v>7504295.6600000001</v>
      </c>
      <c r="F990" s="1" t="s">
        <v>2732</v>
      </c>
      <c r="G990" s="3">
        <f t="shared" si="34"/>
        <v>8768.7000000000007</v>
      </c>
      <c r="H990" s="4">
        <v>0</v>
      </c>
    </row>
    <row r="991" spans="1:8">
      <c r="A991" s="1" t="s">
        <v>1030</v>
      </c>
      <c r="B991" s="1" t="s">
        <v>15</v>
      </c>
      <c r="C991" s="1" t="s">
        <v>1100</v>
      </c>
      <c r="D991" s="3">
        <v>33914.730000000003</v>
      </c>
      <c r="E991" s="3">
        <v>7538210.3899999997</v>
      </c>
      <c r="F991" s="1" t="s">
        <v>2732</v>
      </c>
      <c r="G991" s="3">
        <f t="shared" si="34"/>
        <v>33914.730000000003</v>
      </c>
      <c r="H991" s="4">
        <v>0</v>
      </c>
    </row>
    <row r="992" spans="1:8">
      <c r="A992" s="1" t="s">
        <v>1030</v>
      </c>
      <c r="B992" s="1" t="s">
        <v>15</v>
      </c>
      <c r="C992" s="1" t="s">
        <v>1101</v>
      </c>
      <c r="D992" s="3">
        <v>44395.78</v>
      </c>
      <c r="E992" s="3">
        <v>7582606.1699999999</v>
      </c>
      <c r="F992" s="1" t="s">
        <v>2732</v>
      </c>
      <c r="G992" s="3">
        <f t="shared" si="34"/>
        <v>44395.78</v>
      </c>
      <c r="H992" s="4">
        <v>0</v>
      </c>
    </row>
    <row r="993" spans="1:8">
      <c r="A993" s="1" t="s">
        <v>1030</v>
      </c>
      <c r="B993" s="1" t="s">
        <v>15</v>
      </c>
      <c r="C993" s="1" t="s">
        <v>1102</v>
      </c>
      <c r="D993" s="3">
        <v>58555.43</v>
      </c>
      <c r="E993" s="3">
        <v>7641161.5999999996</v>
      </c>
      <c r="F993" s="1" t="s">
        <v>2732</v>
      </c>
      <c r="G993" s="3">
        <f t="shared" si="34"/>
        <v>58555.43</v>
      </c>
      <c r="H993" s="4">
        <v>0</v>
      </c>
    </row>
    <row r="994" spans="1:8">
      <c r="A994" s="1" t="s">
        <v>1030</v>
      </c>
      <c r="B994" s="1" t="s">
        <v>15</v>
      </c>
      <c r="C994" s="1" t="s">
        <v>1103</v>
      </c>
      <c r="D994" s="3">
        <v>34685.08</v>
      </c>
      <c r="E994" s="3">
        <v>7675846.6799999997</v>
      </c>
      <c r="F994" s="1" t="s">
        <v>2732</v>
      </c>
      <c r="G994" s="3">
        <f t="shared" si="34"/>
        <v>34685.08</v>
      </c>
      <c r="H994" s="4">
        <v>0</v>
      </c>
    </row>
    <row r="995" spans="1:8">
      <c r="A995" s="1" t="s">
        <v>1030</v>
      </c>
      <c r="B995" s="1" t="s">
        <v>15</v>
      </c>
      <c r="C995" s="1" t="s">
        <v>1104</v>
      </c>
      <c r="D995" s="3">
        <v>3799.77</v>
      </c>
      <c r="E995" s="3">
        <v>7679646.4500000002</v>
      </c>
      <c r="F995" s="1" t="s">
        <v>2732</v>
      </c>
      <c r="G995" s="3">
        <f t="shared" si="34"/>
        <v>3799.77</v>
      </c>
      <c r="H995" s="4">
        <v>0</v>
      </c>
    </row>
    <row r="996" spans="1:8">
      <c r="A996" s="1" t="s">
        <v>1030</v>
      </c>
      <c r="B996" s="1" t="s">
        <v>15</v>
      </c>
      <c r="C996" s="1" t="s">
        <v>1105</v>
      </c>
      <c r="D996" s="3">
        <v>16248.84</v>
      </c>
      <c r="E996" s="3">
        <v>7695895.29</v>
      </c>
      <c r="F996" s="1" t="s">
        <v>2732</v>
      </c>
      <c r="G996" s="3">
        <f t="shared" si="34"/>
        <v>16248.84</v>
      </c>
      <c r="H996" s="4">
        <v>0</v>
      </c>
    </row>
    <row r="997" spans="1:8">
      <c r="A997" s="1" t="s">
        <v>1030</v>
      </c>
      <c r="B997" s="1" t="s">
        <v>15</v>
      </c>
      <c r="C997" s="1" t="s">
        <v>1106</v>
      </c>
      <c r="D997" s="3">
        <v>9447</v>
      </c>
      <c r="E997" s="3">
        <v>7705342.29</v>
      </c>
      <c r="F997" s="1" t="s">
        <v>2732</v>
      </c>
      <c r="G997" s="3">
        <f t="shared" si="34"/>
        <v>9447</v>
      </c>
      <c r="H997" s="4">
        <v>0</v>
      </c>
    </row>
    <row r="998" spans="1:8">
      <c r="A998" s="1" t="s">
        <v>1030</v>
      </c>
      <c r="B998" s="1" t="s">
        <v>15</v>
      </c>
      <c r="C998" s="1" t="s">
        <v>1107</v>
      </c>
      <c r="D998" s="3">
        <v>46762.65</v>
      </c>
      <c r="E998" s="3">
        <v>7752104.9400000004</v>
      </c>
      <c r="F998" s="1" t="s">
        <v>2732</v>
      </c>
      <c r="G998" s="3">
        <f t="shared" si="34"/>
        <v>46762.65</v>
      </c>
      <c r="H998" s="4">
        <v>0</v>
      </c>
    </row>
    <row r="999" spans="1:8">
      <c r="A999" s="1" t="s">
        <v>1030</v>
      </c>
      <c r="B999" s="1" t="s">
        <v>15</v>
      </c>
      <c r="C999" s="1" t="s">
        <v>1108</v>
      </c>
      <c r="D999" s="3">
        <v>16757.96</v>
      </c>
      <c r="E999" s="3">
        <v>7768862.9000000004</v>
      </c>
      <c r="F999" s="1" t="s">
        <v>2732</v>
      </c>
      <c r="G999" s="3">
        <f t="shared" si="34"/>
        <v>16757.96</v>
      </c>
      <c r="H999" s="4">
        <v>0</v>
      </c>
    </row>
    <row r="1000" spans="1:8">
      <c r="A1000" s="1" t="s">
        <v>1030</v>
      </c>
      <c r="B1000" s="1" t="s">
        <v>15</v>
      </c>
      <c r="C1000" s="1" t="s">
        <v>1109</v>
      </c>
      <c r="D1000" s="3">
        <v>4871.5</v>
      </c>
      <c r="E1000" s="3">
        <v>7773734.4000000004</v>
      </c>
      <c r="F1000" s="1" t="s">
        <v>2732</v>
      </c>
      <c r="G1000" s="3">
        <f t="shared" si="34"/>
        <v>4871.5</v>
      </c>
      <c r="H1000" s="4">
        <v>0</v>
      </c>
    </row>
    <row r="1001" spans="1:8">
      <c r="A1001" s="1" t="s">
        <v>1030</v>
      </c>
      <c r="B1001" s="1" t="s">
        <v>15</v>
      </c>
      <c r="C1001" s="1" t="s">
        <v>1110</v>
      </c>
      <c r="D1001" s="3">
        <v>4189.49</v>
      </c>
      <c r="E1001" s="3">
        <v>7777923.8899999997</v>
      </c>
      <c r="F1001" s="1" t="s">
        <v>2732</v>
      </c>
      <c r="G1001" s="3">
        <f t="shared" si="34"/>
        <v>4189.49</v>
      </c>
      <c r="H1001" s="4">
        <v>0</v>
      </c>
    </row>
    <row r="1002" spans="1:8">
      <c r="A1002" s="1" t="s">
        <v>1030</v>
      </c>
      <c r="B1002" s="1" t="s">
        <v>1083</v>
      </c>
      <c r="C1002" s="1" t="s">
        <v>1084</v>
      </c>
      <c r="D1002" s="3">
        <v>-220425.67</v>
      </c>
      <c r="E1002" s="3">
        <v>7333939.3399999999</v>
      </c>
      <c r="F1002" s="1" t="s">
        <v>1739</v>
      </c>
      <c r="G1002" s="4">
        <f>+D1002/1.006</f>
        <v>-219111.00397614314</v>
      </c>
      <c r="H1002" s="4">
        <f>+D1002-G1002</f>
        <v>-1314.6660238568729</v>
      </c>
    </row>
    <row r="1003" spans="1:8">
      <c r="A1003" s="59" t="s">
        <v>1030</v>
      </c>
      <c r="B1003" s="59" t="s">
        <v>28</v>
      </c>
      <c r="C1003" s="59" t="s">
        <v>1077</v>
      </c>
      <c r="D1003" s="63">
        <v>-349.67</v>
      </c>
      <c r="E1003" s="64">
        <v>8796474.2899999991</v>
      </c>
      <c r="F1003" s="59"/>
      <c r="G1003" s="64">
        <f t="shared" ref="G1003:G1008" si="35">+D1003</f>
        <v>-349.67</v>
      </c>
      <c r="H1003" s="65"/>
    </row>
    <row r="1004" spans="1:8">
      <c r="A1004" s="59" t="s">
        <v>1030</v>
      </c>
      <c r="B1004" s="59" t="s">
        <v>28</v>
      </c>
      <c r="C1004" s="59" t="s">
        <v>1075</v>
      </c>
      <c r="D1004" s="63">
        <v>-544.5</v>
      </c>
      <c r="E1004" s="64">
        <v>9014336.3599999994</v>
      </c>
      <c r="F1004" s="59"/>
      <c r="G1004" s="64">
        <f t="shared" si="35"/>
        <v>-544.5</v>
      </c>
      <c r="H1004" s="65"/>
    </row>
    <row r="1005" spans="1:8">
      <c r="A1005" s="59" t="s">
        <v>1030</v>
      </c>
      <c r="B1005" s="59" t="s">
        <v>28</v>
      </c>
      <c r="C1005" s="59" t="s">
        <v>1080</v>
      </c>
      <c r="D1005" s="63">
        <v>-897.44</v>
      </c>
      <c r="E1005" s="64">
        <v>7953996.0999999996</v>
      </c>
      <c r="F1005" s="59"/>
      <c r="G1005" s="64">
        <f t="shared" si="35"/>
        <v>-897.44</v>
      </c>
      <c r="H1005" s="65"/>
    </row>
    <row r="1006" spans="1:8">
      <c r="A1006" s="59" t="s">
        <v>1030</v>
      </c>
      <c r="B1006" s="59" t="s">
        <v>28</v>
      </c>
      <c r="C1006" s="59" t="s">
        <v>1076</v>
      </c>
      <c r="D1006" s="63">
        <v>-949.71</v>
      </c>
      <c r="E1006" s="64">
        <v>8855101.9600000009</v>
      </c>
      <c r="F1006" s="59"/>
      <c r="G1006" s="64">
        <f t="shared" si="35"/>
        <v>-949.71</v>
      </c>
      <c r="H1006" s="65"/>
    </row>
    <row r="1007" spans="1:8">
      <c r="A1007" s="59" t="s">
        <v>1030</v>
      </c>
      <c r="B1007" s="59" t="s">
        <v>28</v>
      </c>
      <c r="C1007" s="59" t="s">
        <v>1078</v>
      </c>
      <c r="D1007" s="64">
        <v>-1187.28</v>
      </c>
      <c r="E1007" s="64">
        <v>8597407.0399999991</v>
      </c>
      <c r="F1007" s="59"/>
      <c r="G1007" s="64">
        <f t="shared" si="35"/>
        <v>-1187.28</v>
      </c>
      <c r="H1007" s="65"/>
    </row>
    <row r="1008" spans="1:8">
      <c r="A1008" s="59" t="s">
        <v>1030</v>
      </c>
      <c r="B1008" s="59" t="s">
        <v>28</v>
      </c>
      <c r="C1008" s="59" t="s">
        <v>1082</v>
      </c>
      <c r="D1008" s="64">
        <v>-2383.4899999999998</v>
      </c>
      <c r="E1008" s="64">
        <v>7554365.0099999998</v>
      </c>
      <c r="F1008" s="59"/>
      <c r="G1008" s="64">
        <f t="shared" si="35"/>
        <v>-2383.4899999999998</v>
      </c>
      <c r="H1008" s="65"/>
    </row>
    <row r="1009" spans="1:8">
      <c r="A1009" s="1" t="s">
        <v>1030</v>
      </c>
      <c r="B1009" s="1" t="s">
        <v>26</v>
      </c>
      <c r="C1009" s="1" t="s">
        <v>1080</v>
      </c>
      <c r="D1009" s="3">
        <v>-149573.5</v>
      </c>
      <c r="E1009" s="3">
        <v>7954893.54</v>
      </c>
      <c r="G1009" s="4">
        <f t="shared" ref="G1009:G1015" si="36">+D1009/1.006</f>
        <v>-148681.41153081512</v>
      </c>
      <c r="H1009" s="4">
        <f t="shared" ref="H1009:H1015" si="37">+D1009-G1009</f>
        <v>-892.08846918487689</v>
      </c>
    </row>
    <row r="1010" spans="1:8">
      <c r="A1010" s="1" t="s">
        <v>1030</v>
      </c>
      <c r="B1010" s="1" t="s">
        <v>38</v>
      </c>
      <c r="C1010" s="1" t="s">
        <v>1079</v>
      </c>
      <c r="D1010" s="3">
        <v>-492940</v>
      </c>
      <c r="E1010" s="3">
        <v>8104467.04</v>
      </c>
      <c r="G1010" s="4">
        <f t="shared" si="36"/>
        <v>-490000</v>
      </c>
      <c r="H1010" s="4">
        <f t="shared" si="37"/>
        <v>-2940</v>
      </c>
    </row>
    <row r="1011" spans="1:8">
      <c r="A1011" s="1" t="s">
        <v>1030</v>
      </c>
      <c r="B1011" s="1" t="s">
        <v>1074</v>
      </c>
      <c r="C1011" s="1" t="s">
        <v>1075</v>
      </c>
      <c r="D1011" s="3">
        <v>-90750</v>
      </c>
      <c r="E1011" s="3">
        <v>9014880.8599999994</v>
      </c>
      <c r="G1011" s="4">
        <f t="shared" si="36"/>
        <v>-90208.74751491053</v>
      </c>
      <c r="H1011" s="4">
        <f t="shared" si="37"/>
        <v>-541.2524850894697</v>
      </c>
    </row>
    <row r="1012" spans="1:8">
      <c r="A1012" s="1" t="s">
        <v>1030</v>
      </c>
      <c r="B1012" s="1" t="s">
        <v>83</v>
      </c>
      <c r="C1012" s="1" t="s">
        <v>1077</v>
      </c>
      <c r="D1012" s="3">
        <v>-58278</v>
      </c>
      <c r="E1012" s="3">
        <v>8796823.9600000009</v>
      </c>
      <c r="G1012" s="4">
        <f t="shared" si="36"/>
        <v>-57930.417495029818</v>
      </c>
      <c r="H1012" s="4">
        <f t="shared" si="37"/>
        <v>-347.58250497018162</v>
      </c>
    </row>
    <row r="1013" spans="1:8">
      <c r="A1013" s="1" t="s">
        <v>1030</v>
      </c>
      <c r="B1013" s="1" t="s">
        <v>83</v>
      </c>
      <c r="C1013" s="1" t="s">
        <v>1076</v>
      </c>
      <c r="D1013" s="3">
        <v>-158284.69</v>
      </c>
      <c r="E1013" s="3">
        <v>8856051.6699999999</v>
      </c>
      <c r="G1013" s="4">
        <f t="shared" si="36"/>
        <v>-157340.64612326043</v>
      </c>
      <c r="H1013" s="4">
        <f t="shared" si="37"/>
        <v>-944.04387673956808</v>
      </c>
    </row>
    <row r="1014" spans="1:8">
      <c r="A1014" s="1" t="s">
        <v>1030</v>
      </c>
      <c r="B1014" s="1" t="s">
        <v>83</v>
      </c>
      <c r="C1014" s="1" t="s">
        <v>1078</v>
      </c>
      <c r="D1014" s="3">
        <v>-197879.97</v>
      </c>
      <c r="E1014" s="3">
        <v>8598594.3200000003</v>
      </c>
      <c r="G1014" s="4">
        <f t="shared" si="36"/>
        <v>-196699.77137176937</v>
      </c>
      <c r="H1014" s="4">
        <f t="shared" si="37"/>
        <v>-1180.1986282306316</v>
      </c>
    </row>
    <row r="1015" spans="1:8">
      <c r="A1015" s="1" t="s">
        <v>1030</v>
      </c>
      <c r="B1015" s="1" t="s">
        <v>1081</v>
      </c>
      <c r="C1015" s="1" t="s">
        <v>1082</v>
      </c>
      <c r="D1015" s="3">
        <v>-397247.6</v>
      </c>
      <c r="E1015" s="3">
        <v>7556748.5</v>
      </c>
      <c r="G1015" s="4">
        <f t="shared" si="36"/>
        <v>-394878.33001988067</v>
      </c>
      <c r="H1015" s="4">
        <f t="shared" si="37"/>
        <v>-2369.2699801193085</v>
      </c>
    </row>
    <row r="1016" spans="1:8">
      <c r="A1016" s="1" t="s">
        <v>1111</v>
      </c>
      <c r="B1016" s="1" t="s">
        <v>15</v>
      </c>
      <c r="C1016" s="1" t="s">
        <v>1112</v>
      </c>
      <c r="D1016" s="3">
        <v>1851.17</v>
      </c>
      <c r="E1016" s="3">
        <v>7779775.0599999996</v>
      </c>
      <c r="F1016" s="1" t="s">
        <v>2732</v>
      </c>
      <c r="G1016" s="3">
        <f t="shared" ref="G1016:G1047" si="38">+D1016</f>
        <v>1851.17</v>
      </c>
      <c r="H1016" s="4">
        <v>0</v>
      </c>
    </row>
    <row r="1017" spans="1:8">
      <c r="A1017" s="1" t="s">
        <v>1111</v>
      </c>
      <c r="B1017" s="1" t="s">
        <v>1113</v>
      </c>
      <c r="C1017" s="1" t="s">
        <v>1114</v>
      </c>
      <c r="D1017" s="2">
        <v>93</v>
      </c>
      <c r="E1017" s="3">
        <v>7779868.0599999996</v>
      </c>
      <c r="F1017" s="2" t="s">
        <v>2732</v>
      </c>
      <c r="G1017" s="3">
        <f t="shared" si="38"/>
        <v>93</v>
      </c>
      <c r="H1017" s="4">
        <v>0</v>
      </c>
    </row>
    <row r="1018" spans="1:8">
      <c r="A1018" s="1" t="s">
        <v>1111</v>
      </c>
      <c r="B1018" s="1" t="s">
        <v>15</v>
      </c>
      <c r="C1018" s="1" t="s">
        <v>1115</v>
      </c>
      <c r="D1018" s="3">
        <v>67734.990000000005</v>
      </c>
      <c r="E1018" s="3">
        <v>7847603.0499999998</v>
      </c>
      <c r="F1018" s="1" t="s">
        <v>2732</v>
      </c>
      <c r="G1018" s="3">
        <f t="shared" si="38"/>
        <v>67734.990000000005</v>
      </c>
      <c r="H1018" s="4">
        <v>0</v>
      </c>
    </row>
    <row r="1019" spans="1:8">
      <c r="A1019" s="1" t="s">
        <v>1111</v>
      </c>
      <c r="B1019" s="1" t="s">
        <v>15</v>
      </c>
      <c r="C1019" s="1" t="s">
        <v>1116</v>
      </c>
      <c r="D1019" s="3">
        <v>14831.79</v>
      </c>
      <c r="E1019" s="3">
        <v>7862434.8399999999</v>
      </c>
      <c r="F1019" s="1" t="s">
        <v>2732</v>
      </c>
      <c r="G1019" s="3">
        <f t="shared" si="38"/>
        <v>14831.79</v>
      </c>
      <c r="H1019" s="4">
        <v>0</v>
      </c>
    </row>
    <row r="1020" spans="1:8">
      <c r="A1020" s="1" t="s">
        <v>1111</v>
      </c>
      <c r="B1020" s="1" t="s">
        <v>15</v>
      </c>
      <c r="C1020" s="1" t="s">
        <v>1117</v>
      </c>
      <c r="D1020" s="3">
        <v>7696.97</v>
      </c>
      <c r="E1020" s="3">
        <v>7870131.8099999996</v>
      </c>
      <c r="F1020" s="1" t="s">
        <v>2732</v>
      </c>
      <c r="G1020" s="3">
        <f t="shared" si="38"/>
        <v>7696.97</v>
      </c>
      <c r="H1020" s="4">
        <v>0</v>
      </c>
    </row>
    <row r="1021" spans="1:8">
      <c r="A1021" s="1" t="s">
        <v>1111</v>
      </c>
      <c r="B1021" s="1" t="s">
        <v>15</v>
      </c>
      <c r="C1021" s="1" t="s">
        <v>1118</v>
      </c>
      <c r="D1021" s="3">
        <v>4871.5</v>
      </c>
      <c r="E1021" s="3">
        <v>7875003.3099999996</v>
      </c>
      <c r="F1021" s="1" t="s">
        <v>2732</v>
      </c>
      <c r="G1021" s="3">
        <f t="shared" si="38"/>
        <v>4871.5</v>
      </c>
      <c r="H1021" s="4">
        <v>0</v>
      </c>
    </row>
    <row r="1022" spans="1:8">
      <c r="A1022" s="1" t="s">
        <v>1111</v>
      </c>
      <c r="B1022" s="1" t="s">
        <v>15</v>
      </c>
      <c r="C1022" s="1" t="s">
        <v>1119</v>
      </c>
      <c r="D1022" s="3">
        <v>4189.49</v>
      </c>
      <c r="E1022" s="3">
        <v>7879192.7999999998</v>
      </c>
      <c r="F1022" s="1" t="s">
        <v>2732</v>
      </c>
      <c r="G1022" s="3">
        <f t="shared" si="38"/>
        <v>4189.49</v>
      </c>
      <c r="H1022" s="4">
        <v>0</v>
      </c>
    </row>
    <row r="1023" spans="1:8">
      <c r="A1023" s="1" t="s">
        <v>1111</v>
      </c>
      <c r="B1023" s="1" t="s">
        <v>15</v>
      </c>
      <c r="C1023" s="1" t="s">
        <v>1120</v>
      </c>
      <c r="D1023" s="3">
        <v>6820.1</v>
      </c>
      <c r="E1023" s="3">
        <v>7886012.9000000004</v>
      </c>
      <c r="F1023" s="1" t="s">
        <v>2732</v>
      </c>
      <c r="G1023" s="3">
        <f t="shared" si="38"/>
        <v>6820.1</v>
      </c>
      <c r="H1023" s="4">
        <v>0</v>
      </c>
    </row>
    <row r="1024" spans="1:8">
      <c r="A1024" s="1" t="s">
        <v>1111</v>
      </c>
      <c r="B1024" s="1" t="s">
        <v>15</v>
      </c>
      <c r="C1024" s="1" t="s">
        <v>1121</v>
      </c>
      <c r="D1024" s="3">
        <v>30105.87</v>
      </c>
      <c r="E1024" s="3">
        <v>7916118.7699999996</v>
      </c>
      <c r="F1024" s="1" t="s">
        <v>2732</v>
      </c>
      <c r="G1024" s="3">
        <f t="shared" si="38"/>
        <v>30105.87</v>
      </c>
      <c r="H1024" s="4">
        <v>0</v>
      </c>
    </row>
    <row r="1025" spans="1:8">
      <c r="A1025" s="1" t="s">
        <v>1111</v>
      </c>
      <c r="B1025" s="1" t="s">
        <v>15</v>
      </c>
      <c r="C1025" s="1" t="s">
        <v>1122</v>
      </c>
      <c r="D1025" s="3">
        <v>12958.19</v>
      </c>
      <c r="E1025" s="3">
        <v>7929076.96</v>
      </c>
      <c r="F1025" s="1" t="s">
        <v>2732</v>
      </c>
      <c r="G1025" s="3">
        <f t="shared" si="38"/>
        <v>12958.19</v>
      </c>
      <c r="H1025" s="4">
        <v>0</v>
      </c>
    </row>
    <row r="1026" spans="1:8">
      <c r="A1026" s="1" t="s">
        <v>1111</v>
      </c>
      <c r="B1026" s="1" t="s">
        <v>15</v>
      </c>
      <c r="C1026" s="1" t="s">
        <v>1123</v>
      </c>
      <c r="D1026" s="3">
        <v>4189.49</v>
      </c>
      <c r="E1026" s="3">
        <v>7933266.4500000002</v>
      </c>
      <c r="F1026" s="1" t="s">
        <v>2732</v>
      </c>
      <c r="G1026" s="3">
        <f t="shared" si="38"/>
        <v>4189.49</v>
      </c>
      <c r="H1026" s="4">
        <v>0</v>
      </c>
    </row>
    <row r="1027" spans="1:8">
      <c r="A1027" s="1" t="s">
        <v>1111</v>
      </c>
      <c r="B1027" s="1" t="s">
        <v>15</v>
      </c>
      <c r="C1027" s="1" t="s">
        <v>1124</v>
      </c>
      <c r="D1027" s="3">
        <v>11128.55</v>
      </c>
      <c r="E1027" s="3">
        <v>7944395</v>
      </c>
      <c r="F1027" s="1" t="s">
        <v>2732</v>
      </c>
      <c r="G1027" s="3">
        <f t="shared" si="38"/>
        <v>11128.55</v>
      </c>
      <c r="H1027" s="4">
        <v>0</v>
      </c>
    </row>
    <row r="1028" spans="1:8">
      <c r="A1028" s="1" t="s">
        <v>1111</v>
      </c>
      <c r="B1028" s="1" t="s">
        <v>1125</v>
      </c>
      <c r="C1028" s="1" t="s">
        <v>1126</v>
      </c>
      <c r="D1028" s="3">
        <v>1688.77</v>
      </c>
      <c r="E1028" s="3">
        <v>7946083.7699999996</v>
      </c>
      <c r="F1028" s="2" t="s">
        <v>2732</v>
      </c>
      <c r="G1028" s="3">
        <f t="shared" si="38"/>
        <v>1688.77</v>
      </c>
      <c r="H1028" s="4">
        <v>0</v>
      </c>
    </row>
    <row r="1029" spans="1:8">
      <c r="A1029" s="1" t="s">
        <v>1111</v>
      </c>
      <c r="B1029" s="1" t="s">
        <v>15</v>
      </c>
      <c r="C1029" s="1" t="s">
        <v>1127</v>
      </c>
      <c r="D1029" s="3">
        <v>9158.42</v>
      </c>
      <c r="E1029" s="3">
        <v>7955242.1900000004</v>
      </c>
      <c r="F1029" s="1" t="s">
        <v>2732</v>
      </c>
      <c r="G1029" s="3">
        <f t="shared" si="38"/>
        <v>9158.42</v>
      </c>
      <c r="H1029" s="4">
        <v>0</v>
      </c>
    </row>
    <row r="1030" spans="1:8">
      <c r="A1030" s="1" t="s">
        <v>1111</v>
      </c>
      <c r="B1030" s="1" t="s">
        <v>15</v>
      </c>
      <c r="C1030" s="1" t="s">
        <v>1128</v>
      </c>
      <c r="D1030" s="3">
        <v>224700.84</v>
      </c>
      <c r="E1030" s="3">
        <v>8179943.0300000003</v>
      </c>
      <c r="F1030" s="1" t="s">
        <v>2732</v>
      </c>
      <c r="G1030" s="3">
        <f t="shared" si="38"/>
        <v>224700.84</v>
      </c>
      <c r="H1030" s="4">
        <v>0</v>
      </c>
    </row>
    <row r="1031" spans="1:8">
      <c r="A1031" s="1" t="s">
        <v>1111</v>
      </c>
      <c r="B1031" s="1" t="s">
        <v>15</v>
      </c>
      <c r="C1031" s="1" t="s">
        <v>1129</v>
      </c>
      <c r="D1031" s="3">
        <v>41700.04</v>
      </c>
      <c r="E1031" s="3">
        <v>8221643.0700000003</v>
      </c>
      <c r="F1031" s="1" t="s">
        <v>2732</v>
      </c>
      <c r="G1031" s="3">
        <f t="shared" si="38"/>
        <v>41700.04</v>
      </c>
      <c r="H1031" s="4">
        <v>0</v>
      </c>
    </row>
    <row r="1032" spans="1:8">
      <c r="A1032" s="1" t="s">
        <v>1111</v>
      </c>
      <c r="B1032" s="1" t="s">
        <v>15</v>
      </c>
      <c r="C1032" s="1" t="s">
        <v>1130</v>
      </c>
      <c r="D1032" s="3">
        <v>62728.08</v>
      </c>
      <c r="E1032" s="3">
        <v>8284371.1500000004</v>
      </c>
      <c r="F1032" s="1" t="s">
        <v>2732</v>
      </c>
      <c r="G1032" s="3">
        <f t="shared" si="38"/>
        <v>62728.08</v>
      </c>
      <c r="H1032" s="4">
        <v>0</v>
      </c>
    </row>
    <row r="1033" spans="1:8">
      <c r="A1033" s="1" t="s">
        <v>1111</v>
      </c>
      <c r="B1033" s="1" t="s">
        <v>15</v>
      </c>
      <c r="C1033" s="1" t="s">
        <v>1131</v>
      </c>
      <c r="D1033" s="3">
        <v>43363.32</v>
      </c>
      <c r="E1033" s="3">
        <v>8327734.4699999997</v>
      </c>
      <c r="F1033" s="1" t="s">
        <v>2732</v>
      </c>
      <c r="G1033" s="3">
        <f t="shared" si="38"/>
        <v>43363.32</v>
      </c>
      <c r="H1033" s="4">
        <v>0</v>
      </c>
    </row>
    <row r="1034" spans="1:8">
      <c r="A1034" s="1" t="s">
        <v>1111</v>
      </c>
      <c r="B1034" s="1" t="s">
        <v>15</v>
      </c>
      <c r="C1034" s="1" t="s">
        <v>1132</v>
      </c>
      <c r="D1034" s="3">
        <v>9743</v>
      </c>
      <c r="E1034" s="3">
        <v>8337477.4699999997</v>
      </c>
      <c r="F1034" s="1" t="s">
        <v>2732</v>
      </c>
      <c r="G1034" s="3">
        <f t="shared" si="38"/>
        <v>9743</v>
      </c>
      <c r="H1034" s="4">
        <v>0</v>
      </c>
    </row>
    <row r="1035" spans="1:8">
      <c r="A1035" s="1" t="s">
        <v>1111</v>
      </c>
      <c r="B1035" s="1" t="s">
        <v>15</v>
      </c>
      <c r="C1035" s="1" t="s">
        <v>1133</v>
      </c>
      <c r="D1035" s="3">
        <v>49981.59</v>
      </c>
      <c r="E1035" s="3">
        <v>8387459.0599999996</v>
      </c>
      <c r="F1035" s="1" t="s">
        <v>2732</v>
      </c>
      <c r="G1035" s="3">
        <f t="shared" si="38"/>
        <v>49981.59</v>
      </c>
      <c r="H1035" s="4">
        <v>0</v>
      </c>
    </row>
    <row r="1036" spans="1:8">
      <c r="A1036" s="1" t="s">
        <v>1111</v>
      </c>
      <c r="B1036" s="1" t="s">
        <v>15</v>
      </c>
      <c r="C1036" s="1" t="s">
        <v>1134</v>
      </c>
      <c r="D1036" s="3">
        <v>12665.9</v>
      </c>
      <c r="E1036" s="3">
        <v>8400124.9600000009</v>
      </c>
      <c r="F1036" s="1" t="s">
        <v>2732</v>
      </c>
      <c r="G1036" s="3">
        <f t="shared" si="38"/>
        <v>12665.9</v>
      </c>
      <c r="H1036" s="4">
        <v>0</v>
      </c>
    </row>
    <row r="1037" spans="1:8">
      <c r="A1037" s="1" t="s">
        <v>1111</v>
      </c>
      <c r="B1037" s="1" t="s">
        <v>15</v>
      </c>
      <c r="C1037" s="1" t="s">
        <v>1135</v>
      </c>
      <c r="D1037" s="3">
        <v>8502.2999999999993</v>
      </c>
      <c r="E1037" s="3">
        <v>8408627.2599999998</v>
      </c>
      <c r="F1037" s="1" t="s">
        <v>2732</v>
      </c>
      <c r="G1037" s="3">
        <f t="shared" si="38"/>
        <v>8502.2999999999993</v>
      </c>
      <c r="H1037" s="4">
        <v>0</v>
      </c>
    </row>
    <row r="1038" spans="1:8">
      <c r="A1038" s="1" t="s">
        <v>1111</v>
      </c>
      <c r="B1038" s="1" t="s">
        <v>15</v>
      </c>
      <c r="C1038" s="1" t="s">
        <v>1136</v>
      </c>
      <c r="D1038" s="3">
        <v>65960.11</v>
      </c>
      <c r="E1038" s="3">
        <v>8474587.3699999992</v>
      </c>
      <c r="F1038" s="1" t="s">
        <v>2732</v>
      </c>
      <c r="G1038" s="3">
        <f t="shared" si="38"/>
        <v>65960.11</v>
      </c>
      <c r="H1038" s="4">
        <v>0</v>
      </c>
    </row>
    <row r="1039" spans="1:8">
      <c r="A1039" s="1" t="s">
        <v>1111</v>
      </c>
      <c r="B1039" s="1" t="s">
        <v>15</v>
      </c>
      <c r="C1039" s="1" t="s">
        <v>1137</v>
      </c>
      <c r="D1039" s="3">
        <v>44038.36</v>
      </c>
      <c r="E1039" s="3">
        <v>8518625.7300000004</v>
      </c>
      <c r="F1039" s="1" t="s">
        <v>2732</v>
      </c>
      <c r="G1039" s="3">
        <f t="shared" si="38"/>
        <v>44038.36</v>
      </c>
      <c r="H1039" s="4">
        <v>0</v>
      </c>
    </row>
    <row r="1040" spans="1:8">
      <c r="A1040" s="1" t="s">
        <v>1111</v>
      </c>
      <c r="B1040" s="1" t="s">
        <v>15</v>
      </c>
      <c r="C1040" s="1" t="s">
        <v>1138</v>
      </c>
      <c r="D1040" s="3">
        <v>22389.39</v>
      </c>
      <c r="E1040" s="3">
        <v>8541015.1199999992</v>
      </c>
      <c r="F1040" s="1" t="s">
        <v>2732</v>
      </c>
      <c r="G1040" s="3">
        <f t="shared" si="38"/>
        <v>22389.39</v>
      </c>
      <c r="H1040" s="4">
        <v>0</v>
      </c>
    </row>
    <row r="1041" spans="1:8">
      <c r="A1041" s="1" t="s">
        <v>1111</v>
      </c>
      <c r="B1041" s="1" t="s">
        <v>15</v>
      </c>
      <c r="C1041" s="1" t="s">
        <v>1139</v>
      </c>
      <c r="D1041" s="3">
        <v>11903.22</v>
      </c>
      <c r="E1041" s="3">
        <v>8552918.3399999999</v>
      </c>
      <c r="F1041" s="1" t="s">
        <v>2732</v>
      </c>
      <c r="G1041" s="3">
        <f t="shared" si="38"/>
        <v>11903.22</v>
      </c>
      <c r="H1041" s="4">
        <v>0</v>
      </c>
    </row>
    <row r="1042" spans="1:8">
      <c r="A1042" s="1" t="s">
        <v>1111</v>
      </c>
      <c r="B1042" s="1" t="s">
        <v>15</v>
      </c>
      <c r="C1042" s="1" t="s">
        <v>1140</v>
      </c>
      <c r="D1042" s="3">
        <v>5163.79</v>
      </c>
      <c r="E1042" s="3">
        <v>8558082.1300000008</v>
      </c>
      <c r="F1042" s="1" t="s">
        <v>2732</v>
      </c>
      <c r="G1042" s="3">
        <f t="shared" si="38"/>
        <v>5163.79</v>
      </c>
      <c r="H1042" s="4">
        <v>0</v>
      </c>
    </row>
    <row r="1043" spans="1:8">
      <c r="A1043" s="1" t="s">
        <v>1111</v>
      </c>
      <c r="B1043" s="1" t="s">
        <v>15</v>
      </c>
      <c r="C1043" s="1" t="s">
        <v>1141</v>
      </c>
      <c r="D1043" s="3">
        <v>4189.49</v>
      </c>
      <c r="E1043" s="3">
        <v>8562271.6199999992</v>
      </c>
      <c r="F1043" s="1" t="s">
        <v>2732</v>
      </c>
      <c r="G1043" s="3">
        <f t="shared" si="38"/>
        <v>4189.49</v>
      </c>
      <c r="H1043" s="4">
        <v>0</v>
      </c>
    </row>
    <row r="1044" spans="1:8">
      <c r="A1044" s="1" t="s">
        <v>1111</v>
      </c>
      <c r="B1044" s="1" t="s">
        <v>15</v>
      </c>
      <c r="C1044" s="1" t="s">
        <v>1142</v>
      </c>
      <c r="D1044" s="3">
        <v>7368.66</v>
      </c>
      <c r="E1044" s="3">
        <v>8569640.2799999993</v>
      </c>
      <c r="F1044" s="1" t="s">
        <v>2732</v>
      </c>
      <c r="G1044" s="3">
        <f t="shared" si="38"/>
        <v>7368.66</v>
      </c>
      <c r="H1044" s="4">
        <v>0</v>
      </c>
    </row>
    <row r="1045" spans="1:8">
      <c r="A1045" s="1" t="s">
        <v>1111</v>
      </c>
      <c r="B1045" s="1" t="s">
        <v>15</v>
      </c>
      <c r="C1045" s="1" t="s">
        <v>1143</v>
      </c>
      <c r="D1045" s="3">
        <v>3903.97</v>
      </c>
      <c r="E1045" s="3">
        <v>8573544.25</v>
      </c>
      <c r="F1045" s="1" t="s">
        <v>2732</v>
      </c>
      <c r="G1045" s="3">
        <f t="shared" si="38"/>
        <v>3903.97</v>
      </c>
      <c r="H1045" s="4">
        <v>0</v>
      </c>
    </row>
    <row r="1046" spans="1:8">
      <c r="A1046" s="1" t="s">
        <v>1111</v>
      </c>
      <c r="B1046" s="1" t="s">
        <v>15</v>
      </c>
      <c r="C1046" s="1" t="s">
        <v>1144</v>
      </c>
      <c r="D1046" s="3">
        <v>7508.8</v>
      </c>
      <c r="E1046" s="3">
        <v>8581053.0500000007</v>
      </c>
      <c r="F1046" s="1" t="s">
        <v>2732</v>
      </c>
      <c r="G1046" s="3">
        <f t="shared" si="38"/>
        <v>7508.8</v>
      </c>
      <c r="H1046" s="4">
        <v>0</v>
      </c>
    </row>
    <row r="1047" spans="1:8">
      <c r="A1047" s="1" t="s">
        <v>1111</v>
      </c>
      <c r="B1047" s="1" t="s">
        <v>15</v>
      </c>
      <c r="C1047" s="1" t="s">
        <v>1145</v>
      </c>
      <c r="D1047" s="3">
        <v>3799.77</v>
      </c>
      <c r="E1047" s="3">
        <v>8584852.8200000003</v>
      </c>
      <c r="F1047" s="1" t="s">
        <v>2732</v>
      </c>
      <c r="G1047" s="3">
        <f t="shared" si="38"/>
        <v>3799.77</v>
      </c>
      <c r="H1047" s="4">
        <v>0</v>
      </c>
    </row>
    <row r="1048" spans="1:8">
      <c r="A1048" s="1" t="s">
        <v>1111</v>
      </c>
      <c r="B1048" s="1" t="s">
        <v>15</v>
      </c>
      <c r="C1048" s="1" t="s">
        <v>1146</v>
      </c>
      <c r="D1048" s="3">
        <v>18095.990000000002</v>
      </c>
      <c r="E1048" s="3">
        <v>8602948.8100000005</v>
      </c>
      <c r="F1048" s="1" t="s">
        <v>2732</v>
      </c>
      <c r="G1048" s="3">
        <f t="shared" ref="G1048:G1079" si="39">+D1048</f>
        <v>18095.990000000002</v>
      </c>
      <c r="H1048" s="4">
        <v>0</v>
      </c>
    </row>
    <row r="1049" spans="1:8">
      <c r="A1049" s="1" t="s">
        <v>1111</v>
      </c>
      <c r="B1049" s="1" t="s">
        <v>15</v>
      </c>
      <c r="C1049" s="1" t="s">
        <v>1147</v>
      </c>
      <c r="D1049" s="3">
        <v>7368.66</v>
      </c>
      <c r="E1049" s="3">
        <v>8610317.4700000007</v>
      </c>
      <c r="F1049" s="1" t="s">
        <v>2732</v>
      </c>
      <c r="G1049" s="3">
        <f t="shared" si="39"/>
        <v>7368.66</v>
      </c>
      <c r="H1049" s="4">
        <v>0</v>
      </c>
    </row>
    <row r="1050" spans="1:8">
      <c r="A1050" s="1" t="s">
        <v>1111</v>
      </c>
      <c r="B1050" s="1" t="s">
        <v>15</v>
      </c>
      <c r="C1050" s="1" t="s">
        <v>1148</v>
      </c>
      <c r="D1050" s="3">
        <v>55548.36</v>
      </c>
      <c r="E1050" s="3">
        <v>8665865.8300000001</v>
      </c>
      <c r="F1050" s="1" t="s">
        <v>2732</v>
      </c>
      <c r="G1050" s="3">
        <f t="shared" si="39"/>
        <v>55548.36</v>
      </c>
      <c r="H1050" s="4">
        <v>0</v>
      </c>
    </row>
    <row r="1051" spans="1:8">
      <c r="A1051" s="1" t="s">
        <v>1111</v>
      </c>
      <c r="B1051" s="1" t="s">
        <v>15</v>
      </c>
      <c r="C1051" s="1" t="s">
        <v>1149</v>
      </c>
      <c r="D1051" s="3">
        <v>17537.400000000001</v>
      </c>
      <c r="E1051" s="3">
        <v>8683403.2300000004</v>
      </c>
      <c r="F1051" s="1" t="s">
        <v>2732</v>
      </c>
      <c r="G1051" s="3">
        <f t="shared" si="39"/>
        <v>17537.400000000001</v>
      </c>
      <c r="H1051" s="4">
        <v>0</v>
      </c>
    </row>
    <row r="1052" spans="1:8">
      <c r="A1052" s="1" t="s">
        <v>1111</v>
      </c>
      <c r="B1052" s="1" t="s">
        <v>15</v>
      </c>
      <c r="C1052" s="1" t="s">
        <v>1150</v>
      </c>
      <c r="D1052" s="3">
        <v>26598.39</v>
      </c>
      <c r="E1052" s="3">
        <v>8710001.6199999992</v>
      </c>
      <c r="F1052" s="1" t="s">
        <v>2732</v>
      </c>
      <c r="G1052" s="3">
        <f t="shared" si="39"/>
        <v>26598.39</v>
      </c>
      <c r="H1052" s="4">
        <v>0</v>
      </c>
    </row>
    <row r="1053" spans="1:8">
      <c r="A1053" s="1" t="s">
        <v>1111</v>
      </c>
      <c r="B1053" s="1" t="s">
        <v>1151</v>
      </c>
      <c r="C1053" s="1" t="s">
        <v>1152</v>
      </c>
      <c r="D1053" s="3">
        <v>1336.33</v>
      </c>
      <c r="E1053" s="3">
        <v>8711337.9499999993</v>
      </c>
      <c r="F1053" s="2" t="s">
        <v>2732</v>
      </c>
      <c r="G1053" s="3">
        <f t="shared" si="39"/>
        <v>1336.33</v>
      </c>
      <c r="H1053" s="4">
        <v>0</v>
      </c>
    </row>
    <row r="1054" spans="1:8">
      <c r="A1054" s="1" t="s">
        <v>1111</v>
      </c>
      <c r="B1054" s="1" t="s">
        <v>15</v>
      </c>
      <c r="C1054" s="1" t="s">
        <v>1153</v>
      </c>
      <c r="D1054" s="3">
        <v>12763.33</v>
      </c>
      <c r="E1054" s="3">
        <v>8724101.2799999993</v>
      </c>
      <c r="F1054" s="1" t="s">
        <v>2732</v>
      </c>
      <c r="G1054" s="3">
        <f t="shared" si="39"/>
        <v>12763.33</v>
      </c>
      <c r="H1054" s="4">
        <v>0</v>
      </c>
    </row>
    <row r="1055" spans="1:8">
      <c r="A1055" s="1" t="s">
        <v>1111</v>
      </c>
      <c r="B1055" s="1" t="s">
        <v>1154</v>
      </c>
      <c r="C1055" s="1" t="s">
        <v>1155</v>
      </c>
      <c r="D1055" s="2">
        <v>641.24</v>
      </c>
      <c r="E1055" s="3">
        <v>8724742.5199999996</v>
      </c>
      <c r="F1055" s="2" t="s">
        <v>2732</v>
      </c>
      <c r="G1055" s="3">
        <f t="shared" si="39"/>
        <v>641.24</v>
      </c>
      <c r="H1055" s="4">
        <v>0</v>
      </c>
    </row>
    <row r="1056" spans="1:8">
      <c r="A1056" s="1" t="s">
        <v>1111</v>
      </c>
      <c r="B1056" s="1" t="s">
        <v>15</v>
      </c>
      <c r="C1056" s="1" t="s">
        <v>1156</v>
      </c>
      <c r="D1056" s="3">
        <v>27377.83</v>
      </c>
      <c r="E1056" s="3">
        <v>8752120.3499999996</v>
      </c>
      <c r="F1056" s="1" t="s">
        <v>2732</v>
      </c>
      <c r="G1056" s="3">
        <f t="shared" si="39"/>
        <v>27377.83</v>
      </c>
      <c r="H1056" s="4">
        <v>0</v>
      </c>
    </row>
    <row r="1057" spans="1:8">
      <c r="A1057" s="1" t="s">
        <v>1111</v>
      </c>
      <c r="B1057" s="1" t="s">
        <v>15</v>
      </c>
      <c r="C1057" s="1" t="s">
        <v>1157</v>
      </c>
      <c r="D1057" s="3">
        <v>34292.61</v>
      </c>
      <c r="E1057" s="3">
        <v>8786412.9600000009</v>
      </c>
      <c r="F1057" s="1" t="s">
        <v>2732</v>
      </c>
      <c r="G1057" s="3">
        <f t="shared" si="39"/>
        <v>34292.61</v>
      </c>
      <c r="H1057" s="4">
        <v>0</v>
      </c>
    </row>
    <row r="1058" spans="1:8">
      <c r="A1058" s="1" t="s">
        <v>1111</v>
      </c>
      <c r="B1058" s="1" t="s">
        <v>15</v>
      </c>
      <c r="C1058" s="1" t="s">
        <v>1158</v>
      </c>
      <c r="D1058" s="3">
        <v>8378.98</v>
      </c>
      <c r="E1058" s="3">
        <v>8794791.9399999995</v>
      </c>
      <c r="F1058" s="1" t="s">
        <v>2732</v>
      </c>
      <c r="G1058" s="3">
        <f t="shared" si="39"/>
        <v>8378.98</v>
      </c>
      <c r="H1058" s="4">
        <v>0</v>
      </c>
    </row>
    <row r="1059" spans="1:8">
      <c r="A1059" s="1" t="s">
        <v>1111</v>
      </c>
      <c r="B1059" s="1" t="s">
        <v>15</v>
      </c>
      <c r="C1059" s="1" t="s">
        <v>1159</v>
      </c>
      <c r="D1059" s="3">
        <v>20700.12</v>
      </c>
      <c r="E1059" s="3">
        <v>8815492.0600000005</v>
      </c>
      <c r="F1059" s="1" t="s">
        <v>2732</v>
      </c>
      <c r="G1059" s="3">
        <f t="shared" si="39"/>
        <v>20700.12</v>
      </c>
      <c r="H1059" s="4">
        <v>0</v>
      </c>
    </row>
    <row r="1060" spans="1:8">
      <c r="A1060" s="1" t="s">
        <v>1111</v>
      </c>
      <c r="B1060" s="1" t="s">
        <v>15</v>
      </c>
      <c r="C1060" s="1" t="s">
        <v>1160</v>
      </c>
      <c r="D1060" s="3">
        <v>23334.09</v>
      </c>
      <c r="E1060" s="3">
        <v>8838826.1500000004</v>
      </c>
      <c r="F1060" s="1" t="s">
        <v>2732</v>
      </c>
      <c r="G1060" s="3">
        <f t="shared" si="39"/>
        <v>23334.09</v>
      </c>
      <c r="H1060" s="4">
        <v>0</v>
      </c>
    </row>
    <row r="1061" spans="1:8">
      <c r="A1061" s="1" t="s">
        <v>1111</v>
      </c>
      <c r="B1061" s="1" t="s">
        <v>15</v>
      </c>
      <c r="C1061" s="1" t="s">
        <v>1161</v>
      </c>
      <c r="D1061" s="3">
        <v>30142.28</v>
      </c>
      <c r="E1061" s="3">
        <v>8868968.4299999997</v>
      </c>
      <c r="F1061" s="1" t="s">
        <v>2732</v>
      </c>
      <c r="G1061" s="3">
        <f t="shared" si="39"/>
        <v>30142.28</v>
      </c>
      <c r="H1061" s="4">
        <v>0</v>
      </c>
    </row>
    <row r="1062" spans="1:8">
      <c r="A1062" s="1" t="s">
        <v>1111</v>
      </c>
      <c r="B1062" s="1" t="s">
        <v>15</v>
      </c>
      <c r="C1062" s="1" t="s">
        <v>1162</v>
      </c>
      <c r="D1062" s="3">
        <v>32875.56</v>
      </c>
      <c r="E1062" s="3">
        <v>8901843.9900000002</v>
      </c>
      <c r="F1062" s="1" t="s">
        <v>2732</v>
      </c>
      <c r="G1062" s="3">
        <f t="shared" si="39"/>
        <v>32875.56</v>
      </c>
      <c r="H1062" s="4">
        <v>0</v>
      </c>
    </row>
    <row r="1063" spans="1:8">
      <c r="A1063" s="1" t="s">
        <v>1111</v>
      </c>
      <c r="B1063" s="1" t="s">
        <v>15</v>
      </c>
      <c r="C1063" s="1" t="s">
        <v>1163</v>
      </c>
      <c r="D1063" s="3">
        <v>71419.320000000007</v>
      </c>
      <c r="E1063" s="3">
        <v>8973263.3100000005</v>
      </c>
      <c r="F1063" s="1" t="s">
        <v>2732</v>
      </c>
      <c r="G1063" s="3">
        <f t="shared" si="39"/>
        <v>71419.320000000007</v>
      </c>
      <c r="H1063" s="4">
        <v>0</v>
      </c>
    </row>
    <row r="1064" spans="1:8">
      <c r="A1064" s="1" t="s">
        <v>1111</v>
      </c>
      <c r="B1064" s="1" t="s">
        <v>15</v>
      </c>
      <c r="C1064" s="1" t="s">
        <v>1164</v>
      </c>
      <c r="D1064" s="3">
        <v>10257.620000000001</v>
      </c>
      <c r="E1064" s="3">
        <v>8983520.9299999997</v>
      </c>
      <c r="F1064" s="1" t="s">
        <v>2732</v>
      </c>
      <c r="G1064" s="3">
        <f t="shared" si="39"/>
        <v>10257.620000000001</v>
      </c>
      <c r="H1064" s="4">
        <v>0</v>
      </c>
    </row>
    <row r="1065" spans="1:8">
      <c r="A1065" s="1" t="s">
        <v>1111</v>
      </c>
      <c r="B1065" s="1" t="s">
        <v>15</v>
      </c>
      <c r="C1065" s="1" t="s">
        <v>1165</v>
      </c>
      <c r="D1065" s="3">
        <v>50955.89</v>
      </c>
      <c r="E1065" s="3">
        <v>9034476.8200000003</v>
      </c>
      <c r="F1065" s="1" t="s">
        <v>2732</v>
      </c>
      <c r="G1065" s="3">
        <f t="shared" si="39"/>
        <v>50955.89</v>
      </c>
      <c r="H1065" s="4">
        <v>0</v>
      </c>
    </row>
    <row r="1066" spans="1:8">
      <c r="A1066" s="1" t="s">
        <v>1111</v>
      </c>
      <c r="B1066" s="1" t="s">
        <v>15</v>
      </c>
      <c r="C1066" s="1" t="s">
        <v>1166</v>
      </c>
      <c r="D1066" s="3">
        <v>25317.96</v>
      </c>
      <c r="E1066" s="3">
        <v>9059794.7799999993</v>
      </c>
      <c r="F1066" s="1" t="s">
        <v>2732</v>
      </c>
      <c r="G1066" s="3">
        <f t="shared" si="39"/>
        <v>25317.96</v>
      </c>
      <c r="H1066" s="4">
        <v>0</v>
      </c>
    </row>
    <row r="1067" spans="1:8">
      <c r="A1067" s="1" t="s">
        <v>1111</v>
      </c>
      <c r="B1067" s="1" t="s">
        <v>15</v>
      </c>
      <c r="C1067" s="1" t="s">
        <v>1167</v>
      </c>
      <c r="D1067" s="3">
        <v>10619.87</v>
      </c>
      <c r="E1067" s="3">
        <v>9070414.6500000004</v>
      </c>
      <c r="F1067" s="1" t="s">
        <v>2732</v>
      </c>
      <c r="G1067" s="3">
        <f t="shared" si="39"/>
        <v>10619.87</v>
      </c>
      <c r="H1067" s="4">
        <v>0</v>
      </c>
    </row>
    <row r="1068" spans="1:8">
      <c r="A1068" s="1" t="s">
        <v>1111</v>
      </c>
      <c r="B1068" s="1" t="s">
        <v>15</v>
      </c>
      <c r="C1068" s="1" t="s">
        <v>1168</v>
      </c>
      <c r="D1068" s="3">
        <v>8378.98</v>
      </c>
      <c r="E1068" s="3">
        <v>9078793.6300000008</v>
      </c>
      <c r="F1068" s="1" t="s">
        <v>2732</v>
      </c>
      <c r="G1068" s="3">
        <f t="shared" si="39"/>
        <v>8378.98</v>
      </c>
      <c r="H1068" s="4">
        <v>0</v>
      </c>
    </row>
    <row r="1069" spans="1:8">
      <c r="A1069" s="1" t="s">
        <v>1111</v>
      </c>
      <c r="B1069" s="1" t="s">
        <v>15</v>
      </c>
      <c r="C1069" s="1" t="s">
        <v>1169</v>
      </c>
      <c r="D1069" s="3">
        <v>37218.26</v>
      </c>
      <c r="E1069" s="3">
        <v>9116011.8900000006</v>
      </c>
      <c r="F1069" s="1" t="s">
        <v>2732</v>
      </c>
      <c r="G1069" s="3">
        <f t="shared" si="39"/>
        <v>37218.26</v>
      </c>
      <c r="H1069" s="4">
        <v>0</v>
      </c>
    </row>
    <row r="1070" spans="1:8">
      <c r="A1070" s="1" t="s">
        <v>1111</v>
      </c>
      <c r="B1070" s="1" t="s">
        <v>1170</v>
      </c>
      <c r="C1070" s="1" t="s">
        <v>1171</v>
      </c>
      <c r="D1070" s="3">
        <v>1869.89</v>
      </c>
      <c r="E1070" s="3">
        <v>9117881.7799999993</v>
      </c>
      <c r="F1070" s="2" t="s">
        <v>2732</v>
      </c>
      <c r="G1070" s="3">
        <f t="shared" si="39"/>
        <v>1869.89</v>
      </c>
      <c r="H1070" s="4">
        <v>0</v>
      </c>
    </row>
    <row r="1071" spans="1:8">
      <c r="A1071" s="1" t="s">
        <v>1111</v>
      </c>
      <c r="B1071" s="1" t="s">
        <v>15</v>
      </c>
      <c r="C1071" s="1" t="s">
        <v>1172</v>
      </c>
      <c r="D1071" s="3">
        <v>40336.019999999997</v>
      </c>
      <c r="E1071" s="3">
        <v>9158217.8000000007</v>
      </c>
      <c r="F1071" s="1" t="s">
        <v>2732</v>
      </c>
      <c r="G1071" s="3">
        <f t="shared" si="39"/>
        <v>40336.019999999997</v>
      </c>
      <c r="H1071" s="4">
        <v>0</v>
      </c>
    </row>
    <row r="1072" spans="1:8">
      <c r="A1072" s="1" t="s">
        <v>1111</v>
      </c>
      <c r="B1072" s="1" t="s">
        <v>15</v>
      </c>
      <c r="C1072" s="1" t="s">
        <v>1173</v>
      </c>
      <c r="D1072" s="3">
        <v>70831.61</v>
      </c>
      <c r="E1072" s="3">
        <v>9229049.4100000001</v>
      </c>
      <c r="F1072" s="1" t="s">
        <v>2732</v>
      </c>
      <c r="G1072" s="3">
        <f t="shared" si="39"/>
        <v>70831.61</v>
      </c>
      <c r="H1072" s="4">
        <v>0</v>
      </c>
    </row>
    <row r="1073" spans="1:8">
      <c r="A1073" s="1" t="s">
        <v>1111</v>
      </c>
      <c r="B1073" s="1" t="s">
        <v>15</v>
      </c>
      <c r="C1073" s="1" t="s">
        <v>1174</v>
      </c>
      <c r="D1073" s="3">
        <v>39751.440000000002</v>
      </c>
      <c r="E1073" s="3">
        <v>9268800.8499999996</v>
      </c>
      <c r="F1073" s="1" t="s">
        <v>2732</v>
      </c>
      <c r="G1073" s="3">
        <f t="shared" si="39"/>
        <v>39751.440000000002</v>
      </c>
      <c r="H1073" s="4">
        <v>0</v>
      </c>
    </row>
    <row r="1074" spans="1:8">
      <c r="A1074" s="1" t="s">
        <v>1111</v>
      </c>
      <c r="B1074" s="1" t="s">
        <v>15</v>
      </c>
      <c r="C1074" s="1" t="s">
        <v>1175</v>
      </c>
      <c r="D1074" s="3">
        <v>27585.24</v>
      </c>
      <c r="E1074" s="3">
        <v>9296386.0899999999</v>
      </c>
      <c r="F1074" s="1" t="s">
        <v>2732</v>
      </c>
      <c r="G1074" s="3">
        <f t="shared" si="39"/>
        <v>27585.24</v>
      </c>
      <c r="H1074" s="4">
        <v>0</v>
      </c>
    </row>
    <row r="1075" spans="1:8">
      <c r="A1075" s="1" t="s">
        <v>1111</v>
      </c>
      <c r="B1075" s="1" t="s">
        <v>15</v>
      </c>
      <c r="C1075" s="1" t="s">
        <v>1176</v>
      </c>
      <c r="D1075" s="3">
        <v>20405.52</v>
      </c>
      <c r="E1075" s="3">
        <v>9316791.6099999994</v>
      </c>
      <c r="F1075" s="1" t="s">
        <v>2732</v>
      </c>
      <c r="G1075" s="3">
        <f t="shared" si="39"/>
        <v>20405.52</v>
      </c>
      <c r="H1075" s="4">
        <v>0</v>
      </c>
    </row>
    <row r="1076" spans="1:8">
      <c r="A1076" s="1" t="s">
        <v>1111</v>
      </c>
      <c r="B1076" s="1" t="s">
        <v>15</v>
      </c>
      <c r="C1076" s="1" t="s">
        <v>1177</v>
      </c>
      <c r="D1076" s="3">
        <v>32541.62</v>
      </c>
      <c r="E1076" s="3">
        <v>9349333.2300000004</v>
      </c>
      <c r="F1076" s="1" t="s">
        <v>2732</v>
      </c>
      <c r="G1076" s="3">
        <f t="shared" si="39"/>
        <v>32541.62</v>
      </c>
      <c r="H1076" s="4">
        <v>0</v>
      </c>
    </row>
    <row r="1077" spans="1:8">
      <c r="A1077" s="1" t="s">
        <v>1111</v>
      </c>
      <c r="B1077" s="1" t="s">
        <v>15</v>
      </c>
      <c r="C1077" s="1" t="s">
        <v>1178</v>
      </c>
      <c r="D1077" s="3">
        <v>30230.400000000001</v>
      </c>
      <c r="E1077" s="3">
        <v>9379563.6300000008</v>
      </c>
      <c r="F1077" s="1" t="s">
        <v>2732</v>
      </c>
      <c r="G1077" s="3">
        <f t="shared" si="39"/>
        <v>30230.400000000001</v>
      </c>
      <c r="H1077" s="4">
        <v>0</v>
      </c>
    </row>
    <row r="1078" spans="1:8">
      <c r="A1078" s="1" t="s">
        <v>1111</v>
      </c>
      <c r="B1078" s="1" t="s">
        <v>15</v>
      </c>
      <c r="C1078" s="1" t="s">
        <v>1179</v>
      </c>
      <c r="D1078" s="3">
        <v>7307.25</v>
      </c>
      <c r="E1078" s="3">
        <v>9386870.8800000008</v>
      </c>
      <c r="F1078" s="1" t="s">
        <v>2732</v>
      </c>
      <c r="G1078" s="3">
        <f t="shared" si="39"/>
        <v>7307.25</v>
      </c>
      <c r="H1078" s="4">
        <v>0</v>
      </c>
    </row>
    <row r="1079" spans="1:8">
      <c r="A1079" s="1" t="s">
        <v>1111</v>
      </c>
      <c r="B1079" s="1" t="s">
        <v>1180</v>
      </c>
      <c r="C1079" s="1" t="s">
        <v>1181</v>
      </c>
      <c r="D1079" s="2">
        <v>734.25</v>
      </c>
      <c r="E1079" s="3">
        <v>9387605.1300000008</v>
      </c>
      <c r="F1079" s="2" t="s">
        <v>2732</v>
      </c>
      <c r="G1079" s="3">
        <f t="shared" si="39"/>
        <v>734.25</v>
      </c>
      <c r="H1079" s="4">
        <v>0</v>
      </c>
    </row>
    <row r="1080" spans="1:8">
      <c r="A1080" s="1" t="s">
        <v>1111</v>
      </c>
      <c r="B1080" s="1" t="s">
        <v>15</v>
      </c>
      <c r="C1080" s="1" t="s">
        <v>1182</v>
      </c>
      <c r="D1080" s="3">
        <v>3799.77</v>
      </c>
      <c r="E1080" s="3">
        <v>9391404.9000000004</v>
      </c>
      <c r="F1080" s="1" t="s">
        <v>2732</v>
      </c>
      <c r="G1080" s="3">
        <f t="shared" ref="G1080:G1111" si="40">+D1080</f>
        <v>3799.77</v>
      </c>
      <c r="H1080" s="4">
        <v>0</v>
      </c>
    </row>
    <row r="1081" spans="1:8">
      <c r="A1081" s="1" t="s">
        <v>1111</v>
      </c>
      <c r="B1081" s="1" t="s">
        <v>15</v>
      </c>
      <c r="C1081" s="1" t="s">
        <v>1183</v>
      </c>
      <c r="D1081" s="3">
        <v>32541.62</v>
      </c>
      <c r="E1081" s="3">
        <v>9423946.5199999996</v>
      </c>
      <c r="F1081" s="1" t="s">
        <v>2732</v>
      </c>
      <c r="G1081" s="3">
        <f t="shared" si="40"/>
        <v>32541.62</v>
      </c>
      <c r="H1081" s="4">
        <v>0</v>
      </c>
    </row>
    <row r="1082" spans="1:8">
      <c r="A1082" s="1" t="s">
        <v>1111</v>
      </c>
      <c r="B1082" s="1" t="s">
        <v>1184</v>
      </c>
      <c r="C1082" s="1" t="s">
        <v>1185</v>
      </c>
      <c r="D1082" s="3">
        <v>1634.93</v>
      </c>
      <c r="E1082" s="3">
        <v>9425581.4499999993</v>
      </c>
      <c r="F1082" s="2" t="s">
        <v>2732</v>
      </c>
      <c r="G1082" s="3">
        <f t="shared" si="40"/>
        <v>1634.93</v>
      </c>
      <c r="H1082" s="4">
        <v>0</v>
      </c>
    </row>
    <row r="1083" spans="1:8">
      <c r="A1083" s="1" t="s">
        <v>1111</v>
      </c>
      <c r="B1083" s="1" t="s">
        <v>15</v>
      </c>
      <c r="C1083" s="1" t="s">
        <v>1186</v>
      </c>
      <c r="D1083" s="3">
        <v>9743</v>
      </c>
      <c r="E1083" s="3">
        <v>9435324.4499999993</v>
      </c>
      <c r="F1083" s="1" t="s">
        <v>2732</v>
      </c>
      <c r="G1083" s="3">
        <f t="shared" si="40"/>
        <v>9743</v>
      </c>
      <c r="H1083" s="4">
        <v>0</v>
      </c>
    </row>
    <row r="1084" spans="1:8">
      <c r="A1084" s="1" t="s">
        <v>1111</v>
      </c>
      <c r="B1084" s="1" t="s">
        <v>15</v>
      </c>
      <c r="C1084" s="1" t="s">
        <v>1187</v>
      </c>
      <c r="D1084" s="3">
        <v>37544</v>
      </c>
      <c r="E1084" s="3">
        <v>9472868.4499999993</v>
      </c>
      <c r="F1084" s="1" t="s">
        <v>2732</v>
      </c>
      <c r="G1084" s="3">
        <f t="shared" si="40"/>
        <v>37544</v>
      </c>
      <c r="H1084" s="4">
        <v>0</v>
      </c>
    </row>
    <row r="1085" spans="1:8">
      <c r="A1085" s="1" t="s">
        <v>1111</v>
      </c>
      <c r="B1085" s="1" t="s">
        <v>15</v>
      </c>
      <c r="C1085" s="1" t="s">
        <v>1188</v>
      </c>
      <c r="D1085" s="3">
        <v>69624.39</v>
      </c>
      <c r="E1085" s="3">
        <v>9542492.8399999999</v>
      </c>
      <c r="F1085" s="1" t="s">
        <v>2732</v>
      </c>
      <c r="G1085" s="3">
        <f t="shared" si="40"/>
        <v>69624.39</v>
      </c>
      <c r="H1085" s="4">
        <v>0</v>
      </c>
    </row>
    <row r="1086" spans="1:8">
      <c r="A1086" s="1" t="s">
        <v>1111</v>
      </c>
      <c r="B1086" s="1" t="s">
        <v>15</v>
      </c>
      <c r="C1086" s="1" t="s">
        <v>1189</v>
      </c>
      <c r="D1086" s="3">
        <v>37221.18</v>
      </c>
      <c r="E1086" s="3">
        <v>9579714.0199999996</v>
      </c>
      <c r="F1086" s="1" t="s">
        <v>2732</v>
      </c>
      <c r="G1086" s="3">
        <f t="shared" si="40"/>
        <v>37221.18</v>
      </c>
      <c r="H1086" s="4">
        <v>0</v>
      </c>
    </row>
    <row r="1087" spans="1:8">
      <c r="A1087" s="1" t="s">
        <v>1111</v>
      </c>
      <c r="B1087" s="1" t="s">
        <v>15</v>
      </c>
      <c r="C1087" s="1" t="s">
        <v>1190</v>
      </c>
      <c r="D1087" s="3">
        <v>35048.370000000003</v>
      </c>
      <c r="E1087" s="3">
        <v>9614762.3900000006</v>
      </c>
      <c r="F1087" s="1" t="s">
        <v>2732</v>
      </c>
      <c r="G1087" s="3">
        <f t="shared" si="40"/>
        <v>35048.370000000003</v>
      </c>
      <c r="H1087" s="4">
        <v>0</v>
      </c>
    </row>
    <row r="1088" spans="1:8">
      <c r="A1088" s="1" t="s">
        <v>1111</v>
      </c>
      <c r="B1088" s="1" t="s">
        <v>15</v>
      </c>
      <c r="C1088" s="1" t="s">
        <v>1191</v>
      </c>
      <c r="D1088" s="3">
        <v>45012.66</v>
      </c>
      <c r="E1088" s="3">
        <v>9659775.0500000007</v>
      </c>
      <c r="F1088" s="1" t="s">
        <v>2732</v>
      </c>
      <c r="G1088" s="3">
        <f t="shared" si="40"/>
        <v>45012.66</v>
      </c>
      <c r="H1088" s="4">
        <v>0</v>
      </c>
    </row>
    <row r="1089" spans="1:8">
      <c r="A1089" s="1" t="s">
        <v>1111</v>
      </c>
      <c r="B1089" s="1" t="s">
        <v>1192</v>
      </c>
      <c r="C1089" s="1" t="s">
        <v>1193</v>
      </c>
      <c r="D1089" s="3">
        <v>2261.4899999999998</v>
      </c>
      <c r="E1089" s="3">
        <v>9662036.5399999991</v>
      </c>
      <c r="F1089" s="2" t="s">
        <v>2732</v>
      </c>
      <c r="G1089" s="3">
        <f t="shared" si="40"/>
        <v>2261.4899999999998</v>
      </c>
      <c r="H1089" s="4">
        <v>0</v>
      </c>
    </row>
    <row r="1090" spans="1:8">
      <c r="A1090" s="1" t="s">
        <v>1111</v>
      </c>
      <c r="B1090" s="1" t="s">
        <v>15</v>
      </c>
      <c r="C1090" s="1" t="s">
        <v>1194</v>
      </c>
      <c r="D1090" s="3">
        <v>8785.7099999999991</v>
      </c>
      <c r="E1090" s="3">
        <v>9670822.25</v>
      </c>
      <c r="F1090" s="1" t="s">
        <v>2732</v>
      </c>
      <c r="G1090" s="3">
        <f t="shared" si="40"/>
        <v>8785.7099999999991</v>
      </c>
      <c r="H1090" s="4">
        <v>0</v>
      </c>
    </row>
    <row r="1091" spans="1:8">
      <c r="A1091" s="1" t="s">
        <v>1111</v>
      </c>
      <c r="B1091" s="1" t="s">
        <v>15</v>
      </c>
      <c r="C1091" s="1" t="s">
        <v>1195</v>
      </c>
      <c r="D1091" s="3">
        <v>50320.4</v>
      </c>
      <c r="E1091" s="3">
        <v>9721142.6500000004</v>
      </c>
      <c r="F1091" s="1" t="s">
        <v>2732</v>
      </c>
      <c r="G1091" s="3">
        <f t="shared" si="40"/>
        <v>50320.4</v>
      </c>
      <c r="H1091" s="4">
        <v>0</v>
      </c>
    </row>
    <row r="1092" spans="1:8">
      <c r="A1092" s="1" t="s">
        <v>1111</v>
      </c>
      <c r="B1092" s="1" t="s">
        <v>15</v>
      </c>
      <c r="C1092" s="1" t="s">
        <v>1196</v>
      </c>
      <c r="D1092" s="3">
        <v>10327.58</v>
      </c>
      <c r="E1092" s="3">
        <v>9731470.2300000004</v>
      </c>
      <c r="F1092" s="1" t="s">
        <v>2732</v>
      </c>
      <c r="G1092" s="3">
        <f t="shared" si="40"/>
        <v>10327.58</v>
      </c>
      <c r="H1092" s="4">
        <v>0</v>
      </c>
    </row>
    <row r="1093" spans="1:8">
      <c r="A1093" s="1" t="s">
        <v>1111</v>
      </c>
      <c r="B1093" s="1" t="s">
        <v>15</v>
      </c>
      <c r="C1093" s="1" t="s">
        <v>1197</v>
      </c>
      <c r="D1093" s="3">
        <v>25999.22</v>
      </c>
      <c r="E1093" s="3">
        <v>9757469.4499999993</v>
      </c>
      <c r="F1093" s="1" t="s">
        <v>2732</v>
      </c>
      <c r="G1093" s="3">
        <f t="shared" si="40"/>
        <v>25999.22</v>
      </c>
      <c r="H1093" s="4">
        <v>0</v>
      </c>
    </row>
    <row r="1094" spans="1:8">
      <c r="A1094" s="1" t="s">
        <v>1198</v>
      </c>
      <c r="B1094" s="1" t="s">
        <v>15</v>
      </c>
      <c r="C1094" s="1" t="s">
        <v>1199</v>
      </c>
      <c r="D1094" s="3">
        <v>21728.1</v>
      </c>
      <c r="E1094" s="3">
        <v>9779197.5500000007</v>
      </c>
      <c r="F1094" s="1" t="s">
        <v>2732</v>
      </c>
      <c r="G1094" s="3">
        <f t="shared" si="40"/>
        <v>21728.1</v>
      </c>
      <c r="H1094" s="4">
        <v>0</v>
      </c>
    </row>
    <row r="1095" spans="1:8">
      <c r="A1095" s="1" t="s">
        <v>1198</v>
      </c>
      <c r="B1095" s="1" t="s">
        <v>15</v>
      </c>
      <c r="C1095" s="1" t="s">
        <v>1200</v>
      </c>
      <c r="D1095" s="3">
        <v>15580.76</v>
      </c>
      <c r="E1095" s="3">
        <v>9794778.3100000005</v>
      </c>
      <c r="F1095" s="1" t="s">
        <v>2732</v>
      </c>
      <c r="G1095" s="3">
        <f t="shared" si="40"/>
        <v>15580.76</v>
      </c>
      <c r="H1095" s="4">
        <v>0</v>
      </c>
    </row>
    <row r="1096" spans="1:8">
      <c r="A1096" s="1" t="s">
        <v>1198</v>
      </c>
      <c r="B1096" s="1" t="s">
        <v>15</v>
      </c>
      <c r="C1096" s="1" t="s">
        <v>1201</v>
      </c>
      <c r="D1096" s="3">
        <v>56704.26</v>
      </c>
      <c r="E1096" s="3">
        <v>9851482.5700000003</v>
      </c>
      <c r="F1096" s="1" t="s">
        <v>2732</v>
      </c>
      <c r="G1096" s="3">
        <f t="shared" si="40"/>
        <v>56704.26</v>
      </c>
      <c r="H1096" s="4">
        <v>0</v>
      </c>
    </row>
    <row r="1097" spans="1:8">
      <c r="A1097" s="1" t="s">
        <v>1198</v>
      </c>
      <c r="B1097" s="1" t="s">
        <v>15</v>
      </c>
      <c r="C1097" s="1" t="s">
        <v>1202</v>
      </c>
      <c r="D1097" s="3">
        <v>17665.89</v>
      </c>
      <c r="E1097" s="3">
        <v>9869148.4600000009</v>
      </c>
      <c r="F1097" s="1" t="s">
        <v>2732</v>
      </c>
      <c r="G1097" s="3">
        <f t="shared" si="40"/>
        <v>17665.89</v>
      </c>
      <c r="H1097" s="4">
        <v>0</v>
      </c>
    </row>
    <row r="1098" spans="1:8">
      <c r="A1098" s="1" t="s">
        <v>1198</v>
      </c>
      <c r="B1098" s="1" t="s">
        <v>15</v>
      </c>
      <c r="C1098" s="1" t="s">
        <v>1203</v>
      </c>
      <c r="D1098" s="3">
        <v>7989.26</v>
      </c>
      <c r="E1098" s="3">
        <v>9877137.7200000007</v>
      </c>
      <c r="F1098" s="1" t="s">
        <v>2732</v>
      </c>
      <c r="G1098" s="3">
        <f t="shared" si="40"/>
        <v>7989.26</v>
      </c>
      <c r="H1098" s="4">
        <v>0</v>
      </c>
    </row>
    <row r="1099" spans="1:8">
      <c r="A1099" s="1" t="s">
        <v>1198</v>
      </c>
      <c r="B1099" s="1" t="s">
        <v>15</v>
      </c>
      <c r="C1099" s="1" t="s">
        <v>1204</v>
      </c>
      <c r="D1099" s="3">
        <v>10793.9</v>
      </c>
      <c r="E1099" s="3">
        <v>9887931.6199999992</v>
      </c>
      <c r="F1099" s="1" t="s">
        <v>2732</v>
      </c>
      <c r="G1099" s="3">
        <f t="shared" si="40"/>
        <v>10793.9</v>
      </c>
      <c r="H1099" s="4">
        <v>0</v>
      </c>
    </row>
    <row r="1100" spans="1:8">
      <c r="A1100" s="1" t="s">
        <v>1198</v>
      </c>
      <c r="B1100" s="1" t="s">
        <v>15</v>
      </c>
      <c r="C1100" s="1" t="s">
        <v>1205</v>
      </c>
      <c r="D1100" s="3">
        <v>52904.49</v>
      </c>
      <c r="E1100" s="3">
        <v>9940836.1099999994</v>
      </c>
      <c r="F1100" s="1" t="s">
        <v>2732</v>
      </c>
      <c r="G1100" s="3">
        <f t="shared" si="40"/>
        <v>52904.49</v>
      </c>
      <c r="H1100" s="4">
        <v>0</v>
      </c>
    </row>
    <row r="1101" spans="1:8">
      <c r="A1101" s="1" t="s">
        <v>1198</v>
      </c>
      <c r="B1101" s="1" t="s">
        <v>15</v>
      </c>
      <c r="C1101" s="1" t="s">
        <v>1206</v>
      </c>
      <c r="D1101" s="3">
        <v>68590.720000000001</v>
      </c>
      <c r="E1101" s="3">
        <v>10009426.83</v>
      </c>
      <c r="F1101" s="1" t="s">
        <v>2732</v>
      </c>
      <c r="G1101" s="3">
        <f t="shared" si="40"/>
        <v>68590.720000000001</v>
      </c>
      <c r="H1101" s="4">
        <v>0</v>
      </c>
    </row>
    <row r="1102" spans="1:8">
      <c r="A1102" s="1" t="s">
        <v>1198</v>
      </c>
      <c r="B1102" s="1" t="s">
        <v>15</v>
      </c>
      <c r="C1102" s="1" t="s">
        <v>1207</v>
      </c>
      <c r="D1102" s="3">
        <v>9743</v>
      </c>
      <c r="E1102" s="3">
        <v>10019169.83</v>
      </c>
      <c r="F1102" s="1" t="s">
        <v>2732</v>
      </c>
      <c r="G1102" s="3">
        <f t="shared" si="40"/>
        <v>9743</v>
      </c>
      <c r="H1102" s="4">
        <v>0</v>
      </c>
    </row>
    <row r="1103" spans="1:8">
      <c r="A1103" s="1" t="s">
        <v>1198</v>
      </c>
      <c r="B1103" s="1" t="s">
        <v>15</v>
      </c>
      <c r="C1103" s="1" t="s">
        <v>1208</v>
      </c>
      <c r="D1103" s="3">
        <v>11430.87</v>
      </c>
      <c r="E1103" s="3">
        <v>10030600.699999999</v>
      </c>
      <c r="F1103" s="1" t="s">
        <v>2732</v>
      </c>
      <c r="G1103" s="3">
        <f t="shared" si="40"/>
        <v>11430.87</v>
      </c>
      <c r="H1103" s="4">
        <v>0</v>
      </c>
    </row>
    <row r="1104" spans="1:8">
      <c r="A1104" s="1" t="s">
        <v>1198</v>
      </c>
      <c r="B1104" s="1" t="s">
        <v>15</v>
      </c>
      <c r="C1104" s="1" t="s">
        <v>1209</v>
      </c>
      <c r="D1104" s="3">
        <v>43161.49</v>
      </c>
      <c r="E1104" s="3">
        <v>10073762.189999999</v>
      </c>
      <c r="F1104" s="1" t="s">
        <v>2732</v>
      </c>
      <c r="G1104" s="3">
        <f t="shared" si="40"/>
        <v>43161.49</v>
      </c>
      <c r="H1104" s="4">
        <v>0</v>
      </c>
    </row>
    <row r="1105" spans="1:8">
      <c r="A1105" s="1" t="s">
        <v>1198</v>
      </c>
      <c r="B1105" s="1" t="s">
        <v>15</v>
      </c>
      <c r="C1105" s="1" t="s">
        <v>1210</v>
      </c>
      <c r="D1105" s="3">
        <v>55632.53</v>
      </c>
      <c r="E1105" s="3">
        <v>10129394.720000001</v>
      </c>
      <c r="F1105" s="1" t="s">
        <v>2732</v>
      </c>
      <c r="G1105" s="3">
        <f t="shared" si="40"/>
        <v>55632.53</v>
      </c>
      <c r="H1105" s="4">
        <v>0</v>
      </c>
    </row>
    <row r="1106" spans="1:8">
      <c r="A1106" s="1" t="s">
        <v>1198</v>
      </c>
      <c r="B1106" s="1" t="s">
        <v>15</v>
      </c>
      <c r="C1106" s="1" t="s">
        <v>1211</v>
      </c>
      <c r="D1106" s="3">
        <v>78138.86</v>
      </c>
      <c r="E1106" s="3">
        <v>10207533.58</v>
      </c>
      <c r="F1106" s="1" t="s">
        <v>2732</v>
      </c>
      <c r="G1106" s="3">
        <f t="shared" si="40"/>
        <v>78138.86</v>
      </c>
      <c r="H1106" s="4">
        <v>0</v>
      </c>
    </row>
    <row r="1107" spans="1:8">
      <c r="A1107" s="1" t="s">
        <v>1198</v>
      </c>
      <c r="B1107" s="1" t="s">
        <v>15</v>
      </c>
      <c r="C1107" s="1" t="s">
        <v>1212</v>
      </c>
      <c r="D1107" s="3">
        <v>97776.45</v>
      </c>
      <c r="E1107" s="3">
        <v>10305310.029999999</v>
      </c>
      <c r="F1107" s="1" t="s">
        <v>2732</v>
      </c>
      <c r="G1107" s="3">
        <f t="shared" si="40"/>
        <v>97776.45</v>
      </c>
      <c r="H1107" s="4">
        <v>0</v>
      </c>
    </row>
    <row r="1108" spans="1:8">
      <c r="A1108" s="1" t="s">
        <v>1198</v>
      </c>
      <c r="B1108" s="1" t="s">
        <v>15</v>
      </c>
      <c r="C1108" s="1" t="s">
        <v>1213</v>
      </c>
      <c r="D1108" s="3">
        <v>152672.81</v>
      </c>
      <c r="E1108" s="3">
        <v>10457982.84</v>
      </c>
      <c r="F1108" s="1" t="s">
        <v>2732</v>
      </c>
      <c r="G1108" s="3">
        <f t="shared" si="40"/>
        <v>152672.81</v>
      </c>
      <c r="H1108" s="4">
        <v>0</v>
      </c>
    </row>
    <row r="1109" spans="1:8">
      <c r="A1109" s="1" t="s">
        <v>1198</v>
      </c>
      <c r="B1109" s="1" t="s">
        <v>1214</v>
      </c>
      <c r="C1109" s="1" t="s">
        <v>1215</v>
      </c>
      <c r="D1109" s="3">
        <v>7670.46</v>
      </c>
      <c r="E1109" s="3">
        <v>10465653.300000001</v>
      </c>
      <c r="F1109" s="2" t="s">
        <v>2732</v>
      </c>
      <c r="G1109" s="3">
        <f t="shared" si="40"/>
        <v>7670.46</v>
      </c>
      <c r="H1109" s="4">
        <v>0</v>
      </c>
    </row>
    <row r="1110" spans="1:8">
      <c r="A1110" s="1" t="s">
        <v>1198</v>
      </c>
      <c r="B1110" s="1" t="s">
        <v>15</v>
      </c>
      <c r="C1110" s="1" t="s">
        <v>1216</v>
      </c>
      <c r="D1110" s="3">
        <v>42674.34</v>
      </c>
      <c r="E1110" s="3">
        <v>10508327.640000001</v>
      </c>
      <c r="F1110" s="1" t="s">
        <v>2732</v>
      </c>
      <c r="G1110" s="3">
        <f t="shared" si="40"/>
        <v>42674.34</v>
      </c>
      <c r="H1110" s="4">
        <v>0</v>
      </c>
    </row>
    <row r="1111" spans="1:8">
      <c r="A1111" s="1" t="s">
        <v>1198</v>
      </c>
      <c r="B1111" s="1" t="s">
        <v>15</v>
      </c>
      <c r="C1111" s="1" t="s">
        <v>1217</v>
      </c>
      <c r="D1111" s="3">
        <v>5748.37</v>
      </c>
      <c r="E1111" s="3">
        <v>10514076.01</v>
      </c>
      <c r="F1111" s="1" t="s">
        <v>2732</v>
      </c>
      <c r="G1111" s="3">
        <f t="shared" si="40"/>
        <v>5748.37</v>
      </c>
      <c r="H1111" s="4">
        <v>0</v>
      </c>
    </row>
    <row r="1112" spans="1:8">
      <c r="A1112" s="1" t="s">
        <v>1198</v>
      </c>
      <c r="B1112" s="1" t="s">
        <v>15</v>
      </c>
      <c r="C1112" s="1" t="s">
        <v>1218</v>
      </c>
      <c r="D1112" s="3">
        <v>22896.05</v>
      </c>
      <c r="E1112" s="3">
        <v>10536972.060000001</v>
      </c>
      <c r="F1112" s="1" t="s">
        <v>2732</v>
      </c>
      <c r="G1112" s="3">
        <f t="shared" ref="G1112:G1143" si="41">+D1112</f>
        <v>22896.05</v>
      </c>
      <c r="H1112" s="4">
        <v>0</v>
      </c>
    </row>
    <row r="1113" spans="1:8">
      <c r="A1113" s="1" t="s">
        <v>1198</v>
      </c>
      <c r="B1113" s="1" t="s">
        <v>1219</v>
      </c>
      <c r="C1113" s="1" t="s">
        <v>1220</v>
      </c>
      <c r="D1113" s="3">
        <v>1150.32</v>
      </c>
      <c r="E1113" s="3">
        <v>10538122.380000001</v>
      </c>
      <c r="F1113" s="2" t="s">
        <v>2732</v>
      </c>
      <c r="G1113" s="3">
        <f t="shared" si="41"/>
        <v>1150.32</v>
      </c>
      <c r="H1113" s="4">
        <v>0</v>
      </c>
    </row>
    <row r="1114" spans="1:8">
      <c r="A1114" s="1" t="s">
        <v>1198</v>
      </c>
      <c r="B1114" s="1" t="s">
        <v>15</v>
      </c>
      <c r="C1114" s="1" t="s">
        <v>1221</v>
      </c>
      <c r="D1114" s="3">
        <v>23239.62</v>
      </c>
      <c r="E1114" s="3">
        <v>10561362</v>
      </c>
      <c r="F1114" s="1" t="s">
        <v>2732</v>
      </c>
      <c r="G1114" s="3">
        <f t="shared" si="41"/>
        <v>23239.62</v>
      </c>
      <c r="H1114" s="4">
        <v>0</v>
      </c>
    </row>
    <row r="1115" spans="1:8">
      <c r="A1115" s="1" t="s">
        <v>1198</v>
      </c>
      <c r="B1115" s="1" t="s">
        <v>15</v>
      </c>
      <c r="C1115" s="1" t="s">
        <v>1222</v>
      </c>
      <c r="D1115" s="3">
        <v>18705.060000000001</v>
      </c>
      <c r="E1115" s="3">
        <v>10580067.060000001</v>
      </c>
      <c r="F1115" s="1" t="s">
        <v>2732</v>
      </c>
      <c r="G1115" s="3">
        <f t="shared" si="41"/>
        <v>18705.060000000001</v>
      </c>
      <c r="H1115" s="4">
        <v>0</v>
      </c>
    </row>
    <row r="1116" spans="1:8">
      <c r="A1116" s="1" t="s">
        <v>1198</v>
      </c>
      <c r="B1116" s="1" t="s">
        <v>15</v>
      </c>
      <c r="C1116" s="1" t="s">
        <v>1223</v>
      </c>
      <c r="D1116" s="3">
        <v>52514.77</v>
      </c>
      <c r="E1116" s="3">
        <v>10632581.83</v>
      </c>
      <c r="F1116" s="1" t="s">
        <v>2732</v>
      </c>
      <c r="G1116" s="3">
        <f t="shared" si="41"/>
        <v>52514.77</v>
      </c>
      <c r="H1116" s="4">
        <v>0</v>
      </c>
    </row>
    <row r="1117" spans="1:8">
      <c r="A1117" s="1" t="s">
        <v>1198</v>
      </c>
      <c r="B1117" s="1" t="s">
        <v>1224</v>
      </c>
      <c r="C1117" s="1" t="s">
        <v>1225</v>
      </c>
      <c r="D1117" s="3">
        <v>2638.4</v>
      </c>
      <c r="E1117" s="3">
        <v>10635220.23</v>
      </c>
      <c r="F1117" s="2" t="s">
        <v>2732</v>
      </c>
      <c r="G1117" s="3">
        <f t="shared" si="41"/>
        <v>2638.4</v>
      </c>
      <c r="H1117" s="4">
        <v>0</v>
      </c>
    </row>
    <row r="1118" spans="1:8">
      <c r="A1118" s="1" t="s">
        <v>1198</v>
      </c>
      <c r="B1118" s="1" t="s">
        <v>15</v>
      </c>
      <c r="C1118" s="1" t="s">
        <v>1226</v>
      </c>
      <c r="D1118" s="3">
        <v>33695.74</v>
      </c>
      <c r="E1118" s="3">
        <v>10668915.970000001</v>
      </c>
      <c r="F1118" s="1" t="s">
        <v>2732</v>
      </c>
      <c r="G1118" s="3">
        <f t="shared" si="41"/>
        <v>33695.74</v>
      </c>
      <c r="H1118" s="4">
        <v>0</v>
      </c>
    </row>
    <row r="1119" spans="1:8">
      <c r="A1119" s="1" t="s">
        <v>1198</v>
      </c>
      <c r="B1119" s="1" t="s">
        <v>15</v>
      </c>
      <c r="C1119" s="1" t="s">
        <v>1227</v>
      </c>
      <c r="D1119" s="3">
        <v>8378.98</v>
      </c>
      <c r="E1119" s="3">
        <v>10677294.949999999</v>
      </c>
      <c r="F1119" s="1" t="s">
        <v>2732</v>
      </c>
      <c r="G1119" s="3">
        <f t="shared" si="41"/>
        <v>8378.98</v>
      </c>
      <c r="H1119" s="4">
        <v>0</v>
      </c>
    </row>
    <row r="1120" spans="1:8">
      <c r="A1120" s="1" t="s">
        <v>1198</v>
      </c>
      <c r="B1120" s="1" t="s">
        <v>15</v>
      </c>
      <c r="C1120" s="1" t="s">
        <v>1228</v>
      </c>
      <c r="D1120" s="3">
        <v>13640.2</v>
      </c>
      <c r="E1120" s="3">
        <v>10690935.15</v>
      </c>
      <c r="F1120" s="1" t="s">
        <v>2732</v>
      </c>
      <c r="G1120" s="3">
        <f t="shared" si="41"/>
        <v>13640.2</v>
      </c>
      <c r="H1120" s="4">
        <v>0</v>
      </c>
    </row>
    <row r="1121" spans="1:8">
      <c r="A1121" s="1" t="s">
        <v>1198</v>
      </c>
      <c r="B1121" s="1" t="s">
        <v>15</v>
      </c>
      <c r="C1121" s="1" t="s">
        <v>1229</v>
      </c>
      <c r="D1121" s="3">
        <v>114090.53</v>
      </c>
      <c r="E1121" s="3">
        <v>10805025.68</v>
      </c>
      <c r="F1121" s="1" t="s">
        <v>2732</v>
      </c>
      <c r="G1121" s="3">
        <f t="shared" si="41"/>
        <v>114090.53</v>
      </c>
      <c r="H1121" s="4">
        <v>0</v>
      </c>
    </row>
    <row r="1122" spans="1:8">
      <c r="A1122" s="1" t="s">
        <v>1198</v>
      </c>
      <c r="B1122" s="1" t="s">
        <v>15</v>
      </c>
      <c r="C1122" s="1" t="s">
        <v>1230</v>
      </c>
      <c r="D1122" s="3">
        <v>21255.75</v>
      </c>
      <c r="E1122" s="3">
        <v>10826281.43</v>
      </c>
      <c r="F1122" s="1" t="s">
        <v>2732</v>
      </c>
      <c r="G1122" s="3">
        <f t="shared" si="41"/>
        <v>21255.75</v>
      </c>
      <c r="H1122" s="4">
        <v>0</v>
      </c>
    </row>
    <row r="1123" spans="1:8">
      <c r="A1123" s="1" t="s">
        <v>1198</v>
      </c>
      <c r="B1123" s="1" t="s">
        <v>15</v>
      </c>
      <c r="C1123" s="1" t="s">
        <v>1231</v>
      </c>
      <c r="D1123" s="3">
        <v>45499.81</v>
      </c>
      <c r="E1123" s="3">
        <v>10871781.24</v>
      </c>
      <c r="F1123" s="1" t="s">
        <v>2732</v>
      </c>
      <c r="G1123" s="3">
        <f t="shared" si="41"/>
        <v>45499.81</v>
      </c>
      <c r="H1123" s="4">
        <v>0</v>
      </c>
    </row>
    <row r="1124" spans="1:8">
      <c r="A1124" s="1" t="s">
        <v>1198</v>
      </c>
      <c r="B1124" s="1" t="s">
        <v>15</v>
      </c>
      <c r="C1124" s="1" t="s">
        <v>1232</v>
      </c>
      <c r="D1124" s="3">
        <v>81622.080000000002</v>
      </c>
      <c r="E1124" s="3">
        <v>10953403.32</v>
      </c>
      <c r="F1124" s="1" t="s">
        <v>2732</v>
      </c>
      <c r="G1124" s="3">
        <f t="shared" si="41"/>
        <v>81622.080000000002</v>
      </c>
      <c r="H1124" s="4">
        <v>0</v>
      </c>
    </row>
    <row r="1125" spans="1:8">
      <c r="A1125" s="1" t="s">
        <v>1198</v>
      </c>
      <c r="B1125" s="1" t="s">
        <v>15</v>
      </c>
      <c r="C1125" s="1" t="s">
        <v>1233</v>
      </c>
      <c r="D1125" s="3">
        <v>23428.560000000001</v>
      </c>
      <c r="E1125" s="3">
        <v>10976831.880000001</v>
      </c>
      <c r="F1125" s="1" t="s">
        <v>2732</v>
      </c>
      <c r="G1125" s="3">
        <f t="shared" si="41"/>
        <v>23428.560000000001</v>
      </c>
      <c r="H1125" s="4">
        <v>0</v>
      </c>
    </row>
    <row r="1126" spans="1:8">
      <c r="A1126" s="1" t="s">
        <v>1198</v>
      </c>
      <c r="B1126" s="1" t="s">
        <v>15</v>
      </c>
      <c r="C1126" s="1" t="s">
        <v>1234</v>
      </c>
      <c r="D1126" s="3">
        <v>114285.39</v>
      </c>
      <c r="E1126" s="3">
        <v>11091117.27</v>
      </c>
      <c r="F1126" s="1" t="s">
        <v>2732</v>
      </c>
      <c r="G1126" s="3">
        <f t="shared" si="41"/>
        <v>114285.39</v>
      </c>
      <c r="H1126" s="4">
        <v>0</v>
      </c>
    </row>
    <row r="1127" spans="1:8">
      <c r="A1127" s="1" t="s">
        <v>1198</v>
      </c>
      <c r="B1127" s="1" t="s">
        <v>15</v>
      </c>
      <c r="C1127" s="1" t="s">
        <v>1235</v>
      </c>
      <c r="D1127" s="3">
        <v>20070.580000000002</v>
      </c>
      <c r="E1127" s="3">
        <v>11111187.85</v>
      </c>
      <c r="F1127" s="1" t="s">
        <v>2732</v>
      </c>
      <c r="G1127" s="3">
        <f t="shared" si="41"/>
        <v>20070.580000000002</v>
      </c>
      <c r="H1127" s="4">
        <v>0</v>
      </c>
    </row>
    <row r="1128" spans="1:8">
      <c r="A1128" s="1" t="s">
        <v>1198</v>
      </c>
      <c r="B1128" s="1" t="s">
        <v>15</v>
      </c>
      <c r="C1128" s="1" t="s">
        <v>1236</v>
      </c>
      <c r="D1128" s="3">
        <v>9351.3700000000008</v>
      </c>
      <c r="E1128" s="3">
        <v>11120539.220000001</v>
      </c>
      <c r="F1128" s="1" t="s">
        <v>2732</v>
      </c>
      <c r="G1128" s="3">
        <f t="shared" si="41"/>
        <v>9351.3700000000008</v>
      </c>
      <c r="H1128" s="4">
        <v>0</v>
      </c>
    </row>
    <row r="1129" spans="1:8">
      <c r="A1129" s="1" t="s">
        <v>1198</v>
      </c>
      <c r="B1129" s="1" t="s">
        <v>1237</v>
      </c>
      <c r="C1129" s="1" t="s">
        <v>1238</v>
      </c>
      <c r="D1129" s="3">
        <v>1008.37</v>
      </c>
      <c r="E1129" s="3">
        <v>11121547.59</v>
      </c>
      <c r="F1129" s="2" t="s">
        <v>2732</v>
      </c>
      <c r="G1129" s="3">
        <f t="shared" si="41"/>
        <v>1008.37</v>
      </c>
      <c r="H1129" s="4">
        <v>0</v>
      </c>
    </row>
    <row r="1130" spans="1:8">
      <c r="A1130" s="1" t="s">
        <v>1198</v>
      </c>
      <c r="B1130" s="1" t="s">
        <v>15</v>
      </c>
      <c r="C1130" s="1" t="s">
        <v>1239</v>
      </c>
      <c r="D1130" s="3">
        <v>8573.84</v>
      </c>
      <c r="E1130" s="3">
        <v>11130121.43</v>
      </c>
      <c r="F1130" s="1" t="s">
        <v>2732</v>
      </c>
      <c r="G1130" s="3">
        <f t="shared" si="41"/>
        <v>8573.84</v>
      </c>
      <c r="H1130" s="4">
        <v>0</v>
      </c>
    </row>
    <row r="1131" spans="1:8">
      <c r="A1131" s="1" t="s">
        <v>1198</v>
      </c>
      <c r="B1131" s="1" t="s">
        <v>15</v>
      </c>
      <c r="C1131" s="1" t="s">
        <v>1240</v>
      </c>
      <c r="D1131" s="3">
        <v>25429.23</v>
      </c>
      <c r="E1131" s="3">
        <v>11155550.66</v>
      </c>
      <c r="F1131" s="1" t="s">
        <v>2732</v>
      </c>
      <c r="G1131" s="3">
        <f t="shared" si="41"/>
        <v>25429.23</v>
      </c>
      <c r="H1131" s="4">
        <v>0</v>
      </c>
    </row>
    <row r="1132" spans="1:8">
      <c r="A1132" s="1" t="s">
        <v>1198</v>
      </c>
      <c r="B1132" s="1" t="s">
        <v>15</v>
      </c>
      <c r="C1132" s="1" t="s">
        <v>1241</v>
      </c>
      <c r="D1132" s="3">
        <v>49407.81</v>
      </c>
      <c r="E1132" s="3">
        <v>11204958.470000001</v>
      </c>
      <c r="F1132" s="1" t="s">
        <v>2732</v>
      </c>
      <c r="G1132" s="3">
        <f t="shared" si="41"/>
        <v>49407.81</v>
      </c>
      <c r="H1132" s="4">
        <v>0</v>
      </c>
    </row>
    <row r="1133" spans="1:8">
      <c r="A1133" s="1" t="s">
        <v>1198</v>
      </c>
      <c r="B1133" s="1" t="s">
        <v>15</v>
      </c>
      <c r="C1133" s="1" t="s">
        <v>1242</v>
      </c>
      <c r="D1133" s="3">
        <v>37997.699999999997</v>
      </c>
      <c r="E1133" s="3">
        <v>11242956.17</v>
      </c>
      <c r="F1133" s="1" t="s">
        <v>2732</v>
      </c>
      <c r="G1133" s="3">
        <f t="shared" si="41"/>
        <v>37997.699999999997</v>
      </c>
      <c r="H1133" s="4">
        <v>0</v>
      </c>
    </row>
    <row r="1134" spans="1:8">
      <c r="A1134" s="1" t="s">
        <v>1198</v>
      </c>
      <c r="B1134" s="1" t="s">
        <v>15</v>
      </c>
      <c r="C1134" s="1" t="s">
        <v>1243</v>
      </c>
      <c r="D1134" s="3">
        <v>18511.7</v>
      </c>
      <c r="E1134" s="3">
        <v>11261467.869999999</v>
      </c>
      <c r="F1134" s="1" t="s">
        <v>2732</v>
      </c>
      <c r="G1134" s="3">
        <f t="shared" si="41"/>
        <v>18511.7</v>
      </c>
      <c r="H1134" s="4">
        <v>0</v>
      </c>
    </row>
    <row r="1135" spans="1:8">
      <c r="A1135" s="1" t="s">
        <v>1198</v>
      </c>
      <c r="B1135" s="1" t="s">
        <v>15</v>
      </c>
      <c r="C1135" s="1" t="s">
        <v>1244</v>
      </c>
      <c r="D1135" s="3">
        <v>18121.98</v>
      </c>
      <c r="E1135" s="3">
        <v>11279589.85</v>
      </c>
      <c r="F1135" s="1" t="s">
        <v>2732</v>
      </c>
      <c r="G1135" s="3">
        <f t="shared" si="41"/>
        <v>18121.98</v>
      </c>
      <c r="H1135" s="4">
        <v>0</v>
      </c>
    </row>
    <row r="1136" spans="1:8">
      <c r="A1136" s="1" t="s">
        <v>1198</v>
      </c>
      <c r="B1136" s="1" t="s">
        <v>15</v>
      </c>
      <c r="C1136" s="1" t="s">
        <v>1245</v>
      </c>
      <c r="D1136" s="3">
        <v>43258.92</v>
      </c>
      <c r="E1136" s="3">
        <v>11322848.77</v>
      </c>
      <c r="F1136" s="1" t="s">
        <v>2732</v>
      </c>
      <c r="G1136" s="3">
        <f t="shared" si="41"/>
        <v>43258.92</v>
      </c>
      <c r="H1136" s="4">
        <v>0</v>
      </c>
    </row>
    <row r="1137" spans="1:8">
      <c r="A1137" s="1" t="s">
        <v>1198</v>
      </c>
      <c r="B1137" s="1" t="s">
        <v>15</v>
      </c>
      <c r="C1137" s="1" t="s">
        <v>1246</v>
      </c>
      <c r="D1137" s="3">
        <v>18024.55</v>
      </c>
      <c r="E1137" s="3">
        <v>11340873.32</v>
      </c>
      <c r="F1137" s="1" t="s">
        <v>2732</v>
      </c>
      <c r="G1137" s="3">
        <f t="shared" si="41"/>
        <v>18024.55</v>
      </c>
      <c r="H1137" s="4">
        <v>0</v>
      </c>
    </row>
    <row r="1138" spans="1:8">
      <c r="A1138" s="1" t="s">
        <v>1198</v>
      </c>
      <c r="B1138" s="1" t="s">
        <v>15</v>
      </c>
      <c r="C1138" s="1" t="s">
        <v>1247</v>
      </c>
      <c r="D1138" s="3">
        <v>15491.37</v>
      </c>
      <c r="E1138" s="3">
        <v>11356364.689999999</v>
      </c>
      <c r="F1138" s="1" t="s">
        <v>2732</v>
      </c>
      <c r="G1138" s="3">
        <f t="shared" si="41"/>
        <v>15491.37</v>
      </c>
      <c r="H1138" s="4">
        <v>0</v>
      </c>
    </row>
    <row r="1139" spans="1:8">
      <c r="A1139" s="1" t="s">
        <v>1198</v>
      </c>
      <c r="B1139" s="1" t="s">
        <v>15</v>
      </c>
      <c r="C1139" s="1" t="s">
        <v>1248</v>
      </c>
      <c r="D1139" s="3">
        <v>8071.96</v>
      </c>
      <c r="E1139" s="3">
        <v>11364436.65</v>
      </c>
      <c r="F1139" s="1" t="s">
        <v>2732</v>
      </c>
      <c r="G1139" s="3">
        <f t="shared" si="41"/>
        <v>8071.96</v>
      </c>
      <c r="H1139" s="4">
        <v>0</v>
      </c>
    </row>
    <row r="1140" spans="1:8">
      <c r="A1140" s="1" t="s">
        <v>1198</v>
      </c>
      <c r="B1140" s="1" t="s">
        <v>15</v>
      </c>
      <c r="C1140" s="1" t="s">
        <v>1249</v>
      </c>
      <c r="D1140" s="3">
        <v>22896.05</v>
      </c>
      <c r="E1140" s="3">
        <v>11387332.699999999</v>
      </c>
      <c r="F1140" s="1" t="s">
        <v>2732</v>
      </c>
      <c r="G1140" s="3">
        <f t="shared" si="41"/>
        <v>22896.05</v>
      </c>
      <c r="H1140" s="4">
        <v>0</v>
      </c>
    </row>
    <row r="1141" spans="1:8">
      <c r="A1141" s="1" t="s">
        <v>1198</v>
      </c>
      <c r="B1141" s="1" t="s">
        <v>15</v>
      </c>
      <c r="C1141" s="1" t="s">
        <v>1250</v>
      </c>
      <c r="D1141" s="3">
        <v>18803.990000000002</v>
      </c>
      <c r="E1141" s="3">
        <v>11406136.689999999</v>
      </c>
      <c r="F1141" s="1" t="s">
        <v>2732</v>
      </c>
      <c r="G1141" s="3">
        <f t="shared" si="41"/>
        <v>18803.990000000002</v>
      </c>
      <c r="H1141" s="4">
        <v>0</v>
      </c>
    </row>
    <row r="1142" spans="1:8">
      <c r="A1142" s="1" t="s">
        <v>1198</v>
      </c>
      <c r="B1142" s="1" t="s">
        <v>15</v>
      </c>
      <c r="C1142" s="1" t="s">
        <v>1251</v>
      </c>
      <c r="D1142" s="3">
        <v>33773.879999999997</v>
      </c>
      <c r="E1142" s="3">
        <v>11439910.57</v>
      </c>
      <c r="F1142" s="1" t="s">
        <v>2732</v>
      </c>
      <c r="G1142" s="3">
        <f t="shared" si="41"/>
        <v>33773.879999999997</v>
      </c>
      <c r="H1142" s="4">
        <v>0</v>
      </c>
    </row>
    <row r="1143" spans="1:8">
      <c r="A1143" s="1" t="s">
        <v>1198</v>
      </c>
      <c r="B1143" s="1" t="s">
        <v>15</v>
      </c>
      <c r="C1143" s="1" t="s">
        <v>1252</v>
      </c>
      <c r="D1143" s="3">
        <v>8378.98</v>
      </c>
      <c r="E1143" s="3">
        <v>11448289.550000001</v>
      </c>
      <c r="F1143" s="1" t="s">
        <v>2732</v>
      </c>
      <c r="G1143" s="3">
        <f t="shared" si="41"/>
        <v>8378.98</v>
      </c>
      <c r="H1143" s="4">
        <v>0</v>
      </c>
    </row>
    <row r="1144" spans="1:8">
      <c r="A1144" s="1" t="s">
        <v>1198</v>
      </c>
      <c r="B1144" s="1" t="s">
        <v>15</v>
      </c>
      <c r="C1144" s="1" t="s">
        <v>1253</v>
      </c>
      <c r="D1144" s="3">
        <v>4974.58</v>
      </c>
      <c r="E1144" s="3">
        <v>11453264.130000001</v>
      </c>
      <c r="F1144" s="1" t="s">
        <v>2732</v>
      </c>
      <c r="G1144" s="3">
        <f t="shared" ref="G1144:G1168" si="42">+D1144</f>
        <v>4974.58</v>
      </c>
      <c r="H1144" s="4">
        <v>0</v>
      </c>
    </row>
    <row r="1145" spans="1:8">
      <c r="A1145" s="1" t="s">
        <v>1198</v>
      </c>
      <c r="B1145" s="1" t="s">
        <v>15</v>
      </c>
      <c r="C1145" s="1" t="s">
        <v>1254</v>
      </c>
      <c r="D1145" s="3">
        <v>4189.49</v>
      </c>
      <c r="E1145" s="3">
        <v>11457453.619999999</v>
      </c>
      <c r="F1145" s="1" t="s">
        <v>2732</v>
      </c>
      <c r="G1145" s="3">
        <f t="shared" si="42"/>
        <v>4189.49</v>
      </c>
      <c r="H1145" s="4">
        <v>0</v>
      </c>
    </row>
    <row r="1146" spans="1:8">
      <c r="A1146" s="1" t="s">
        <v>1198</v>
      </c>
      <c r="B1146" s="1" t="s">
        <v>15</v>
      </c>
      <c r="C1146" s="1" t="s">
        <v>1255</v>
      </c>
      <c r="D1146" s="3">
        <v>6355.3</v>
      </c>
      <c r="E1146" s="3">
        <v>11463808.92</v>
      </c>
      <c r="F1146" s="1" t="s">
        <v>2732</v>
      </c>
      <c r="G1146" s="3">
        <f t="shared" si="42"/>
        <v>6355.3</v>
      </c>
      <c r="H1146" s="4">
        <v>0</v>
      </c>
    </row>
    <row r="1147" spans="1:8">
      <c r="A1147" s="1" t="s">
        <v>1198</v>
      </c>
      <c r="B1147" s="1" t="s">
        <v>15</v>
      </c>
      <c r="C1147" s="1" t="s">
        <v>1256</v>
      </c>
      <c r="D1147" s="3">
        <v>4384.3500000000004</v>
      </c>
      <c r="E1147" s="3">
        <v>11468193.27</v>
      </c>
      <c r="F1147" s="1" t="s">
        <v>2732</v>
      </c>
      <c r="G1147" s="3">
        <f t="shared" si="42"/>
        <v>4384.3500000000004</v>
      </c>
      <c r="H1147" s="4">
        <v>0</v>
      </c>
    </row>
    <row r="1148" spans="1:8">
      <c r="A1148" s="1" t="s">
        <v>1198</v>
      </c>
      <c r="B1148" s="1" t="s">
        <v>15</v>
      </c>
      <c r="C1148" s="1" t="s">
        <v>1257</v>
      </c>
      <c r="D1148" s="3">
        <v>8768.7000000000007</v>
      </c>
      <c r="E1148" s="3">
        <v>11476961.970000001</v>
      </c>
      <c r="F1148" s="1" t="s">
        <v>2732</v>
      </c>
      <c r="G1148" s="3">
        <f t="shared" si="42"/>
        <v>8768.7000000000007</v>
      </c>
      <c r="H1148" s="4">
        <v>0</v>
      </c>
    </row>
    <row r="1149" spans="1:8">
      <c r="A1149" s="1" t="s">
        <v>1198</v>
      </c>
      <c r="B1149" s="1" t="s">
        <v>15</v>
      </c>
      <c r="C1149" s="1" t="s">
        <v>1258</v>
      </c>
      <c r="D1149" s="3">
        <v>17704.05</v>
      </c>
      <c r="E1149" s="3">
        <v>11494666.02</v>
      </c>
      <c r="F1149" s="1" t="s">
        <v>2732</v>
      </c>
      <c r="G1149" s="3">
        <f t="shared" si="42"/>
        <v>17704.05</v>
      </c>
      <c r="H1149" s="4">
        <v>0</v>
      </c>
    </row>
    <row r="1150" spans="1:8">
      <c r="A1150" s="1" t="s">
        <v>1198</v>
      </c>
      <c r="B1150" s="1" t="s">
        <v>15</v>
      </c>
      <c r="C1150" s="1" t="s">
        <v>1259</v>
      </c>
      <c r="D1150" s="3">
        <v>8378.98</v>
      </c>
      <c r="E1150" s="3">
        <v>11503045</v>
      </c>
      <c r="F1150" s="1" t="s">
        <v>2732</v>
      </c>
      <c r="G1150" s="3">
        <f t="shared" si="42"/>
        <v>8378.98</v>
      </c>
      <c r="H1150" s="4">
        <v>0</v>
      </c>
    </row>
    <row r="1151" spans="1:8">
      <c r="A1151" s="1" t="s">
        <v>1198</v>
      </c>
      <c r="B1151" s="1" t="s">
        <v>15</v>
      </c>
      <c r="C1151" s="1" t="s">
        <v>1260</v>
      </c>
      <c r="D1151" s="3">
        <v>16547.669999999998</v>
      </c>
      <c r="E1151" s="3">
        <v>11519592.67</v>
      </c>
      <c r="F1151" s="1" t="s">
        <v>2732</v>
      </c>
      <c r="G1151" s="3">
        <f t="shared" si="42"/>
        <v>16547.669999999998</v>
      </c>
      <c r="H1151" s="4">
        <v>0</v>
      </c>
    </row>
    <row r="1152" spans="1:8">
      <c r="A1152" s="1" t="s">
        <v>1198</v>
      </c>
      <c r="B1152" s="1" t="s">
        <v>15</v>
      </c>
      <c r="C1152" s="1" t="s">
        <v>1261</v>
      </c>
      <c r="D1152" s="3">
        <v>18421.650000000001</v>
      </c>
      <c r="E1152" s="3">
        <v>11538014.32</v>
      </c>
      <c r="F1152" s="1" t="s">
        <v>2732</v>
      </c>
      <c r="G1152" s="3">
        <f t="shared" si="42"/>
        <v>18421.650000000001</v>
      </c>
      <c r="H1152" s="4">
        <v>0</v>
      </c>
    </row>
    <row r="1153" spans="1:8">
      <c r="A1153" s="1" t="s">
        <v>1198</v>
      </c>
      <c r="B1153" s="1" t="s">
        <v>15</v>
      </c>
      <c r="C1153" s="1" t="s">
        <v>1262</v>
      </c>
      <c r="D1153" s="3">
        <v>24656.67</v>
      </c>
      <c r="E1153" s="3">
        <v>11562670.99</v>
      </c>
      <c r="F1153" s="1" t="s">
        <v>2732</v>
      </c>
      <c r="G1153" s="3">
        <f t="shared" si="42"/>
        <v>24656.67</v>
      </c>
      <c r="H1153" s="4">
        <v>0</v>
      </c>
    </row>
    <row r="1154" spans="1:8">
      <c r="A1154" s="1" t="s">
        <v>1198</v>
      </c>
      <c r="B1154" s="1" t="s">
        <v>15</v>
      </c>
      <c r="C1154" s="1" t="s">
        <v>1265</v>
      </c>
      <c r="D1154" s="3">
        <v>22896.05</v>
      </c>
      <c r="E1154" s="3">
        <v>11496034.050000001</v>
      </c>
      <c r="F1154" s="1" t="s">
        <v>2732</v>
      </c>
      <c r="G1154" s="3">
        <f t="shared" si="42"/>
        <v>22896.05</v>
      </c>
      <c r="H1154" s="4">
        <v>0</v>
      </c>
    </row>
    <row r="1155" spans="1:8">
      <c r="A1155" s="1" t="s">
        <v>1198</v>
      </c>
      <c r="B1155" s="1" t="s">
        <v>15</v>
      </c>
      <c r="C1155" s="1" t="s">
        <v>1266</v>
      </c>
      <c r="D1155" s="3">
        <v>62744.92</v>
      </c>
      <c r="E1155" s="3">
        <v>11558778.970000001</v>
      </c>
      <c r="F1155" s="1" t="s">
        <v>2732</v>
      </c>
      <c r="G1155" s="3">
        <f t="shared" si="42"/>
        <v>62744.92</v>
      </c>
      <c r="H1155" s="4">
        <v>0</v>
      </c>
    </row>
    <row r="1156" spans="1:8">
      <c r="A1156" s="1" t="s">
        <v>1198</v>
      </c>
      <c r="B1156" s="1" t="s">
        <v>15</v>
      </c>
      <c r="C1156" s="1" t="s">
        <v>1267</v>
      </c>
      <c r="D1156" s="3">
        <v>7794.4</v>
      </c>
      <c r="E1156" s="3">
        <v>11566573.369999999</v>
      </c>
      <c r="F1156" s="1" t="s">
        <v>2732</v>
      </c>
      <c r="G1156" s="3">
        <f t="shared" si="42"/>
        <v>7794.4</v>
      </c>
      <c r="H1156" s="4">
        <v>0</v>
      </c>
    </row>
    <row r="1157" spans="1:8">
      <c r="A1157" s="1" t="s">
        <v>1198</v>
      </c>
      <c r="B1157" s="1" t="s">
        <v>15</v>
      </c>
      <c r="C1157" s="1" t="s">
        <v>1268</v>
      </c>
      <c r="D1157" s="3">
        <v>25790.31</v>
      </c>
      <c r="E1157" s="3">
        <v>11592363.68</v>
      </c>
      <c r="F1157" s="1" t="s">
        <v>2732</v>
      </c>
      <c r="G1157" s="3">
        <f t="shared" si="42"/>
        <v>25790.31</v>
      </c>
      <c r="H1157" s="4">
        <v>0</v>
      </c>
    </row>
    <row r="1158" spans="1:8">
      <c r="A1158" s="1" t="s">
        <v>1198</v>
      </c>
      <c r="B1158" s="1" t="s">
        <v>15</v>
      </c>
      <c r="C1158" s="1" t="s">
        <v>1269</v>
      </c>
      <c r="D1158" s="3">
        <v>14453.91</v>
      </c>
      <c r="E1158" s="3">
        <v>11606817.59</v>
      </c>
      <c r="F1158" s="1" t="s">
        <v>2732</v>
      </c>
      <c r="G1158" s="3">
        <f t="shared" si="42"/>
        <v>14453.91</v>
      </c>
      <c r="H1158" s="4">
        <v>0</v>
      </c>
    </row>
    <row r="1159" spans="1:8">
      <c r="A1159" s="1" t="s">
        <v>1198</v>
      </c>
      <c r="B1159" s="1" t="s">
        <v>15</v>
      </c>
      <c r="C1159" s="1" t="s">
        <v>1270</v>
      </c>
      <c r="D1159" s="3">
        <v>9855.2999999999993</v>
      </c>
      <c r="E1159" s="3">
        <v>11616672.890000001</v>
      </c>
      <c r="F1159" s="1" t="s">
        <v>2732</v>
      </c>
      <c r="G1159" s="3">
        <f t="shared" si="42"/>
        <v>9855.2999999999993</v>
      </c>
      <c r="H1159" s="4">
        <v>0</v>
      </c>
    </row>
    <row r="1160" spans="1:8">
      <c r="A1160" s="1" t="s">
        <v>1198</v>
      </c>
      <c r="B1160" s="1" t="s">
        <v>15</v>
      </c>
      <c r="C1160" s="1" t="s">
        <v>1271</v>
      </c>
      <c r="D1160" s="3">
        <v>82221.36</v>
      </c>
      <c r="E1160" s="3">
        <v>11698894.25</v>
      </c>
      <c r="F1160" s="1" t="s">
        <v>2732</v>
      </c>
      <c r="G1160" s="3">
        <f t="shared" si="42"/>
        <v>82221.36</v>
      </c>
      <c r="H1160" s="4">
        <v>0</v>
      </c>
    </row>
    <row r="1161" spans="1:8">
      <c r="A1161" s="1" t="s">
        <v>1198</v>
      </c>
      <c r="B1161" s="1" t="s">
        <v>15</v>
      </c>
      <c r="C1161" s="1" t="s">
        <v>1272</v>
      </c>
      <c r="D1161" s="3">
        <v>32611.49</v>
      </c>
      <c r="E1161" s="3">
        <v>11731505.74</v>
      </c>
      <c r="F1161" s="1" t="s">
        <v>2732</v>
      </c>
      <c r="G1161" s="3">
        <f t="shared" si="42"/>
        <v>32611.49</v>
      </c>
      <c r="H1161" s="4">
        <v>0</v>
      </c>
    </row>
    <row r="1162" spans="1:8">
      <c r="A1162" s="1" t="s">
        <v>1198</v>
      </c>
      <c r="B1162" s="1" t="s">
        <v>15</v>
      </c>
      <c r="C1162" s="1" t="s">
        <v>1273</v>
      </c>
      <c r="D1162" s="3">
        <v>10327.58</v>
      </c>
      <c r="E1162" s="3">
        <v>11741833.32</v>
      </c>
      <c r="F1162" s="1" t="s">
        <v>2732</v>
      </c>
      <c r="G1162" s="3">
        <f t="shared" si="42"/>
        <v>10327.58</v>
      </c>
      <c r="H1162" s="4">
        <v>0</v>
      </c>
    </row>
    <row r="1163" spans="1:8">
      <c r="A1163" s="1" t="s">
        <v>1198</v>
      </c>
      <c r="B1163" s="1" t="s">
        <v>15</v>
      </c>
      <c r="C1163" s="1" t="s">
        <v>1274</v>
      </c>
      <c r="D1163" s="3">
        <v>57911.62</v>
      </c>
      <c r="E1163" s="3">
        <v>11799744.939999999</v>
      </c>
      <c r="F1163" s="1" t="s">
        <v>2732</v>
      </c>
      <c r="G1163" s="3">
        <f t="shared" si="42"/>
        <v>57911.62</v>
      </c>
      <c r="H1163" s="4">
        <v>0</v>
      </c>
    </row>
    <row r="1164" spans="1:8">
      <c r="A1164" s="1" t="s">
        <v>1198</v>
      </c>
      <c r="B1164" s="1" t="s">
        <v>15</v>
      </c>
      <c r="C1164" s="1" t="s">
        <v>1275</v>
      </c>
      <c r="D1164" s="3">
        <v>6820.1</v>
      </c>
      <c r="E1164" s="3">
        <v>11806565.039999999</v>
      </c>
      <c r="F1164" s="1" t="s">
        <v>2732</v>
      </c>
      <c r="G1164" s="3">
        <f t="shared" si="42"/>
        <v>6820.1</v>
      </c>
      <c r="H1164" s="4">
        <v>0</v>
      </c>
    </row>
    <row r="1165" spans="1:8">
      <c r="A1165" s="1" t="s">
        <v>1198</v>
      </c>
      <c r="B1165" s="1" t="s">
        <v>1276</v>
      </c>
      <c r="C1165" s="1" t="s">
        <v>1277</v>
      </c>
      <c r="D1165" s="2">
        <v>685.3</v>
      </c>
      <c r="E1165" s="3">
        <v>11807250.34</v>
      </c>
      <c r="F1165" s="2" t="s">
        <v>2732</v>
      </c>
      <c r="G1165" s="3">
        <f t="shared" si="42"/>
        <v>685.3</v>
      </c>
      <c r="H1165" s="4">
        <v>0</v>
      </c>
    </row>
    <row r="1166" spans="1:8">
      <c r="A1166" s="1" t="s">
        <v>1198</v>
      </c>
      <c r="B1166" s="1" t="s">
        <v>15</v>
      </c>
      <c r="C1166" s="1" t="s">
        <v>1278</v>
      </c>
      <c r="D1166" s="3">
        <v>32736.48</v>
      </c>
      <c r="E1166" s="3">
        <v>11839986.82</v>
      </c>
      <c r="F1166" s="1" t="s">
        <v>2732</v>
      </c>
      <c r="G1166" s="3">
        <f t="shared" si="42"/>
        <v>32736.48</v>
      </c>
      <c r="H1166" s="4">
        <v>0</v>
      </c>
    </row>
    <row r="1167" spans="1:8">
      <c r="A1167" s="1" t="s">
        <v>1198</v>
      </c>
      <c r="B1167" s="1" t="s">
        <v>1279</v>
      </c>
      <c r="C1167" s="1" t="s">
        <v>1280</v>
      </c>
      <c r="D1167" s="3">
        <v>1644.72</v>
      </c>
      <c r="E1167" s="3">
        <v>11841631.539999999</v>
      </c>
      <c r="F1167" s="2" t="s">
        <v>2732</v>
      </c>
      <c r="G1167" s="3">
        <f t="shared" si="42"/>
        <v>1644.72</v>
      </c>
      <c r="H1167" s="4">
        <v>0</v>
      </c>
    </row>
    <row r="1168" spans="1:8">
      <c r="A1168" s="1" t="s">
        <v>1198</v>
      </c>
      <c r="B1168" s="1" t="s">
        <v>15</v>
      </c>
      <c r="C1168" s="1" t="s">
        <v>1281</v>
      </c>
      <c r="D1168" s="3">
        <v>8071.96</v>
      </c>
      <c r="E1168" s="3">
        <v>11849703.5</v>
      </c>
      <c r="F1168" s="1" t="s">
        <v>2732</v>
      </c>
      <c r="G1168" s="3">
        <f t="shared" si="42"/>
        <v>8071.96</v>
      </c>
      <c r="H1168" s="4">
        <v>0</v>
      </c>
    </row>
    <row r="1169" spans="1:8">
      <c r="A1169" s="1" t="s">
        <v>1198</v>
      </c>
      <c r="B1169" s="1" t="s">
        <v>1263</v>
      </c>
      <c r="C1169" s="1" t="s">
        <v>1264</v>
      </c>
      <c r="D1169" s="34">
        <v>-89532.99</v>
      </c>
      <c r="E1169" s="4">
        <v>11473138</v>
      </c>
      <c r="F1169" s="1" t="s">
        <v>1740</v>
      </c>
      <c r="G1169" s="4">
        <f>+D1169/1.006</f>
        <v>-88998.99602385686</v>
      </c>
      <c r="H1169" s="4">
        <f>+D1169-G1169</f>
        <v>-533.99397614314512</v>
      </c>
    </row>
    <row r="1170" spans="1:8">
      <c r="A1170" s="1" t="s">
        <v>1282</v>
      </c>
      <c r="B1170" s="1" t="s">
        <v>1263</v>
      </c>
      <c r="C1170" s="1" t="s">
        <v>1293</v>
      </c>
      <c r="D1170" s="34">
        <v>-89532.99</v>
      </c>
      <c r="E1170" s="4">
        <v>9722452.4499999993</v>
      </c>
      <c r="F1170" s="1" t="s">
        <v>1740</v>
      </c>
      <c r="G1170" s="4">
        <f>+D1170/1.006</f>
        <v>-88998.99602385686</v>
      </c>
      <c r="H1170" s="4">
        <f>+D1170-G1170</f>
        <v>-533.99397614314512</v>
      </c>
    </row>
    <row r="1171" spans="1:8">
      <c r="A1171" s="1" t="s">
        <v>1282</v>
      </c>
      <c r="B1171" s="1" t="s">
        <v>1083</v>
      </c>
      <c r="C1171" s="1" t="s">
        <v>1294</v>
      </c>
      <c r="D1171" s="3">
        <v>-220425.67</v>
      </c>
      <c r="E1171" s="3">
        <v>9502026.7799999993</v>
      </c>
      <c r="F1171" s="1" t="s">
        <v>1739</v>
      </c>
      <c r="G1171" s="4">
        <f>+D1171/1.006</f>
        <v>-219111.00397614314</v>
      </c>
      <c r="H1171" s="4">
        <f>+D1171-G1171</f>
        <v>-1314.6660238568729</v>
      </c>
    </row>
    <row r="1172" spans="1:8">
      <c r="A1172" s="59" t="s">
        <v>1282</v>
      </c>
      <c r="B1172" s="59" t="s">
        <v>28</v>
      </c>
      <c r="C1172" s="59" t="s">
        <v>1296</v>
      </c>
      <c r="D1172" s="63">
        <v>-30</v>
      </c>
      <c r="E1172" s="64">
        <v>9496996.7799999993</v>
      </c>
      <c r="F1172" s="59"/>
      <c r="G1172" s="64">
        <f>+D1172</f>
        <v>-30</v>
      </c>
      <c r="H1172" s="65">
        <f>+D1172-G1172</f>
        <v>0</v>
      </c>
    </row>
    <row r="1173" spans="1:8">
      <c r="A1173" s="59" t="s">
        <v>1282</v>
      </c>
      <c r="B1173" s="59" t="s">
        <v>28</v>
      </c>
      <c r="C1173" s="59" t="s">
        <v>1292</v>
      </c>
      <c r="D1173" s="64">
        <v>-1058.17</v>
      </c>
      <c r="E1173" s="64">
        <v>9811985.4399999995</v>
      </c>
      <c r="F1173" s="59"/>
      <c r="G1173" s="64">
        <f>+D1173</f>
        <v>-1058.17</v>
      </c>
      <c r="H1173" s="65"/>
    </row>
    <row r="1174" spans="1:8">
      <c r="A1174" s="1" t="s">
        <v>1282</v>
      </c>
      <c r="B1174" s="1" t="s">
        <v>29</v>
      </c>
      <c r="C1174" s="1" t="s">
        <v>1292</v>
      </c>
      <c r="D1174" s="3">
        <v>-176361.99</v>
      </c>
      <c r="E1174" s="3">
        <v>9813043.6099999994</v>
      </c>
      <c r="G1174" s="4">
        <f t="shared" ref="G1174:G1187" si="43">+D1174/1.006</f>
        <v>-175310.12922465208</v>
      </c>
      <c r="H1174" s="4">
        <f t="shared" ref="H1174:H1188" si="44">+D1174-G1174</f>
        <v>-1051.8607753479155</v>
      </c>
    </row>
    <row r="1175" spans="1:8">
      <c r="A1175" s="1" t="s">
        <v>1282</v>
      </c>
      <c r="B1175" s="1" t="s">
        <v>189</v>
      </c>
      <c r="C1175" s="1" t="s">
        <v>1289</v>
      </c>
      <c r="D1175" s="3">
        <v>-527435.88</v>
      </c>
      <c r="E1175" s="3">
        <v>10882841.75</v>
      </c>
      <c r="G1175" s="4">
        <f t="shared" si="43"/>
        <v>-524290.13916500995</v>
      </c>
      <c r="H1175" s="4">
        <f t="shared" si="44"/>
        <v>-3145.7408349900506</v>
      </c>
    </row>
    <row r="1176" spans="1:8">
      <c r="A1176" s="1" t="s">
        <v>1282</v>
      </c>
      <c r="B1176" s="1" t="s">
        <v>189</v>
      </c>
      <c r="C1176" s="1" t="s">
        <v>1297</v>
      </c>
      <c r="D1176" s="3">
        <v>-736855.88</v>
      </c>
      <c r="E1176" s="3">
        <v>8760140.9000000004</v>
      </c>
      <c r="G1176" s="4">
        <f t="shared" si="43"/>
        <v>-732461.11332007952</v>
      </c>
      <c r="H1176" s="4">
        <f t="shared" si="44"/>
        <v>-4394.766679920489</v>
      </c>
    </row>
    <row r="1177" spans="1:8">
      <c r="A1177" s="1" t="s">
        <v>1282</v>
      </c>
      <c r="B1177" s="1" t="s">
        <v>38</v>
      </c>
      <c r="C1177" s="1" t="s">
        <v>1298</v>
      </c>
      <c r="D1177" s="3">
        <v>-286218.19</v>
      </c>
      <c r="E1177" s="3">
        <v>8473922.7100000009</v>
      </c>
      <c r="G1177" s="4">
        <f t="shared" si="43"/>
        <v>-284511.12326043739</v>
      </c>
      <c r="H1177" s="4">
        <f t="shared" si="44"/>
        <v>-1707.0667395626078</v>
      </c>
    </row>
    <row r="1178" spans="1:8">
      <c r="A1178" s="1" t="s">
        <v>1282</v>
      </c>
      <c r="B1178" s="1" t="s">
        <v>916</v>
      </c>
      <c r="C1178" s="1" t="s">
        <v>1290</v>
      </c>
      <c r="D1178" s="3">
        <v>-823539.27</v>
      </c>
      <c r="E1178" s="3">
        <v>10059302.48</v>
      </c>
      <c r="G1178" s="4">
        <f t="shared" si="43"/>
        <v>-818627.50497017894</v>
      </c>
      <c r="H1178" s="4">
        <f t="shared" si="44"/>
        <v>-4911.7650298210792</v>
      </c>
    </row>
    <row r="1179" spans="1:8">
      <c r="A1179" s="1" t="s">
        <v>1282</v>
      </c>
      <c r="B1179" s="1" t="s">
        <v>1283</v>
      </c>
      <c r="C1179" s="1" t="s">
        <v>1284</v>
      </c>
      <c r="D1179" s="3">
        <v>-9808.51</v>
      </c>
      <c r="E1179" s="3">
        <v>11839894.99</v>
      </c>
      <c r="G1179" s="4">
        <f t="shared" si="43"/>
        <v>-9750.0099403578533</v>
      </c>
      <c r="H1179" s="4">
        <f t="shared" si="44"/>
        <v>-58.50005964214688</v>
      </c>
    </row>
    <row r="1180" spans="1:8">
      <c r="A1180" s="1" t="s">
        <v>1282</v>
      </c>
      <c r="B1180" s="1" t="s">
        <v>1283</v>
      </c>
      <c r="C1180" s="1" t="s">
        <v>1286</v>
      </c>
      <c r="D1180" s="3">
        <v>-25753.61</v>
      </c>
      <c r="E1180" s="3">
        <v>11739797.960000001</v>
      </c>
      <c r="G1180" s="4">
        <f t="shared" si="43"/>
        <v>-25600.009940357853</v>
      </c>
      <c r="H1180" s="4">
        <f t="shared" si="44"/>
        <v>-153.60005964214724</v>
      </c>
    </row>
    <row r="1181" spans="1:8">
      <c r="A1181" s="1" t="s">
        <v>1282</v>
      </c>
      <c r="B1181" s="1" t="s">
        <v>1283</v>
      </c>
      <c r="C1181" s="1" t="s">
        <v>1285</v>
      </c>
      <c r="D1181" s="3">
        <v>-74343.42</v>
      </c>
      <c r="E1181" s="3">
        <v>11765551.57</v>
      </c>
      <c r="G1181" s="4">
        <f t="shared" si="43"/>
        <v>-73900.019880715699</v>
      </c>
      <c r="H1181" s="4">
        <f t="shared" si="44"/>
        <v>-443.40011928429885</v>
      </c>
    </row>
    <row r="1182" spans="1:8">
      <c r="A1182" s="1" t="s">
        <v>1282</v>
      </c>
      <c r="B1182" s="1" t="s">
        <v>47</v>
      </c>
      <c r="C1182" s="1" t="s">
        <v>1287</v>
      </c>
      <c r="D1182" s="3">
        <v>-150472.45000000001</v>
      </c>
      <c r="E1182" s="3">
        <v>11589325.51</v>
      </c>
      <c r="G1182" s="4">
        <f t="shared" si="43"/>
        <v>-149575</v>
      </c>
      <c r="H1182" s="4">
        <f t="shared" si="44"/>
        <v>-897.45000000001164</v>
      </c>
    </row>
    <row r="1183" spans="1:8">
      <c r="A1183" s="1" t="s">
        <v>1282</v>
      </c>
      <c r="B1183" s="1" t="s">
        <v>47</v>
      </c>
      <c r="C1183" s="1" t="s">
        <v>1288</v>
      </c>
      <c r="D1183" s="3">
        <v>-179047.88</v>
      </c>
      <c r="E1183" s="3">
        <v>11410277.630000001</v>
      </c>
      <c r="G1183" s="4">
        <f t="shared" si="43"/>
        <v>-177980</v>
      </c>
      <c r="H1183" s="4">
        <f t="shared" si="44"/>
        <v>-1067.8800000000047</v>
      </c>
    </row>
    <row r="1184" spans="1:8">
      <c r="A1184" s="1" t="s">
        <v>1282</v>
      </c>
      <c r="B1184" s="1" t="s">
        <v>1295</v>
      </c>
      <c r="C1184" s="1" t="s">
        <v>1296</v>
      </c>
      <c r="D1184" s="3">
        <v>-5000</v>
      </c>
      <c r="E1184" s="3">
        <v>9497026.7799999993</v>
      </c>
      <c r="G1184" s="4">
        <f t="shared" si="43"/>
        <v>-4970.1789264413519</v>
      </c>
      <c r="H1184" s="4">
        <f t="shared" si="44"/>
        <v>-29.821073558648095</v>
      </c>
    </row>
    <row r="1185" spans="1:8">
      <c r="A1185" s="1" t="s">
        <v>1282</v>
      </c>
      <c r="B1185" s="1" t="s">
        <v>31</v>
      </c>
      <c r="C1185" s="1" t="s">
        <v>1291</v>
      </c>
      <c r="D1185" s="3">
        <v>-69896.88</v>
      </c>
      <c r="E1185" s="3">
        <v>9989405.5999999996</v>
      </c>
      <c r="G1185" s="4">
        <f t="shared" si="43"/>
        <v>-69480</v>
      </c>
      <c r="H1185" s="4">
        <f t="shared" si="44"/>
        <v>-416.88000000000466</v>
      </c>
    </row>
    <row r="1186" spans="1:8">
      <c r="A1186" s="1" t="s">
        <v>1299</v>
      </c>
      <c r="B1186" s="1" t="s">
        <v>1301</v>
      </c>
      <c r="C1186" s="1" t="s">
        <v>1302</v>
      </c>
      <c r="D1186" s="3">
        <v>-251359.76</v>
      </c>
      <c r="E1186" s="3">
        <v>8079743.6399999997</v>
      </c>
      <c r="F1186" s="1" t="s">
        <v>1741</v>
      </c>
      <c r="G1186" s="4">
        <f t="shared" si="43"/>
        <v>-249860.59642147119</v>
      </c>
      <c r="H1186" s="4">
        <f t="shared" si="44"/>
        <v>-1499.1635785288236</v>
      </c>
    </row>
    <row r="1187" spans="1:8">
      <c r="A1187" s="1" t="s">
        <v>1299</v>
      </c>
      <c r="B1187" s="1" t="s">
        <v>916</v>
      </c>
      <c r="C1187" s="1" t="s">
        <v>1300</v>
      </c>
      <c r="D1187" s="3">
        <v>-142819.31</v>
      </c>
      <c r="E1187" s="3">
        <v>8331103.4000000004</v>
      </c>
      <c r="G1187" s="4">
        <f t="shared" si="43"/>
        <v>-141967.50497017891</v>
      </c>
      <c r="H1187" s="4">
        <f t="shared" si="44"/>
        <v>-851.80502982108737</v>
      </c>
    </row>
    <row r="1188" spans="1:8">
      <c r="A1188" s="1" t="s">
        <v>1303</v>
      </c>
      <c r="B1188" s="1" t="s">
        <v>15</v>
      </c>
      <c r="C1188" s="1" t="s">
        <v>1306</v>
      </c>
      <c r="D1188" s="3">
        <v>9158.42</v>
      </c>
      <c r="E1188" s="3">
        <v>7575962.4800000004</v>
      </c>
      <c r="F1188" s="1" t="s">
        <v>2732</v>
      </c>
      <c r="G1188" s="3">
        <f t="shared" ref="G1188:G1202" si="45">+D1188</f>
        <v>9158.42</v>
      </c>
      <c r="H1188" s="4">
        <f t="shared" si="44"/>
        <v>0</v>
      </c>
    </row>
    <row r="1189" spans="1:8">
      <c r="A1189" s="1" t="s">
        <v>1303</v>
      </c>
      <c r="B1189" s="1" t="s">
        <v>15</v>
      </c>
      <c r="C1189" s="1" t="s">
        <v>1307</v>
      </c>
      <c r="D1189" s="3">
        <v>7989.26</v>
      </c>
      <c r="E1189" s="3">
        <v>7583951.7400000002</v>
      </c>
      <c r="F1189" s="1" t="s">
        <v>2732</v>
      </c>
      <c r="G1189" s="3">
        <f t="shared" si="45"/>
        <v>7989.26</v>
      </c>
      <c r="H1189" s="4">
        <v>0</v>
      </c>
    </row>
    <row r="1190" spans="1:8">
      <c r="A1190" s="1" t="s">
        <v>1303</v>
      </c>
      <c r="B1190" s="1" t="s">
        <v>15</v>
      </c>
      <c r="C1190" s="1" t="s">
        <v>1308</v>
      </c>
      <c r="D1190" s="3">
        <v>9645.57</v>
      </c>
      <c r="E1190" s="3">
        <v>7593597.3099999996</v>
      </c>
      <c r="F1190" s="1" t="s">
        <v>2732</v>
      </c>
      <c r="G1190" s="3">
        <f t="shared" si="45"/>
        <v>9645.57</v>
      </c>
      <c r="H1190" s="4">
        <v>0</v>
      </c>
    </row>
    <row r="1191" spans="1:8">
      <c r="A1191" s="1" t="s">
        <v>1303</v>
      </c>
      <c r="B1191" s="1" t="s">
        <v>15</v>
      </c>
      <c r="C1191" s="1" t="s">
        <v>1309</v>
      </c>
      <c r="D1191" s="3">
        <v>17050.25</v>
      </c>
      <c r="E1191" s="3">
        <v>7610647.5599999996</v>
      </c>
      <c r="F1191" s="1" t="s">
        <v>2732</v>
      </c>
      <c r="G1191" s="3">
        <f t="shared" si="45"/>
        <v>17050.25</v>
      </c>
      <c r="H1191" s="4">
        <v>0</v>
      </c>
    </row>
    <row r="1192" spans="1:8">
      <c r="A1192" s="1" t="s">
        <v>1303</v>
      </c>
      <c r="B1192" s="1" t="s">
        <v>15</v>
      </c>
      <c r="C1192" s="1" t="s">
        <v>1310</v>
      </c>
      <c r="D1192" s="3">
        <v>37260.54</v>
      </c>
      <c r="E1192" s="3">
        <v>7647908.0999999996</v>
      </c>
      <c r="F1192" s="1" t="s">
        <v>2732</v>
      </c>
      <c r="G1192" s="3">
        <f t="shared" si="45"/>
        <v>37260.54</v>
      </c>
      <c r="H1192" s="4">
        <v>0</v>
      </c>
    </row>
    <row r="1193" spans="1:8">
      <c r="A1193" s="1" t="s">
        <v>1303</v>
      </c>
      <c r="B1193" s="1" t="s">
        <v>15</v>
      </c>
      <c r="C1193" s="1" t="s">
        <v>1311</v>
      </c>
      <c r="D1193" s="3">
        <v>35103.64</v>
      </c>
      <c r="E1193" s="3">
        <v>7683011.7400000002</v>
      </c>
      <c r="F1193" s="1" t="s">
        <v>2732</v>
      </c>
      <c r="G1193" s="3">
        <f t="shared" si="45"/>
        <v>35103.64</v>
      </c>
      <c r="H1193" s="4">
        <v>0</v>
      </c>
    </row>
    <row r="1194" spans="1:8">
      <c r="A1194" s="1" t="s">
        <v>1303</v>
      </c>
      <c r="B1194" s="1" t="s">
        <v>15</v>
      </c>
      <c r="C1194" s="1" t="s">
        <v>1312</v>
      </c>
      <c r="D1194" s="3">
        <v>32778.26</v>
      </c>
      <c r="E1194" s="3">
        <v>7715790</v>
      </c>
      <c r="F1194" s="1" t="s">
        <v>2732</v>
      </c>
      <c r="G1194" s="3">
        <f t="shared" si="45"/>
        <v>32778.26</v>
      </c>
      <c r="H1194" s="4">
        <v>0</v>
      </c>
    </row>
    <row r="1195" spans="1:8">
      <c r="A1195" s="1" t="s">
        <v>1303</v>
      </c>
      <c r="B1195" s="1" t="s">
        <v>15</v>
      </c>
      <c r="C1195" s="1" t="s">
        <v>1313</v>
      </c>
      <c r="D1195" s="3">
        <v>85737.43</v>
      </c>
      <c r="E1195" s="3">
        <v>7801527.4299999997</v>
      </c>
      <c r="F1195" s="1" t="s">
        <v>2732</v>
      </c>
      <c r="G1195" s="3">
        <f t="shared" si="45"/>
        <v>85737.43</v>
      </c>
      <c r="H1195" s="4">
        <v>0</v>
      </c>
    </row>
    <row r="1196" spans="1:8">
      <c r="A1196" s="1" t="s">
        <v>1303</v>
      </c>
      <c r="B1196" s="1" t="s">
        <v>15</v>
      </c>
      <c r="C1196" s="1" t="s">
        <v>1314</v>
      </c>
      <c r="D1196" s="3">
        <v>30103.919999999998</v>
      </c>
      <c r="E1196" s="3">
        <v>7831631.3499999996</v>
      </c>
      <c r="F1196" s="1" t="s">
        <v>2732</v>
      </c>
      <c r="G1196" s="3">
        <f t="shared" si="45"/>
        <v>30103.919999999998</v>
      </c>
      <c r="H1196" s="4">
        <v>0</v>
      </c>
    </row>
    <row r="1197" spans="1:8">
      <c r="A1197" s="1" t="s">
        <v>1303</v>
      </c>
      <c r="B1197" s="1" t="s">
        <v>15</v>
      </c>
      <c r="C1197" s="1" t="s">
        <v>1315</v>
      </c>
      <c r="D1197" s="3">
        <v>19484.05</v>
      </c>
      <c r="E1197" s="3">
        <v>7851115.4000000004</v>
      </c>
      <c r="F1197" s="1" t="s">
        <v>2732</v>
      </c>
      <c r="G1197" s="3">
        <f t="shared" si="45"/>
        <v>19484.05</v>
      </c>
      <c r="H1197" s="4">
        <v>0</v>
      </c>
    </row>
    <row r="1198" spans="1:8">
      <c r="A1198" s="1" t="s">
        <v>1303</v>
      </c>
      <c r="B1198" s="1" t="s">
        <v>1184</v>
      </c>
      <c r="C1198" s="1" t="s">
        <v>1316</v>
      </c>
      <c r="D1198" s="2">
        <v>978.02</v>
      </c>
      <c r="E1198" s="3">
        <v>7852093.4199999999</v>
      </c>
      <c r="F1198" s="2" t="s">
        <v>2732</v>
      </c>
      <c r="G1198" s="3">
        <f t="shared" si="45"/>
        <v>978.02</v>
      </c>
      <c r="H1198" s="4">
        <v>0</v>
      </c>
    </row>
    <row r="1199" spans="1:8">
      <c r="A1199" s="1" t="s">
        <v>1303</v>
      </c>
      <c r="B1199" s="1" t="s">
        <v>15</v>
      </c>
      <c r="C1199" s="1" t="s">
        <v>1317</v>
      </c>
      <c r="D1199" s="3">
        <v>25813.11</v>
      </c>
      <c r="E1199" s="3">
        <v>7877906.5300000003</v>
      </c>
      <c r="F1199" s="1" t="s">
        <v>2732</v>
      </c>
      <c r="G1199" s="3">
        <f t="shared" si="45"/>
        <v>25813.11</v>
      </c>
      <c r="H1199" s="4">
        <v>0</v>
      </c>
    </row>
    <row r="1200" spans="1:8">
      <c r="A1200" s="1" t="s">
        <v>1303</v>
      </c>
      <c r="B1200" s="1" t="s">
        <v>1318</v>
      </c>
      <c r="C1200" s="1" t="s">
        <v>1319</v>
      </c>
      <c r="D1200" s="3">
        <v>2593.37</v>
      </c>
      <c r="E1200" s="3">
        <v>7880499.9000000004</v>
      </c>
      <c r="F1200" s="2" t="s">
        <v>2732</v>
      </c>
      <c r="G1200" s="3">
        <f t="shared" si="45"/>
        <v>2593.37</v>
      </c>
      <c r="H1200" s="4">
        <v>0</v>
      </c>
    </row>
    <row r="1201" spans="1:8">
      <c r="A1201" s="59" t="s">
        <v>1303</v>
      </c>
      <c r="B1201" s="59" t="s">
        <v>28</v>
      </c>
      <c r="C1201" s="59" t="s">
        <v>1304</v>
      </c>
      <c r="D1201" s="64">
        <v>-1107.6099999999999</v>
      </c>
      <c r="E1201" s="64">
        <v>7894033.6299999999</v>
      </c>
      <c r="F1201" s="59"/>
      <c r="G1201" s="64">
        <f t="shared" si="45"/>
        <v>-1107.6099999999999</v>
      </c>
      <c r="H1201" s="65"/>
    </row>
    <row r="1202" spans="1:8">
      <c r="A1202" s="59" t="s">
        <v>1303</v>
      </c>
      <c r="B1202" s="59" t="s">
        <v>28</v>
      </c>
      <c r="C1202" s="59" t="s">
        <v>1305</v>
      </c>
      <c r="D1202" s="64">
        <v>-1951.67</v>
      </c>
      <c r="E1202" s="64">
        <v>7566804.0599999996</v>
      </c>
      <c r="F1202" s="59"/>
      <c r="G1202" s="64">
        <f t="shared" si="45"/>
        <v>-1951.67</v>
      </c>
      <c r="H1202" s="65"/>
    </row>
    <row r="1203" spans="1:8">
      <c r="A1203" s="1" t="s">
        <v>1303</v>
      </c>
      <c r="B1203" s="1" t="s">
        <v>49</v>
      </c>
      <c r="C1203" s="1" t="s">
        <v>1304</v>
      </c>
      <c r="D1203" s="3">
        <v>-184602.4</v>
      </c>
      <c r="E1203" s="3">
        <v>7895141.2400000002</v>
      </c>
      <c r="G1203" s="4">
        <f>+D1203/1.006</f>
        <v>-183501.39165009939</v>
      </c>
      <c r="H1203" s="4">
        <f>+D1203-G1203</f>
        <v>-1101.0083499005996</v>
      </c>
    </row>
    <row r="1204" spans="1:8">
      <c r="A1204" s="1" t="s">
        <v>1303</v>
      </c>
      <c r="B1204" s="1" t="s">
        <v>49</v>
      </c>
      <c r="C1204" s="1" t="s">
        <v>1305</v>
      </c>
      <c r="D1204" s="3">
        <v>-325277.90000000002</v>
      </c>
      <c r="E1204" s="3">
        <v>7568755.7300000004</v>
      </c>
      <c r="G1204" s="4">
        <f>+D1204/1.006</f>
        <v>-323337.87276341952</v>
      </c>
      <c r="H1204" s="4">
        <f>+D1204-G1204</f>
        <v>-1940.0272365804994</v>
      </c>
    </row>
    <row r="1205" spans="1:8">
      <c r="A1205" s="1" t="s">
        <v>1320</v>
      </c>
      <c r="B1205" s="1" t="s">
        <v>15</v>
      </c>
      <c r="C1205" s="1" t="s">
        <v>1321</v>
      </c>
      <c r="D1205" s="3">
        <v>25436.06</v>
      </c>
      <c r="E1205" s="3">
        <v>7905935.96</v>
      </c>
      <c r="F1205" s="1" t="s">
        <v>2732</v>
      </c>
      <c r="G1205" s="3">
        <f t="shared" ref="G1205:G1236" si="46">+D1205</f>
        <v>25436.06</v>
      </c>
      <c r="H1205" s="4">
        <v>0</v>
      </c>
    </row>
    <row r="1206" spans="1:8">
      <c r="A1206" s="1" t="s">
        <v>1320</v>
      </c>
      <c r="B1206" s="1" t="s">
        <v>15</v>
      </c>
      <c r="C1206" s="1" t="s">
        <v>1322</v>
      </c>
      <c r="D1206" s="3">
        <v>19096.28</v>
      </c>
      <c r="E1206" s="3">
        <v>7925032.2400000002</v>
      </c>
      <c r="F1206" s="1" t="s">
        <v>2732</v>
      </c>
      <c r="G1206" s="3">
        <f t="shared" si="46"/>
        <v>19096.28</v>
      </c>
      <c r="H1206" s="4">
        <v>0</v>
      </c>
    </row>
    <row r="1207" spans="1:8">
      <c r="A1207" s="1" t="s">
        <v>1320</v>
      </c>
      <c r="B1207" s="1" t="s">
        <v>15</v>
      </c>
      <c r="C1207" s="1" t="s">
        <v>1323</v>
      </c>
      <c r="D1207" s="3">
        <v>35074.800000000003</v>
      </c>
      <c r="E1207" s="3">
        <v>7960107.04</v>
      </c>
      <c r="F1207" s="1" t="s">
        <v>2732</v>
      </c>
      <c r="G1207" s="3">
        <f t="shared" si="46"/>
        <v>35074.800000000003</v>
      </c>
      <c r="H1207" s="4">
        <v>0</v>
      </c>
    </row>
    <row r="1208" spans="1:8">
      <c r="A1208" s="1" t="s">
        <v>1320</v>
      </c>
      <c r="B1208" s="1" t="s">
        <v>15</v>
      </c>
      <c r="C1208" s="1" t="s">
        <v>1325</v>
      </c>
      <c r="D1208" s="3">
        <v>8447.4</v>
      </c>
      <c r="E1208" s="3">
        <v>7869875.8700000001</v>
      </c>
      <c r="F1208" s="1" t="s">
        <v>2732</v>
      </c>
      <c r="G1208" s="3">
        <f t="shared" si="46"/>
        <v>8447.4</v>
      </c>
      <c r="H1208" s="4">
        <v>0</v>
      </c>
    </row>
    <row r="1209" spans="1:8">
      <c r="A1209" s="1" t="s">
        <v>1320</v>
      </c>
      <c r="B1209" s="1" t="s">
        <v>15</v>
      </c>
      <c r="C1209" s="1" t="s">
        <v>1326</v>
      </c>
      <c r="D1209" s="3">
        <v>38543.760000000002</v>
      </c>
      <c r="E1209" s="3">
        <v>7908419.6299999999</v>
      </c>
      <c r="F1209" s="1" t="s">
        <v>2732</v>
      </c>
      <c r="G1209" s="3">
        <f t="shared" si="46"/>
        <v>38543.760000000002</v>
      </c>
      <c r="H1209" s="4">
        <v>0</v>
      </c>
    </row>
    <row r="1210" spans="1:8">
      <c r="A1210" s="1" t="s">
        <v>1320</v>
      </c>
      <c r="B1210" s="1" t="s">
        <v>15</v>
      </c>
      <c r="C1210" s="1" t="s">
        <v>1327</v>
      </c>
      <c r="D1210" s="3">
        <v>4384.3500000000004</v>
      </c>
      <c r="E1210" s="3">
        <v>7912803.9800000004</v>
      </c>
      <c r="F1210" s="1" t="s">
        <v>2732</v>
      </c>
      <c r="G1210" s="3">
        <f t="shared" si="46"/>
        <v>4384.3500000000004</v>
      </c>
      <c r="H1210" s="4">
        <v>0</v>
      </c>
    </row>
    <row r="1211" spans="1:8">
      <c r="A1211" s="1" t="s">
        <v>1320</v>
      </c>
      <c r="B1211" s="1" t="s">
        <v>15</v>
      </c>
      <c r="C1211" s="1" t="s">
        <v>1328</v>
      </c>
      <c r="D1211" s="3">
        <v>8768.7000000000007</v>
      </c>
      <c r="E1211" s="3">
        <v>7921572.6799999997</v>
      </c>
      <c r="F1211" s="1" t="s">
        <v>2732</v>
      </c>
      <c r="G1211" s="3">
        <f t="shared" si="46"/>
        <v>8768.7000000000007</v>
      </c>
      <c r="H1211" s="4">
        <v>0</v>
      </c>
    </row>
    <row r="1212" spans="1:8">
      <c r="A1212" s="1" t="s">
        <v>1320</v>
      </c>
      <c r="B1212" s="1" t="s">
        <v>15</v>
      </c>
      <c r="C1212" s="1" t="s">
        <v>1329</v>
      </c>
      <c r="D1212" s="3">
        <v>3507.48</v>
      </c>
      <c r="E1212" s="3">
        <v>7925080.1600000001</v>
      </c>
      <c r="F1212" s="1" t="s">
        <v>2732</v>
      </c>
      <c r="G1212" s="3">
        <f t="shared" si="46"/>
        <v>3507.48</v>
      </c>
      <c r="H1212" s="4">
        <v>0</v>
      </c>
    </row>
    <row r="1213" spans="1:8">
      <c r="A1213" s="1" t="s">
        <v>1320</v>
      </c>
      <c r="B1213" s="1" t="s">
        <v>15</v>
      </c>
      <c r="C1213" s="1" t="s">
        <v>1330</v>
      </c>
      <c r="D1213" s="3">
        <v>23995.38</v>
      </c>
      <c r="E1213" s="3">
        <v>7949075.54</v>
      </c>
      <c r="F1213" s="1" t="s">
        <v>2732</v>
      </c>
      <c r="G1213" s="3">
        <f t="shared" si="46"/>
        <v>23995.38</v>
      </c>
      <c r="H1213" s="4">
        <v>0</v>
      </c>
    </row>
    <row r="1214" spans="1:8">
      <c r="A1214" s="1" t="s">
        <v>1320</v>
      </c>
      <c r="B1214" s="1" t="s">
        <v>15</v>
      </c>
      <c r="C1214" s="1" t="s">
        <v>1331</v>
      </c>
      <c r="D1214" s="3">
        <v>5358.65</v>
      </c>
      <c r="E1214" s="3">
        <v>7954434.1900000004</v>
      </c>
      <c r="F1214" s="1" t="s">
        <v>2732</v>
      </c>
      <c r="G1214" s="3">
        <f t="shared" si="46"/>
        <v>5358.65</v>
      </c>
      <c r="H1214" s="4">
        <v>0</v>
      </c>
    </row>
    <row r="1215" spans="1:8">
      <c r="A1215" s="1" t="s">
        <v>1320</v>
      </c>
      <c r="B1215" s="1" t="s">
        <v>15</v>
      </c>
      <c r="C1215" s="1" t="s">
        <v>1332</v>
      </c>
      <c r="D1215" s="3">
        <v>4384.3500000000004</v>
      </c>
      <c r="E1215" s="3">
        <v>7958818.54</v>
      </c>
      <c r="F1215" s="1" t="s">
        <v>2732</v>
      </c>
      <c r="G1215" s="3">
        <f t="shared" si="46"/>
        <v>4384.3500000000004</v>
      </c>
      <c r="H1215" s="4">
        <v>0</v>
      </c>
    </row>
    <row r="1216" spans="1:8">
      <c r="A1216" s="1" t="s">
        <v>1320</v>
      </c>
      <c r="B1216" s="1" t="s">
        <v>1333</v>
      </c>
      <c r="C1216" s="1" t="s">
        <v>1334</v>
      </c>
      <c r="D1216" s="2">
        <v>440.55</v>
      </c>
      <c r="E1216" s="3">
        <v>7959259.0899999999</v>
      </c>
      <c r="F1216" s="2" t="s">
        <v>2732</v>
      </c>
      <c r="G1216" s="3">
        <f t="shared" si="46"/>
        <v>440.55</v>
      </c>
      <c r="H1216" s="4">
        <v>0</v>
      </c>
    </row>
    <row r="1217" spans="1:8">
      <c r="A1217" s="1" t="s">
        <v>1320</v>
      </c>
      <c r="B1217" s="1" t="s">
        <v>15</v>
      </c>
      <c r="C1217" s="1" t="s">
        <v>1335</v>
      </c>
      <c r="D1217" s="3">
        <v>17537.400000000001</v>
      </c>
      <c r="E1217" s="3">
        <v>7976796.4900000002</v>
      </c>
      <c r="F1217" s="1" t="s">
        <v>2732</v>
      </c>
      <c r="G1217" s="3">
        <f t="shared" si="46"/>
        <v>17537.400000000001</v>
      </c>
      <c r="H1217" s="4">
        <v>0</v>
      </c>
    </row>
    <row r="1218" spans="1:8">
      <c r="A1218" s="1" t="s">
        <v>1320</v>
      </c>
      <c r="B1218" s="1" t="s">
        <v>15</v>
      </c>
      <c r="C1218" s="1" t="s">
        <v>1336</v>
      </c>
      <c r="D1218" s="3">
        <v>4384.3500000000004</v>
      </c>
      <c r="E1218" s="3">
        <v>7981180.8399999999</v>
      </c>
      <c r="F1218" s="1" t="s">
        <v>2732</v>
      </c>
      <c r="G1218" s="3">
        <f t="shared" si="46"/>
        <v>4384.3500000000004</v>
      </c>
      <c r="H1218" s="4">
        <v>0</v>
      </c>
    </row>
    <row r="1219" spans="1:8">
      <c r="A1219" s="1" t="s">
        <v>1320</v>
      </c>
      <c r="B1219" s="1" t="s">
        <v>15</v>
      </c>
      <c r="C1219" s="1" t="s">
        <v>1337</v>
      </c>
      <c r="D1219" s="3">
        <v>8963.56</v>
      </c>
      <c r="E1219" s="3">
        <v>7990144.4000000004</v>
      </c>
      <c r="F1219" s="1" t="s">
        <v>2732</v>
      </c>
      <c r="G1219" s="3">
        <f t="shared" si="46"/>
        <v>8963.56</v>
      </c>
      <c r="H1219" s="4">
        <v>0</v>
      </c>
    </row>
    <row r="1220" spans="1:8">
      <c r="A1220" s="1" t="s">
        <v>1320</v>
      </c>
      <c r="B1220" s="1" t="s">
        <v>15</v>
      </c>
      <c r="C1220" s="1" t="s">
        <v>1338</v>
      </c>
      <c r="D1220" s="3">
        <v>8768.7000000000007</v>
      </c>
      <c r="E1220" s="3">
        <v>7998913.0999999996</v>
      </c>
      <c r="F1220" s="1" t="s">
        <v>2732</v>
      </c>
      <c r="G1220" s="3">
        <f t="shared" si="46"/>
        <v>8768.7000000000007</v>
      </c>
      <c r="H1220" s="4">
        <v>0</v>
      </c>
    </row>
    <row r="1221" spans="1:8">
      <c r="A1221" s="1" t="s">
        <v>1320</v>
      </c>
      <c r="B1221" s="1" t="s">
        <v>15</v>
      </c>
      <c r="C1221" s="1" t="s">
        <v>1339</v>
      </c>
      <c r="D1221" s="3">
        <v>12081.32</v>
      </c>
      <c r="E1221" s="3">
        <v>8010994.4199999999</v>
      </c>
      <c r="F1221" s="1" t="s">
        <v>2732</v>
      </c>
      <c r="G1221" s="3">
        <f t="shared" si="46"/>
        <v>12081.32</v>
      </c>
      <c r="H1221" s="4">
        <v>0</v>
      </c>
    </row>
    <row r="1222" spans="1:8">
      <c r="A1222" s="1" t="s">
        <v>1320</v>
      </c>
      <c r="B1222" s="1" t="s">
        <v>1340</v>
      </c>
      <c r="C1222" s="1" t="s">
        <v>1341</v>
      </c>
      <c r="D1222" s="3">
        <v>1213.96</v>
      </c>
      <c r="E1222" s="3">
        <v>8012208.3799999999</v>
      </c>
      <c r="F1222" s="2" t="s">
        <v>2732</v>
      </c>
      <c r="G1222" s="3">
        <f t="shared" si="46"/>
        <v>1213.96</v>
      </c>
      <c r="H1222" s="4">
        <v>0</v>
      </c>
    </row>
    <row r="1223" spans="1:8">
      <c r="A1223" s="1" t="s">
        <v>1320</v>
      </c>
      <c r="B1223" s="1" t="s">
        <v>15</v>
      </c>
      <c r="C1223" s="1" t="s">
        <v>1342</v>
      </c>
      <c r="D1223" s="3">
        <v>75103.649999999994</v>
      </c>
      <c r="E1223" s="3">
        <v>8087312.0300000003</v>
      </c>
      <c r="F1223" s="1" t="s">
        <v>2732</v>
      </c>
      <c r="G1223" s="3">
        <f t="shared" si="46"/>
        <v>75103.649999999994</v>
      </c>
      <c r="H1223" s="4">
        <v>0</v>
      </c>
    </row>
    <row r="1224" spans="1:8">
      <c r="A1224" s="1" t="s">
        <v>1320</v>
      </c>
      <c r="B1224" s="1" t="s">
        <v>15</v>
      </c>
      <c r="C1224" s="1" t="s">
        <v>1343</v>
      </c>
      <c r="D1224" s="3">
        <v>18678.14</v>
      </c>
      <c r="E1224" s="3">
        <v>8105990.1699999999</v>
      </c>
      <c r="F1224" s="1" t="s">
        <v>2732</v>
      </c>
      <c r="G1224" s="3">
        <f t="shared" si="46"/>
        <v>18678.14</v>
      </c>
      <c r="H1224" s="4">
        <v>0</v>
      </c>
    </row>
    <row r="1225" spans="1:8">
      <c r="A1225" s="1" t="s">
        <v>1320</v>
      </c>
      <c r="B1225" s="1" t="s">
        <v>15</v>
      </c>
      <c r="C1225" s="1" t="s">
        <v>1344</v>
      </c>
      <c r="D1225" s="3">
        <v>6820.1</v>
      </c>
      <c r="E1225" s="3">
        <v>8112810.2699999996</v>
      </c>
      <c r="F1225" s="1" t="s">
        <v>2732</v>
      </c>
      <c r="G1225" s="3">
        <f t="shared" si="46"/>
        <v>6820.1</v>
      </c>
      <c r="H1225" s="4">
        <v>0</v>
      </c>
    </row>
    <row r="1226" spans="1:8">
      <c r="A1226" s="1" t="s">
        <v>1320</v>
      </c>
      <c r="B1226" s="1" t="s">
        <v>15</v>
      </c>
      <c r="C1226" s="1" t="s">
        <v>1345</v>
      </c>
      <c r="D1226" s="3">
        <v>3702.34</v>
      </c>
      <c r="E1226" s="3">
        <v>8116512.6100000003</v>
      </c>
      <c r="F1226" s="1" t="s">
        <v>2732</v>
      </c>
      <c r="G1226" s="3">
        <f t="shared" si="46"/>
        <v>3702.34</v>
      </c>
      <c r="H1226" s="4">
        <v>0</v>
      </c>
    </row>
    <row r="1227" spans="1:8">
      <c r="A1227" s="1" t="s">
        <v>1320</v>
      </c>
      <c r="B1227" s="1" t="s">
        <v>15</v>
      </c>
      <c r="C1227" s="1" t="s">
        <v>1346</v>
      </c>
      <c r="D1227" s="3">
        <v>3702.34</v>
      </c>
      <c r="E1227" s="3">
        <v>8120214.9500000002</v>
      </c>
      <c r="F1227" s="1" t="s">
        <v>2732</v>
      </c>
      <c r="G1227" s="3">
        <f t="shared" si="46"/>
        <v>3702.34</v>
      </c>
      <c r="H1227" s="4">
        <v>0</v>
      </c>
    </row>
    <row r="1228" spans="1:8">
      <c r="A1228" s="1" t="s">
        <v>1320</v>
      </c>
      <c r="B1228" s="1" t="s">
        <v>15</v>
      </c>
      <c r="C1228" s="1" t="s">
        <v>1347</v>
      </c>
      <c r="D1228" s="3">
        <v>4354.6499999999996</v>
      </c>
      <c r="E1228" s="3">
        <v>8124569.5999999996</v>
      </c>
      <c r="F1228" s="1" t="s">
        <v>2732</v>
      </c>
      <c r="G1228" s="3">
        <f t="shared" si="46"/>
        <v>4354.6499999999996</v>
      </c>
      <c r="H1228" s="4">
        <v>0</v>
      </c>
    </row>
    <row r="1229" spans="1:8">
      <c r="A1229" s="1" t="s">
        <v>1320</v>
      </c>
      <c r="B1229" s="1" t="s">
        <v>15</v>
      </c>
      <c r="C1229" s="1" t="s">
        <v>1348</v>
      </c>
      <c r="D1229" s="3">
        <v>8184.12</v>
      </c>
      <c r="E1229" s="3">
        <v>8132753.7199999997</v>
      </c>
      <c r="F1229" s="1" t="s">
        <v>2732</v>
      </c>
      <c r="G1229" s="3">
        <f t="shared" si="46"/>
        <v>8184.12</v>
      </c>
      <c r="H1229" s="4">
        <v>0</v>
      </c>
    </row>
    <row r="1230" spans="1:8">
      <c r="A1230" s="1" t="s">
        <v>1320</v>
      </c>
      <c r="B1230" s="1" t="s">
        <v>1349</v>
      </c>
      <c r="C1230" s="1" t="s">
        <v>1350</v>
      </c>
      <c r="D1230" s="3">
        <v>1233.54</v>
      </c>
      <c r="E1230" s="3">
        <v>8133987.2599999998</v>
      </c>
      <c r="F1230" s="2" t="s">
        <v>2732</v>
      </c>
      <c r="G1230" s="3">
        <f t="shared" si="46"/>
        <v>1233.54</v>
      </c>
      <c r="H1230" s="4">
        <v>0</v>
      </c>
    </row>
    <row r="1231" spans="1:8">
      <c r="A1231" s="1" t="s">
        <v>1320</v>
      </c>
      <c r="B1231" s="1" t="s">
        <v>15</v>
      </c>
      <c r="C1231" s="1" t="s">
        <v>1351</v>
      </c>
      <c r="D1231" s="3">
        <v>3897.2</v>
      </c>
      <c r="E1231" s="3">
        <v>8137884.46</v>
      </c>
      <c r="F1231" s="1" t="s">
        <v>2732</v>
      </c>
      <c r="G1231" s="3">
        <f t="shared" si="46"/>
        <v>3897.2</v>
      </c>
      <c r="H1231" s="4">
        <v>0</v>
      </c>
    </row>
    <row r="1232" spans="1:8">
      <c r="A1232" s="1" t="s">
        <v>1320</v>
      </c>
      <c r="B1232" s="1" t="s">
        <v>15</v>
      </c>
      <c r="C1232" s="1" t="s">
        <v>1352</v>
      </c>
      <c r="D1232" s="3">
        <v>127633.3</v>
      </c>
      <c r="E1232" s="3">
        <v>8265517.7599999998</v>
      </c>
      <c r="F1232" s="1" t="s">
        <v>2732</v>
      </c>
      <c r="G1232" s="3">
        <f t="shared" si="46"/>
        <v>127633.3</v>
      </c>
      <c r="H1232" s="4">
        <v>0</v>
      </c>
    </row>
    <row r="1233" spans="1:8">
      <c r="A1233" s="1" t="s">
        <v>1320</v>
      </c>
      <c r="B1233" s="1" t="s">
        <v>15</v>
      </c>
      <c r="C1233" s="1" t="s">
        <v>1353</v>
      </c>
      <c r="D1233" s="3">
        <v>4223.7</v>
      </c>
      <c r="E1233" s="3">
        <v>8269741.46</v>
      </c>
      <c r="F1233" s="1" t="s">
        <v>2732</v>
      </c>
      <c r="G1233" s="3">
        <f t="shared" si="46"/>
        <v>4223.7</v>
      </c>
      <c r="H1233" s="4">
        <v>0</v>
      </c>
    </row>
    <row r="1234" spans="1:8">
      <c r="A1234" s="1" t="s">
        <v>1320</v>
      </c>
      <c r="B1234" s="1" t="s">
        <v>15</v>
      </c>
      <c r="C1234" s="1" t="s">
        <v>1354</v>
      </c>
      <c r="D1234" s="3">
        <v>4384.3500000000004</v>
      </c>
      <c r="E1234" s="3">
        <v>8274125.8099999996</v>
      </c>
      <c r="F1234" s="1" t="s">
        <v>2732</v>
      </c>
      <c r="G1234" s="3">
        <f t="shared" si="46"/>
        <v>4384.3500000000004</v>
      </c>
      <c r="H1234" s="4">
        <v>0</v>
      </c>
    </row>
    <row r="1235" spans="1:8">
      <c r="A1235" s="1" t="s">
        <v>1320</v>
      </c>
      <c r="B1235" s="1" t="s">
        <v>15</v>
      </c>
      <c r="C1235" s="1" t="s">
        <v>1355</v>
      </c>
      <c r="D1235" s="3">
        <v>3945.91</v>
      </c>
      <c r="E1235" s="3">
        <v>8278071.7199999997</v>
      </c>
      <c r="F1235" s="1" t="s">
        <v>2732</v>
      </c>
      <c r="G1235" s="3">
        <f t="shared" si="46"/>
        <v>3945.91</v>
      </c>
      <c r="H1235" s="4">
        <v>0</v>
      </c>
    </row>
    <row r="1236" spans="1:8">
      <c r="A1236" s="1" t="s">
        <v>1320</v>
      </c>
      <c r="B1236" s="1" t="s">
        <v>15</v>
      </c>
      <c r="C1236" s="1" t="s">
        <v>1356</v>
      </c>
      <c r="D1236" s="3">
        <v>23772.92</v>
      </c>
      <c r="E1236" s="3">
        <v>8301844.6399999997</v>
      </c>
      <c r="F1236" s="1" t="s">
        <v>2732</v>
      </c>
      <c r="G1236" s="3">
        <f t="shared" si="46"/>
        <v>23772.92</v>
      </c>
      <c r="H1236" s="4">
        <v>0</v>
      </c>
    </row>
    <row r="1237" spans="1:8">
      <c r="A1237" s="1" t="s">
        <v>1320</v>
      </c>
      <c r="B1237" s="1" t="s">
        <v>15</v>
      </c>
      <c r="C1237" s="1" t="s">
        <v>1357</v>
      </c>
      <c r="D1237" s="3">
        <v>7978.1</v>
      </c>
      <c r="E1237" s="3">
        <v>8309822.7400000002</v>
      </c>
      <c r="F1237" s="1" t="s">
        <v>2732</v>
      </c>
      <c r="G1237" s="3">
        <f t="shared" ref="G1237:G1260" si="47">+D1237</f>
        <v>7978.1</v>
      </c>
      <c r="H1237" s="4">
        <v>0</v>
      </c>
    </row>
    <row r="1238" spans="1:8">
      <c r="A1238" s="1" t="s">
        <v>1320</v>
      </c>
      <c r="B1238" s="1" t="s">
        <v>15</v>
      </c>
      <c r="C1238" s="1" t="s">
        <v>1358</v>
      </c>
      <c r="D1238" s="3">
        <v>4871.5</v>
      </c>
      <c r="E1238" s="3">
        <v>8314694.2400000002</v>
      </c>
      <c r="F1238" s="1" t="s">
        <v>2732</v>
      </c>
      <c r="G1238" s="3">
        <f t="shared" si="47"/>
        <v>4871.5</v>
      </c>
      <c r="H1238" s="4">
        <v>0</v>
      </c>
    </row>
    <row r="1239" spans="1:8">
      <c r="A1239" s="1" t="s">
        <v>1320</v>
      </c>
      <c r="B1239" s="1" t="s">
        <v>15</v>
      </c>
      <c r="C1239" s="1" t="s">
        <v>1359</v>
      </c>
      <c r="D1239" s="3">
        <v>4871.5</v>
      </c>
      <c r="E1239" s="3">
        <v>8319565.7400000002</v>
      </c>
      <c r="F1239" s="1" t="s">
        <v>2732</v>
      </c>
      <c r="G1239" s="3">
        <f t="shared" si="47"/>
        <v>4871.5</v>
      </c>
      <c r="H1239" s="4">
        <v>0</v>
      </c>
    </row>
    <row r="1240" spans="1:8">
      <c r="A1240" s="1" t="s">
        <v>1320</v>
      </c>
      <c r="B1240" s="1" t="s">
        <v>15</v>
      </c>
      <c r="C1240" s="1" t="s">
        <v>1360</v>
      </c>
      <c r="D1240" s="3">
        <v>1753.74</v>
      </c>
      <c r="E1240" s="3">
        <v>8321319.4800000004</v>
      </c>
      <c r="F1240" s="1" t="s">
        <v>2732</v>
      </c>
      <c r="G1240" s="3">
        <f t="shared" si="47"/>
        <v>1753.74</v>
      </c>
      <c r="H1240" s="4">
        <v>0</v>
      </c>
    </row>
    <row r="1241" spans="1:8">
      <c r="A1241" s="1" t="s">
        <v>1320</v>
      </c>
      <c r="B1241" s="1" t="s">
        <v>1361</v>
      </c>
      <c r="C1241" s="1" t="s">
        <v>1362</v>
      </c>
      <c r="D1241" s="2">
        <v>264.33</v>
      </c>
      <c r="E1241" s="3">
        <v>8321583.8099999996</v>
      </c>
      <c r="F1241" s="2" t="s">
        <v>2732</v>
      </c>
      <c r="G1241" s="3">
        <f t="shared" si="47"/>
        <v>264.33</v>
      </c>
      <c r="H1241" s="4">
        <v>0</v>
      </c>
    </row>
    <row r="1242" spans="1:8">
      <c r="A1242" s="1" t="s">
        <v>1320</v>
      </c>
      <c r="B1242" s="1" t="s">
        <v>15</v>
      </c>
      <c r="C1242" s="1" t="s">
        <v>1363</v>
      </c>
      <c r="D1242" s="3">
        <v>3507.48</v>
      </c>
      <c r="E1242" s="3">
        <v>8325091.29</v>
      </c>
      <c r="F1242" s="1" t="s">
        <v>2732</v>
      </c>
      <c r="G1242" s="3">
        <f t="shared" si="47"/>
        <v>3507.48</v>
      </c>
      <c r="H1242" s="4">
        <v>0</v>
      </c>
    </row>
    <row r="1243" spans="1:8">
      <c r="A1243" s="1" t="s">
        <v>1320</v>
      </c>
      <c r="B1243" s="1" t="s">
        <v>15</v>
      </c>
      <c r="C1243" s="1" t="s">
        <v>1364</v>
      </c>
      <c r="D1243" s="3">
        <v>59042.58</v>
      </c>
      <c r="E1243" s="3">
        <v>8384133.8700000001</v>
      </c>
      <c r="F1243" s="1" t="s">
        <v>2732</v>
      </c>
      <c r="G1243" s="3">
        <f t="shared" si="47"/>
        <v>59042.58</v>
      </c>
      <c r="H1243" s="4">
        <v>0</v>
      </c>
    </row>
    <row r="1244" spans="1:8">
      <c r="A1244" s="1" t="s">
        <v>1320</v>
      </c>
      <c r="B1244" s="1" t="s">
        <v>15</v>
      </c>
      <c r="C1244" s="1" t="s">
        <v>1365</v>
      </c>
      <c r="D1244" s="3">
        <v>4384.3500000000004</v>
      </c>
      <c r="E1244" s="3">
        <v>8388518.2199999997</v>
      </c>
      <c r="F1244" s="1" t="s">
        <v>2732</v>
      </c>
      <c r="G1244" s="3">
        <f t="shared" si="47"/>
        <v>4384.3500000000004</v>
      </c>
      <c r="H1244" s="4">
        <v>0</v>
      </c>
    </row>
    <row r="1245" spans="1:8">
      <c r="A1245" s="1" t="s">
        <v>1320</v>
      </c>
      <c r="B1245" s="1" t="s">
        <v>15</v>
      </c>
      <c r="C1245" s="1" t="s">
        <v>1366</v>
      </c>
      <c r="D1245" s="3">
        <v>4062.21</v>
      </c>
      <c r="E1245" s="3">
        <v>8392580.4299999997</v>
      </c>
      <c r="F1245" s="1" t="s">
        <v>2732</v>
      </c>
      <c r="G1245" s="3">
        <f t="shared" si="47"/>
        <v>4062.21</v>
      </c>
      <c r="H1245" s="4">
        <v>0</v>
      </c>
    </row>
    <row r="1246" spans="1:8">
      <c r="A1246" s="1" t="s">
        <v>1320</v>
      </c>
      <c r="B1246" s="1" t="s">
        <v>15</v>
      </c>
      <c r="C1246" s="1" t="s">
        <v>1367</v>
      </c>
      <c r="D1246" s="3">
        <v>8768.7000000000007</v>
      </c>
      <c r="E1246" s="3">
        <v>8401349.1300000008</v>
      </c>
      <c r="F1246" s="1" t="s">
        <v>2732</v>
      </c>
      <c r="G1246" s="3">
        <f t="shared" si="47"/>
        <v>8768.7000000000007</v>
      </c>
      <c r="H1246" s="4">
        <v>0</v>
      </c>
    </row>
    <row r="1247" spans="1:8">
      <c r="A1247" s="1" t="s">
        <v>1320</v>
      </c>
      <c r="B1247" s="1" t="s">
        <v>15</v>
      </c>
      <c r="C1247" s="1" t="s">
        <v>1368</v>
      </c>
      <c r="D1247" s="3">
        <v>20752.59</v>
      </c>
      <c r="E1247" s="3">
        <v>8422101.7200000007</v>
      </c>
      <c r="F1247" s="1" t="s">
        <v>2732</v>
      </c>
      <c r="G1247" s="3">
        <f t="shared" si="47"/>
        <v>20752.59</v>
      </c>
      <c r="H1247" s="4">
        <v>0</v>
      </c>
    </row>
    <row r="1248" spans="1:8">
      <c r="A1248" s="1" t="s">
        <v>1320</v>
      </c>
      <c r="B1248" s="1" t="s">
        <v>15</v>
      </c>
      <c r="C1248" s="1" t="s">
        <v>1369</v>
      </c>
      <c r="D1248" s="3">
        <v>38874.57</v>
      </c>
      <c r="E1248" s="3">
        <v>8460976.2899999991</v>
      </c>
      <c r="F1248" s="1" t="s">
        <v>2732</v>
      </c>
      <c r="G1248" s="3">
        <f t="shared" si="47"/>
        <v>38874.57</v>
      </c>
      <c r="H1248" s="4">
        <v>0</v>
      </c>
    </row>
    <row r="1249" spans="1:8">
      <c r="A1249" s="1" t="s">
        <v>1320</v>
      </c>
      <c r="B1249" s="1" t="s">
        <v>15</v>
      </c>
      <c r="C1249" s="1" t="s">
        <v>1370</v>
      </c>
      <c r="D1249" s="3">
        <v>3507.48</v>
      </c>
      <c r="E1249" s="3">
        <v>8464483.7699999996</v>
      </c>
      <c r="F1249" s="1" t="s">
        <v>2732</v>
      </c>
      <c r="G1249" s="3">
        <f t="shared" si="47"/>
        <v>3507.48</v>
      </c>
      <c r="H1249" s="4">
        <v>0</v>
      </c>
    </row>
    <row r="1250" spans="1:8">
      <c r="A1250" s="1" t="s">
        <v>1320</v>
      </c>
      <c r="B1250" s="1" t="s">
        <v>859</v>
      </c>
      <c r="C1250" s="1" t="s">
        <v>1371</v>
      </c>
      <c r="D1250" s="2">
        <v>176.22</v>
      </c>
      <c r="E1250" s="3">
        <v>8464659.9900000002</v>
      </c>
      <c r="F1250" s="2" t="s">
        <v>2732</v>
      </c>
      <c r="G1250" s="3">
        <f t="shared" si="47"/>
        <v>176.22</v>
      </c>
      <c r="H1250" s="4">
        <v>0</v>
      </c>
    </row>
    <row r="1251" spans="1:8">
      <c r="A1251" s="1" t="s">
        <v>1320</v>
      </c>
      <c r="B1251" s="1" t="s">
        <v>15</v>
      </c>
      <c r="C1251" s="1" t="s">
        <v>1372</v>
      </c>
      <c r="D1251" s="3">
        <v>9255.85</v>
      </c>
      <c r="E1251" s="3">
        <v>8473915.8399999999</v>
      </c>
      <c r="F1251" s="1" t="s">
        <v>2732</v>
      </c>
      <c r="G1251" s="3">
        <f t="shared" si="47"/>
        <v>9255.85</v>
      </c>
      <c r="H1251" s="4">
        <v>0</v>
      </c>
    </row>
    <row r="1252" spans="1:8">
      <c r="A1252" s="1" t="s">
        <v>1320</v>
      </c>
      <c r="B1252" s="1" t="s">
        <v>15</v>
      </c>
      <c r="C1252" s="1" t="s">
        <v>1373</v>
      </c>
      <c r="D1252" s="3">
        <v>4384.3500000000004</v>
      </c>
      <c r="E1252" s="3">
        <v>8478300.1899999995</v>
      </c>
      <c r="F1252" s="1" t="s">
        <v>2732</v>
      </c>
      <c r="G1252" s="3">
        <f t="shared" si="47"/>
        <v>4384.3500000000004</v>
      </c>
      <c r="H1252" s="4">
        <v>0</v>
      </c>
    </row>
    <row r="1253" spans="1:8">
      <c r="A1253" s="1" t="s">
        <v>1320</v>
      </c>
      <c r="B1253" s="1" t="s">
        <v>15</v>
      </c>
      <c r="C1253" s="1" t="s">
        <v>1374</v>
      </c>
      <c r="D1253" s="3">
        <v>101911.78</v>
      </c>
      <c r="E1253" s="3">
        <v>8580211.9700000007</v>
      </c>
      <c r="F1253" s="1" t="s">
        <v>2732</v>
      </c>
      <c r="G1253" s="3">
        <f t="shared" si="47"/>
        <v>101911.78</v>
      </c>
      <c r="H1253" s="4">
        <v>0</v>
      </c>
    </row>
    <row r="1254" spans="1:8">
      <c r="A1254" s="1" t="s">
        <v>1320</v>
      </c>
      <c r="B1254" s="1" t="s">
        <v>1375</v>
      </c>
      <c r="C1254" s="1" t="s">
        <v>1376</v>
      </c>
      <c r="D1254" s="3">
        <v>10240.34</v>
      </c>
      <c r="E1254" s="3">
        <v>8590452.3100000005</v>
      </c>
      <c r="F1254" s="2" t="s">
        <v>2732</v>
      </c>
      <c r="G1254" s="3">
        <f t="shared" si="47"/>
        <v>10240.34</v>
      </c>
      <c r="H1254" s="4">
        <v>0</v>
      </c>
    </row>
    <row r="1255" spans="1:8">
      <c r="A1255" s="1" t="s">
        <v>1320</v>
      </c>
      <c r="B1255" s="1" t="s">
        <v>15</v>
      </c>
      <c r="C1255" s="1" t="s">
        <v>1377</v>
      </c>
      <c r="D1255" s="3">
        <v>97868.43</v>
      </c>
      <c r="E1255" s="3">
        <v>8688320.7400000002</v>
      </c>
      <c r="F1255" s="1" t="s">
        <v>2732</v>
      </c>
      <c r="G1255" s="3">
        <f t="shared" si="47"/>
        <v>97868.43</v>
      </c>
      <c r="H1255" s="4">
        <v>0</v>
      </c>
    </row>
    <row r="1256" spans="1:8">
      <c r="A1256" s="1" t="s">
        <v>1320</v>
      </c>
      <c r="B1256" s="1" t="s">
        <v>15</v>
      </c>
      <c r="C1256" s="1" t="s">
        <v>1378</v>
      </c>
      <c r="D1256" s="3">
        <v>7891.83</v>
      </c>
      <c r="E1256" s="3">
        <v>8696212.5700000003</v>
      </c>
      <c r="F1256" s="1" t="s">
        <v>2732</v>
      </c>
      <c r="G1256" s="3">
        <f t="shared" si="47"/>
        <v>7891.83</v>
      </c>
      <c r="H1256" s="4">
        <v>0</v>
      </c>
    </row>
    <row r="1257" spans="1:8">
      <c r="A1257" s="1" t="s">
        <v>1320</v>
      </c>
      <c r="B1257" s="1" t="s">
        <v>15</v>
      </c>
      <c r="C1257" s="1" t="s">
        <v>1379</v>
      </c>
      <c r="D1257" s="3">
        <v>30934.02</v>
      </c>
      <c r="E1257" s="3">
        <v>8727146.5899999999</v>
      </c>
      <c r="F1257" s="1" t="s">
        <v>2732</v>
      </c>
      <c r="G1257" s="3">
        <f t="shared" si="47"/>
        <v>30934.02</v>
      </c>
      <c r="H1257" s="4">
        <v>0</v>
      </c>
    </row>
    <row r="1258" spans="1:8">
      <c r="A1258" s="1" t="s">
        <v>1320</v>
      </c>
      <c r="B1258" s="1" t="s">
        <v>15</v>
      </c>
      <c r="C1258" s="1" t="s">
        <v>1380</v>
      </c>
      <c r="D1258" s="3">
        <v>4384.3500000000004</v>
      </c>
      <c r="E1258" s="3">
        <v>8731530.9399999995</v>
      </c>
      <c r="F1258" s="1" t="s">
        <v>2732</v>
      </c>
      <c r="G1258" s="3">
        <f t="shared" si="47"/>
        <v>4384.3500000000004</v>
      </c>
      <c r="H1258" s="4">
        <v>0</v>
      </c>
    </row>
    <row r="1259" spans="1:8">
      <c r="A1259" s="1" t="s">
        <v>1320</v>
      </c>
      <c r="B1259" s="1" t="s">
        <v>15</v>
      </c>
      <c r="C1259" s="1" t="s">
        <v>1381</v>
      </c>
      <c r="D1259" s="3">
        <v>34538.93</v>
      </c>
      <c r="E1259" s="3">
        <v>8766069.8699999992</v>
      </c>
      <c r="F1259" s="1" t="s">
        <v>2732</v>
      </c>
      <c r="G1259" s="3">
        <f t="shared" si="47"/>
        <v>34538.93</v>
      </c>
      <c r="H1259" s="4">
        <v>0</v>
      </c>
    </row>
    <row r="1260" spans="1:8">
      <c r="A1260" s="59" t="s">
        <v>1320</v>
      </c>
      <c r="B1260" s="59" t="s">
        <v>28</v>
      </c>
      <c r="C1260" s="59" t="s">
        <v>1324</v>
      </c>
      <c r="D1260" s="63">
        <v>-588.54</v>
      </c>
      <c r="E1260" s="64">
        <v>7861428.4699999997</v>
      </c>
      <c r="F1260" s="59"/>
      <c r="G1260" s="64">
        <f t="shared" si="47"/>
        <v>-588.54</v>
      </c>
      <c r="H1260" s="65"/>
    </row>
    <row r="1261" spans="1:8">
      <c r="A1261" s="1" t="s">
        <v>1320</v>
      </c>
      <c r="B1261" s="1" t="s">
        <v>42</v>
      </c>
      <c r="C1261" s="1" t="s">
        <v>1324</v>
      </c>
      <c r="D1261" s="3">
        <v>-98090.03</v>
      </c>
      <c r="E1261" s="3">
        <v>7862017.0099999998</v>
      </c>
      <c r="G1261" s="4">
        <f>+D1261/1.006</f>
        <v>-97505</v>
      </c>
      <c r="H1261" s="4">
        <f>+D1261-G1261</f>
        <v>-585.02999999999884</v>
      </c>
    </row>
    <row r="1262" spans="1:8">
      <c r="A1262" s="1" t="s">
        <v>1382</v>
      </c>
      <c r="B1262" s="1" t="s">
        <v>15</v>
      </c>
      <c r="C1262" s="1" t="s">
        <v>1436</v>
      </c>
      <c r="D1262" s="3">
        <v>6355.3</v>
      </c>
      <c r="E1262" s="3">
        <v>8009172.2000000002</v>
      </c>
      <c r="F1262" s="1" t="s">
        <v>2732</v>
      </c>
      <c r="G1262" s="3">
        <f t="shared" ref="G1262:G1293" si="48">+D1262</f>
        <v>6355.3</v>
      </c>
      <c r="H1262" s="4">
        <f>+D1262-G1262</f>
        <v>0</v>
      </c>
    </row>
    <row r="1263" spans="1:8">
      <c r="A1263" s="1" t="s">
        <v>1382</v>
      </c>
      <c r="B1263" s="1" t="s">
        <v>15</v>
      </c>
      <c r="C1263" s="1" t="s">
        <v>1383</v>
      </c>
      <c r="D1263" s="3">
        <v>7404.68</v>
      </c>
      <c r="E1263" s="3">
        <v>8773474.5500000007</v>
      </c>
      <c r="F1263" s="1" t="s">
        <v>2732</v>
      </c>
      <c r="G1263" s="3">
        <f t="shared" si="48"/>
        <v>7404.68</v>
      </c>
      <c r="H1263" s="4">
        <v>0</v>
      </c>
    </row>
    <row r="1264" spans="1:8">
      <c r="A1264" s="1" t="s">
        <v>1382</v>
      </c>
      <c r="B1264" s="1" t="s">
        <v>15</v>
      </c>
      <c r="C1264" s="1" t="s">
        <v>1384</v>
      </c>
      <c r="D1264" s="3">
        <v>4384.3500000000004</v>
      </c>
      <c r="E1264" s="3">
        <v>8777858.9000000004</v>
      </c>
      <c r="F1264" s="1" t="s">
        <v>2732</v>
      </c>
      <c r="G1264" s="3">
        <f t="shared" si="48"/>
        <v>4384.3500000000004</v>
      </c>
      <c r="H1264" s="4">
        <v>0</v>
      </c>
    </row>
    <row r="1265" spans="1:8">
      <c r="A1265" s="1" t="s">
        <v>1382</v>
      </c>
      <c r="B1265" s="1" t="s">
        <v>15</v>
      </c>
      <c r="C1265" s="1" t="s">
        <v>1385</v>
      </c>
      <c r="D1265" s="3">
        <v>44817.8</v>
      </c>
      <c r="E1265" s="3">
        <v>8822676.6999999993</v>
      </c>
      <c r="F1265" s="1" t="s">
        <v>2732</v>
      </c>
      <c r="G1265" s="3">
        <f t="shared" si="48"/>
        <v>44817.8</v>
      </c>
      <c r="H1265" s="4">
        <v>0</v>
      </c>
    </row>
    <row r="1266" spans="1:8">
      <c r="A1266" s="1" t="s">
        <v>1382</v>
      </c>
      <c r="B1266" s="1" t="s">
        <v>15</v>
      </c>
      <c r="C1266" s="1" t="s">
        <v>1386</v>
      </c>
      <c r="D1266" s="3">
        <v>9743</v>
      </c>
      <c r="E1266" s="3">
        <v>8832419.6999999993</v>
      </c>
      <c r="F1266" s="1" t="s">
        <v>2732</v>
      </c>
      <c r="G1266" s="3">
        <f t="shared" si="48"/>
        <v>9743</v>
      </c>
      <c r="H1266" s="4">
        <v>0</v>
      </c>
    </row>
    <row r="1267" spans="1:8">
      <c r="A1267" s="1" t="s">
        <v>1382</v>
      </c>
      <c r="B1267" s="1" t="s">
        <v>15</v>
      </c>
      <c r="C1267" s="1" t="s">
        <v>1387</v>
      </c>
      <c r="D1267" s="3">
        <v>4354.6499999999996</v>
      </c>
      <c r="E1267" s="3">
        <v>8836774.3499999996</v>
      </c>
      <c r="F1267" s="1" t="s">
        <v>2732</v>
      </c>
      <c r="G1267" s="3">
        <f t="shared" si="48"/>
        <v>4354.6499999999996</v>
      </c>
      <c r="H1267" s="4">
        <v>0</v>
      </c>
    </row>
    <row r="1268" spans="1:8">
      <c r="A1268" s="1" t="s">
        <v>1382</v>
      </c>
      <c r="B1268" s="1" t="s">
        <v>15</v>
      </c>
      <c r="C1268" s="1" t="s">
        <v>1388</v>
      </c>
      <c r="D1268" s="3">
        <v>14906.79</v>
      </c>
      <c r="E1268" s="3">
        <v>8851681.1400000006</v>
      </c>
      <c r="F1268" s="1" t="s">
        <v>2732</v>
      </c>
      <c r="G1268" s="3">
        <f t="shared" si="48"/>
        <v>14906.79</v>
      </c>
      <c r="H1268" s="4">
        <v>0</v>
      </c>
    </row>
    <row r="1269" spans="1:8">
      <c r="A1269" s="1" t="s">
        <v>1382</v>
      </c>
      <c r="B1269" s="1" t="s">
        <v>15</v>
      </c>
      <c r="C1269" s="1" t="s">
        <v>1389</v>
      </c>
      <c r="D1269" s="3">
        <v>33773.879999999997</v>
      </c>
      <c r="E1269" s="3">
        <v>8885455.0199999996</v>
      </c>
      <c r="F1269" s="1" t="s">
        <v>2732</v>
      </c>
      <c r="G1269" s="3">
        <f t="shared" si="48"/>
        <v>33773.879999999997</v>
      </c>
      <c r="H1269" s="4">
        <v>0</v>
      </c>
    </row>
    <row r="1270" spans="1:8">
      <c r="A1270" s="1" t="s">
        <v>1382</v>
      </c>
      <c r="B1270" s="1" t="s">
        <v>15</v>
      </c>
      <c r="C1270" s="1" t="s">
        <v>1390</v>
      </c>
      <c r="D1270" s="3">
        <v>4286.92</v>
      </c>
      <c r="E1270" s="3">
        <v>8889741.9399999995</v>
      </c>
      <c r="F1270" s="1" t="s">
        <v>2732</v>
      </c>
      <c r="G1270" s="3">
        <f t="shared" si="48"/>
        <v>4286.92</v>
      </c>
      <c r="H1270" s="4">
        <v>0</v>
      </c>
    </row>
    <row r="1271" spans="1:8">
      <c r="A1271" s="1" t="s">
        <v>1382</v>
      </c>
      <c r="B1271" s="1" t="s">
        <v>1391</v>
      </c>
      <c r="C1271" s="1" t="s">
        <v>1392</v>
      </c>
      <c r="D1271" s="2">
        <v>646.14</v>
      </c>
      <c r="E1271" s="3">
        <v>8890388.0800000001</v>
      </c>
      <c r="F1271" s="2" t="s">
        <v>2732</v>
      </c>
      <c r="G1271" s="3">
        <f t="shared" si="48"/>
        <v>646.14</v>
      </c>
      <c r="H1271" s="4">
        <v>0</v>
      </c>
    </row>
    <row r="1272" spans="1:8">
      <c r="A1272" s="1" t="s">
        <v>1382</v>
      </c>
      <c r="B1272" s="1" t="s">
        <v>15</v>
      </c>
      <c r="C1272" s="1" t="s">
        <v>1393</v>
      </c>
      <c r="D1272" s="3">
        <v>4384.3500000000004</v>
      </c>
      <c r="E1272" s="3">
        <v>8894772.4299999997</v>
      </c>
      <c r="F1272" s="1" t="s">
        <v>2732</v>
      </c>
      <c r="G1272" s="3">
        <f t="shared" si="48"/>
        <v>4384.3500000000004</v>
      </c>
      <c r="H1272" s="4">
        <v>0</v>
      </c>
    </row>
    <row r="1273" spans="1:8">
      <c r="A1273" s="1" t="s">
        <v>1382</v>
      </c>
      <c r="B1273" s="1" t="s">
        <v>15</v>
      </c>
      <c r="C1273" s="1" t="s">
        <v>1394</v>
      </c>
      <c r="D1273" s="3">
        <v>7891.83</v>
      </c>
      <c r="E1273" s="3">
        <v>8902664.2599999998</v>
      </c>
      <c r="F1273" s="1" t="s">
        <v>2732</v>
      </c>
      <c r="G1273" s="3">
        <f t="shared" si="48"/>
        <v>7891.83</v>
      </c>
      <c r="H1273" s="4">
        <v>0</v>
      </c>
    </row>
    <row r="1274" spans="1:8">
      <c r="A1274" s="1" t="s">
        <v>1382</v>
      </c>
      <c r="B1274" s="1" t="s">
        <v>15</v>
      </c>
      <c r="C1274" s="1" t="s">
        <v>1395</v>
      </c>
      <c r="D1274" s="3">
        <v>4384.3500000000004</v>
      </c>
      <c r="E1274" s="3">
        <v>8907048.6099999994</v>
      </c>
      <c r="F1274" s="1" t="s">
        <v>2732</v>
      </c>
      <c r="G1274" s="3">
        <f t="shared" si="48"/>
        <v>4384.3500000000004</v>
      </c>
      <c r="H1274" s="4">
        <v>0</v>
      </c>
    </row>
    <row r="1275" spans="1:8">
      <c r="A1275" s="1" t="s">
        <v>1382</v>
      </c>
      <c r="B1275" s="1" t="s">
        <v>15</v>
      </c>
      <c r="C1275" s="1" t="s">
        <v>1396</v>
      </c>
      <c r="D1275" s="3">
        <v>3378.96</v>
      </c>
      <c r="E1275" s="3">
        <v>8910427.5700000003</v>
      </c>
      <c r="F1275" s="1" t="s">
        <v>2732</v>
      </c>
      <c r="G1275" s="3">
        <f t="shared" si="48"/>
        <v>3378.96</v>
      </c>
      <c r="H1275" s="4">
        <v>0</v>
      </c>
    </row>
    <row r="1276" spans="1:8">
      <c r="A1276" s="1" t="s">
        <v>1382</v>
      </c>
      <c r="B1276" s="1" t="s">
        <v>15</v>
      </c>
      <c r="C1276" s="1" t="s">
        <v>1397</v>
      </c>
      <c r="D1276" s="3">
        <v>83351.360000000001</v>
      </c>
      <c r="E1276" s="3">
        <v>8993778.9299999997</v>
      </c>
      <c r="F1276" s="1" t="s">
        <v>2732</v>
      </c>
      <c r="G1276" s="3">
        <f t="shared" si="48"/>
        <v>83351.360000000001</v>
      </c>
      <c r="H1276" s="4">
        <v>0</v>
      </c>
    </row>
    <row r="1277" spans="1:8">
      <c r="A1277" s="1" t="s">
        <v>1382</v>
      </c>
      <c r="B1277" s="1" t="s">
        <v>15</v>
      </c>
      <c r="C1277" s="1" t="s">
        <v>1398</v>
      </c>
      <c r="D1277" s="3">
        <v>3507.48</v>
      </c>
      <c r="E1277" s="3">
        <v>8997286.4100000001</v>
      </c>
      <c r="F1277" s="1" t="s">
        <v>2732</v>
      </c>
      <c r="G1277" s="3">
        <f t="shared" si="48"/>
        <v>3507.48</v>
      </c>
      <c r="H1277" s="4">
        <v>0</v>
      </c>
    </row>
    <row r="1278" spans="1:8">
      <c r="A1278" s="1" t="s">
        <v>1382</v>
      </c>
      <c r="B1278" s="1" t="s">
        <v>15</v>
      </c>
      <c r="C1278" s="1" t="s">
        <v>1399</v>
      </c>
      <c r="D1278" s="3">
        <v>11204.45</v>
      </c>
      <c r="E1278" s="3">
        <v>9008490.8599999994</v>
      </c>
      <c r="F1278" s="1" t="s">
        <v>2732</v>
      </c>
      <c r="G1278" s="3">
        <f t="shared" si="48"/>
        <v>11204.45</v>
      </c>
      <c r="H1278" s="4">
        <v>0</v>
      </c>
    </row>
    <row r="1279" spans="1:8">
      <c r="A1279" s="1" t="s">
        <v>1382</v>
      </c>
      <c r="B1279" s="1" t="s">
        <v>15</v>
      </c>
      <c r="C1279" s="1" t="s">
        <v>1400</v>
      </c>
      <c r="D1279" s="3">
        <v>8502.2999999999993</v>
      </c>
      <c r="E1279" s="3">
        <v>9016993.1600000001</v>
      </c>
      <c r="F1279" s="1" t="s">
        <v>2732</v>
      </c>
      <c r="G1279" s="3">
        <f t="shared" si="48"/>
        <v>8502.2999999999993</v>
      </c>
      <c r="H1279" s="4">
        <v>0</v>
      </c>
    </row>
    <row r="1280" spans="1:8">
      <c r="A1280" s="1" t="s">
        <v>1382</v>
      </c>
      <c r="B1280" s="1" t="s">
        <v>15</v>
      </c>
      <c r="C1280" s="1" t="s">
        <v>1401</v>
      </c>
      <c r="D1280" s="3">
        <v>14906.79</v>
      </c>
      <c r="E1280" s="3">
        <v>9031899.9499999993</v>
      </c>
      <c r="F1280" s="1" t="s">
        <v>2732</v>
      </c>
      <c r="G1280" s="3">
        <f t="shared" si="48"/>
        <v>14906.79</v>
      </c>
      <c r="H1280" s="4">
        <v>0</v>
      </c>
    </row>
    <row r="1281" spans="1:8">
      <c r="A1281" s="1" t="s">
        <v>1382</v>
      </c>
      <c r="B1281" s="1" t="s">
        <v>15</v>
      </c>
      <c r="C1281" s="1" t="s">
        <v>1402</v>
      </c>
      <c r="D1281" s="3">
        <v>7891.83</v>
      </c>
      <c r="E1281" s="3">
        <v>9039791.7799999993</v>
      </c>
      <c r="F1281" s="1" t="s">
        <v>2732</v>
      </c>
      <c r="G1281" s="3">
        <f t="shared" si="48"/>
        <v>7891.83</v>
      </c>
      <c r="H1281" s="4">
        <v>0</v>
      </c>
    </row>
    <row r="1282" spans="1:8">
      <c r="A1282" s="1" t="s">
        <v>1382</v>
      </c>
      <c r="B1282" s="1" t="s">
        <v>15</v>
      </c>
      <c r="C1282" s="1" t="s">
        <v>1403</v>
      </c>
      <c r="D1282" s="3">
        <v>12568.47</v>
      </c>
      <c r="E1282" s="3">
        <v>9052360.25</v>
      </c>
      <c r="F1282" s="1" t="s">
        <v>2732</v>
      </c>
      <c r="G1282" s="3">
        <f t="shared" si="48"/>
        <v>12568.47</v>
      </c>
      <c r="H1282" s="4">
        <v>0</v>
      </c>
    </row>
    <row r="1283" spans="1:8">
      <c r="A1283" s="1" t="s">
        <v>1382</v>
      </c>
      <c r="B1283" s="1" t="s">
        <v>15</v>
      </c>
      <c r="C1283" s="1" t="s">
        <v>1404</v>
      </c>
      <c r="D1283" s="3">
        <v>4384.3500000000004</v>
      </c>
      <c r="E1283" s="3">
        <v>9056744.5999999996</v>
      </c>
      <c r="F1283" s="1" t="s">
        <v>2732</v>
      </c>
      <c r="G1283" s="3">
        <f t="shared" si="48"/>
        <v>4384.3500000000004</v>
      </c>
      <c r="H1283" s="4">
        <v>0</v>
      </c>
    </row>
    <row r="1284" spans="1:8">
      <c r="A1284" s="1" t="s">
        <v>1382</v>
      </c>
      <c r="B1284" s="1" t="s">
        <v>15</v>
      </c>
      <c r="C1284" s="1" t="s">
        <v>1405</v>
      </c>
      <c r="D1284" s="3">
        <v>3507.48</v>
      </c>
      <c r="E1284" s="3">
        <v>9060252.0800000001</v>
      </c>
      <c r="F1284" s="1" t="s">
        <v>2732</v>
      </c>
      <c r="G1284" s="3">
        <f t="shared" si="48"/>
        <v>3507.48</v>
      </c>
      <c r="H1284" s="4">
        <v>0</v>
      </c>
    </row>
    <row r="1285" spans="1:8">
      <c r="A1285" s="1" t="s">
        <v>1382</v>
      </c>
      <c r="B1285" s="1" t="s">
        <v>15</v>
      </c>
      <c r="C1285" s="1" t="s">
        <v>1406</v>
      </c>
      <c r="D1285" s="3">
        <v>3507.48</v>
      </c>
      <c r="E1285" s="3">
        <v>9063759.5600000005</v>
      </c>
      <c r="F1285" s="1" t="s">
        <v>2732</v>
      </c>
      <c r="G1285" s="3">
        <f t="shared" si="48"/>
        <v>3507.48</v>
      </c>
      <c r="H1285" s="4">
        <v>0</v>
      </c>
    </row>
    <row r="1286" spans="1:8">
      <c r="A1286" s="1" t="s">
        <v>1382</v>
      </c>
      <c r="B1286" s="1" t="s">
        <v>1407</v>
      </c>
      <c r="C1286" s="1" t="s">
        <v>1408</v>
      </c>
      <c r="D1286" s="2">
        <v>176.22</v>
      </c>
      <c r="E1286" s="3">
        <v>9063935.7799999993</v>
      </c>
      <c r="F1286" s="2" t="s">
        <v>2732</v>
      </c>
      <c r="G1286" s="3">
        <f t="shared" si="48"/>
        <v>176.22</v>
      </c>
      <c r="H1286" s="4">
        <v>0</v>
      </c>
    </row>
    <row r="1287" spans="1:8">
      <c r="A1287" s="1" t="s">
        <v>1382</v>
      </c>
      <c r="B1287" s="1" t="s">
        <v>15</v>
      </c>
      <c r="C1287" s="1" t="s">
        <v>1409</v>
      </c>
      <c r="D1287" s="3">
        <v>4384.3500000000004</v>
      </c>
      <c r="E1287" s="3">
        <v>9068320.1300000008</v>
      </c>
      <c r="F1287" s="1" t="s">
        <v>2732</v>
      </c>
      <c r="G1287" s="3">
        <f t="shared" si="48"/>
        <v>4384.3500000000004</v>
      </c>
      <c r="H1287" s="4">
        <v>0</v>
      </c>
    </row>
    <row r="1288" spans="1:8">
      <c r="A1288" s="1" t="s">
        <v>1382</v>
      </c>
      <c r="B1288" s="1" t="s">
        <v>1410</v>
      </c>
      <c r="C1288" s="1" t="s">
        <v>1411</v>
      </c>
      <c r="D1288" s="2">
        <v>440.55</v>
      </c>
      <c r="E1288" s="3">
        <v>9068760.6799999997</v>
      </c>
      <c r="F1288" s="2" t="s">
        <v>2732</v>
      </c>
      <c r="G1288" s="3">
        <f t="shared" si="48"/>
        <v>440.55</v>
      </c>
      <c r="H1288" s="4">
        <v>0</v>
      </c>
    </row>
    <row r="1289" spans="1:8">
      <c r="A1289" s="1" t="s">
        <v>1382</v>
      </c>
      <c r="B1289" s="1" t="s">
        <v>15</v>
      </c>
      <c r="C1289" s="1" t="s">
        <v>1412</v>
      </c>
      <c r="D1289" s="3">
        <v>10473.719999999999</v>
      </c>
      <c r="E1289" s="3">
        <v>9079234.4000000004</v>
      </c>
      <c r="F1289" s="1" t="s">
        <v>2732</v>
      </c>
      <c r="G1289" s="3">
        <f t="shared" si="48"/>
        <v>10473.719999999999</v>
      </c>
      <c r="H1289" s="4">
        <v>0</v>
      </c>
    </row>
    <row r="1290" spans="1:8">
      <c r="A1290" s="1" t="s">
        <v>1382</v>
      </c>
      <c r="B1290" s="1" t="s">
        <v>15</v>
      </c>
      <c r="C1290" s="1" t="s">
        <v>1413</v>
      </c>
      <c r="D1290" s="3">
        <v>17537.400000000001</v>
      </c>
      <c r="E1290" s="3">
        <v>9096771.8000000007</v>
      </c>
      <c r="F1290" s="1" t="s">
        <v>2732</v>
      </c>
      <c r="G1290" s="3">
        <f t="shared" si="48"/>
        <v>17537.400000000001</v>
      </c>
      <c r="H1290" s="4">
        <v>0</v>
      </c>
    </row>
    <row r="1291" spans="1:8">
      <c r="A1291" s="1" t="s">
        <v>1382</v>
      </c>
      <c r="B1291" s="1" t="s">
        <v>15</v>
      </c>
      <c r="C1291" s="1" t="s">
        <v>1414</v>
      </c>
      <c r="D1291" s="3">
        <v>28674.23</v>
      </c>
      <c r="E1291" s="3">
        <v>9125446.0299999993</v>
      </c>
      <c r="F1291" s="1" t="s">
        <v>2732</v>
      </c>
      <c r="G1291" s="3">
        <f t="shared" si="48"/>
        <v>28674.23</v>
      </c>
      <c r="H1291" s="4">
        <v>0</v>
      </c>
    </row>
    <row r="1292" spans="1:8">
      <c r="A1292" s="1" t="s">
        <v>1382</v>
      </c>
      <c r="B1292" s="1" t="s">
        <v>15</v>
      </c>
      <c r="C1292" s="1" t="s">
        <v>1415</v>
      </c>
      <c r="D1292" s="3">
        <v>4384.3500000000004</v>
      </c>
      <c r="E1292" s="3">
        <v>9129830.3800000008</v>
      </c>
      <c r="F1292" s="1" t="s">
        <v>2732</v>
      </c>
      <c r="G1292" s="3">
        <f t="shared" si="48"/>
        <v>4384.3500000000004</v>
      </c>
      <c r="H1292" s="4">
        <v>0</v>
      </c>
    </row>
    <row r="1293" spans="1:8">
      <c r="A1293" s="1" t="s">
        <v>1382</v>
      </c>
      <c r="B1293" s="1" t="s">
        <v>15</v>
      </c>
      <c r="C1293" s="1" t="s">
        <v>1416</v>
      </c>
      <c r="D1293" s="3">
        <v>41407.75</v>
      </c>
      <c r="E1293" s="3">
        <v>9171238.1300000008</v>
      </c>
      <c r="F1293" s="1" t="s">
        <v>2732</v>
      </c>
      <c r="G1293" s="3">
        <f t="shared" si="48"/>
        <v>41407.75</v>
      </c>
      <c r="H1293" s="4">
        <v>0</v>
      </c>
    </row>
    <row r="1294" spans="1:8">
      <c r="A1294" s="1" t="s">
        <v>1382</v>
      </c>
      <c r="B1294" s="1" t="s">
        <v>15</v>
      </c>
      <c r="C1294" s="1" t="s">
        <v>1417</v>
      </c>
      <c r="D1294" s="3">
        <v>14906.79</v>
      </c>
      <c r="E1294" s="3">
        <v>9186144.9199999999</v>
      </c>
      <c r="F1294" s="1" t="s">
        <v>2732</v>
      </c>
      <c r="G1294" s="3">
        <f t="shared" ref="G1294:G1325" si="49">+D1294</f>
        <v>14906.79</v>
      </c>
      <c r="H1294" s="4">
        <v>0</v>
      </c>
    </row>
    <row r="1295" spans="1:8">
      <c r="A1295" s="1" t="s">
        <v>1382</v>
      </c>
      <c r="B1295" s="1" t="s">
        <v>15</v>
      </c>
      <c r="C1295" s="1" t="s">
        <v>1418</v>
      </c>
      <c r="D1295" s="3">
        <v>3945.91</v>
      </c>
      <c r="E1295" s="3">
        <v>9190090.8300000001</v>
      </c>
      <c r="F1295" s="1" t="s">
        <v>2732</v>
      </c>
      <c r="G1295" s="3">
        <f t="shared" si="49"/>
        <v>3945.91</v>
      </c>
      <c r="H1295" s="4">
        <v>0</v>
      </c>
    </row>
    <row r="1296" spans="1:8">
      <c r="A1296" s="1" t="s">
        <v>1382</v>
      </c>
      <c r="B1296" s="1" t="s">
        <v>15</v>
      </c>
      <c r="C1296" s="1" t="s">
        <v>1419</v>
      </c>
      <c r="D1296" s="3">
        <v>4871.5</v>
      </c>
      <c r="E1296" s="3">
        <v>9194962.3300000001</v>
      </c>
      <c r="F1296" s="1" t="s">
        <v>2732</v>
      </c>
      <c r="G1296" s="3">
        <f t="shared" si="49"/>
        <v>4871.5</v>
      </c>
      <c r="H1296" s="4">
        <v>0</v>
      </c>
    </row>
    <row r="1297" spans="1:8">
      <c r="A1297" s="1" t="s">
        <v>1382</v>
      </c>
      <c r="B1297" s="1" t="s">
        <v>15</v>
      </c>
      <c r="C1297" s="1" t="s">
        <v>1420</v>
      </c>
      <c r="D1297" s="3">
        <v>37120.83</v>
      </c>
      <c r="E1297" s="3">
        <v>9232083.1600000001</v>
      </c>
      <c r="F1297" s="1" t="s">
        <v>2732</v>
      </c>
      <c r="G1297" s="3">
        <f t="shared" si="49"/>
        <v>37120.83</v>
      </c>
      <c r="H1297" s="4">
        <v>0</v>
      </c>
    </row>
    <row r="1298" spans="1:8">
      <c r="A1298" s="1" t="s">
        <v>1382</v>
      </c>
      <c r="B1298" s="1" t="s">
        <v>15</v>
      </c>
      <c r="C1298" s="1" t="s">
        <v>1421</v>
      </c>
      <c r="D1298" s="3">
        <v>8427.69</v>
      </c>
      <c r="E1298" s="3">
        <v>9240510.8499999996</v>
      </c>
      <c r="F1298" s="1" t="s">
        <v>2732</v>
      </c>
      <c r="G1298" s="3">
        <f t="shared" si="49"/>
        <v>8427.69</v>
      </c>
      <c r="H1298" s="4">
        <v>0</v>
      </c>
    </row>
    <row r="1299" spans="1:8">
      <c r="A1299" s="1" t="s">
        <v>1382</v>
      </c>
      <c r="B1299" s="1" t="s">
        <v>15</v>
      </c>
      <c r="C1299" s="1" t="s">
        <v>1422</v>
      </c>
      <c r="D1299" s="3">
        <v>52368.62</v>
      </c>
      <c r="E1299" s="3">
        <v>9292879.4700000007</v>
      </c>
      <c r="F1299" s="1" t="s">
        <v>2732</v>
      </c>
      <c r="G1299" s="3">
        <f t="shared" si="49"/>
        <v>52368.62</v>
      </c>
      <c r="H1299" s="4">
        <v>0</v>
      </c>
    </row>
    <row r="1300" spans="1:8">
      <c r="A1300" s="1" t="s">
        <v>1382</v>
      </c>
      <c r="B1300" s="1" t="s">
        <v>15</v>
      </c>
      <c r="C1300" s="1" t="s">
        <v>1423</v>
      </c>
      <c r="D1300" s="3">
        <v>8768.7000000000007</v>
      </c>
      <c r="E1300" s="3">
        <v>9301648.1699999999</v>
      </c>
      <c r="F1300" s="1" t="s">
        <v>2732</v>
      </c>
      <c r="G1300" s="3">
        <f t="shared" si="49"/>
        <v>8768.7000000000007</v>
      </c>
      <c r="H1300" s="4">
        <v>0</v>
      </c>
    </row>
    <row r="1301" spans="1:8">
      <c r="A1301" s="1" t="s">
        <v>1382</v>
      </c>
      <c r="B1301" s="1" t="s">
        <v>15</v>
      </c>
      <c r="C1301" s="1" t="s">
        <v>1424</v>
      </c>
      <c r="D1301" s="3">
        <v>3378.96</v>
      </c>
      <c r="E1301" s="3">
        <v>9305027.1300000008</v>
      </c>
      <c r="F1301" s="1" t="s">
        <v>2732</v>
      </c>
      <c r="G1301" s="3">
        <f t="shared" si="49"/>
        <v>3378.96</v>
      </c>
      <c r="H1301" s="4">
        <v>0</v>
      </c>
    </row>
    <row r="1302" spans="1:8">
      <c r="A1302" s="1" t="s">
        <v>1382</v>
      </c>
      <c r="B1302" s="1" t="s">
        <v>15</v>
      </c>
      <c r="C1302" s="1" t="s">
        <v>1425</v>
      </c>
      <c r="D1302" s="3">
        <v>6100.9</v>
      </c>
      <c r="E1302" s="3">
        <v>9311128.0299999993</v>
      </c>
      <c r="F1302" s="1" t="s">
        <v>2732</v>
      </c>
      <c r="G1302" s="3">
        <f t="shared" si="49"/>
        <v>6100.9</v>
      </c>
      <c r="H1302" s="4">
        <v>0</v>
      </c>
    </row>
    <row r="1303" spans="1:8">
      <c r="A1303" s="1" t="s">
        <v>1382</v>
      </c>
      <c r="B1303" s="1" t="s">
        <v>15</v>
      </c>
      <c r="C1303" s="1" t="s">
        <v>1426</v>
      </c>
      <c r="D1303" s="3">
        <v>154767.54999999999</v>
      </c>
      <c r="E1303" s="3">
        <v>9465895.5800000001</v>
      </c>
      <c r="F1303" s="1" t="s">
        <v>2732</v>
      </c>
      <c r="G1303" s="3">
        <f t="shared" si="49"/>
        <v>154767.54999999999</v>
      </c>
      <c r="H1303" s="4">
        <v>0</v>
      </c>
    </row>
    <row r="1304" spans="1:8">
      <c r="A1304" s="1" t="s">
        <v>1382</v>
      </c>
      <c r="B1304" s="1" t="s">
        <v>15</v>
      </c>
      <c r="C1304" s="1" t="s">
        <v>1427</v>
      </c>
      <c r="D1304" s="3">
        <v>13153.05</v>
      </c>
      <c r="E1304" s="3">
        <v>9479048.6300000008</v>
      </c>
      <c r="F1304" s="1" t="s">
        <v>2732</v>
      </c>
      <c r="G1304" s="3">
        <f t="shared" si="49"/>
        <v>13153.05</v>
      </c>
      <c r="H1304" s="4">
        <v>0</v>
      </c>
    </row>
    <row r="1305" spans="1:8">
      <c r="A1305" s="1" t="s">
        <v>1382</v>
      </c>
      <c r="B1305" s="1" t="s">
        <v>15</v>
      </c>
      <c r="C1305" s="1" t="s">
        <v>1428</v>
      </c>
      <c r="D1305" s="3">
        <v>7014.96</v>
      </c>
      <c r="E1305" s="3">
        <v>9486063.5899999999</v>
      </c>
      <c r="F1305" s="1" t="s">
        <v>2732</v>
      </c>
      <c r="G1305" s="3">
        <f t="shared" si="49"/>
        <v>7014.96</v>
      </c>
      <c r="H1305" s="4">
        <v>0</v>
      </c>
    </row>
    <row r="1306" spans="1:8">
      <c r="A1306" s="1" t="s">
        <v>1382</v>
      </c>
      <c r="B1306" s="1" t="s">
        <v>15</v>
      </c>
      <c r="C1306" s="1" t="s">
        <v>1429</v>
      </c>
      <c r="D1306" s="3">
        <v>12276.18</v>
      </c>
      <c r="E1306" s="3">
        <v>9498339.7699999996</v>
      </c>
      <c r="F1306" s="1" t="s">
        <v>2732</v>
      </c>
      <c r="G1306" s="3">
        <f t="shared" si="49"/>
        <v>12276.18</v>
      </c>
      <c r="H1306" s="4">
        <v>0</v>
      </c>
    </row>
    <row r="1307" spans="1:8">
      <c r="A1307" s="1" t="s">
        <v>1382</v>
      </c>
      <c r="B1307" s="1" t="s">
        <v>15</v>
      </c>
      <c r="C1307" s="1" t="s">
        <v>1430</v>
      </c>
      <c r="D1307" s="3">
        <v>4384.3500000000004</v>
      </c>
      <c r="E1307" s="3">
        <v>9502724.1199999992</v>
      </c>
      <c r="F1307" s="1" t="s">
        <v>2732</v>
      </c>
      <c r="G1307" s="3">
        <f t="shared" si="49"/>
        <v>4384.3500000000004</v>
      </c>
      <c r="H1307" s="4">
        <v>0</v>
      </c>
    </row>
    <row r="1308" spans="1:8">
      <c r="A1308" s="1" t="s">
        <v>1382</v>
      </c>
      <c r="B1308" s="1" t="s">
        <v>15</v>
      </c>
      <c r="C1308" s="1" t="s">
        <v>1431</v>
      </c>
      <c r="D1308" s="3">
        <v>4384.3500000000004</v>
      </c>
      <c r="E1308" s="3">
        <v>9507108.4700000007</v>
      </c>
      <c r="F1308" s="1" t="s">
        <v>2732</v>
      </c>
      <c r="G1308" s="3">
        <f t="shared" si="49"/>
        <v>4384.3500000000004</v>
      </c>
      <c r="H1308" s="4">
        <v>0</v>
      </c>
    </row>
    <row r="1309" spans="1:8">
      <c r="A1309" s="1" t="s">
        <v>1382</v>
      </c>
      <c r="B1309" s="1" t="s">
        <v>15</v>
      </c>
      <c r="C1309" s="1" t="s">
        <v>1432</v>
      </c>
      <c r="D1309" s="3">
        <v>5819.32</v>
      </c>
      <c r="E1309" s="3">
        <v>9512927.7899999991</v>
      </c>
      <c r="F1309" s="1" t="s">
        <v>2732</v>
      </c>
      <c r="G1309" s="3">
        <f t="shared" si="49"/>
        <v>5819.32</v>
      </c>
      <c r="H1309" s="4">
        <v>0</v>
      </c>
    </row>
    <row r="1310" spans="1:8">
      <c r="A1310" s="1" t="s">
        <v>1382</v>
      </c>
      <c r="B1310" s="1" t="s">
        <v>15</v>
      </c>
      <c r="C1310" s="1" t="s">
        <v>1437</v>
      </c>
      <c r="D1310" s="3">
        <v>12281.1</v>
      </c>
      <c r="E1310" s="3">
        <v>8021453.2999999998</v>
      </c>
      <c r="F1310" s="1" t="s">
        <v>2732</v>
      </c>
      <c r="G1310" s="3">
        <f t="shared" si="49"/>
        <v>12281.1</v>
      </c>
      <c r="H1310" s="4">
        <v>0</v>
      </c>
    </row>
    <row r="1311" spans="1:8">
      <c r="A1311" s="1" t="s">
        <v>1382</v>
      </c>
      <c r="B1311" s="1" t="s">
        <v>15</v>
      </c>
      <c r="C1311" s="1" t="s">
        <v>1438</v>
      </c>
      <c r="D1311" s="3">
        <v>26692.26</v>
      </c>
      <c r="E1311" s="3">
        <v>8048145.5599999996</v>
      </c>
      <c r="F1311" s="1" t="s">
        <v>2732</v>
      </c>
      <c r="G1311" s="3">
        <f t="shared" si="49"/>
        <v>26692.26</v>
      </c>
      <c r="H1311" s="4">
        <v>0</v>
      </c>
    </row>
    <row r="1312" spans="1:8">
      <c r="A1312" s="1" t="s">
        <v>1382</v>
      </c>
      <c r="B1312" s="1" t="s">
        <v>15</v>
      </c>
      <c r="C1312" s="1" t="s">
        <v>1439</v>
      </c>
      <c r="D1312" s="3">
        <v>12438.23</v>
      </c>
      <c r="E1312" s="3">
        <v>8060583.79</v>
      </c>
      <c r="F1312" s="1" t="s">
        <v>2732</v>
      </c>
      <c r="G1312" s="3">
        <f t="shared" si="49"/>
        <v>12438.23</v>
      </c>
      <c r="H1312" s="4">
        <v>0</v>
      </c>
    </row>
    <row r="1313" spans="1:8">
      <c r="A1313" s="1" t="s">
        <v>1382</v>
      </c>
      <c r="B1313" s="1" t="s">
        <v>15</v>
      </c>
      <c r="C1313" s="1" t="s">
        <v>1440</v>
      </c>
      <c r="D1313" s="3">
        <v>28439.58</v>
      </c>
      <c r="E1313" s="3">
        <v>8089023.3700000001</v>
      </c>
      <c r="F1313" s="1" t="s">
        <v>2732</v>
      </c>
      <c r="G1313" s="3">
        <f t="shared" si="49"/>
        <v>28439.58</v>
      </c>
      <c r="H1313" s="4">
        <v>0</v>
      </c>
    </row>
    <row r="1314" spans="1:8">
      <c r="A1314" s="1" t="s">
        <v>1382</v>
      </c>
      <c r="B1314" s="1" t="s">
        <v>15</v>
      </c>
      <c r="C1314" s="1" t="s">
        <v>1441</v>
      </c>
      <c r="D1314" s="3">
        <v>9158.42</v>
      </c>
      <c r="E1314" s="3">
        <v>8098181.79</v>
      </c>
      <c r="F1314" s="1" t="s">
        <v>2732</v>
      </c>
      <c r="G1314" s="3">
        <f t="shared" si="49"/>
        <v>9158.42</v>
      </c>
      <c r="H1314" s="4">
        <v>0</v>
      </c>
    </row>
    <row r="1315" spans="1:8">
      <c r="A1315" s="1" t="s">
        <v>1382</v>
      </c>
      <c r="B1315" s="1" t="s">
        <v>15</v>
      </c>
      <c r="C1315" s="1" t="s">
        <v>1442</v>
      </c>
      <c r="D1315" s="3">
        <v>4251.1499999999996</v>
      </c>
      <c r="E1315" s="3">
        <v>8102432.9400000004</v>
      </c>
      <c r="F1315" s="1" t="s">
        <v>2732</v>
      </c>
      <c r="G1315" s="3">
        <f t="shared" si="49"/>
        <v>4251.1499999999996</v>
      </c>
      <c r="H1315" s="4">
        <v>0</v>
      </c>
    </row>
    <row r="1316" spans="1:8">
      <c r="A1316" s="1" t="s">
        <v>1382</v>
      </c>
      <c r="B1316" s="1" t="s">
        <v>15</v>
      </c>
      <c r="C1316" s="1" t="s">
        <v>1443</v>
      </c>
      <c r="D1316" s="3">
        <v>4223.7</v>
      </c>
      <c r="E1316" s="3">
        <v>8106656.6399999997</v>
      </c>
      <c r="F1316" s="1" t="s">
        <v>2732</v>
      </c>
      <c r="G1316" s="3">
        <f t="shared" si="49"/>
        <v>4223.7</v>
      </c>
      <c r="H1316" s="4">
        <v>0</v>
      </c>
    </row>
    <row r="1317" spans="1:8">
      <c r="A1317" s="1" t="s">
        <v>1382</v>
      </c>
      <c r="B1317" s="1" t="s">
        <v>15</v>
      </c>
      <c r="C1317" s="1" t="s">
        <v>1444</v>
      </c>
      <c r="D1317" s="3">
        <v>7794.4</v>
      </c>
      <c r="E1317" s="3">
        <v>8114451.04</v>
      </c>
      <c r="F1317" s="1" t="s">
        <v>2732</v>
      </c>
      <c r="G1317" s="3">
        <f t="shared" si="49"/>
        <v>7794.4</v>
      </c>
      <c r="H1317" s="4">
        <v>0</v>
      </c>
    </row>
    <row r="1318" spans="1:8">
      <c r="A1318" s="1" t="s">
        <v>1382</v>
      </c>
      <c r="B1318" s="1" t="s">
        <v>15</v>
      </c>
      <c r="C1318" s="1" t="s">
        <v>1445</v>
      </c>
      <c r="D1318" s="3">
        <v>162514.1</v>
      </c>
      <c r="E1318" s="3">
        <v>8276965.1399999997</v>
      </c>
      <c r="F1318" s="1" t="s">
        <v>2732</v>
      </c>
      <c r="G1318" s="3">
        <f t="shared" si="49"/>
        <v>162514.1</v>
      </c>
      <c r="H1318" s="4">
        <v>0</v>
      </c>
    </row>
    <row r="1319" spans="1:8">
      <c r="A1319" s="1" t="s">
        <v>1382</v>
      </c>
      <c r="B1319" s="1" t="s">
        <v>15</v>
      </c>
      <c r="C1319" s="1" t="s">
        <v>1446</v>
      </c>
      <c r="D1319" s="3">
        <v>25412.43</v>
      </c>
      <c r="E1319" s="3">
        <v>8302377.5700000003</v>
      </c>
      <c r="F1319" s="1" t="s">
        <v>2732</v>
      </c>
      <c r="G1319" s="3">
        <f t="shared" si="49"/>
        <v>25412.43</v>
      </c>
      <c r="H1319" s="4">
        <v>0</v>
      </c>
    </row>
    <row r="1320" spans="1:8">
      <c r="A1320" s="1" t="s">
        <v>1382</v>
      </c>
      <c r="B1320" s="1" t="s">
        <v>15</v>
      </c>
      <c r="C1320" s="1" t="s">
        <v>1447</v>
      </c>
      <c r="D1320" s="3">
        <v>59822.02</v>
      </c>
      <c r="E1320" s="3">
        <v>8362199.5899999999</v>
      </c>
      <c r="F1320" s="1" t="s">
        <v>2732</v>
      </c>
      <c r="G1320" s="3">
        <f t="shared" si="49"/>
        <v>59822.02</v>
      </c>
      <c r="H1320" s="4">
        <v>0</v>
      </c>
    </row>
    <row r="1321" spans="1:8">
      <c r="A1321" s="1" t="s">
        <v>1382</v>
      </c>
      <c r="B1321" s="1" t="s">
        <v>15</v>
      </c>
      <c r="C1321" s="1" t="s">
        <v>1448</v>
      </c>
      <c r="D1321" s="3">
        <v>46571.54</v>
      </c>
      <c r="E1321" s="3">
        <v>8408771.1300000008</v>
      </c>
      <c r="F1321" s="1" t="s">
        <v>2732</v>
      </c>
      <c r="G1321" s="3">
        <f t="shared" si="49"/>
        <v>46571.54</v>
      </c>
      <c r="H1321" s="4">
        <v>0</v>
      </c>
    </row>
    <row r="1322" spans="1:8">
      <c r="A1322" s="1" t="s">
        <v>1382</v>
      </c>
      <c r="B1322" s="1" t="s">
        <v>15</v>
      </c>
      <c r="C1322" s="1" t="s">
        <v>1449</v>
      </c>
      <c r="D1322" s="3">
        <v>28546.99</v>
      </c>
      <c r="E1322" s="3">
        <v>8437318.1199999992</v>
      </c>
      <c r="F1322" s="1" t="s">
        <v>2732</v>
      </c>
      <c r="G1322" s="3">
        <f t="shared" si="49"/>
        <v>28546.99</v>
      </c>
      <c r="H1322" s="4">
        <v>0</v>
      </c>
    </row>
    <row r="1323" spans="1:8">
      <c r="A1323" s="1" t="s">
        <v>1382</v>
      </c>
      <c r="B1323" s="1" t="s">
        <v>15</v>
      </c>
      <c r="C1323" s="1" t="s">
        <v>1450</v>
      </c>
      <c r="D1323" s="3">
        <v>36438.82</v>
      </c>
      <c r="E1323" s="3">
        <v>8473756.9399999995</v>
      </c>
      <c r="F1323" s="1" t="s">
        <v>2732</v>
      </c>
      <c r="G1323" s="3">
        <f t="shared" si="49"/>
        <v>36438.82</v>
      </c>
      <c r="H1323" s="4">
        <v>0</v>
      </c>
    </row>
    <row r="1324" spans="1:8">
      <c r="A1324" s="1" t="s">
        <v>1382</v>
      </c>
      <c r="B1324" s="1" t="s">
        <v>15</v>
      </c>
      <c r="C1324" s="1" t="s">
        <v>1451</v>
      </c>
      <c r="D1324" s="3">
        <v>122859.23</v>
      </c>
      <c r="E1324" s="3">
        <v>8596616.1699999999</v>
      </c>
      <c r="F1324" s="1" t="s">
        <v>2732</v>
      </c>
      <c r="G1324" s="3">
        <f t="shared" si="49"/>
        <v>122859.23</v>
      </c>
      <c r="H1324" s="4">
        <v>0</v>
      </c>
    </row>
    <row r="1325" spans="1:8">
      <c r="A1325" s="1" t="s">
        <v>1382</v>
      </c>
      <c r="B1325" s="1" t="s">
        <v>15</v>
      </c>
      <c r="C1325" s="1" t="s">
        <v>1452</v>
      </c>
      <c r="D1325" s="3">
        <v>24373.26</v>
      </c>
      <c r="E1325" s="3">
        <v>8620989.4299999997</v>
      </c>
      <c r="F1325" s="1" t="s">
        <v>2732</v>
      </c>
      <c r="G1325" s="3">
        <f t="shared" si="49"/>
        <v>24373.26</v>
      </c>
      <c r="H1325" s="4">
        <v>0</v>
      </c>
    </row>
    <row r="1326" spans="1:8">
      <c r="A1326" s="1" t="s">
        <v>1382</v>
      </c>
      <c r="B1326" s="1" t="s">
        <v>15</v>
      </c>
      <c r="C1326" s="1" t="s">
        <v>1453</v>
      </c>
      <c r="D1326" s="3">
        <v>43361.73</v>
      </c>
      <c r="E1326" s="3">
        <v>8664351.1600000001</v>
      </c>
      <c r="F1326" s="1" t="s">
        <v>2732</v>
      </c>
      <c r="G1326" s="3">
        <f t="shared" ref="G1326:G1352" si="50">+D1326</f>
        <v>43361.73</v>
      </c>
      <c r="H1326" s="4">
        <v>0</v>
      </c>
    </row>
    <row r="1327" spans="1:8">
      <c r="A1327" s="1" t="s">
        <v>1382</v>
      </c>
      <c r="B1327" s="1" t="s">
        <v>15</v>
      </c>
      <c r="C1327" s="1" t="s">
        <v>1454</v>
      </c>
      <c r="D1327" s="3">
        <v>42771.77</v>
      </c>
      <c r="E1327" s="3">
        <v>8707122.9299999997</v>
      </c>
      <c r="F1327" s="1" t="s">
        <v>2732</v>
      </c>
      <c r="G1327" s="3">
        <f t="shared" si="50"/>
        <v>42771.77</v>
      </c>
      <c r="H1327" s="4">
        <v>0</v>
      </c>
    </row>
    <row r="1328" spans="1:8">
      <c r="A1328" s="1" t="s">
        <v>1382</v>
      </c>
      <c r="B1328" s="1" t="s">
        <v>678</v>
      </c>
      <c r="C1328" s="1" t="s">
        <v>1455</v>
      </c>
      <c r="D1328" s="3">
        <v>2148.9</v>
      </c>
      <c r="E1328" s="3">
        <v>8709271.8300000001</v>
      </c>
      <c r="F1328" s="2" t="s">
        <v>2732</v>
      </c>
      <c r="G1328" s="3">
        <f t="shared" si="50"/>
        <v>2148.9</v>
      </c>
      <c r="H1328" s="4">
        <v>0</v>
      </c>
    </row>
    <row r="1329" spans="1:8">
      <c r="A1329" s="1" t="s">
        <v>1382</v>
      </c>
      <c r="B1329" s="1" t="s">
        <v>15</v>
      </c>
      <c r="C1329" s="1" t="s">
        <v>1456</v>
      </c>
      <c r="D1329" s="3">
        <v>4223.7</v>
      </c>
      <c r="E1329" s="3">
        <v>8713495.5299999993</v>
      </c>
      <c r="F1329" s="1" t="s">
        <v>2732</v>
      </c>
      <c r="G1329" s="3">
        <f t="shared" si="50"/>
        <v>4223.7</v>
      </c>
      <c r="H1329" s="4">
        <v>0</v>
      </c>
    </row>
    <row r="1330" spans="1:8">
      <c r="A1330" s="1" t="s">
        <v>1382</v>
      </c>
      <c r="B1330" s="1" t="s">
        <v>15</v>
      </c>
      <c r="C1330" s="1" t="s">
        <v>1457</v>
      </c>
      <c r="D1330" s="3">
        <v>4384.3500000000004</v>
      </c>
      <c r="E1330" s="3">
        <v>8717879.8800000008</v>
      </c>
      <c r="F1330" s="1" t="s">
        <v>2732</v>
      </c>
      <c r="G1330" s="3">
        <f t="shared" si="50"/>
        <v>4384.3500000000004</v>
      </c>
      <c r="H1330" s="4">
        <v>0</v>
      </c>
    </row>
    <row r="1331" spans="1:8">
      <c r="A1331" s="1" t="s">
        <v>1382</v>
      </c>
      <c r="B1331" s="1" t="s">
        <v>15</v>
      </c>
      <c r="C1331" s="1" t="s">
        <v>1458</v>
      </c>
      <c r="D1331" s="3">
        <v>31080.17</v>
      </c>
      <c r="E1331" s="3">
        <v>8748960.0500000007</v>
      </c>
      <c r="F1331" s="1" t="s">
        <v>2732</v>
      </c>
      <c r="G1331" s="3">
        <f t="shared" si="50"/>
        <v>31080.17</v>
      </c>
      <c r="H1331" s="4">
        <v>0</v>
      </c>
    </row>
    <row r="1332" spans="1:8">
      <c r="A1332" s="1" t="s">
        <v>1382</v>
      </c>
      <c r="B1332" s="1" t="s">
        <v>1459</v>
      </c>
      <c r="C1332" s="1" t="s">
        <v>1460</v>
      </c>
      <c r="D1332" s="3">
        <v>3123.01</v>
      </c>
      <c r="E1332" s="3">
        <v>8752083.0600000005</v>
      </c>
      <c r="F1332" s="2" t="s">
        <v>2732</v>
      </c>
      <c r="G1332" s="3">
        <f t="shared" si="50"/>
        <v>3123.01</v>
      </c>
      <c r="H1332" s="4">
        <v>0</v>
      </c>
    </row>
    <row r="1333" spans="1:8">
      <c r="A1333" s="1" t="s">
        <v>1382</v>
      </c>
      <c r="B1333" s="1" t="s">
        <v>15</v>
      </c>
      <c r="C1333" s="1" t="s">
        <v>1461</v>
      </c>
      <c r="D1333" s="3">
        <v>25818.95</v>
      </c>
      <c r="E1333" s="3">
        <v>8777902.0099999998</v>
      </c>
      <c r="F1333" s="1" t="s">
        <v>2732</v>
      </c>
      <c r="G1333" s="3">
        <f t="shared" si="50"/>
        <v>25818.95</v>
      </c>
      <c r="H1333" s="4">
        <v>0</v>
      </c>
    </row>
    <row r="1334" spans="1:8">
      <c r="A1334" s="1" t="s">
        <v>1382</v>
      </c>
      <c r="B1334" s="1" t="s">
        <v>1462</v>
      </c>
      <c r="C1334" s="1" t="s">
        <v>1463</v>
      </c>
      <c r="D1334" s="3">
        <v>1297.17</v>
      </c>
      <c r="E1334" s="3">
        <v>8779199.1799999997</v>
      </c>
      <c r="F1334" s="2" t="s">
        <v>2732</v>
      </c>
      <c r="G1334" s="3">
        <f t="shared" si="50"/>
        <v>1297.17</v>
      </c>
      <c r="H1334" s="4">
        <v>0</v>
      </c>
    </row>
    <row r="1335" spans="1:8">
      <c r="A1335" s="1" t="s">
        <v>1382</v>
      </c>
      <c r="B1335" s="1" t="s">
        <v>15</v>
      </c>
      <c r="C1335" s="1" t="s">
        <v>1464</v>
      </c>
      <c r="D1335" s="3">
        <v>30787.88</v>
      </c>
      <c r="E1335" s="3">
        <v>8809987.0600000005</v>
      </c>
      <c r="F1335" s="1" t="s">
        <v>2732</v>
      </c>
      <c r="G1335" s="3">
        <f t="shared" si="50"/>
        <v>30787.88</v>
      </c>
      <c r="H1335" s="4">
        <v>0</v>
      </c>
    </row>
    <row r="1336" spans="1:8">
      <c r="A1336" s="1" t="s">
        <v>1382</v>
      </c>
      <c r="B1336" s="1" t="s">
        <v>519</v>
      </c>
      <c r="C1336" s="1" t="s">
        <v>1465</v>
      </c>
      <c r="D1336" s="3">
        <v>1546.82</v>
      </c>
      <c r="E1336" s="3">
        <v>8811533.8800000008</v>
      </c>
      <c r="F1336" s="2" t="s">
        <v>2732</v>
      </c>
      <c r="G1336" s="3">
        <f t="shared" si="50"/>
        <v>1546.82</v>
      </c>
      <c r="H1336" s="4">
        <v>0</v>
      </c>
    </row>
    <row r="1337" spans="1:8">
      <c r="A1337" s="1" t="s">
        <v>1382</v>
      </c>
      <c r="B1337" s="1" t="s">
        <v>15</v>
      </c>
      <c r="C1337" s="1" t="s">
        <v>1466</v>
      </c>
      <c r="D1337" s="3">
        <v>159790.39999999999</v>
      </c>
      <c r="E1337" s="3">
        <v>8971324.2799999993</v>
      </c>
      <c r="F1337" s="1" t="s">
        <v>2732</v>
      </c>
      <c r="G1337" s="3">
        <f t="shared" si="50"/>
        <v>159790.39999999999</v>
      </c>
      <c r="H1337" s="4">
        <v>0</v>
      </c>
    </row>
    <row r="1338" spans="1:8">
      <c r="A1338" s="1" t="s">
        <v>1382</v>
      </c>
      <c r="B1338" s="1" t="s">
        <v>15</v>
      </c>
      <c r="C1338" s="1" t="s">
        <v>1467</v>
      </c>
      <c r="D1338" s="3">
        <v>51864.03</v>
      </c>
      <c r="E1338" s="3">
        <v>9023188.3100000005</v>
      </c>
      <c r="F1338" s="1" t="s">
        <v>2732</v>
      </c>
      <c r="G1338" s="3">
        <f t="shared" si="50"/>
        <v>51864.03</v>
      </c>
      <c r="H1338" s="4">
        <v>0</v>
      </c>
    </row>
    <row r="1339" spans="1:8">
      <c r="A1339" s="1" t="s">
        <v>1382</v>
      </c>
      <c r="B1339" s="1" t="s">
        <v>15</v>
      </c>
      <c r="C1339" s="1" t="s">
        <v>1468</v>
      </c>
      <c r="D1339" s="3">
        <v>34490.22</v>
      </c>
      <c r="E1339" s="3">
        <v>9057678.5299999993</v>
      </c>
      <c r="F1339" s="1" t="s">
        <v>2732</v>
      </c>
      <c r="G1339" s="3">
        <f t="shared" si="50"/>
        <v>34490.22</v>
      </c>
      <c r="H1339" s="4">
        <v>0</v>
      </c>
    </row>
    <row r="1340" spans="1:8">
      <c r="A1340" s="1" t="s">
        <v>1382</v>
      </c>
      <c r="B1340" s="1" t="s">
        <v>1469</v>
      </c>
      <c r="C1340" s="1" t="s">
        <v>1470</v>
      </c>
      <c r="D1340" s="3">
        <v>1732.83</v>
      </c>
      <c r="E1340" s="3">
        <v>9059411.3599999994</v>
      </c>
      <c r="F1340" s="2" t="s">
        <v>2732</v>
      </c>
      <c r="G1340" s="3">
        <f t="shared" si="50"/>
        <v>1732.83</v>
      </c>
      <c r="H1340" s="4">
        <v>0</v>
      </c>
    </row>
    <row r="1341" spans="1:8">
      <c r="A1341" s="1" t="s">
        <v>1382</v>
      </c>
      <c r="B1341" s="1" t="s">
        <v>15</v>
      </c>
      <c r="C1341" s="1" t="s">
        <v>1471</v>
      </c>
      <c r="D1341" s="3">
        <v>14711.93</v>
      </c>
      <c r="E1341" s="3">
        <v>9074123.2899999991</v>
      </c>
      <c r="F1341" s="1" t="s">
        <v>2732</v>
      </c>
      <c r="G1341" s="3">
        <f t="shared" si="50"/>
        <v>14711.93</v>
      </c>
      <c r="H1341" s="4">
        <v>0</v>
      </c>
    </row>
    <row r="1342" spans="1:8">
      <c r="A1342" s="1" t="s">
        <v>1382</v>
      </c>
      <c r="B1342" s="1" t="s">
        <v>15</v>
      </c>
      <c r="C1342" s="1" t="s">
        <v>1472</v>
      </c>
      <c r="D1342" s="3">
        <v>13153.05</v>
      </c>
      <c r="E1342" s="3">
        <v>9087276.3399999999</v>
      </c>
      <c r="F1342" s="1" t="s">
        <v>2732</v>
      </c>
      <c r="G1342" s="3">
        <f t="shared" si="50"/>
        <v>13153.05</v>
      </c>
      <c r="H1342" s="4">
        <v>0</v>
      </c>
    </row>
    <row r="1343" spans="1:8">
      <c r="A1343" s="1" t="s">
        <v>1382</v>
      </c>
      <c r="B1343" s="1" t="s">
        <v>15</v>
      </c>
      <c r="C1343" s="1" t="s">
        <v>1473</v>
      </c>
      <c r="D1343" s="3">
        <v>37693.53</v>
      </c>
      <c r="E1343" s="3">
        <v>9124969.8699999992</v>
      </c>
      <c r="F1343" s="1" t="s">
        <v>2732</v>
      </c>
      <c r="G1343" s="3">
        <f t="shared" si="50"/>
        <v>37693.53</v>
      </c>
      <c r="H1343" s="4">
        <v>0</v>
      </c>
    </row>
    <row r="1344" spans="1:8">
      <c r="A1344" s="1" t="s">
        <v>1382</v>
      </c>
      <c r="B1344" s="1" t="s">
        <v>15</v>
      </c>
      <c r="C1344" s="1" t="s">
        <v>1474</v>
      </c>
      <c r="D1344" s="3">
        <v>11711.91</v>
      </c>
      <c r="E1344" s="3">
        <v>9136681.7799999993</v>
      </c>
      <c r="F1344" s="1" t="s">
        <v>2732</v>
      </c>
      <c r="G1344" s="3">
        <f t="shared" si="50"/>
        <v>11711.91</v>
      </c>
      <c r="H1344" s="4">
        <v>0</v>
      </c>
    </row>
    <row r="1345" spans="1:8">
      <c r="A1345" s="1" t="s">
        <v>1382</v>
      </c>
      <c r="B1345" s="1" t="s">
        <v>15</v>
      </c>
      <c r="C1345" s="1" t="s">
        <v>1475</v>
      </c>
      <c r="D1345" s="3">
        <v>15289.66</v>
      </c>
      <c r="E1345" s="3">
        <v>9151971.4399999995</v>
      </c>
      <c r="F1345" s="1" t="s">
        <v>2732</v>
      </c>
      <c r="G1345" s="3">
        <f t="shared" si="50"/>
        <v>15289.66</v>
      </c>
      <c r="H1345" s="4">
        <v>0</v>
      </c>
    </row>
    <row r="1346" spans="1:8">
      <c r="A1346" s="1" t="s">
        <v>1382</v>
      </c>
      <c r="B1346" s="1" t="s">
        <v>15</v>
      </c>
      <c r="C1346" s="1" t="s">
        <v>1476</v>
      </c>
      <c r="D1346" s="3">
        <v>37976.94</v>
      </c>
      <c r="E1346" s="3">
        <v>9189948.3800000008</v>
      </c>
      <c r="F1346" s="1" t="s">
        <v>2732</v>
      </c>
      <c r="G1346" s="3">
        <f t="shared" si="50"/>
        <v>37976.94</v>
      </c>
      <c r="H1346" s="4">
        <v>0</v>
      </c>
    </row>
    <row r="1347" spans="1:8">
      <c r="A1347" s="1" t="s">
        <v>1382</v>
      </c>
      <c r="B1347" s="1" t="s">
        <v>15</v>
      </c>
      <c r="C1347" s="1" t="s">
        <v>1477</v>
      </c>
      <c r="D1347" s="3">
        <v>39771.870000000003</v>
      </c>
      <c r="E1347" s="3">
        <v>9229720.25</v>
      </c>
      <c r="F1347" s="1" t="s">
        <v>2732</v>
      </c>
      <c r="G1347" s="3">
        <f t="shared" si="50"/>
        <v>39771.870000000003</v>
      </c>
      <c r="H1347" s="4">
        <v>0</v>
      </c>
    </row>
    <row r="1348" spans="1:8">
      <c r="A1348" s="1" t="s">
        <v>1382</v>
      </c>
      <c r="B1348" s="1" t="s">
        <v>15</v>
      </c>
      <c r="C1348" s="1" t="s">
        <v>1478</v>
      </c>
      <c r="D1348" s="3">
        <v>4035.98</v>
      </c>
      <c r="E1348" s="3">
        <v>9233756.2300000004</v>
      </c>
      <c r="F1348" s="1" t="s">
        <v>2732</v>
      </c>
      <c r="G1348" s="3">
        <f t="shared" si="50"/>
        <v>4035.98</v>
      </c>
      <c r="H1348" s="4">
        <v>0</v>
      </c>
    </row>
    <row r="1349" spans="1:8">
      <c r="A1349" s="1" t="s">
        <v>1382</v>
      </c>
      <c r="B1349" s="1" t="s">
        <v>15</v>
      </c>
      <c r="C1349" s="1" t="s">
        <v>1479</v>
      </c>
      <c r="D1349" s="3">
        <v>43843.5</v>
      </c>
      <c r="E1349" s="3">
        <v>9277599.7300000004</v>
      </c>
      <c r="F1349" s="1" t="s">
        <v>2732</v>
      </c>
      <c r="G1349" s="3">
        <f t="shared" si="50"/>
        <v>43843.5</v>
      </c>
      <c r="H1349" s="4">
        <v>0</v>
      </c>
    </row>
    <row r="1350" spans="1:8">
      <c r="A1350" s="1" t="s">
        <v>1382</v>
      </c>
      <c r="B1350" s="1" t="s">
        <v>15</v>
      </c>
      <c r="C1350" s="1" t="s">
        <v>1480</v>
      </c>
      <c r="D1350" s="3">
        <v>28157.27</v>
      </c>
      <c r="E1350" s="3">
        <v>9305757</v>
      </c>
      <c r="F1350" s="1" t="s">
        <v>2732</v>
      </c>
      <c r="G1350" s="3">
        <f t="shared" si="50"/>
        <v>28157.27</v>
      </c>
      <c r="H1350" s="4">
        <v>0</v>
      </c>
    </row>
    <row r="1351" spans="1:8">
      <c r="A1351" s="59" t="s">
        <v>1382</v>
      </c>
      <c r="B1351" s="59" t="s">
        <v>28</v>
      </c>
      <c r="C1351" s="59" t="s">
        <v>1435</v>
      </c>
      <c r="D1351" s="64">
        <v>-1399.23</v>
      </c>
      <c r="E1351" s="64">
        <v>8002816.9000000004</v>
      </c>
      <c r="F1351" s="59"/>
      <c r="G1351" s="64">
        <f t="shared" si="50"/>
        <v>-1399.23</v>
      </c>
      <c r="H1351" s="65"/>
    </row>
    <row r="1352" spans="1:8">
      <c r="A1352" s="59" t="s">
        <v>1382</v>
      </c>
      <c r="B1352" s="59" t="s">
        <v>28</v>
      </c>
      <c r="C1352" s="59" t="s">
        <v>1433</v>
      </c>
      <c r="D1352" s="64">
        <v>-7607.4</v>
      </c>
      <c r="E1352" s="64">
        <v>8237420.3899999997</v>
      </c>
      <c r="F1352" s="59"/>
      <c r="G1352" s="64">
        <f t="shared" si="50"/>
        <v>-7607.4</v>
      </c>
      <c r="H1352" s="65"/>
    </row>
    <row r="1353" spans="1:8">
      <c r="A1353" s="1" t="s">
        <v>1382</v>
      </c>
      <c r="B1353" s="1" t="s">
        <v>1434</v>
      </c>
      <c r="C1353" s="1" t="s">
        <v>1435</v>
      </c>
      <c r="D1353" s="3">
        <v>-233204.26</v>
      </c>
      <c r="E1353" s="3">
        <v>8004216.1299999999</v>
      </c>
      <c r="G1353" s="4">
        <f>+D1353/1.006</f>
        <v>-231813.37972166997</v>
      </c>
      <c r="H1353" s="4">
        <f>+D1353-G1353</f>
        <v>-1390.8802783300343</v>
      </c>
    </row>
    <row r="1354" spans="1:8">
      <c r="A1354" s="1" t="s">
        <v>1382</v>
      </c>
      <c r="B1354" s="1" t="s">
        <v>79</v>
      </c>
      <c r="C1354" s="1" t="s">
        <v>1433</v>
      </c>
      <c r="D1354" s="3">
        <v>-1267900</v>
      </c>
      <c r="E1354" s="3">
        <v>8245027.79</v>
      </c>
      <c r="G1354" s="4">
        <f>+D1354/1.006</f>
        <v>-1260337.9721669981</v>
      </c>
      <c r="H1354" s="4">
        <f>+D1354-G1354</f>
        <v>-7562.027833001921</v>
      </c>
    </row>
    <row r="1355" spans="1:8">
      <c r="A1355" s="1" t="s">
        <v>1481</v>
      </c>
      <c r="B1355" s="1" t="s">
        <v>15</v>
      </c>
      <c r="C1355" s="1" t="s">
        <v>1521</v>
      </c>
      <c r="D1355" s="3">
        <v>4993.45</v>
      </c>
      <c r="E1355" s="3">
        <v>9838310.4900000002</v>
      </c>
      <c r="F1355" s="1" t="s">
        <v>2732</v>
      </c>
      <c r="G1355" s="3">
        <f t="shared" ref="G1355:G1386" si="51">+D1355</f>
        <v>4993.45</v>
      </c>
      <c r="H1355" s="4">
        <f>+D1355-G1355</f>
        <v>0</v>
      </c>
    </row>
    <row r="1356" spans="1:8">
      <c r="A1356" s="1" t="s">
        <v>1481</v>
      </c>
      <c r="B1356" s="1" t="s">
        <v>15</v>
      </c>
      <c r="C1356" s="1" t="s">
        <v>1482</v>
      </c>
      <c r="D1356" s="3">
        <v>7160.98</v>
      </c>
      <c r="E1356" s="3">
        <v>9312917.9800000004</v>
      </c>
      <c r="F1356" s="1" t="s">
        <v>2732</v>
      </c>
      <c r="G1356" s="3">
        <f t="shared" si="51"/>
        <v>7160.98</v>
      </c>
      <c r="H1356" s="4">
        <v>0</v>
      </c>
    </row>
    <row r="1357" spans="1:8">
      <c r="A1357" s="1" t="s">
        <v>1481</v>
      </c>
      <c r="B1357" s="1" t="s">
        <v>15</v>
      </c>
      <c r="C1357" s="1" t="s">
        <v>1483</v>
      </c>
      <c r="D1357" s="3">
        <v>223504.42</v>
      </c>
      <c r="E1357" s="3">
        <v>9536422.4000000004</v>
      </c>
      <c r="F1357" s="1" t="s">
        <v>2732</v>
      </c>
      <c r="G1357" s="3">
        <f t="shared" si="51"/>
        <v>223504.42</v>
      </c>
      <c r="H1357" s="4">
        <v>0</v>
      </c>
    </row>
    <row r="1358" spans="1:8">
      <c r="A1358" s="1" t="s">
        <v>1481</v>
      </c>
      <c r="B1358" s="1" t="s">
        <v>15</v>
      </c>
      <c r="C1358" s="1" t="s">
        <v>1484</v>
      </c>
      <c r="D1358" s="3">
        <v>4871.5</v>
      </c>
      <c r="E1358" s="3">
        <v>9541293.9000000004</v>
      </c>
      <c r="F1358" s="1" t="s">
        <v>2732</v>
      </c>
      <c r="G1358" s="3">
        <f t="shared" si="51"/>
        <v>4871.5</v>
      </c>
      <c r="H1358" s="4">
        <v>0</v>
      </c>
    </row>
    <row r="1359" spans="1:8">
      <c r="A1359" s="1" t="s">
        <v>1481</v>
      </c>
      <c r="B1359" s="1" t="s">
        <v>15</v>
      </c>
      <c r="C1359" s="1" t="s">
        <v>1485</v>
      </c>
      <c r="D1359" s="3">
        <v>2143.46</v>
      </c>
      <c r="E1359" s="3">
        <v>9543437.3599999994</v>
      </c>
      <c r="F1359" s="1" t="s">
        <v>2732</v>
      </c>
      <c r="G1359" s="3">
        <f t="shared" si="51"/>
        <v>2143.46</v>
      </c>
      <c r="H1359" s="4">
        <v>0</v>
      </c>
    </row>
    <row r="1360" spans="1:8">
      <c r="A1360" s="1" t="s">
        <v>1481</v>
      </c>
      <c r="B1360" s="1" t="s">
        <v>15</v>
      </c>
      <c r="C1360" s="1" t="s">
        <v>1486</v>
      </c>
      <c r="D1360" s="3">
        <v>4871.5</v>
      </c>
      <c r="E1360" s="3">
        <v>9548308.8599999994</v>
      </c>
      <c r="F1360" s="1" t="s">
        <v>2732</v>
      </c>
      <c r="G1360" s="3">
        <f t="shared" si="51"/>
        <v>4871.5</v>
      </c>
      <c r="H1360" s="4">
        <v>0</v>
      </c>
    </row>
    <row r="1361" spans="1:8">
      <c r="A1361" s="1" t="s">
        <v>1481</v>
      </c>
      <c r="B1361" s="1" t="s">
        <v>15</v>
      </c>
      <c r="C1361" s="1" t="s">
        <v>1487</v>
      </c>
      <c r="D1361" s="3">
        <v>22408.9</v>
      </c>
      <c r="E1361" s="3">
        <v>9570717.7599999998</v>
      </c>
      <c r="F1361" s="1" t="s">
        <v>2732</v>
      </c>
      <c r="G1361" s="3">
        <f t="shared" si="51"/>
        <v>22408.9</v>
      </c>
      <c r="H1361" s="4">
        <v>0</v>
      </c>
    </row>
    <row r="1362" spans="1:8">
      <c r="A1362" s="1" t="s">
        <v>1481</v>
      </c>
      <c r="B1362" s="1" t="s">
        <v>15</v>
      </c>
      <c r="C1362" s="1" t="s">
        <v>1488</v>
      </c>
      <c r="D1362" s="3">
        <v>118059.4</v>
      </c>
      <c r="E1362" s="3">
        <v>9688777.1600000001</v>
      </c>
      <c r="F1362" s="1" t="s">
        <v>2732</v>
      </c>
      <c r="G1362" s="3">
        <f t="shared" si="51"/>
        <v>118059.4</v>
      </c>
      <c r="H1362" s="4">
        <v>0</v>
      </c>
    </row>
    <row r="1363" spans="1:8">
      <c r="A1363" s="1" t="s">
        <v>1481</v>
      </c>
      <c r="B1363" s="1" t="s">
        <v>15</v>
      </c>
      <c r="C1363" s="1" t="s">
        <v>1489</v>
      </c>
      <c r="D1363" s="3">
        <v>18121.98</v>
      </c>
      <c r="E1363" s="3">
        <v>9706899.1400000006</v>
      </c>
      <c r="F1363" s="1" t="s">
        <v>2732</v>
      </c>
      <c r="G1363" s="3">
        <f t="shared" si="51"/>
        <v>18121.98</v>
      </c>
      <c r="H1363" s="4">
        <v>0</v>
      </c>
    </row>
    <row r="1364" spans="1:8">
      <c r="A1364" s="1" t="s">
        <v>1481</v>
      </c>
      <c r="B1364" s="1" t="s">
        <v>15</v>
      </c>
      <c r="C1364" s="1" t="s">
        <v>1490</v>
      </c>
      <c r="D1364" s="3">
        <v>37353.22</v>
      </c>
      <c r="E1364" s="3">
        <v>9744252.3599999994</v>
      </c>
      <c r="F1364" s="1" t="s">
        <v>2732</v>
      </c>
      <c r="G1364" s="3">
        <f t="shared" si="51"/>
        <v>37353.22</v>
      </c>
      <c r="H1364" s="4">
        <v>0</v>
      </c>
    </row>
    <row r="1365" spans="1:8">
      <c r="A1365" s="1" t="s">
        <v>1481</v>
      </c>
      <c r="B1365" s="1" t="s">
        <v>15</v>
      </c>
      <c r="C1365" s="1" t="s">
        <v>1491</v>
      </c>
      <c r="D1365" s="3">
        <v>8573.84</v>
      </c>
      <c r="E1365" s="3">
        <v>9752826.1999999993</v>
      </c>
      <c r="F1365" s="1" t="s">
        <v>2732</v>
      </c>
      <c r="G1365" s="3">
        <f t="shared" si="51"/>
        <v>8573.84</v>
      </c>
      <c r="H1365" s="4">
        <v>0</v>
      </c>
    </row>
    <row r="1366" spans="1:8">
      <c r="A1366" s="1" t="s">
        <v>1481</v>
      </c>
      <c r="B1366" s="1" t="s">
        <v>15</v>
      </c>
      <c r="C1366" s="1" t="s">
        <v>1492</v>
      </c>
      <c r="D1366" s="3">
        <v>40920.6</v>
      </c>
      <c r="E1366" s="3">
        <v>9793746.8000000007</v>
      </c>
      <c r="F1366" s="1" t="s">
        <v>2732</v>
      </c>
      <c r="G1366" s="3">
        <f t="shared" si="51"/>
        <v>40920.6</v>
      </c>
      <c r="H1366" s="4">
        <v>0</v>
      </c>
    </row>
    <row r="1367" spans="1:8">
      <c r="A1367" s="1" t="s">
        <v>1481</v>
      </c>
      <c r="B1367" s="1" t="s">
        <v>15</v>
      </c>
      <c r="C1367" s="1" t="s">
        <v>1493</v>
      </c>
      <c r="D1367" s="3">
        <v>12483.33</v>
      </c>
      <c r="E1367" s="3">
        <v>9806230.1300000008</v>
      </c>
      <c r="F1367" s="1" t="s">
        <v>2732</v>
      </c>
      <c r="G1367" s="3">
        <f t="shared" si="51"/>
        <v>12483.33</v>
      </c>
      <c r="H1367" s="4">
        <v>0</v>
      </c>
    </row>
    <row r="1368" spans="1:8">
      <c r="A1368" s="1" t="s">
        <v>1481</v>
      </c>
      <c r="B1368" s="1" t="s">
        <v>1494</v>
      </c>
      <c r="C1368" s="1" t="s">
        <v>1495</v>
      </c>
      <c r="D1368" s="3">
        <v>1894.36</v>
      </c>
      <c r="E1368" s="3">
        <v>9808124.4900000002</v>
      </c>
      <c r="F1368" s="2" t="s">
        <v>2732</v>
      </c>
      <c r="G1368" s="3">
        <f t="shared" si="51"/>
        <v>1894.36</v>
      </c>
      <c r="H1368" s="4">
        <v>0</v>
      </c>
    </row>
    <row r="1369" spans="1:8">
      <c r="A1369" s="1" t="s">
        <v>1481</v>
      </c>
      <c r="B1369" s="1" t="s">
        <v>15</v>
      </c>
      <c r="C1369" s="1" t="s">
        <v>1496</v>
      </c>
      <c r="D1369" s="3">
        <v>37221.18</v>
      </c>
      <c r="E1369" s="3">
        <v>9845345.6699999999</v>
      </c>
      <c r="F1369" s="1" t="s">
        <v>2732</v>
      </c>
      <c r="G1369" s="3">
        <f t="shared" si="51"/>
        <v>37221.18</v>
      </c>
      <c r="H1369" s="4">
        <v>0</v>
      </c>
    </row>
    <row r="1370" spans="1:8">
      <c r="A1370" s="1" t="s">
        <v>1481</v>
      </c>
      <c r="B1370" s="1" t="s">
        <v>1497</v>
      </c>
      <c r="C1370" s="1" t="s">
        <v>1498</v>
      </c>
      <c r="D1370" s="3">
        <v>9236.86</v>
      </c>
      <c r="E1370" s="3">
        <v>9854582.5299999993</v>
      </c>
      <c r="F1370" s="2" t="s">
        <v>2732</v>
      </c>
      <c r="G1370" s="3">
        <f t="shared" si="51"/>
        <v>9236.86</v>
      </c>
      <c r="H1370" s="4">
        <v>0</v>
      </c>
    </row>
    <row r="1371" spans="1:8">
      <c r="A1371" s="1" t="s">
        <v>1481</v>
      </c>
      <c r="B1371" s="1" t="s">
        <v>15</v>
      </c>
      <c r="C1371" s="1" t="s">
        <v>1499</v>
      </c>
      <c r="D1371" s="3">
        <v>61283.47</v>
      </c>
      <c r="E1371" s="3">
        <v>9915866</v>
      </c>
      <c r="F1371" s="1" t="s">
        <v>2732</v>
      </c>
      <c r="G1371" s="3">
        <f t="shared" si="51"/>
        <v>61283.47</v>
      </c>
      <c r="H1371" s="4">
        <v>0</v>
      </c>
    </row>
    <row r="1372" spans="1:8">
      <c r="A1372" s="1" t="s">
        <v>1481</v>
      </c>
      <c r="B1372" s="1" t="s">
        <v>15</v>
      </c>
      <c r="C1372" s="1" t="s">
        <v>1500</v>
      </c>
      <c r="D1372" s="3">
        <v>9743</v>
      </c>
      <c r="E1372" s="3">
        <v>9925609</v>
      </c>
      <c r="F1372" s="1" t="s">
        <v>2732</v>
      </c>
      <c r="G1372" s="3">
        <f t="shared" si="51"/>
        <v>9743</v>
      </c>
      <c r="H1372" s="4">
        <v>0</v>
      </c>
    </row>
    <row r="1373" spans="1:8">
      <c r="A1373" s="1" t="s">
        <v>1481</v>
      </c>
      <c r="B1373" s="1" t="s">
        <v>15</v>
      </c>
      <c r="C1373" s="1" t="s">
        <v>1501</v>
      </c>
      <c r="D1373" s="3">
        <v>6040.66</v>
      </c>
      <c r="E1373" s="3">
        <v>9931649.6600000001</v>
      </c>
      <c r="F1373" s="1" t="s">
        <v>2732</v>
      </c>
      <c r="G1373" s="3">
        <f t="shared" si="51"/>
        <v>6040.66</v>
      </c>
      <c r="H1373" s="4">
        <v>0</v>
      </c>
    </row>
    <row r="1374" spans="1:8">
      <c r="A1374" s="1" t="s">
        <v>1481</v>
      </c>
      <c r="B1374" s="1" t="s">
        <v>15</v>
      </c>
      <c r="C1374" s="1" t="s">
        <v>1502</v>
      </c>
      <c r="D1374" s="3">
        <v>26843.96</v>
      </c>
      <c r="E1374" s="3">
        <v>9958493.6199999992</v>
      </c>
      <c r="F1374" s="1" t="s">
        <v>2732</v>
      </c>
      <c r="G1374" s="3">
        <f t="shared" si="51"/>
        <v>26843.96</v>
      </c>
      <c r="H1374" s="4">
        <v>0</v>
      </c>
    </row>
    <row r="1375" spans="1:8">
      <c r="A1375" s="1" t="s">
        <v>1481</v>
      </c>
      <c r="B1375" s="1" t="s">
        <v>15</v>
      </c>
      <c r="C1375" s="1" t="s">
        <v>1503</v>
      </c>
      <c r="D1375" s="3">
        <v>26843.96</v>
      </c>
      <c r="E1375" s="3">
        <v>9985337.5800000001</v>
      </c>
      <c r="F1375" s="1" t="s">
        <v>2732</v>
      </c>
      <c r="G1375" s="3">
        <f t="shared" si="51"/>
        <v>26843.96</v>
      </c>
      <c r="H1375" s="4">
        <v>0</v>
      </c>
    </row>
    <row r="1376" spans="1:8">
      <c r="A1376" s="1" t="s">
        <v>1481</v>
      </c>
      <c r="B1376" s="1" t="s">
        <v>15</v>
      </c>
      <c r="C1376" s="1" t="s">
        <v>1504</v>
      </c>
      <c r="D1376" s="3">
        <v>15393.94</v>
      </c>
      <c r="E1376" s="3">
        <v>10000731.52</v>
      </c>
      <c r="F1376" s="1" t="s">
        <v>2732</v>
      </c>
      <c r="G1376" s="3">
        <f t="shared" si="51"/>
        <v>15393.94</v>
      </c>
      <c r="H1376" s="4">
        <v>0</v>
      </c>
    </row>
    <row r="1377" spans="1:8">
      <c r="A1377" s="1" t="s">
        <v>1481</v>
      </c>
      <c r="B1377" s="1" t="s">
        <v>15</v>
      </c>
      <c r="C1377" s="1" t="s">
        <v>1505</v>
      </c>
      <c r="D1377" s="3">
        <v>54365.94</v>
      </c>
      <c r="E1377" s="3">
        <v>10055097.460000001</v>
      </c>
      <c r="F1377" s="1" t="s">
        <v>2732</v>
      </c>
      <c r="G1377" s="3">
        <f t="shared" si="51"/>
        <v>54365.94</v>
      </c>
      <c r="H1377" s="4">
        <v>0</v>
      </c>
    </row>
    <row r="1378" spans="1:8">
      <c r="A1378" s="1" t="s">
        <v>1481</v>
      </c>
      <c r="B1378" s="1" t="s">
        <v>1506</v>
      </c>
      <c r="C1378" s="1" t="s">
        <v>1507</v>
      </c>
      <c r="D1378" s="3">
        <v>2731.41</v>
      </c>
      <c r="E1378" s="3">
        <v>10057828.869999999</v>
      </c>
      <c r="F1378" s="2" t="s">
        <v>2732</v>
      </c>
      <c r="G1378" s="3">
        <f t="shared" si="51"/>
        <v>2731.41</v>
      </c>
      <c r="H1378" s="4">
        <v>0</v>
      </c>
    </row>
    <row r="1379" spans="1:8">
      <c r="A1379" s="1" t="s">
        <v>1481</v>
      </c>
      <c r="B1379" s="1" t="s">
        <v>15</v>
      </c>
      <c r="C1379" s="1" t="s">
        <v>1508</v>
      </c>
      <c r="D1379" s="3">
        <v>10522.44</v>
      </c>
      <c r="E1379" s="3">
        <v>10068351.310000001</v>
      </c>
      <c r="F1379" s="1" t="s">
        <v>2732</v>
      </c>
      <c r="G1379" s="3">
        <f t="shared" si="51"/>
        <v>10522.44</v>
      </c>
      <c r="H1379" s="4">
        <v>0</v>
      </c>
    </row>
    <row r="1380" spans="1:8">
      <c r="A1380" s="1" t="s">
        <v>1481</v>
      </c>
      <c r="B1380" s="1" t="s">
        <v>15</v>
      </c>
      <c r="C1380" s="1" t="s">
        <v>1509</v>
      </c>
      <c r="D1380" s="3">
        <v>10035.290000000001</v>
      </c>
      <c r="E1380" s="3">
        <v>10078386.6</v>
      </c>
      <c r="F1380" s="1" t="s">
        <v>2732</v>
      </c>
      <c r="G1380" s="3">
        <f t="shared" si="51"/>
        <v>10035.290000000001</v>
      </c>
      <c r="H1380" s="4">
        <v>0</v>
      </c>
    </row>
    <row r="1381" spans="1:8">
      <c r="A1381" s="1" t="s">
        <v>1481</v>
      </c>
      <c r="B1381" s="1" t="s">
        <v>1510</v>
      </c>
      <c r="C1381" s="1" t="s">
        <v>1511</v>
      </c>
      <c r="D1381" s="2">
        <v>504.18</v>
      </c>
      <c r="E1381" s="3">
        <v>10078890.779999999</v>
      </c>
      <c r="F1381" s="2" t="s">
        <v>2732</v>
      </c>
      <c r="G1381" s="3">
        <f t="shared" si="51"/>
        <v>504.18</v>
      </c>
      <c r="H1381" s="4">
        <v>0</v>
      </c>
    </row>
    <row r="1382" spans="1:8">
      <c r="A1382" s="1" t="s">
        <v>1481</v>
      </c>
      <c r="B1382" s="1" t="s">
        <v>15</v>
      </c>
      <c r="C1382" s="1" t="s">
        <v>1512</v>
      </c>
      <c r="D1382" s="3">
        <v>26186.94</v>
      </c>
      <c r="E1382" s="3">
        <v>10105077.720000001</v>
      </c>
      <c r="F1382" s="1" t="s">
        <v>2732</v>
      </c>
      <c r="G1382" s="3">
        <f t="shared" si="51"/>
        <v>26186.94</v>
      </c>
      <c r="H1382" s="4">
        <v>0</v>
      </c>
    </row>
    <row r="1383" spans="1:8">
      <c r="A1383" s="1" t="s">
        <v>1481</v>
      </c>
      <c r="B1383" s="1" t="s">
        <v>15</v>
      </c>
      <c r="C1383" s="1" t="s">
        <v>1513</v>
      </c>
      <c r="D1383" s="3">
        <v>127723.44</v>
      </c>
      <c r="E1383" s="3">
        <v>10232801.16</v>
      </c>
      <c r="F1383" s="1" t="s">
        <v>2732</v>
      </c>
      <c r="G1383" s="3">
        <f t="shared" si="51"/>
        <v>127723.44</v>
      </c>
      <c r="H1383" s="4">
        <v>0</v>
      </c>
    </row>
    <row r="1384" spans="1:8">
      <c r="A1384" s="1" t="s">
        <v>1481</v>
      </c>
      <c r="B1384" s="1" t="s">
        <v>15</v>
      </c>
      <c r="C1384" s="1" t="s">
        <v>1514</v>
      </c>
      <c r="D1384" s="3">
        <v>28689.64</v>
      </c>
      <c r="E1384" s="3">
        <v>10261490.800000001</v>
      </c>
      <c r="F1384" s="1" t="s">
        <v>2732</v>
      </c>
      <c r="G1384" s="3">
        <f t="shared" si="51"/>
        <v>28689.64</v>
      </c>
      <c r="H1384" s="4">
        <v>0</v>
      </c>
    </row>
    <row r="1385" spans="1:8">
      <c r="A1385" s="1" t="s">
        <v>1481</v>
      </c>
      <c r="B1385" s="1" t="s">
        <v>15</v>
      </c>
      <c r="C1385" s="1" t="s">
        <v>1515</v>
      </c>
      <c r="D1385" s="3">
        <v>28644.42</v>
      </c>
      <c r="E1385" s="3">
        <v>10290135.220000001</v>
      </c>
      <c r="F1385" s="1" t="s">
        <v>2732</v>
      </c>
      <c r="G1385" s="3">
        <f t="shared" si="51"/>
        <v>28644.42</v>
      </c>
      <c r="H1385" s="4">
        <v>0</v>
      </c>
    </row>
    <row r="1386" spans="1:8">
      <c r="A1386" s="1" t="s">
        <v>1481</v>
      </c>
      <c r="B1386" s="1" t="s">
        <v>15</v>
      </c>
      <c r="C1386" s="1" t="s">
        <v>1516</v>
      </c>
      <c r="D1386" s="3">
        <v>41310.32</v>
      </c>
      <c r="E1386" s="3">
        <v>10331445.539999999</v>
      </c>
      <c r="F1386" s="1" t="s">
        <v>2732</v>
      </c>
      <c r="G1386" s="3">
        <f t="shared" si="51"/>
        <v>41310.32</v>
      </c>
      <c r="H1386" s="4">
        <v>0</v>
      </c>
    </row>
    <row r="1387" spans="1:8">
      <c r="A1387" s="1" t="s">
        <v>1481</v>
      </c>
      <c r="B1387" s="1" t="s">
        <v>15</v>
      </c>
      <c r="C1387" s="1" t="s">
        <v>1522</v>
      </c>
      <c r="D1387" s="3">
        <v>13153.05</v>
      </c>
      <c r="E1387" s="3">
        <v>9851463.5399999991</v>
      </c>
      <c r="F1387" s="1" t="s">
        <v>2732</v>
      </c>
      <c r="G1387" s="3">
        <f t="shared" ref="G1387:G1418" si="52">+D1387</f>
        <v>13153.05</v>
      </c>
      <c r="H1387" s="4">
        <v>0</v>
      </c>
    </row>
    <row r="1388" spans="1:8">
      <c r="A1388" s="1" t="s">
        <v>1481</v>
      </c>
      <c r="B1388" s="1" t="s">
        <v>1523</v>
      </c>
      <c r="C1388" s="1" t="s">
        <v>1524</v>
      </c>
      <c r="D1388" s="2">
        <v>660.82</v>
      </c>
      <c r="E1388" s="3">
        <v>9852124.3599999994</v>
      </c>
      <c r="F1388" s="2" t="s">
        <v>2732</v>
      </c>
      <c r="G1388" s="3">
        <f t="shared" si="52"/>
        <v>660.82</v>
      </c>
      <c r="H1388" s="4">
        <v>0</v>
      </c>
    </row>
    <row r="1389" spans="1:8">
      <c r="A1389" s="1" t="s">
        <v>1481</v>
      </c>
      <c r="B1389" s="1" t="s">
        <v>15</v>
      </c>
      <c r="C1389" s="1" t="s">
        <v>1525</v>
      </c>
      <c r="D1389" s="3">
        <v>7321.08</v>
      </c>
      <c r="E1389" s="3">
        <v>9859445.4399999995</v>
      </c>
      <c r="F1389" s="1" t="s">
        <v>2732</v>
      </c>
      <c r="G1389" s="3">
        <f t="shared" si="52"/>
        <v>7321.08</v>
      </c>
      <c r="H1389" s="4">
        <v>0</v>
      </c>
    </row>
    <row r="1390" spans="1:8">
      <c r="A1390" s="1" t="s">
        <v>1481</v>
      </c>
      <c r="B1390" s="1" t="s">
        <v>15</v>
      </c>
      <c r="C1390" s="1" t="s">
        <v>1526</v>
      </c>
      <c r="D1390" s="3">
        <v>15588.8</v>
      </c>
      <c r="E1390" s="3">
        <v>9875034.2400000002</v>
      </c>
      <c r="F1390" s="1" t="s">
        <v>2732</v>
      </c>
      <c r="G1390" s="3">
        <f t="shared" si="52"/>
        <v>15588.8</v>
      </c>
      <c r="H1390" s="4">
        <v>0</v>
      </c>
    </row>
    <row r="1391" spans="1:8">
      <c r="A1391" s="1" t="s">
        <v>1481</v>
      </c>
      <c r="B1391" s="1" t="s">
        <v>1527</v>
      </c>
      <c r="C1391" s="1" t="s">
        <v>1528</v>
      </c>
      <c r="D1391" s="2">
        <v>783.2</v>
      </c>
      <c r="E1391" s="3">
        <v>9875817.4399999995</v>
      </c>
      <c r="F1391" s="2" t="s">
        <v>2732</v>
      </c>
      <c r="G1391" s="3">
        <f t="shared" si="52"/>
        <v>783.2</v>
      </c>
      <c r="H1391" s="4">
        <v>0</v>
      </c>
    </row>
    <row r="1392" spans="1:8">
      <c r="A1392" s="1" t="s">
        <v>1481</v>
      </c>
      <c r="B1392" s="1" t="s">
        <v>15</v>
      </c>
      <c r="C1392" s="1" t="s">
        <v>1529</v>
      </c>
      <c r="D1392" s="3">
        <v>8029.95</v>
      </c>
      <c r="E1392" s="3">
        <v>9883847.3900000006</v>
      </c>
      <c r="F1392" s="1" t="s">
        <v>2732</v>
      </c>
      <c r="G1392" s="3">
        <f t="shared" si="52"/>
        <v>8029.95</v>
      </c>
      <c r="H1392" s="4">
        <v>0</v>
      </c>
    </row>
    <row r="1393" spans="1:8">
      <c r="A1393" s="1" t="s">
        <v>1481</v>
      </c>
      <c r="B1393" s="1" t="s">
        <v>15</v>
      </c>
      <c r="C1393" s="1" t="s">
        <v>1530</v>
      </c>
      <c r="D1393" s="3">
        <v>24552.36</v>
      </c>
      <c r="E1393" s="3">
        <v>9908399.75</v>
      </c>
      <c r="F1393" s="1" t="s">
        <v>2732</v>
      </c>
      <c r="G1393" s="3">
        <f t="shared" si="52"/>
        <v>24552.36</v>
      </c>
      <c r="H1393" s="4">
        <v>0</v>
      </c>
    </row>
    <row r="1394" spans="1:8">
      <c r="A1394" s="1" t="s">
        <v>1481</v>
      </c>
      <c r="B1394" s="1" t="s">
        <v>15</v>
      </c>
      <c r="C1394" s="1" t="s">
        <v>1531</v>
      </c>
      <c r="D1394" s="3">
        <v>9158.42</v>
      </c>
      <c r="E1394" s="3">
        <v>9917558.1699999999</v>
      </c>
      <c r="F1394" s="1" t="s">
        <v>2732</v>
      </c>
      <c r="G1394" s="3">
        <f t="shared" si="52"/>
        <v>9158.42</v>
      </c>
      <c r="H1394" s="4">
        <v>0</v>
      </c>
    </row>
    <row r="1395" spans="1:8">
      <c r="A1395" s="1" t="s">
        <v>1481</v>
      </c>
      <c r="B1395" s="1" t="s">
        <v>15</v>
      </c>
      <c r="C1395" s="1" t="s">
        <v>1532</v>
      </c>
      <c r="D1395" s="3">
        <v>16075.95</v>
      </c>
      <c r="E1395" s="3">
        <v>9933634.1199999992</v>
      </c>
      <c r="F1395" s="1" t="s">
        <v>2732</v>
      </c>
      <c r="G1395" s="3">
        <f t="shared" si="52"/>
        <v>16075.95</v>
      </c>
      <c r="H1395" s="4">
        <v>0</v>
      </c>
    </row>
    <row r="1396" spans="1:8">
      <c r="A1396" s="1" t="s">
        <v>1481</v>
      </c>
      <c r="B1396" s="1" t="s">
        <v>15</v>
      </c>
      <c r="C1396" s="1" t="s">
        <v>1533</v>
      </c>
      <c r="D1396" s="3">
        <v>10619.87</v>
      </c>
      <c r="E1396" s="3">
        <v>9944253.9900000002</v>
      </c>
      <c r="F1396" s="1" t="s">
        <v>2732</v>
      </c>
      <c r="G1396" s="3">
        <f t="shared" si="52"/>
        <v>10619.87</v>
      </c>
      <c r="H1396" s="4">
        <v>0</v>
      </c>
    </row>
    <row r="1397" spans="1:8">
      <c r="A1397" s="1" t="s">
        <v>1481</v>
      </c>
      <c r="B1397" s="1" t="s">
        <v>15</v>
      </c>
      <c r="C1397" s="1" t="s">
        <v>1534</v>
      </c>
      <c r="D1397" s="3">
        <v>8502.2999999999993</v>
      </c>
      <c r="E1397" s="3">
        <v>9952756.2899999991</v>
      </c>
      <c r="F1397" s="1" t="s">
        <v>2732</v>
      </c>
      <c r="G1397" s="3">
        <f t="shared" si="52"/>
        <v>8502.2999999999993</v>
      </c>
      <c r="H1397" s="4">
        <v>0</v>
      </c>
    </row>
    <row r="1398" spans="1:8">
      <c r="A1398" s="1" t="s">
        <v>1481</v>
      </c>
      <c r="B1398" s="1" t="s">
        <v>15</v>
      </c>
      <c r="C1398" s="1" t="s">
        <v>1535</v>
      </c>
      <c r="D1398" s="3">
        <v>4579.21</v>
      </c>
      <c r="E1398" s="3">
        <v>9957335.5</v>
      </c>
      <c r="F1398" s="1" t="s">
        <v>2732</v>
      </c>
      <c r="G1398" s="3">
        <f t="shared" si="52"/>
        <v>4579.21</v>
      </c>
      <c r="H1398" s="4">
        <v>0</v>
      </c>
    </row>
    <row r="1399" spans="1:8">
      <c r="A1399" s="1" t="s">
        <v>1481</v>
      </c>
      <c r="B1399" s="1" t="s">
        <v>15</v>
      </c>
      <c r="C1399" s="1" t="s">
        <v>1536</v>
      </c>
      <c r="D1399" s="3">
        <v>12373.61</v>
      </c>
      <c r="E1399" s="3">
        <v>9969709.1099999994</v>
      </c>
      <c r="F1399" s="1" t="s">
        <v>2732</v>
      </c>
      <c r="G1399" s="3">
        <f t="shared" si="52"/>
        <v>12373.61</v>
      </c>
      <c r="H1399" s="4">
        <v>0</v>
      </c>
    </row>
    <row r="1400" spans="1:8">
      <c r="A1400" s="1" t="s">
        <v>1481</v>
      </c>
      <c r="B1400" s="1" t="s">
        <v>15</v>
      </c>
      <c r="C1400" s="1" t="s">
        <v>1537</v>
      </c>
      <c r="D1400" s="3">
        <v>28689.64</v>
      </c>
      <c r="E1400" s="3">
        <v>9998398.75</v>
      </c>
      <c r="F1400" s="1" t="s">
        <v>2732</v>
      </c>
      <c r="G1400" s="3">
        <f t="shared" si="52"/>
        <v>28689.64</v>
      </c>
      <c r="H1400" s="4">
        <v>0</v>
      </c>
    </row>
    <row r="1401" spans="1:8">
      <c r="A1401" s="1" t="s">
        <v>1481</v>
      </c>
      <c r="B1401" s="1" t="s">
        <v>15</v>
      </c>
      <c r="C1401" s="1" t="s">
        <v>1538</v>
      </c>
      <c r="D1401" s="3">
        <v>5358.65</v>
      </c>
      <c r="E1401" s="3">
        <v>10003757.4</v>
      </c>
      <c r="F1401" s="1" t="s">
        <v>2732</v>
      </c>
      <c r="G1401" s="3">
        <f t="shared" si="52"/>
        <v>5358.65</v>
      </c>
      <c r="H1401" s="4">
        <v>0</v>
      </c>
    </row>
    <row r="1402" spans="1:8">
      <c r="A1402" s="1" t="s">
        <v>1481</v>
      </c>
      <c r="B1402" s="1" t="s">
        <v>15</v>
      </c>
      <c r="C1402" s="1" t="s">
        <v>1539</v>
      </c>
      <c r="D1402" s="3">
        <v>8502.2999999999993</v>
      </c>
      <c r="E1402" s="3">
        <v>10012259.699999999</v>
      </c>
      <c r="F1402" s="1" t="s">
        <v>2732</v>
      </c>
      <c r="G1402" s="3">
        <f t="shared" si="52"/>
        <v>8502.2999999999993</v>
      </c>
      <c r="H1402" s="4">
        <v>0</v>
      </c>
    </row>
    <row r="1403" spans="1:8">
      <c r="A1403" s="1" t="s">
        <v>1481</v>
      </c>
      <c r="B1403" s="1" t="s">
        <v>15</v>
      </c>
      <c r="C1403" s="1" t="s">
        <v>1540</v>
      </c>
      <c r="D1403" s="3">
        <v>5350.02</v>
      </c>
      <c r="E1403" s="3">
        <v>10017609.720000001</v>
      </c>
      <c r="F1403" s="1" t="s">
        <v>2732</v>
      </c>
      <c r="G1403" s="3">
        <f t="shared" si="52"/>
        <v>5350.02</v>
      </c>
      <c r="H1403" s="4">
        <v>0</v>
      </c>
    </row>
    <row r="1404" spans="1:8">
      <c r="A1404" s="1" t="s">
        <v>1481</v>
      </c>
      <c r="B1404" s="1" t="s">
        <v>15</v>
      </c>
      <c r="C1404" s="1" t="s">
        <v>1541</v>
      </c>
      <c r="D1404" s="3">
        <v>7209.82</v>
      </c>
      <c r="E1404" s="3">
        <v>10024819.539999999</v>
      </c>
      <c r="F1404" s="1" t="s">
        <v>2732</v>
      </c>
      <c r="G1404" s="3">
        <f t="shared" si="52"/>
        <v>7209.82</v>
      </c>
      <c r="H1404" s="4">
        <v>0</v>
      </c>
    </row>
    <row r="1405" spans="1:8">
      <c r="A1405" s="1" t="s">
        <v>1481</v>
      </c>
      <c r="B1405" s="1" t="s">
        <v>15</v>
      </c>
      <c r="C1405" s="1" t="s">
        <v>1542</v>
      </c>
      <c r="D1405" s="3">
        <v>26695.82</v>
      </c>
      <c r="E1405" s="3">
        <v>10051515.359999999</v>
      </c>
      <c r="F1405" s="1" t="s">
        <v>2732</v>
      </c>
      <c r="G1405" s="3">
        <f t="shared" si="52"/>
        <v>26695.82</v>
      </c>
      <c r="H1405" s="4">
        <v>0</v>
      </c>
    </row>
    <row r="1406" spans="1:8">
      <c r="A1406" s="1" t="s">
        <v>1481</v>
      </c>
      <c r="B1406" s="1" t="s">
        <v>1543</v>
      </c>
      <c r="C1406" s="1" t="s">
        <v>1544</v>
      </c>
      <c r="D1406" s="3">
        <v>2682.46</v>
      </c>
      <c r="E1406" s="3">
        <v>10054197.82</v>
      </c>
      <c r="F1406" s="2" t="s">
        <v>2732</v>
      </c>
      <c r="G1406" s="3">
        <f t="shared" si="52"/>
        <v>2682.46</v>
      </c>
      <c r="H1406" s="4">
        <v>0</v>
      </c>
    </row>
    <row r="1407" spans="1:8">
      <c r="A1407" s="1" t="s">
        <v>1481</v>
      </c>
      <c r="B1407" s="1" t="s">
        <v>15</v>
      </c>
      <c r="C1407" s="1" t="s">
        <v>1545</v>
      </c>
      <c r="D1407" s="3">
        <v>8378.98</v>
      </c>
      <c r="E1407" s="3">
        <v>10062576.800000001</v>
      </c>
      <c r="F1407" s="1" t="s">
        <v>2732</v>
      </c>
      <c r="G1407" s="3">
        <f t="shared" si="52"/>
        <v>8378.98</v>
      </c>
      <c r="H1407" s="4">
        <v>0</v>
      </c>
    </row>
    <row r="1408" spans="1:8">
      <c r="A1408" s="1" t="s">
        <v>1481</v>
      </c>
      <c r="B1408" s="1" t="s">
        <v>15</v>
      </c>
      <c r="C1408" s="1" t="s">
        <v>1546</v>
      </c>
      <c r="D1408" s="3">
        <v>33126.199999999997</v>
      </c>
      <c r="E1408" s="3">
        <v>10095703</v>
      </c>
      <c r="F1408" s="1" t="s">
        <v>2732</v>
      </c>
      <c r="G1408" s="3">
        <f t="shared" si="52"/>
        <v>33126.199999999997</v>
      </c>
      <c r="H1408" s="4">
        <v>0</v>
      </c>
    </row>
    <row r="1409" spans="1:8">
      <c r="A1409" s="1" t="s">
        <v>1481</v>
      </c>
      <c r="B1409" s="1" t="s">
        <v>15</v>
      </c>
      <c r="C1409" s="1" t="s">
        <v>1547</v>
      </c>
      <c r="D1409" s="3">
        <v>30868.6</v>
      </c>
      <c r="E1409" s="3">
        <v>10126571.6</v>
      </c>
      <c r="F1409" s="1" t="s">
        <v>2732</v>
      </c>
      <c r="G1409" s="3">
        <f t="shared" si="52"/>
        <v>30868.6</v>
      </c>
      <c r="H1409" s="4">
        <v>0</v>
      </c>
    </row>
    <row r="1410" spans="1:8">
      <c r="A1410" s="1" t="s">
        <v>1481</v>
      </c>
      <c r="B1410" s="1" t="s">
        <v>15</v>
      </c>
      <c r="C1410" s="1" t="s">
        <v>1548</v>
      </c>
      <c r="D1410" s="3">
        <v>36633.68</v>
      </c>
      <c r="E1410" s="3">
        <v>10163205.279999999</v>
      </c>
      <c r="F1410" s="1" t="s">
        <v>2732</v>
      </c>
      <c r="G1410" s="3">
        <f t="shared" si="52"/>
        <v>36633.68</v>
      </c>
      <c r="H1410" s="4">
        <v>0</v>
      </c>
    </row>
    <row r="1411" spans="1:8">
      <c r="A1411" s="1" t="s">
        <v>1481</v>
      </c>
      <c r="B1411" s="1" t="s">
        <v>15</v>
      </c>
      <c r="C1411" s="1" t="s">
        <v>1549</v>
      </c>
      <c r="D1411" s="3">
        <v>21917.040000000001</v>
      </c>
      <c r="E1411" s="3">
        <v>10185122.32</v>
      </c>
      <c r="F1411" s="1" t="s">
        <v>2732</v>
      </c>
      <c r="G1411" s="3">
        <f t="shared" si="52"/>
        <v>21917.040000000001</v>
      </c>
      <c r="H1411" s="4">
        <v>0</v>
      </c>
    </row>
    <row r="1412" spans="1:8">
      <c r="A1412" s="1" t="s">
        <v>1481</v>
      </c>
      <c r="B1412" s="1" t="s">
        <v>15</v>
      </c>
      <c r="C1412" s="1" t="s">
        <v>1550</v>
      </c>
      <c r="D1412" s="3">
        <v>22214.04</v>
      </c>
      <c r="E1412" s="3">
        <v>10207336.359999999</v>
      </c>
      <c r="F1412" s="1" t="s">
        <v>2732</v>
      </c>
      <c r="G1412" s="3">
        <f t="shared" si="52"/>
        <v>22214.04</v>
      </c>
      <c r="H1412" s="4">
        <v>0</v>
      </c>
    </row>
    <row r="1413" spans="1:8">
      <c r="A1413" s="1" t="s">
        <v>1481</v>
      </c>
      <c r="B1413" s="1" t="s">
        <v>15</v>
      </c>
      <c r="C1413" s="1" t="s">
        <v>1551</v>
      </c>
      <c r="D1413" s="3">
        <v>22788.29</v>
      </c>
      <c r="E1413" s="3">
        <v>10230124.65</v>
      </c>
      <c r="F1413" s="1" t="s">
        <v>2732</v>
      </c>
      <c r="G1413" s="3">
        <f t="shared" si="52"/>
        <v>22788.29</v>
      </c>
      <c r="H1413" s="4">
        <v>0</v>
      </c>
    </row>
    <row r="1414" spans="1:8">
      <c r="A1414" s="1" t="s">
        <v>1481</v>
      </c>
      <c r="B1414" s="1" t="s">
        <v>15</v>
      </c>
      <c r="C1414" s="1" t="s">
        <v>1552</v>
      </c>
      <c r="D1414" s="3">
        <v>29234.38</v>
      </c>
      <c r="E1414" s="3">
        <v>10259359.029999999</v>
      </c>
      <c r="F1414" s="1" t="s">
        <v>2732</v>
      </c>
      <c r="G1414" s="3">
        <f t="shared" si="52"/>
        <v>29234.38</v>
      </c>
      <c r="H1414" s="4">
        <v>0</v>
      </c>
    </row>
    <row r="1415" spans="1:8">
      <c r="A1415" s="1" t="s">
        <v>1481</v>
      </c>
      <c r="B1415" s="1" t="s">
        <v>15</v>
      </c>
      <c r="C1415" s="1" t="s">
        <v>1553</v>
      </c>
      <c r="D1415" s="3">
        <v>7172.41</v>
      </c>
      <c r="E1415" s="3">
        <v>10266531.439999999</v>
      </c>
      <c r="F1415" s="1" t="s">
        <v>2732</v>
      </c>
      <c r="G1415" s="3">
        <f t="shared" si="52"/>
        <v>7172.41</v>
      </c>
      <c r="H1415" s="4">
        <v>0</v>
      </c>
    </row>
    <row r="1416" spans="1:8">
      <c r="A1416" s="1" t="s">
        <v>1481</v>
      </c>
      <c r="B1416" s="1" t="s">
        <v>15</v>
      </c>
      <c r="C1416" s="1" t="s">
        <v>1554</v>
      </c>
      <c r="D1416" s="3">
        <v>72195.63</v>
      </c>
      <c r="E1416" s="3">
        <v>10338727.07</v>
      </c>
      <c r="F1416" s="1" t="s">
        <v>2732</v>
      </c>
      <c r="G1416" s="3">
        <f t="shared" si="52"/>
        <v>72195.63</v>
      </c>
      <c r="H1416" s="4">
        <v>0</v>
      </c>
    </row>
    <row r="1417" spans="1:8">
      <c r="A1417" s="1" t="s">
        <v>1481</v>
      </c>
      <c r="B1417" s="1" t="s">
        <v>15</v>
      </c>
      <c r="C1417" s="1" t="s">
        <v>1555</v>
      </c>
      <c r="D1417" s="3">
        <v>14419.64</v>
      </c>
      <c r="E1417" s="3">
        <v>10353146.710000001</v>
      </c>
      <c r="F1417" s="1" t="s">
        <v>2732</v>
      </c>
      <c r="G1417" s="3">
        <f t="shared" si="52"/>
        <v>14419.64</v>
      </c>
      <c r="H1417" s="4">
        <v>0</v>
      </c>
    </row>
    <row r="1418" spans="1:8">
      <c r="A1418" s="1" t="s">
        <v>1481</v>
      </c>
      <c r="B1418" s="1" t="s">
        <v>1556</v>
      </c>
      <c r="C1418" s="1" t="s">
        <v>1557</v>
      </c>
      <c r="D1418" s="2">
        <v>724.46</v>
      </c>
      <c r="E1418" s="3">
        <v>10353871.17</v>
      </c>
      <c r="F1418" s="2" t="s">
        <v>2732</v>
      </c>
      <c r="G1418" s="3">
        <f t="shared" si="52"/>
        <v>724.46</v>
      </c>
      <c r="H1418" s="4">
        <v>0</v>
      </c>
    </row>
    <row r="1419" spans="1:8">
      <c r="A1419" s="1" t="s">
        <v>1481</v>
      </c>
      <c r="B1419" s="1" t="s">
        <v>15</v>
      </c>
      <c r="C1419" s="1" t="s">
        <v>1558</v>
      </c>
      <c r="D1419" s="3">
        <v>8281.5499999999993</v>
      </c>
      <c r="E1419" s="3">
        <v>10362152.720000001</v>
      </c>
      <c r="F1419" s="1" t="s">
        <v>2732</v>
      </c>
      <c r="G1419" s="3">
        <f t="shared" ref="G1419:G1440" si="53">+D1419</f>
        <v>8281.5499999999993</v>
      </c>
      <c r="H1419" s="4">
        <v>0</v>
      </c>
    </row>
    <row r="1420" spans="1:8">
      <c r="A1420" s="1" t="s">
        <v>1481</v>
      </c>
      <c r="B1420" s="1" t="s">
        <v>1559</v>
      </c>
      <c r="C1420" s="1" t="s">
        <v>1560</v>
      </c>
      <c r="D1420" s="2">
        <v>416.07</v>
      </c>
      <c r="E1420" s="3">
        <v>10362568.789999999</v>
      </c>
      <c r="F1420" s="2" t="s">
        <v>2732</v>
      </c>
      <c r="G1420" s="3">
        <f t="shared" si="53"/>
        <v>416.07</v>
      </c>
      <c r="H1420" s="4">
        <v>0</v>
      </c>
    </row>
    <row r="1421" spans="1:8">
      <c r="A1421" s="1" t="s">
        <v>1481</v>
      </c>
      <c r="B1421" s="1" t="s">
        <v>15</v>
      </c>
      <c r="C1421" s="1" t="s">
        <v>1561</v>
      </c>
      <c r="D1421" s="3">
        <v>13347.91</v>
      </c>
      <c r="E1421" s="3">
        <v>10375916.699999999</v>
      </c>
      <c r="F1421" s="1" t="s">
        <v>2732</v>
      </c>
      <c r="G1421" s="3">
        <f t="shared" si="53"/>
        <v>13347.91</v>
      </c>
      <c r="H1421" s="4">
        <v>0</v>
      </c>
    </row>
    <row r="1422" spans="1:8">
      <c r="A1422" s="1" t="s">
        <v>1481</v>
      </c>
      <c r="B1422" s="1" t="s">
        <v>15</v>
      </c>
      <c r="C1422" s="1" t="s">
        <v>1562</v>
      </c>
      <c r="D1422" s="3">
        <v>35709.660000000003</v>
      </c>
      <c r="E1422" s="3">
        <v>10411626.359999999</v>
      </c>
      <c r="F1422" s="1" t="s">
        <v>2732</v>
      </c>
      <c r="G1422" s="3">
        <f t="shared" si="53"/>
        <v>35709.660000000003</v>
      </c>
      <c r="H1422" s="4">
        <v>0</v>
      </c>
    </row>
    <row r="1423" spans="1:8">
      <c r="A1423" s="1" t="s">
        <v>1481</v>
      </c>
      <c r="B1423" s="1" t="s">
        <v>15</v>
      </c>
      <c r="C1423" s="1" t="s">
        <v>1563</v>
      </c>
      <c r="D1423" s="3">
        <v>4384.3500000000004</v>
      </c>
      <c r="E1423" s="3">
        <v>10416010.710000001</v>
      </c>
      <c r="F1423" s="1" t="s">
        <v>2732</v>
      </c>
      <c r="G1423" s="3">
        <f t="shared" si="53"/>
        <v>4384.3500000000004</v>
      </c>
      <c r="H1423" s="4">
        <v>0</v>
      </c>
    </row>
    <row r="1424" spans="1:8">
      <c r="A1424" s="1" t="s">
        <v>1481</v>
      </c>
      <c r="B1424" s="1" t="s">
        <v>1564</v>
      </c>
      <c r="C1424" s="1" t="s">
        <v>1565</v>
      </c>
      <c r="D1424" s="2">
        <v>220.27</v>
      </c>
      <c r="E1424" s="3">
        <v>10416230.98</v>
      </c>
      <c r="F1424" s="2" t="s">
        <v>2732</v>
      </c>
      <c r="G1424" s="3">
        <f t="shared" si="53"/>
        <v>220.27</v>
      </c>
      <c r="H1424" s="4">
        <v>0</v>
      </c>
    </row>
    <row r="1425" spans="1:8">
      <c r="A1425" s="1" t="s">
        <v>1481</v>
      </c>
      <c r="B1425" s="1" t="s">
        <v>15</v>
      </c>
      <c r="C1425" s="1" t="s">
        <v>1566</v>
      </c>
      <c r="D1425" s="3">
        <v>35951.67</v>
      </c>
      <c r="E1425" s="3">
        <v>10452182.65</v>
      </c>
      <c r="F1425" s="1" t="s">
        <v>2732</v>
      </c>
      <c r="G1425" s="3">
        <f t="shared" si="53"/>
        <v>35951.67</v>
      </c>
      <c r="H1425" s="4">
        <v>0</v>
      </c>
    </row>
    <row r="1426" spans="1:8">
      <c r="A1426" s="1" t="s">
        <v>1481</v>
      </c>
      <c r="B1426" s="1" t="s">
        <v>15</v>
      </c>
      <c r="C1426" s="1" t="s">
        <v>1567</v>
      </c>
      <c r="D1426" s="3">
        <v>50468.74</v>
      </c>
      <c r="E1426" s="3">
        <v>10502651.390000001</v>
      </c>
      <c r="F1426" s="1" t="s">
        <v>2732</v>
      </c>
      <c r="G1426" s="3">
        <f t="shared" si="53"/>
        <v>50468.74</v>
      </c>
      <c r="H1426" s="4">
        <v>0</v>
      </c>
    </row>
    <row r="1427" spans="1:8">
      <c r="A1427" s="1" t="s">
        <v>1481</v>
      </c>
      <c r="B1427" s="1" t="s">
        <v>15</v>
      </c>
      <c r="C1427" s="1" t="s">
        <v>1568</v>
      </c>
      <c r="D1427" s="3">
        <v>17364.099999999999</v>
      </c>
      <c r="E1427" s="3">
        <v>10520015.49</v>
      </c>
      <c r="F1427" s="1" t="s">
        <v>2732</v>
      </c>
      <c r="G1427" s="3">
        <f t="shared" si="53"/>
        <v>17364.099999999999</v>
      </c>
      <c r="H1427" s="4">
        <v>0</v>
      </c>
    </row>
    <row r="1428" spans="1:8">
      <c r="A1428" s="1" t="s">
        <v>1481</v>
      </c>
      <c r="B1428" s="1" t="s">
        <v>15</v>
      </c>
      <c r="C1428" s="1" t="s">
        <v>1569</v>
      </c>
      <c r="D1428" s="3">
        <v>7463.13</v>
      </c>
      <c r="E1428" s="3">
        <v>10527478.619999999</v>
      </c>
      <c r="F1428" s="1" t="s">
        <v>2732</v>
      </c>
      <c r="G1428" s="3">
        <f t="shared" si="53"/>
        <v>7463.13</v>
      </c>
      <c r="H1428" s="4">
        <v>0</v>
      </c>
    </row>
    <row r="1429" spans="1:8">
      <c r="A1429" s="1" t="s">
        <v>1481</v>
      </c>
      <c r="B1429" s="1" t="s">
        <v>15</v>
      </c>
      <c r="C1429" s="1" t="s">
        <v>1570</v>
      </c>
      <c r="D1429" s="3">
        <v>10327.58</v>
      </c>
      <c r="E1429" s="3">
        <v>10537806.199999999</v>
      </c>
      <c r="F1429" s="1" t="s">
        <v>2732</v>
      </c>
      <c r="G1429" s="3">
        <f t="shared" si="53"/>
        <v>10327.58</v>
      </c>
      <c r="H1429" s="4">
        <v>0</v>
      </c>
    </row>
    <row r="1430" spans="1:8">
      <c r="A1430" s="1" t="s">
        <v>1481</v>
      </c>
      <c r="B1430" s="1" t="s">
        <v>15</v>
      </c>
      <c r="C1430" s="1" t="s">
        <v>1571</v>
      </c>
      <c r="D1430" s="3">
        <v>27774.18</v>
      </c>
      <c r="E1430" s="3">
        <v>10565580.380000001</v>
      </c>
      <c r="F1430" s="1" t="s">
        <v>2732</v>
      </c>
      <c r="G1430" s="3">
        <f t="shared" si="53"/>
        <v>27774.18</v>
      </c>
      <c r="H1430" s="4">
        <v>0</v>
      </c>
    </row>
    <row r="1431" spans="1:8">
      <c r="A1431" s="1" t="s">
        <v>1481</v>
      </c>
      <c r="B1431" s="1" t="s">
        <v>15</v>
      </c>
      <c r="C1431" s="1" t="s">
        <v>1572</v>
      </c>
      <c r="D1431" s="3">
        <v>9255.85</v>
      </c>
      <c r="E1431" s="3">
        <v>10574836.23</v>
      </c>
      <c r="F1431" s="1" t="s">
        <v>2732</v>
      </c>
      <c r="G1431" s="3">
        <f t="shared" si="53"/>
        <v>9255.85</v>
      </c>
      <c r="H1431" s="4">
        <v>0</v>
      </c>
    </row>
    <row r="1432" spans="1:8">
      <c r="A1432" s="1" t="s">
        <v>1481</v>
      </c>
      <c r="B1432" s="1" t="s">
        <v>15</v>
      </c>
      <c r="C1432" s="1" t="s">
        <v>1573</v>
      </c>
      <c r="D1432" s="3">
        <v>35611.360000000001</v>
      </c>
      <c r="E1432" s="3">
        <v>10610447.59</v>
      </c>
      <c r="F1432" s="1" t="s">
        <v>2732</v>
      </c>
      <c r="G1432" s="3">
        <f t="shared" si="53"/>
        <v>35611.360000000001</v>
      </c>
      <c r="H1432" s="4">
        <v>0</v>
      </c>
    </row>
    <row r="1433" spans="1:8">
      <c r="A1433" s="1" t="s">
        <v>1481</v>
      </c>
      <c r="B1433" s="1" t="s">
        <v>15</v>
      </c>
      <c r="C1433" s="1" t="s">
        <v>1574</v>
      </c>
      <c r="D1433" s="3">
        <v>122372.08</v>
      </c>
      <c r="E1433" s="3">
        <v>10732819.67</v>
      </c>
      <c r="F1433" s="1" t="s">
        <v>2732</v>
      </c>
      <c r="G1433" s="3">
        <f t="shared" si="53"/>
        <v>122372.08</v>
      </c>
      <c r="H1433" s="4">
        <v>0</v>
      </c>
    </row>
    <row r="1434" spans="1:8">
      <c r="A1434" s="1" t="s">
        <v>1481</v>
      </c>
      <c r="B1434" s="1" t="s">
        <v>15</v>
      </c>
      <c r="C1434" s="1" t="s">
        <v>1575</v>
      </c>
      <c r="D1434" s="3">
        <v>10522.44</v>
      </c>
      <c r="E1434" s="3">
        <v>10743342.109999999</v>
      </c>
      <c r="F1434" s="1" t="s">
        <v>2732</v>
      </c>
      <c r="G1434" s="3">
        <f t="shared" si="53"/>
        <v>10522.44</v>
      </c>
      <c r="H1434" s="4">
        <v>0</v>
      </c>
    </row>
    <row r="1435" spans="1:8">
      <c r="A1435" s="1" t="s">
        <v>1481</v>
      </c>
      <c r="B1435" s="1" t="s">
        <v>15</v>
      </c>
      <c r="C1435" s="1" t="s">
        <v>1576</v>
      </c>
      <c r="D1435" s="3">
        <v>45485.79</v>
      </c>
      <c r="E1435" s="3">
        <v>10788827.9</v>
      </c>
      <c r="F1435" s="1" t="s">
        <v>2732</v>
      </c>
      <c r="G1435" s="3">
        <f t="shared" si="53"/>
        <v>45485.79</v>
      </c>
      <c r="H1435" s="4">
        <v>0</v>
      </c>
    </row>
    <row r="1436" spans="1:8">
      <c r="A1436" s="1" t="s">
        <v>1481</v>
      </c>
      <c r="B1436" s="1" t="s">
        <v>15</v>
      </c>
      <c r="C1436" s="1" t="s">
        <v>1577</v>
      </c>
      <c r="D1436" s="3">
        <v>9949.16</v>
      </c>
      <c r="E1436" s="3">
        <v>10798777.060000001</v>
      </c>
      <c r="F1436" s="1" t="s">
        <v>2732</v>
      </c>
      <c r="G1436" s="3">
        <f t="shared" si="53"/>
        <v>9949.16</v>
      </c>
      <c r="H1436" s="4">
        <v>0</v>
      </c>
    </row>
    <row r="1437" spans="1:8">
      <c r="A1437" s="59" t="s">
        <v>1481</v>
      </c>
      <c r="B1437" s="59" t="s">
        <v>28</v>
      </c>
      <c r="C1437" s="59" t="s">
        <v>1520</v>
      </c>
      <c r="D1437" s="63">
        <v>-218.19</v>
      </c>
      <c r="E1437" s="64">
        <v>9833317.0399999991</v>
      </c>
      <c r="F1437" s="59"/>
      <c r="G1437" s="64">
        <f t="shared" si="53"/>
        <v>-218.19</v>
      </c>
      <c r="H1437" s="65"/>
    </row>
    <row r="1438" spans="1:8">
      <c r="A1438" s="59" t="s">
        <v>1481</v>
      </c>
      <c r="B1438" s="59" t="s">
        <v>28</v>
      </c>
      <c r="C1438" s="59" t="s">
        <v>1518</v>
      </c>
      <c r="D1438" s="63">
        <v>-387.75</v>
      </c>
      <c r="E1438" s="64">
        <v>10077196.83</v>
      </c>
      <c r="F1438" s="59"/>
      <c r="G1438" s="64">
        <f t="shared" si="53"/>
        <v>-387.75</v>
      </c>
      <c r="H1438" s="65"/>
    </row>
    <row r="1439" spans="1:8">
      <c r="A1439" s="59" t="s">
        <v>1481</v>
      </c>
      <c r="B1439" s="59" t="s">
        <v>28</v>
      </c>
      <c r="C1439" s="59" t="s">
        <v>1517</v>
      </c>
      <c r="D1439" s="64">
        <v>-1128.6500000000001</v>
      </c>
      <c r="E1439" s="64">
        <v>10142208.970000001</v>
      </c>
      <c r="F1439" s="59"/>
      <c r="G1439" s="64">
        <f t="shared" si="53"/>
        <v>-1128.6500000000001</v>
      </c>
      <c r="H1439" s="65"/>
    </row>
    <row r="1440" spans="1:8">
      <c r="A1440" s="59" t="s">
        <v>1481</v>
      </c>
      <c r="B1440" s="59" t="s">
        <v>28</v>
      </c>
      <c r="C1440" s="59" t="s">
        <v>1519</v>
      </c>
      <c r="D1440" s="64">
        <v>-1236.3599999999999</v>
      </c>
      <c r="E1440" s="64">
        <v>9869901</v>
      </c>
      <c r="F1440" s="59"/>
      <c r="G1440" s="64">
        <f t="shared" si="53"/>
        <v>-1236.3599999999999</v>
      </c>
      <c r="H1440" s="65"/>
    </row>
    <row r="1441" spans="1:8">
      <c r="A1441" s="1" t="s">
        <v>1481</v>
      </c>
      <c r="B1441" s="1" t="s">
        <v>83</v>
      </c>
      <c r="C1441" s="1" t="s">
        <v>1520</v>
      </c>
      <c r="D1441" s="3">
        <v>-36365.769999999997</v>
      </c>
      <c r="E1441" s="3">
        <v>9833535.2300000004</v>
      </c>
      <c r="G1441" s="4">
        <f>+D1441/1.006</f>
        <v>-36148.87673956262</v>
      </c>
      <c r="H1441" s="4">
        <f>+D1441-G1441</f>
        <v>-216.89326043737674</v>
      </c>
    </row>
    <row r="1442" spans="1:8">
      <c r="A1442" s="1" t="s">
        <v>1481</v>
      </c>
      <c r="B1442" s="1" t="s">
        <v>83</v>
      </c>
      <c r="C1442" s="1" t="s">
        <v>1518</v>
      </c>
      <c r="D1442" s="3">
        <v>-64624.39</v>
      </c>
      <c r="E1442" s="3">
        <v>10077584.58</v>
      </c>
      <c r="G1442" s="4">
        <f>+D1442/1.006</f>
        <v>-64238.956262425447</v>
      </c>
      <c r="H1442" s="4">
        <f>+D1442-G1442</f>
        <v>-385.43373757455265</v>
      </c>
    </row>
    <row r="1443" spans="1:8">
      <c r="A1443" s="1" t="s">
        <v>1481</v>
      </c>
      <c r="B1443" s="1" t="s">
        <v>83</v>
      </c>
      <c r="C1443" s="1" t="s">
        <v>1517</v>
      </c>
      <c r="D1443" s="3">
        <v>-188107.92</v>
      </c>
      <c r="E1443" s="3">
        <v>10143337.619999999</v>
      </c>
      <c r="G1443" s="4">
        <f>+D1443/1.006</f>
        <v>-186986.00397614314</v>
      </c>
      <c r="H1443" s="4">
        <f>+D1443-G1443</f>
        <v>-1121.9160238568729</v>
      </c>
    </row>
    <row r="1444" spans="1:8">
      <c r="A1444" s="1" t="s">
        <v>1481</v>
      </c>
      <c r="B1444" s="1" t="s">
        <v>83</v>
      </c>
      <c r="C1444" s="1" t="s">
        <v>1519</v>
      </c>
      <c r="D1444" s="3">
        <v>-206059.47</v>
      </c>
      <c r="E1444" s="3">
        <v>9871137.3599999994</v>
      </c>
      <c r="G1444" s="4">
        <f>+D1444/1.006</f>
        <v>-204830.48707753478</v>
      </c>
      <c r="H1444" s="4">
        <f>+D1444-G1444</f>
        <v>-1228.9829224652203</v>
      </c>
    </row>
    <row r="1445" spans="1:8">
      <c r="A1445" s="1" t="s">
        <v>1578</v>
      </c>
      <c r="B1445" s="1" t="s">
        <v>15</v>
      </c>
      <c r="C1445" s="1" t="s">
        <v>1579</v>
      </c>
      <c r="D1445" s="3">
        <v>11204.45</v>
      </c>
      <c r="E1445" s="3">
        <v>10809981.51</v>
      </c>
      <c r="F1445" s="1" t="s">
        <v>2732</v>
      </c>
      <c r="G1445" s="3">
        <f t="shared" ref="G1445:G1476" si="54">+D1445</f>
        <v>11204.45</v>
      </c>
      <c r="H1445" s="4">
        <v>0</v>
      </c>
    </row>
    <row r="1446" spans="1:8">
      <c r="A1446" s="1" t="s">
        <v>1578</v>
      </c>
      <c r="B1446" s="1" t="s">
        <v>15</v>
      </c>
      <c r="C1446" s="1" t="s">
        <v>1580</v>
      </c>
      <c r="D1446" s="3">
        <v>38777.14</v>
      </c>
      <c r="E1446" s="3">
        <v>10848758.65</v>
      </c>
      <c r="F1446" s="1" t="s">
        <v>2732</v>
      </c>
      <c r="G1446" s="3">
        <f t="shared" si="54"/>
        <v>38777.14</v>
      </c>
      <c r="H1446" s="4">
        <v>0</v>
      </c>
    </row>
    <row r="1447" spans="1:8">
      <c r="A1447" s="1" t="s">
        <v>1578</v>
      </c>
      <c r="B1447" s="1" t="s">
        <v>15</v>
      </c>
      <c r="C1447" s="1" t="s">
        <v>1581</v>
      </c>
      <c r="D1447" s="3">
        <v>8124.42</v>
      </c>
      <c r="E1447" s="3">
        <v>10856883.07</v>
      </c>
      <c r="F1447" s="1" t="s">
        <v>2732</v>
      </c>
      <c r="G1447" s="3">
        <f t="shared" si="54"/>
        <v>8124.42</v>
      </c>
      <c r="H1447" s="4">
        <v>0</v>
      </c>
    </row>
    <row r="1448" spans="1:8">
      <c r="A1448" s="1" t="s">
        <v>1578</v>
      </c>
      <c r="B1448" s="1" t="s">
        <v>15</v>
      </c>
      <c r="C1448" s="1" t="s">
        <v>1582</v>
      </c>
      <c r="D1448" s="3">
        <v>59237.440000000002</v>
      </c>
      <c r="E1448" s="3">
        <v>10916120.51</v>
      </c>
      <c r="F1448" s="1" t="s">
        <v>2732</v>
      </c>
      <c r="G1448" s="3">
        <f t="shared" si="54"/>
        <v>59237.440000000002</v>
      </c>
      <c r="H1448" s="4">
        <v>0</v>
      </c>
    </row>
    <row r="1449" spans="1:8">
      <c r="A1449" s="1" t="s">
        <v>1578</v>
      </c>
      <c r="B1449" s="1" t="s">
        <v>15</v>
      </c>
      <c r="C1449" s="1" t="s">
        <v>1583</v>
      </c>
      <c r="D1449" s="3">
        <v>55563.48</v>
      </c>
      <c r="E1449" s="3">
        <v>10971683.99</v>
      </c>
      <c r="F1449" s="1" t="s">
        <v>2732</v>
      </c>
      <c r="G1449" s="3">
        <f t="shared" si="54"/>
        <v>55563.48</v>
      </c>
      <c r="H1449" s="4">
        <v>0</v>
      </c>
    </row>
    <row r="1450" spans="1:8">
      <c r="A1450" s="1" t="s">
        <v>1578</v>
      </c>
      <c r="B1450" s="1" t="s">
        <v>15</v>
      </c>
      <c r="C1450" s="1" t="s">
        <v>1584</v>
      </c>
      <c r="D1450" s="3">
        <v>70207.28</v>
      </c>
      <c r="E1450" s="3">
        <v>11041891.27</v>
      </c>
      <c r="F1450" s="1" t="s">
        <v>2732</v>
      </c>
      <c r="G1450" s="3">
        <f t="shared" si="54"/>
        <v>70207.28</v>
      </c>
      <c r="H1450" s="4">
        <v>0</v>
      </c>
    </row>
    <row r="1451" spans="1:8">
      <c r="A1451" s="1" t="s">
        <v>1578</v>
      </c>
      <c r="B1451" s="1" t="s">
        <v>15</v>
      </c>
      <c r="C1451" s="1" t="s">
        <v>1585</v>
      </c>
      <c r="D1451" s="3">
        <v>11903.22</v>
      </c>
      <c r="E1451" s="3">
        <v>11053794.49</v>
      </c>
      <c r="F1451" s="1" t="s">
        <v>2732</v>
      </c>
      <c r="G1451" s="3">
        <f t="shared" si="54"/>
        <v>11903.22</v>
      </c>
      <c r="H1451" s="4">
        <v>0</v>
      </c>
    </row>
    <row r="1452" spans="1:8">
      <c r="A1452" s="1" t="s">
        <v>1578</v>
      </c>
      <c r="B1452" s="1" t="s">
        <v>15</v>
      </c>
      <c r="C1452" s="1" t="s">
        <v>1586</v>
      </c>
      <c r="D1452" s="3">
        <v>4871.5</v>
      </c>
      <c r="E1452" s="3">
        <v>11058665.99</v>
      </c>
      <c r="F1452" s="1" t="s">
        <v>2732</v>
      </c>
      <c r="G1452" s="3">
        <f t="shared" si="54"/>
        <v>4871.5</v>
      </c>
      <c r="H1452" s="4">
        <v>0</v>
      </c>
    </row>
    <row r="1453" spans="1:8">
      <c r="A1453" s="1" t="s">
        <v>1578</v>
      </c>
      <c r="B1453" s="1" t="s">
        <v>15</v>
      </c>
      <c r="C1453" s="1" t="s">
        <v>1587</v>
      </c>
      <c r="D1453" s="3">
        <v>43926.48</v>
      </c>
      <c r="E1453" s="3">
        <v>11102592.470000001</v>
      </c>
      <c r="F1453" s="1" t="s">
        <v>2732</v>
      </c>
      <c r="G1453" s="3">
        <f t="shared" si="54"/>
        <v>43926.48</v>
      </c>
      <c r="H1453" s="4">
        <v>0</v>
      </c>
    </row>
    <row r="1454" spans="1:8">
      <c r="A1454" s="1" t="s">
        <v>1578</v>
      </c>
      <c r="B1454" s="1" t="s">
        <v>15</v>
      </c>
      <c r="C1454" s="1" t="s">
        <v>1588</v>
      </c>
      <c r="D1454" s="3">
        <v>65845.59</v>
      </c>
      <c r="E1454" s="3">
        <v>11168438.060000001</v>
      </c>
      <c r="F1454" s="1" t="s">
        <v>2732</v>
      </c>
      <c r="G1454" s="3">
        <f t="shared" si="54"/>
        <v>65845.59</v>
      </c>
      <c r="H1454" s="4">
        <v>0</v>
      </c>
    </row>
    <row r="1455" spans="1:8">
      <c r="A1455" s="1" t="s">
        <v>1578</v>
      </c>
      <c r="B1455" s="1" t="s">
        <v>15</v>
      </c>
      <c r="C1455" s="1" t="s">
        <v>1589</v>
      </c>
      <c r="D1455" s="3">
        <v>4384.3500000000004</v>
      </c>
      <c r="E1455" s="3">
        <v>11172822.41</v>
      </c>
      <c r="F1455" s="1" t="s">
        <v>2732</v>
      </c>
      <c r="G1455" s="3">
        <f t="shared" si="54"/>
        <v>4384.3500000000004</v>
      </c>
      <c r="H1455" s="4">
        <v>0</v>
      </c>
    </row>
    <row r="1456" spans="1:8">
      <c r="A1456" s="1" t="s">
        <v>1578</v>
      </c>
      <c r="B1456" s="1" t="s">
        <v>15</v>
      </c>
      <c r="C1456" s="1" t="s">
        <v>1590</v>
      </c>
      <c r="D1456" s="3">
        <v>10327.58</v>
      </c>
      <c r="E1456" s="3">
        <v>11183149.99</v>
      </c>
      <c r="F1456" s="1" t="s">
        <v>2732</v>
      </c>
      <c r="G1456" s="3">
        <f t="shared" si="54"/>
        <v>10327.58</v>
      </c>
      <c r="H1456" s="4">
        <v>0</v>
      </c>
    </row>
    <row r="1457" spans="1:8">
      <c r="A1457" s="1" t="s">
        <v>1578</v>
      </c>
      <c r="B1457" s="1" t="s">
        <v>15</v>
      </c>
      <c r="C1457" s="1" t="s">
        <v>1591</v>
      </c>
      <c r="D1457" s="3">
        <v>6722.67</v>
      </c>
      <c r="E1457" s="3">
        <v>11189872.66</v>
      </c>
      <c r="F1457" s="1" t="s">
        <v>2732</v>
      </c>
      <c r="G1457" s="3">
        <f t="shared" si="54"/>
        <v>6722.67</v>
      </c>
      <c r="H1457" s="4">
        <v>0</v>
      </c>
    </row>
    <row r="1458" spans="1:8">
      <c r="A1458" s="1" t="s">
        <v>1578</v>
      </c>
      <c r="B1458" s="1" t="s">
        <v>15</v>
      </c>
      <c r="C1458" s="1" t="s">
        <v>1592</v>
      </c>
      <c r="D1458" s="3">
        <v>6820.1</v>
      </c>
      <c r="E1458" s="3">
        <v>11196692.76</v>
      </c>
      <c r="F1458" s="1" t="s">
        <v>2732</v>
      </c>
      <c r="G1458" s="3">
        <f t="shared" si="54"/>
        <v>6820.1</v>
      </c>
      <c r="H1458" s="4">
        <v>0</v>
      </c>
    </row>
    <row r="1459" spans="1:8">
      <c r="A1459" s="1" t="s">
        <v>1578</v>
      </c>
      <c r="B1459" s="1" t="s">
        <v>15</v>
      </c>
      <c r="C1459" s="1" t="s">
        <v>1593</v>
      </c>
      <c r="D1459" s="3">
        <v>21350.22</v>
      </c>
      <c r="E1459" s="3">
        <v>11218042.98</v>
      </c>
      <c r="F1459" s="1" t="s">
        <v>2732</v>
      </c>
      <c r="G1459" s="3">
        <f t="shared" si="54"/>
        <v>21350.22</v>
      </c>
      <c r="H1459" s="4">
        <v>0</v>
      </c>
    </row>
    <row r="1460" spans="1:8">
      <c r="A1460" s="1" t="s">
        <v>1578</v>
      </c>
      <c r="B1460" s="1" t="s">
        <v>15</v>
      </c>
      <c r="C1460" s="1" t="s">
        <v>1594</v>
      </c>
      <c r="D1460" s="3">
        <v>11009.59</v>
      </c>
      <c r="E1460" s="3">
        <v>11229052.57</v>
      </c>
      <c r="F1460" s="1" t="s">
        <v>2732</v>
      </c>
      <c r="G1460" s="3">
        <f t="shared" si="54"/>
        <v>11009.59</v>
      </c>
      <c r="H1460" s="4">
        <v>0</v>
      </c>
    </row>
    <row r="1461" spans="1:8">
      <c r="A1461" s="1" t="s">
        <v>1578</v>
      </c>
      <c r="B1461" s="1" t="s">
        <v>15</v>
      </c>
      <c r="C1461" s="1" t="s">
        <v>1595</v>
      </c>
      <c r="D1461" s="3">
        <v>17537.400000000001</v>
      </c>
      <c r="E1461" s="3">
        <v>11246589.970000001</v>
      </c>
      <c r="F1461" s="1" t="s">
        <v>2732</v>
      </c>
      <c r="G1461" s="3">
        <f t="shared" si="54"/>
        <v>17537.400000000001</v>
      </c>
      <c r="H1461" s="4">
        <v>0</v>
      </c>
    </row>
    <row r="1462" spans="1:8">
      <c r="A1462" s="1" t="s">
        <v>1578</v>
      </c>
      <c r="B1462" s="1" t="s">
        <v>1596</v>
      </c>
      <c r="C1462" s="1" t="s">
        <v>1597</v>
      </c>
      <c r="D1462" s="3">
        <v>1762.2</v>
      </c>
      <c r="E1462" s="3">
        <v>11248352.17</v>
      </c>
      <c r="F1462" s="2" t="s">
        <v>2732</v>
      </c>
      <c r="G1462" s="3">
        <f t="shared" si="54"/>
        <v>1762.2</v>
      </c>
      <c r="H1462" s="4">
        <v>0</v>
      </c>
    </row>
    <row r="1463" spans="1:8">
      <c r="A1463" s="1" t="s">
        <v>1578</v>
      </c>
      <c r="B1463" s="1" t="s">
        <v>15</v>
      </c>
      <c r="C1463" s="1" t="s">
        <v>1598</v>
      </c>
      <c r="D1463" s="3">
        <v>13131.33</v>
      </c>
      <c r="E1463" s="3">
        <v>11261483.5</v>
      </c>
      <c r="F1463" s="1" t="s">
        <v>2732</v>
      </c>
      <c r="G1463" s="3">
        <f t="shared" si="54"/>
        <v>13131.33</v>
      </c>
      <c r="H1463" s="4">
        <v>0</v>
      </c>
    </row>
    <row r="1464" spans="1:8">
      <c r="A1464" s="1" t="s">
        <v>1578</v>
      </c>
      <c r="B1464" s="1" t="s">
        <v>15</v>
      </c>
      <c r="C1464" s="1" t="s">
        <v>1599</v>
      </c>
      <c r="D1464" s="3">
        <v>8974.65</v>
      </c>
      <c r="E1464" s="3">
        <v>11270458.15</v>
      </c>
      <c r="F1464" s="1" t="s">
        <v>2732</v>
      </c>
      <c r="G1464" s="3">
        <f t="shared" si="54"/>
        <v>8974.65</v>
      </c>
      <c r="H1464" s="4">
        <v>0</v>
      </c>
    </row>
    <row r="1465" spans="1:8">
      <c r="A1465" s="1" t="s">
        <v>1578</v>
      </c>
      <c r="B1465" s="1" t="s">
        <v>15</v>
      </c>
      <c r="C1465" s="1" t="s">
        <v>1600</v>
      </c>
      <c r="D1465" s="3">
        <v>36511.54</v>
      </c>
      <c r="E1465" s="3">
        <v>11306969.689999999</v>
      </c>
      <c r="F1465" s="1" t="s">
        <v>2732</v>
      </c>
      <c r="G1465" s="3">
        <f t="shared" si="54"/>
        <v>36511.54</v>
      </c>
      <c r="H1465" s="4">
        <v>0</v>
      </c>
    </row>
    <row r="1466" spans="1:8">
      <c r="A1466" s="1" t="s">
        <v>1578</v>
      </c>
      <c r="B1466" s="1" t="s">
        <v>15</v>
      </c>
      <c r="C1466" s="1" t="s">
        <v>1601</v>
      </c>
      <c r="D1466" s="3">
        <v>112434.22</v>
      </c>
      <c r="E1466" s="3">
        <v>11419403.91</v>
      </c>
      <c r="F1466" s="1" t="s">
        <v>2732</v>
      </c>
      <c r="G1466" s="3">
        <f t="shared" si="54"/>
        <v>112434.22</v>
      </c>
      <c r="H1466" s="4">
        <v>0</v>
      </c>
    </row>
    <row r="1467" spans="1:8">
      <c r="A1467" s="1" t="s">
        <v>1578</v>
      </c>
      <c r="B1467" s="1" t="s">
        <v>15</v>
      </c>
      <c r="C1467" s="1" t="s">
        <v>1602</v>
      </c>
      <c r="D1467" s="3">
        <v>23188.34</v>
      </c>
      <c r="E1467" s="3">
        <v>11442592.25</v>
      </c>
      <c r="F1467" s="1" t="s">
        <v>2732</v>
      </c>
      <c r="G1467" s="3">
        <f t="shared" si="54"/>
        <v>23188.34</v>
      </c>
      <c r="H1467" s="4">
        <v>0</v>
      </c>
    </row>
    <row r="1468" spans="1:8">
      <c r="A1468" s="1" t="s">
        <v>1578</v>
      </c>
      <c r="B1468" s="1" t="s">
        <v>15</v>
      </c>
      <c r="C1468" s="1" t="s">
        <v>1603</v>
      </c>
      <c r="D1468" s="3">
        <v>8916.7000000000007</v>
      </c>
      <c r="E1468" s="3">
        <v>11451508.949999999</v>
      </c>
      <c r="F1468" s="1" t="s">
        <v>2732</v>
      </c>
      <c r="G1468" s="3">
        <f t="shared" si="54"/>
        <v>8916.7000000000007</v>
      </c>
      <c r="H1468" s="4">
        <v>0</v>
      </c>
    </row>
    <row r="1469" spans="1:8">
      <c r="A1469" s="1" t="s">
        <v>1578</v>
      </c>
      <c r="B1469" s="1" t="s">
        <v>15</v>
      </c>
      <c r="C1469" s="1" t="s">
        <v>1604</v>
      </c>
      <c r="D1469" s="3">
        <v>9255.85</v>
      </c>
      <c r="E1469" s="3">
        <v>11460764.800000001</v>
      </c>
      <c r="F1469" s="1" t="s">
        <v>2732</v>
      </c>
      <c r="G1469" s="3">
        <f t="shared" si="54"/>
        <v>9255.85</v>
      </c>
      <c r="H1469" s="4">
        <v>0</v>
      </c>
    </row>
    <row r="1470" spans="1:8">
      <c r="A1470" s="1" t="s">
        <v>1578</v>
      </c>
      <c r="B1470" s="1" t="s">
        <v>15</v>
      </c>
      <c r="C1470" s="1" t="s">
        <v>1605</v>
      </c>
      <c r="D1470" s="3">
        <v>9743</v>
      </c>
      <c r="E1470" s="3">
        <v>11470507.800000001</v>
      </c>
      <c r="F1470" s="1" t="s">
        <v>2732</v>
      </c>
      <c r="G1470" s="3">
        <f t="shared" si="54"/>
        <v>9743</v>
      </c>
      <c r="H1470" s="4">
        <v>0</v>
      </c>
    </row>
    <row r="1471" spans="1:8">
      <c r="A1471" s="1" t="s">
        <v>1578</v>
      </c>
      <c r="B1471" s="1" t="s">
        <v>15</v>
      </c>
      <c r="C1471" s="1" t="s">
        <v>1606</v>
      </c>
      <c r="D1471" s="3">
        <v>216474.49</v>
      </c>
      <c r="E1471" s="3">
        <v>11686982.289999999</v>
      </c>
      <c r="F1471" s="1" t="s">
        <v>2732</v>
      </c>
      <c r="G1471" s="3">
        <f t="shared" si="54"/>
        <v>216474.49</v>
      </c>
      <c r="H1471" s="4">
        <v>0</v>
      </c>
    </row>
    <row r="1472" spans="1:8">
      <c r="A1472" s="1" t="s">
        <v>1578</v>
      </c>
      <c r="B1472" s="1" t="s">
        <v>15</v>
      </c>
      <c r="C1472" s="1" t="s">
        <v>1607</v>
      </c>
      <c r="D1472" s="3">
        <v>22506.33</v>
      </c>
      <c r="E1472" s="3">
        <v>11709488.619999999</v>
      </c>
      <c r="F1472" s="1" t="s">
        <v>2732</v>
      </c>
      <c r="G1472" s="3">
        <f t="shared" si="54"/>
        <v>22506.33</v>
      </c>
      <c r="H1472" s="4">
        <v>0</v>
      </c>
    </row>
    <row r="1473" spans="1:8">
      <c r="A1473" s="1" t="s">
        <v>1578</v>
      </c>
      <c r="B1473" s="1" t="s">
        <v>1608</v>
      </c>
      <c r="C1473" s="1" t="s">
        <v>1609</v>
      </c>
      <c r="D1473" s="3">
        <v>1130.74</v>
      </c>
      <c r="E1473" s="3">
        <v>11710619.359999999</v>
      </c>
      <c r="F1473" s="2" t="s">
        <v>2732</v>
      </c>
      <c r="G1473" s="3">
        <f t="shared" si="54"/>
        <v>1130.74</v>
      </c>
      <c r="H1473" s="4">
        <v>0</v>
      </c>
    </row>
    <row r="1474" spans="1:8">
      <c r="A1474" s="1" t="s">
        <v>1578</v>
      </c>
      <c r="B1474" s="1" t="s">
        <v>15</v>
      </c>
      <c r="C1474" s="1" t="s">
        <v>1610</v>
      </c>
      <c r="D1474" s="3">
        <v>16050.06</v>
      </c>
      <c r="E1474" s="3">
        <v>11726669.42</v>
      </c>
      <c r="F1474" s="1" t="s">
        <v>2732</v>
      </c>
      <c r="G1474" s="3">
        <f t="shared" si="54"/>
        <v>16050.06</v>
      </c>
      <c r="H1474" s="4">
        <v>0</v>
      </c>
    </row>
    <row r="1475" spans="1:8">
      <c r="A1475" s="1" t="s">
        <v>1578</v>
      </c>
      <c r="B1475" s="1" t="s">
        <v>15</v>
      </c>
      <c r="C1475" s="1" t="s">
        <v>1611</v>
      </c>
      <c r="D1475" s="3">
        <v>4411.42</v>
      </c>
      <c r="E1475" s="3">
        <v>11731080.84</v>
      </c>
      <c r="F1475" s="1" t="s">
        <v>2732</v>
      </c>
      <c r="G1475" s="3">
        <f t="shared" si="54"/>
        <v>4411.42</v>
      </c>
      <c r="H1475" s="4">
        <v>0</v>
      </c>
    </row>
    <row r="1476" spans="1:8">
      <c r="A1476" s="1" t="s">
        <v>1578</v>
      </c>
      <c r="B1476" s="1" t="s">
        <v>15</v>
      </c>
      <c r="C1476" s="1" t="s">
        <v>1612</v>
      </c>
      <c r="D1476" s="3">
        <v>19486</v>
      </c>
      <c r="E1476" s="3">
        <v>11750566.84</v>
      </c>
      <c r="F1476" s="1" t="s">
        <v>2732</v>
      </c>
      <c r="G1476" s="3">
        <f t="shared" si="54"/>
        <v>19486</v>
      </c>
      <c r="H1476" s="4">
        <v>0</v>
      </c>
    </row>
    <row r="1477" spans="1:8">
      <c r="A1477" s="1" t="s">
        <v>1578</v>
      </c>
      <c r="B1477" s="1" t="s">
        <v>15</v>
      </c>
      <c r="C1477" s="1" t="s">
        <v>1613</v>
      </c>
      <c r="D1477" s="3">
        <v>5163.79</v>
      </c>
      <c r="E1477" s="3">
        <v>11755730.630000001</v>
      </c>
      <c r="F1477" s="1" t="s">
        <v>2732</v>
      </c>
      <c r="G1477" s="3">
        <f t="shared" ref="G1477:G1508" si="55">+D1477</f>
        <v>5163.79</v>
      </c>
      <c r="H1477" s="4">
        <v>0</v>
      </c>
    </row>
    <row r="1478" spans="1:8">
      <c r="A1478" s="1" t="s">
        <v>1578</v>
      </c>
      <c r="B1478" s="1" t="s">
        <v>15</v>
      </c>
      <c r="C1478" s="1" t="s">
        <v>1614</v>
      </c>
      <c r="D1478" s="3">
        <v>4579.21</v>
      </c>
      <c r="E1478" s="3">
        <v>11760309.84</v>
      </c>
      <c r="F1478" s="1" t="s">
        <v>2732</v>
      </c>
      <c r="G1478" s="3">
        <f t="shared" si="55"/>
        <v>4579.21</v>
      </c>
      <c r="H1478" s="4">
        <v>0</v>
      </c>
    </row>
    <row r="1479" spans="1:8">
      <c r="A1479" s="1" t="s">
        <v>1578</v>
      </c>
      <c r="B1479" s="1" t="s">
        <v>15</v>
      </c>
      <c r="C1479" s="1" t="s">
        <v>1615</v>
      </c>
      <c r="D1479" s="3">
        <v>19778.29</v>
      </c>
      <c r="E1479" s="3">
        <v>11780088.130000001</v>
      </c>
      <c r="F1479" s="1" t="s">
        <v>2732</v>
      </c>
      <c r="G1479" s="3">
        <f t="shared" si="55"/>
        <v>19778.29</v>
      </c>
      <c r="H1479" s="4">
        <v>0</v>
      </c>
    </row>
    <row r="1480" spans="1:8">
      <c r="A1480" s="1" t="s">
        <v>1578</v>
      </c>
      <c r="B1480" s="1" t="s">
        <v>15</v>
      </c>
      <c r="C1480" s="1" t="s">
        <v>1616</v>
      </c>
      <c r="D1480" s="3">
        <v>8281.5499999999993</v>
      </c>
      <c r="E1480" s="3">
        <v>11788369.68</v>
      </c>
      <c r="F1480" s="1" t="s">
        <v>2732</v>
      </c>
      <c r="G1480" s="3">
        <f t="shared" si="55"/>
        <v>8281.5499999999993</v>
      </c>
      <c r="H1480" s="4">
        <v>0</v>
      </c>
    </row>
    <row r="1481" spans="1:8">
      <c r="A1481" s="1" t="s">
        <v>1578</v>
      </c>
      <c r="B1481" s="1" t="s">
        <v>1617</v>
      </c>
      <c r="C1481" s="1" t="s">
        <v>1618</v>
      </c>
      <c r="D1481" s="2">
        <v>832.15</v>
      </c>
      <c r="E1481" s="3">
        <v>11789201.83</v>
      </c>
      <c r="F1481" s="2" t="s">
        <v>2732</v>
      </c>
      <c r="G1481" s="3">
        <f t="shared" si="55"/>
        <v>832.15</v>
      </c>
      <c r="H1481" s="4">
        <v>0</v>
      </c>
    </row>
    <row r="1482" spans="1:8">
      <c r="A1482" s="1" t="s">
        <v>1578</v>
      </c>
      <c r="B1482" s="1" t="s">
        <v>15</v>
      </c>
      <c r="C1482" s="1" t="s">
        <v>1619</v>
      </c>
      <c r="D1482" s="3">
        <v>20850.02</v>
      </c>
      <c r="E1482" s="3">
        <v>11810051.85</v>
      </c>
      <c r="F1482" s="1" t="s">
        <v>2732</v>
      </c>
      <c r="G1482" s="3">
        <f t="shared" si="55"/>
        <v>20850.02</v>
      </c>
      <c r="H1482" s="4">
        <v>0</v>
      </c>
    </row>
    <row r="1483" spans="1:8">
      <c r="A1483" s="1" t="s">
        <v>1578</v>
      </c>
      <c r="B1483" s="1" t="s">
        <v>15</v>
      </c>
      <c r="C1483" s="1" t="s">
        <v>1620</v>
      </c>
      <c r="D1483" s="3">
        <v>14127.35</v>
      </c>
      <c r="E1483" s="3">
        <v>11824179.199999999</v>
      </c>
      <c r="F1483" s="1" t="s">
        <v>2732</v>
      </c>
      <c r="G1483" s="3">
        <f t="shared" si="55"/>
        <v>14127.35</v>
      </c>
      <c r="H1483" s="4">
        <v>0</v>
      </c>
    </row>
    <row r="1484" spans="1:8">
      <c r="A1484" s="1" t="s">
        <v>1578</v>
      </c>
      <c r="B1484" s="1" t="s">
        <v>15</v>
      </c>
      <c r="C1484" s="1" t="s">
        <v>1621</v>
      </c>
      <c r="D1484" s="3">
        <v>22214.04</v>
      </c>
      <c r="E1484" s="3">
        <v>11846393.24</v>
      </c>
      <c r="F1484" s="1" t="s">
        <v>2732</v>
      </c>
      <c r="G1484" s="3">
        <f t="shared" si="55"/>
        <v>22214.04</v>
      </c>
      <c r="H1484" s="4">
        <v>0</v>
      </c>
    </row>
    <row r="1485" spans="1:8">
      <c r="A1485" s="1" t="s">
        <v>1578</v>
      </c>
      <c r="B1485" s="1" t="s">
        <v>15</v>
      </c>
      <c r="C1485" s="1" t="s">
        <v>1622</v>
      </c>
      <c r="D1485" s="3">
        <v>112125.65</v>
      </c>
      <c r="E1485" s="3">
        <v>11958518.890000001</v>
      </c>
      <c r="F1485" s="1" t="s">
        <v>2732</v>
      </c>
      <c r="G1485" s="3">
        <f t="shared" si="55"/>
        <v>112125.65</v>
      </c>
      <c r="H1485" s="4">
        <v>0</v>
      </c>
    </row>
    <row r="1486" spans="1:8">
      <c r="A1486" s="1" t="s">
        <v>1578</v>
      </c>
      <c r="B1486" s="1" t="s">
        <v>1623</v>
      </c>
      <c r="C1486" s="1" t="s">
        <v>1624</v>
      </c>
      <c r="D1486" s="3">
        <v>12090.65</v>
      </c>
      <c r="E1486" s="3">
        <v>11970609.539999999</v>
      </c>
      <c r="F1486" s="2" t="s">
        <v>2732</v>
      </c>
      <c r="G1486" s="3">
        <f t="shared" si="55"/>
        <v>12090.65</v>
      </c>
      <c r="H1486" s="4">
        <v>0</v>
      </c>
    </row>
    <row r="1487" spans="1:8">
      <c r="A1487" s="1" t="s">
        <v>1578</v>
      </c>
      <c r="B1487" s="1" t="s">
        <v>15</v>
      </c>
      <c r="C1487" s="1" t="s">
        <v>1625</v>
      </c>
      <c r="D1487" s="3">
        <v>18121.98</v>
      </c>
      <c r="E1487" s="3">
        <v>11988731.52</v>
      </c>
      <c r="F1487" s="1" t="s">
        <v>2732</v>
      </c>
      <c r="G1487" s="3">
        <f t="shared" si="55"/>
        <v>18121.98</v>
      </c>
      <c r="H1487" s="4">
        <v>0</v>
      </c>
    </row>
    <row r="1488" spans="1:8">
      <c r="A1488" s="1" t="s">
        <v>1578</v>
      </c>
      <c r="B1488" s="1" t="s">
        <v>15</v>
      </c>
      <c r="C1488" s="1" t="s">
        <v>1626</v>
      </c>
      <c r="D1488" s="3">
        <v>10912.16</v>
      </c>
      <c r="E1488" s="3">
        <v>11999643.68</v>
      </c>
      <c r="F1488" s="1" t="s">
        <v>2732</v>
      </c>
      <c r="G1488" s="3">
        <f t="shared" si="55"/>
        <v>10912.16</v>
      </c>
      <c r="H1488" s="4">
        <v>0</v>
      </c>
    </row>
    <row r="1489" spans="1:8">
      <c r="A1489" s="1" t="s">
        <v>1578</v>
      </c>
      <c r="B1489" s="1" t="s">
        <v>15</v>
      </c>
      <c r="C1489" s="1" t="s">
        <v>1627</v>
      </c>
      <c r="D1489" s="3">
        <v>12958.19</v>
      </c>
      <c r="E1489" s="3">
        <v>12012601.869999999</v>
      </c>
      <c r="F1489" s="1" t="s">
        <v>2732</v>
      </c>
      <c r="G1489" s="3">
        <f t="shared" si="55"/>
        <v>12958.19</v>
      </c>
      <c r="H1489" s="4">
        <v>0</v>
      </c>
    </row>
    <row r="1490" spans="1:8">
      <c r="A1490" s="1" t="s">
        <v>1578</v>
      </c>
      <c r="B1490" s="1" t="s">
        <v>15</v>
      </c>
      <c r="C1490" s="1" t="s">
        <v>1628</v>
      </c>
      <c r="D1490" s="3">
        <v>4579.21</v>
      </c>
      <c r="E1490" s="3">
        <v>12017181.08</v>
      </c>
      <c r="F1490" s="1" t="s">
        <v>2732</v>
      </c>
      <c r="G1490" s="3">
        <f t="shared" si="55"/>
        <v>4579.21</v>
      </c>
      <c r="H1490" s="4">
        <v>0</v>
      </c>
    </row>
    <row r="1491" spans="1:8">
      <c r="A1491" s="1" t="s">
        <v>1578</v>
      </c>
      <c r="B1491" s="1" t="s">
        <v>15</v>
      </c>
      <c r="C1491" s="1" t="s">
        <v>1629</v>
      </c>
      <c r="D1491" s="3">
        <v>22879.08</v>
      </c>
      <c r="E1491" s="3">
        <v>12040060.16</v>
      </c>
      <c r="F1491" s="1" t="s">
        <v>2732</v>
      </c>
      <c r="G1491" s="3">
        <f t="shared" si="55"/>
        <v>22879.08</v>
      </c>
      <c r="H1491" s="4">
        <v>0</v>
      </c>
    </row>
    <row r="1492" spans="1:8">
      <c r="A1492" s="1" t="s">
        <v>1578</v>
      </c>
      <c r="B1492" s="1" t="s">
        <v>15</v>
      </c>
      <c r="C1492" s="1" t="s">
        <v>1630</v>
      </c>
      <c r="D1492" s="3">
        <v>19680.86</v>
      </c>
      <c r="E1492" s="3">
        <v>12059741.02</v>
      </c>
      <c r="F1492" s="1" t="s">
        <v>2732</v>
      </c>
      <c r="G1492" s="3">
        <f t="shared" si="55"/>
        <v>19680.86</v>
      </c>
      <c r="H1492" s="4">
        <v>0</v>
      </c>
    </row>
    <row r="1493" spans="1:8">
      <c r="A1493" s="1" t="s">
        <v>1578</v>
      </c>
      <c r="B1493" s="1" t="s">
        <v>1631</v>
      </c>
      <c r="C1493" s="1" t="s">
        <v>1632</v>
      </c>
      <c r="D1493" s="2">
        <v>988.79</v>
      </c>
      <c r="E1493" s="3">
        <v>12060729.810000001</v>
      </c>
      <c r="F1493" s="2" t="s">
        <v>2732</v>
      </c>
      <c r="G1493" s="3">
        <f t="shared" si="55"/>
        <v>988.79</v>
      </c>
      <c r="H1493" s="4">
        <v>0</v>
      </c>
    </row>
    <row r="1494" spans="1:8">
      <c r="A1494" s="1" t="s">
        <v>1578</v>
      </c>
      <c r="B1494" s="1" t="s">
        <v>15</v>
      </c>
      <c r="C1494" s="1" t="s">
        <v>1633</v>
      </c>
      <c r="D1494" s="3">
        <v>14526.4</v>
      </c>
      <c r="E1494" s="3">
        <v>12075256.210000001</v>
      </c>
      <c r="F1494" s="1" t="s">
        <v>2732</v>
      </c>
      <c r="G1494" s="3">
        <f t="shared" si="55"/>
        <v>14526.4</v>
      </c>
      <c r="H1494" s="4">
        <v>0</v>
      </c>
    </row>
    <row r="1495" spans="1:8">
      <c r="A1495" s="1" t="s">
        <v>1578</v>
      </c>
      <c r="B1495" s="1" t="s">
        <v>19</v>
      </c>
      <c r="C1495" s="1" t="s">
        <v>1634</v>
      </c>
      <c r="D1495" s="2">
        <v>783.2</v>
      </c>
      <c r="E1495" s="3">
        <v>12076039.41</v>
      </c>
      <c r="F1495" s="2" t="s">
        <v>2732</v>
      </c>
      <c r="G1495" s="3">
        <f t="shared" si="55"/>
        <v>783.2</v>
      </c>
      <c r="H1495" s="4">
        <v>0</v>
      </c>
    </row>
    <row r="1496" spans="1:8">
      <c r="A1496" s="1" t="s">
        <v>1578</v>
      </c>
      <c r="B1496" s="1" t="s">
        <v>15</v>
      </c>
      <c r="C1496" s="1" t="s">
        <v>1635</v>
      </c>
      <c r="D1496" s="3">
        <v>9158.42</v>
      </c>
      <c r="E1496" s="3">
        <v>12085197.83</v>
      </c>
      <c r="F1496" s="1" t="s">
        <v>2732</v>
      </c>
      <c r="G1496" s="3">
        <f t="shared" si="55"/>
        <v>9158.42</v>
      </c>
      <c r="H1496" s="4">
        <v>0</v>
      </c>
    </row>
    <row r="1497" spans="1:8">
      <c r="A1497" s="1" t="s">
        <v>1578</v>
      </c>
      <c r="B1497" s="1" t="s">
        <v>15</v>
      </c>
      <c r="C1497" s="1" t="s">
        <v>1636</v>
      </c>
      <c r="D1497" s="3">
        <v>9158.42</v>
      </c>
      <c r="E1497" s="3">
        <v>12094356.25</v>
      </c>
      <c r="F1497" s="1" t="s">
        <v>2732</v>
      </c>
      <c r="G1497" s="3">
        <f t="shared" si="55"/>
        <v>9158.42</v>
      </c>
      <c r="H1497" s="4">
        <v>0</v>
      </c>
    </row>
    <row r="1498" spans="1:8">
      <c r="A1498" s="1" t="s">
        <v>1578</v>
      </c>
      <c r="B1498" s="1" t="s">
        <v>15</v>
      </c>
      <c r="C1498" s="1" t="s">
        <v>1637</v>
      </c>
      <c r="D1498" s="3">
        <v>7404.68</v>
      </c>
      <c r="E1498" s="3">
        <v>12101760.93</v>
      </c>
      <c r="F1498" s="1" t="s">
        <v>2732</v>
      </c>
      <c r="G1498" s="3">
        <f t="shared" si="55"/>
        <v>7404.68</v>
      </c>
      <c r="H1498" s="4">
        <v>0</v>
      </c>
    </row>
    <row r="1499" spans="1:8">
      <c r="A1499" s="1" t="s">
        <v>1578</v>
      </c>
      <c r="B1499" s="1" t="s">
        <v>1638</v>
      </c>
      <c r="C1499" s="1" t="s">
        <v>1639</v>
      </c>
      <c r="D1499" s="2">
        <v>372.02</v>
      </c>
      <c r="E1499" s="3">
        <v>12102132.949999999</v>
      </c>
      <c r="F1499" s="2" t="s">
        <v>2732</v>
      </c>
      <c r="G1499" s="3">
        <f t="shared" si="55"/>
        <v>372.02</v>
      </c>
      <c r="H1499" s="4">
        <v>0</v>
      </c>
    </row>
    <row r="1500" spans="1:8">
      <c r="A1500" s="1" t="s">
        <v>1578</v>
      </c>
      <c r="B1500" s="1" t="s">
        <v>15</v>
      </c>
      <c r="C1500" s="1" t="s">
        <v>1640</v>
      </c>
      <c r="D1500" s="3">
        <v>6757.92</v>
      </c>
      <c r="E1500" s="3">
        <v>12108890.869999999</v>
      </c>
      <c r="F1500" s="1" t="s">
        <v>2732</v>
      </c>
      <c r="G1500" s="3">
        <f t="shared" si="55"/>
        <v>6757.92</v>
      </c>
      <c r="H1500" s="4">
        <v>0</v>
      </c>
    </row>
    <row r="1501" spans="1:8">
      <c r="A1501" s="1" t="s">
        <v>1578</v>
      </c>
      <c r="B1501" s="1" t="s">
        <v>15</v>
      </c>
      <c r="C1501" s="1" t="s">
        <v>1641</v>
      </c>
      <c r="D1501" s="3">
        <v>3897.2</v>
      </c>
      <c r="E1501" s="3">
        <v>12112788.07</v>
      </c>
      <c r="F1501" s="1" t="s">
        <v>2732</v>
      </c>
      <c r="G1501" s="3">
        <f t="shared" si="55"/>
        <v>3897.2</v>
      </c>
      <c r="H1501" s="4">
        <v>0</v>
      </c>
    </row>
    <row r="1502" spans="1:8">
      <c r="A1502" s="1" t="s">
        <v>1578</v>
      </c>
      <c r="B1502" s="1" t="s">
        <v>15</v>
      </c>
      <c r="C1502" s="1" t="s">
        <v>1642</v>
      </c>
      <c r="D1502" s="3">
        <v>1997.38</v>
      </c>
      <c r="E1502" s="3">
        <v>12114785.449999999</v>
      </c>
      <c r="F1502" s="1" t="s">
        <v>2732</v>
      </c>
      <c r="G1502" s="3">
        <f t="shared" si="55"/>
        <v>1997.38</v>
      </c>
      <c r="H1502" s="4">
        <v>0</v>
      </c>
    </row>
    <row r="1503" spans="1:8">
      <c r="A1503" s="1" t="s">
        <v>1578</v>
      </c>
      <c r="B1503" s="1" t="s">
        <v>15</v>
      </c>
      <c r="C1503" s="1" t="s">
        <v>1643</v>
      </c>
      <c r="D1503" s="3">
        <v>13698.15</v>
      </c>
      <c r="E1503" s="3">
        <v>12128483.6</v>
      </c>
      <c r="F1503" s="1" t="s">
        <v>2732</v>
      </c>
      <c r="G1503" s="3">
        <f t="shared" si="55"/>
        <v>13698.15</v>
      </c>
      <c r="H1503" s="4">
        <v>0</v>
      </c>
    </row>
    <row r="1504" spans="1:8">
      <c r="A1504" s="1" t="s">
        <v>1578</v>
      </c>
      <c r="B1504" s="1" t="s">
        <v>15</v>
      </c>
      <c r="C1504" s="1" t="s">
        <v>1644</v>
      </c>
      <c r="D1504" s="3">
        <v>12858.82</v>
      </c>
      <c r="E1504" s="3">
        <v>12141342.42</v>
      </c>
      <c r="F1504" s="1" t="s">
        <v>2732</v>
      </c>
      <c r="G1504" s="3">
        <f t="shared" si="55"/>
        <v>12858.82</v>
      </c>
      <c r="H1504" s="4">
        <v>0</v>
      </c>
    </row>
    <row r="1505" spans="1:8">
      <c r="A1505" s="1" t="s">
        <v>1578</v>
      </c>
      <c r="B1505" s="1" t="s">
        <v>15</v>
      </c>
      <c r="C1505" s="1" t="s">
        <v>1645</v>
      </c>
      <c r="D1505" s="3">
        <v>40159.550000000003</v>
      </c>
      <c r="E1505" s="3">
        <v>12181501.970000001</v>
      </c>
      <c r="F1505" s="1" t="s">
        <v>2732</v>
      </c>
      <c r="G1505" s="3">
        <f t="shared" si="55"/>
        <v>40159.550000000003</v>
      </c>
      <c r="H1505" s="4">
        <v>0</v>
      </c>
    </row>
    <row r="1506" spans="1:8">
      <c r="A1506" s="1" t="s">
        <v>1578</v>
      </c>
      <c r="B1506" s="1" t="s">
        <v>15</v>
      </c>
      <c r="C1506" s="1" t="s">
        <v>1646</v>
      </c>
      <c r="D1506" s="3">
        <v>7014.96</v>
      </c>
      <c r="E1506" s="3">
        <v>12188516.93</v>
      </c>
      <c r="F1506" s="1" t="s">
        <v>2732</v>
      </c>
      <c r="G1506" s="3">
        <f t="shared" si="55"/>
        <v>7014.96</v>
      </c>
      <c r="H1506" s="4">
        <v>0</v>
      </c>
    </row>
    <row r="1507" spans="1:8">
      <c r="A1507" s="1" t="s">
        <v>1578</v>
      </c>
      <c r="B1507" s="1" t="s">
        <v>15</v>
      </c>
      <c r="C1507" s="1" t="s">
        <v>1647</v>
      </c>
      <c r="D1507" s="3">
        <v>31504.13</v>
      </c>
      <c r="E1507" s="3">
        <v>12220021.060000001</v>
      </c>
      <c r="F1507" s="1" t="s">
        <v>2732</v>
      </c>
      <c r="G1507" s="3">
        <f t="shared" si="55"/>
        <v>31504.13</v>
      </c>
      <c r="H1507" s="4">
        <v>0</v>
      </c>
    </row>
    <row r="1508" spans="1:8">
      <c r="A1508" s="1" t="s">
        <v>1578</v>
      </c>
      <c r="B1508" s="1" t="s">
        <v>15</v>
      </c>
      <c r="C1508" s="1" t="s">
        <v>1648</v>
      </c>
      <c r="D1508" s="3">
        <v>44873.25</v>
      </c>
      <c r="E1508" s="3">
        <v>12264894.310000001</v>
      </c>
      <c r="F1508" s="1" t="s">
        <v>2732</v>
      </c>
      <c r="G1508" s="3">
        <f t="shared" si="55"/>
        <v>44873.25</v>
      </c>
      <c r="H1508" s="4">
        <v>0</v>
      </c>
    </row>
    <row r="1509" spans="1:8">
      <c r="A1509" s="1" t="s">
        <v>1578</v>
      </c>
      <c r="B1509" s="1" t="s">
        <v>15</v>
      </c>
      <c r="C1509" s="1" t="s">
        <v>1649</v>
      </c>
      <c r="D1509" s="3">
        <v>60460.800000000003</v>
      </c>
      <c r="E1509" s="3">
        <v>12325355.109999999</v>
      </c>
      <c r="F1509" s="1" t="s">
        <v>2732</v>
      </c>
      <c r="G1509" s="3">
        <f t="shared" ref="G1509:G1540" si="56">+D1509</f>
        <v>60460.800000000003</v>
      </c>
      <c r="H1509" s="4">
        <v>0</v>
      </c>
    </row>
    <row r="1510" spans="1:8">
      <c r="A1510" s="1" t="s">
        <v>1578</v>
      </c>
      <c r="B1510" s="1" t="s">
        <v>15</v>
      </c>
      <c r="C1510" s="1" t="s">
        <v>1650</v>
      </c>
      <c r="D1510" s="3">
        <v>8768.7000000000007</v>
      </c>
      <c r="E1510" s="3">
        <v>12334123.810000001</v>
      </c>
      <c r="F1510" s="1" t="s">
        <v>2732</v>
      </c>
      <c r="G1510" s="3">
        <f t="shared" si="56"/>
        <v>8768.7000000000007</v>
      </c>
      <c r="H1510" s="4">
        <v>0</v>
      </c>
    </row>
    <row r="1511" spans="1:8">
      <c r="A1511" s="1" t="s">
        <v>1578</v>
      </c>
      <c r="B1511" s="1" t="s">
        <v>15</v>
      </c>
      <c r="C1511" s="1" t="s">
        <v>1651</v>
      </c>
      <c r="D1511" s="3">
        <v>5163.79</v>
      </c>
      <c r="E1511" s="3">
        <v>12339287.6</v>
      </c>
      <c r="F1511" s="1" t="s">
        <v>2732</v>
      </c>
      <c r="G1511" s="3">
        <f t="shared" si="56"/>
        <v>5163.79</v>
      </c>
      <c r="H1511" s="4">
        <v>0</v>
      </c>
    </row>
    <row r="1512" spans="1:8">
      <c r="A1512" s="1" t="s">
        <v>1578</v>
      </c>
      <c r="B1512" s="1" t="s">
        <v>1652</v>
      </c>
      <c r="C1512" s="1" t="s">
        <v>1653</v>
      </c>
      <c r="D1512" s="2">
        <v>259.43</v>
      </c>
      <c r="E1512" s="3">
        <v>12339547.029999999</v>
      </c>
      <c r="F1512" s="2" t="s">
        <v>2732</v>
      </c>
      <c r="G1512" s="3">
        <f t="shared" si="56"/>
        <v>259.43</v>
      </c>
      <c r="H1512" s="4">
        <v>0</v>
      </c>
    </row>
    <row r="1513" spans="1:8">
      <c r="A1513" s="1" t="s">
        <v>1578</v>
      </c>
      <c r="B1513" s="1" t="s">
        <v>15</v>
      </c>
      <c r="C1513" s="1" t="s">
        <v>1654</v>
      </c>
      <c r="D1513" s="3">
        <v>17147.68</v>
      </c>
      <c r="E1513" s="3">
        <v>12356694.710000001</v>
      </c>
      <c r="F1513" s="1" t="s">
        <v>2732</v>
      </c>
      <c r="G1513" s="3">
        <f t="shared" si="56"/>
        <v>17147.68</v>
      </c>
      <c r="H1513" s="4">
        <v>0</v>
      </c>
    </row>
    <row r="1514" spans="1:8">
      <c r="A1514" s="1" t="s">
        <v>1578</v>
      </c>
      <c r="B1514" s="1" t="s">
        <v>15</v>
      </c>
      <c r="C1514" s="1" t="s">
        <v>1655</v>
      </c>
      <c r="D1514" s="3">
        <v>72780.210000000006</v>
      </c>
      <c r="E1514" s="3">
        <v>12429474.92</v>
      </c>
      <c r="F1514" s="1" t="s">
        <v>2732</v>
      </c>
      <c r="G1514" s="3">
        <f t="shared" si="56"/>
        <v>72780.210000000006</v>
      </c>
      <c r="H1514" s="4">
        <v>0</v>
      </c>
    </row>
    <row r="1515" spans="1:8">
      <c r="A1515" s="1" t="s">
        <v>1578</v>
      </c>
      <c r="B1515" s="1" t="s">
        <v>15</v>
      </c>
      <c r="C1515" s="1" t="s">
        <v>1656</v>
      </c>
      <c r="D1515" s="3">
        <v>26013.81</v>
      </c>
      <c r="E1515" s="3">
        <v>12455488.73</v>
      </c>
      <c r="F1515" s="1" t="s">
        <v>2732</v>
      </c>
      <c r="G1515" s="3">
        <f t="shared" si="56"/>
        <v>26013.81</v>
      </c>
      <c r="H1515" s="4">
        <v>0</v>
      </c>
    </row>
    <row r="1516" spans="1:8">
      <c r="A1516" s="1" t="s">
        <v>1578</v>
      </c>
      <c r="B1516" s="1" t="s">
        <v>1657</v>
      </c>
      <c r="C1516" s="1" t="s">
        <v>1658</v>
      </c>
      <c r="D1516" s="3">
        <v>1306.96</v>
      </c>
      <c r="E1516" s="3">
        <v>12456795.689999999</v>
      </c>
      <c r="F1516" s="2" t="s">
        <v>2732</v>
      </c>
      <c r="G1516" s="3">
        <f t="shared" si="56"/>
        <v>1306.96</v>
      </c>
      <c r="H1516" s="4">
        <v>0</v>
      </c>
    </row>
    <row r="1517" spans="1:8">
      <c r="A1517" s="1" t="s">
        <v>1578</v>
      </c>
      <c r="B1517" s="1" t="s">
        <v>15</v>
      </c>
      <c r="C1517" s="1" t="s">
        <v>1659</v>
      </c>
      <c r="D1517" s="3">
        <v>22606.71</v>
      </c>
      <c r="E1517" s="3">
        <v>12479402.4</v>
      </c>
      <c r="F1517" s="1" t="s">
        <v>2732</v>
      </c>
      <c r="G1517" s="3">
        <f t="shared" si="56"/>
        <v>22606.71</v>
      </c>
      <c r="H1517" s="4">
        <v>0</v>
      </c>
    </row>
    <row r="1518" spans="1:8">
      <c r="A1518" s="1" t="s">
        <v>1578</v>
      </c>
      <c r="B1518" s="1" t="s">
        <v>15</v>
      </c>
      <c r="C1518" s="1" t="s">
        <v>1660</v>
      </c>
      <c r="D1518" s="3">
        <v>45694.67</v>
      </c>
      <c r="E1518" s="3">
        <v>12525097.07</v>
      </c>
      <c r="F1518" s="1" t="s">
        <v>2732</v>
      </c>
      <c r="G1518" s="3">
        <f t="shared" si="56"/>
        <v>45694.67</v>
      </c>
      <c r="H1518" s="4">
        <v>0</v>
      </c>
    </row>
    <row r="1519" spans="1:8">
      <c r="A1519" s="1" t="s">
        <v>1578</v>
      </c>
      <c r="B1519" s="1" t="s">
        <v>15</v>
      </c>
      <c r="C1519" s="1" t="s">
        <v>1661</v>
      </c>
      <c r="D1519" s="3">
        <v>4579.21</v>
      </c>
      <c r="E1519" s="3">
        <v>12529676.279999999</v>
      </c>
      <c r="F1519" s="1" t="s">
        <v>2732</v>
      </c>
      <c r="G1519" s="3">
        <f t="shared" si="56"/>
        <v>4579.21</v>
      </c>
      <c r="H1519" s="4">
        <v>0</v>
      </c>
    </row>
    <row r="1520" spans="1:8">
      <c r="A1520" s="1" t="s">
        <v>1578</v>
      </c>
      <c r="B1520" s="1" t="s">
        <v>15</v>
      </c>
      <c r="C1520" s="1" t="s">
        <v>1662</v>
      </c>
      <c r="D1520" s="3">
        <v>5358.65</v>
      </c>
      <c r="E1520" s="3">
        <v>12535034.93</v>
      </c>
      <c r="F1520" s="1" t="s">
        <v>2732</v>
      </c>
      <c r="G1520" s="3">
        <f t="shared" si="56"/>
        <v>5358.65</v>
      </c>
      <c r="H1520" s="4">
        <v>0</v>
      </c>
    </row>
    <row r="1521" spans="1:8">
      <c r="A1521" s="1" t="s">
        <v>1578</v>
      </c>
      <c r="B1521" s="1" t="s">
        <v>15</v>
      </c>
      <c r="C1521" s="1" t="s">
        <v>1663</v>
      </c>
      <c r="D1521" s="3">
        <v>25136.94</v>
      </c>
      <c r="E1521" s="3">
        <v>12560171.869999999</v>
      </c>
      <c r="F1521" s="1" t="s">
        <v>2732</v>
      </c>
      <c r="G1521" s="3">
        <f t="shared" si="56"/>
        <v>25136.94</v>
      </c>
      <c r="H1521" s="4">
        <v>0</v>
      </c>
    </row>
    <row r="1522" spans="1:8">
      <c r="A1522" s="1" t="s">
        <v>1578</v>
      </c>
      <c r="B1522" s="1" t="s">
        <v>15</v>
      </c>
      <c r="C1522" s="1" t="s">
        <v>1664</v>
      </c>
      <c r="D1522" s="3">
        <v>29758.05</v>
      </c>
      <c r="E1522" s="3">
        <v>12589929.92</v>
      </c>
      <c r="F1522" s="1" t="s">
        <v>2732</v>
      </c>
      <c r="G1522" s="3">
        <f t="shared" si="56"/>
        <v>29758.05</v>
      </c>
      <c r="H1522" s="4">
        <v>0</v>
      </c>
    </row>
    <row r="1523" spans="1:8">
      <c r="A1523" s="1" t="s">
        <v>1578</v>
      </c>
      <c r="B1523" s="1" t="s">
        <v>15</v>
      </c>
      <c r="C1523" s="1" t="s">
        <v>1665</v>
      </c>
      <c r="D1523" s="3">
        <v>30868.6</v>
      </c>
      <c r="E1523" s="3">
        <v>12620798.52</v>
      </c>
      <c r="F1523" s="1" t="s">
        <v>2732</v>
      </c>
      <c r="G1523" s="3">
        <f t="shared" si="56"/>
        <v>30868.6</v>
      </c>
      <c r="H1523" s="4">
        <v>0</v>
      </c>
    </row>
    <row r="1524" spans="1:8">
      <c r="A1524" s="1" t="s">
        <v>1578</v>
      </c>
      <c r="B1524" s="1" t="s">
        <v>15</v>
      </c>
      <c r="C1524" s="1" t="s">
        <v>1666</v>
      </c>
      <c r="D1524" s="3">
        <v>35237.31</v>
      </c>
      <c r="E1524" s="3">
        <v>12656035.83</v>
      </c>
      <c r="F1524" s="1" t="s">
        <v>2732</v>
      </c>
      <c r="G1524" s="3">
        <f t="shared" si="56"/>
        <v>35237.31</v>
      </c>
      <c r="H1524" s="4">
        <v>0</v>
      </c>
    </row>
    <row r="1525" spans="1:8">
      <c r="A1525" s="1" t="s">
        <v>1578</v>
      </c>
      <c r="B1525" s="1" t="s">
        <v>15</v>
      </c>
      <c r="C1525" s="1" t="s">
        <v>1667</v>
      </c>
      <c r="D1525" s="3">
        <v>33321.06</v>
      </c>
      <c r="E1525" s="3">
        <v>12689356.890000001</v>
      </c>
      <c r="F1525" s="1" t="s">
        <v>2732</v>
      </c>
      <c r="G1525" s="3">
        <f t="shared" si="56"/>
        <v>33321.06</v>
      </c>
      <c r="H1525" s="4">
        <v>0</v>
      </c>
    </row>
    <row r="1526" spans="1:8" s="83" customFormat="1">
      <c r="A1526" s="1" t="s">
        <v>1578</v>
      </c>
      <c r="B1526" s="1" t="s">
        <v>15</v>
      </c>
      <c r="C1526" s="1" t="s">
        <v>1668</v>
      </c>
      <c r="D1526" s="3">
        <v>39677.4</v>
      </c>
      <c r="E1526" s="3">
        <v>12729034.289999999</v>
      </c>
      <c r="F1526" s="1" t="s">
        <v>2732</v>
      </c>
      <c r="G1526" s="3">
        <f t="shared" si="56"/>
        <v>39677.4</v>
      </c>
      <c r="H1526" s="4">
        <v>0</v>
      </c>
    </row>
    <row r="1527" spans="1:8">
      <c r="A1527" s="1" t="s">
        <v>1578</v>
      </c>
      <c r="B1527" s="1" t="s">
        <v>15</v>
      </c>
      <c r="C1527" s="1" t="s">
        <v>1669</v>
      </c>
      <c r="D1527" s="3">
        <v>32249.33</v>
      </c>
      <c r="E1527" s="3">
        <v>12761283.619999999</v>
      </c>
      <c r="F1527" s="1" t="s">
        <v>2732</v>
      </c>
      <c r="G1527" s="3">
        <f t="shared" si="56"/>
        <v>32249.33</v>
      </c>
      <c r="H1527" s="4">
        <v>0</v>
      </c>
    </row>
    <row r="1528" spans="1:8">
      <c r="A1528" s="1" t="s">
        <v>1578</v>
      </c>
      <c r="B1528" s="1" t="s">
        <v>15</v>
      </c>
      <c r="C1528" s="1" t="s">
        <v>1670</v>
      </c>
      <c r="D1528" s="3">
        <v>26783.05</v>
      </c>
      <c r="E1528" s="3">
        <v>12788066.67</v>
      </c>
      <c r="F1528" s="1" t="s">
        <v>2732</v>
      </c>
      <c r="G1528" s="3">
        <f t="shared" si="56"/>
        <v>26783.05</v>
      </c>
      <c r="H1528" s="4">
        <v>0</v>
      </c>
    </row>
    <row r="1529" spans="1:8">
      <c r="A1529" s="1" t="s">
        <v>1578</v>
      </c>
      <c r="B1529" s="1" t="s">
        <v>15</v>
      </c>
      <c r="C1529" s="1" t="s">
        <v>1671</v>
      </c>
      <c r="D1529" s="3">
        <v>35464.519999999997</v>
      </c>
      <c r="E1529" s="3">
        <v>12823531.189999999</v>
      </c>
      <c r="F1529" s="1" t="s">
        <v>2732</v>
      </c>
      <c r="G1529" s="3">
        <f t="shared" si="56"/>
        <v>35464.519999999997</v>
      </c>
      <c r="H1529" s="4">
        <v>0</v>
      </c>
    </row>
    <row r="1530" spans="1:8">
      <c r="A1530" s="1" t="s">
        <v>1578</v>
      </c>
      <c r="B1530" s="1" t="s">
        <v>15</v>
      </c>
      <c r="C1530" s="1" t="s">
        <v>1672</v>
      </c>
      <c r="D1530" s="3">
        <v>22105.98</v>
      </c>
      <c r="E1530" s="3">
        <v>12845637.17</v>
      </c>
      <c r="F1530" s="1" t="s">
        <v>2732</v>
      </c>
      <c r="G1530" s="3">
        <f t="shared" si="56"/>
        <v>22105.98</v>
      </c>
      <c r="H1530" s="4">
        <v>0</v>
      </c>
    </row>
    <row r="1531" spans="1:8">
      <c r="A1531" s="1" t="s">
        <v>1578</v>
      </c>
      <c r="B1531" s="1" t="s">
        <v>15</v>
      </c>
      <c r="C1531" s="1" t="s">
        <v>1673</v>
      </c>
      <c r="D1531" s="3">
        <v>37485.699999999997</v>
      </c>
      <c r="E1531" s="3">
        <v>12883122.869999999</v>
      </c>
      <c r="F1531" s="1" t="s">
        <v>2732</v>
      </c>
      <c r="G1531" s="3">
        <f t="shared" si="56"/>
        <v>37485.699999999997</v>
      </c>
      <c r="H1531" s="4">
        <v>0</v>
      </c>
    </row>
    <row r="1532" spans="1:8">
      <c r="A1532" s="1" t="s">
        <v>1578</v>
      </c>
      <c r="B1532" s="1" t="s">
        <v>15</v>
      </c>
      <c r="C1532" s="1" t="s">
        <v>1674</v>
      </c>
      <c r="D1532" s="3">
        <v>35074.800000000003</v>
      </c>
      <c r="E1532" s="3">
        <v>12918197.67</v>
      </c>
      <c r="F1532" s="1" t="s">
        <v>2732</v>
      </c>
      <c r="G1532" s="3">
        <f t="shared" si="56"/>
        <v>35074.800000000003</v>
      </c>
      <c r="H1532" s="4">
        <v>0</v>
      </c>
    </row>
    <row r="1533" spans="1:8">
      <c r="A1533" s="1" t="s">
        <v>1578</v>
      </c>
      <c r="B1533" s="1" t="s">
        <v>1675</v>
      </c>
      <c r="C1533" s="1" t="s">
        <v>1676</v>
      </c>
      <c r="D1533" s="3">
        <v>3524.4</v>
      </c>
      <c r="E1533" s="3">
        <v>12921722.07</v>
      </c>
      <c r="F1533" s="2" t="s">
        <v>2732</v>
      </c>
      <c r="G1533" s="3">
        <f t="shared" si="56"/>
        <v>3524.4</v>
      </c>
      <c r="H1533" s="4">
        <v>0</v>
      </c>
    </row>
    <row r="1534" spans="1:8">
      <c r="A1534" s="1" t="s">
        <v>1578</v>
      </c>
      <c r="B1534" s="1" t="s">
        <v>15</v>
      </c>
      <c r="C1534" s="1" t="s">
        <v>1677</v>
      </c>
      <c r="D1534" s="3">
        <v>34197.93</v>
      </c>
      <c r="E1534" s="3">
        <v>12955920</v>
      </c>
      <c r="F1534" s="1" t="s">
        <v>2732</v>
      </c>
      <c r="G1534" s="3">
        <f t="shared" si="56"/>
        <v>34197.93</v>
      </c>
      <c r="H1534" s="4">
        <v>0</v>
      </c>
    </row>
    <row r="1535" spans="1:8">
      <c r="A1535" s="1" t="s">
        <v>1578</v>
      </c>
      <c r="B1535" s="1" t="s">
        <v>15</v>
      </c>
      <c r="C1535" s="1" t="s">
        <v>1678</v>
      </c>
      <c r="D1535" s="3">
        <v>73169.929999999993</v>
      </c>
      <c r="E1535" s="3">
        <v>13029089.93</v>
      </c>
      <c r="F1535" s="1" t="s">
        <v>2732</v>
      </c>
      <c r="G1535" s="3">
        <f t="shared" si="56"/>
        <v>73169.929999999993</v>
      </c>
      <c r="H1535" s="4">
        <v>0</v>
      </c>
    </row>
    <row r="1536" spans="1:8">
      <c r="A1536" s="1" t="s">
        <v>1578</v>
      </c>
      <c r="B1536" s="1" t="s">
        <v>1679</v>
      </c>
      <c r="C1536" s="1" t="s">
        <v>1680</v>
      </c>
      <c r="D1536" s="3">
        <v>7352.29</v>
      </c>
      <c r="E1536" s="3">
        <v>13036442.220000001</v>
      </c>
      <c r="F1536" s="2" t="s">
        <v>2732</v>
      </c>
      <c r="G1536" s="3">
        <f t="shared" si="56"/>
        <v>7352.29</v>
      </c>
      <c r="H1536" s="4">
        <v>0</v>
      </c>
    </row>
    <row r="1537" spans="1:8">
      <c r="A1537" s="1" t="s">
        <v>1578</v>
      </c>
      <c r="B1537" s="1" t="s">
        <v>15</v>
      </c>
      <c r="C1537" s="1" t="s">
        <v>1681</v>
      </c>
      <c r="D1537" s="3">
        <v>31413.34</v>
      </c>
      <c r="E1537" s="3">
        <v>13067855.560000001</v>
      </c>
      <c r="F1537" s="1" t="s">
        <v>2732</v>
      </c>
      <c r="G1537" s="3">
        <f t="shared" si="56"/>
        <v>31413.34</v>
      </c>
      <c r="H1537" s="4">
        <v>0</v>
      </c>
    </row>
    <row r="1538" spans="1:8">
      <c r="A1538" s="1" t="s">
        <v>1578</v>
      </c>
      <c r="B1538" s="1" t="s">
        <v>15</v>
      </c>
      <c r="C1538" s="1" t="s">
        <v>1682</v>
      </c>
      <c r="D1538" s="3">
        <v>51443.040000000001</v>
      </c>
      <c r="E1538" s="3">
        <v>13119298.6</v>
      </c>
      <c r="F1538" s="1" t="s">
        <v>2732</v>
      </c>
      <c r="G1538" s="3">
        <f t="shared" si="56"/>
        <v>51443.040000000001</v>
      </c>
      <c r="H1538" s="4">
        <v>0</v>
      </c>
    </row>
    <row r="1539" spans="1:8">
      <c r="A1539" s="1" t="s">
        <v>1683</v>
      </c>
      <c r="B1539" s="1" t="s">
        <v>15</v>
      </c>
      <c r="C1539" s="1" t="s">
        <v>1684</v>
      </c>
      <c r="D1539" s="3">
        <v>9743</v>
      </c>
      <c r="E1539" s="3">
        <v>13129041.6</v>
      </c>
      <c r="F1539" s="1" t="s">
        <v>2732</v>
      </c>
      <c r="G1539" s="3">
        <f t="shared" si="56"/>
        <v>9743</v>
      </c>
      <c r="H1539" s="4">
        <v>0</v>
      </c>
    </row>
    <row r="1540" spans="1:8">
      <c r="A1540" s="1" t="s">
        <v>1683</v>
      </c>
      <c r="B1540" s="1" t="s">
        <v>15</v>
      </c>
      <c r="C1540" s="1" t="s">
        <v>1685</v>
      </c>
      <c r="D1540" s="3">
        <v>8029.95</v>
      </c>
      <c r="E1540" s="3">
        <v>13137071.550000001</v>
      </c>
      <c r="F1540" s="1" t="s">
        <v>2732</v>
      </c>
      <c r="G1540" s="3">
        <f t="shared" si="56"/>
        <v>8029.95</v>
      </c>
      <c r="H1540" s="4">
        <v>0</v>
      </c>
    </row>
    <row r="1541" spans="1:8">
      <c r="A1541" s="1" t="s">
        <v>1683</v>
      </c>
      <c r="B1541" s="1" t="s">
        <v>15</v>
      </c>
      <c r="C1541" s="1" t="s">
        <v>1686</v>
      </c>
      <c r="D1541" s="3">
        <v>23578.06</v>
      </c>
      <c r="E1541" s="3">
        <v>13160649.609999999</v>
      </c>
      <c r="F1541" s="1" t="s">
        <v>2732</v>
      </c>
      <c r="G1541" s="3">
        <f t="shared" ref="G1541:G1560" si="57">+D1541</f>
        <v>23578.06</v>
      </c>
      <c r="H1541" s="4">
        <v>0</v>
      </c>
    </row>
    <row r="1542" spans="1:8">
      <c r="A1542" s="1" t="s">
        <v>1683</v>
      </c>
      <c r="B1542" s="1" t="s">
        <v>15</v>
      </c>
      <c r="C1542" s="1" t="s">
        <v>1687</v>
      </c>
      <c r="D1542" s="3">
        <v>95509.17</v>
      </c>
      <c r="E1542" s="3">
        <v>13256158.779999999</v>
      </c>
      <c r="F1542" s="1" t="s">
        <v>2732</v>
      </c>
      <c r="G1542" s="3">
        <f t="shared" si="57"/>
        <v>95509.17</v>
      </c>
      <c r="H1542" s="4">
        <v>0</v>
      </c>
    </row>
    <row r="1543" spans="1:8">
      <c r="A1543" s="1" t="s">
        <v>1683</v>
      </c>
      <c r="B1543" s="1" t="s">
        <v>15</v>
      </c>
      <c r="C1543" s="1" t="s">
        <v>1688</v>
      </c>
      <c r="D1543" s="3">
        <v>26403.53</v>
      </c>
      <c r="E1543" s="3">
        <v>13282562.310000001</v>
      </c>
      <c r="F1543" s="1" t="s">
        <v>2732</v>
      </c>
      <c r="G1543" s="3">
        <f t="shared" si="57"/>
        <v>26403.53</v>
      </c>
      <c r="H1543" s="4">
        <v>0</v>
      </c>
    </row>
    <row r="1544" spans="1:8">
      <c r="A1544" s="1" t="s">
        <v>1683</v>
      </c>
      <c r="B1544" s="1" t="s">
        <v>15</v>
      </c>
      <c r="C1544" s="1" t="s">
        <v>1689</v>
      </c>
      <c r="D1544" s="3">
        <v>25317.96</v>
      </c>
      <c r="E1544" s="3">
        <v>13307880.27</v>
      </c>
      <c r="F1544" s="1" t="s">
        <v>2732</v>
      </c>
      <c r="G1544" s="3">
        <f t="shared" si="57"/>
        <v>25317.96</v>
      </c>
      <c r="H1544" s="4">
        <v>0</v>
      </c>
    </row>
    <row r="1545" spans="1:8">
      <c r="A1545" s="1" t="s">
        <v>1683</v>
      </c>
      <c r="B1545" s="1" t="s">
        <v>15</v>
      </c>
      <c r="C1545" s="1" t="s">
        <v>1690</v>
      </c>
      <c r="D1545" s="3">
        <v>48325.279999999999</v>
      </c>
      <c r="E1545" s="3">
        <v>13356205.550000001</v>
      </c>
      <c r="F1545" s="1" t="s">
        <v>2732</v>
      </c>
      <c r="G1545" s="3">
        <f t="shared" si="57"/>
        <v>48325.279999999999</v>
      </c>
      <c r="H1545" s="4">
        <v>0</v>
      </c>
    </row>
    <row r="1546" spans="1:8">
      <c r="A1546" s="1" t="s">
        <v>1683</v>
      </c>
      <c r="B1546" s="1" t="s">
        <v>15</v>
      </c>
      <c r="C1546" s="1" t="s">
        <v>1691</v>
      </c>
      <c r="D1546" s="3">
        <v>62539.14</v>
      </c>
      <c r="E1546" s="3">
        <v>13418744.689999999</v>
      </c>
      <c r="F1546" s="1" t="s">
        <v>2732</v>
      </c>
      <c r="G1546" s="3">
        <f t="shared" si="57"/>
        <v>62539.14</v>
      </c>
      <c r="H1546" s="4">
        <v>0</v>
      </c>
    </row>
    <row r="1547" spans="1:8">
      <c r="A1547" s="1" t="s">
        <v>1683</v>
      </c>
      <c r="B1547" s="1" t="s">
        <v>15</v>
      </c>
      <c r="C1547" s="1" t="s">
        <v>1692</v>
      </c>
      <c r="D1547" s="3">
        <v>9447</v>
      </c>
      <c r="E1547" s="3">
        <v>13428191.689999999</v>
      </c>
      <c r="F1547" s="1" t="s">
        <v>2732</v>
      </c>
      <c r="G1547" s="3">
        <f t="shared" si="57"/>
        <v>9447</v>
      </c>
      <c r="H1547" s="4">
        <v>0</v>
      </c>
    </row>
    <row r="1548" spans="1:8">
      <c r="A1548" s="1" t="s">
        <v>1683</v>
      </c>
      <c r="B1548" s="1" t="s">
        <v>15</v>
      </c>
      <c r="C1548" s="1" t="s">
        <v>1693</v>
      </c>
      <c r="D1548" s="3">
        <v>30593.02</v>
      </c>
      <c r="E1548" s="3">
        <v>13458784.710000001</v>
      </c>
      <c r="F1548" s="1" t="s">
        <v>2732</v>
      </c>
      <c r="G1548" s="3">
        <f t="shared" si="57"/>
        <v>30593.02</v>
      </c>
      <c r="H1548" s="4">
        <v>0</v>
      </c>
    </row>
    <row r="1549" spans="1:8">
      <c r="A1549" s="1" t="s">
        <v>1683</v>
      </c>
      <c r="B1549" s="1" t="s">
        <v>15</v>
      </c>
      <c r="C1549" s="1" t="s">
        <v>1694</v>
      </c>
      <c r="D1549" s="3">
        <v>83417.009999999995</v>
      </c>
      <c r="E1549" s="3">
        <v>13542201.720000001</v>
      </c>
      <c r="F1549" s="1" t="s">
        <v>2732</v>
      </c>
      <c r="G1549" s="3">
        <f t="shared" si="57"/>
        <v>83417.009999999995</v>
      </c>
      <c r="H1549" s="4">
        <v>0</v>
      </c>
    </row>
    <row r="1550" spans="1:8">
      <c r="A1550" s="1" t="s">
        <v>1683</v>
      </c>
      <c r="B1550" s="1" t="s">
        <v>15</v>
      </c>
      <c r="C1550" s="1" t="s">
        <v>1695</v>
      </c>
      <c r="D1550" s="3">
        <v>27767.55</v>
      </c>
      <c r="E1550" s="3">
        <v>13569969.27</v>
      </c>
      <c r="F1550" s="1" t="s">
        <v>2732</v>
      </c>
      <c r="G1550" s="3">
        <f t="shared" si="57"/>
        <v>27767.55</v>
      </c>
      <c r="H1550" s="4">
        <v>0</v>
      </c>
    </row>
    <row r="1551" spans="1:8">
      <c r="A1551" s="1" t="s">
        <v>1683</v>
      </c>
      <c r="B1551" s="1" t="s">
        <v>15</v>
      </c>
      <c r="C1551" s="1" t="s">
        <v>1696</v>
      </c>
      <c r="D1551" s="3">
        <v>10064.08</v>
      </c>
      <c r="E1551" s="3">
        <v>13580033.35</v>
      </c>
      <c r="F1551" s="1" t="s">
        <v>2732</v>
      </c>
      <c r="G1551" s="3">
        <f t="shared" si="57"/>
        <v>10064.08</v>
      </c>
      <c r="H1551" s="4">
        <v>0</v>
      </c>
    </row>
    <row r="1552" spans="1:8">
      <c r="A1552" s="1" t="s">
        <v>1683</v>
      </c>
      <c r="B1552" s="1" t="s">
        <v>15</v>
      </c>
      <c r="C1552" s="1" t="s">
        <v>1697</v>
      </c>
      <c r="D1552" s="3">
        <v>37705.410000000003</v>
      </c>
      <c r="E1552" s="3">
        <v>13617738.76</v>
      </c>
      <c r="F1552" s="1" t="s">
        <v>2732</v>
      </c>
      <c r="G1552" s="3">
        <f t="shared" si="57"/>
        <v>37705.410000000003</v>
      </c>
      <c r="H1552" s="4">
        <v>0</v>
      </c>
    </row>
    <row r="1553" spans="1:8">
      <c r="A1553" s="1" t="s">
        <v>1683</v>
      </c>
      <c r="B1553" s="1" t="s">
        <v>15</v>
      </c>
      <c r="C1553" s="1" t="s">
        <v>1698</v>
      </c>
      <c r="D1553" s="3">
        <v>48032.99</v>
      </c>
      <c r="E1553" s="3">
        <v>13665771.75</v>
      </c>
      <c r="F1553" s="1" t="s">
        <v>2732</v>
      </c>
      <c r="G1553" s="3">
        <f t="shared" si="57"/>
        <v>48032.99</v>
      </c>
      <c r="H1553" s="4">
        <v>0</v>
      </c>
    </row>
    <row r="1554" spans="1:8">
      <c r="A1554" s="1" t="s">
        <v>1683</v>
      </c>
      <c r="B1554" s="1" t="s">
        <v>1699</v>
      </c>
      <c r="C1554" s="1" t="s">
        <v>1700</v>
      </c>
      <c r="D1554" s="3">
        <v>2413.23</v>
      </c>
      <c r="E1554" s="3">
        <v>13668184.98</v>
      </c>
      <c r="F1554" s="2" t="s">
        <v>2732</v>
      </c>
      <c r="G1554" s="3">
        <f t="shared" si="57"/>
        <v>2413.23</v>
      </c>
      <c r="H1554" s="4">
        <v>0</v>
      </c>
    </row>
    <row r="1555" spans="1:8">
      <c r="A1555" s="1" t="s">
        <v>1683</v>
      </c>
      <c r="B1555" s="1" t="s">
        <v>15</v>
      </c>
      <c r="C1555" s="1" t="s">
        <v>1701</v>
      </c>
      <c r="D1555" s="3">
        <v>19156.689999999999</v>
      </c>
      <c r="E1555" s="3">
        <v>13687341.67</v>
      </c>
      <c r="F1555" s="1" t="s">
        <v>2732</v>
      </c>
      <c r="G1555" s="3">
        <f t="shared" si="57"/>
        <v>19156.689999999999</v>
      </c>
      <c r="H1555" s="4">
        <v>0</v>
      </c>
    </row>
    <row r="1556" spans="1:8">
      <c r="A1556" s="1" t="s">
        <v>1683</v>
      </c>
      <c r="B1556" s="1" t="s">
        <v>15</v>
      </c>
      <c r="C1556" s="1" t="s">
        <v>1702</v>
      </c>
      <c r="D1556" s="3">
        <v>9447</v>
      </c>
      <c r="E1556" s="3">
        <v>13696788.67</v>
      </c>
      <c r="F1556" s="1" t="s">
        <v>2732</v>
      </c>
      <c r="G1556" s="3">
        <f t="shared" si="57"/>
        <v>9447</v>
      </c>
      <c r="H1556" s="4">
        <v>0</v>
      </c>
    </row>
    <row r="1557" spans="1:8">
      <c r="A1557" s="1" t="s">
        <v>1683</v>
      </c>
      <c r="B1557" s="1" t="s">
        <v>15</v>
      </c>
      <c r="C1557" s="1" t="s">
        <v>1703</v>
      </c>
      <c r="D1557" s="3">
        <v>8768.7000000000007</v>
      </c>
      <c r="E1557" s="3">
        <v>13705557.369999999</v>
      </c>
      <c r="F1557" s="1" t="s">
        <v>2732</v>
      </c>
      <c r="G1557" s="3">
        <f t="shared" si="57"/>
        <v>8768.7000000000007</v>
      </c>
      <c r="H1557" s="4">
        <v>0</v>
      </c>
    </row>
    <row r="1558" spans="1:8">
      <c r="A1558" s="1" t="s">
        <v>1683</v>
      </c>
      <c r="B1558" s="1" t="s">
        <v>1704</v>
      </c>
      <c r="C1558" s="1" t="s">
        <v>1705</v>
      </c>
      <c r="D1558" s="2">
        <v>440.55</v>
      </c>
      <c r="E1558" s="3">
        <v>13705997.92</v>
      </c>
      <c r="F1558" s="2" t="s">
        <v>2732</v>
      </c>
      <c r="G1558" s="3">
        <f t="shared" si="57"/>
        <v>440.55</v>
      </c>
      <c r="H1558" s="4">
        <v>0</v>
      </c>
    </row>
    <row r="1559" spans="1:8">
      <c r="A1559" s="1" t="s">
        <v>1683</v>
      </c>
      <c r="B1559" s="1" t="s">
        <v>15</v>
      </c>
      <c r="C1559" s="1" t="s">
        <v>1706</v>
      </c>
      <c r="D1559" s="3">
        <v>22896.05</v>
      </c>
      <c r="E1559" s="3">
        <v>13728893.970000001</v>
      </c>
      <c r="F1559" s="1" t="s">
        <v>2732</v>
      </c>
      <c r="G1559" s="3">
        <f t="shared" si="57"/>
        <v>22896.05</v>
      </c>
      <c r="H1559" s="4">
        <v>0</v>
      </c>
    </row>
    <row r="1560" spans="1:8">
      <c r="A1560" s="1" t="s">
        <v>1683</v>
      </c>
      <c r="B1560" s="1" t="s">
        <v>15</v>
      </c>
      <c r="C1560" s="1" t="s">
        <v>1707</v>
      </c>
      <c r="D1560" s="3">
        <v>36049.1</v>
      </c>
      <c r="E1560" s="3">
        <v>13764943.07</v>
      </c>
      <c r="F1560" s="1" t="s">
        <v>2732</v>
      </c>
      <c r="G1560" s="3">
        <f t="shared" si="57"/>
        <v>36049.1</v>
      </c>
      <c r="H1560" s="4">
        <v>0</v>
      </c>
    </row>
    <row r="1561" spans="1:8">
      <c r="A1561" s="1" t="s">
        <v>1683</v>
      </c>
      <c r="B1561" s="1" t="s">
        <v>1710</v>
      </c>
      <c r="C1561" s="1" t="s">
        <v>1711</v>
      </c>
      <c r="D1561" s="3">
        <v>-259931.29</v>
      </c>
      <c r="E1561" s="3">
        <v>12520467.27</v>
      </c>
      <c r="F1561" s="1" t="s">
        <v>1742</v>
      </c>
      <c r="G1561" s="4">
        <f>+D1561/1.006</f>
        <v>-258381.00397614314</v>
      </c>
      <c r="H1561" s="4">
        <f>+D1561-G1561</f>
        <v>-1550.2860238568683</v>
      </c>
    </row>
    <row r="1562" spans="1:8">
      <c r="A1562" s="59" t="s">
        <v>1683</v>
      </c>
      <c r="B1562" s="59" t="s">
        <v>28</v>
      </c>
      <c r="C1562" s="59" t="s">
        <v>1712</v>
      </c>
      <c r="D1562" s="64">
        <v>-1569.01</v>
      </c>
      <c r="E1562" s="64">
        <v>12257396</v>
      </c>
      <c r="F1562" s="59"/>
      <c r="G1562" s="64">
        <f>+D1562</f>
        <v>-1569.01</v>
      </c>
      <c r="H1562" s="65"/>
    </row>
    <row r="1563" spans="1:8">
      <c r="A1563" s="1" t="s">
        <v>1683</v>
      </c>
      <c r="B1563" s="1" t="s">
        <v>29</v>
      </c>
      <c r="C1563" s="1" t="s">
        <v>1712</v>
      </c>
      <c r="D1563" s="3">
        <v>-261502.26</v>
      </c>
      <c r="E1563" s="3">
        <v>12258965.01</v>
      </c>
      <c r="G1563" s="4">
        <f t="shared" ref="G1563:G1570" si="58">+D1563/1.006</f>
        <v>-259942.60437375747</v>
      </c>
      <c r="H1563" s="4">
        <f t="shared" ref="H1563:H1570" si="59">+D1563-G1563</f>
        <v>-1559.6556262425438</v>
      </c>
    </row>
    <row r="1564" spans="1:8">
      <c r="A1564" s="1" t="s">
        <v>1683</v>
      </c>
      <c r="B1564" s="1" t="s">
        <v>81</v>
      </c>
      <c r="C1564" s="1" t="s">
        <v>1708</v>
      </c>
      <c r="D1564" s="3">
        <v>-46356.45</v>
      </c>
      <c r="E1564" s="3">
        <v>13718586.619999999</v>
      </c>
      <c r="F1564" s="1" t="s">
        <v>1736</v>
      </c>
      <c r="G1564" s="4">
        <f t="shared" si="58"/>
        <v>-46079.970178926436</v>
      </c>
      <c r="H1564" s="4">
        <f t="shared" si="59"/>
        <v>-276.47982107356074</v>
      </c>
    </row>
    <row r="1565" spans="1:8">
      <c r="A1565" s="1" t="s">
        <v>1683</v>
      </c>
      <c r="B1565" s="1" t="s">
        <v>916</v>
      </c>
      <c r="C1565" s="1" t="s">
        <v>1709</v>
      </c>
      <c r="D1565" s="3">
        <v>-938188.06</v>
      </c>
      <c r="E1565" s="3">
        <v>12780398.560000001</v>
      </c>
      <c r="G1565" s="4">
        <f t="shared" si="58"/>
        <v>-932592.50497017894</v>
      </c>
      <c r="H1565" s="4">
        <f t="shared" si="59"/>
        <v>-5595.5550298211165</v>
      </c>
    </row>
    <row r="1566" spans="1:8">
      <c r="A1566" s="1" t="s">
        <v>1713</v>
      </c>
      <c r="B1566" s="1" t="s">
        <v>189</v>
      </c>
      <c r="C1566" s="1" t="s">
        <v>1718</v>
      </c>
      <c r="D1566" s="3">
        <v>-71540.38</v>
      </c>
      <c r="E1566" s="3">
        <v>10882608.51</v>
      </c>
      <c r="G1566" s="4">
        <f t="shared" si="58"/>
        <v>-71113.697813121282</v>
      </c>
      <c r="H1566" s="4">
        <f t="shared" si="59"/>
        <v>-426.68218687872286</v>
      </c>
    </row>
    <row r="1567" spans="1:8">
      <c r="A1567" s="1" t="s">
        <v>1713</v>
      </c>
      <c r="B1567" s="1" t="s">
        <v>38</v>
      </c>
      <c r="C1567" s="1" t="s">
        <v>1717</v>
      </c>
      <c r="D1567" s="3">
        <v>-694305.25</v>
      </c>
      <c r="E1567" s="3">
        <v>10954148.890000001</v>
      </c>
      <c r="G1567" s="4">
        <f t="shared" si="58"/>
        <v>-690164.26441351883</v>
      </c>
      <c r="H1567" s="4">
        <f t="shared" si="59"/>
        <v>-4140.9855864811689</v>
      </c>
    </row>
    <row r="1568" spans="1:8">
      <c r="A1568" s="1" t="s">
        <v>1713</v>
      </c>
      <c r="B1568" s="1" t="s">
        <v>47</v>
      </c>
      <c r="C1568" s="1" t="s">
        <v>1714</v>
      </c>
      <c r="D1568" s="3">
        <v>-182649.36</v>
      </c>
      <c r="E1568" s="3">
        <v>12074746.640000001</v>
      </c>
      <c r="G1568" s="4">
        <f t="shared" si="58"/>
        <v>-181559.99999999997</v>
      </c>
      <c r="H1568" s="4">
        <f t="shared" si="59"/>
        <v>-1089.3600000000151</v>
      </c>
    </row>
    <row r="1569" spans="1:8">
      <c r="A1569" s="1" t="s">
        <v>1713</v>
      </c>
      <c r="B1569" s="1" t="s">
        <v>47</v>
      </c>
      <c r="C1569" s="1" t="s">
        <v>1715</v>
      </c>
      <c r="D1569" s="3">
        <v>-209826.45</v>
      </c>
      <c r="E1569" s="3">
        <v>11864920.189999999</v>
      </c>
      <c r="G1569" s="4">
        <f t="shared" si="58"/>
        <v>-208575</v>
      </c>
      <c r="H1569" s="4">
        <f t="shared" si="59"/>
        <v>-1251.4500000000116</v>
      </c>
    </row>
    <row r="1570" spans="1:8">
      <c r="A1570" s="1" t="s">
        <v>1713</v>
      </c>
      <c r="B1570" s="1" t="s">
        <v>31</v>
      </c>
      <c r="C1570" s="1" t="s">
        <v>1716</v>
      </c>
      <c r="D1570" s="3">
        <v>-216466.05</v>
      </c>
      <c r="E1570" s="3">
        <v>11648454.140000001</v>
      </c>
      <c r="G1570" s="4">
        <f t="shared" si="58"/>
        <v>-215175</v>
      </c>
      <c r="H1570" s="4">
        <f t="shared" si="59"/>
        <v>-1291.0499999999884</v>
      </c>
    </row>
    <row r="1572" spans="1:8">
      <c r="C1572" s="1" t="s">
        <v>2733</v>
      </c>
      <c r="D1572" s="7">
        <f>SUBTOTAL(9,D5:D1571)</f>
        <v>-2007168.5799999852</v>
      </c>
      <c r="F1572" s="4"/>
      <c r="G1572" s="7">
        <f>SUBTOTAL(9,G5:G1571)</f>
        <v>-1804805.9575745412</v>
      </c>
      <c r="H1572" s="7">
        <f>SUBTOTAL(9,H5:H1571)</f>
        <v>-202362.62242544728</v>
      </c>
    </row>
    <row r="1573" spans="1:8">
      <c r="C1573" s="1" t="s">
        <v>2734</v>
      </c>
      <c r="D1573" s="67" t="str">
        <f>+A2</f>
        <v>12.889.777,09</v>
      </c>
      <c r="F1573" s="4"/>
      <c r="G1573" s="67" t="str">
        <f>+A2</f>
        <v>12.889.777,09</v>
      </c>
    </row>
    <row r="1574" spans="1:8">
      <c r="C1574" s="1" t="s">
        <v>2735</v>
      </c>
      <c r="D1574" s="9">
        <f>+D1572+D1573</f>
        <v>10882608.510000015</v>
      </c>
      <c r="F1574" s="4"/>
      <c r="G1574" s="9">
        <f>+G1572+G1573</f>
        <v>11084971.132425459</v>
      </c>
    </row>
    <row r="1575" spans="1:8">
      <c r="F1575" s="4"/>
      <c r="G1575" s="7">
        <f>+G1574-D1574</f>
        <v>202362.62242544442</v>
      </c>
      <c r="H1575" s="4" t="s">
        <v>2736</v>
      </c>
    </row>
    <row r="1576" spans="1:8">
      <c r="F1576" s="4"/>
      <c r="G1576" s="7">
        <f>+IDC!H1540</f>
        <v>202925.7140599995</v>
      </c>
      <c r="H1576" s="4" t="s">
        <v>2737</v>
      </c>
    </row>
    <row r="1577" spans="1:8">
      <c r="F1577" s="4"/>
      <c r="G1577" s="18">
        <f>+G1575-G1576</f>
        <v>-563.09163455507951</v>
      </c>
      <c r="H1577" s="68" t="s">
        <v>2738</v>
      </c>
    </row>
    <row r="1578" spans="1:8">
      <c r="F1578" s="4"/>
      <c r="G1578" s="18">
        <f>+G1577/0.006</f>
        <v>-93848.605759179918</v>
      </c>
      <c r="H1578" s="68" t="s">
        <v>2739</v>
      </c>
    </row>
  </sheetData>
  <autoFilter ref="A4:H1570">
    <sortState ref="A5:H1570">
      <sortCondition ref="A4:A1570"/>
    </sortState>
  </autoFilter>
  <sortState ref="A1413:H1570">
    <sortCondition sortBy="fontColor" ref="A1413:A1570" dxfId="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L168"/>
  <sheetViews>
    <sheetView zoomScale="90" zoomScaleNormal="90" workbookViewId="0">
      <selection activeCell="H13" sqref="H13"/>
    </sheetView>
  </sheetViews>
  <sheetFormatPr baseColWidth="10" defaultRowHeight="15"/>
  <cols>
    <col min="1" max="1" width="59.28515625" customWidth="1"/>
    <col min="2" max="2" width="14.85546875" customWidth="1"/>
    <col min="3" max="3" width="12" bestFit="1" customWidth="1"/>
    <col min="4" max="4" width="8.7109375" customWidth="1"/>
    <col min="5" max="5" width="13.85546875" customWidth="1"/>
    <col min="6" max="6" width="12" customWidth="1"/>
    <col min="7" max="7" width="14.85546875" style="4" bestFit="1" customWidth="1"/>
    <col min="8" max="8" width="6.42578125" customWidth="1"/>
    <col min="10" max="10" width="19.5703125" bestFit="1" customWidth="1"/>
    <col min="11" max="11" width="14.85546875" bestFit="1" customWidth="1"/>
  </cols>
  <sheetData>
    <row r="3" spans="1:12">
      <c r="A3" s="125" t="s">
        <v>2793</v>
      </c>
      <c r="B3" s="125" t="s">
        <v>2794</v>
      </c>
    </row>
    <row r="4" spans="1:12">
      <c r="A4" s="125" t="s">
        <v>1719</v>
      </c>
      <c r="B4" s="86" t="s">
        <v>2752</v>
      </c>
      <c r="C4" s="86" t="s">
        <v>2750</v>
      </c>
      <c r="D4" s="86" t="s">
        <v>2747</v>
      </c>
      <c r="E4" s="86" t="s">
        <v>2751</v>
      </c>
      <c r="F4" s="86" t="s">
        <v>2753</v>
      </c>
      <c r="G4" s="4" t="s">
        <v>1720</v>
      </c>
    </row>
    <row r="5" spans="1:12">
      <c r="A5" s="127" t="s">
        <v>1263</v>
      </c>
      <c r="B5" s="128"/>
      <c r="C5" s="128"/>
      <c r="D5" s="128"/>
      <c r="E5" s="128">
        <v>-177997.99204771372</v>
      </c>
      <c r="F5" s="128"/>
      <c r="G5" s="68">
        <v>-177997.99204771372</v>
      </c>
      <c r="H5" t="s">
        <v>2796</v>
      </c>
      <c r="I5" s="86" t="s">
        <v>2801</v>
      </c>
    </row>
    <row r="6" spans="1:12">
      <c r="A6" s="127" t="s">
        <v>920</v>
      </c>
      <c r="B6" s="128"/>
      <c r="C6" s="128"/>
      <c r="D6" s="128"/>
      <c r="E6" s="128">
        <v>-103014</v>
      </c>
      <c r="F6" s="128"/>
      <c r="G6" s="68">
        <v>-103014</v>
      </c>
      <c r="H6" t="s">
        <v>2796</v>
      </c>
      <c r="I6" s="86" t="s">
        <v>2799</v>
      </c>
    </row>
    <row r="7" spans="1:12">
      <c r="A7" s="127" t="s">
        <v>1083</v>
      </c>
      <c r="B7" s="128"/>
      <c r="C7" s="128"/>
      <c r="D7" s="128"/>
      <c r="E7" s="128">
        <v>-438222.00795228628</v>
      </c>
      <c r="F7" s="128"/>
      <c r="G7" s="68">
        <v>-438222.00795228628</v>
      </c>
      <c r="H7" t="s">
        <v>2796</v>
      </c>
      <c r="I7" s="86" t="s">
        <v>2800</v>
      </c>
    </row>
    <row r="8" spans="1:12">
      <c r="A8" s="127" t="s">
        <v>1301</v>
      </c>
      <c r="B8" s="128"/>
      <c r="C8" s="128"/>
      <c r="D8" s="128"/>
      <c r="E8" s="128">
        <v>-249860.59642147119</v>
      </c>
      <c r="F8" s="128"/>
      <c r="G8" s="68">
        <v>-249860.59642147119</v>
      </c>
      <c r="H8" t="s">
        <v>2796</v>
      </c>
      <c r="I8" s="86" t="s">
        <v>2802</v>
      </c>
    </row>
    <row r="9" spans="1:12">
      <c r="A9" s="127" t="s">
        <v>660</v>
      </c>
      <c r="B9" s="128"/>
      <c r="C9" s="128"/>
      <c r="D9" s="128"/>
      <c r="E9" s="128">
        <v>-37003.00198807157</v>
      </c>
      <c r="F9" s="128"/>
      <c r="G9" s="68">
        <v>-37003.00198807157</v>
      </c>
      <c r="H9" t="s">
        <v>2796</v>
      </c>
      <c r="I9" t="s">
        <v>2798</v>
      </c>
    </row>
    <row r="10" spans="1:12">
      <c r="A10" s="127" t="s">
        <v>1710</v>
      </c>
      <c r="B10" s="128"/>
      <c r="C10" s="128"/>
      <c r="D10" s="128"/>
      <c r="E10" s="128">
        <v>-258381</v>
      </c>
      <c r="F10" s="128"/>
      <c r="G10" s="68">
        <v>-258381</v>
      </c>
      <c r="H10" t="s">
        <v>2796</v>
      </c>
      <c r="I10" s="86" t="s">
        <v>2803</v>
      </c>
    </row>
    <row r="11" spans="1:12">
      <c r="A11" s="136" t="s">
        <v>553</v>
      </c>
      <c r="B11" s="137"/>
      <c r="C11" s="137"/>
      <c r="D11" s="137"/>
      <c r="E11" s="137">
        <v>-25111.789264413517</v>
      </c>
      <c r="F11" s="137"/>
      <c r="G11" s="103">
        <v>-25111.789264413517</v>
      </c>
    </row>
    <row r="12" spans="1:12">
      <c r="A12" s="136" t="s">
        <v>28</v>
      </c>
      <c r="B12" s="137"/>
      <c r="C12" s="137"/>
      <c r="D12" s="137">
        <v>-94412.799999999988</v>
      </c>
      <c r="E12" s="137"/>
      <c r="F12" s="137"/>
      <c r="G12" s="103">
        <v>-94412.799999999988</v>
      </c>
      <c r="I12" s="12" t="s">
        <v>1733</v>
      </c>
      <c r="J12" s="86" t="s">
        <v>1722</v>
      </c>
      <c r="K12" s="27">
        <f>SUM(G13:G14,G43:G167)</f>
        <v>33348335.990000002</v>
      </c>
      <c r="L12" t="s">
        <v>2797</v>
      </c>
    </row>
    <row r="13" spans="1:12">
      <c r="A13" s="129" t="s">
        <v>15</v>
      </c>
      <c r="B13" s="130"/>
      <c r="C13" s="130">
        <v>33176795.990000002</v>
      </c>
      <c r="D13" s="130"/>
      <c r="E13" s="130"/>
      <c r="F13" s="130"/>
      <c r="G13" s="27">
        <v>33176795.990000002</v>
      </c>
      <c r="I13" s="13" t="s">
        <v>1731</v>
      </c>
      <c r="J13" s="86" t="s">
        <v>1723</v>
      </c>
      <c r="K13" s="28">
        <f>SUM(G15:G16,G18:G37,G39:G42)</f>
        <v>-28998365.032584492</v>
      </c>
      <c r="L13" s="86" t="s">
        <v>2797</v>
      </c>
    </row>
    <row r="14" spans="1:12">
      <c r="A14" s="129" t="s">
        <v>307</v>
      </c>
      <c r="B14" s="130"/>
      <c r="C14" s="130">
        <v>-80000</v>
      </c>
      <c r="D14" s="130"/>
      <c r="E14" s="130"/>
      <c r="F14" s="130"/>
      <c r="G14" s="27">
        <v>-80000</v>
      </c>
      <c r="I14" s="14"/>
      <c r="J14" s="86" t="s">
        <v>1724</v>
      </c>
      <c r="K14" s="4"/>
    </row>
    <row r="15" spans="1:12">
      <c r="A15" s="140" t="s">
        <v>49</v>
      </c>
      <c r="B15" s="141"/>
      <c r="C15" s="141"/>
      <c r="D15" s="141"/>
      <c r="E15" s="141">
        <v>-1478835.7799999998</v>
      </c>
      <c r="F15" s="141"/>
      <c r="G15" s="28">
        <v>-1478835.7799999998</v>
      </c>
      <c r="H15" t="s">
        <v>2796</v>
      </c>
      <c r="I15" s="15"/>
      <c r="J15" s="86" t="s">
        <v>2795</v>
      </c>
      <c r="K15" s="29">
        <f>SUM(GETPIVOTDATA("MOV TOTAL",$A$3,"TRANSACTION_TYPE","Pago de servicios ARCA"))</f>
        <v>-3527997.9920477136</v>
      </c>
      <c r="L15" t="s">
        <v>2797</v>
      </c>
    </row>
    <row r="16" spans="1:12">
      <c r="A16" s="140" t="s">
        <v>29</v>
      </c>
      <c r="B16" s="141"/>
      <c r="C16" s="141"/>
      <c r="D16" s="141"/>
      <c r="E16" s="141">
        <v>-1246696.83</v>
      </c>
      <c r="F16" s="141"/>
      <c r="G16" s="28">
        <v>-1246696.83</v>
      </c>
      <c r="H16" t="s">
        <v>2796</v>
      </c>
      <c r="I16" s="16"/>
      <c r="J16" s="86" t="s">
        <v>1726</v>
      </c>
      <c r="K16" s="4"/>
    </row>
    <row r="17" spans="1:12">
      <c r="A17" s="131" t="s">
        <v>189</v>
      </c>
      <c r="B17" s="132">
        <v>-3527997.9920477136</v>
      </c>
      <c r="C17" s="132"/>
      <c r="D17" s="132"/>
      <c r="E17" s="132"/>
      <c r="F17" s="132"/>
      <c r="G17" s="29">
        <v>-3527997.9920477136</v>
      </c>
      <c r="H17" t="s">
        <v>2796</v>
      </c>
      <c r="I17" s="23" t="s">
        <v>1731</v>
      </c>
      <c r="J17" s="86" t="s">
        <v>1727</v>
      </c>
      <c r="K17" s="4"/>
    </row>
    <row r="18" spans="1:12">
      <c r="A18" s="140" t="s">
        <v>81</v>
      </c>
      <c r="B18" s="141"/>
      <c r="C18" s="141"/>
      <c r="D18" s="141"/>
      <c r="E18" s="141">
        <v>-89279.950298210722</v>
      </c>
      <c r="F18" s="141"/>
      <c r="G18" s="28">
        <v>-89279.950298210722</v>
      </c>
      <c r="H18" t="s">
        <v>2796</v>
      </c>
      <c r="I18" s="24" t="s">
        <v>1732</v>
      </c>
      <c r="J18" s="86" t="s">
        <v>1728</v>
      </c>
      <c r="K18" s="30">
        <f>SUM(GETPIVOTDATA("MOV TOTAL",$A$3,"TRANSACTION_TYPE","Transferencia enviada NATALIA ELIZABETH BALBUENA"))</f>
        <v>-5000</v>
      </c>
      <c r="L18" s="86" t="s">
        <v>2797</v>
      </c>
    </row>
    <row r="19" spans="1:12">
      <c r="A19" s="140" t="s">
        <v>33</v>
      </c>
      <c r="B19" s="141"/>
      <c r="C19" s="141"/>
      <c r="D19" s="141"/>
      <c r="E19" s="141">
        <v>-168677.75</v>
      </c>
      <c r="F19" s="141"/>
      <c r="G19" s="28">
        <v>-168677.75</v>
      </c>
      <c r="H19" t="s">
        <v>2796</v>
      </c>
    </row>
    <row r="20" spans="1:12">
      <c r="A20" s="140" t="s">
        <v>36</v>
      </c>
      <c r="B20" s="141"/>
      <c r="C20" s="141"/>
      <c r="D20" s="141"/>
      <c r="E20" s="141">
        <v>-2035038.2000000002</v>
      </c>
      <c r="F20" s="141"/>
      <c r="G20" s="28">
        <v>-2035038.2000000002</v>
      </c>
      <c r="H20" t="s">
        <v>2796</v>
      </c>
    </row>
    <row r="21" spans="1:12">
      <c r="A21" s="140" t="s">
        <v>187</v>
      </c>
      <c r="B21" s="141"/>
      <c r="C21" s="141"/>
      <c r="D21" s="141"/>
      <c r="E21" s="141">
        <v>-433268.17</v>
      </c>
      <c r="F21" s="141"/>
      <c r="G21" s="28">
        <v>-433268.17</v>
      </c>
      <c r="H21" t="s">
        <v>2796</v>
      </c>
    </row>
    <row r="22" spans="1:12">
      <c r="A22" s="140" t="s">
        <v>486</v>
      </c>
      <c r="B22" s="141"/>
      <c r="C22" s="141"/>
      <c r="D22" s="141"/>
      <c r="E22" s="141">
        <v>-155963.28</v>
      </c>
      <c r="F22" s="141"/>
      <c r="G22" s="28">
        <v>-155963.28</v>
      </c>
      <c r="H22" t="s">
        <v>2796</v>
      </c>
    </row>
    <row r="23" spans="1:12">
      <c r="A23" s="140" t="s">
        <v>562</v>
      </c>
      <c r="B23" s="141"/>
      <c r="C23" s="141"/>
      <c r="D23" s="141"/>
      <c r="E23" s="141">
        <v>-162750</v>
      </c>
      <c r="F23" s="141"/>
      <c r="G23" s="28">
        <v>-162750</v>
      </c>
      <c r="H23" t="s">
        <v>2796</v>
      </c>
    </row>
    <row r="24" spans="1:12">
      <c r="A24" s="140" t="s">
        <v>26</v>
      </c>
      <c r="B24" s="141"/>
      <c r="C24" s="141"/>
      <c r="D24" s="141"/>
      <c r="E24" s="141">
        <v>-336346.37</v>
      </c>
      <c r="F24" s="141"/>
      <c r="G24" s="28">
        <v>-336346.37</v>
      </c>
      <c r="H24" t="s">
        <v>2796</v>
      </c>
    </row>
    <row r="25" spans="1:12">
      <c r="A25" s="133" t="s">
        <v>478</v>
      </c>
      <c r="B25" s="134"/>
      <c r="C25" s="134"/>
      <c r="D25" s="134"/>
      <c r="E25" s="134"/>
      <c r="F25" s="134">
        <v>-4672400</v>
      </c>
      <c r="G25" s="135">
        <v>-4672400</v>
      </c>
      <c r="H25" t="s">
        <v>2796</v>
      </c>
    </row>
    <row r="26" spans="1:12">
      <c r="A26" s="140" t="s">
        <v>1434</v>
      </c>
      <c r="B26" s="141"/>
      <c r="C26" s="141"/>
      <c r="D26" s="141"/>
      <c r="E26" s="141">
        <v>-233204.26</v>
      </c>
      <c r="F26" s="141"/>
      <c r="G26" s="28">
        <v>-233204.26</v>
      </c>
      <c r="H26" t="s">
        <v>2796</v>
      </c>
    </row>
    <row r="27" spans="1:12">
      <c r="A27" s="140" t="s">
        <v>38</v>
      </c>
      <c r="B27" s="141"/>
      <c r="C27" s="141"/>
      <c r="D27" s="141"/>
      <c r="E27" s="141">
        <v>-2849940.1988071571</v>
      </c>
      <c r="F27" s="141"/>
      <c r="G27" s="28">
        <v>-2849940.1988071571</v>
      </c>
      <c r="H27" t="s">
        <v>2796</v>
      </c>
    </row>
    <row r="28" spans="1:12">
      <c r="A28" s="140" t="s">
        <v>481</v>
      </c>
      <c r="B28" s="141"/>
      <c r="C28" s="141"/>
      <c r="D28" s="141"/>
      <c r="E28" s="141">
        <v>-261840.61</v>
      </c>
      <c r="F28" s="141"/>
      <c r="G28" s="28">
        <v>-261840.61</v>
      </c>
      <c r="H28" t="s">
        <v>2796</v>
      </c>
    </row>
    <row r="29" spans="1:12">
      <c r="A29" s="140" t="s">
        <v>24</v>
      </c>
      <c r="B29" s="141"/>
      <c r="C29" s="141"/>
      <c r="D29" s="141"/>
      <c r="E29" s="141">
        <v>-416444.19483101391</v>
      </c>
      <c r="F29" s="141"/>
      <c r="G29" s="28">
        <v>-416444.19483101391</v>
      </c>
      <c r="H29" t="s">
        <v>2796</v>
      </c>
    </row>
    <row r="30" spans="1:12">
      <c r="A30" s="140" t="s">
        <v>1074</v>
      </c>
      <c r="B30" s="141"/>
      <c r="C30" s="141"/>
      <c r="D30" s="141"/>
      <c r="E30" s="141">
        <v>-90750</v>
      </c>
      <c r="F30" s="141"/>
      <c r="G30" s="28">
        <v>-90750</v>
      </c>
      <c r="H30" t="s">
        <v>2796</v>
      </c>
    </row>
    <row r="31" spans="1:12">
      <c r="A31" s="140" t="s">
        <v>916</v>
      </c>
      <c r="B31" s="141"/>
      <c r="C31" s="141"/>
      <c r="D31" s="141"/>
      <c r="E31" s="141">
        <v>-2705257.5149105368</v>
      </c>
      <c r="F31" s="141"/>
      <c r="G31" s="28">
        <v>-2705257.5149105368</v>
      </c>
      <c r="H31" t="s">
        <v>2796</v>
      </c>
    </row>
    <row r="32" spans="1:12">
      <c r="A32" s="140" t="s">
        <v>933</v>
      </c>
      <c r="B32" s="141"/>
      <c r="C32" s="141"/>
      <c r="D32" s="141"/>
      <c r="E32" s="141">
        <v>-557501.44999999995</v>
      </c>
      <c r="F32" s="141"/>
      <c r="G32" s="28">
        <v>-557501.44999999995</v>
      </c>
      <c r="H32" t="s">
        <v>2796</v>
      </c>
    </row>
    <row r="33" spans="1:8">
      <c r="A33" s="140" t="s">
        <v>83</v>
      </c>
      <c r="B33" s="141"/>
      <c r="C33" s="141"/>
      <c r="D33" s="141"/>
      <c r="E33" s="141">
        <v>-1694321.7699999998</v>
      </c>
      <c r="F33" s="141"/>
      <c r="G33" s="28">
        <v>-1694321.7699999998</v>
      </c>
      <c r="H33" t="s">
        <v>2796</v>
      </c>
    </row>
    <row r="34" spans="1:8">
      <c r="A34" s="140" t="s">
        <v>40</v>
      </c>
      <c r="B34" s="141"/>
      <c r="C34" s="141"/>
      <c r="D34" s="141"/>
      <c r="E34" s="141">
        <v>-1430065</v>
      </c>
      <c r="F34" s="141"/>
      <c r="G34" s="28">
        <v>-1430065</v>
      </c>
      <c r="H34" t="s">
        <v>2796</v>
      </c>
    </row>
    <row r="35" spans="1:8">
      <c r="A35" s="140" t="s">
        <v>1283</v>
      </c>
      <c r="B35" s="141"/>
      <c r="C35" s="141"/>
      <c r="D35" s="141"/>
      <c r="E35" s="141">
        <v>-109250.0397614314</v>
      </c>
      <c r="F35" s="141"/>
      <c r="G35" s="28">
        <v>-109250.0397614314</v>
      </c>
      <c r="H35" t="s">
        <v>2796</v>
      </c>
    </row>
    <row r="36" spans="1:8">
      <c r="A36" s="140" t="s">
        <v>79</v>
      </c>
      <c r="B36" s="141"/>
      <c r="C36" s="141"/>
      <c r="D36" s="141"/>
      <c r="E36" s="141">
        <v>-2776020</v>
      </c>
      <c r="F36" s="141"/>
      <c r="G36" s="28">
        <v>-2776020</v>
      </c>
      <c r="H36" t="s">
        <v>2796</v>
      </c>
    </row>
    <row r="37" spans="1:8">
      <c r="A37" s="140" t="s">
        <v>47</v>
      </c>
      <c r="B37" s="141"/>
      <c r="C37" s="141"/>
      <c r="D37" s="141"/>
      <c r="E37" s="141">
        <v>-1645690</v>
      </c>
      <c r="F37" s="141"/>
      <c r="G37" s="28">
        <v>-1645690</v>
      </c>
      <c r="H37" t="s">
        <v>2796</v>
      </c>
    </row>
    <row r="38" spans="1:8">
      <c r="A38" s="138" t="s">
        <v>1295</v>
      </c>
      <c r="B38" s="139"/>
      <c r="C38" s="139"/>
      <c r="D38" s="139"/>
      <c r="E38" s="139">
        <v>-5000</v>
      </c>
      <c r="F38" s="139"/>
      <c r="G38" s="30">
        <v>-5000</v>
      </c>
      <c r="H38" t="s">
        <v>2796</v>
      </c>
    </row>
    <row r="39" spans="1:8">
      <c r="A39" s="140" t="s">
        <v>1081</v>
      </c>
      <c r="B39" s="141"/>
      <c r="C39" s="141"/>
      <c r="D39" s="141"/>
      <c r="E39" s="141">
        <v>-397247.6</v>
      </c>
      <c r="F39" s="141"/>
      <c r="G39" s="28">
        <v>-397247.6</v>
      </c>
      <c r="H39" t="s">
        <v>2796</v>
      </c>
    </row>
    <row r="40" spans="1:8">
      <c r="A40" s="140" t="s">
        <v>31</v>
      </c>
      <c r="B40" s="141"/>
      <c r="C40" s="141"/>
      <c r="D40" s="141"/>
      <c r="E40" s="141">
        <v>-779641.0039761432</v>
      </c>
      <c r="F40" s="141"/>
      <c r="G40" s="28">
        <v>-779641.0039761432</v>
      </c>
      <c r="H40" t="s">
        <v>2796</v>
      </c>
    </row>
    <row r="41" spans="1:8">
      <c r="A41" s="140" t="s">
        <v>42</v>
      </c>
      <c r="B41" s="141"/>
      <c r="C41" s="141"/>
      <c r="D41" s="141"/>
      <c r="E41" s="141">
        <v>-1109134.3099999998</v>
      </c>
      <c r="F41" s="141"/>
      <c r="G41" s="28">
        <v>-1109134.3099999998</v>
      </c>
      <c r="H41" t="s">
        <v>2796</v>
      </c>
    </row>
    <row r="42" spans="1:8">
      <c r="A42" s="140" t="s">
        <v>927</v>
      </c>
      <c r="B42" s="141"/>
      <c r="C42" s="141"/>
      <c r="D42" s="141"/>
      <c r="E42" s="141">
        <v>-1162800.75</v>
      </c>
      <c r="F42" s="141"/>
      <c r="G42" s="28">
        <v>-1162800.75</v>
      </c>
      <c r="H42" t="s">
        <v>2796</v>
      </c>
    </row>
    <row r="43" spans="1:8">
      <c r="A43" s="129" t="s">
        <v>705</v>
      </c>
      <c r="B43" s="130"/>
      <c r="C43" s="130">
        <v>3735</v>
      </c>
      <c r="D43" s="130"/>
      <c r="E43" s="130"/>
      <c r="F43" s="130"/>
      <c r="G43" s="27">
        <v>3735</v>
      </c>
    </row>
    <row r="44" spans="1:8">
      <c r="A44" s="129" t="s">
        <v>1462</v>
      </c>
      <c r="B44" s="130"/>
      <c r="C44" s="130">
        <v>1325.0000000000002</v>
      </c>
      <c r="D44" s="130"/>
      <c r="E44" s="130"/>
      <c r="F44" s="130"/>
      <c r="G44" s="27">
        <v>1325.0000000000002</v>
      </c>
    </row>
    <row r="45" spans="1:8">
      <c r="A45" s="129" t="s">
        <v>372</v>
      </c>
      <c r="B45" s="130"/>
      <c r="C45" s="130">
        <v>1839.9999999999998</v>
      </c>
      <c r="D45" s="130"/>
      <c r="E45" s="130"/>
      <c r="F45" s="130"/>
      <c r="G45" s="27">
        <v>1839.9999999999998</v>
      </c>
    </row>
    <row r="46" spans="1:8">
      <c r="A46" s="129" t="s">
        <v>109</v>
      </c>
      <c r="B46" s="130"/>
      <c r="C46" s="130">
        <v>4214.9999999999991</v>
      </c>
      <c r="D46" s="130"/>
      <c r="E46" s="130"/>
      <c r="F46" s="130"/>
      <c r="G46" s="27">
        <v>4214.9999999999991</v>
      </c>
    </row>
    <row r="47" spans="1:8">
      <c r="A47" s="129" t="s">
        <v>409</v>
      </c>
      <c r="B47" s="130"/>
      <c r="C47" s="130">
        <v>284.99999999999994</v>
      </c>
      <c r="D47" s="130"/>
      <c r="E47" s="130"/>
      <c r="F47" s="130"/>
      <c r="G47" s="27">
        <v>284.99999999999994</v>
      </c>
    </row>
    <row r="48" spans="1:8">
      <c r="A48" s="129" t="s">
        <v>385</v>
      </c>
      <c r="B48" s="130"/>
      <c r="C48" s="130">
        <v>3800</v>
      </c>
      <c r="D48" s="130"/>
      <c r="E48" s="130"/>
      <c r="F48" s="130"/>
      <c r="G48" s="27">
        <v>3800</v>
      </c>
    </row>
    <row r="49" spans="1:7">
      <c r="A49" s="129" t="s">
        <v>1154</v>
      </c>
      <c r="B49" s="130"/>
      <c r="C49" s="130">
        <v>655</v>
      </c>
      <c r="D49" s="130"/>
      <c r="E49" s="130"/>
      <c r="F49" s="130"/>
      <c r="G49" s="27">
        <v>655</v>
      </c>
    </row>
    <row r="50" spans="1:7">
      <c r="A50" s="129" t="s">
        <v>1617</v>
      </c>
      <c r="B50" s="130"/>
      <c r="C50" s="130">
        <v>850</v>
      </c>
      <c r="D50" s="130"/>
      <c r="E50" s="130"/>
      <c r="F50" s="130"/>
      <c r="G50" s="27">
        <v>850</v>
      </c>
    </row>
    <row r="51" spans="1:7">
      <c r="A51" s="129" t="s">
        <v>1184</v>
      </c>
      <c r="B51" s="130"/>
      <c r="C51" s="130">
        <v>2669</v>
      </c>
      <c r="D51" s="130"/>
      <c r="E51" s="130"/>
      <c r="F51" s="130"/>
      <c r="G51" s="27">
        <v>2669</v>
      </c>
    </row>
    <row r="52" spans="1:7">
      <c r="A52" s="129" t="s">
        <v>747</v>
      </c>
      <c r="B52" s="130"/>
      <c r="C52" s="130">
        <v>750</v>
      </c>
      <c r="D52" s="130"/>
      <c r="E52" s="130"/>
      <c r="F52" s="130"/>
      <c r="G52" s="27">
        <v>750</v>
      </c>
    </row>
    <row r="53" spans="1:7">
      <c r="A53" s="129" t="s">
        <v>653</v>
      </c>
      <c r="B53" s="130"/>
      <c r="C53" s="130">
        <v>214.99999999999997</v>
      </c>
      <c r="D53" s="130"/>
      <c r="E53" s="130"/>
      <c r="F53" s="130"/>
      <c r="G53" s="27">
        <v>214.99999999999997</v>
      </c>
    </row>
    <row r="54" spans="1:7">
      <c r="A54" s="129" t="s">
        <v>165</v>
      </c>
      <c r="B54" s="130"/>
      <c r="C54" s="130">
        <v>860</v>
      </c>
      <c r="D54" s="130"/>
      <c r="E54" s="130"/>
      <c r="F54" s="130"/>
      <c r="G54" s="27">
        <v>860</v>
      </c>
    </row>
    <row r="55" spans="1:7">
      <c r="A55" s="129" t="s">
        <v>1410</v>
      </c>
      <c r="B55" s="130"/>
      <c r="C55" s="130">
        <v>450</v>
      </c>
      <c r="D55" s="130"/>
      <c r="E55" s="130"/>
      <c r="F55" s="130"/>
      <c r="G55" s="27">
        <v>450</v>
      </c>
    </row>
    <row r="56" spans="1:7">
      <c r="A56" s="129" t="s">
        <v>1024</v>
      </c>
      <c r="B56" s="130"/>
      <c r="C56" s="130">
        <v>480</v>
      </c>
      <c r="D56" s="130"/>
      <c r="E56" s="130"/>
      <c r="F56" s="130"/>
      <c r="G56" s="27">
        <v>480</v>
      </c>
    </row>
    <row r="57" spans="1:7">
      <c r="A57" s="129" t="s">
        <v>88</v>
      </c>
      <c r="B57" s="130"/>
      <c r="C57" s="130">
        <v>214.99999999999997</v>
      </c>
      <c r="D57" s="130"/>
      <c r="E57" s="130"/>
      <c r="F57" s="130"/>
      <c r="G57" s="27">
        <v>214.99999999999997</v>
      </c>
    </row>
    <row r="58" spans="1:7">
      <c r="A58" s="129" t="s">
        <v>1361</v>
      </c>
      <c r="B58" s="130"/>
      <c r="C58" s="130">
        <v>270</v>
      </c>
      <c r="D58" s="130"/>
      <c r="E58" s="130"/>
      <c r="F58" s="130"/>
      <c r="G58" s="27">
        <v>270</v>
      </c>
    </row>
    <row r="59" spans="1:7">
      <c r="A59" s="129" t="s">
        <v>1704</v>
      </c>
      <c r="B59" s="130"/>
      <c r="C59" s="130">
        <v>450</v>
      </c>
      <c r="D59" s="130"/>
      <c r="E59" s="130"/>
      <c r="F59" s="130"/>
      <c r="G59" s="27">
        <v>450</v>
      </c>
    </row>
    <row r="60" spans="1:7">
      <c r="A60" s="129" t="s">
        <v>1652</v>
      </c>
      <c r="B60" s="130"/>
      <c r="C60" s="130">
        <v>265</v>
      </c>
      <c r="D60" s="130"/>
      <c r="E60" s="130"/>
      <c r="F60" s="130"/>
      <c r="G60" s="27">
        <v>265</v>
      </c>
    </row>
    <row r="61" spans="1:7">
      <c r="A61" s="129" t="s">
        <v>270</v>
      </c>
      <c r="B61" s="130"/>
      <c r="C61" s="130">
        <v>2380</v>
      </c>
      <c r="D61" s="130"/>
      <c r="E61" s="130"/>
      <c r="F61" s="130"/>
      <c r="G61" s="27">
        <v>2380</v>
      </c>
    </row>
    <row r="62" spans="1:7">
      <c r="A62" s="129" t="s">
        <v>357</v>
      </c>
      <c r="B62" s="130"/>
      <c r="C62" s="130">
        <v>214.99999999999997</v>
      </c>
      <c r="D62" s="130"/>
      <c r="E62" s="130"/>
      <c r="F62" s="130"/>
      <c r="G62" s="27">
        <v>214.99999999999997</v>
      </c>
    </row>
    <row r="63" spans="1:7">
      <c r="A63" s="129" t="s">
        <v>681</v>
      </c>
      <c r="B63" s="130"/>
      <c r="C63" s="130">
        <v>1950</v>
      </c>
      <c r="D63" s="130"/>
      <c r="E63" s="130"/>
      <c r="F63" s="130"/>
      <c r="G63" s="27">
        <v>1950</v>
      </c>
    </row>
    <row r="64" spans="1:7">
      <c r="A64" s="129" t="s">
        <v>789</v>
      </c>
      <c r="B64" s="130"/>
      <c r="C64" s="130">
        <v>1500</v>
      </c>
      <c r="D64" s="130"/>
      <c r="E64" s="130"/>
      <c r="F64" s="130"/>
      <c r="G64" s="27">
        <v>1500</v>
      </c>
    </row>
    <row r="65" spans="1:7">
      <c r="A65" s="129" t="s">
        <v>157</v>
      </c>
      <c r="B65" s="130"/>
      <c r="C65" s="130">
        <v>3005</v>
      </c>
      <c r="D65" s="130"/>
      <c r="E65" s="130"/>
      <c r="F65" s="130"/>
      <c r="G65" s="27">
        <v>3005</v>
      </c>
    </row>
    <row r="66" spans="1:7">
      <c r="A66" s="129" t="s">
        <v>843</v>
      </c>
      <c r="B66" s="130"/>
      <c r="C66" s="130">
        <v>530</v>
      </c>
      <c r="D66" s="130"/>
      <c r="E66" s="130"/>
      <c r="F66" s="130"/>
      <c r="G66" s="27">
        <v>530</v>
      </c>
    </row>
    <row r="67" spans="1:7">
      <c r="A67" s="129" t="s">
        <v>1113</v>
      </c>
      <c r="B67" s="130"/>
      <c r="C67" s="130">
        <v>95</v>
      </c>
      <c r="D67" s="130"/>
      <c r="E67" s="130"/>
      <c r="F67" s="130"/>
      <c r="G67" s="27">
        <v>95</v>
      </c>
    </row>
    <row r="68" spans="1:7">
      <c r="A68" s="129" t="s">
        <v>511</v>
      </c>
      <c r="B68" s="130"/>
      <c r="C68" s="130">
        <v>1444.0000000000002</v>
      </c>
      <c r="D68" s="130"/>
      <c r="E68" s="130"/>
      <c r="F68" s="130"/>
      <c r="G68" s="27">
        <v>1444.0000000000002</v>
      </c>
    </row>
    <row r="69" spans="1:7">
      <c r="A69" s="129" t="s">
        <v>863</v>
      </c>
      <c r="B69" s="130"/>
      <c r="C69" s="130">
        <v>2460.0000000000005</v>
      </c>
      <c r="D69" s="130"/>
      <c r="E69" s="130"/>
      <c r="F69" s="130"/>
      <c r="G69" s="27">
        <v>2460.0000000000005</v>
      </c>
    </row>
    <row r="70" spans="1:7">
      <c r="A70" s="129" t="s">
        <v>825</v>
      </c>
      <c r="B70" s="130"/>
      <c r="C70" s="130">
        <v>5070</v>
      </c>
      <c r="D70" s="130"/>
      <c r="E70" s="130"/>
      <c r="F70" s="130"/>
      <c r="G70" s="27">
        <v>5070</v>
      </c>
    </row>
    <row r="71" spans="1:7">
      <c r="A71" s="129" t="s">
        <v>684</v>
      </c>
      <c r="B71" s="130"/>
      <c r="C71" s="130">
        <v>1550</v>
      </c>
      <c r="D71" s="130"/>
      <c r="E71" s="130"/>
      <c r="F71" s="130"/>
      <c r="G71" s="27">
        <v>1550</v>
      </c>
    </row>
    <row r="72" spans="1:7">
      <c r="A72" s="129" t="s">
        <v>1564</v>
      </c>
      <c r="B72" s="130"/>
      <c r="C72" s="130">
        <v>225</v>
      </c>
      <c r="D72" s="130"/>
      <c r="E72" s="130"/>
      <c r="F72" s="130"/>
      <c r="G72" s="27">
        <v>225</v>
      </c>
    </row>
    <row r="73" spans="1:7">
      <c r="A73" s="129" t="s">
        <v>505</v>
      </c>
      <c r="B73" s="130"/>
      <c r="C73" s="130">
        <v>1470</v>
      </c>
      <c r="D73" s="130"/>
      <c r="E73" s="130"/>
      <c r="F73" s="130"/>
      <c r="G73" s="27">
        <v>1470</v>
      </c>
    </row>
    <row r="74" spans="1:7">
      <c r="A74" s="129" t="s">
        <v>1276</v>
      </c>
      <c r="B74" s="130"/>
      <c r="C74" s="130">
        <v>700</v>
      </c>
      <c r="D74" s="130"/>
      <c r="E74" s="130"/>
      <c r="F74" s="130"/>
      <c r="G74" s="27">
        <v>700</v>
      </c>
    </row>
    <row r="75" spans="1:7">
      <c r="A75" s="129" t="s">
        <v>726</v>
      </c>
      <c r="B75" s="130"/>
      <c r="C75" s="130">
        <v>2539.9999999999995</v>
      </c>
      <c r="D75" s="130"/>
      <c r="E75" s="130"/>
      <c r="F75" s="130"/>
      <c r="G75" s="27">
        <v>2539.9999999999995</v>
      </c>
    </row>
    <row r="76" spans="1:7">
      <c r="A76" s="129" t="s">
        <v>397</v>
      </c>
      <c r="B76" s="130"/>
      <c r="C76" s="130">
        <v>2140</v>
      </c>
      <c r="D76" s="130"/>
      <c r="E76" s="130"/>
      <c r="F76" s="130"/>
      <c r="G76" s="27">
        <v>2140</v>
      </c>
    </row>
    <row r="77" spans="1:7">
      <c r="A77" s="129" t="s">
        <v>1638</v>
      </c>
      <c r="B77" s="130"/>
      <c r="C77" s="130">
        <v>379.99999999999994</v>
      </c>
      <c r="D77" s="130"/>
      <c r="E77" s="130"/>
      <c r="F77" s="130"/>
      <c r="G77" s="27">
        <v>379.99999999999994</v>
      </c>
    </row>
    <row r="78" spans="1:7">
      <c r="A78" s="129" t="s">
        <v>1497</v>
      </c>
      <c r="B78" s="130"/>
      <c r="C78" s="130">
        <v>9435.0000000000018</v>
      </c>
      <c r="D78" s="130"/>
      <c r="E78" s="130"/>
      <c r="F78" s="130"/>
      <c r="G78" s="27">
        <v>9435.0000000000018</v>
      </c>
    </row>
    <row r="79" spans="1:7">
      <c r="A79" s="129" t="s">
        <v>859</v>
      </c>
      <c r="B79" s="130"/>
      <c r="C79" s="130">
        <v>1175</v>
      </c>
      <c r="D79" s="130"/>
      <c r="E79" s="130"/>
      <c r="F79" s="130"/>
      <c r="G79" s="27">
        <v>1175</v>
      </c>
    </row>
    <row r="80" spans="1:7">
      <c r="A80" s="129" t="s">
        <v>874</v>
      </c>
      <c r="B80" s="130"/>
      <c r="C80" s="130">
        <v>550</v>
      </c>
      <c r="D80" s="130"/>
      <c r="E80" s="130"/>
      <c r="F80" s="130"/>
      <c r="G80" s="27">
        <v>550</v>
      </c>
    </row>
    <row r="81" spans="1:7">
      <c r="A81" s="129" t="s">
        <v>1527</v>
      </c>
      <c r="B81" s="130"/>
      <c r="C81" s="130">
        <v>800</v>
      </c>
      <c r="D81" s="130"/>
      <c r="E81" s="130"/>
      <c r="F81" s="130"/>
      <c r="G81" s="27">
        <v>800</v>
      </c>
    </row>
    <row r="82" spans="1:7">
      <c r="A82" s="129" t="s">
        <v>68</v>
      </c>
      <c r="B82" s="130"/>
      <c r="C82" s="130">
        <v>1835</v>
      </c>
      <c r="D82" s="130"/>
      <c r="E82" s="130"/>
      <c r="F82" s="130"/>
      <c r="G82" s="27">
        <v>1835</v>
      </c>
    </row>
    <row r="83" spans="1:7">
      <c r="A83" s="129" t="s">
        <v>732</v>
      </c>
      <c r="B83" s="130"/>
      <c r="C83" s="130">
        <v>830.00000000000011</v>
      </c>
      <c r="D83" s="130"/>
      <c r="E83" s="130"/>
      <c r="F83" s="130"/>
      <c r="G83" s="27">
        <v>830.00000000000011</v>
      </c>
    </row>
    <row r="84" spans="1:7">
      <c r="A84" s="129" t="s">
        <v>1675</v>
      </c>
      <c r="B84" s="130"/>
      <c r="C84" s="130">
        <v>3600</v>
      </c>
      <c r="D84" s="130"/>
      <c r="E84" s="130"/>
      <c r="F84" s="130"/>
      <c r="G84" s="27">
        <v>3600</v>
      </c>
    </row>
    <row r="85" spans="1:7">
      <c r="A85" s="129" t="s">
        <v>1523</v>
      </c>
      <c r="B85" s="130"/>
      <c r="C85" s="130">
        <v>675</v>
      </c>
      <c r="D85" s="130"/>
      <c r="E85" s="130"/>
      <c r="F85" s="130"/>
      <c r="G85" s="27">
        <v>675</v>
      </c>
    </row>
    <row r="86" spans="1:7">
      <c r="A86" s="129" t="s">
        <v>55</v>
      </c>
      <c r="B86" s="130"/>
      <c r="C86" s="130">
        <v>1465</v>
      </c>
      <c r="D86" s="130"/>
      <c r="E86" s="130"/>
      <c r="F86" s="130"/>
      <c r="G86" s="27">
        <v>1465</v>
      </c>
    </row>
    <row r="87" spans="1:7">
      <c r="A87" s="129" t="s">
        <v>533</v>
      </c>
      <c r="B87" s="130"/>
      <c r="C87" s="130">
        <v>6499</v>
      </c>
      <c r="D87" s="130"/>
      <c r="E87" s="130"/>
      <c r="F87" s="130"/>
      <c r="G87" s="27">
        <v>6499</v>
      </c>
    </row>
    <row r="88" spans="1:7">
      <c r="A88" s="129" t="s">
        <v>345</v>
      </c>
      <c r="B88" s="130"/>
      <c r="C88" s="130">
        <v>11565</v>
      </c>
      <c r="D88" s="130"/>
      <c r="E88" s="130"/>
      <c r="F88" s="130"/>
      <c r="G88" s="27">
        <v>11565</v>
      </c>
    </row>
    <row r="89" spans="1:7">
      <c r="A89" s="129" t="s">
        <v>367</v>
      </c>
      <c r="B89" s="130"/>
      <c r="C89" s="130">
        <v>1675</v>
      </c>
      <c r="D89" s="130"/>
      <c r="E89" s="130"/>
      <c r="F89" s="130"/>
      <c r="G89" s="27">
        <v>1675</v>
      </c>
    </row>
    <row r="90" spans="1:7">
      <c r="A90" s="129" t="s">
        <v>1170</v>
      </c>
      <c r="B90" s="130"/>
      <c r="C90" s="130">
        <v>1910.0000000000002</v>
      </c>
      <c r="D90" s="130"/>
      <c r="E90" s="130"/>
      <c r="F90" s="130"/>
      <c r="G90" s="27">
        <v>1910.0000000000002</v>
      </c>
    </row>
    <row r="91" spans="1:7">
      <c r="A91" s="129" t="s">
        <v>1556</v>
      </c>
      <c r="B91" s="130"/>
      <c r="C91" s="130">
        <v>740.00000000000011</v>
      </c>
      <c r="D91" s="130"/>
      <c r="E91" s="130"/>
      <c r="F91" s="130"/>
      <c r="G91" s="27">
        <v>740.00000000000011</v>
      </c>
    </row>
    <row r="92" spans="1:7">
      <c r="A92" s="129" t="s">
        <v>208</v>
      </c>
      <c r="B92" s="130"/>
      <c r="C92" s="130">
        <v>350</v>
      </c>
      <c r="D92" s="130"/>
      <c r="E92" s="130"/>
      <c r="F92" s="130"/>
      <c r="G92" s="27">
        <v>350</v>
      </c>
    </row>
    <row r="93" spans="1:7">
      <c r="A93" s="129" t="s">
        <v>19</v>
      </c>
      <c r="B93" s="130"/>
      <c r="C93" s="130">
        <v>1460</v>
      </c>
      <c r="D93" s="130"/>
      <c r="E93" s="130"/>
      <c r="F93" s="130"/>
      <c r="G93" s="27">
        <v>1460</v>
      </c>
    </row>
    <row r="94" spans="1:7">
      <c r="A94" s="129" t="s">
        <v>663</v>
      </c>
      <c r="B94" s="130"/>
      <c r="C94" s="130">
        <v>645</v>
      </c>
      <c r="D94" s="130"/>
      <c r="E94" s="130"/>
      <c r="F94" s="130"/>
      <c r="G94" s="27">
        <v>645</v>
      </c>
    </row>
    <row r="95" spans="1:7">
      <c r="A95" s="129" t="s">
        <v>468</v>
      </c>
      <c r="B95" s="130"/>
      <c r="C95" s="130">
        <v>3370</v>
      </c>
      <c r="D95" s="130"/>
      <c r="E95" s="130"/>
      <c r="F95" s="130"/>
      <c r="G95" s="27">
        <v>3370</v>
      </c>
    </row>
    <row r="96" spans="1:7">
      <c r="A96" s="129" t="s">
        <v>802</v>
      </c>
      <c r="B96" s="130"/>
      <c r="C96" s="130">
        <v>1105</v>
      </c>
      <c r="D96" s="130"/>
      <c r="E96" s="130"/>
      <c r="F96" s="130"/>
      <c r="G96" s="27">
        <v>1105</v>
      </c>
    </row>
    <row r="97" spans="1:7">
      <c r="A97" s="129" t="s">
        <v>911</v>
      </c>
      <c r="B97" s="130"/>
      <c r="C97" s="130">
        <v>5010</v>
      </c>
      <c r="D97" s="130"/>
      <c r="E97" s="130"/>
      <c r="F97" s="130"/>
      <c r="G97" s="27">
        <v>5010</v>
      </c>
    </row>
    <row r="98" spans="1:7">
      <c r="A98" s="129" t="s">
        <v>1349</v>
      </c>
      <c r="B98" s="130"/>
      <c r="C98" s="130">
        <v>1260</v>
      </c>
      <c r="D98" s="130"/>
      <c r="E98" s="130"/>
      <c r="F98" s="130"/>
      <c r="G98" s="27">
        <v>1260</v>
      </c>
    </row>
    <row r="99" spans="1:7">
      <c r="A99" s="129" t="s">
        <v>250</v>
      </c>
      <c r="B99" s="130"/>
      <c r="C99" s="130">
        <v>1639.9999999999998</v>
      </c>
      <c r="D99" s="130"/>
      <c r="E99" s="130"/>
      <c r="F99" s="130"/>
      <c r="G99" s="27">
        <v>1639.9999999999998</v>
      </c>
    </row>
    <row r="100" spans="1:7">
      <c r="A100" s="129" t="s">
        <v>541</v>
      </c>
      <c r="B100" s="130"/>
      <c r="C100" s="130">
        <v>265</v>
      </c>
      <c r="D100" s="130"/>
      <c r="E100" s="130"/>
      <c r="F100" s="130"/>
      <c r="G100" s="27">
        <v>265</v>
      </c>
    </row>
    <row r="101" spans="1:7">
      <c r="A101" s="129" t="s">
        <v>1027</v>
      </c>
      <c r="B101" s="130"/>
      <c r="C101" s="130">
        <v>855.00000000000011</v>
      </c>
      <c r="D101" s="130"/>
      <c r="E101" s="130"/>
      <c r="F101" s="130"/>
      <c r="G101" s="27">
        <v>855.00000000000011</v>
      </c>
    </row>
    <row r="102" spans="1:7">
      <c r="A102" s="129" t="s">
        <v>293</v>
      </c>
      <c r="B102" s="130"/>
      <c r="C102" s="130">
        <v>430</v>
      </c>
      <c r="D102" s="130"/>
      <c r="E102" s="130"/>
      <c r="F102" s="130"/>
      <c r="G102" s="27">
        <v>430</v>
      </c>
    </row>
    <row r="103" spans="1:7">
      <c r="A103" s="129" t="s">
        <v>1279</v>
      </c>
      <c r="B103" s="130"/>
      <c r="C103" s="130">
        <v>1680</v>
      </c>
      <c r="D103" s="130"/>
      <c r="E103" s="130"/>
      <c r="F103" s="130"/>
      <c r="G103" s="27">
        <v>1680</v>
      </c>
    </row>
    <row r="104" spans="1:7">
      <c r="A104" s="129" t="s">
        <v>1631</v>
      </c>
      <c r="B104" s="130"/>
      <c r="C104" s="130">
        <v>1009.9999999999999</v>
      </c>
      <c r="D104" s="130"/>
      <c r="E104" s="130"/>
      <c r="F104" s="130"/>
      <c r="G104" s="27">
        <v>1009.9999999999999</v>
      </c>
    </row>
    <row r="105" spans="1:7">
      <c r="A105" s="129" t="s">
        <v>1459</v>
      </c>
      <c r="B105" s="130"/>
      <c r="C105" s="130">
        <v>3190</v>
      </c>
      <c r="D105" s="130"/>
      <c r="E105" s="130"/>
      <c r="F105" s="130"/>
      <c r="G105" s="27">
        <v>3190</v>
      </c>
    </row>
    <row r="106" spans="1:7">
      <c r="A106" s="129" t="s">
        <v>1623</v>
      </c>
      <c r="B106" s="130"/>
      <c r="C106" s="130">
        <v>12350</v>
      </c>
      <c r="D106" s="130"/>
      <c r="E106" s="130"/>
      <c r="F106" s="130"/>
      <c r="G106" s="27">
        <v>12350</v>
      </c>
    </row>
    <row r="107" spans="1:7">
      <c r="A107" s="129" t="s">
        <v>316</v>
      </c>
      <c r="B107" s="130"/>
      <c r="C107" s="130">
        <v>645</v>
      </c>
      <c r="D107" s="130"/>
      <c r="E107" s="130"/>
      <c r="F107" s="130"/>
      <c r="G107" s="27">
        <v>645</v>
      </c>
    </row>
    <row r="108" spans="1:7">
      <c r="A108" s="129" t="s">
        <v>1125</v>
      </c>
      <c r="B108" s="130"/>
      <c r="C108" s="130">
        <v>1725</v>
      </c>
      <c r="D108" s="130"/>
      <c r="E108" s="130"/>
      <c r="F108" s="130"/>
      <c r="G108" s="27">
        <v>1725</v>
      </c>
    </row>
    <row r="109" spans="1:7">
      <c r="A109" s="129" t="s">
        <v>106</v>
      </c>
      <c r="B109" s="130"/>
      <c r="C109" s="130">
        <v>175</v>
      </c>
      <c r="D109" s="130"/>
      <c r="E109" s="130"/>
      <c r="F109" s="130"/>
      <c r="G109" s="27">
        <v>175</v>
      </c>
    </row>
    <row r="110" spans="1:7">
      <c r="A110" s="129" t="s">
        <v>1679</v>
      </c>
      <c r="B110" s="130"/>
      <c r="C110" s="130">
        <v>7510</v>
      </c>
      <c r="D110" s="130"/>
      <c r="E110" s="130"/>
      <c r="F110" s="130"/>
      <c r="G110" s="27">
        <v>7510</v>
      </c>
    </row>
    <row r="111" spans="1:7">
      <c r="A111" s="129" t="s">
        <v>475</v>
      </c>
      <c r="B111" s="130"/>
      <c r="C111" s="130">
        <v>780</v>
      </c>
      <c r="D111" s="130"/>
      <c r="E111" s="130"/>
      <c r="F111" s="130"/>
      <c r="G111" s="27">
        <v>780</v>
      </c>
    </row>
    <row r="112" spans="1:7">
      <c r="A112" s="129" t="s">
        <v>1469</v>
      </c>
      <c r="B112" s="130"/>
      <c r="C112" s="130">
        <v>1769.9999999999998</v>
      </c>
      <c r="D112" s="130"/>
      <c r="E112" s="130"/>
      <c r="F112" s="130"/>
      <c r="G112" s="27">
        <v>1769.9999999999998</v>
      </c>
    </row>
    <row r="113" spans="1:7">
      <c r="A113" s="129" t="s">
        <v>566</v>
      </c>
      <c r="B113" s="130"/>
      <c r="C113" s="130">
        <v>550</v>
      </c>
      <c r="D113" s="130"/>
      <c r="E113" s="130"/>
      <c r="F113" s="130"/>
      <c r="G113" s="27">
        <v>550</v>
      </c>
    </row>
    <row r="114" spans="1:7">
      <c r="A114" s="129" t="s">
        <v>242</v>
      </c>
      <c r="B114" s="130"/>
      <c r="C114" s="130">
        <v>3679.9999999999995</v>
      </c>
      <c r="D114" s="130"/>
      <c r="E114" s="130"/>
      <c r="F114" s="130"/>
      <c r="G114" s="27">
        <v>3679.9999999999995</v>
      </c>
    </row>
    <row r="115" spans="1:7">
      <c r="A115" s="129" t="s">
        <v>1219</v>
      </c>
      <c r="B115" s="130"/>
      <c r="C115" s="130">
        <v>1175</v>
      </c>
      <c r="D115" s="130"/>
      <c r="E115" s="130"/>
      <c r="F115" s="130"/>
      <c r="G115" s="27">
        <v>1175</v>
      </c>
    </row>
    <row r="116" spans="1:7">
      <c r="A116" s="129" t="s">
        <v>1543</v>
      </c>
      <c r="B116" s="130"/>
      <c r="C116" s="130">
        <v>2740</v>
      </c>
      <c r="D116" s="130"/>
      <c r="E116" s="130"/>
      <c r="F116" s="130"/>
      <c r="G116" s="27">
        <v>2740</v>
      </c>
    </row>
    <row r="117" spans="1:7">
      <c r="A117" s="129" t="s">
        <v>596</v>
      </c>
      <c r="B117" s="130"/>
      <c r="C117" s="130">
        <v>1420</v>
      </c>
      <c r="D117" s="130"/>
      <c r="E117" s="130"/>
      <c r="F117" s="130"/>
      <c r="G117" s="27">
        <v>1420</v>
      </c>
    </row>
    <row r="118" spans="1:7">
      <c r="A118" s="129" t="s">
        <v>798</v>
      </c>
      <c r="B118" s="130"/>
      <c r="C118" s="130">
        <v>3230</v>
      </c>
      <c r="D118" s="130"/>
      <c r="E118" s="130"/>
      <c r="F118" s="130"/>
      <c r="G118" s="27">
        <v>3230</v>
      </c>
    </row>
    <row r="119" spans="1:7">
      <c r="A119" s="129" t="s">
        <v>1333</v>
      </c>
      <c r="B119" s="130"/>
      <c r="C119" s="130">
        <v>450</v>
      </c>
      <c r="D119" s="130"/>
      <c r="E119" s="130"/>
      <c r="F119" s="130"/>
      <c r="G119" s="27">
        <v>450</v>
      </c>
    </row>
    <row r="120" spans="1:7">
      <c r="A120" s="129" t="s">
        <v>400</v>
      </c>
      <c r="B120" s="130"/>
      <c r="C120" s="130">
        <v>1630</v>
      </c>
      <c r="D120" s="130"/>
      <c r="E120" s="130"/>
      <c r="F120" s="130"/>
      <c r="G120" s="27">
        <v>1630</v>
      </c>
    </row>
    <row r="121" spans="1:7">
      <c r="A121" s="129" t="s">
        <v>593</v>
      </c>
      <c r="B121" s="130"/>
      <c r="C121" s="130">
        <v>530</v>
      </c>
      <c r="D121" s="130"/>
      <c r="E121" s="130"/>
      <c r="F121" s="130"/>
      <c r="G121" s="27">
        <v>530</v>
      </c>
    </row>
    <row r="122" spans="1:7">
      <c r="A122" s="129" t="s">
        <v>286</v>
      </c>
      <c r="B122" s="130"/>
      <c r="C122" s="130">
        <v>4780</v>
      </c>
      <c r="D122" s="130"/>
      <c r="E122" s="130"/>
      <c r="F122" s="130"/>
      <c r="G122" s="27">
        <v>4780</v>
      </c>
    </row>
    <row r="123" spans="1:7">
      <c r="A123" s="129" t="s">
        <v>496</v>
      </c>
      <c r="B123" s="130"/>
      <c r="C123" s="130">
        <v>265</v>
      </c>
      <c r="D123" s="130"/>
      <c r="E123" s="130"/>
      <c r="F123" s="130"/>
      <c r="G123" s="27">
        <v>265</v>
      </c>
    </row>
    <row r="124" spans="1:7">
      <c r="A124" s="129" t="s">
        <v>1596</v>
      </c>
      <c r="B124" s="130"/>
      <c r="C124" s="130">
        <v>1800</v>
      </c>
      <c r="D124" s="130"/>
      <c r="E124" s="130"/>
      <c r="F124" s="130"/>
      <c r="G124" s="27">
        <v>1800</v>
      </c>
    </row>
    <row r="125" spans="1:7">
      <c r="A125" s="129" t="s">
        <v>216</v>
      </c>
      <c r="B125" s="130"/>
      <c r="C125" s="130">
        <v>2065</v>
      </c>
      <c r="D125" s="130"/>
      <c r="E125" s="130"/>
      <c r="F125" s="130"/>
      <c r="G125" s="27">
        <v>2065</v>
      </c>
    </row>
    <row r="126" spans="1:7">
      <c r="A126" s="129" t="s">
        <v>776</v>
      </c>
      <c r="B126" s="130"/>
      <c r="C126" s="130">
        <v>1560</v>
      </c>
      <c r="D126" s="130"/>
      <c r="E126" s="130"/>
      <c r="F126" s="130"/>
      <c r="G126" s="27">
        <v>1560</v>
      </c>
    </row>
    <row r="127" spans="1:7">
      <c r="A127" s="129" t="s">
        <v>160</v>
      </c>
      <c r="B127" s="130"/>
      <c r="C127" s="130">
        <v>500</v>
      </c>
      <c r="D127" s="130"/>
      <c r="E127" s="130"/>
      <c r="F127" s="130"/>
      <c r="G127" s="27">
        <v>500</v>
      </c>
    </row>
    <row r="128" spans="1:7">
      <c r="A128" s="129" t="s">
        <v>551</v>
      </c>
      <c r="B128" s="130"/>
      <c r="C128" s="130">
        <v>3750</v>
      </c>
      <c r="D128" s="130"/>
      <c r="E128" s="130"/>
      <c r="F128" s="130"/>
      <c r="G128" s="27">
        <v>3750</v>
      </c>
    </row>
    <row r="129" spans="1:7">
      <c r="A129" s="129" t="s">
        <v>1016</v>
      </c>
      <c r="B129" s="130"/>
      <c r="C129" s="130">
        <v>5359.9999999999991</v>
      </c>
      <c r="D129" s="130"/>
      <c r="E129" s="130"/>
      <c r="F129" s="130"/>
      <c r="G129" s="27">
        <v>5359.9999999999991</v>
      </c>
    </row>
    <row r="130" spans="1:7">
      <c r="A130" s="129" t="s">
        <v>1510</v>
      </c>
      <c r="B130" s="130"/>
      <c r="C130" s="130">
        <v>515</v>
      </c>
      <c r="D130" s="130"/>
      <c r="E130" s="130"/>
      <c r="F130" s="130"/>
      <c r="G130" s="27">
        <v>515</v>
      </c>
    </row>
    <row r="131" spans="1:7">
      <c r="A131" s="129" t="s">
        <v>519</v>
      </c>
      <c r="B131" s="130"/>
      <c r="C131" s="130">
        <v>3624</v>
      </c>
      <c r="D131" s="130"/>
      <c r="E131" s="130"/>
      <c r="F131" s="130"/>
      <c r="G131" s="27">
        <v>3624</v>
      </c>
    </row>
    <row r="132" spans="1:7">
      <c r="A132" s="129" t="s">
        <v>1407</v>
      </c>
      <c r="B132" s="130"/>
      <c r="C132" s="130">
        <v>180</v>
      </c>
      <c r="D132" s="130"/>
      <c r="E132" s="130"/>
      <c r="F132" s="130"/>
      <c r="G132" s="27">
        <v>180</v>
      </c>
    </row>
    <row r="133" spans="1:7">
      <c r="A133" s="129" t="s">
        <v>153</v>
      </c>
      <c r="B133" s="130"/>
      <c r="C133" s="130">
        <v>214.99999999999997</v>
      </c>
      <c r="D133" s="130"/>
      <c r="E133" s="130"/>
      <c r="F133" s="130"/>
      <c r="G133" s="27">
        <v>214.99999999999997</v>
      </c>
    </row>
    <row r="134" spans="1:7">
      <c r="A134" s="129" t="s">
        <v>329</v>
      </c>
      <c r="B134" s="130"/>
      <c r="C134" s="130">
        <v>3410</v>
      </c>
      <c r="D134" s="130"/>
      <c r="E134" s="130"/>
      <c r="F134" s="130"/>
      <c r="G134" s="27">
        <v>3410</v>
      </c>
    </row>
    <row r="135" spans="1:7">
      <c r="A135" s="129" t="s">
        <v>134</v>
      </c>
      <c r="B135" s="130"/>
      <c r="C135" s="130">
        <v>780</v>
      </c>
      <c r="D135" s="130"/>
      <c r="E135" s="130"/>
      <c r="F135" s="130"/>
      <c r="G135" s="27">
        <v>780</v>
      </c>
    </row>
    <row r="136" spans="1:7">
      <c r="A136" s="129" t="s">
        <v>1494</v>
      </c>
      <c r="B136" s="130"/>
      <c r="C136" s="130">
        <v>1934.9999999999998</v>
      </c>
      <c r="D136" s="130"/>
      <c r="E136" s="130"/>
      <c r="F136" s="130"/>
      <c r="G136" s="27">
        <v>1934.9999999999998</v>
      </c>
    </row>
    <row r="137" spans="1:7">
      <c r="A137" s="129" t="s">
        <v>1214</v>
      </c>
      <c r="B137" s="130"/>
      <c r="C137" s="130">
        <v>7835</v>
      </c>
      <c r="D137" s="130"/>
      <c r="E137" s="130"/>
      <c r="F137" s="130"/>
      <c r="G137" s="27">
        <v>7835</v>
      </c>
    </row>
    <row r="138" spans="1:7">
      <c r="A138" s="129" t="s">
        <v>1151</v>
      </c>
      <c r="B138" s="130"/>
      <c r="C138" s="130">
        <v>1365</v>
      </c>
      <c r="D138" s="130"/>
      <c r="E138" s="130"/>
      <c r="F138" s="130"/>
      <c r="G138" s="27">
        <v>1365</v>
      </c>
    </row>
    <row r="139" spans="1:7">
      <c r="A139" s="129" t="s">
        <v>1506</v>
      </c>
      <c r="B139" s="130"/>
      <c r="C139" s="130">
        <v>2789.9999999999995</v>
      </c>
      <c r="D139" s="130"/>
      <c r="E139" s="130"/>
      <c r="F139" s="130"/>
      <c r="G139" s="27">
        <v>2789.9999999999995</v>
      </c>
    </row>
    <row r="140" spans="1:7">
      <c r="A140" s="129" t="s">
        <v>1224</v>
      </c>
      <c r="B140" s="130"/>
      <c r="C140" s="130">
        <v>2695</v>
      </c>
      <c r="D140" s="130"/>
      <c r="E140" s="130"/>
      <c r="F140" s="130"/>
      <c r="G140" s="27">
        <v>2695</v>
      </c>
    </row>
    <row r="141" spans="1:7">
      <c r="A141" s="129" t="s">
        <v>1318</v>
      </c>
      <c r="B141" s="130"/>
      <c r="C141" s="130">
        <v>2648.9999999999995</v>
      </c>
      <c r="D141" s="130"/>
      <c r="E141" s="130"/>
      <c r="F141" s="130"/>
      <c r="G141" s="27">
        <v>2648.9999999999995</v>
      </c>
    </row>
    <row r="142" spans="1:7">
      <c r="A142" s="129" t="s">
        <v>837</v>
      </c>
      <c r="B142" s="130"/>
      <c r="C142" s="130">
        <v>3960.0000000000005</v>
      </c>
      <c r="D142" s="130"/>
      <c r="E142" s="130"/>
      <c r="F142" s="130"/>
      <c r="G142" s="27">
        <v>3960.0000000000005</v>
      </c>
    </row>
    <row r="143" spans="1:7">
      <c r="A143" s="129" t="s">
        <v>575</v>
      </c>
      <c r="B143" s="130"/>
      <c r="C143" s="130">
        <v>525</v>
      </c>
      <c r="D143" s="130"/>
      <c r="E143" s="130"/>
      <c r="F143" s="130"/>
      <c r="G143" s="27">
        <v>525</v>
      </c>
    </row>
    <row r="144" spans="1:7">
      <c r="A144" s="129" t="s">
        <v>92</v>
      </c>
      <c r="B144" s="130"/>
      <c r="C144" s="130">
        <v>390</v>
      </c>
      <c r="D144" s="130"/>
      <c r="E144" s="130"/>
      <c r="F144" s="130"/>
      <c r="G144" s="27">
        <v>390</v>
      </c>
    </row>
    <row r="145" spans="1:7">
      <c r="A145" s="129" t="s">
        <v>1657</v>
      </c>
      <c r="B145" s="130"/>
      <c r="C145" s="130">
        <v>1335</v>
      </c>
      <c r="D145" s="130"/>
      <c r="E145" s="130"/>
      <c r="F145" s="130"/>
      <c r="G145" s="27">
        <v>1335</v>
      </c>
    </row>
    <row r="146" spans="1:7">
      <c r="A146" s="129" t="s">
        <v>1608</v>
      </c>
      <c r="B146" s="130"/>
      <c r="C146" s="130">
        <v>1155</v>
      </c>
      <c r="D146" s="130"/>
      <c r="E146" s="130"/>
      <c r="F146" s="130"/>
      <c r="G146" s="27">
        <v>1155</v>
      </c>
    </row>
    <row r="147" spans="1:7">
      <c r="A147" s="129" t="s">
        <v>464</v>
      </c>
      <c r="B147" s="130"/>
      <c r="C147" s="130">
        <v>855</v>
      </c>
      <c r="D147" s="130"/>
      <c r="E147" s="130"/>
      <c r="F147" s="130"/>
      <c r="G147" s="27">
        <v>855</v>
      </c>
    </row>
    <row r="148" spans="1:7">
      <c r="A148" s="129" t="s">
        <v>1340</v>
      </c>
      <c r="B148" s="130"/>
      <c r="C148" s="130">
        <v>1240</v>
      </c>
      <c r="D148" s="130"/>
      <c r="E148" s="130"/>
      <c r="F148" s="130"/>
      <c r="G148" s="27">
        <v>1240</v>
      </c>
    </row>
    <row r="149" spans="1:7">
      <c r="A149" s="129" t="s">
        <v>1391</v>
      </c>
      <c r="B149" s="130"/>
      <c r="C149" s="130">
        <v>660</v>
      </c>
      <c r="D149" s="130"/>
      <c r="E149" s="130"/>
      <c r="F149" s="130"/>
      <c r="G149" s="27">
        <v>660</v>
      </c>
    </row>
    <row r="150" spans="1:7">
      <c r="A150" s="129" t="s">
        <v>607</v>
      </c>
      <c r="B150" s="130"/>
      <c r="C150" s="130">
        <v>1205</v>
      </c>
      <c r="D150" s="130"/>
      <c r="E150" s="130"/>
      <c r="F150" s="130"/>
      <c r="G150" s="27">
        <v>1205</v>
      </c>
    </row>
    <row r="151" spans="1:7">
      <c r="A151" s="129" t="s">
        <v>302</v>
      </c>
      <c r="B151" s="130"/>
      <c r="C151" s="130">
        <v>265</v>
      </c>
      <c r="D151" s="130"/>
      <c r="E151" s="130"/>
      <c r="F151" s="130"/>
      <c r="G151" s="27">
        <v>265</v>
      </c>
    </row>
    <row r="152" spans="1:7">
      <c r="A152" s="129" t="s">
        <v>1237</v>
      </c>
      <c r="B152" s="130"/>
      <c r="C152" s="130">
        <v>1030</v>
      </c>
      <c r="D152" s="130"/>
      <c r="E152" s="130"/>
      <c r="F152" s="130"/>
      <c r="G152" s="27">
        <v>1030</v>
      </c>
    </row>
    <row r="153" spans="1:7">
      <c r="A153" s="129" t="s">
        <v>1180</v>
      </c>
      <c r="B153" s="130"/>
      <c r="C153" s="130">
        <v>750</v>
      </c>
      <c r="D153" s="130"/>
      <c r="E153" s="130"/>
      <c r="F153" s="130"/>
      <c r="G153" s="27">
        <v>750</v>
      </c>
    </row>
    <row r="154" spans="1:7">
      <c r="A154" s="129" t="s">
        <v>1001</v>
      </c>
      <c r="B154" s="130"/>
      <c r="C154" s="130">
        <v>2810</v>
      </c>
      <c r="D154" s="130"/>
      <c r="E154" s="130"/>
      <c r="F154" s="130"/>
      <c r="G154" s="27">
        <v>2810</v>
      </c>
    </row>
    <row r="155" spans="1:7">
      <c r="A155" s="129" t="s">
        <v>1559</v>
      </c>
      <c r="B155" s="130"/>
      <c r="C155" s="130">
        <v>425</v>
      </c>
      <c r="D155" s="130"/>
      <c r="E155" s="130"/>
      <c r="F155" s="130"/>
      <c r="G155" s="27">
        <v>425</v>
      </c>
    </row>
    <row r="156" spans="1:7">
      <c r="A156" s="129" t="s">
        <v>1192</v>
      </c>
      <c r="B156" s="130"/>
      <c r="C156" s="130">
        <v>2310</v>
      </c>
      <c r="D156" s="130"/>
      <c r="E156" s="130"/>
      <c r="F156" s="130"/>
      <c r="G156" s="27">
        <v>2310</v>
      </c>
    </row>
    <row r="157" spans="1:7">
      <c r="A157" s="129" t="s">
        <v>1375</v>
      </c>
      <c r="B157" s="130"/>
      <c r="C157" s="130">
        <v>10460</v>
      </c>
      <c r="D157" s="130"/>
      <c r="E157" s="130"/>
      <c r="F157" s="130"/>
      <c r="G157" s="27">
        <v>10460</v>
      </c>
    </row>
    <row r="158" spans="1:7">
      <c r="A158" s="129" t="s">
        <v>1699</v>
      </c>
      <c r="B158" s="130"/>
      <c r="C158" s="130">
        <v>2465</v>
      </c>
      <c r="D158" s="130"/>
      <c r="E158" s="130"/>
      <c r="F158" s="130"/>
      <c r="G158" s="27">
        <v>2465</v>
      </c>
    </row>
    <row r="159" spans="1:7">
      <c r="A159" s="129" t="s">
        <v>816</v>
      </c>
      <c r="B159" s="130"/>
      <c r="C159" s="130">
        <v>2810</v>
      </c>
      <c r="D159" s="130"/>
      <c r="E159" s="130"/>
      <c r="F159" s="130"/>
      <c r="G159" s="27">
        <v>2810</v>
      </c>
    </row>
    <row r="160" spans="1:7">
      <c r="A160" s="129" t="s">
        <v>417</v>
      </c>
      <c r="B160" s="130"/>
      <c r="C160" s="130">
        <v>250</v>
      </c>
      <c r="D160" s="130"/>
      <c r="E160" s="130"/>
      <c r="F160" s="130"/>
      <c r="G160" s="27">
        <v>250</v>
      </c>
    </row>
    <row r="161" spans="1:7">
      <c r="A161" s="129" t="s">
        <v>74</v>
      </c>
      <c r="B161" s="130"/>
      <c r="C161" s="130">
        <v>1410.0000000000002</v>
      </c>
      <c r="D161" s="130"/>
      <c r="E161" s="130"/>
      <c r="F161" s="130"/>
      <c r="G161" s="27">
        <v>1410.0000000000002</v>
      </c>
    </row>
    <row r="162" spans="1:7">
      <c r="A162" s="129" t="s">
        <v>233</v>
      </c>
      <c r="B162" s="130"/>
      <c r="C162" s="130">
        <v>1395</v>
      </c>
      <c r="D162" s="130"/>
      <c r="E162" s="130"/>
      <c r="F162" s="130"/>
      <c r="G162" s="27">
        <v>1395</v>
      </c>
    </row>
    <row r="163" spans="1:7">
      <c r="A163" s="129" t="s">
        <v>313</v>
      </c>
      <c r="B163" s="130"/>
      <c r="C163" s="130">
        <v>1710</v>
      </c>
      <c r="D163" s="130"/>
      <c r="E163" s="130"/>
      <c r="F163" s="130"/>
      <c r="G163" s="27">
        <v>1710</v>
      </c>
    </row>
    <row r="164" spans="1:7">
      <c r="A164" s="129" t="s">
        <v>524</v>
      </c>
      <c r="B164" s="130"/>
      <c r="C164" s="130">
        <v>1415</v>
      </c>
      <c r="D164" s="130"/>
      <c r="E164" s="130"/>
      <c r="F164" s="130"/>
      <c r="G164" s="27">
        <v>1415</v>
      </c>
    </row>
    <row r="165" spans="1:7">
      <c r="A165" s="129" t="s">
        <v>325</v>
      </c>
      <c r="B165" s="130"/>
      <c r="C165" s="130">
        <v>1905</v>
      </c>
      <c r="D165" s="130"/>
      <c r="E165" s="130"/>
      <c r="F165" s="130"/>
      <c r="G165" s="27">
        <v>1905</v>
      </c>
    </row>
    <row r="166" spans="1:7">
      <c r="A166" s="129" t="s">
        <v>878</v>
      </c>
      <c r="B166" s="130"/>
      <c r="C166" s="130">
        <v>780</v>
      </c>
      <c r="D166" s="130"/>
      <c r="E166" s="130"/>
      <c r="F166" s="130"/>
      <c r="G166" s="27">
        <v>780</v>
      </c>
    </row>
    <row r="167" spans="1:7">
      <c r="A167" s="129" t="s">
        <v>678</v>
      </c>
      <c r="B167" s="130"/>
      <c r="C167" s="130">
        <v>3585</v>
      </c>
      <c r="D167" s="130"/>
      <c r="E167" s="130"/>
      <c r="F167" s="130"/>
      <c r="G167" s="27">
        <v>3585</v>
      </c>
    </row>
    <row r="168" spans="1:7">
      <c r="A168" s="126" t="s">
        <v>1720</v>
      </c>
      <c r="B168" s="2">
        <v>-3527997.9920477136</v>
      </c>
      <c r="C168" s="2">
        <v>33348335.990000002</v>
      </c>
      <c r="D168" s="2">
        <v>-94412.799999999988</v>
      </c>
      <c r="E168" s="2">
        <v>-25620555.420258448</v>
      </c>
      <c r="F168" s="2">
        <v>-4672400</v>
      </c>
      <c r="G168" s="4">
        <v>-567030.22230616491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7"/>
  <sheetViews>
    <sheetView workbookViewId="0">
      <selection activeCell="D11" sqref="D11"/>
    </sheetView>
  </sheetViews>
  <sheetFormatPr baseColWidth="10" defaultRowHeight="15"/>
  <cols>
    <col min="1" max="1" width="56.28515625" customWidth="1"/>
    <col min="2" max="2" width="15.85546875" style="4" customWidth="1"/>
    <col min="4" max="4" width="47.5703125" style="1" customWidth="1"/>
    <col min="5" max="5" width="14.5703125" style="1" customWidth="1"/>
    <col min="6" max="6" width="30.7109375" bestFit="1" customWidth="1"/>
    <col min="7" max="7" width="14.140625" bestFit="1" customWidth="1"/>
    <col min="9" max="9" width="14.140625" style="4" bestFit="1" customWidth="1"/>
  </cols>
  <sheetData>
    <row r="3" spans="1:8">
      <c r="A3" s="5" t="s">
        <v>1719</v>
      </c>
      <c r="B3" s="7" t="s">
        <v>1721</v>
      </c>
    </row>
    <row r="4" spans="1:8">
      <c r="A4" s="17" t="s">
        <v>1263</v>
      </c>
      <c r="B4" s="18">
        <v>-179065.98</v>
      </c>
      <c r="C4" t="s">
        <v>1729</v>
      </c>
      <c r="D4" s="1" t="s">
        <v>1744</v>
      </c>
      <c r="E4" s="12" t="s">
        <v>1733</v>
      </c>
      <c r="F4" s="1" t="s">
        <v>1722</v>
      </c>
      <c r="G4" s="27">
        <f>SUM(B42:B166,B12,B13)</f>
        <v>32016710.580000028</v>
      </c>
    </row>
    <row r="5" spans="1:8">
      <c r="A5" s="17" t="s">
        <v>920</v>
      </c>
      <c r="B5" s="18">
        <v>-103632.08</v>
      </c>
      <c r="C5" t="s">
        <v>1729</v>
      </c>
      <c r="D5" s="1" t="s">
        <v>1745</v>
      </c>
      <c r="E5" s="13" t="s">
        <v>1731</v>
      </c>
      <c r="F5" s="1" t="s">
        <v>1723</v>
      </c>
      <c r="G5" s="28">
        <f>SUM(B14:B15,B18:B24,B25:B36,B38:B41)-89279.95</f>
        <v>-29077436.77</v>
      </c>
    </row>
    <row r="6" spans="1:8">
      <c r="A6" s="17" t="s">
        <v>1083</v>
      </c>
      <c r="B6" s="18">
        <v>-440851.34</v>
      </c>
      <c r="C6" t="s">
        <v>1729</v>
      </c>
      <c r="D6" s="1" t="s">
        <v>1746</v>
      </c>
      <c r="E6" s="14"/>
      <c r="F6" s="1" t="s">
        <v>1724</v>
      </c>
      <c r="G6" s="4"/>
    </row>
    <row r="7" spans="1:8">
      <c r="A7" s="17" t="s">
        <v>1301</v>
      </c>
      <c r="B7" s="18">
        <v>-251359.76</v>
      </c>
      <c r="C7" t="s">
        <v>1729</v>
      </c>
      <c r="D7" s="1" t="s">
        <v>1747</v>
      </c>
      <c r="E7" s="15"/>
      <c r="F7" s="1" t="s">
        <v>1725</v>
      </c>
      <c r="G7" s="29">
        <f>+GETPIVOTDATA("TRANSACTION_NET_AMOUNT",$A$3,"TRANSACTION_TYPE","Pago de servicios ARCA")</f>
        <v>-3549165.9799999995</v>
      </c>
    </row>
    <row r="8" spans="1:8">
      <c r="A8" s="17" t="s">
        <v>660</v>
      </c>
      <c r="B8" s="18">
        <v>-37225.019999999997</v>
      </c>
      <c r="C8" t="s">
        <v>1729</v>
      </c>
      <c r="D8" s="1" t="s">
        <v>1748</v>
      </c>
      <c r="E8" s="16"/>
      <c r="F8" s="1" t="s">
        <v>1726</v>
      </c>
      <c r="G8" s="4"/>
    </row>
    <row r="9" spans="1:8">
      <c r="A9" s="17" t="s">
        <v>1710</v>
      </c>
      <c r="B9" s="18">
        <v>-259931.29</v>
      </c>
      <c r="C9" t="s">
        <v>1729</v>
      </c>
      <c r="D9" s="1" t="s">
        <v>1749</v>
      </c>
      <c r="E9" s="23" t="s">
        <v>1731</v>
      </c>
      <c r="F9" s="1" t="s">
        <v>1727</v>
      </c>
      <c r="G9" s="4"/>
    </row>
    <row r="10" spans="1:8">
      <c r="A10" s="21" t="s">
        <v>553</v>
      </c>
      <c r="B10" s="22">
        <v>-25262.46</v>
      </c>
      <c r="C10" t="s">
        <v>1729</v>
      </c>
      <c r="D10" s="1" t="s">
        <v>1735</v>
      </c>
      <c r="E10" s="24" t="s">
        <v>1732</v>
      </c>
      <c r="F10" s="1" t="s">
        <v>1728</v>
      </c>
      <c r="G10" s="30">
        <f>+GETPIVOTDATA("TRANSACTION_NET_AMOUNT",$A$3,"TRANSACTION_TYPE","Transferencia enviada NATALIA ELIZABETH BALBUENA")</f>
        <v>-5000</v>
      </c>
    </row>
    <row r="11" spans="1:8">
      <c r="A11" s="21" t="s">
        <v>28</v>
      </c>
      <c r="B11" s="22">
        <v>-94412.799999999988</v>
      </c>
      <c r="C11" s="1" t="s">
        <v>1729</v>
      </c>
      <c r="D11" s="1" t="s">
        <v>1730</v>
      </c>
    </row>
    <row r="12" spans="1:8">
      <c r="A12" s="8" t="s">
        <v>15</v>
      </c>
      <c r="B12" s="9">
        <v>31848397.16000003</v>
      </c>
      <c r="C12" t="s">
        <v>1729</v>
      </c>
      <c r="H12" s="4"/>
    </row>
    <row r="13" spans="1:8">
      <c r="A13" s="8" t="s">
        <v>307</v>
      </c>
      <c r="B13" s="9">
        <v>-77944</v>
      </c>
      <c r="C13" t="s">
        <v>1729</v>
      </c>
    </row>
    <row r="14" spans="1:8">
      <c r="A14" s="10" t="s">
        <v>49</v>
      </c>
      <c r="B14" s="11">
        <v>-1478835.7799999998</v>
      </c>
      <c r="C14" t="s">
        <v>1729</v>
      </c>
    </row>
    <row r="15" spans="1:8">
      <c r="A15" s="10" t="s">
        <v>29</v>
      </c>
      <c r="B15" s="11">
        <v>-1246696.83</v>
      </c>
      <c r="C15" t="s">
        <v>1729</v>
      </c>
    </row>
    <row r="16" spans="1:8">
      <c r="A16" s="19" t="s">
        <v>189</v>
      </c>
      <c r="B16" s="20">
        <v>-3549165.9799999995</v>
      </c>
      <c r="C16" t="s">
        <v>1729</v>
      </c>
    </row>
    <row r="17" spans="1:4">
      <c r="A17" s="21" t="s">
        <v>81</v>
      </c>
      <c r="B17" s="22">
        <v>-89815.63</v>
      </c>
      <c r="C17" t="s">
        <v>1729</v>
      </c>
      <c r="D17" s="1" t="s">
        <v>1737</v>
      </c>
    </row>
    <row r="18" spans="1:4">
      <c r="A18" s="10" t="s">
        <v>33</v>
      </c>
      <c r="B18" s="11">
        <v>-168677.75</v>
      </c>
      <c r="C18" t="s">
        <v>1729</v>
      </c>
    </row>
    <row r="19" spans="1:4">
      <c r="A19" s="10" t="s">
        <v>36</v>
      </c>
      <c r="B19" s="11">
        <v>-2035038.2000000002</v>
      </c>
      <c r="C19" t="s">
        <v>1729</v>
      </c>
    </row>
    <row r="20" spans="1:4">
      <c r="A20" s="10" t="s">
        <v>187</v>
      </c>
      <c r="B20" s="11">
        <v>-433268.17</v>
      </c>
      <c r="C20" t="s">
        <v>1729</v>
      </c>
    </row>
    <row r="21" spans="1:4">
      <c r="A21" s="10" t="s">
        <v>486</v>
      </c>
      <c r="B21" s="11">
        <v>-155963.28</v>
      </c>
      <c r="C21" t="s">
        <v>1729</v>
      </c>
    </row>
    <row r="22" spans="1:4">
      <c r="A22" s="10" t="s">
        <v>562</v>
      </c>
      <c r="B22" s="11">
        <v>-162750</v>
      </c>
      <c r="C22" t="s">
        <v>1729</v>
      </c>
    </row>
    <row r="23" spans="1:4">
      <c r="A23" s="10" t="s">
        <v>26</v>
      </c>
      <c r="B23" s="11">
        <v>-336346.37</v>
      </c>
      <c r="C23" t="s">
        <v>1729</v>
      </c>
    </row>
    <row r="24" spans="1:4">
      <c r="A24" s="25" t="s">
        <v>478</v>
      </c>
      <c r="B24" s="26">
        <v>-4700434.4000000004</v>
      </c>
      <c r="C24" t="s">
        <v>1729</v>
      </c>
      <c r="D24" s="1" t="s">
        <v>1734</v>
      </c>
    </row>
    <row r="25" spans="1:4">
      <c r="A25" s="10" t="s">
        <v>1434</v>
      </c>
      <c r="B25" s="11">
        <v>-233204.26</v>
      </c>
      <c r="C25" t="s">
        <v>1729</v>
      </c>
    </row>
    <row r="26" spans="1:4">
      <c r="A26" s="10" t="s">
        <v>38</v>
      </c>
      <c r="B26" s="11">
        <v>-2867039.84</v>
      </c>
      <c r="C26" t="s">
        <v>1729</v>
      </c>
    </row>
    <row r="27" spans="1:4">
      <c r="A27" s="10" t="s">
        <v>481</v>
      </c>
      <c r="B27" s="11">
        <v>-261840.61</v>
      </c>
      <c r="C27" t="s">
        <v>1729</v>
      </c>
    </row>
    <row r="28" spans="1:4">
      <c r="A28" s="10" t="s">
        <v>24</v>
      </c>
      <c r="B28" s="11">
        <v>-418942.86</v>
      </c>
      <c r="C28" t="s">
        <v>1729</v>
      </c>
    </row>
    <row r="29" spans="1:4">
      <c r="A29" s="10" t="s">
        <v>1074</v>
      </c>
      <c r="B29" s="11">
        <v>-90750</v>
      </c>
      <c r="C29" t="s">
        <v>1729</v>
      </c>
    </row>
    <row r="30" spans="1:4">
      <c r="A30" s="10" t="s">
        <v>916</v>
      </c>
      <c r="B30" s="11">
        <v>-2721489.06</v>
      </c>
      <c r="C30" t="s">
        <v>1729</v>
      </c>
    </row>
    <row r="31" spans="1:4">
      <c r="A31" s="10" t="s">
        <v>933</v>
      </c>
      <c r="B31" s="11">
        <v>-557501.44999999995</v>
      </c>
      <c r="C31" t="s">
        <v>1729</v>
      </c>
    </row>
    <row r="32" spans="1:4">
      <c r="A32" s="10" t="s">
        <v>83</v>
      </c>
      <c r="B32" s="11">
        <v>-1694321.7699999998</v>
      </c>
      <c r="C32" t="s">
        <v>1729</v>
      </c>
    </row>
    <row r="33" spans="1:3">
      <c r="A33" s="10" t="s">
        <v>40</v>
      </c>
      <c r="B33" s="11">
        <v>-1430065</v>
      </c>
      <c r="C33" t="s">
        <v>1729</v>
      </c>
    </row>
    <row r="34" spans="1:3">
      <c r="A34" s="10" t="s">
        <v>1283</v>
      </c>
      <c r="B34" s="11">
        <v>-109905.54</v>
      </c>
      <c r="C34" t="s">
        <v>1729</v>
      </c>
    </row>
    <row r="35" spans="1:3">
      <c r="A35" s="10" t="s">
        <v>79</v>
      </c>
      <c r="B35" s="11">
        <v>-2776020</v>
      </c>
      <c r="C35" t="s">
        <v>1729</v>
      </c>
    </row>
    <row r="36" spans="1:3">
      <c r="A36" s="10" t="s">
        <v>47</v>
      </c>
      <c r="B36" s="11">
        <v>-1655564.14</v>
      </c>
      <c r="C36" t="s">
        <v>1729</v>
      </c>
    </row>
    <row r="37" spans="1:3">
      <c r="A37" s="31" t="s">
        <v>1295</v>
      </c>
      <c r="B37" s="32">
        <v>-5000</v>
      </c>
      <c r="C37" t="s">
        <v>1729</v>
      </c>
    </row>
    <row r="38" spans="1:3">
      <c r="A38" s="10" t="s">
        <v>1081</v>
      </c>
      <c r="B38" s="11">
        <v>-397247.6</v>
      </c>
      <c r="C38" t="s">
        <v>1729</v>
      </c>
    </row>
    <row r="39" spans="1:3">
      <c r="A39" s="10" t="s">
        <v>31</v>
      </c>
      <c r="B39" s="11">
        <v>-784318.85000000009</v>
      </c>
      <c r="C39" t="s">
        <v>1729</v>
      </c>
    </row>
    <row r="40" spans="1:3">
      <c r="A40" s="10" t="s">
        <v>42</v>
      </c>
      <c r="B40" s="11">
        <v>-1109134.3099999998</v>
      </c>
      <c r="C40" t="s">
        <v>1729</v>
      </c>
    </row>
    <row r="41" spans="1:3">
      <c r="A41" s="10" t="s">
        <v>927</v>
      </c>
      <c r="B41" s="11">
        <v>-1162800.75</v>
      </c>
      <c r="C41" t="s">
        <v>1729</v>
      </c>
    </row>
    <row r="42" spans="1:3">
      <c r="A42" s="8" t="s">
        <v>705</v>
      </c>
      <c r="B42" s="9">
        <v>3656.56</v>
      </c>
      <c r="C42" s="1" t="s">
        <v>1729</v>
      </c>
    </row>
    <row r="43" spans="1:3">
      <c r="A43" s="8" t="s">
        <v>1462</v>
      </c>
      <c r="B43" s="9">
        <v>1297.17</v>
      </c>
      <c r="C43" s="1" t="s">
        <v>1729</v>
      </c>
    </row>
    <row r="44" spans="1:3">
      <c r="A44" s="8" t="s">
        <v>372</v>
      </c>
      <c r="B44" s="9">
        <v>1801.36</v>
      </c>
      <c r="C44" s="1" t="s">
        <v>1729</v>
      </c>
    </row>
    <row r="45" spans="1:3">
      <c r="A45" s="8" t="s">
        <v>109</v>
      </c>
      <c r="B45" s="9">
        <v>4126.4799999999996</v>
      </c>
      <c r="C45" s="1" t="s">
        <v>1729</v>
      </c>
    </row>
    <row r="46" spans="1:3">
      <c r="A46" s="8" t="s">
        <v>409</v>
      </c>
      <c r="B46" s="9">
        <v>279.01</v>
      </c>
      <c r="C46" s="1" t="s">
        <v>1729</v>
      </c>
    </row>
    <row r="47" spans="1:3">
      <c r="A47" s="8" t="s">
        <v>385</v>
      </c>
      <c r="B47" s="9">
        <v>3720.2</v>
      </c>
      <c r="C47" s="1" t="s">
        <v>1729</v>
      </c>
    </row>
    <row r="48" spans="1:3">
      <c r="A48" s="8" t="s">
        <v>1154</v>
      </c>
      <c r="B48" s="9">
        <v>641.24</v>
      </c>
      <c r="C48" s="1" t="s">
        <v>1729</v>
      </c>
    </row>
    <row r="49" spans="1:3">
      <c r="A49" s="8" t="s">
        <v>1617</v>
      </c>
      <c r="B49" s="9">
        <v>832.15</v>
      </c>
      <c r="C49" s="1" t="s">
        <v>1729</v>
      </c>
    </row>
    <row r="50" spans="1:3">
      <c r="A50" s="8" t="s">
        <v>1184</v>
      </c>
      <c r="B50" s="9">
        <v>2612.9499999999998</v>
      </c>
      <c r="C50" s="1" t="s">
        <v>1729</v>
      </c>
    </row>
    <row r="51" spans="1:3">
      <c r="A51" s="8" t="s">
        <v>747</v>
      </c>
      <c r="B51" s="9">
        <v>734.25</v>
      </c>
      <c r="C51" s="1" t="s">
        <v>1729</v>
      </c>
    </row>
    <row r="52" spans="1:3">
      <c r="A52" s="8" t="s">
        <v>653</v>
      </c>
      <c r="B52" s="9">
        <v>210.48</v>
      </c>
      <c r="C52" s="1" t="s">
        <v>1729</v>
      </c>
    </row>
    <row r="53" spans="1:3">
      <c r="A53" s="8" t="s">
        <v>165</v>
      </c>
      <c r="B53" s="9">
        <v>841.94</v>
      </c>
      <c r="C53" s="1" t="s">
        <v>1729</v>
      </c>
    </row>
    <row r="54" spans="1:3">
      <c r="A54" s="8" t="s">
        <v>1410</v>
      </c>
      <c r="B54" s="9">
        <v>440.55</v>
      </c>
      <c r="C54" s="1" t="s">
        <v>1729</v>
      </c>
    </row>
    <row r="55" spans="1:3">
      <c r="A55" s="8" t="s">
        <v>1024</v>
      </c>
      <c r="B55" s="9">
        <v>469.92</v>
      </c>
      <c r="C55" s="1" t="s">
        <v>1729</v>
      </c>
    </row>
    <row r="56" spans="1:3">
      <c r="A56" s="8" t="s">
        <v>88</v>
      </c>
      <c r="B56" s="9">
        <v>210.48</v>
      </c>
      <c r="C56" s="1" t="s">
        <v>1729</v>
      </c>
    </row>
    <row r="57" spans="1:3">
      <c r="A57" s="8" t="s">
        <v>1361</v>
      </c>
      <c r="B57" s="9">
        <v>264.33</v>
      </c>
      <c r="C57" s="1" t="s">
        <v>1729</v>
      </c>
    </row>
    <row r="58" spans="1:3">
      <c r="A58" s="8" t="s">
        <v>1704</v>
      </c>
      <c r="B58" s="9">
        <v>440.55</v>
      </c>
      <c r="C58" s="1" t="s">
        <v>1729</v>
      </c>
    </row>
    <row r="59" spans="1:3">
      <c r="A59" s="8" t="s">
        <v>1652</v>
      </c>
      <c r="B59" s="9">
        <v>259.43</v>
      </c>
      <c r="C59" s="1" t="s">
        <v>1729</v>
      </c>
    </row>
    <row r="60" spans="1:3">
      <c r="A60" s="8" t="s">
        <v>270</v>
      </c>
      <c r="B60" s="9">
        <v>2330.02</v>
      </c>
      <c r="C60" s="1" t="s">
        <v>1729</v>
      </c>
    </row>
    <row r="61" spans="1:3">
      <c r="A61" s="8" t="s">
        <v>357</v>
      </c>
      <c r="B61" s="9">
        <v>210.48</v>
      </c>
      <c r="C61" s="1" t="s">
        <v>1729</v>
      </c>
    </row>
    <row r="62" spans="1:3">
      <c r="A62" s="8" t="s">
        <v>681</v>
      </c>
      <c r="B62" s="9">
        <v>1909.05</v>
      </c>
      <c r="C62" s="1" t="s">
        <v>1729</v>
      </c>
    </row>
    <row r="63" spans="1:3">
      <c r="A63" s="8" t="s">
        <v>789</v>
      </c>
      <c r="B63" s="9">
        <v>1468.5</v>
      </c>
      <c r="C63" s="1" t="s">
        <v>1729</v>
      </c>
    </row>
    <row r="64" spans="1:3">
      <c r="A64" s="8" t="s">
        <v>157</v>
      </c>
      <c r="B64" s="9">
        <v>2941.89</v>
      </c>
      <c r="C64" s="1" t="s">
        <v>1729</v>
      </c>
    </row>
    <row r="65" spans="1:3">
      <c r="A65" s="8" t="s">
        <v>843</v>
      </c>
      <c r="B65" s="9">
        <v>518.87</v>
      </c>
      <c r="C65" s="1" t="s">
        <v>1729</v>
      </c>
    </row>
    <row r="66" spans="1:3">
      <c r="A66" s="8" t="s">
        <v>1113</v>
      </c>
      <c r="B66" s="9">
        <v>93</v>
      </c>
      <c r="C66" s="1" t="s">
        <v>1729</v>
      </c>
    </row>
    <row r="67" spans="1:3">
      <c r="A67" s="8" t="s">
        <v>511</v>
      </c>
      <c r="B67" s="9">
        <v>1413.68</v>
      </c>
      <c r="C67" s="1" t="s">
        <v>1729</v>
      </c>
    </row>
    <row r="68" spans="1:3">
      <c r="A68" s="8" t="s">
        <v>863</v>
      </c>
      <c r="B68" s="9">
        <v>2408.34</v>
      </c>
      <c r="C68" s="1" t="s">
        <v>1729</v>
      </c>
    </row>
    <row r="69" spans="1:3">
      <c r="A69" s="8" t="s">
        <v>825</v>
      </c>
      <c r="B69" s="9">
        <v>4963.53</v>
      </c>
      <c r="C69" s="1" t="s">
        <v>1729</v>
      </c>
    </row>
    <row r="70" spans="1:3">
      <c r="A70" s="8" t="s">
        <v>684</v>
      </c>
      <c r="B70" s="9">
        <v>1517.45</v>
      </c>
      <c r="C70" s="1" t="s">
        <v>1729</v>
      </c>
    </row>
    <row r="71" spans="1:3">
      <c r="A71" s="8" t="s">
        <v>1564</v>
      </c>
      <c r="B71" s="9">
        <v>220.27</v>
      </c>
      <c r="C71" s="1" t="s">
        <v>1729</v>
      </c>
    </row>
    <row r="72" spans="1:3">
      <c r="A72" s="8" t="s">
        <v>505</v>
      </c>
      <c r="B72" s="9">
        <v>1439.13</v>
      </c>
      <c r="C72" s="1" t="s">
        <v>1729</v>
      </c>
    </row>
    <row r="73" spans="1:3">
      <c r="A73" s="8" t="s">
        <v>1276</v>
      </c>
      <c r="B73" s="9">
        <v>685.3</v>
      </c>
      <c r="C73" s="1" t="s">
        <v>1729</v>
      </c>
    </row>
    <row r="74" spans="1:3">
      <c r="A74" s="8" t="s">
        <v>726</v>
      </c>
      <c r="B74" s="9">
        <v>2486.66</v>
      </c>
      <c r="C74" s="1" t="s">
        <v>1729</v>
      </c>
    </row>
    <row r="75" spans="1:3">
      <c r="A75" s="8" t="s">
        <v>397</v>
      </c>
      <c r="B75" s="9">
        <v>2095.06</v>
      </c>
      <c r="C75" s="1" t="s">
        <v>1729</v>
      </c>
    </row>
    <row r="76" spans="1:3">
      <c r="A76" s="8" t="s">
        <v>1638</v>
      </c>
      <c r="B76" s="9">
        <v>372.02</v>
      </c>
      <c r="C76" s="1" t="s">
        <v>1729</v>
      </c>
    </row>
    <row r="77" spans="1:3">
      <c r="A77" s="8" t="s">
        <v>1497</v>
      </c>
      <c r="B77" s="9">
        <v>9236.86</v>
      </c>
      <c r="C77" s="1" t="s">
        <v>1729</v>
      </c>
    </row>
    <row r="78" spans="1:3">
      <c r="A78" s="8" t="s">
        <v>859</v>
      </c>
      <c r="B78" s="9">
        <v>1150.32</v>
      </c>
      <c r="C78" s="1" t="s">
        <v>1729</v>
      </c>
    </row>
    <row r="79" spans="1:3">
      <c r="A79" s="8" t="s">
        <v>874</v>
      </c>
      <c r="B79" s="9">
        <v>538.45000000000005</v>
      </c>
      <c r="C79" s="1" t="s">
        <v>1729</v>
      </c>
    </row>
    <row r="80" spans="1:3">
      <c r="A80" s="8" t="s">
        <v>1527</v>
      </c>
      <c r="B80" s="9">
        <v>783.2</v>
      </c>
      <c r="C80" s="1" t="s">
        <v>1729</v>
      </c>
    </row>
    <row r="81" spans="1:3">
      <c r="A81" s="8" t="s">
        <v>68</v>
      </c>
      <c r="B81" s="9">
        <v>1796.46</v>
      </c>
      <c r="C81" s="1" t="s">
        <v>1729</v>
      </c>
    </row>
    <row r="82" spans="1:3">
      <c r="A82" s="8" t="s">
        <v>732</v>
      </c>
      <c r="B82" s="9">
        <v>812.57</v>
      </c>
      <c r="C82" s="1" t="s">
        <v>1729</v>
      </c>
    </row>
    <row r="83" spans="1:3">
      <c r="A83" s="8" t="s">
        <v>1675</v>
      </c>
      <c r="B83" s="9">
        <v>3524.4</v>
      </c>
      <c r="C83" s="1" t="s">
        <v>1729</v>
      </c>
    </row>
    <row r="84" spans="1:3">
      <c r="A84" s="8" t="s">
        <v>1523</v>
      </c>
      <c r="B84" s="9">
        <v>660.82</v>
      </c>
      <c r="C84" s="1" t="s">
        <v>1729</v>
      </c>
    </row>
    <row r="85" spans="1:3">
      <c r="A85" s="8" t="s">
        <v>55</v>
      </c>
      <c r="B85" s="9">
        <v>1434.23</v>
      </c>
      <c r="C85" s="1" t="s">
        <v>1729</v>
      </c>
    </row>
    <row r="86" spans="1:3">
      <c r="A86" s="8" t="s">
        <v>533</v>
      </c>
      <c r="B86" s="9">
        <v>6362.52</v>
      </c>
      <c r="C86" s="1" t="s">
        <v>1729</v>
      </c>
    </row>
    <row r="87" spans="1:3">
      <c r="A87" s="8" t="s">
        <v>345</v>
      </c>
      <c r="B87" s="9">
        <v>11322.130000000001</v>
      </c>
      <c r="C87" s="1" t="s">
        <v>1729</v>
      </c>
    </row>
    <row r="88" spans="1:3">
      <c r="A88" s="8" t="s">
        <v>367</v>
      </c>
      <c r="B88" s="9">
        <v>1639.82</v>
      </c>
      <c r="C88" s="1" t="s">
        <v>1729</v>
      </c>
    </row>
    <row r="89" spans="1:3">
      <c r="A89" s="8" t="s">
        <v>1170</v>
      </c>
      <c r="B89" s="9">
        <v>1869.89</v>
      </c>
      <c r="C89" s="1" t="s">
        <v>1729</v>
      </c>
    </row>
    <row r="90" spans="1:3">
      <c r="A90" s="8" t="s">
        <v>1556</v>
      </c>
      <c r="B90" s="9">
        <v>724.46</v>
      </c>
      <c r="C90" s="1" t="s">
        <v>1729</v>
      </c>
    </row>
    <row r="91" spans="1:3">
      <c r="A91" s="8" t="s">
        <v>208</v>
      </c>
      <c r="B91" s="9">
        <v>342.65</v>
      </c>
      <c r="C91" s="1" t="s">
        <v>1729</v>
      </c>
    </row>
    <row r="92" spans="1:3">
      <c r="A92" s="8" t="s">
        <v>19</v>
      </c>
      <c r="B92" s="9">
        <v>1429.3400000000001</v>
      </c>
      <c r="C92" s="1" t="s">
        <v>1729</v>
      </c>
    </row>
    <row r="93" spans="1:3">
      <c r="A93" s="8" t="s">
        <v>663</v>
      </c>
      <c r="B93" s="9">
        <v>631.45000000000005</v>
      </c>
      <c r="C93" s="1" t="s">
        <v>1729</v>
      </c>
    </row>
    <row r="94" spans="1:3">
      <c r="A94" s="8" t="s">
        <v>468</v>
      </c>
      <c r="B94" s="9">
        <v>3299.23</v>
      </c>
      <c r="C94" s="1" t="s">
        <v>1729</v>
      </c>
    </row>
    <row r="95" spans="1:3">
      <c r="A95" s="8" t="s">
        <v>802</v>
      </c>
      <c r="B95" s="9">
        <v>1081.79</v>
      </c>
      <c r="C95" s="1" t="s">
        <v>1729</v>
      </c>
    </row>
    <row r="96" spans="1:3">
      <c r="A96" s="8" t="s">
        <v>911</v>
      </c>
      <c r="B96" s="9">
        <v>4904.79</v>
      </c>
      <c r="C96" s="1" t="s">
        <v>1729</v>
      </c>
    </row>
    <row r="97" spans="1:3">
      <c r="A97" s="8" t="s">
        <v>1349</v>
      </c>
      <c r="B97" s="9">
        <v>1233.54</v>
      </c>
      <c r="C97" s="1" t="s">
        <v>1729</v>
      </c>
    </row>
    <row r="98" spans="1:3">
      <c r="A98" s="8" t="s">
        <v>250</v>
      </c>
      <c r="B98" s="9">
        <v>1605.56</v>
      </c>
      <c r="C98" s="1" t="s">
        <v>1729</v>
      </c>
    </row>
    <row r="99" spans="1:3">
      <c r="A99" s="8" t="s">
        <v>541</v>
      </c>
      <c r="B99" s="9">
        <v>259.43</v>
      </c>
      <c r="C99" s="1" t="s">
        <v>1729</v>
      </c>
    </row>
    <row r="100" spans="1:3">
      <c r="A100" s="8" t="s">
        <v>1027</v>
      </c>
      <c r="B100" s="9">
        <v>837.04</v>
      </c>
      <c r="C100" s="1" t="s">
        <v>1729</v>
      </c>
    </row>
    <row r="101" spans="1:3">
      <c r="A101" s="8" t="s">
        <v>293</v>
      </c>
      <c r="B101" s="9">
        <v>420.97</v>
      </c>
      <c r="C101" s="1" t="s">
        <v>1729</v>
      </c>
    </row>
    <row r="102" spans="1:3">
      <c r="A102" s="8" t="s">
        <v>1279</v>
      </c>
      <c r="B102" s="9">
        <v>1644.72</v>
      </c>
      <c r="C102" s="1" t="s">
        <v>1729</v>
      </c>
    </row>
    <row r="103" spans="1:3">
      <c r="A103" s="8" t="s">
        <v>1631</v>
      </c>
      <c r="B103" s="9">
        <v>988.79</v>
      </c>
      <c r="C103" s="1" t="s">
        <v>1729</v>
      </c>
    </row>
    <row r="104" spans="1:3">
      <c r="A104" s="8" t="s">
        <v>1459</v>
      </c>
      <c r="B104" s="9">
        <v>3123.01</v>
      </c>
      <c r="C104" s="1" t="s">
        <v>1729</v>
      </c>
    </row>
    <row r="105" spans="1:3">
      <c r="A105" s="8" t="s">
        <v>1623</v>
      </c>
      <c r="B105" s="9">
        <v>12090.65</v>
      </c>
      <c r="C105" s="1" t="s">
        <v>1729</v>
      </c>
    </row>
    <row r="106" spans="1:3">
      <c r="A106" s="8" t="s">
        <v>316</v>
      </c>
      <c r="B106" s="9">
        <v>631.45000000000005</v>
      </c>
      <c r="C106" s="1" t="s">
        <v>1729</v>
      </c>
    </row>
    <row r="107" spans="1:3">
      <c r="A107" s="8" t="s">
        <v>1125</v>
      </c>
      <c r="B107" s="9">
        <v>1688.77</v>
      </c>
      <c r="C107" s="1" t="s">
        <v>1729</v>
      </c>
    </row>
    <row r="108" spans="1:3">
      <c r="A108" s="8" t="s">
        <v>106</v>
      </c>
      <c r="B108" s="9">
        <v>171.32</v>
      </c>
      <c r="C108" s="1" t="s">
        <v>1729</v>
      </c>
    </row>
    <row r="109" spans="1:3">
      <c r="A109" s="8" t="s">
        <v>1679</v>
      </c>
      <c r="B109" s="9">
        <v>7352.29</v>
      </c>
      <c r="C109" s="1" t="s">
        <v>1729</v>
      </c>
    </row>
    <row r="110" spans="1:3">
      <c r="A110" s="8" t="s">
        <v>475</v>
      </c>
      <c r="B110" s="9">
        <v>763.62</v>
      </c>
      <c r="C110" s="1" t="s">
        <v>1729</v>
      </c>
    </row>
    <row r="111" spans="1:3">
      <c r="A111" s="8" t="s">
        <v>1469</v>
      </c>
      <c r="B111" s="9">
        <v>1732.83</v>
      </c>
      <c r="C111" s="1" t="s">
        <v>1729</v>
      </c>
    </row>
    <row r="112" spans="1:3">
      <c r="A112" s="8" t="s">
        <v>566</v>
      </c>
      <c r="B112" s="9">
        <v>538.45000000000005</v>
      </c>
      <c r="C112" s="1" t="s">
        <v>1729</v>
      </c>
    </row>
    <row r="113" spans="1:3">
      <c r="A113" s="8" t="s">
        <v>242</v>
      </c>
      <c r="B113" s="9">
        <v>3602.72</v>
      </c>
      <c r="C113" s="1" t="s">
        <v>1729</v>
      </c>
    </row>
    <row r="114" spans="1:3">
      <c r="A114" s="8" t="s">
        <v>1219</v>
      </c>
      <c r="B114" s="9">
        <v>1150.32</v>
      </c>
      <c r="C114" s="1" t="s">
        <v>1729</v>
      </c>
    </row>
    <row r="115" spans="1:3">
      <c r="A115" s="8" t="s">
        <v>1543</v>
      </c>
      <c r="B115" s="9">
        <v>2682.46</v>
      </c>
      <c r="C115" s="1" t="s">
        <v>1729</v>
      </c>
    </row>
    <row r="116" spans="1:3">
      <c r="A116" s="8" t="s">
        <v>596</v>
      </c>
      <c r="B116" s="9">
        <v>1390.18</v>
      </c>
      <c r="C116" s="1" t="s">
        <v>1729</v>
      </c>
    </row>
    <row r="117" spans="1:3">
      <c r="A117" s="8" t="s">
        <v>798</v>
      </c>
      <c r="B117" s="9">
        <v>3162.17</v>
      </c>
      <c r="C117" s="1" t="s">
        <v>1729</v>
      </c>
    </row>
    <row r="118" spans="1:3">
      <c r="A118" s="8" t="s">
        <v>1333</v>
      </c>
      <c r="B118" s="9">
        <v>440.55</v>
      </c>
      <c r="C118" s="1" t="s">
        <v>1729</v>
      </c>
    </row>
    <row r="119" spans="1:3">
      <c r="A119" s="8" t="s">
        <v>400</v>
      </c>
      <c r="B119" s="9">
        <v>1595.77</v>
      </c>
      <c r="C119" s="1" t="s">
        <v>1729</v>
      </c>
    </row>
    <row r="120" spans="1:3">
      <c r="A120" s="8" t="s">
        <v>593</v>
      </c>
      <c r="B120" s="9">
        <v>518.86</v>
      </c>
      <c r="C120" s="1" t="s">
        <v>1729</v>
      </c>
    </row>
    <row r="121" spans="1:3">
      <c r="A121" s="8" t="s">
        <v>286</v>
      </c>
      <c r="B121" s="9">
        <v>4679.62</v>
      </c>
      <c r="C121" s="1" t="s">
        <v>1729</v>
      </c>
    </row>
    <row r="122" spans="1:3">
      <c r="A122" s="8" t="s">
        <v>496</v>
      </c>
      <c r="B122" s="9">
        <v>259.43</v>
      </c>
      <c r="C122" s="1" t="s">
        <v>1729</v>
      </c>
    </row>
    <row r="123" spans="1:3">
      <c r="A123" s="8" t="s">
        <v>1596</v>
      </c>
      <c r="B123" s="9">
        <v>1762.2</v>
      </c>
      <c r="C123" s="1" t="s">
        <v>1729</v>
      </c>
    </row>
    <row r="124" spans="1:3">
      <c r="A124" s="8" t="s">
        <v>216</v>
      </c>
      <c r="B124" s="9">
        <v>2021.63</v>
      </c>
      <c r="C124" s="1" t="s">
        <v>1729</v>
      </c>
    </row>
    <row r="125" spans="1:3">
      <c r="A125" s="8" t="s">
        <v>776</v>
      </c>
      <c r="B125" s="9">
        <v>1527.24</v>
      </c>
      <c r="C125" s="1" t="s">
        <v>1729</v>
      </c>
    </row>
    <row r="126" spans="1:3">
      <c r="A126" s="8" t="s">
        <v>160</v>
      </c>
      <c r="B126" s="9">
        <v>489.5</v>
      </c>
      <c r="C126" s="1" t="s">
        <v>1729</v>
      </c>
    </row>
    <row r="127" spans="1:3">
      <c r="A127" s="8" t="s">
        <v>551</v>
      </c>
      <c r="B127" s="9">
        <v>3671.25</v>
      </c>
      <c r="C127" s="1" t="s">
        <v>1729</v>
      </c>
    </row>
    <row r="128" spans="1:3">
      <c r="A128" s="8" t="s">
        <v>1016</v>
      </c>
      <c r="B128" s="9">
        <v>5247.44</v>
      </c>
      <c r="C128" s="1" t="s">
        <v>1729</v>
      </c>
    </row>
    <row r="129" spans="1:3">
      <c r="A129" s="8" t="s">
        <v>1510</v>
      </c>
      <c r="B129" s="9">
        <v>504.18</v>
      </c>
      <c r="C129" s="1" t="s">
        <v>1729</v>
      </c>
    </row>
    <row r="130" spans="1:3">
      <c r="A130" s="8" t="s">
        <v>519</v>
      </c>
      <c r="B130" s="9">
        <v>3547.8999999999996</v>
      </c>
      <c r="C130" s="1" t="s">
        <v>1729</v>
      </c>
    </row>
    <row r="131" spans="1:3">
      <c r="A131" s="8" t="s">
        <v>1407</v>
      </c>
      <c r="B131" s="9">
        <v>176.22</v>
      </c>
      <c r="C131" s="1" t="s">
        <v>1729</v>
      </c>
    </row>
    <row r="132" spans="1:3">
      <c r="A132" s="8" t="s">
        <v>153</v>
      </c>
      <c r="B132" s="9">
        <v>210.48</v>
      </c>
      <c r="C132" s="1" t="s">
        <v>1729</v>
      </c>
    </row>
    <row r="133" spans="1:3">
      <c r="A133" s="8" t="s">
        <v>329</v>
      </c>
      <c r="B133" s="9">
        <v>3338.39</v>
      </c>
      <c r="C133" s="1" t="s">
        <v>1729</v>
      </c>
    </row>
    <row r="134" spans="1:3">
      <c r="A134" s="8" t="s">
        <v>134</v>
      </c>
      <c r="B134" s="9">
        <v>763.62</v>
      </c>
      <c r="C134" s="1" t="s">
        <v>1729</v>
      </c>
    </row>
    <row r="135" spans="1:3">
      <c r="A135" s="8" t="s">
        <v>1494</v>
      </c>
      <c r="B135" s="9">
        <v>1894.36</v>
      </c>
      <c r="C135" s="1" t="s">
        <v>1729</v>
      </c>
    </row>
    <row r="136" spans="1:3">
      <c r="A136" s="8" t="s">
        <v>1214</v>
      </c>
      <c r="B136" s="9">
        <v>7670.46</v>
      </c>
      <c r="C136" s="1" t="s">
        <v>1729</v>
      </c>
    </row>
    <row r="137" spans="1:3">
      <c r="A137" s="8" t="s">
        <v>1151</v>
      </c>
      <c r="B137" s="9">
        <v>1336.33</v>
      </c>
      <c r="C137" s="1" t="s">
        <v>1729</v>
      </c>
    </row>
    <row r="138" spans="1:3">
      <c r="A138" s="8" t="s">
        <v>1506</v>
      </c>
      <c r="B138" s="9">
        <v>2731.41</v>
      </c>
      <c r="C138" s="1" t="s">
        <v>1729</v>
      </c>
    </row>
    <row r="139" spans="1:3">
      <c r="A139" s="8" t="s">
        <v>1224</v>
      </c>
      <c r="B139" s="9">
        <v>2638.4</v>
      </c>
      <c r="C139" s="1" t="s">
        <v>1729</v>
      </c>
    </row>
    <row r="140" spans="1:3">
      <c r="A140" s="8" t="s">
        <v>1318</v>
      </c>
      <c r="B140" s="9">
        <v>2593.37</v>
      </c>
      <c r="C140" s="1" t="s">
        <v>1729</v>
      </c>
    </row>
    <row r="141" spans="1:3">
      <c r="A141" s="8" t="s">
        <v>837</v>
      </c>
      <c r="B141" s="9">
        <v>3876.84</v>
      </c>
      <c r="C141" s="1" t="s">
        <v>1729</v>
      </c>
    </row>
    <row r="142" spans="1:3">
      <c r="A142" s="8" t="s">
        <v>575</v>
      </c>
      <c r="B142" s="9">
        <v>513.97</v>
      </c>
      <c r="C142" s="1" t="s">
        <v>1729</v>
      </c>
    </row>
    <row r="143" spans="1:3">
      <c r="A143" s="8" t="s">
        <v>92</v>
      </c>
      <c r="B143" s="9">
        <v>381.81</v>
      </c>
      <c r="C143" s="1" t="s">
        <v>1729</v>
      </c>
    </row>
    <row r="144" spans="1:3">
      <c r="A144" s="8" t="s">
        <v>1657</v>
      </c>
      <c r="B144" s="9">
        <v>1306.96</v>
      </c>
      <c r="C144" s="1" t="s">
        <v>1729</v>
      </c>
    </row>
    <row r="145" spans="1:3">
      <c r="A145" s="8" t="s">
        <v>1608</v>
      </c>
      <c r="B145" s="9">
        <v>1130.74</v>
      </c>
      <c r="C145" s="1" t="s">
        <v>1729</v>
      </c>
    </row>
    <row r="146" spans="1:3">
      <c r="A146" s="8" t="s">
        <v>464</v>
      </c>
      <c r="B146" s="9">
        <v>837.04</v>
      </c>
      <c r="C146" s="1" t="s">
        <v>1729</v>
      </c>
    </row>
    <row r="147" spans="1:3">
      <c r="A147" s="8" t="s">
        <v>1340</v>
      </c>
      <c r="B147" s="9">
        <v>1213.96</v>
      </c>
      <c r="C147" s="1" t="s">
        <v>1729</v>
      </c>
    </row>
    <row r="148" spans="1:3">
      <c r="A148" s="8" t="s">
        <v>1391</v>
      </c>
      <c r="B148" s="9">
        <v>646.14</v>
      </c>
      <c r="C148" s="1" t="s">
        <v>1729</v>
      </c>
    </row>
    <row r="149" spans="1:3">
      <c r="A149" s="8" t="s">
        <v>607</v>
      </c>
      <c r="B149" s="9">
        <v>1179.69</v>
      </c>
      <c r="C149" s="1" t="s">
        <v>1729</v>
      </c>
    </row>
    <row r="150" spans="1:3">
      <c r="A150" s="8" t="s">
        <v>302</v>
      </c>
      <c r="B150" s="9">
        <v>259.43</v>
      </c>
      <c r="C150" s="1" t="s">
        <v>1729</v>
      </c>
    </row>
    <row r="151" spans="1:3">
      <c r="A151" s="8" t="s">
        <v>1237</v>
      </c>
      <c r="B151" s="9">
        <v>1008.37</v>
      </c>
      <c r="C151" s="1" t="s">
        <v>1729</v>
      </c>
    </row>
    <row r="152" spans="1:3">
      <c r="A152" s="8" t="s">
        <v>1180</v>
      </c>
      <c r="B152" s="9">
        <v>734.25</v>
      </c>
      <c r="C152" s="1" t="s">
        <v>1729</v>
      </c>
    </row>
    <row r="153" spans="1:3">
      <c r="A153" s="8" t="s">
        <v>1001</v>
      </c>
      <c r="B153" s="9">
        <v>2750.99</v>
      </c>
      <c r="C153" s="1" t="s">
        <v>1729</v>
      </c>
    </row>
    <row r="154" spans="1:3">
      <c r="A154" s="8" t="s">
        <v>1559</v>
      </c>
      <c r="B154" s="9">
        <v>416.07</v>
      </c>
      <c r="C154" s="1" t="s">
        <v>1729</v>
      </c>
    </row>
    <row r="155" spans="1:3">
      <c r="A155" s="8" t="s">
        <v>1192</v>
      </c>
      <c r="B155" s="9">
        <v>2261.4899999999998</v>
      </c>
      <c r="C155" s="1" t="s">
        <v>1729</v>
      </c>
    </row>
    <row r="156" spans="1:3">
      <c r="A156" s="8" t="s">
        <v>1375</v>
      </c>
      <c r="B156" s="9">
        <v>10240.34</v>
      </c>
      <c r="C156" s="1" t="s">
        <v>1729</v>
      </c>
    </row>
    <row r="157" spans="1:3">
      <c r="A157" s="8" t="s">
        <v>1699</v>
      </c>
      <c r="B157" s="9">
        <v>2413.23</v>
      </c>
      <c r="C157" s="1" t="s">
        <v>1729</v>
      </c>
    </row>
    <row r="158" spans="1:3">
      <c r="A158" s="8" t="s">
        <v>816</v>
      </c>
      <c r="B158" s="9">
        <v>2750.99</v>
      </c>
      <c r="C158" s="1" t="s">
        <v>1729</v>
      </c>
    </row>
    <row r="159" spans="1:3">
      <c r="A159" s="8" t="s">
        <v>417</v>
      </c>
      <c r="B159" s="9">
        <v>244.75</v>
      </c>
      <c r="C159" s="1" t="s">
        <v>1729</v>
      </c>
    </row>
    <row r="160" spans="1:3">
      <c r="A160" s="8" t="s">
        <v>74</v>
      </c>
      <c r="B160" s="9">
        <v>1380.39</v>
      </c>
      <c r="C160" s="1" t="s">
        <v>1729</v>
      </c>
    </row>
    <row r="161" spans="1:3">
      <c r="A161" s="8" t="s">
        <v>233</v>
      </c>
      <c r="B161" s="9">
        <v>1365.7</v>
      </c>
      <c r="C161" s="1" t="s">
        <v>1729</v>
      </c>
    </row>
    <row r="162" spans="1:3">
      <c r="A162" s="8" t="s">
        <v>313</v>
      </c>
      <c r="B162" s="9">
        <v>1674.09</v>
      </c>
      <c r="C162" s="1" t="s">
        <v>1729</v>
      </c>
    </row>
    <row r="163" spans="1:3">
      <c r="A163" s="8" t="s">
        <v>524</v>
      </c>
      <c r="B163" s="9">
        <v>1385.28</v>
      </c>
      <c r="C163" s="1" t="s">
        <v>1729</v>
      </c>
    </row>
    <row r="164" spans="1:3">
      <c r="A164" s="8" t="s">
        <v>325</v>
      </c>
      <c r="B164" s="9">
        <v>1864.99</v>
      </c>
      <c r="C164" s="1" t="s">
        <v>1729</v>
      </c>
    </row>
    <row r="165" spans="1:3">
      <c r="A165" s="8" t="s">
        <v>878</v>
      </c>
      <c r="B165" s="9">
        <v>763.62</v>
      </c>
      <c r="C165" s="1" t="s">
        <v>1729</v>
      </c>
    </row>
    <row r="166" spans="1:3">
      <c r="A166" s="8" t="s">
        <v>678</v>
      </c>
      <c r="B166" s="9">
        <v>3509.71</v>
      </c>
      <c r="C166" s="1" t="s">
        <v>1729</v>
      </c>
    </row>
    <row r="167" spans="1:3">
      <c r="A167" s="6" t="s">
        <v>1720</v>
      </c>
      <c r="B167" s="7">
        <v>-2007168.579999971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57"/>
  <sheetViews>
    <sheetView topLeftCell="A124" zoomScale="85" zoomScaleNormal="85" workbookViewId="0">
      <selection activeCell="B1542" sqref="B1542"/>
    </sheetView>
  </sheetViews>
  <sheetFormatPr baseColWidth="10" defaultColWidth="9.140625" defaultRowHeight="15"/>
  <cols>
    <col min="1" max="1" width="23.42578125" style="1" customWidth="1"/>
    <col min="2" max="2" width="23" style="1" customWidth="1"/>
    <col min="3" max="3" width="14.42578125" style="1" bestFit="1" customWidth="1"/>
    <col min="4" max="4" width="23.42578125" style="1" bestFit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142" t="s">
        <v>2008</v>
      </c>
      <c r="B1" s="143"/>
      <c r="C1" s="143"/>
      <c r="D1" s="143"/>
      <c r="E1" s="143"/>
      <c r="F1" s="143"/>
      <c r="G1" s="143"/>
      <c r="H1" s="143"/>
    </row>
    <row r="2" spans="1:8">
      <c r="A2" s="36"/>
      <c r="B2" s="37"/>
    </row>
    <row r="3" spans="1:8">
      <c r="A3" s="36" t="s">
        <v>1751</v>
      </c>
      <c r="B3" s="37" t="s">
        <v>1752</v>
      </c>
    </row>
    <row r="4" spans="1:8">
      <c r="A4" s="36" t="s">
        <v>1753</v>
      </c>
      <c r="B4" s="37" t="s">
        <v>2009</v>
      </c>
    </row>
    <row r="5" spans="1:8">
      <c r="A5" s="36" t="s">
        <v>1755</v>
      </c>
      <c r="B5" s="37" t="s">
        <v>1756</v>
      </c>
    </row>
    <row r="6" spans="1:8">
      <c r="A6" s="36" t="s">
        <v>1757</v>
      </c>
      <c r="B6" s="37" t="s">
        <v>1758</v>
      </c>
    </row>
    <row r="8" spans="1:8">
      <c r="A8" s="38" t="s">
        <v>1759</v>
      </c>
      <c r="B8" s="46" t="s">
        <v>1760</v>
      </c>
    </row>
    <row r="9" spans="1:8">
      <c r="A9" s="1" t="s">
        <v>1761</v>
      </c>
      <c r="B9" s="47" t="s">
        <v>2010</v>
      </c>
    </row>
    <row r="10" spans="1:8">
      <c r="A10" s="1" t="s">
        <v>2011</v>
      </c>
      <c r="B10" s="47" t="s">
        <v>2012</v>
      </c>
    </row>
    <row r="11" spans="1:8">
      <c r="A11" s="1" t="s">
        <v>2013</v>
      </c>
      <c r="B11" s="47" t="s">
        <v>2014</v>
      </c>
    </row>
    <row r="12" spans="1:8">
      <c r="A12" s="1" t="s">
        <v>2015</v>
      </c>
      <c r="B12" s="47" t="s">
        <v>2016</v>
      </c>
    </row>
    <row r="13" spans="1:8">
      <c r="A13" s="1" t="s">
        <v>1763</v>
      </c>
      <c r="B13" s="47" t="s">
        <v>2017</v>
      </c>
    </row>
    <row r="14" spans="1:8">
      <c r="A14" s="1" t="s">
        <v>1765</v>
      </c>
      <c r="B14" s="47" t="s">
        <v>2018</v>
      </c>
    </row>
    <row r="16" spans="1:8">
      <c r="A16" s="144" t="s">
        <v>2019</v>
      </c>
      <c r="B16" s="144"/>
      <c r="C16" s="144"/>
      <c r="D16" s="144"/>
    </row>
    <row r="17" spans="1:8">
      <c r="A17" s="41" t="s">
        <v>1778</v>
      </c>
      <c r="B17" s="41"/>
      <c r="C17" s="41"/>
      <c r="D17" s="41"/>
      <c r="E17" s="41"/>
      <c r="F17" s="41"/>
      <c r="G17" s="41"/>
      <c r="H17" s="41"/>
    </row>
    <row r="19" spans="1:8">
      <c r="A19" s="145" t="s">
        <v>1769</v>
      </c>
      <c r="B19" s="145"/>
      <c r="C19" s="145"/>
      <c r="D19" s="145"/>
      <c r="E19" s="146" t="s">
        <v>1770</v>
      </c>
      <c r="F19" s="146"/>
      <c r="G19" s="146"/>
      <c r="H19" s="146"/>
    </row>
    <row r="20" spans="1:8">
      <c r="A20" s="93" t="s">
        <v>1774</v>
      </c>
      <c r="B20" s="48" t="s">
        <v>1772</v>
      </c>
      <c r="C20" s="48" t="s">
        <v>1773</v>
      </c>
      <c r="D20" s="48" t="s">
        <v>2020</v>
      </c>
      <c r="E20" s="48" t="s">
        <v>1775</v>
      </c>
      <c r="F20" s="48" t="s">
        <v>1776</v>
      </c>
      <c r="G20" s="48" t="s">
        <v>1761</v>
      </c>
      <c r="H20" s="48" t="s">
        <v>1763</v>
      </c>
    </row>
    <row r="21" spans="1:8">
      <c r="A21" s="91">
        <v>123865265509</v>
      </c>
      <c r="B21" s="43" t="s">
        <v>1779</v>
      </c>
      <c r="C21" s="1" t="s">
        <v>2021</v>
      </c>
      <c r="D21" s="49">
        <v>660</v>
      </c>
      <c r="E21" s="43" t="s">
        <v>1781</v>
      </c>
      <c r="F21" s="37" t="s">
        <v>2022</v>
      </c>
      <c r="G21" s="44">
        <v>660</v>
      </c>
      <c r="H21" s="44">
        <v>9.9</v>
      </c>
    </row>
    <row r="22" spans="1:8">
      <c r="A22" s="91">
        <v>124236877691</v>
      </c>
      <c r="B22" s="43" t="s">
        <v>1788</v>
      </c>
      <c r="C22" s="1" t="s">
        <v>2021</v>
      </c>
      <c r="D22" s="49">
        <v>1465</v>
      </c>
      <c r="E22" s="43" t="s">
        <v>1788</v>
      </c>
      <c r="F22" s="37" t="s">
        <v>2022</v>
      </c>
      <c r="G22" s="44">
        <v>1465</v>
      </c>
      <c r="H22" s="44">
        <v>21.98</v>
      </c>
    </row>
    <row r="23" spans="1:8">
      <c r="A23" s="91">
        <v>124253070499</v>
      </c>
      <c r="B23" s="43" t="s">
        <v>1788</v>
      </c>
      <c r="C23" s="1" t="s">
        <v>2021</v>
      </c>
      <c r="D23" s="49">
        <v>1835</v>
      </c>
      <c r="E23" s="43" t="s">
        <v>1792</v>
      </c>
      <c r="F23" s="37" t="s">
        <v>2022</v>
      </c>
      <c r="G23" s="44">
        <v>1835</v>
      </c>
      <c r="H23" s="44">
        <v>27.53</v>
      </c>
    </row>
    <row r="24" spans="1:8">
      <c r="A24" s="91">
        <v>124254045511</v>
      </c>
      <c r="B24" s="43" t="s">
        <v>1788</v>
      </c>
      <c r="C24" s="1" t="s">
        <v>2021</v>
      </c>
      <c r="D24" s="49">
        <v>1410</v>
      </c>
      <c r="E24" s="43" t="s">
        <v>1792</v>
      </c>
      <c r="F24" s="37" t="s">
        <v>2022</v>
      </c>
      <c r="G24" s="44">
        <v>1410</v>
      </c>
      <c r="H24" s="44">
        <v>21.15</v>
      </c>
    </row>
    <row r="25" spans="1:8">
      <c r="A25" s="91">
        <v>124362828291</v>
      </c>
      <c r="B25" s="43" t="s">
        <v>1792</v>
      </c>
      <c r="C25" s="1" t="s">
        <v>2021</v>
      </c>
      <c r="D25" s="49">
        <v>215</v>
      </c>
      <c r="E25" s="43" t="s">
        <v>1792</v>
      </c>
      <c r="F25" s="37" t="s">
        <v>2022</v>
      </c>
      <c r="G25" s="44">
        <v>215</v>
      </c>
      <c r="H25" s="44">
        <v>3.23</v>
      </c>
    </row>
    <row r="26" spans="1:8">
      <c r="A26" s="91">
        <v>124909138878</v>
      </c>
      <c r="B26" s="43" t="s">
        <v>1792</v>
      </c>
      <c r="C26" s="1" t="s">
        <v>2021</v>
      </c>
      <c r="D26" s="49">
        <v>390</v>
      </c>
      <c r="E26" s="43" t="s">
        <v>1792</v>
      </c>
      <c r="F26" s="37" t="s">
        <v>2022</v>
      </c>
      <c r="G26" s="44">
        <v>390</v>
      </c>
      <c r="H26" s="44">
        <v>5.85</v>
      </c>
    </row>
    <row r="27" spans="1:8">
      <c r="A27" s="91">
        <v>124926882200</v>
      </c>
      <c r="B27" s="43" t="s">
        <v>1792</v>
      </c>
      <c r="C27" s="1" t="s">
        <v>2021</v>
      </c>
      <c r="D27" s="49">
        <v>175</v>
      </c>
      <c r="E27" s="43" t="s">
        <v>1792</v>
      </c>
      <c r="F27" s="37" t="s">
        <v>2022</v>
      </c>
      <c r="G27" s="44">
        <v>175</v>
      </c>
      <c r="H27" s="44">
        <v>2.63</v>
      </c>
    </row>
    <row r="28" spans="1:8">
      <c r="A28" s="91">
        <v>124386769841</v>
      </c>
      <c r="B28" s="43" t="s">
        <v>1792</v>
      </c>
      <c r="C28" s="1" t="s">
        <v>2021</v>
      </c>
      <c r="D28" s="49">
        <v>390</v>
      </c>
      <c r="E28" s="43" t="s">
        <v>1800</v>
      </c>
      <c r="F28" s="37" t="s">
        <v>2022</v>
      </c>
      <c r="G28" s="44">
        <v>390</v>
      </c>
      <c r="H28" s="44">
        <v>5.85</v>
      </c>
    </row>
    <row r="29" spans="1:8">
      <c r="A29" s="91">
        <v>124382023949</v>
      </c>
      <c r="B29" s="43" t="s">
        <v>1792</v>
      </c>
      <c r="C29" s="1" t="s">
        <v>2021</v>
      </c>
      <c r="D29" s="49">
        <v>4215</v>
      </c>
      <c r="E29" s="43" t="s">
        <v>1792</v>
      </c>
      <c r="F29" s="37" t="s">
        <v>2022</v>
      </c>
      <c r="G29" s="44">
        <v>4215</v>
      </c>
      <c r="H29" s="44">
        <v>63.23</v>
      </c>
    </row>
    <row r="30" spans="1:8">
      <c r="A30" s="91">
        <v>124933915330</v>
      </c>
      <c r="B30" s="43" t="s">
        <v>1792</v>
      </c>
      <c r="C30" s="1" t="s">
        <v>2021</v>
      </c>
      <c r="D30" s="49">
        <v>390</v>
      </c>
      <c r="E30" s="43" t="s">
        <v>1800</v>
      </c>
      <c r="F30" s="37" t="s">
        <v>2022</v>
      </c>
      <c r="G30" s="44">
        <v>390</v>
      </c>
      <c r="H30" s="44">
        <v>5.85</v>
      </c>
    </row>
    <row r="31" spans="1:8">
      <c r="A31" s="91">
        <v>124389351389</v>
      </c>
      <c r="B31" s="43" t="s">
        <v>1792</v>
      </c>
      <c r="C31" s="1" t="s">
        <v>2021</v>
      </c>
      <c r="D31" s="49">
        <v>3005</v>
      </c>
      <c r="E31" s="43" t="s">
        <v>1800</v>
      </c>
      <c r="F31" s="37" t="s">
        <v>2022</v>
      </c>
      <c r="G31" s="44">
        <v>3005</v>
      </c>
      <c r="H31" s="44">
        <v>45.08</v>
      </c>
    </row>
    <row r="32" spans="1:8">
      <c r="A32" s="91">
        <v>124389417047</v>
      </c>
      <c r="B32" s="43" t="s">
        <v>1792</v>
      </c>
      <c r="C32" s="1" t="s">
        <v>2021</v>
      </c>
      <c r="D32" s="49">
        <v>500</v>
      </c>
      <c r="E32" s="43" t="s">
        <v>1800</v>
      </c>
      <c r="F32" s="37" t="s">
        <v>2022</v>
      </c>
      <c r="G32" s="44">
        <v>500</v>
      </c>
      <c r="H32" s="44">
        <v>7.5</v>
      </c>
    </row>
    <row r="33" spans="1:8">
      <c r="A33" s="91">
        <v>124935440028</v>
      </c>
      <c r="B33" s="43" t="s">
        <v>1800</v>
      </c>
      <c r="C33" s="1" t="s">
        <v>2021</v>
      </c>
      <c r="D33" s="49">
        <v>430</v>
      </c>
      <c r="E33" s="43" t="s">
        <v>1800</v>
      </c>
      <c r="F33" s="37" t="s">
        <v>2022</v>
      </c>
      <c r="G33" s="44">
        <v>430</v>
      </c>
      <c r="H33" s="44">
        <v>6.45</v>
      </c>
    </row>
    <row r="34" spans="1:8">
      <c r="A34" s="91">
        <v>124389262853</v>
      </c>
      <c r="B34" s="43" t="s">
        <v>1792</v>
      </c>
      <c r="C34" s="1" t="s">
        <v>2021</v>
      </c>
      <c r="D34" s="49">
        <v>215</v>
      </c>
      <c r="E34" s="43" t="s">
        <v>1800</v>
      </c>
      <c r="F34" s="37" t="s">
        <v>2022</v>
      </c>
      <c r="G34" s="44">
        <v>215</v>
      </c>
      <c r="H34" s="44">
        <v>3.23</v>
      </c>
    </row>
    <row r="35" spans="1:8">
      <c r="A35" s="91">
        <v>124391779837</v>
      </c>
      <c r="B35" s="43" t="s">
        <v>1800</v>
      </c>
      <c r="C35" s="1" t="s">
        <v>2021</v>
      </c>
      <c r="D35" s="49">
        <v>430</v>
      </c>
      <c r="E35" s="43" t="s">
        <v>1800</v>
      </c>
      <c r="F35" s="37" t="s">
        <v>2022</v>
      </c>
      <c r="G35" s="44">
        <v>430</v>
      </c>
      <c r="H35" s="44">
        <v>6.45</v>
      </c>
    </row>
    <row r="36" spans="1:8">
      <c r="A36" s="91">
        <v>125074601908</v>
      </c>
      <c r="B36" s="43" t="s">
        <v>1800</v>
      </c>
      <c r="C36" s="1" t="s">
        <v>2021</v>
      </c>
      <c r="D36" s="49">
        <v>350</v>
      </c>
      <c r="E36" s="43" t="s">
        <v>1800</v>
      </c>
      <c r="F36" s="37" t="s">
        <v>2022</v>
      </c>
      <c r="G36" s="44">
        <v>350</v>
      </c>
      <c r="H36" s="44">
        <v>5.25</v>
      </c>
    </row>
    <row r="37" spans="1:8">
      <c r="A37" s="91">
        <v>125077543030</v>
      </c>
      <c r="B37" s="43" t="s">
        <v>1800</v>
      </c>
      <c r="C37" s="1" t="s">
        <v>2021</v>
      </c>
      <c r="D37" s="49">
        <v>2065</v>
      </c>
      <c r="E37" s="43" t="s">
        <v>1800</v>
      </c>
      <c r="F37" s="37" t="s">
        <v>2022</v>
      </c>
      <c r="G37" s="44">
        <v>2065</v>
      </c>
      <c r="H37" s="44">
        <v>30.98</v>
      </c>
    </row>
    <row r="38" spans="1:8">
      <c r="A38" s="91">
        <v>124539894925</v>
      </c>
      <c r="B38" s="43" t="s">
        <v>1800</v>
      </c>
      <c r="C38" s="1" t="s">
        <v>2021</v>
      </c>
      <c r="D38" s="49">
        <v>1395</v>
      </c>
      <c r="E38" s="43" t="s">
        <v>1800</v>
      </c>
      <c r="F38" s="37" t="s">
        <v>2022</v>
      </c>
      <c r="G38" s="44">
        <v>1395</v>
      </c>
      <c r="H38" s="44">
        <v>20.93</v>
      </c>
    </row>
    <row r="39" spans="1:8">
      <c r="A39" s="91">
        <v>124541947467</v>
      </c>
      <c r="B39" s="43" t="s">
        <v>1800</v>
      </c>
      <c r="C39" s="1" t="s">
        <v>2021</v>
      </c>
      <c r="D39" s="49">
        <v>3680</v>
      </c>
      <c r="E39" s="43" t="s">
        <v>1800</v>
      </c>
      <c r="F39" s="37" t="s">
        <v>2022</v>
      </c>
      <c r="G39" s="44">
        <v>3680</v>
      </c>
      <c r="H39" s="44">
        <v>55.2</v>
      </c>
    </row>
    <row r="40" spans="1:8">
      <c r="A40" s="91">
        <v>125088937092</v>
      </c>
      <c r="B40" s="43" t="s">
        <v>1800</v>
      </c>
      <c r="C40" s="1" t="s">
        <v>2021</v>
      </c>
      <c r="D40" s="49">
        <v>1640</v>
      </c>
      <c r="E40" s="43" t="s">
        <v>1815</v>
      </c>
      <c r="F40" s="37" t="s">
        <v>2022</v>
      </c>
      <c r="G40" s="44">
        <v>1640</v>
      </c>
      <c r="H40" s="44">
        <v>24.6</v>
      </c>
    </row>
    <row r="41" spans="1:8">
      <c r="A41" s="91">
        <v>124548241441</v>
      </c>
      <c r="B41" s="43" t="s">
        <v>1815</v>
      </c>
      <c r="C41" s="1" t="s">
        <v>2021</v>
      </c>
      <c r="D41" s="49">
        <v>430</v>
      </c>
      <c r="E41" s="43" t="s">
        <v>1815</v>
      </c>
      <c r="F41" s="37" t="s">
        <v>2022</v>
      </c>
      <c r="G41" s="44">
        <v>430</v>
      </c>
      <c r="H41" s="44">
        <v>6.45</v>
      </c>
    </row>
    <row r="42" spans="1:8">
      <c r="A42" s="91">
        <v>124546179201</v>
      </c>
      <c r="B42" s="43" t="s">
        <v>1800</v>
      </c>
      <c r="C42" s="1" t="s">
        <v>2021</v>
      </c>
      <c r="D42" s="49">
        <v>2380</v>
      </c>
      <c r="E42" s="43" t="s">
        <v>1815</v>
      </c>
      <c r="F42" s="37" t="s">
        <v>2022</v>
      </c>
      <c r="G42" s="44">
        <v>2380</v>
      </c>
      <c r="H42" s="44">
        <v>35.700000000000003</v>
      </c>
    </row>
    <row r="43" spans="1:8">
      <c r="A43" s="91">
        <v>125093603866</v>
      </c>
      <c r="B43" s="43" t="s">
        <v>1815</v>
      </c>
      <c r="C43" s="1" t="s">
        <v>2021</v>
      </c>
      <c r="D43" s="49">
        <v>4780</v>
      </c>
      <c r="E43" s="43" t="s">
        <v>1815</v>
      </c>
      <c r="F43" s="37" t="s">
        <v>2022</v>
      </c>
      <c r="G43" s="44">
        <v>4780</v>
      </c>
      <c r="H43" s="44">
        <v>71.7</v>
      </c>
    </row>
    <row r="44" spans="1:8">
      <c r="A44" s="91">
        <v>124549164915</v>
      </c>
      <c r="B44" s="43" t="s">
        <v>1815</v>
      </c>
      <c r="C44" s="1" t="s">
        <v>2021</v>
      </c>
      <c r="D44" s="49">
        <v>265</v>
      </c>
      <c r="E44" s="43" t="s">
        <v>1815</v>
      </c>
      <c r="F44" s="37" t="s">
        <v>2022</v>
      </c>
      <c r="G44" s="44">
        <v>265</v>
      </c>
      <c r="H44" s="44">
        <v>3.98</v>
      </c>
    </row>
    <row r="45" spans="1:8">
      <c r="A45" s="91">
        <v>124550265849</v>
      </c>
      <c r="B45" s="43" t="s">
        <v>1815</v>
      </c>
      <c r="C45" s="1" t="s">
        <v>2021</v>
      </c>
      <c r="D45" s="49">
        <v>1710</v>
      </c>
      <c r="E45" s="43" t="s">
        <v>1815</v>
      </c>
      <c r="F45" s="37" t="s">
        <v>2022</v>
      </c>
      <c r="G45" s="44">
        <v>1710</v>
      </c>
      <c r="H45" s="44">
        <v>25.65</v>
      </c>
    </row>
    <row r="46" spans="1:8">
      <c r="A46" s="91">
        <v>125096223326</v>
      </c>
      <c r="B46" s="43" t="s">
        <v>1815</v>
      </c>
      <c r="C46" s="1" t="s">
        <v>2021</v>
      </c>
      <c r="D46" s="49">
        <v>645</v>
      </c>
      <c r="E46" s="43" t="s">
        <v>1815</v>
      </c>
      <c r="F46" s="37" t="s">
        <v>2022</v>
      </c>
      <c r="G46" s="44">
        <v>645</v>
      </c>
      <c r="H46" s="44">
        <v>9.68</v>
      </c>
    </row>
    <row r="47" spans="1:8">
      <c r="A47" s="91">
        <v>125200365970</v>
      </c>
      <c r="B47" s="43" t="s">
        <v>1815</v>
      </c>
      <c r="C47" s="1" t="s">
        <v>2021</v>
      </c>
      <c r="D47" s="49">
        <v>1905</v>
      </c>
      <c r="E47" s="43" t="s">
        <v>1815</v>
      </c>
      <c r="F47" s="37" t="s">
        <v>2022</v>
      </c>
      <c r="G47" s="44">
        <v>1905</v>
      </c>
      <c r="H47" s="44">
        <v>28.58</v>
      </c>
    </row>
    <row r="48" spans="1:8">
      <c r="A48" s="91">
        <v>124657355831</v>
      </c>
      <c r="B48" s="43" t="s">
        <v>1815</v>
      </c>
      <c r="C48" s="1" t="s">
        <v>2021</v>
      </c>
      <c r="D48" s="49">
        <v>3410</v>
      </c>
      <c r="E48" s="43" t="s">
        <v>1815</v>
      </c>
      <c r="F48" s="37" t="s">
        <v>2022</v>
      </c>
      <c r="G48" s="44">
        <v>3410</v>
      </c>
      <c r="H48" s="44">
        <v>51.15</v>
      </c>
    </row>
    <row r="49" spans="1:8">
      <c r="A49" s="91">
        <v>125212513170</v>
      </c>
      <c r="B49" s="43" t="s">
        <v>1815</v>
      </c>
      <c r="C49" s="1" t="s">
        <v>2021</v>
      </c>
      <c r="D49" s="49">
        <v>215</v>
      </c>
      <c r="E49" s="43" t="s">
        <v>1815</v>
      </c>
      <c r="F49" s="37" t="s">
        <v>2022</v>
      </c>
      <c r="G49" s="44">
        <v>215</v>
      </c>
      <c r="H49" s="44">
        <v>3.23</v>
      </c>
    </row>
    <row r="50" spans="1:8">
      <c r="A50" s="91">
        <v>124667969775</v>
      </c>
      <c r="B50" s="43" t="s">
        <v>1815</v>
      </c>
      <c r="C50" s="1" t="s">
        <v>2021</v>
      </c>
      <c r="D50" s="49">
        <v>1675</v>
      </c>
      <c r="E50" s="43" t="s">
        <v>1815</v>
      </c>
      <c r="F50" s="37" t="s">
        <v>2022</v>
      </c>
      <c r="G50" s="44">
        <v>1675</v>
      </c>
      <c r="H50" s="44">
        <v>25.13</v>
      </c>
    </row>
    <row r="51" spans="1:8">
      <c r="A51" s="91">
        <v>125215309354</v>
      </c>
      <c r="B51" s="43" t="s">
        <v>1815</v>
      </c>
      <c r="C51" s="1" t="s">
        <v>2021</v>
      </c>
      <c r="D51" s="49">
        <v>1840</v>
      </c>
      <c r="E51" s="43" t="s">
        <v>1815</v>
      </c>
      <c r="F51" s="37" t="s">
        <v>2022</v>
      </c>
      <c r="G51" s="44">
        <v>1840</v>
      </c>
      <c r="H51" s="44">
        <v>27.6</v>
      </c>
    </row>
    <row r="52" spans="1:8">
      <c r="A52" s="91">
        <v>125216496504</v>
      </c>
      <c r="B52" s="43" t="s">
        <v>1815</v>
      </c>
      <c r="C52" s="1" t="s">
        <v>2021</v>
      </c>
      <c r="D52" s="49">
        <v>3800</v>
      </c>
      <c r="E52" s="43" t="s">
        <v>1829</v>
      </c>
      <c r="F52" s="37" t="s">
        <v>2022</v>
      </c>
      <c r="G52" s="44">
        <v>3800</v>
      </c>
      <c r="H52" s="44">
        <v>57</v>
      </c>
    </row>
    <row r="53" spans="1:8">
      <c r="A53" s="91">
        <v>125210624856</v>
      </c>
      <c r="B53" s="43" t="s">
        <v>1815</v>
      </c>
      <c r="C53" s="1" t="s">
        <v>2021</v>
      </c>
      <c r="D53" s="49">
        <v>6765</v>
      </c>
      <c r="E53" s="43" t="s">
        <v>1815</v>
      </c>
      <c r="F53" s="37" t="s">
        <v>2022</v>
      </c>
      <c r="G53" s="44">
        <v>6765</v>
      </c>
      <c r="H53" s="44">
        <v>101.48</v>
      </c>
    </row>
    <row r="54" spans="1:8">
      <c r="A54" s="91">
        <v>124671562997</v>
      </c>
      <c r="B54" s="43" t="s">
        <v>1815</v>
      </c>
      <c r="C54" s="1" t="s">
        <v>2021</v>
      </c>
      <c r="D54" s="49">
        <v>2140</v>
      </c>
      <c r="E54" s="43" t="s">
        <v>1829</v>
      </c>
      <c r="F54" s="37" t="s">
        <v>2022</v>
      </c>
      <c r="G54" s="44">
        <v>2140</v>
      </c>
      <c r="H54" s="44">
        <v>32.1</v>
      </c>
    </row>
    <row r="55" spans="1:8">
      <c r="A55" s="91">
        <v>125218223556</v>
      </c>
      <c r="B55" s="43" t="s">
        <v>1815</v>
      </c>
      <c r="C55" s="1" t="s">
        <v>2021</v>
      </c>
      <c r="D55" s="49">
        <v>1630</v>
      </c>
      <c r="E55" s="43" t="s">
        <v>1829</v>
      </c>
      <c r="F55" s="37" t="s">
        <v>2022</v>
      </c>
      <c r="G55" s="44">
        <v>1630</v>
      </c>
      <c r="H55" s="44">
        <v>24.45</v>
      </c>
    </row>
    <row r="56" spans="1:8">
      <c r="A56" s="91">
        <v>124672793343</v>
      </c>
      <c r="B56" s="43" t="s">
        <v>1829</v>
      </c>
      <c r="C56" s="1" t="s">
        <v>2021</v>
      </c>
      <c r="D56" s="49">
        <v>285</v>
      </c>
      <c r="E56" s="43" t="s">
        <v>1829</v>
      </c>
      <c r="F56" s="37" t="s">
        <v>2022</v>
      </c>
      <c r="G56" s="44">
        <v>285</v>
      </c>
      <c r="H56" s="44">
        <v>4.28</v>
      </c>
    </row>
    <row r="57" spans="1:8">
      <c r="A57" s="91">
        <v>125220439184</v>
      </c>
      <c r="B57" s="43" t="s">
        <v>1829</v>
      </c>
      <c r="C57" s="1" t="s">
        <v>2021</v>
      </c>
      <c r="D57" s="49">
        <v>250</v>
      </c>
      <c r="E57" s="43" t="s">
        <v>1829</v>
      </c>
      <c r="F57" s="37" t="s">
        <v>2022</v>
      </c>
      <c r="G57" s="44">
        <v>250</v>
      </c>
      <c r="H57" s="44">
        <v>3.75</v>
      </c>
    </row>
    <row r="58" spans="1:8">
      <c r="A58" s="91">
        <v>124754626261</v>
      </c>
      <c r="B58" s="43" t="s">
        <v>1829</v>
      </c>
      <c r="C58" s="1" t="s">
        <v>2021</v>
      </c>
      <c r="D58" s="49">
        <v>4800</v>
      </c>
      <c r="E58" s="43" t="s">
        <v>1829</v>
      </c>
      <c r="F58" s="37" t="s">
        <v>2022</v>
      </c>
      <c r="G58" s="44">
        <v>4800</v>
      </c>
      <c r="H58" s="44">
        <v>72</v>
      </c>
    </row>
    <row r="59" spans="1:8">
      <c r="A59" s="91">
        <v>124767259737</v>
      </c>
      <c r="B59" s="43" t="s">
        <v>1829</v>
      </c>
      <c r="C59" s="1" t="s">
        <v>2021</v>
      </c>
      <c r="D59" s="49">
        <v>3370</v>
      </c>
      <c r="E59" s="43" t="s">
        <v>1837</v>
      </c>
      <c r="F59" s="37" t="s">
        <v>2022</v>
      </c>
      <c r="G59" s="44">
        <v>3370</v>
      </c>
      <c r="H59" s="44">
        <v>50.55</v>
      </c>
    </row>
    <row r="60" spans="1:8">
      <c r="A60" s="91">
        <v>125311377394</v>
      </c>
      <c r="B60" s="43" t="s">
        <v>1829</v>
      </c>
      <c r="C60" s="1" t="s">
        <v>2021</v>
      </c>
      <c r="D60" s="49">
        <v>855</v>
      </c>
      <c r="E60" s="43" t="s">
        <v>1829</v>
      </c>
      <c r="F60" s="37" t="s">
        <v>2022</v>
      </c>
      <c r="G60" s="44">
        <v>855</v>
      </c>
      <c r="H60" s="44">
        <v>12.83</v>
      </c>
    </row>
    <row r="61" spans="1:8">
      <c r="A61" s="91">
        <v>125315565192</v>
      </c>
      <c r="B61" s="43" t="s">
        <v>1837</v>
      </c>
      <c r="C61" s="1" t="s">
        <v>2021</v>
      </c>
      <c r="D61" s="49">
        <v>780</v>
      </c>
      <c r="E61" s="43" t="s">
        <v>1837</v>
      </c>
      <c r="F61" s="37" t="s">
        <v>2022</v>
      </c>
      <c r="G61" s="44">
        <v>780</v>
      </c>
      <c r="H61" s="44">
        <v>11.7</v>
      </c>
    </row>
    <row r="62" spans="1:8">
      <c r="A62" s="91">
        <v>125164003625</v>
      </c>
      <c r="B62" s="43" t="s">
        <v>1845</v>
      </c>
      <c r="C62" s="1" t="s">
        <v>2021</v>
      </c>
      <c r="D62" s="49">
        <v>265</v>
      </c>
      <c r="E62" s="43" t="s">
        <v>1845</v>
      </c>
      <c r="F62" s="37" t="s">
        <v>2022</v>
      </c>
      <c r="G62" s="44">
        <v>265</v>
      </c>
      <c r="H62" s="44">
        <v>3.98</v>
      </c>
    </row>
    <row r="63" spans="1:8">
      <c r="A63" s="91">
        <v>125177663781</v>
      </c>
      <c r="B63" s="43" t="s">
        <v>1845</v>
      </c>
      <c r="C63" s="1" t="s">
        <v>2021</v>
      </c>
      <c r="D63" s="49">
        <v>1444</v>
      </c>
      <c r="E63" s="43" t="s">
        <v>1845</v>
      </c>
      <c r="F63" s="37" t="s">
        <v>2022</v>
      </c>
      <c r="G63" s="44">
        <v>1444</v>
      </c>
      <c r="H63" s="44">
        <v>21.66</v>
      </c>
    </row>
    <row r="64" spans="1:8">
      <c r="A64" s="91">
        <v>125174633141</v>
      </c>
      <c r="B64" s="43" t="s">
        <v>1845</v>
      </c>
      <c r="C64" s="1" t="s">
        <v>2021</v>
      </c>
      <c r="D64" s="49">
        <v>1470</v>
      </c>
      <c r="E64" s="43" t="s">
        <v>1845</v>
      </c>
      <c r="F64" s="37" t="s">
        <v>2022</v>
      </c>
      <c r="G64" s="44">
        <v>1470</v>
      </c>
      <c r="H64" s="44">
        <v>22.05</v>
      </c>
    </row>
    <row r="65" spans="1:8">
      <c r="A65" s="91">
        <v>125728255084</v>
      </c>
      <c r="B65" s="43" t="s">
        <v>1845</v>
      </c>
      <c r="C65" s="1" t="s">
        <v>2021</v>
      </c>
      <c r="D65" s="49">
        <v>2044</v>
      </c>
      <c r="E65" s="43" t="s">
        <v>1845</v>
      </c>
      <c r="F65" s="37" t="s">
        <v>2022</v>
      </c>
      <c r="G65" s="44">
        <v>2044</v>
      </c>
      <c r="H65" s="44">
        <v>30.66</v>
      </c>
    </row>
    <row r="66" spans="1:8">
      <c r="A66" s="91">
        <v>125729182866</v>
      </c>
      <c r="B66" s="43" t="s">
        <v>1845</v>
      </c>
      <c r="C66" s="1" t="s">
        <v>2021</v>
      </c>
      <c r="D66" s="49">
        <v>1415</v>
      </c>
      <c r="E66" s="43" t="s">
        <v>1845</v>
      </c>
      <c r="F66" s="37" t="s">
        <v>2022</v>
      </c>
      <c r="G66" s="44">
        <v>1415</v>
      </c>
      <c r="H66" s="44">
        <v>21.23</v>
      </c>
    </row>
    <row r="67" spans="1:8">
      <c r="A67" s="91">
        <v>125186681353</v>
      </c>
      <c r="B67" s="43" t="s">
        <v>1849</v>
      </c>
      <c r="C67" s="1" t="s">
        <v>2021</v>
      </c>
      <c r="D67" s="49">
        <v>3750</v>
      </c>
      <c r="E67" s="43" t="s">
        <v>1849</v>
      </c>
      <c r="F67" s="37" t="s">
        <v>2022</v>
      </c>
      <c r="G67" s="44">
        <v>3750</v>
      </c>
      <c r="H67" s="44">
        <v>56.25</v>
      </c>
    </row>
    <row r="68" spans="1:8">
      <c r="A68" s="91">
        <v>125731139762</v>
      </c>
      <c r="B68" s="43" t="s">
        <v>1845</v>
      </c>
      <c r="C68" s="1" t="s">
        <v>2021</v>
      </c>
      <c r="D68" s="49">
        <v>6499</v>
      </c>
      <c r="E68" s="43" t="s">
        <v>1849</v>
      </c>
      <c r="F68" s="37" t="s">
        <v>2022</v>
      </c>
      <c r="G68" s="44">
        <v>6499</v>
      </c>
      <c r="H68" s="44">
        <v>97.49</v>
      </c>
    </row>
    <row r="69" spans="1:8">
      <c r="A69" s="91">
        <v>125185385327</v>
      </c>
      <c r="B69" s="43" t="s">
        <v>1849</v>
      </c>
      <c r="C69" s="1" t="s">
        <v>2021</v>
      </c>
      <c r="D69" s="49">
        <v>265</v>
      </c>
      <c r="E69" s="43" t="s">
        <v>1849</v>
      </c>
      <c r="F69" s="37" t="s">
        <v>2022</v>
      </c>
      <c r="G69" s="44">
        <v>265</v>
      </c>
      <c r="H69" s="44">
        <v>3.98</v>
      </c>
    </row>
    <row r="70" spans="1:8">
      <c r="A70" s="91">
        <v>125297082869</v>
      </c>
      <c r="B70" s="43" t="s">
        <v>1849</v>
      </c>
      <c r="C70" s="1" t="s">
        <v>2021</v>
      </c>
      <c r="D70" s="49">
        <v>550</v>
      </c>
      <c r="E70" s="43" t="s">
        <v>1849</v>
      </c>
      <c r="F70" s="37" t="s">
        <v>2022</v>
      </c>
      <c r="G70" s="44">
        <v>550</v>
      </c>
      <c r="H70" s="44">
        <v>8.25</v>
      </c>
    </row>
    <row r="71" spans="1:8">
      <c r="A71" s="91">
        <v>125852501254</v>
      </c>
      <c r="B71" s="43" t="s">
        <v>1849</v>
      </c>
      <c r="C71" s="1" t="s">
        <v>2021</v>
      </c>
      <c r="D71" s="49">
        <v>525</v>
      </c>
      <c r="E71" s="43" t="s">
        <v>1849</v>
      </c>
      <c r="F71" s="37" t="s">
        <v>2022</v>
      </c>
      <c r="G71" s="44">
        <v>525</v>
      </c>
      <c r="H71" s="44">
        <v>7.88</v>
      </c>
    </row>
    <row r="72" spans="1:8">
      <c r="A72" s="91">
        <v>125860256390</v>
      </c>
      <c r="B72" s="43" t="s">
        <v>1849</v>
      </c>
      <c r="C72" s="1" t="s">
        <v>2021</v>
      </c>
      <c r="D72" s="49">
        <v>1420</v>
      </c>
      <c r="E72" s="43" t="s">
        <v>1849</v>
      </c>
      <c r="F72" s="37" t="s">
        <v>2022</v>
      </c>
      <c r="G72" s="44">
        <v>1420</v>
      </c>
      <c r="H72" s="44">
        <v>21.3</v>
      </c>
    </row>
    <row r="73" spans="1:8">
      <c r="A73" s="91">
        <v>125858898284</v>
      </c>
      <c r="B73" s="43" t="s">
        <v>1849</v>
      </c>
      <c r="C73" s="1" t="s">
        <v>2021</v>
      </c>
      <c r="D73" s="49">
        <v>265</v>
      </c>
      <c r="E73" s="43" t="s">
        <v>1849</v>
      </c>
      <c r="F73" s="37" t="s">
        <v>2022</v>
      </c>
      <c r="G73" s="44">
        <v>265</v>
      </c>
      <c r="H73" s="44">
        <v>3.98</v>
      </c>
    </row>
    <row r="74" spans="1:8">
      <c r="A74" s="91">
        <v>125313726111</v>
      </c>
      <c r="B74" s="43" t="s">
        <v>1849</v>
      </c>
      <c r="C74" s="1" t="s">
        <v>2021</v>
      </c>
      <c r="D74" s="49">
        <v>1205</v>
      </c>
      <c r="E74" s="43" t="s">
        <v>1849</v>
      </c>
      <c r="F74" s="37" t="s">
        <v>2022</v>
      </c>
      <c r="G74" s="44">
        <v>1205</v>
      </c>
      <c r="H74" s="44">
        <v>18.079999999999998</v>
      </c>
    </row>
    <row r="75" spans="1:8">
      <c r="A75" s="91">
        <v>125322493613</v>
      </c>
      <c r="B75" s="43" t="s">
        <v>1864</v>
      </c>
      <c r="C75" s="1" t="s">
        <v>2021</v>
      </c>
      <c r="D75" s="49">
        <v>215</v>
      </c>
      <c r="E75" s="43" t="s">
        <v>1864</v>
      </c>
      <c r="F75" s="37" t="s">
        <v>2022</v>
      </c>
      <c r="G75" s="44">
        <v>215</v>
      </c>
      <c r="H75" s="44">
        <v>3.23</v>
      </c>
    </row>
    <row r="76" spans="1:8">
      <c r="A76" s="91">
        <v>125979013674</v>
      </c>
      <c r="B76" s="43" t="s">
        <v>1864</v>
      </c>
      <c r="C76" s="1" t="s">
        <v>2021</v>
      </c>
      <c r="D76" s="49">
        <v>645</v>
      </c>
      <c r="E76" s="43" t="s">
        <v>1864</v>
      </c>
      <c r="F76" s="37" t="s">
        <v>2022</v>
      </c>
      <c r="G76" s="44">
        <v>645</v>
      </c>
      <c r="H76" s="44">
        <v>9.68</v>
      </c>
    </row>
    <row r="77" spans="1:8">
      <c r="A77" s="91">
        <v>125449173473</v>
      </c>
      <c r="B77" s="43" t="s">
        <v>1864</v>
      </c>
      <c r="C77" s="1" t="s">
        <v>2021</v>
      </c>
      <c r="D77" s="49">
        <v>1950</v>
      </c>
      <c r="E77" s="43" t="s">
        <v>1864</v>
      </c>
      <c r="F77" s="37" t="s">
        <v>2022</v>
      </c>
      <c r="G77" s="44">
        <v>1950</v>
      </c>
      <c r="H77" s="44">
        <v>29.25</v>
      </c>
    </row>
    <row r="78" spans="1:8">
      <c r="A78" s="91">
        <v>126000953678</v>
      </c>
      <c r="B78" s="43" t="s">
        <v>1864</v>
      </c>
      <c r="C78" s="1" t="s">
        <v>2021</v>
      </c>
      <c r="D78" s="49">
        <v>1550</v>
      </c>
      <c r="E78" s="43" t="s">
        <v>1864</v>
      </c>
      <c r="F78" s="37" t="s">
        <v>2022</v>
      </c>
      <c r="G78" s="44">
        <v>1550</v>
      </c>
      <c r="H78" s="44">
        <v>23.25</v>
      </c>
    </row>
    <row r="79" spans="1:8">
      <c r="A79" s="91">
        <v>126000250952</v>
      </c>
      <c r="B79" s="43" t="s">
        <v>1864</v>
      </c>
      <c r="C79" s="1" t="s">
        <v>2021</v>
      </c>
      <c r="D79" s="49">
        <v>1390</v>
      </c>
      <c r="E79" s="43" t="s">
        <v>1864</v>
      </c>
      <c r="F79" s="37" t="s">
        <v>2022</v>
      </c>
      <c r="G79" s="44">
        <v>1390</v>
      </c>
      <c r="H79" s="44">
        <v>20.85</v>
      </c>
    </row>
    <row r="80" spans="1:8">
      <c r="A80" s="91">
        <v>126006713134</v>
      </c>
      <c r="B80" s="43" t="s">
        <v>1864</v>
      </c>
      <c r="C80" s="1" t="s">
        <v>2021</v>
      </c>
      <c r="D80" s="49">
        <v>3735</v>
      </c>
      <c r="E80" s="43" t="s">
        <v>1864</v>
      </c>
      <c r="F80" s="37" t="s">
        <v>2022</v>
      </c>
      <c r="G80" s="44">
        <v>3735</v>
      </c>
      <c r="H80" s="44">
        <v>56.03</v>
      </c>
    </row>
    <row r="81" spans="1:8">
      <c r="A81" s="91">
        <v>125459061033</v>
      </c>
      <c r="B81" s="43" t="s">
        <v>1864</v>
      </c>
      <c r="C81" s="1" t="s">
        <v>2021</v>
      </c>
      <c r="D81" s="49">
        <v>2540</v>
      </c>
      <c r="E81" s="43" t="s">
        <v>1874</v>
      </c>
      <c r="F81" s="37" t="s">
        <v>2022</v>
      </c>
      <c r="G81" s="44">
        <v>2540</v>
      </c>
      <c r="H81" s="44">
        <v>38.1</v>
      </c>
    </row>
    <row r="82" spans="1:8">
      <c r="A82" s="91">
        <v>125459873031</v>
      </c>
      <c r="B82" s="43" t="s">
        <v>1874</v>
      </c>
      <c r="C82" s="1" t="s">
        <v>2021</v>
      </c>
      <c r="D82" s="49">
        <v>830</v>
      </c>
      <c r="E82" s="43" t="s">
        <v>1874</v>
      </c>
      <c r="F82" s="37" t="s">
        <v>2022</v>
      </c>
      <c r="G82" s="44">
        <v>830</v>
      </c>
      <c r="H82" s="44">
        <v>12.45</v>
      </c>
    </row>
    <row r="83" spans="1:8">
      <c r="A83" s="91">
        <v>125461762901</v>
      </c>
      <c r="B83" s="43" t="s">
        <v>1874</v>
      </c>
      <c r="C83" s="1" t="s">
        <v>2021</v>
      </c>
      <c r="D83" s="49">
        <v>750</v>
      </c>
      <c r="E83" s="43" t="s">
        <v>1874</v>
      </c>
      <c r="F83" s="37" t="s">
        <v>2022</v>
      </c>
      <c r="G83" s="44">
        <v>750</v>
      </c>
      <c r="H83" s="44">
        <v>11.25</v>
      </c>
    </row>
    <row r="84" spans="1:8">
      <c r="A84" s="91">
        <v>125557234739</v>
      </c>
      <c r="B84" s="43" t="s">
        <v>1874</v>
      </c>
      <c r="C84" s="1" t="s">
        <v>2021</v>
      </c>
      <c r="D84" s="49">
        <v>1560</v>
      </c>
      <c r="E84" s="43" t="s">
        <v>1874</v>
      </c>
      <c r="F84" s="37" t="s">
        <v>2022</v>
      </c>
      <c r="G84" s="44">
        <v>1560</v>
      </c>
      <c r="H84" s="44">
        <v>23.4</v>
      </c>
    </row>
    <row r="85" spans="1:8">
      <c r="A85" s="91">
        <v>126117918928</v>
      </c>
      <c r="B85" s="43" t="s">
        <v>1874</v>
      </c>
      <c r="C85" s="1" t="s">
        <v>2021</v>
      </c>
      <c r="D85" s="49">
        <v>1500</v>
      </c>
      <c r="E85" s="43" t="s">
        <v>1874</v>
      </c>
      <c r="F85" s="37" t="s">
        <v>2022</v>
      </c>
      <c r="G85" s="44">
        <v>1500</v>
      </c>
      <c r="H85" s="44">
        <v>22.5</v>
      </c>
    </row>
    <row r="86" spans="1:8">
      <c r="A86" s="91">
        <v>125576459167</v>
      </c>
      <c r="B86" s="43" t="s">
        <v>1879</v>
      </c>
      <c r="C86" s="1" t="s">
        <v>2021</v>
      </c>
      <c r="D86" s="49">
        <v>3960</v>
      </c>
      <c r="E86" s="43" t="s">
        <v>1879</v>
      </c>
      <c r="F86" s="37" t="s">
        <v>2022</v>
      </c>
      <c r="G86" s="44">
        <v>3960</v>
      </c>
      <c r="H86" s="44">
        <v>59.4</v>
      </c>
    </row>
    <row r="87" spans="1:8">
      <c r="A87" s="91">
        <v>126121433118</v>
      </c>
      <c r="B87" s="43" t="s">
        <v>1874</v>
      </c>
      <c r="C87" s="1" t="s">
        <v>2021</v>
      </c>
      <c r="D87" s="49">
        <v>3230</v>
      </c>
      <c r="E87" s="43" t="s">
        <v>1874</v>
      </c>
      <c r="F87" s="37" t="s">
        <v>2022</v>
      </c>
      <c r="G87" s="44">
        <v>3230</v>
      </c>
      <c r="H87" s="44">
        <v>48.45</v>
      </c>
    </row>
    <row r="88" spans="1:8">
      <c r="A88" s="91">
        <v>125569350053</v>
      </c>
      <c r="B88" s="43" t="s">
        <v>1874</v>
      </c>
      <c r="C88" s="1" t="s">
        <v>2021</v>
      </c>
      <c r="D88" s="49">
        <v>1105</v>
      </c>
      <c r="E88" s="43" t="s">
        <v>1874</v>
      </c>
      <c r="F88" s="37" t="s">
        <v>2022</v>
      </c>
      <c r="G88" s="44">
        <v>1105</v>
      </c>
      <c r="H88" s="44">
        <v>16.579999999999998</v>
      </c>
    </row>
    <row r="89" spans="1:8">
      <c r="A89" s="91">
        <v>125578968239</v>
      </c>
      <c r="B89" s="43" t="s">
        <v>1879</v>
      </c>
      <c r="C89" s="1" t="s">
        <v>2021</v>
      </c>
      <c r="D89" s="49">
        <v>995</v>
      </c>
      <c r="E89" s="43" t="s">
        <v>1879</v>
      </c>
      <c r="F89" s="37" t="s">
        <v>2022</v>
      </c>
      <c r="G89" s="44">
        <v>995</v>
      </c>
      <c r="H89" s="44">
        <v>14.93</v>
      </c>
    </row>
    <row r="90" spans="1:8">
      <c r="A90" s="91">
        <v>126131385030</v>
      </c>
      <c r="B90" s="43" t="s">
        <v>1879</v>
      </c>
      <c r="C90" s="1" t="s">
        <v>2021</v>
      </c>
      <c r="D90" s="49">
        <v>2460</v>
      </c>
      <c r="E90" s="43" t="s">
        <v>1879</v>
      </c>
      <c r="F90" s="37" t="s">
        <v>2022</v>
      </c>
      <c r="G90" s="44">
        <v>2460</v>
      </c>
      <c r="H90" s="44">
        <v>36.9</v>
      </c>
    </row>
    <row r="91" spans="1:8">
      <c r="A91" s="91">
        <v>126125321516</v>
      </c>
      <c r="B91" s="43" t="s">
        <v>1874</v>
      </c>
      <c r="C91" s="1" t="s">
        <v>2021</v>
      </c>
      <c r="D91" s="49">
        <v>2810</v>
      </c>
      <c r="E91" s="43" t="s">
        <v>1879</v>
      </c>
      <c r="F91" s="37" t="s">
        <v>2022</v>
      </c>
      <c r="G91" s="44">
        <v>2810</v>
      </c>
      <c r="H91" s="44">
        <v>42.15</v>
      </c>
    </row>
    <row r="92" spans="1:8">
      <c r="A92" s="91">
        <v>126126266778</v>
      </c>
      <c r="B92" s="43" t="s">
        <v>1874</v>
      </c>
      <c r="C92" s="1" t="s">
        <v>2021</v>
      </c>
      <c r="D92" s="49">
        <v>5070</v>
      </c>
      <c r="E92" s="43" t="s">
        <v>1879</v>
      </c>
      <c r="F92" s="37" t="s">
        <v>2022</v>
      </c>
      <c r="G92" s="44">
        <v>5070</v>
      </c>
      <c r="H92" s="44">
        <v>76.05</v>
      </c>
    </row>
    <row r="93" spans="1:8">
      <c r="A93" s="91">
        <v>125576891613</v>
      </c>
      <c r="B93" s="43" t="s">
        <v>1879</v>
      </c>
      <c r="C93" s="1" t="s">
        <v>2021</v>
      </c>
      <c r="D93" s="49">
        <v>530</v>
      </c>
      <c r="E93" s="43" t="s">
        <v>1879</v>
      </c>
      <c r="F93" s="37" t="s">
        <v>2022</v>
      </c>
      <c r="G93" s="44">
        <v>530</v>
      </c>
      <c r="H93" s="44">
        <v>7.95</v>
      </c>
    </row>
    <row r="94" spans="1:8">
      <c r="A94" s="91">
        <v>125641720659</v>
      </c>
      <c r="B94" s="43" t="s">
        <v>1879</v>
      </c>
      <c r="C94" s="1" t="s">
        <v>2021</v>
      </c>
      <c r="D94" s="49">
        <v>550</v>
      </c>
      <c r="E94" s="43" t="s">
        <v>1879</v>
      </c>
      <c r="F94" s="37" t="s">
        <v>2022</v>
      </c>
      <c r="G94" s="44">
        <v>550</v>
      </c>
      <c r="H94" s="44">
        <v>8.25</v>
      </c>
    </row>
    <row r="95" spans="1:8">
      <c r="A95" s="91">
        <v>125647203977</v>
      </c>
      <c r="B95" s="43" t="s">
        <v>1879</v>
      </c>
      <c r="C95" s="1" t="s">
        <v>2021</v>
      </c>
      <c r="D95" s="49">
        <v>780</v>
      </c>
      <c r="E95" s="43" t="s">
        <v>1879</v>
      </c>
      <c r="F95" s="37" t="s">
        <v>2022</v>
      </c>
      <c r="G95" s="44">
        <v>780</v>
      </c>
      <c r="H95" s="44">
        <v>11.7</v>
      </c>
    </row>
    <row r="96" spans="1:8">
      <c r="A96" s="91">
        <v>126218156282</v>
      </c>
      <c r="B96" s="43" t="s">
        <v>1879</v>
      </c>
      <c r="C96" s="1" t="s">
        <v>2021</v>
      </c>
      <c r="D96" s="49">
        <v>5010</v>
      </c>
      <c r="E96" s="43" t="s">
        <v>1891</v>
      </c>
      <c r="F96" s="37" t="s">
        <v>2022</v>
      </c>
      <c r="G96" s="44">
        <v>5010</v>
      </c>
      <c r="H96" s="44">
        <v>75.150000000000006</v>
      </c>
    </row>
    <row r="97" spans="1:8">
      <c r="A97" s="91">
        <v>126173878017</v>
      </c>
      <c r="B97" s="43" t="s">
        <v>1905</v>
      </c>
      <c r="C97" s="1" t="s">
        <v>2021</v>
      </c>
      <c r="D97" s="49">
        <v>2810</v>
      </c>
      <c r="E97" s="43" t="s">
        <v>1905</v>
      </c>
      <c r="F97" s="37" t="s">
        <v>2022</v>
      </c>
      <c r="G97" s="44">
        <v>2810</v>
      </c>
      <c r="H97" s="44">
        <v>42.15</v>
      </c>
    </row>
    <row r="98" spans="1:8">
      <c r="A98" s="91">
        <v>126734105004</v>
      </c>
      <c r="B98" s="43" t="s">
        <v>1905</v>
      </c>
      <c r="C98" s="1" t="s">
        <v>2021</v>
      </c>
      <c r="D98" s="49">
        <v>5360</v>
      </c>
      <c r="E98" s="43" t="s">
        <v>1905</v>
      </c>
      <c r="F98" s="37" t="s">
        <v>2022</v>
      </c>
      <c r="G98" s="44">
        <v>5360</v>
      </c>
      <c r="H98" s="44">
        <v>80.400000000000006</v>
      </c>
    </row>
    <row r="99" spans="1:8">
      <c r="A99" s="91">
        <v>126179069627</v>
      </c>
      <c r="B99" s="43" t="s">
        <v>1905</v>
      </c>
      <c r="C99" s="1" t="s">
        <v>2021</v>
      </c>
      <c r="D99" s="49">
        <v>480</v>
      </c>
      <c r="E99" s="43" t="s">
        <v>1905</v>
      </c>
      <c r="F99" s="37" t="s">
        <v>2022</v>
      </c>
      <c r="G99" s="44">
        <v>480</v>
      </c>
      <c r="H99" s="44">
        <v>7.2</v>
      </c>
    </row>
    <row r="100" spans="1:8">
      <c r="A100" s="91">
        <v>126179214869</v>
      </c>
      <c r="B100" s="43" t="s">
        <v>1905</v>
      </c>
      <c r="C100" s="1" t="s">
        <v>2021</v>
      </c>
      <c r="D100" s="49">
        <v>175</v>
      </c>
      <c r="E100" s="43" t="s">
        <v>1905</v>
      </c>
      <c r="F100" s="37" t="s">
        <v>2022</v>
      </c>
      <c r="G100" s="44">
        <v>175</v>
      </c>
      <c r="H100" s="44">
        <v>2.63</v>
      </c>
    </row>
    <row r="101" spans="1:8">
      <c r="A101" s="91">
        <v>126182237529</v>
      </c>
      <c r="B101" s="43" t="s">
        <v>1910</v>
      </c>
      <c r="C101" s="1" t="s">
        <v>2021</v>
      </c>
      <c r="D101" s="49">
        <v>680</v>
      </c>
      <c r="E101" s="43" t="s">
        <v>1910</v>
      </c>
      <c r="F101" s="37" t="s">
        <v>2022</v>
      </c>
      <c r="G101" s="44">
        <v>680</v>
      </c>
      <c r="H101" s="44">
        <v>10.199999999999999</v>
      </c>
    </row>
    <row r="102" spans="1:8">
      <c r="A102" s="91">
        <v>126861692506</v>
      </c>
      <c r="B102" s="43" t="s">
        <v>1910</v>
      </c>
      <c r="C102" s="1" t="s">
        <v>2021</v>
      </c>
      <c r="D102" s="49">
        <v>265</v>
      </c>
      <c r="E102" s="43" t="s">
        <v>1910</v>
      </c>
      <c r="F102" s="37" t="s">
        <v>2022</v>
      </c>
      <c r="G102" s="44">
        <v>265</v>
      </c>
      <c r="H102" s="44">
        <v>3.98</v>
      </c>
    </row>
    <row r="103" spans="1:8">
      <c r="A103" s="91">
        <v>126320241673</v>
      </c>
      <c r="B103" s="43" t="s">
        <v>1917</v>
      </c>
      <c r="C103" s="1" t="s">
        <v>2021</v>
      </c>
      <c r="D103" s="49">
        <v>1725</v>
      </c>
      <c r="E103" s="43" t="s">
        <v>1917</v>
      </c>
      <c r="F103" s="37" t="s">
        <v>2022</v>
      </c>
      <c r="G103" s="44">
        <v>1725</v>
      </c>
      <c r="H103" s="44">
        <v>25.88</v>
      </c>
    </row>
    <row r="104" spans="1:8">
      <c r="A104" s="91">
        <v>126873295184</v>
      </c>
      <c r="B104" s="43" t="s">
        <v>1910</v>
      </c>
      <c r="C104" s="1" t="s">
        <v>2021</v>
      </c>
      <c r="D104" s="49">
        <v>95</v>
      </c>
      <c r="E104" s="43" t="s">
        <v>1917</v>
      </c>
      <c r="F104" s="37" t="s">
        <v>2022</v>
      </c>
      <c r="G104" s="44">
        <v>95</v>
      </c>
      <c r="H104" s="44">
        <v>1.43</v>
      </c>
    </row>
    <row r="105" spans="1:8">
      <c r="A105" s="91">
        <v>126417976831</v>
      </c>
      <c r="B105" s="43" t="s">
        <v>1917</v>
      </c>
      <c r="C105" s="1" t="s">
        <v>2021</v>
      </c>
      <c r="D105" s="49">
        <v>1365</v>
      </c>
      <c r="E105" s="43" t="s">
        <v>1917</v>
      </c>
      <c r="F105" s="37" t="s">
        <v>2022</v>
      </c>
      <c r="G105" s="44">
        <v>1365</v>
      </c>
      <c r="H105" s="44">
        <v>20.48</v>
      </c>
    </row>
    <row r="106" spans="1:8">
      <c r="A106" s="91">
        <v>126983513620</v>
      </c>
      <c r="B106" s="43" t="s">
        <v>1917</v>
      </c>
      <c r="C106" s="1" t="s">
        <v>2021</v>
      </c>
      <c r="D106" s="49">
        <v>1910</v>
      </c>
      <c r="E106" s="43" t="s">
        <v>1917</v>
      </c>
      <c r="F106" s="37" t="s">
        <v>2022</v>
      </c>
      <c r="G106" s="44">
        <v>1910</v>
      </c>
      <c r="H106" s="44">
        <v>28.65</v>
      </c>
    </row>
    <row r="107" spans="1:8">
      <c r="A107" s="91">
        <v>126418469315</v>
      </c>
      <c r="B107" s="43" t="s">
        <v>1917</v>
      </c>
      <c r="C107" s="1" t="s">
        <v>2021</v>
      </c>
      <c r="D107" s="49">
        <v>655</v>
      </c>
      <c r="E107" s="43" t="s">
        <v>1917</v>
      </c>
      <c r="F107" s="37" t="s">
        <v>2022</v>
      </c>
      <c r="G107" s="44">
        <v>655</v>
      </c>
      <c r="H107" s="44">
        <v>9.83</v>
      </c>
    </row>
    <row r="108" spans="1:8">
      <c r="A108" s="91">
        <v>126427745647</v>
      </c>
      <c r="B108" s="43" t="s">
        <v>1917</v>
      </c>
      <c r="C108" s="1" t="s">
        <v>2021</v>
      </c>
      <c r="D108" s="49">
        <v>1670</v>
      </c>
      <c r="E108" s="43" t="s">
        <v>1917</v>
      </c>
      <c r="F108" s="37" t="s">
        <v>2022</v>
      </c>
      <c r="G108" s="44">
        <v>1670</v>
      </c>
      <c r="H108" s="44">
        <v>25.05</v>
      </c>
    </row>
    <row r="109" spans="1:8">
      <c r="A109" s="91">
        <v>126986375372</v>
      </c>
      <c r="B109" s="43" t="s">
        <v>1917</v>
      </c>
      <c r="C109" s="1" t="s">
        <v>2021</v>
      </c>
      <c r="D109" s="49">
        <v>2310</v>
      </c>
      <c r="E109" s="43" t="s">
        <v>1917</v>
      </c>
      <c r="F109" s="37" t="s">
        <v>2022</v>
      </c>
      <c r="G109" s="44">
        <v>2310</v>
      </c>
      <c r="H109" s="44">
        <v>34.65</v>
      </c>
    </row>
    <row r="110" spans="1:8">
      <c r="A110" s="91">
        <v>126991676568</v>
      </c>
      <c r="B110" s="43" t="s">
        <v>1925</v>
      </c>
      <c r="C110" s="1" t="s">
        <v>2021</v>
      </c>
      <c r="D110" s="49">
        <v>1175</v>
      </c>
      <c r="E110" s="43" t="s">
        <v>1925</v>
      </c>
      <c r="F110" s="37" t="s">
        <v>2022</v>
      </c>
      <c r="G110" s="44">
        <v>1175</v>
      </c>
      <c r="H110" s="44">
        <v>17.63</v>
      </c>
    </row>
    <row r="111" spans="1:8">
      <c r="A111" s="91">
        <v>126427704535</v>
      </c>
      <c r="B111" s="43" t="s">
        <v>1917</v>
      </c>
      <c r="C111" s="1" t="s">
        <v>2021</v>
      </c>
      <c r="D111" s="49">
        <v>750</v>
      </c>
      <c r="E111" s="43" t="s">
        <v>1917</v>
      </c>
      <c r="F111" s="37" t="s">
        <v>2022</v>
      </c>
      <c r="G111" s="44">
        <v>750</v>
      </c>
      <c r="H111" s="44">
        <v>11.25</v>
      </c>
    </row>
    <row r="112" spans="1:8">
      <c r="A112" s="91">
        <v>126433503641</v>
      </c>
      <c r="B112" s="43" t="s">
        <v>1925</v>
      </c>
      <c r="C112" s="1" t="s">
        <v>2021</v>
      </c>
      <c r="D112" s="49">
        <v>7835</v>
      </c>
      <c r="E112" s="43" t="s">
        <v>1925</v>
      </c>
      <c r="F112" s="37" t="s">
        <v>2022</v>
      </c>
      <c r="G112" s="44">
        <v>7835</v>
      </c>
      <c r="H112" s="44">
        <v>117.53</v>
      </c>
    </row>
    <row r="113" spans="1:8">
      <c r="A113" s="91">
        <v>126992294948</v>
      </c>
      <c r="B113" s="43" t="s">
        <v>1925</v>
      </c>
      <c r="C113" s="1" t="s">
        <v>2021</v>
      </c>
      <c r="D113" s="49">
        <v>2695</v>
      </c>
      <c r="E113" s="43" t="s">
        <v>1925</v>
      </c>
      <c r="F113" s="37" t="s">
        <v>2022</v>
      </c>
      <c r="G113" s="44">
        <v>2695</v>
      </c>
      <c r="H113" s="44">
        <v>40.43</v>
      </c>
    </row>
    <row r="114" spans="1:8">
      <c r="A114" s="91">
        <v>126993731584</v>
      </c>
      <c r="B114" s="43" t="s">
        <v>1925</v>
      </c>
      <c r="C114" s="1" t="s">
        <v>2021</v>
      </c>
      <c r="D114" s="49">
        <v>1030</v>
      </c>
      <c r="E114" s="43" t="s">
        <v>1925</v>
      </c>
      <c r="F114" s="37" t="s">
        <v>2022</v>
      </c>
      <c r="G114" s="44">
        <v>1030</v>
      </c>
      <c r="H114" s="44">
        <v>15.45</v>
      </c>
    </row>
    <row r="115" spans="1:8">
      <c r="A115" s="91">
        <v>126517605135</v>
      </c>
      <c r="B115" s="43" t="s">
        <v>1925</v>
      </c>
      <c r="C115" s="1" t="s">
        <v>2021</v>
      </c>
      <c r="D115" s="49">
        <v>1680</v>
      </c>
      <c r="E115" s="43" t="s">
        <v>1925</v>
      </c>
      <c r="F115" s="37" t="s">
        <v>2022</v>
      </c>
      <c r="G115" s="44">
        <v>1680</v>
      </c>
      <c r="H115" s="44">
        <v>25.2</v>
      </c>
    </row>
    <row r="116" spans="1:8">
      <c r="A116" s="91">
        <v>126517378719</v>
      </c>
      <c r="B116" s="43" t="s">
        <v>1925</v>
      </c>
      <c r="C116" s="1" t="s">
        <v>2021</v>
      </c>
      <c r="D116" s="49">
        <v>700</v>
      </c>
      <c r="E116" s="43" t="s">
        <v>1925</v>
      </c>
      <c r="F116" s="37" t="s">
        <v>2022</v>
      </c>
      <c r="G116" s="44">
        <v>700</v>
      </c>
      <c r="H116" s="44">
        <v>10.5</v>
      </c>
    </row>
    <row r="117" spans="1:8">
      <c r="A117" s="91">
        <v>127448024726</v>
      </c>
      <c r="B117" s="43" t="s">
        <v>1954</v>
      </c>
      <c r="C117" s="1" t="s">
        <v>2021</v>
      </c>
      <c r="D117" s="49">
        <v>999</v>
      </c>
      <c r="E117" s="43" t="s">
        <v>1954</v>
      </c>
      <c r="F117" s="37" t="s">
        <v>2022</v>
      </c>
      <c r="G117" s="44">
        <v>999</v>
      </c>
      <c r="H117" s="44">
        <v>14.99</v>
      </c>
    </row>
    <row r="118" spans="1:8">
      <c r="A118" s="91">
        <v>127448143966</v>
      </c>
      <c r="B118" s="43" t="s">
        <v>1954</v>
      </c>
      <c r="C118" s="1" t="s">
        <v>2021</v>
      </c>
      <c r="D118" s="49">
        <v>2649</v>
      </c>
      <c r="E118" s="43" t="s">
        <v>1954</v>
      </c>
      <c r="F118" s="37" t="s">
        <v>2022</v>
      </c>
      <c r="G118" s="44">
        <v>2649</v>
      </c>
      <c r="H118" s="44">
        <v>39.74</v>
      </c>
    </row>
    <row r="119" spans="1:8">
      <c r="A119" s="91">
        <v>126998023247</v>
      </c>
      <c r="B119" s="43" t="s">
        <v>1956</v>
      </c>
      <c r="C119" s="1" t="s">
        <v>2021</v>
      </c>
      <c r="D119" s="49">
        <v>450</v>
      </c>
      <c r="E119" s="43" t="s">
        <v>1956</v>
      </c>
      <c r="F119" s="37" t="s">
        <v>2022</v>
      </c>
      <c r="G119" s="44">
        <v>450</v>
      </c>
      <c r="H119" s="44">
        <v>6.75</v>
      </c>
    </row>
    <row r="120" spans="1:8">
      <c r="A120" s="91">
        <v>127562966336</v>
      </c>
      <c r="B120" s="43" t="s">
        <v>1956</v>
      </c>
      <c r="C120" s="1" t="s">
        <v>2021</v>
      </c>
      <c r="D120" s="49">
        <v>1240</v>
      </c>
      <c r="E120" s="43" t="s">
        <v>1956</v>
      </c>
      <c r="F120" s="37" t="s">
        <v>2022</v>
      </c>
      <c r="G120" s="44">
        <v>1240</v>
      </c>
      <c r="H120" s="44">
        <v>18.600000000000001</v>
      </c>
    </row>
    <row r="121" spans="1:8">
      <c r="A121" s="91">
        <v>127567163882</v>
      </c>
      <c r="B121" s="43" t="s">
        <v>1956</v>
      </c>
      <c r="C121" s="1" t="s">
        <v>2021</v>
      </c>
      <c r="D121" s="49">
        <v>270</v>
      </c>
      <c r="E121" s="43" t="s">
        <v>1956</v>
      </c>
      <c r="F121" s="37" t="s">
        <v>2022</v>
      </c>
      <c r="G121" s="44">
        <v>270</v>
      </c>
      <c r="H121" s="44">
        <v>4.05</v>
      </c>
    </row>
    <row r="122" spans="1:8">
      <c r="A122" s="91">
        <v>127007619411</v>
      </c>
      <c r="B122" s="43" t="s">
        <v>1956</v>
      </c>
      <c r="C122" s="1" t="s">
        <v>2021</v>
      </c>
      <c r="D122" s="49">
        <v>180</v>
      </c>
      <c r="E122" s="43" t="s">
        <v>1956</v>
      </c>
      <c r="F122" s="37" t="s">
        <v>2022</v>
      </c>
      <c r="G122" s="44">
        <v>180</v>
      </c>
      <c r="H122" s="44">
        <v>2.7</v>
      </c>
    </row>
    <row r="123" spans="1:8">
      <c r="A123" s="91">
        <v>127569760408</v>
      </c>
      <c r="B123" s="43" t="s">
        <v>1956</v>
      </c>
      <c r="C123" s="1" t="s">
        <v>2021</v>
      </c>
      <c r="D123" s="49">
        <v>10460</v>
      </c>
      <c r="E123" s="43" t="s">
        <v>1956</v>
      </c>
      <c r="F123" s="37" t="s">
        <v>2022</v>
      </c>
      <c r="G123" s="44">
        <v>10460</v>
      </c>
      <c r="H123" s="44">
        <v>156.9</v>
      </c>
    </row>
    <row r="124" spans="1:8">
      <c r="A124" s="91">
        <v>127003299949</v>
      </c>
      <c r="B124" s="43" t="s">
        <v>1956</v>
      </c>
      <c r="C124" s="1" t="s">
        <v>2021</v>
      </c>
      <c r="D124" s="49">
        <v>1260</v>
      </c>
      <c r="E124" s="43" t="s">
        <v>1956</v>
      </c>
      <c r="F124" s="37" t="s">
        <v>2022</v>
      </c>
      <c r="G124" s="44">
        <v>1260</v>
      </c>
      <c r="H124" s="44">
        <v>18.899999999999999</v>
      </c>
    </row>
    <row r="125" spans="1:8">
      <c r="A125" s="91">
        <v>127572204974</v>
      </c>
      <c r="B125" s="43" t="s">
        <v>1956</v>
      </c>
      <c r="C125" s="1" t="s">
        <v>2021</v>
      </c>
      <c r="D125" s="49">
        <v>660</v>
      </c>
      <c r="E125" s="43" t="s">
        <v>1963</v>
      </c>
      <c r="F125" s="37" t="s">
        <v>2022</v>
      </c>
      <c r="G125" s="44">
        <v>660</v>
      </c>
      <c r="H125" s="44">
        <v>9.9</v>
      </c>
    </row>
    <row r="126" spans="1:8">
      <c r="A126" s="91">
        <v>127574595412</v>
      </c>
      <c r="B126" s="43" t="s">
        <v>1963</v>
      </c>
      <c r="C126" s="1" t="s">
        <v>2021</v>
      </c>
      <c r="D126" s="49">
        <v>450</v>
      </c>
      <c r="E126" s="43" t="s">
        <v>1963</v>
      </c>
      <c r="F126" s="37" t="s">
        <v>2022</v>
      </c>
      <c r="G126" s="44">
        <v>450</v>
      </c>
      <c r="H126" s="44">
        <v>6.75</v>
      </c>
    </row>
    <row r="127" spans="1:8">
      <c r="A127" s="91">
        <v>127574413546</v>
      </c>
      <c r="B127" s="43" t="s">
        <v>1963</v>
      </c>
      <c r="C127" s="1" t="s">
        <v>2021</v>
      </c>
      <c r="D127" s="49">
        <v>180</v>
      </c>
      <c r="E127" s="43" t="s">
        <v>1963</v>
      </c>
      <c r="F127" s="37" t="s">
        <v>2022</v>
      </c>
      <c r="G127" s="44">
        <v>180</v>
      </c>
      <c r="H127" s="44">
        <v>2.7</v>
      </c>
    </row>
    <row r="128" spans="1:8">
      <c r="A128" s="91">
        <v>127132211439</v>
      </c>
      <c r="B128" s="43" t="s">
        <v>1963</v>
      </c>
      <c r="C128" s="1" t="s">
        <v>2021</v>
      </c>
      <c r="D128" s="49">
        <v>2195</v>
      </c>
      <c r="E128" s="43" t="s">
        <v>1963</v>
      </c>
      <c r="F128" s="37" t="s">
        <v>2022</v>
      </c>
      <c r="G128" s="44">
        <v>2195</v>
      </c>
      <c r="H128" s="44">
        <v>32.93</v>
      </c>
    </row>
    <row r="129" spans="1:8">
      <c r="A129" s="91">
        <v>127135807619</v>
      </c>
      <c r="B129" s="43" t="s">
        <v>1963</v>
      </c>
      <c r="C129" s="1" t="s">
        <v>2021</v>
      </c>
      <c r="D129" s="49">
        <v>1770</v>
      </c>
      <c r="E129" s="43" t="s">
        <v>1963</v>
      </c>
      <c r="F129" s="37" t="s">
        <v>2022</v>
      </c>
      <c r="G129" s="44">
        <v>1770</v>
      </c>
      <c r="H129" s="44">
        <v>26.55</v>
      </c>
    </row>
    <row r="130" spans="1:8">
      <c r="A130" s="91">
        <v>127694197476</v>
      </c>
      <c r="B130" s="43" t="s">
        <v>1963</v>
      </c>
      <c r="C130" s="1" t="s">
        <v>2021</v>
      </c>
      <c r="D130" s="49">
        <v>3190</v>
      </c>
      <c r="E130" s="43" t="s">
        <v>1963</v>
      </c>
      <c r="F130" s="37" t="s">
        <v>2022</v>
      </c>
      <c r="G130" s="44">
        <v>3190</v>
      </c>
      <c r="H130" s="44">
        <v>47.85</v>
      </c>
    </row>
    <row r="131" spans="1:8">
      <c r="A131" s="91">
        <v>127132666919</v>
      </c>
      <c r="B131" s="43" t="s">
        <v>1963</v>
      </c>
      <c r="C131" s="1" t="s">
        <v>2021</v>
      </c>
      <c r="D131" s="49">
        <v>1325</v>
      </c>
      <c r="E131" s="43" t="s">
        <v>1963</v>
      </c>
      <c r="F131" s="37" t="s">
        <v>2022</v>
      </c>
      <c r="G131" s="44">
        <v>1325</v>
      </c>
      <c r="H131" s="44">
        <v>19.88</v>
      </c>
    </row>
    <row r="132" spans="1:8">
      <c r="A132" s="91">
        <v>127696927036</v>
      </c>
      <c r="B132" s="43" t="s">
        <v>1963</v>
      </c>
      <c r="C132" s="1" t="s">
        <v>2021</v>
      </c>
      <c r="D132" s="49">
        <v>1580</v>
      </c>
      <c r="E132" s="43" t="s">
        <v>1963</v>
      </c>
      <c r="F132" s="37" t="s">
        <v>2022</v>
      </c>
      <c r="G132" s="44">
        <v>1580</v>
      </c>
      <c r="H132" s="44">
        <v>23.7</v>
      </c>
    </row>
    <row r="133" spans="1:8">
      <c r="A133" s="91">
        <v>127144500403</v>
      </c>
      <c r="B133" s="43" t="s">
        <v>1972</v>
      </c>
      <c r="C133" s="1" t="s">
        <v>2021</v>
      </c>
      <c r="D133" s="49">
        <v>2790</v>
      </c>
      <c r="E133" s="43" t="s">
        <v>1972</v>
      </c>
      <c r="F133" s="37" t="s">
        <v>2022</v>
      </c>
      <c r="G133" s="44">
        <v>2790</v>
      </c>
      <c r="H133" s="44">
        <v>41.85</v>
      </c>
    </row>
    <row r="134" spans="1:8">
      <c r="A134" s="91">
        <v>127142975449</v>
      </c>
      <c r="B134" s="43" t="s">
        <v>1972</v>
      </c>
      <c r="C134" s="1" t="s">
        <v>2021</v>
      </c>
      <c r="D134" s="49">
        <v>1935</v>
      </c>
      <c r="E134" s="43" t="s">
        <v>1972</v>
      </c>
      <c r="F134" s="37" t="s">
        <v>2022</v>
      </c>
      <c r="G134" s="44">
        <v>1935</v>
      </c>
      <c r="H134" s="44">
        <v>29.03</v>
      </c>
    </row>
    <row r="135" spans="1:8">
      <c r="A135" s="91">
        <v>127143653663</v>
      </c>
      <c r="B135" s="43" t="s">
        <v>1972</v>
      </c>
      <c r="C135" s="1" t="s">
        <v>2021</v>
      </c>
      <c r="D135" s="49">
        <v>9435</v>
      </c>
      <c r="E135" s="43" t="s">
        <v>1972</v>
      </c>
      <c r="F135" s="37" t="s">
        <v>2022</v>
      </c>
      <c r="G135" s="44">
        <v>9435</v>
      </c>
      <c r="H135" s="44">
        <v>141.53</v>
      </c>
    </row>
    <row r="136" spans="1:8">
      <c r="A136" s="91">
        <v>127145157389</v>
      </c>
      <c r="B136" s="43" t="s">
        <v>1972</v>
      </c>
      <c r="C136" s="1" t="s">
        <v>2021</v>
      </c>
      <c r="D136" s="49">
        <v>515</v>
      </c>
      <c r="E136" s="43" t="s">
        <v>1972</v>
      </c>
      <c r="F136" s="37" t="s">
        <v>2022</v>
      </c>
      <c r="G136" s="44">
        <v>515</v>
      </c>
      <c r="H136" s="44">
        <v>7.73</v>
      </c>
    </row>
    <row r="137" spans="1:8">
      <c r="A137" s="91">
        <v>127785493518</v>
      </c>
      <c r="B137" s="43" t="s">
        <v>1972</v>
      </c>
      <c r="C137" s="1" t="s">
        <v>2021</v>
      </c>
      <c r="D137" s="49">
        <v>675</v>
      </c>
      <c r="E137" s="43" t="s">
        <v>1972</v>
      </c>
      <c r="F137" s="37" t="s">
        <v>2022</v>
      </c>
      <c r="G137" s="44">
        <v>675</v>
      </c>
      <c r="H137" s="44">
        <v>10.130000000000001</v>
      </c>
    </row>
    <row r="138" spans="1:8">
      <c r="A138" s="91">
        <v>127234688415</v>
      </c>
      <c r="B138" s="43" t="s">
        <v>1972</v>
      </c>
      <c r="C138" s="1" t="s">
        <v>2021</v>
      </c>
      <c r="D138" s="49">
        <v>2740</v>
      </c>
      <c r="E138" s="43" t="s">
        <v>1972</v>
      </c>
      <c r="F138" s="37" t="s">
        <v>2022</v>
      </c>
      <c r="G138" s="44">
        <v>2740</v>
      </c>
      <c r="H138" s="44">
        <v>41.1</v>
      </c>
    </row>
    <row r="139" spans="1:8">
      <c r="A139" s="91">
        <v>127226319261</v>
      </c>
      <c r="B139" s="43" t="s">
        <v>1972</v>
      </c>
      <c r="C139" s="1" t="s">
        <v>2021</v>
      </c>
      <c r="D139" s="49">
        <v>800</v>
      </c>
      <c r="E139" s="43" t="s">
        <v>1972</v>
      </c>
      <c r="F139" s="37" t="s">
        <v>2022</v>
      </c>
      <c r="G139" s="44">
        <v>800</v>
      </c>
      <c r="H139" s="44">
        <v>12</v>
      </c>
    </row>
    <row r="140" spans="1:8">
      <c r="A140" s="91">
        <v>127803560186</v>
      </c>
      <c r="B140" s="43" t="s">
        <v>1972</v>
      </c>
      <c r="C140" s="1" t="s">
        <v>2021</v>
      </c>
      <c r="D140" s="49">
        <v>740</v>
      </c>
      <c r="E140" s="43" t="s">
        <v>1972</v>
      </c>
      <c r="F140" s="37" t="s">
        <v>2022</v>
      </c>
      <c r="G140" s="44">
        <v>740</v>
      </c>
      <c r="H140" s="44">
        <v>11.1</v>
      </c>
    </row>
    <row r="141" spans="1:8">
      <c r="A141" s="91">
        <v>127810671348</v>
      </c>
      <c r="B141" s="43" t="s">
        <v>1982</v>
      </c>
      <c r="C141" s="1" t="s">
        <v>2021</v>
      </c>
      <c r="D141" s="49">
        <v>1800</v>
      </c>
      <c r="E141" s="43" t="s">
        <v>1982</v>
      </c>
      <c r="F141" s="37" t="s">
        <v>2022</v>
      </c>
      <c r="G141" s="44">
        <v>1800</v>
      </c>
      <c r="H141" s="44">
        <v>27</v>
      </c>
    </row>
    <row r="142" spans="1:8">
      <c r="A142" s="91">
        <v>127803499794</v>
      </c>
      <c r="B142" s="43" t="s">
        <v>1972</v>
      </c>
      <c r="C142" s="1" t="s">
        <v>2021</v>
      </c>
      <c r="D142" s="49">
        <v>425</v>
      </c>
      <c r="E142" s="43" t="s">
        <v>1972</v>
      </c>
      <c r="F142" s="37" t="s">
        <v>2022</v>
      </c>
      <c r="G142" s="44">
        <v>425</v>
      </c>
      <c r="H142" s="44">
        <v>6.38</v>
      </c>
    </row>
    <row r="143" spans="1:8">
      <c r="A143" s="91">
        <v>127813504838</v>
      </c>
      <c r="B143" s="43" t="s">
        <v>1982</v>
      </c>
      <c r="C143" s="1" t="s">
        <v>2021</v>
      </c>
      <c r="D143" s="49">
        <v>850</v>
      </c>
      <c r="E143" s="43" t="s">
        <v>1982</v>
      </c>
      <c r="F143" s="37" t="s">
        <v>2022</v>
      </c>
      <c r="G143" s="44">
        <v>850</v>
      </c>
      <c r="H143" s="44">
        <v>12.75</v>
      </c>
    </row>
    <row r="144" spans="1:8">
      <c r="A144" s="91">
        <v>127242751977</v>
      </c>
      <c r="B144" s="43" t="s">
        <v>1972</v>
      </c>
      <c r="C144" s="1" t="s">
        <v>2021</v>
      </c>
      <c r="D144" s="49">
        <v>225</v>
      </c>
      <c r="E144" s="43" t="s">
        <v>1972</v>
      </c>
      <c r="F144" s="37" t="s">
        <v>2022</v>
      </c>
      <c r="G144" s="44">
        <v>225</v>
      </c>
      <c r="H144" s="44">
        <v>3.38</v>
      </c>
    </row>
    <row r="145" spans="1:8">
      <c r="A145" s="91">
        <v>127252261571</v>
      </c>
      <c r="B145" s="43" t="s">
        <v>1982</v>
      </c>
      <c r="C145" s="1" t="s">
        <v>2021</v>
      </c>
      <c r="D145" s="49">
        <v>800</v>
      </c>
      <c r="E145" s="43" t="s">
        <v>1982</v>
      </c>
      <c r="F145" s="37" t="s">
        <v>2022</v>
      </c>
      <c r="G145" s="44">
        <v>800</v>
      </c>
      <c r="H145" s="44">
        <v>12</v>
      </c>
    </row>
    <row r="146" spans="1:8">
      <c r="A146" s="91">
        <v>127250089189</v>
      </c>
      <c r="B146" s="43" t="s">
        <v>1982</v>
      </c>
      <c r="C146" s="1" t="s">
        <v>2021</v>
      </c>
      <c r="D146" s="49">
        <v>1155</v>
      </c>
      <c r="E146" s="43" t="s">
        <v>1982</v>
      </c>
      <c r="F146" s="37" t="s">
        <v>2022</v>
      </c>
      <c r="G146" s="44">
        <v>1155</v>
      </c>
      <c r="H146" s="44">
        <v>17.329999999999998</v>
      </c>
    </row>
    <row r="147" spans="1:8">
      <c r="A147" s="91">
        <v>127251920723</v>
      </c>
      <c r="B147" s="43" t="s">
        <v>1982</v>
      </c>
      <c r="C147" s="1" t="s">
        <v>2021</v>
      </c>
      <c r="D147" s="49">
        <v>12350</v>
      </c>
      <c r="E147" s="43" t="s">
        <v>1982</v>
      </c>
      <c r="F147" s="37" t="s">
        <v>2022</v>
      </c>
      <c r="G147" s="44">
        <v>12350</v>
      </c>
      <c r="H147" s="44">
        <v>185.25</v>
      </c>
    </row>
    <row r="148" spans="1:8">
      <c r="A148" s="91">
        <v>127252239517</v>
      </c>
      <c r="B148" s="43" t="s">
        <v>1982</v>
      </c>
      <c r="C148" s="1" t="s">
        <v>2021</v>
      </c>
      <c r="D148" s="49">
        <v>1010</v>
      </c>
      <c r="E148" s="43" t="s">
        <v>1982</v>
      </c>
      <c r="F148" s="37" t="s">
        <v>2022</v>
      </c>
      <c r="G148" s="44">
        <v>1010</v>
      </c>
      <c r="H148" s="44">
        <v>15.15</v>
      </c>
    </row>
    <row r="149" spans="1:8">
      <c r="A149" s="91">
        <v>127876057264</v>
      </c>
      <c r="B149" s="43" t="s">
        <v>1982</v>
      </c>
      <c r="C149" s="1" t="s">
        <v>2021</v>
      </c>
      <c r="D149" s="49">
        <v>380</v>
      </c>
      <c r="E149" s="43" t="s">
        <v>1982</v>
      </c>
      <c r="F149" s="37" t="s">
        <v>2022</v>
      </c>
      <c r="G149" s="44">
        <v>380</v>
      </c>
      <c r="H149" s="44">
        <v>5.7</v>
      </c>
    </row>
    <row r="150" spans="1:8">
      <c r="A150" s="91">
        <v>127331388995</v>
      </c>
      <c r="B150" s="43" t="s">
        <v>1982</v>
      </c>
      <c r="C150" s="1" t="s">
        <v>2021</v>
      </c>
      <c r="D150" s="49">
        <v>7510</v>
      </c>
      <c r="E150" s="43" t="s">
        <v>1982</v>
      </c>
      <c r="F150" s="37" t="s">
        <v>2022</v>
      </c>
      <c r="G150" s="44">
        <v>7510</v>
      </c>
      <c r="H150" s="44">
        <v>112.65</v>
      </c>
    </row>
    <row r="151" spans="1:8">
      <c r="A151" s="91">
        <v>127323985443</v>
      </c>
      <c r="B151" s="43" t="s">
        <v>1982</v>
      </c>
      <c r="C151" s="1" t="s">
        <v>2021</v>
      </c>
      <c r="D151" s="49">
        <v>265</v>
      </c>
      <c r="E151" s="43" t="s">
        <v>1982</v>
      </c>
      <c r="F151" s="37" t="s">
        <v>2022</v>
      </c>
      <c r="G151" s="44">
        <v>265</v>
      </c>
      <c r="H151" s="44">
        <v>3.98</v>
      </c>
    </row>
    <row r="152" spans="1:8">
      <c r="A152" s="91">
        <v>127887318326</v>
      </c>
      <c r="B152" s="43" t="s">
        <v>1982</v>
      </c>
      <c r="C152" s="1" t="s">
        <v>2021</v>
      </c>
      <c r="D152" s="49">
        <v>1335</v>
      </c>
      <c r="E152" s="43" t="s">
        <v>1982</v>
      </c>
      <c r="F152" s="37" t="s">
        <v>2022</v>
      </c>
      <c r="G152" s="44">
        <v>1335</v>
      </c>
      <c r="H152" s="44">
        <v>20.03</v>
      </c>
    </row>
    <row r="153" spans="1:8">
      <c r="A153" s="91">
        <v>127335749687</v>
      </c>
      <c r="B153" s="43" t="s">
        <v>1993</v>
      </c>
      <c r="C153" s="1" t="s">
        <v>2021</v>
      </c>
      <c r="D153" s="49">
        <v>450</v>
      </c>
      <c r="E153" s="43" t="s">
        <v>1993</v>
      </c>
      <c r="F153" s="37" t="s">
        <v>2022</v>
      </c>
      <c r="G153" s="44">
        <v>450</v>
      </c>
      <c r="H153" s="44">
        <v>6.75</v>
      </c>
    </row>
    <row r="154" spans="1:8">
      <c r="A154" s="91">
        <v>127331112049</v>
      </c>
      <c r="B154" s="43" t="s">
        <v>1982</v>
      </c>
      <c r="C154" s="1" t="s">
        <v>2021</v>
      </c>
      <c r="D154" s="49">
        <v>3600</v>
      </c>
      <c r="E154" s="43" t="s">
        <v>1982</v>
      </c>
      <c r="F154" s="37" t="s">
        <v>2022</v>
      </c>
      <c r="G154" s="44">
        <v>3600</v>
      </c>
      <c r="H154" s="44">
        <v>54</v>
      </c>
    </row>
    <row r="155" spans="1:8">
      <c r="A155" s="91">
        <v>127896570932</v>
      </c>
      <c r="B155" s="43" t="s">
        <v>1982</v>
      </c>
      <c r="C155" s="1" t="s">
        <v>2021</v>
      </c>
      <c r="D155" s="49">
        <v>2465</v>
      </c>
      <c r="E155" s="43" t="s">
        <v>1993</v>
      </c>
      <c r="F155" s="37" t="s">
        <v>2022</v>
      </c>
      <c r="G155" s="44">
        <v>2465</v>
      </c>
      <c r="H155" s="44">
        <v>36.979999999999997</v>
      </c>
    </row>
    <row r="156" spans="1:8">
      <c r="B156" s="43"/>
      <c r="D156" s="49"/>
      <c r="E156" s="43"/>
      <c r="F156" s="37"/>
      <c r="G156" s="44"/>
      <c r="H156" s="44"/>
    </row>
    <row r="157" spans="1:8">
      <c r="D157" s="73">
        <f>SUM(D21:D156)</f>
        <v>251540</v>
      </c>
      <c r="E157" s="3"/>
      <c r="F157" s="3"/>
      <c r="G157" s="73">
        <f t="shared" ref="G157:H157" si="0">SUM(G21:G156)</f>
        <v>251540</v>
      </c>
      <c r="H157" s="73">
        <f t="shared" si="0"/>
        <v>3773.3600000000006</v>
      </c>
    </row>
  </sheetData>
  <mergeCells count="4">
    <mergeCell ref="A1:H1"/>
    <mergeCell ref="A16:D16"/>
    <mergeCell ref="A19:D19"/>
    <mergeCell ref="E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290"/>
  <sheetViews>
    <sheetView topLeftCell="A1256" zoomScale="85" zoomScaleNormal="85" workbookViewId="0">
      <selection activeCell="B1542" sqref="B1542"/>
    </sheetView>
  </sheetViews>
  <sheetFormatPr baseColWidth="10" defaultColWidth="9.140625" defaultRowHeight="15"/>
  <cols>
    <col min="1" max="1" width="26.7109375" style="1" customWidth="1"/>
    <col min="2" max="2" width="23" style="1" customWidth="1"/>
    <col min="3" max="3" width="11.425781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6384" width="9.140625" style="1"/>
  </cols>
  <sheetData>
    <row r="1" spans="1:8" ht="15.75">
      <c r="A1" s="142" t="s">
        <v>2023</v>
      </c>
      <c r="B1" s="143"/>
      <c r="C1" s="143"/>
      <c r="D1" s="143"/>
      <c r="E1" s="143"/>
      <c r="F1" s="143"/>
      <c r="G1" s="143"/>
      <c r="H1" s="143"/>
    </row>
    <row r="2" spans="1:8">
      <c r="A2" s="36"/>
      <c r="B2" s="37"/>
    </row>
    <row r="3" spans="1:8">
      <c r="A3" s="36" t="s">
        <v>1751</v>
      </c>
      <c r="B3" s="37" t="s">
        <v>1752</v>
      </c>
    </row>
    <row r="4" spans="1:8">
      <c r="A4" s="36" t="s">
        <v>1753</v>
      </c>
      <c r="B4" s="37" t="s">
        <v>2024</v>
      </c>
    </row>
    <row r="5" spans="1:8">
      <c r="A5" s="36" t="s">
        <v>1755</v>
      </c>
      <c r="B5" s="37" t="s">
        <v>1756</v>
      </c>
    </row>
    <row r="6" spans="1:8">
      <c r="A6" s="36" t="s">
        <v>1757</v>
      </c>
      <c r="B6" s="37" t="s">
        <v>2025</v>
      </c>
    </row>
    <row r="8" spans="1:8">
      <c r="A8" s="38" t="s">
        <v>1759</v>
      </c>
      <c r="B8" s="39" t="s">
        <v>1760</v>
      </c>
    </row>
    <row r="9" spans="1:8">
      <c r="A9" s="1" t="s">
        <v>1761</v>
      </c>
      <c r="B9" s="37" t="s">
        <v>2026</v>
      </c>
    </row>
    <row r="10" spans="1:8">
      <c r="A10" s="1" t="s">
        <v>1763</v>
      </c>
      <c r="B10" s="37" t="s">
        <v>2027</v>
      </c>
    </row>
    <row r="11" spans="1:8">
      <c r="A11" s="1" t="s">
        <v>1765</v>
      </c>
      <c r="B11" s="37" t="s">
        <v>2028</v>
      </c>
    </row>
    <row r="12" spans="1:8">
      <c r="A12" s="41" t="s">
        <v>1777</v>
      </c>
      <c r="B12" s="41"/>
      <c r="C12" s="41"/>
      <c r="D12" s="41" t="s">
        <v>1778</v>
      </c>
      <c r="E12" s="42"/>
      <c r="F12" s="42"/>
      <c r="G12" s="42"/>
      <c r="H12" s="42"/>
    </row>
    <row r="14" spans="1:8">
      <c r="A14" s="145" t="s">
        <v>1769</v>
      </c>
      <c r="B14" s="145"/>
      <c r="C14" s="145"/>
      <c r="D14" s="145"/>
      <c r="E14" s="146" t="s">
        <v>1770</v>
      </c>
      <c r="F14" s="146"/>
      <c r="G14" s="146"/>
      <c r="H14" s="146"/>
    </row>
    <row r="15" spans="1:8">
      <c r="A15" s="89" t="s">
        <v>1774</v>
      </c>
      <c r="B15" s="40" t="s">
        <v>1771</v>
      </c>
      <c r="C15" s="40" t="s">
        <v>1772</v>
      </c>
      <c r="D15" s="40" t="s">
        <v>1773</v>
      </c>
      <c r="E15" s="40" t="s">
        <v>1775</v>
      </c>
      <c r="F15" s="40" t="s">
        <v>1776</v>
      </c>
      <c r="G15" s="40" t="s">
        <v>1761</v>
      </c>
      <c r="H15" s="40" t="s">
        <v>1763</v>
      </c>
    </row>
    <row r="16" spans="1:8">
      <c r="A16" s="90">
        <v>123864645949</v>
      </c>
      <c r="B16" s="1" t="s">
        <v>8</v>
      </c>
      <c r="C16" s="43" t="s">
        <v>1779</v>
      </c>
      <c r="D16" s="1" t="s">
        <v>2029</v>
      </c>
      <c r="E16" s="43" t="s">
        <v>1781</v>
      </c>
      <c r="F16" s="37" t="s">
        <v>2030</v>
      </c>
      <c r="G16" s="44">
        <v>17500</v>
      </c>
      <c r="H16" s="44">
        <v>175</v>
      </c>
    </row>
    <row r="17" spans="1:8">
      <c r="A17" s="90">
        <v>124407749182</v>
      </c>
      <c r="B17" s="1" t="s">
        <v>8</v>
      </c>
      <c r="C17" s="43" t="s">
        <v>1779</v>
      </c>
      <c r="D17" s="1" t="s">
        <v>2029</v>
      </c>
      <c r="E17" s="43" t="s">
        <v>1781</v>
      </c>
      <c r="F17" s="37" t="s">
        <v>2030</v>
      </c>
      <c r="G17" s="44">
        <v>24500</v>
      </c>
      <c r="H17" s="44">
        <v>245</v>
      </c>
    </row>
    <row r="18" spans="1:8">
      <c r="A18" s="90">
        <v>123868170745</v>
      </c>
      <c r="B18" s="1" t="s">
        <v>8</v>
      </c>
      <c r="C18" s="43" t="s">
        <v>1781</v>
      </c>
      <c r="D18" s="1" t="s">
        <v>2029</v>
      </c>
      <c r="E18" s="43" t="s">
        <v>1781</v>
      </c>
      <c r="F18" s="37" t="s">
        <v>2030</v>
      </c>
      <c r="G18" s="44">
        <v>13500</v>
      </c>
      <c r="H18" s="44">
        <v>135</v>
      </c>
    </row>
    <row r="19" spans="1:8">
      <c r="A19" s="90">
        <v>123864040285</v>
      </c>
      <c r="B19" s="1" t="s">
        <v>8</v>
      </c>
      <c r="C19" s="43" t="s">
        <v>1779</v>
      </c>
      <c r="D19" s="1" t="s">
        <v>2029</v>
      </c>
      <c r="E19" s="43" t="s">
        <v>1781</v>
      </c>
      <c r="F19" s="37" t="s">
        <v>2030</v>
      </c>
      <c r="G19" s="44">
        <v>15000</v>
      </c>
      <c r="H19" s="44">
        <v>150</v>
      </c>
    </row>
    <row r="20" spans="1:8">
      <c r="A20" s="90">
        <v>124407346652</v>
      </c>
      <c r="B20" s="1" t="s">
        <v>8</v>
      </c>
      <c r="C20" s="43" t="s">
        <v>1779</v>
      </c>
      <c r="D20" s="1" t="s">
        <v>2029</v>
      </c>
      <c r="E20" s="43" t="s">
        <v>1781</v>
      </c>
      <c r="F20" s="37" t="s">
        <v>2030</v>
      </c>
      <c r="G20" s="44">
        <v>13200</v>
      </c>
      <c r="H20" s="44">
        <v>132</v>
      </c>
    </row>
    <row r="21" spans="1:8">
      <c r="A21" s="90">
        <v>123868184561</v>
      </c>
      <c r="B21" s="1" t="s">
        <v>8</v>
      </c>
      <c r="C21" s="43" t="s">
        <v>1781</v>
      </c>
      <c r="D21" s="1" t="s">
        <v>2029</v>
      </c>
      <c r="E21" s="43" t="s">
        <v>1781</v>
      </c>
      <c r="F21" s="37" t="s">
        <v>2030</v>
      </c>
      <c r="G21" s="44">
        <v>10000</v>
      </c>
      <c r="H21" s="44">
        <v>100</v>
      </c>
    </row>
    <row r="22" spans="1:8">
      <c r="A22" s="90">
        <v>124781182650</v>
      </c>
      <c r="B22" s="1" t="s">
        <v>1790</v>
      </c>
      <c r="C22" s="43" t="s">
        <v>1788</v>
      </c>
      <c r="D22" s="1" t="s">
        <v>2029</v>
      </c>
      <c r="E22" s="43" t="s">
        <v>1788</v>
      </c>
      <c r="F22" s="37" t="s">
        <v>2030</v>
      </c>
      <c r="G22" s="44">
        <v>8600</v>
      </c>
      <c r="H22" s="44">
        <v>86</v>
      </c>
    </row>
    <row r="23" spans="1:8">
      <c r="A23" s="90">
        <v>124234497707</v>
      </c>
      <c r="B23" s="1" t="s">
        <v>8</v>
      </c>
      <c r="C23" s="43" t="s">
        <v>1788</v>
      </c>
      <c r="D23" s="1" t="s">
        <v>2029</v>
      </c>
      <c r="E23" s="43" t="s">
        <v>1788</v>
      </c>
      <c r="F23" s="37" t="s">
        <v>2030</v>
      </c>
      <c r="G23" s="44">
        <v>4900</v>
      </c>
      <c r="H23" s="44">
        <v>49</v>
      </c>
    </row>
    <row r="24" spans="1:8">
      <c r="A24" s="90">
        <v>124784681512</v>
      </c>
      <c r="B24" s="1" t="s">
        <v>1790</v>
      </c>
      <c r="C24" s="43" t="s">
        <v>1788</v>
      </c>
      <c r="D24" s="1" t="s">
        <v>2029</v>
      </c>
      <c r="E24" s="43" t="s">
        <v>1788</v>
      </c>
      <c r="F24" s="37" t="s">
        <v>2030</v>
      </c>
      <c r="G24" s="44">
        <v>31000</v>
      </c>
      <c r="H24" s="44">
        <v>310</v>
      </c>
    </row>
    <row r="25" spans="1:8">
      <c r="A25" s="90">
        <v>124236889607</v>
      </c>
      <c r="B25" s="1" t="s">
        <v>8</v>
      </c>
      <c r="C25" s="43" t="s">
        <v>1788</v>
      </c>
      <c r="D25" s="1" t="s">
        <v>2029</v>
      </c>
      <c r="E25" s="43" t="s">
        <v>1788</v>
      </c>
      <c r="F25" s="37" t="s">
        <v>2030</v>
      </c>
      <c r="G25" s="44">
        <v>29300</v>
      </c>
      <c r="H25" s="44">
        <v>293</v>
      </c>
    </row>
    <row r="26" spans="1:8">
      <c r="A26" s="90">
        <v>124788106000</v>
      </c>
      <c r="B26" s="1" t="s">
        <v>1790</v>
      </c>
      <c r="C26" s="43" t="s">
        <v>1788</v>
      </c>
      <c r="D26" s="1" t="s">
        <v>2029</v>
      </c>
      <c r="E26" s="43" t="s">
        <v>1788</v>
      </c>
      <c r="F26" s="37" t="s">
        <v>2030</v>
      </c>
      <c r="G26" s="44">
        <v>5300</v>
      </c>
      <c r="H26" s="44">
        <v>53</v>
      </c>
    </row>
    <row r="27" spans="1:8">
      <c r="A27" s="90">
        <v>124245392201</v>
      </c>
      <c r="B27" s="1" t="s">
        <v>8</v>
      </c>
      <c r="C27" s="43" t="s">
        <v>1788</v>
      </c>
      <c r="D27" s="1" t="s">
        <v>2029</v>
      </c>
      <c r="E27" s="43" t="s">
        <v>1788</v>
      </c>
      <c r="F27" s="37" t="s">
        <v>2030</v>
      </c>
      <c r="G27" s="44">
        <v>34100</v>
      </c>
      <c r="H27" s="44">
        <v>341</v>
      </c>
    </row>
    <row r="28" spans="1:8">
      <c r="A28" s="90">
        <v>124245389515</v>
      </c>
      <c r="B28" s="1" t="s">
        <v>8</v>
      </c>
      <c r="C28" s="43" t="s">
        <v>1788</v>
      </c>
      <c r="D28" s="1" t="s">
        <v>2029</v>
      </c>
      <c r="E28" s="43" t="s">
        <v>1788</v>
      </c>
      <c r="F28" s="37" t="s">
        <v>2030</v>
      </c>
      <c r="G28" s="44">
        <v>46000</v>
      </c>
      <c r="H28" s="44">
        <v>460</v>
      </c>
    </row>
    <row r="29" spans="1:8">
      <c r="A29" s="90">
        <v>124795296394</v>
      </c>
      <c r="B29" s="1" t="s">
        <v>8</v>
      </c>
      <c r="C29" s="43" t="s">
        <v>1788</v>
      </c>
      <c r="D29" s="1" t="s">
        <v>2029</v>
      </c>
      <c r="E29" s="43" t="s">
        <v>1788</v>
      </c>
      <c r="F29" s="37" t="s">
        <v>2030</v>
      </c>
      <c r="G29" s="44">
        <v>19999</v>
      </c>
      <c r="H29" s="44">
        <v>199.99</v>
      </c>
    </row>
    <row r="30" spans="1:8">
      <c r="A30" s="90">
        <v>124247706111</v>
      </c>
      <c r="B30" s="1" t="s">
        <v>8</v>
      </c>
      <c r="C30" s="43" t="s">
        <v>1788</v>
      </c>
      <c r="D30" s="1" t="s">
        <v>2029</v>
      </c>
      <c r="E30" s="43" t="s">
        <v>1788</v>
      </c>
      <c r="F30" s="37" t="s">
        <v>2030</v>
      </c>
      <c r="G30" s="44">
        <v>12300</v>
      </c>
      <c r="H30" s="44">
        <v>123</v>
      </c>
    </row>
    <row r="31" spans="1:8">
      <c r="A31" s="90">
        <v>124797073790</v>
      </c>
      <c r="B31" s="1" t="s">
        <v>8</v>
      </c>
      <c r="C31" s="43" t="s">
        <v>1788</v>
      </c>
      <c r="D31" s="1" t="s">
        <v>2029</v>
      </c>
      <c r="E31" s="43" t="s">
        <v>1792</v>
      </c>
      <c r="F31" s="37" t="s">
        <v>2030</v>
      </c>
      <c r="G31" s="44">
        <v>57200</v>
      </c>
      <c r="H31" s="44">
        <v>572</v>
      </c>
    </row>
    <row r="32" spans="1:8">
      <c r="A32" s="90">
        <v>124797908608</v>
      </c>
      <c r="B32" s="1" t="s">
        <v>8</v>
      </c>
      <c r="C32" s="43" t="s">
        <v>1788</v>
      </c>
      <c r="D32" s="1" t="s">
        <v>2029</v>
      </c>
      <c r="E32" s="43" t="s">
        <v>1792</v>
      </c>
      <c r="F32" s="37" t="s">
        <v>2030</v>
      </c>
      <c r="G32" s="44">
        <v>15500</v>
      </c>
      <c r="H32" s="44">
        <v>155</v>
      </c>
    </row>
    <row r="33" spans="1:8">
      <c r="A33" s="90">
        <v>124253989611</v>
      </c>
      <c r="B33" s="1" t="s">
        <v>8</v>
      </c>
      <c r="C33" s="43" t="s">
        <v>1788</v>
      </c>
      <c r="D33" s="1" t="s">
        <v>2029</v>
      </c>
      <c r="E33" s="43" t="s">
        <v>1792</v>
      </c>
      <c r="F33" s="37" t="s">
        <v>2030</v>
      </c>
      <c r="G33" s="44">
        <v>20900</v>
      </c>
      <c r="H33" s="44">
        <v>209</v>
      </c>
    </row>
    <row r="34" spans="1:8">
      <c r="A34" s="90">
        <v>124798439032</v>
      </c>
      <c r="B34" s="1" t="s">
        <v>8</v>
      </c>
      <c r="C34" s="43" t="s">
        <v>1788</v>
      </c>
      <c r="D34" s="1" t="s">
        <v>2029</v>
      </c>
      <c r="E34" s="43" t="s">
        <v>1792</v>
      </c>
      <c r="F34" s="37" t="s">
        <v>2030</v>
      </c>
      <c r="G34" s="44">
        <v>28200</v>
      </c>
      <c r="H34" s="44">
        <v>282</v>
      </c>
    </row>
    <row r="35" spans="1:8">
      <c r="A35" s="90">
        <v>124798706468</v>
      </c>
      <c r="B35" s="1" t="s">
        <v>8</v>
      </c>
      <c r="C35" s="43" t="s">
        <v>1788</v>
      </c>
      <c r="D35" s="1" t="s">
        <v>2029</v>
      </c>
      <c r="E35" s="43" t="s">
        <v>1792</v>
      </c>
      <c r="F35" s="37" t="s">
        <v>2030</v>
      </c>
      <c r="G35" s="44">
        <v>9800</v>
      </c>
      <c r="H35" s="44">
        <v>98</v>
      </c>
    </row>
    <row r="36" spans="1:8">
      <c r="A36" s="90">
        <v>124251168101</v>
      </c>
      <c r="B36" s="1" t="s">
        <v>8</v>
      </c>
      <c r="C36" s="43" t="s">
        <v>1788</v>
      </c>
      <c r="D36" s="1" t="s">
        <v>2029</v>
      </c>
      <c r="E36" s="43" t="s">
        <v>1788</v>
      </c>
      <c r="F36" s="37" t="s">
        <v>2030</v>
      </c>
      <c r="G36" s="44">
        <v>59896</v>
      </c>
      <c r="H36" s="44">
        <v>598.96</v>
      </c>
    </row>
    <row r="37" spans="1:8">
      <c r="A37" s="90">
        <v>124251556927</v>
      </c>
      <c r="B37" s="1" t="s">
        <v>8</v>
      </c>
      <c r="C37" s="43" t="s">
        <v>1788</v>
      </c>
      <c r="D37" s="1" t="s">
        <v>2029</v>
      </c>
      <c r="E37" s="43" t="s">
        <v>1788</v>
      </c>
      <c r="F37" s="37" t="s">
        <v>2030</v>
      </c>
      <c r="G37" s="44">
        <v>71000</v>
      </c>
      <c r="H37" s="44">
        <v>710</v>
      </c>
    </row>
    <row r="38" spans="1:8">
      <c r="A38" s="90">
        <v>124797394520</v>
      </c>
      <c r="B38" s="1" t="s">
        <v>8</v>
      </c>
      <c r="C38" s="43" t="s">
        <v>1788</v>
      </c>
      <c r="D38" s="1" t="s">
        <v>2029</v>
      </c>
      <c r="E38" s="43" t="s">
        <v>1792</v>
      </c>
      <c r="F38" s="37" t="s">
        <v>2030</v>
      </c>
      <c r="G38" s="44">
        <v>36700</v>
      </c>
      <c r="H38" s="44">
        <v>367</v>
      </c>
    </row>
    <row r="39" spans="1:8">
      <c r="A39" s="90">
        <v>124797743380</v>
      </c>
      <c r="B39" s="1" t="s">
        <v>1790</v>
      </c>
      <c r="C39" s="43" t="s">
        <v>1788</v>
      </c>
      <c r="D39" s="1" t="s">
        <v>2029</v>
      </c>
      <c r="E39" s="43" t="s">
        <v>1792</v>
      </c>
      <c r="F39" s="37" t="s">
        <v>2030</v>
      </c>
      <c r="G39" s="44">
        <v>152793</v>
      </c>
      <c r="H39" s="44">
        <v>1527.93</v>
      </c>
    </row>
    <row r="40" spans="1:8">
      <c r="A40" s="90">
        <v>124800062204</v>
      </c>
      <c r="B40" s="1" t="s">
        <v>8</v>
      </c>
      <c r="C40" s="43" t="s">
        <v>1792</v>
      </c>
      <c r="D40" s="1" t="s">
        <v>2029</v>
      </c>
      <c r="E40" s="43" t="s">
        <v>1792</v>
      </c>
      <c r="F40" s="37" t="s">
        <v>2030</v>
      </c>
      <c r="G40" s="44">
        <v>47197</v>
      </c>
      <c r="H40" s="44">
        <v>471.97</v>
      </c>
    </row>
    <row r="41" spans="1:8">
      <c r="A41" s="90">
        <v>124256095479</v>
      </c>
      <c r="B41" s="1" t="s">
        <v>8</v>
      </c>
      <c r="C41" s="43" t="s">
        <v>1792</v>
      </c>
      <c r="D41" s="1" t="s">
        <v>2029</v>
      </c>
      <c r="E41" s="43" t="s">
        <v>1792</v>
      </c>
      <c r="F41" s="37" t="s">
        <v>2030</v>
      </c>
      <c r="G41" s="44">
        <v>19998</v>
      </c>
      <c r="H41" s="44">
        <v>199.98</v>
      </c>
    </row>
    <row r="42" spans="1:8">
      <c r="A42" s="90">
        <v>124907529624</v>
      </c>
      <c r="B42" s="1" t="s">
        <v>8</v>
      </c>
      <c r="C42" s="43" t="s">
        <v>1792</v>
      </c>
      <c r="D42" s="1" t="s">
        <v>2029</v>
      </c>
      <c r="E42" s="43" t="s">
        <v>1792</v>
      </c>
      <c r="F42" s="37" t="s">
        <v>2030</v>
      </c>
      <c r="G42" s="44">
        <v>15900</v>
      </c>
      <c r="H42" s="44">
        <v>159</v>
      </c>
    </row>
    <row r="43" spans="1:8">
      <c r="A43" s="90">
        <v>124908939322</v>
      </c>
      <c r="B43" s="1" t="s">
        <v>8</v>
      </c>
      <c r="C43" s="43" t="s">
        <v>1792</v>
      </c>
      <c r="D43" s="1" t="s">
        <v>2029</v>
      </c>
      <c r="E43" s="43" t="s">
        <v>1792</v>
      </c>
      <c r="F43" s="37" t="s">
        <v>2030</v>
      </c>
      <c r="G43" s="44">
        <v>4300</v>
      </c>
      <c r="H43" s="44">
        <v>43</v>
      </c>
    </row>
    <row r="44" spans="1:8">
      <c r="A44" s="90">
        <v>124909134908</v>
      </c>
      <c r="B44" s="1" t="s">
        <v>8</v>
      </c>
      <c r="C44" s="43" t="s">
        <v>1792</v>
      </c>
      <c r="D44" s="1" t="s">
        <v>2029</v>
      </c>
      <c r="E44" s="43" t="s">
        <v>1792</v>
      </c>
      <c r="F44" s="37" t="s">
        <v>2030</v>
      </c>
      <c r="G44" s="44">
        <v>7800</v>
      </c>
      <c r="H44" s="44">
        <v>78</v>
      </c>
    </row>
    <row r="45" spans="1:8">
      <c r="A45" s="90">
        <v>124912912486</v>
      </c>
      <c r="B45" s="1" t="s">
        <v>8</v>
      </c>
      <c r="C45" s="43" t="s">
        <v>1792</v>
      </c>
      <c r="D45" s="1" t="s">
        <v>2029</v>
      </c>
      <c r="E45" s="43" t="s">
        <v>1792</v>
      </c>
      <c r="F45" s="37" t="s">
        <v>2030</v>
      </c>
      <c r="G45" s="44">
        <v>30000</v>
      </c>
      <c r="H45" s="44">
        <v>300</v>
      </c>
    </row>
    <row r="46" spans="1:8">
      <c r="A46" s="90">
        <v>124362593953</v>
      </c>
      <c r="B46" s="1" t="s">
        <v>8</v>
      </c>
      <c r="C46" s="43" t="s">
        <v>1792</v>
      </c>
      <c r="D46" s="1" t="s">
        <v>2029</v>
      </c>
      <c r="E46" s="43" t="s">
        <v>1792</v>
      </c>
      <c r="F46" s="37" t="s">
        <v>2030</v>
      </c>
      <c r="G46" s="44">
        <v>4300</v>
      </c>
      <c r="H46" s="44">
        <v>43</v>
      </c>
    </row>
    <row r="47" spans="1:8">
      <c r="A47" s="90">
        <v>124370030581</v>
      </c>
      <c r="B47" s="1" t="s">
        <v>8</v>
      </c>
      <c r="C47" s="43" t="s">
        <v>1792</v>
      </c>
      <c r="D47" s="1" t="s">
        <v>2029</v>
      </c>
      <c r="E47" s="43" t="s">
        <v>1792</v>
      </c>
      <c r="F47" s="37" t="s">
        <v>2030</v>
      </c>
      <c r="G47" s="44">
        <v>108900</v>
      </c>
      <c r="H47" s="44">
        <v>1089</v>
      </c>
    </row>
    <row r="48" spans="1:8">
      <c r="A48" s="90">
        <v>124368294535</v>
      </c>
      <c r="B48" s="1" t="s">
        <v>1790</v>
      </c>
      <c r="C48" s="43" t="s">
        <v>1792</v>
      </c>
      <c r="D48" s="1" t="s">
        <v>2029</v>
      </c>
      <c r="E48" s="43" t="s">
        <v>1792</v>
      </c>
      <c r="F48" s="37" t="s">
        <v>2030</v>
      </c>
      <c r="G48" s="44">
        <v>4300</v>
      </c>
      <c r="H48" s="44">
        <v>43</v>
      </c>
    </row>
    <row r="49" spans="1:8">
      <c r="A49" s="90">
        <v>124379914851</v>
      </c>
      <c r="B49" s="1" t="s">
        <v>8</v>
      </c>
      <c r="C49" s="43" t="s">
        <v>1792</v>
      </c>
      <c r="D49" s="1" t="s">
        <v>2029</v>
      </c>
      <c r="E49" s="43" t="s">
        <v>1792</v>
      </c>
      <c r="F49" s="37" t="s">
        <v>2030</v>
      </c>
      <c r="G49" s="44">
        <v>4300</v>
      </c>
      <c r="H49" s="44">
        <v>43</v>
      </c>
    </row>
    <row r="50" spans="1:8">
      <c r="A50" s="90">
        <v>124919880508</v>
      </c>
      <c r="B50" s="1" t="s">
        <v>8</v>
      </c>
      <c r="C50" s="43" t="s">
        <v>1792</v>
      </c>
      <c r="D50" s="1" t="s">
        <v>2029</v>
      </c>
      <c r="E50" s="43" t="s">
        <v>1792</v>
      </c>
      <c r="F50" s="37" t="s">
        <v>2030</v>
      </c>
      <c r="G50" s="44">
        <v>23800</v>
      </c>
      <c r="H50" s="44">
        <v>238</v>
      </c>
    </row>
    <row r="51" spans="1:8">
      <c r="A51" s="90">
        <v>124375560999</v>
      </c>
      <c r="B51" s="1" t="s">
        <v>1790</v>
      </c>
      <c r="C51" s="43" t="s">
        <v>1792</v>
      </c>
      <c r="D51" s="1" t="s">
        <v>2029</v>
      </c>
      <c r="E51" s="43" t="s">
        <v>1792</v>
      </c>
      <c r="F51" s="37" t="s">
        <v>2030</v>
      </c>
      <c r="G51" s="44">
        <v>4300</v>
      </c>
      <c r="H51" s="44">
        <v>43</v>
      </c>
    </row>
    <row r="52" spans="1:8">
      <c r="A52" s="90">
        <v>124926524640</v>
      </c>
      <c r="B52" s="1" t="s">
        <v>8</v>
      </c>
      <c r="C52" s="43" t="s">
        <v>1792</v>
      </c>
      <c r="D52" s="1" t="s">
        <v>2029</v>
      </c>
      <c r="E52" s="43" t="s">
        <v>1792</v>
      </c>
      <c r="F52" s="37" t="s">
        <v>2030</v>
      </c>
      <c r="G52" s="44">
        <v>81900</v>
      </c>
      <c r="H52" s="44">
        <v>819</v>
      </c>
    </row>
    <row r="53" spans="1:8">
      <c r="A53" s="90">
        <v>124926603568</v>
      </c>
      <c r="B53" s="1" t="s">
        <v>8</v>
      </c>
      <c r="C53" s="43" t="s">
        <v>1792</v>
      </c>
      <c r="D53" s="1" t="s">
        <v>2029</v>
      </c>
      <c r="E53" s="43" t="s">
        <v>1792</v>
      </c>
      <c r="F53" s="37" t="s">
        <v>2030</v>
      </c>
      <c r="G53" s="44">
        <v>13900</v>
      </c>
      <c r="H53" s="44">
        <v>139</v>
      </c>
    </row>
    <row r="54" spans="1:8">
      <c r="A54" s="90">
        <v>124926894128</v>
      </c>
      <c r="B54" s="1" t="s">
        <v>8</v>
      </c>
      <c r="C54" s="43" t="s">
        <v>1792</v>
      </c>
      <c r="D54" s="1" t="s">
        <v>2029</v>
      </c>
      <c r="E54" s="43" t="s">
        <v>1792</v>
      </c>
      <c r="F54" s="37" t="s">
        <v>2030</v>
      </c>
      <c r="G54" s="44">
        <v>3500</v>
      </c>
      <c r="H54" s="44">
        <v>35</v>
      </c>
    </row>
    <row r="55" spans="1:8">
      <c r="A55" s="90">
        <v>124921656040</v>
      </c>
      <c r="B55" s="1" t="s">
        <v>1790</v>
      </c>
      <c r="C55" s="43" t="s">
        <v>1792</v>
      </c>
      <c r="D55" s="1" t="s">
        <v>2029</v>
      </c>
      <c r="E55" s="43" t="s">
        <v>1792</v>
      </c>
      <c r="F55" s="37" t="s">
        <v>2030</v>
      </c>
      <c r="G55" s="44">
        <v>39800</v>
      </c>
      <c r="H55" s="44">
        <v>398</v>
      </c>
    </row>
    <row r="56" spans="1:8">
      <c r="A56" s="90">
        <v>124382131027</v>
      </c>
      <c r="B56" s="1" t="s">
        <v>8</v>
      </c>
      <c r="C56" s="43" t="s">
        <v>1792</v>
      </c>
      <c r="D56" s="1" t="s">
        <v>2029</v>
      </c>
      <c r="E56" s="43" t="s">
        <v>1792</v>
      </c>
      <c r="F56" s="37" t="s">
        <v>2030</v>
      </c>
      <c r="G56" s="44">
        <v>28100</v>
      </c>
      <c r="H56" s="44">
        <v>281</v>
      </c>
    </row>
    <row r="57" spans="1:8">
      <c r="A57" s="90">
        <v>124382333979</v>
      </c>
      <c r="B57" s="1" t="s">
        <v>8</v>
      </c>
      <c r="C57" s="43" t="s">
        <v>1792</v>
      </c>
      <c r="D57" s="1" t="s">
        <v>2029</v>
      </c>
      <c r="E57" s="43" t="s">
        <v>1792</v>
      </c>
      <c r="F57" s="37" t="s">
        <v>2030</v>
      </c>
      <c r="G57" s="44">
        <v>12900</v>
      </c>
      <c r="H57" s="44">
        <v>129</v>
      </c>
    </row>
    <row r="58" spans="1:8">
      <c r="A58" s="90">
        <v>124383268861</v>
      </c>
      <c r="B58" s="1" t="s">
        <v>8</v>
      </c>
      <c r="C58" s="43" t="s">
        <v>1792</v>
      </c>
      <c r="D58" s="1" t="s">
        <v>2029</v>
      </c>
      <c r="E58" s="43" t="s">
        <v>1792</v>
      </c>
      <c r="F58" s="37" t="s">
        <v>2030</v>
      </c>
      <c r="G58" s="44">
        <v>4300</v>
      </c>
      <c r="H58" s="44">
        <v>43</v>
      </c>
    </row>
    <row r="59" spans="1:8">
      <c r="A59" s="90">
        <v>124928647796</v>
      </c>
      <c r="B59" s="1" t="s">
        <v>8</v>
      </c>
      <c r="C59" s="43" t="s">
        <v>1792</v>
      </c>
      <c r="D59" s="1" t="s">
        <v>2029</v>
      </c>
      <c r="E59" s="43" t="s">
        <v>1792</v>
      </c>
      <c r="F59" s="37" t="s">
        <v>2030</v>
      </c>
      <c r="G59" s="44">
        <v>12900</v>
      </c>
      <c r="H59" s="44">
        <v>129</v>
      </c>
    </row>
    <row r="60" spans="1:8">
      <c r="A60" s="90">
        <v>124929160694</v>
      </c>
      <c r="B60" s="1" t="s">
        <v>1790</v>
      </c>
      <c r="C60" s="43" t="s">
        <v>1792</v>
      </c>
      <c r="D60" s="1" t="s">
        <v>2029</v>
      </c>
      <c r="E60" s="43" t="s">
        <v>1792</v>
      </c>
      <c r="F60" s="37" t="s">
        <v>2030</v>
      </c>
      <c r="G60" s="44">
        <v>35400</v>
      </c>
      <c r="H60" s="44">
        <v>354</v>
      </c>
    </row>
    <row r="61" spans="1:8">
      <c r="A61" s="90">
        <v>124379045323</v>
      </c>
      <c r="B61" s="1" t="s">
        <v>8</v>
      </c>
      <c r="C61" s="43" t="s">
        <v>1792</v>
      </c>
      <c r="D61" s="1" t="s">
        <v>2029</v>
      </c>
      <c r="E61" s="43" t="s">
        <v>1792</v>
      </c>
      <c r="F61" s="37" t="s">
        <v>2030</v>
      </c>
      <c r="G61" s="44">
        <v>3900</v>
      </c>
      <c r="H61" s="44">
        <v>39</v>
      </c>
    </row>
    <row r="62" spans="1:8">
      <c r="A62" s="90">
        <v>124929549560</v>
      </c>
      <c r="B62" s="1" t="s">
        <v>8</v>
      </c>
      <c r="C62" s="43" t="s">
        <v>1792</v>
      </c>
      <c r="D62" s="1" t="s">
        <v>2029</v>
      </c>
      <c r="E62" s="43" t="s">
        <v>1792</v>
      </c>
      <c r="F62" s="37" t="s">
        <v>2030</v>
      </c>
      <c r="G62" s="44">
        <v>13600</v>
      </c>
      <c r="H62" s="44">
        <v>136</v>
      </c>
    </row>
    <row r="63" spans="1:8">
      <c r="A63" s="90">
        <v>124929957960</v>
      </c>
      <c r="B63" s="1" t="s">
        <v>8</v>
      </c>
      <c r="C63" s="43" t="s">
        <v>1792</v>
      </c>
      <c r="D63" s="1" t="s">
        <v>2029</v>
      </c>
      <c r="E63" s="43" t="s">
        <v>1792</v>
      </c>
      <c r="F63" s="37" t="s">
        <v>2030</v>
      </c>
      <c r="G63" s="44">
        <v>4300</v>
      </c>
      <c r="H63" s="44">
        <v>43</v>
      </c>
    </row>
    <row r="64" spans="1:8">
      <c r="A64" s="90">
        <v>124924939738</v>
      </c>
      <c r="B64" s="1" t="s">
        <v>8</v>
      </c>
      <c r="C64" s="43" t="s">
        <v>1792</v>
      </c>
      <c r="D64" s="1" t="s">
        <v>2029</v>
      </c>
      <c r="E64" s="43" t="s">
        <v>1792</v>
      </c>
      <c r="F64" s="37" t="s">
        <v>2030</v>
      </c>
      <c r="G64" s="44">
        <v>8600</v>
      </c>
      <c r="H64" s="44">
        <v>86</v>
      </c>
    </row>
    <row r="65" spans="1:8">
      <c r="A65" s="90">
        <v>124930281670</v>
      </c>
      <c r="B65" s="1" t="s">
        <v>1790</v>
      </c>
      <c r="C65" s="43" t="s">
        <v>1792</v>
      </c>
      <c r="D65" s="1" t="s">
        <v>2029</v>
      </c>
      <c r="E65" s="43" t="s">
        <v>1792</v>
      </c>
      <c r="F65" s="37" t="s">
        <v>2030</v>
      </c>
      <c r="G65" s="44">
        <v>8600</v>
      </c>
      <c r="H65" s="44">
        <v>86</v>
      </c>
    </row>
    <row r="66" spans="1:8">
      <c r="A66" s="90">
        <v>124385652341</v>
      </c>
      <c r="B66" s="1" t="s">
        <v>8</v>
      </c>
      <c r="C66" s="43" t="s">
        <v>1792</v>
      </c>
      <c r="D66" s="1" t="s">
        <v>2029</v>
      </c>
      <c r="E66" s="43" t="s">
        <v>1792</v>
      </c>
      <c r="F66" s="37" t="s">
        <v>2030</v>
      </c>
      <c r="G66" s="44">
        <v>14300</v>
      </c>
      <c r="H66" s="44">
        <v>143</v>
      </c>
    </row>
    <row r="67" spans="1:8">
      <c r="A67" s="90">
        <v>124930920538</v>
      </c>
      <c r="B67" s="1" t="s">
        <v>1790</v>
      </c>
      <c r="C67" s="43" t="s">
        <v>1792</v>
      </c>
      <c r="D67" s="1" t="s">
        <v>2029</v>
      </c>
      <c r="E67" s="43" t="s">
        <v>1792</v>
      </c>
      <c r="F67" s="37" t="s">
        <v>2030</v>
      </c>
      <c r="G67" s="44">
        <v>21500</v>
      </c>
      <c r="H67" s="44">
        <v>215</v>
      </c>
    </row>
    <row r="68" spans="1:8">
      <c r="A68" s="90">
        <v>124386234575</v>
      </c>
      <c r="B68" s="1" t="s">
        <v>1790</v>
      </c>
      <c r="C68" s="43" t="s">
        <v>1792</v>
      </c>
      <c r="D68" s="1" t="s">
        <v>2029</v>
      </c>
      <c r="E68" s="43" t="s">
        <v>1792</v>
      </c>
      <c r="F68" s="37" t="s">
        <v>2030</v>
      </c>
      <c r="G68" s="44">
        <v>13200</v>
      </c>
      <c r="H68" s="44">
        <v>132</v>
      </c>
    </row>
    <row r="69" spans="1:8">
      <c r="A69" s="90">
        <v>124931688378</v>
      </c>
      <c r="B69" s="1" t="s">
        <v>8</v>
      </c>
      <c r="C69" s="43" t="s">
        <v>1792</v>
      </c>
      <c r="D69" s="1" t="s">
        <v>2029</v>
      </c>
      <c r="E69" s="43" t="s">
        <v>1792</v>
      </c>
      <c r="F69" s="37" t="s">
        <v>2030</v>
      </c>
      <c r="G69" s="44">
        <v>9600</v>
      </c>
      <c r="H69" s="44">
        <v>96</v>
      </c>
    </row>
    <row r="70" spans="1:8">
      <c r="A70" s="90">
        <v>124931738646</v>
      </c>
      <c r="B70" s="1" t="s">
        <v>8</v>
      </c>
      <c r="C70" s="43" t="s">
        <v>1792</v>
      </c>
      <c r="D70" s="1" t="s">
        <v>2029</v>
      </c>
      <c r="E70" s="43" t="s">
        <v>1792</v>
      </c>
      <c r="F70" s="37" t="s">
        <v>2030</v>
      </c>
      <c r="G70" s="44">
        <v>3900</v>
      </c>
      <c r="H70" s="44">
        <v>39</v>
      </c>
    </row>
    <row r="71" spans="1:8">
      <c r="A71" s="90">
        <v>124931811338</v>
      </c>
      <c r="B71" s="1" t="s">
        <v>8</v>
      </c>
      <c r="C71" s="43" t="s">
        <v>1792</v>
      </c>
      <c r="D71" s="1" t="s">
        <v>2029</v>
      </c>
      <c r="E71" s="43" t="s">
        <v>1792</v>
      </c>
      <c r="F71" s="37" t="s">
        <v>2030</v>
      </c>
      <c r="G71" s="44">
        <v>1900</v>
      </c>
      <c r="H71" s="44">
        <v>19</v>
      </c>
    </row>
    <row r="72" spans="1:8">
      <c r="A72" s="90">
        <v>124386853415</v>
      </c>
      <c r="B72" s="1" t="s">
        <v>8</v>
      </c>
      <c r="C72" s="43" t="s">
        <v>1792</v>
      </c>
      <c r="D72" s="1" t="s">
        <v>2029</v>
      </c>
      <c r="E72" s="43" t="s">
        <v>1800</v>
      </c>
      <c r="F72" s="37" t="s">
        <v>2030</v>
      </c>
      <c r="G72" s="44">
        <v>3900</v>
      </c>
      <c r="H72" s="44">
        <v>39</v>
      </c>
    </row>
    <row r="73" spans="1:8">
      <c r="A73" s="90">
        <v>124387202427</v>
      </c>
      <c r="B73" s="1" t="s">
        <v>8</v>
      </c>
      <c r="C73" s="43" t="s">
        <v>1792</v>
      </c>
      <c r="D73" s="1" t="s">
        <v>2029</v>
      </c>
      <c r="E73" s="43" t="s">
        <v>1800</v>
      </c>
      <c r="F73" s="37" t="s">
        <v>2030</v>
      </c>
      <c r="G73" s="44">
        <v>8200</v>
      </c>
      <c r="H73" s="44">
        <v>82</v>
      </c>
    </row>
    <row r="74" spans="1:8">
      <c r="A74" s="90">
        <v>124387169897</v>
      </c>
      <c r="B74" s="1" t="s">
        <v>8</v>
      </c>
      <c r="C74" s="43" t="s">
        <v>1792</v>
      </c>
      <c r="D74" s="1" t="s">
        <v>2029</v>
      </c>
      <c r="E74" s="43" t="s">
        <v>1800</v>
      </c>
      <c r="F74" s="37" t="s">
        <v>2030</v>
      </c>
      <c r="G74" s="44">
        <v>9300</v>
      </c>
      <c r="H74" s="44">
        <v>93</v>
      </c>
    </row>
    <row r="75" spans="1:8">
      <c r="A75" s="90">
        <v>124932574010</v>
      </c>
      <c r="B75" s="1" t="s">
        <v>1790</v>
      </c>
      <c r="C75" s="43" t="s">
        <v>1792</v>
      </c>
      <c r="D75" s="1" t="s">
        <v>2029</v>
      </c>
      <c r="E75" s="43" t="s">
        <v>1800</v>
      </c>
      <c r="F75" s="37" t="s">
        <v>2030</v>
      </c>
      <c r="G75" s="44">
        <v>5000</v>
      </c>
      <c r="H75" s="44">
        <v>50</v>
      </c>
    </row>
    <row r="76" spans="1:8">
      <c r="A76" s="90">
        <v>124387491809</v>
      </c>
      <c r="B76" s="1" t="s">
        <v>8</v>
      </c>
      <c r="C76" s="43" t="s">
        <v>1792</v>
      </c>
      <c r="D76" s="1" t="s">
        <v>2029</v>
      </c>
      <c r="E76" s="43" t="s">
        <v>1800</v>
      </c>
      <c r="F76" s="37" t="s">
        <v>2030</v>
      </c>
      <c r="G76" s="44">
        <v>70800</v>
      </c>
      <c r="H76" s="44">
        <v>708</v>
      </c>
    </row>
    <row r="77" spans="1:8">
      <c r="A77" s="90">
        <v>124932738810</v>
      </c>
      <c r="B77" s="1" t="s">
        <v>8</v>
      </c>
      <c r="C77" s="43" t="s">
        <v>1792</v>
      </c>
      <c r="D77" s="1" t="s">
        <v>2029</v>
      </c>
      <c r="E77" s="43" t="s">
        <v>1800</v>
      </c>
      <c r="F77" s="37" t="s">
        <v>2030</v>
      </c>
      <c r="G77" s="44">
        <v>2200</v>
      </c>
      <c r="H77" s="44">
        <v>22</v>
      </c>
    </row>
    <row r="78" spans="1:8">
      <c r="A78" s="90">
        <v>124933058374</v>
      </c>
      <c r="B78" s="1" t="s">
        <v>8</v>
      </c>
      <c r="C78" s="43" t="s">
        <v>1792</v>
      </c>
      <c r="D78" s="1" t="s">
        <v>2029</v>
      </c>
      <c r="E78" s="43" t="s">
        <v>1800</v>
      </c>
      <c r="F78" s="37" t="s">
        <v>2030</v>
      </c>
      <c r="G78" s="44">
        <v>16100</v>
      </c>
      <c r="H78" s="44">
        <v>161</v>
      </c>
    </row>
    <row r="79" spans="1:8">
      <c r="A79" s="90">
        <v>124933214738</v>
      </c>
      <c r="B79" s="1" t="s">
        <v>8</v>
      </c>
      <c r="C79" s="43" t="s">
        <v>1792</v>
      </c>
      <c r="D79" s="1" t="s">
        <v>2029</v>
      </c>
      <c r="E79" s="43" t="s">
        <v>1800</v>
      </c>
      <c r="F79" s="37" t="s">
        <v>2030</v>
      </c>
      <c r="G79" s="44">
        <v>4300</v>
      </c>
      <c r="H79" s="44">
        <v>43</v>
      </c>
    </row>
    <row r="80" spans="1:8">
      <c r="A80" s="90">
        <v>124388057649</v>
      </c>
      <c r="B80" s="1" t="s">
        <v>8</v>
      </c>
      <c r="C80" s="43" t="s">
        <v>1792</v>
      </c>
      <c r="D80" s="1" t="s">
        <v>2029</v>
      </c>
      <c r="E80" s="43" t="s">
        <v>1800</v>
      </c>
      <c r="F80" s="37" t="s">
        <v>2030</v>
      </c>
      <c r="G80" s="44">
        <v>4300</v>
      </c>
      <c r="H80" s="44">
        <v>43</v>
      </c>
    </row>
    <row r="81" spans="1:8">
      <c r="A81" s="90">
        <v>124933398996</v>
      </c>
      <c r="B81" s="1" t="s">
        <v>8</v>
      </c>
      <c r="C81" s="43" t="s">
        <v>1792</v>
      </c>
      <c r="D81" s="1" t="s">
        <v>2029</v>
      </c>
      <c r="E81" s="43" t="s">
        <v>1800</v>
      </c>
      <c r="F81" s="37" t="s">
        <v>2030</v>
      </c>
      <c r="G81" s="44">
        <v>4300</v>
      </c>
      <c r="H81" s="44">
        <v>43</v>
      </c>
    </row>
    <row r="82" spans="1:8">
      <c r="A82" s="90">
        <v>124383275693</v>
      </c>
      <c r="B82" s="1" t="s">
        <v>8</v>
      </c>
      <c r="C82" s="43" t="s">
        <v>1792</v>
      </c>
      <c r="D82" s="1" t="s">
        <v>2029</v>
      </c>
      <c r="E82" s="43" t="s">
        <v>1792</v>
      </c>
      <c r="F82" s="37" t="s">
        <v>2030</v>
      </c>
      <c r="G82" s="44">
        <v>9300</v>
      </c>
      <c r="H82" s="44">
        <v>93</v>
      </c>
    </row>
    <row r="83" spans="1:8">
      <c r="A83" s="90">
        <v>124388706943</v>
      </c>
      <c r="B83" s="1" t="s">
        <v>8</v>
      </c>
      <c r="C83" s="43" t="s">
        <v>1792</v>
      </c>
      <c r="D83" s="1" t="s">
        <v>2029</v>
      </c>
      <c r="E83" s="43" t="s">
        <v>1800</v>
      </c>
      <c r="F83" s="37" t="s">
        <v>2030</v>
      </c>
      <c r="G83" s="44">
        <v>3900</v>
      </c>
      <c r="H83" s="44">
        <v>39</v>
      </c>
    </row>
    <row r="84" spans="1:8">
      <c r="A84" s="90">
        <v>124929201672</v>
      </c>
      <c r="B84" s="1" t="s">
        <v>8</v>
      </c>
      <c r="C84" s="43" t="s">
        <v>1792</v>
      </c>
      <c r="D84" s="1" t="s">
        <v>2029</v>
      </c>
      <c r="E84" s="43" t="s">
        <v>1792</v>
      </c>
      <c r="F84" s="37" t="s">
        <v>2030</v>
      </c>
      <c r="G84" s="44">
        <v>12900</v>
      </c>
      <c r="H84" s="44">
        <v>129</v>
      </c>
    </row>
    <row r="85" spans="1:8">
      <c r="A85" s="90">
        <v>124929525256</v>
      </c>
      <c r="B85" s="1" t="s">
        <v>8</v>
      </c>
      <c r="C85" s="43" t="s">
        <v>1792</v>
      </c>
      <c r="D85" s="1" t="s">
        <v>2029</v>
      </c>
      <c r="E85" s="43" t="s">
        <v>1792</v>
      </c>
      <c r="F85" s="37" t="s">
        <v>2030</v>
      </c>
      <c r="G85" s="44">
        <v>3500</v>
      </c>
      <c r="H85" s="44">
        <v>35</v>
      </c>
    </row>
    <row r="86" spans="1:8">
      <c r="A86" s="90">
        <v>124389182075</v>
      </c>
      <c r="B86" s="1" t="s">
        <v>8</v>
      </c>
      <c r="C86" s="43" t="s">
        <v>1792</v>
      </c>
      <c r="D86" s="1" t="s">
        <v>2029</v>
      </c>
      <c r="E86" s="43" t="s">
        <v>1800</v>
      </c>
      <c r="F86" s="37" t="s">
        <v>2030</v>
      </c>
      <c r="G86" s="44">
        <v>4300</v>
      </c>
      <c r="H86" s="44">
        <v>43</v>
      </c>
    </row>
    <row r="87" spans="1:8">
      <c r="A87" s="90">
        <v>124389369351</v>
      </c>
      <c r="B87" s="1" t="s">
        <v>8</v>
      </c>
      <c r="C87" s="43" t="s">
        <v>1792</v>
      </c>
      <c r="D87" s="1" t="s">
        <v>2029</v>
      </c>
      <c r="E87" s="43" t="s">
        <v>1800</v>
      </c>
      <c r="F87" s="37" t="s">
        <v>2030</v>
      </c>
      <c r="G87" s="44">
        <v>60100</v>
      </c>
      <c r="H87" s="44">
        <v>601</v>
      </c>
    </row>
    <row r="88" spans="1:8">
      <c r="A88" s="90">
        <v>124384575133</v>
      </c>
      <c r="B88" s="1" t="s">
        <v>8</v>
      </c>
      <c r="C88" s="43" t="s">
        <v>1792</v>
      </c>
      <c r="D88" s="1" t="s">
        <v>2029</v>
      </c>
      <c r="E88" s="43" t="s">
        <v>1792</v>
      </c>
      <c r="F88" s="37" t="s">
        <v>2030</v>
      </c>
      <c r="G88" s="44">
        <v>10900</v>
      </c>
      <c r="H88" s="44">
        <v>109</v>
      </c>
    </row>
    <row r="89" spans="1:8">
      <c r="A89" s="90">
        <v>124389389493</v>
      </c>
      <c r="B89" s="1" t="s">
        <v>8</v>
      </c>
      <c r="C89" s="43" t="s">
        <v>1792</v>
      </c>
      <c r="D89" s="1" t="s">
        <v>2029</v>
      </c>
      <c r="E89" s="43" t="s">
        <v>1800</v>
      </c>
      <c r="F89" s="37" t="s">
        <v>2030</v>
      </c>
      <c r="G89" s="44">
        <v>4300</v>
      </c>
      <c r="H89" s="44">
        <v>43</v>
      </c>
    </row>
    <row r="90" spans="1:8">
      <c r="A90" s="90">
        <v>124929877616</v>
      </c>
      <c r="B90" s="1" t="s">
        <v>8</v>
      </c>
      <c r="C90" s="43" t="s">
        <v>1792</v>
      </c>
      <c r="D90" s="1" t="s">
        <v>2029</v>
      </c>
      <c r="E90" s="43" t="s">
        <v>1792</v>
      </c>
      <c r="F90" s="37" t="s">
        <v>2030</v>
      </c>
      <c r="G90" s="44">
        <v>3900</v>
      </c>
      <c r="H90" s="44">
        <v>39</v>
      </c>
    </row>
    <row r="91" spans="1:8">
      <c r="A91" s="90">
        <v>124385248819</v>
      </c>
      <c r="B91" s="1" t="s">
        <v>8</v>
      </c>
      <c r="C91" s="43" t="s">
        <v>1792</v>
      </c>
      <c r="D91" s="1" t="s">
        <v>2029</v>
      </c>
      <c r="E91" s="43" t="s">
        <v>1792</v>
      </c>
      <c r="F91" s="37" t="s">
        <v>2030</v>
      </c>
      <c r="G91" s="44">
        <v>3900</v>
      </c>
      <c r="H91" s="44">
        <v>39</v>
      </c>
    </row>
    <row r="92" spans="1:8">
      <c r="A92" s="90">
        <v>124390277545</v>
      </c>
      <c r="B92" s="1" t="s">
        <v>8</v>
      </c>
      <c r="C92" s="43" t="s">
        <v>1800</v>
      </c>
      <c r="D92" s="1" t="s">
        <v>2029</v>
      </c>
      <c r="E92" s="43" t="s">
        <v>1800</v>
      </c>
      <c r="F92" s="37" t="s">
        <v>2030</v>
      </c>
      <c r="G92" s="44">
        <v>4300</v>
      </c>
      <c r="H92" s="44">
        <v>43</v>
      </c>
    </row>
    <row r="93" spans="1:8">
      <c r="A93" s="90">
        <v>124385743585</v>
      </c>
      <c r="B93" s="1" t="s">
        <v>8</v>
      </c>
      <c r="C93" s="43" t="s">
        <v>1792</v>
      </c>
      <c r="D93" s="1" t="s">
        <v>2029</v>
      </c>
      <c r="E93" s="43" t="s">
        <v>1792</v>
      </c>
      <c r="F93" s="37" t="s">
        <v>2030</v>
      </c>
      <c r="G93" s="44">
        <v>3900</v>
      </c>
      <c r="H93" s="44">
        <v>39</v>
      </c>
    </row>
    <row r="94" spans="1:8">
      <c r="A94" s="90">
        <v>124390468955</v>
      </c>
      <c r="B94" s="1" t="s">
        <v>8</v>
      </c>
      <c r="C94" s="43" t="s">
        <v>1800</v>
      </c>
      <c r="D94" s="1" t="s">
        <v>2029</v>
      </c>
      <c r="E94" s="43" t="s">
        <v>1800</v>
      </c>
      <c r="F94" s="37" t="s">
        <v>2030</v>
      </c>
      <c r="G94" s="44">
        <v>14300</v>
      </c>
      <c r="H94" s="44">
        <v>143</v>
      </c>
    </row>
    <row r="95" spans="1:8">
      <c r="A95" s="90">
        <v>124386117715</v>
      </c>
      <c r="B95" s="1" t="s">
        <v>8</v>
      </c>
      <c r="C95" s="43" t="s">
        <v>1792</v>
      </c>
      <c r="D95" s="1" t="s">
        <v>2029</v>
      </c>
      <c r="E95" s="43" t="s">
        <v>1792</v>
      </c>
      <c r="F95" s="37" t="s">
        <v>2030</v>
      </c>
      <c r="G95" s="44">
        <v>18900</v>
      </c>
      <c r="H95" s="44">
        <v>189</v>
      </c>
    </row>
    <row r="96" spans="1:8">
      <c r="A96" s="90">
        <v>124932013860</v>
      </c>
      <c r="B96" s="1" t="s">
        <v>1790</v>
      </c>
      <c r="C96" s="43" t="s">
        <v>1792</v>
      </c>
      <c r="D96" s="1" t="s">
        <v>2029</v>
      </c>
      <c r="E96" s="43" t="s">
        <v>1800</v>
      </c>
      <c r="F96" s="37" t="s">
        <v>2030</v>
      </c>
      <c r="G96" s="44">
        <v>63200</v>
      </c>
      <c r="H96" s="44">
        <v>632</v>
      </c>
    </row>
    <row r="97" spans="1:8">
      <c r="A97" s="90">
        <v>124936593136</v>
      </c>
      <c r="B97" s="1" t="s">
        <v>8</v>
      </c>
      <c r="C97" s="43" t="s">
        <v>1800</v>
      </c>
      <c r="D97" s="1" t="s">
        <v>2029</v>
      </c>
      <c r="E97" s="43" t="s">
        <v>1800</v>
      </c>
      <c r="F97" s="37" t="s">
        <v>2030</v>
      </c>
      <c r="G97" s="44">
        <v>22100</v>
      </c>
      <c r="H97" s="44">
        <v>221</v>
      </c>
    </row>
    <row r="98" spans="1:8">
      <c r="A98" s="90">
        <v>124391343749</v>
      </c>
      <c r="B98" s="1" t="s">
        <v>8</v>
      </c>
      <c r="C98" s="43" t="s">
        <v>1800</v>
      </c>
      <c r="D98" s="1" t="s">
        <v>2029</v>
      </c>
      <c r="E98" s="43" t="s">
        <v>1800</v>
      </c>
      <c r="F98" s="37" t="s">
        <v>2030</v>
      </c>
      <c r="G98" s="44">
        <v>9300</v>
      </c>
      <c r="H98" s="44">
        <v>93</v>
      </c>
    </row>
    <row r="99" spans="1:8">
      <c r="A99" s="90">
        <v>124391696277</v>
      </c>
      <c r="B99" s="1" t="s">
        <v>8</v>
      </c>
      <c r="C99" s="43" t="s">
        <v>1800</v>
      </c>
      <c r="D99" s="1" t="s">
        <v>2029</v>
      </c>
      <c r="E99" s="43" t="s">
        <v>1800</v>
      </c>
      <c r="F99" s="37" t="s">
        <v>2030</v>
      </c>
      <c r="G99" s="44">
        <v>4300</v>
      </c>
      <c r="H99" s="44">
        <v>43</v>
      </c>
    </row>
    <row r="100" spans="1:8">
      <c r="A100" s="90">
        <v>124387263837</v>
      </c>
      <c r="B100" s="1" t="s">
        <v>8</v>
      </c>
      <c r="C100" s="43" t="s">
        <v>1792</v>
      </c>
      <c r="D100" s="1" t="s">
        <v>2029</v>
      </c>
      <c r="E100" s="43" t="s">
        <v>1800</v>
      </c>
      <c r="F100" s="37" t="s">
        <v>2030</v>
      </c>
      <c r="G100" s="44">
        <v>15900</v>
      </c>
      <c r="H100" s="44">
        <v>159</v>
      </c>
    </row>
    <row r="101" spans="1:8">
      <c r="A101" s="90">
        <v>124932672660</v>
      </c>
      <c r="B101" s="1" t="s">
        <v>8</v>
      </c>
      <c r="C101" s="43" t="s">
        <v>1792</v>
      </c>
      <c r="D101" s="1" t="s">
        <v>2029</v>
      </c>
      <c r="E101" s="43" t="s">
        <v>1800</v>
      </c>
      <c r="F101" s="37" t="s">
        <v>2030</v>
      </c>
      <c r="G101" s="44">
        <v>5000</v>
      </c>
      <c r="H101" s="44">
        <v>50</v>
      </c>
    </row>
    <row r="102" spans="1:8">
      <c r="A102" s="90">
        <v>124392231153</v>
      </c>
      <c r="B102" s="1" t="s">
        <v>8</v>
      </c>
      <c r="C102" s="43" t="s">
        <v>1800</v>
      </c>
      <c r="D102" s="1" t="s">
        <v>2029</v>
      </c>
      <c r="E102" s="43" t="s">
        <v>1800</v>
      </c>
      <c r="F102" s="37" t="s">
        <v>2030</v>
      </c>
      <c r="G102" s="44">
        <v>10000</v>
      </c>
      <c r="H102" s="44">
        <v>100</v>
      </c>
    </row>
    <row r="103" spans="1:8">
      <c r="A103" s="90">
        <v>124388358883</v>
      </c>
      <c r="B103" s="1" t="s">
        <v>1790</v>
      </c>
      <c r="C103" s="43" t="s">
        <v>1792</v>
      </c>
      <c r="D103" s="1" t="s">
        <v>2029</v>
      </c>
      <c r="E103" s="43" t="s">
        <v>1800</v>
      </c>
      <c r="F103" s="37" t="s">
        <v>2030</v>
      </c>
      <c r="G103" s="44">
        <v>4300</v>
      </c>
      <c r="H103" s="44">
        <v>43</v>
      </c>
    </row>
    <row r="104" spans="1:8">
      <c r="A104" s="90">
        <v>124388466105</v>
      </c>
      <c r="B104" s="1" t="s">
        <v>8</v>
      </c>
      <c r="C104" s="43" t="s">
        <v>1792</v>
      </c>
      <c r="D104" s="1" t="s">
        <v>2029</v>
      </c>
      <c r="E104" s="43" t="s">
        <v>1800</v>
      </c>
      <c r="F104" s="37" t="s">
        <v>2030</v>
      </c>
      <c r="G104" s="44">
        <v>186200</v>
      </c>
      <c r="H104" s="44">
        <v>1862</v>
      </c>
    </row>
    <row r="105" spans="1:8">
      <c r="A105" s="90">
        <v>124392818757</v>
      </c>
      <c r="B105" s="1" t="s">
        <v>8</v>
      </c>
      <c r="C105" s="43" t="s">
        <v>1800</v>
      </c>
      <c r="D105" s="1" t="s">
        <v>2029</v>
      </c>
      <c r="E105" s="43" t="s">
        <v>1800</v>
      </c>
      <c r="F105" s="37" t="s">
        <v>2030</v>
      </c>
      <c r="G105" s="44">
        <v>20700</v>
      </c>
      <c r="H105" s="44">
        <v>207</v>
      </c>
    </row>
    <row r="106" spans="1:8">
      <c r="A106" s="90">
        <v>124392888675</v>
      </c>
      <c r="B106" s="1" t="s">
        <v>8</v>
      </c>
      <c r="C106" s="43" t="s">
        <v>1800</v>
      </c>
      <c r="D106" s="1" t="s">
        <v>2029</v>
      </c>
      <c r="E106" s="43" t="s">
        <v>1800</v>
      </c>
      <c r="F106" s="37" t="s">
        <v>2030</v>
      </c>
      <c r="G106" s="44">
        <v>86600</v>
      </c>
      <c r="H106" s="44">
        <v>866</v>
      </c>
    </row>
    <row r="107" spans="1:8">
      <c r="A107" s="90">
        <v>124938249624</v>
      </c>
      <c r="B107" s="1" t="s">
        <v>8</v>
      </c>
      <c r="C107" s="43" t="s">
        <v>1800</v>
      </c>
      <c r="D107" s="1" t="s">
        <v>2029</v>
      </c>
      <c r="E107" s="43" t="s">
        <v>1800</v>
      </c>
      <c r="F107" s="37" t="s">
        <v>2030</v>
      </c>
      <c r="G107" s="44">
        <v>4300</v>
      </c>
      <c r="H107" s="44">
        <v>43</v>
      </c>
    </row>
    <row r="108" spans="1:8">
      <c r="A108" s="90">
        <v>124934432228</v>
      </c>
      <c r="B108" s="1" t="s">
        <v>8</v>
      </c>
      <c r="C108" s="43" t="s">
        <v>1792</v>
      </c>
      <c r="D108" s="1" t="s">
        <v>2029</v>
      </c>
      <c r="E108" s="43" t="s">
        <v>1800</v>
      </c>
      <c r="F108" s="37" t="s">
        <v>2030</v>
      </c>
      <c r="G108" s="44">
        <v>4300</v>
      </c>
      <c r="H108" s="44">
        <v>43</v>
      </c>
    </row>
    <row r="109" spans="1:8">
      <c r="A109" s="90">
        <v>124389390021</v>
      </c>
      <c r="B109" s="1" t="s">
        <v>1790</v>
      </c>
      <c r="C109" s="43" t="s">
        <v>1792</v>
      </c>
      <c r="D109" s="1" t="s">
        <v>2029</v>
      </c>
      <c r="E109" s="43" t="s">
        <v>1800</v>
      </c>
      <c r="F109" s="37" t="s">
        <v>2030</v>
      </c>
      <c r="G109" s="44">
        <v>8500</v>
      </c>
      <c r="H109" s="44">
        <v>85</v>
      </c>
    </row>
    <row r="110" spans="1:8">
      <c r="A110" s="90">
        <v>124935015006</v>
      </c>
      <c r="B110" s="1" t="s">
        <v>8</v>
      </c>
      <c r="C110" s="43" t="s">
        <v>1800</v>
      </c>
      <c r="D110" s="1" t="s">
        <v>2029</v>
      </c>
      <c r="E110" s="43" t="s">
        <v>1800</v>
      </c>
      <c r="F110" s="37" t="s">
        <v>2030</v>
      </c>
      <c r="G110" s="44">
        <v>4300</v>
      </c>
      <c r="H110" s="44">
        <v>43</v>
      </c>
    </row>
    <row r="111" spans="1:8">
      <c r="A111" s="90">
        <v>124390658789</v>
      </c>
      <c r="B111" s="1" t="s">
        <v>1790</v>
      </c>
      <c r="C111" s="43" t="s">
        <v>1800</v>
      </c>
      <c r="D111" s="1" t="s">
        <v>2029</v>
      </c>
      <c r="E111" s="43" t="s">
        <v>1800</v>
      </c>
      <c r="F111" s="37" t="s">
        <v>2030</v>
      </c>
      <c r="G111" s="44">
        <v>40800</v>
      </c>
      <c r="H111" s="44">
        <v>408</v>
      </c>
    </row>
    <row r="112" spans="1:8">
      <c r="A112" s="90">
        <v>124936306000</v>
      </c>
      <c r="B112" s="1" t="s">
        <v>8</v>
      </c>
      <c r="C112" s="43" t="s">
        <v>1800</v>
      </c>
      <c r="D112" s="1" t="s">
        <v>2029</v>
      </c>
      <c r="E112" s="43" t="s">
        <v>1800</v>
      </c>
      <c r="F112" s="37" t="s">
        <v>2030</v>
      </c>
      <c r="G112" s="44">
        <v>8600</v>
      </c>
      <c r="H112" s="44">
        <v>86</v>
      </c>
    </row>
    <row r="113" spans="1:8">
      <c r="A113" s="90">
        <v>124391850585</v>
      </c>
      <c r="B113" s="1" t="s">
        <v>8</v>
      </c>
      <c r="C113" s="43" t="s">
        <v>1800</v>
      </c>
      <c r="D113" s="1" t="s">
        <v>2029</v>
      </c>
      <c r="E113" s="43" t="s">
        <v>1800</v>
      </c>
      <c r="F113" s="37" t="s">
        <v>2030</v>
      </c>
      <c r="G113" s="44">
        <v>97500</v>
      </c>
      <c r="H113" s="44">
        <v>975</v>
      </c>
    </row>
    <row r="114" spans="1:8">
      <c r="A114" s="90">
        <v>124391938119</v>
      </c>
      <c r="B114" s="1" t="s">
        <v>8</v>
      </c>
      <c r="C114" s="43" t="s">
        <v>1800</v>
      </c>
      <c r="D114" s="1" t="s">
        <v>2029</v>
      </c>
      <c r="E114" s="43" t="s">
        <v>1800</v>
      </c>
      <c r="F114" s="37" t="s">
        <v>2030</v>
      </c>
      <c r="G114" s="44">
        <v>4300</v>
      </c>
      <c r="H114" s="44">
        <v>43</v>
      </c>
    </row>
    <row r="115" spans="1:8">
      <c r="A115" s="90">
        <v>124937292950</v>
      </c>
      <c r="B115" s="1" t="s">
        <v>8</v>
      </c>
      <c r="C115" s="43" t="s">
        <v>1800</v>
      </c>
      <c r="D115" s="1" t="s">
        <v>2029</v>
      </c>
      <c r="E115" s="43" t="s">
        <v>1800</v>
      </c>
      <c r="F115" s="37" t="s">
        <v>2030</v>
      </c>
      <c r="G115" s="44">
        <v>35800</v>
      </c>
      <c r="H115" s="44">
        <v>358</v>
      </c>
    </row>
    <row r="116" spans="1:8">
      <c r="A116" s="90">
        <v>124392245583</v>
      </c>
      <c r="B116" s="1" t="s">
        <v>1790</v>
      </c>
      <c r="C116" s="43" t="s">
        <v>1800</v>
      </c>
      <c r="D116" s="1" t="s">
        <v>2029</v>
      </c>
      <c r="E116" s="43" t="s">
        <v>1800</v>
      </c>
      <c r="F116" s="37" t="s">
        <v>2030</v>
      </c>
      <c r="G116" s="44">
        <v>35900</v>
      </c>
      <c r="H116" s="44">
        <v>359</v>
      </c>
    </row>
    <row r="117" spans="1:8">
      <c r="A117" s="90">
        <v>124392595503</v>
      </c>
      <c r="B117" s="1" t="s">
        <v>1790</v>
      </c>
      <c r="C117" s="43" t="s">
        <v>1800</v>
      </c>
      <c r="D117" s="1" t="s">
        <v>2029</v>
      </c>
      <c r="E117" s="43" t="s">
        <v>1800</v>
      </c>
      <c r="F117" s="37" t="s">
        <v>2030</v>
      </c>
      <c r="G117" s="44">
        <v>4300</v>
      </c>
      <c r="H117" s="44">
        <v>43</v>
      </c>
    </row>
    <row r="118" spans="1:8">
      <c r="A118" s="90">
        <v>124937954288</v>
      </c>
      <c r="B118" s="1" t="s">
        <v>8</v>
      </c>
      <c r="C118" s="43" t="s">
        <v>1800</v>
      </c>
      <c r="D118" s="1" t="s">
        <v>2029</v>
      </c>
      <c r="E118" s="43" t="s">
        <v>1800</v>
      </c>
      <c r="F118" s="37" t="s">
        <v>2030</v>
      </c>
      <c r="G118" s="44">
        <v>7000</v>
      </c>
      <c r="H118" s="44">
        <v>70</v>
      </c>
    </row>
    <row r="119" spans="1:8">
      <c r="A119" s="90">
        <v>124938008312</v>
      </c>
      <c r="B119" s="1" t="s">
        <v>8</v>
      </c>
      <c r="C119" s="43" t="s">
        <v>1800</v>
      </c>
      <c r="D119" s="1" t="s">
        <v>2029</v>
      </c>
      <c r="E119" s="43" t="s">
        <v>1800</v>
      </c>
      <c r="F119" s="37" t="s">
        <v>2030</v>
      </c>
      <c r="G119" s="44">
        <v>12900</v>
      </c>
      <c r="H119" s="44">
        <v>129</v>
      </c>
    </row>
    <row r="120" spans="1:8">
      <c r="A120" s="90">
        <v>124392988273</v>
      </c>
      <c r="B120" s="1" t="s">
        <v>8</v>
      </c>
      <c r="C120" s="43" t="s">
        <v>1800</v>
      </c>
      <c r="D120" s="1" t="s">
        <v>2029</v>
      </c>
      <c r="E120" s="43" t="s">
        <v>1800</v>
      </c>
      <c r="F120" s="37" t="s">
        <v>2030</v>
      </c>
      <c r="G120" s="44">
        <v>8700</v>
      </c>
      <c r="H120" s="44">
        <v>87</v>
      </c>
    </row>
    <row r="121" spans="1:8">
      <c r="A121" s="90">
        <v>124938162788</v>
      </c>
      <c r="B121" s="1" t="s">
        <v>8</v>
      </c>
      <c r="C121" s="43" t="s">
        <v>1800</v>
      </c>
      <c r="D121" s="1" t="s">
        <v>2029</v>
      </c>
      <c r="E121" s="43" t="s">
        <v>1800</v>
      </c>
      <c r="F121" s="37" t="s">
        <v>2030</v>
      </c>
      <c r="G121" s="44">
        <v>29300</v>
      </c>
      <c r="H121" s="44">
        <v>293</v>
      </c>
    </row>
    <row r="122" spans="1:8">
      <c r="A122" s="90">
        <v>125049940460</v>
      </c>
      <c r="B122" s="1" t="s">
        <v>8</v>
      </c>
      <c r="C122" s="43" t="s">
        <v>1800</v>
      </c>
      <c r="D122" s="1" t="s">
        <v>2029</v>
      </c>
      <c r="E122" s="43" t="s">
        <v>1800</v>
      </c>
      <c r="F122" s="37" t="s">
        <v>2030</v>
      </c>
      <c r="G122" s="44">
        <v>10200</v>
      </c>
      <c r="H122" s="44">
        <v>102</v>
      </c>
    </row>
    <row r="123" spans="1:8">
      <c r="A123" s="90">
        <v>124512339921</v>
      </c>
      <c r="B123" s="1" t="s">
        <v>1790</v>
      </c>
      <c r="C123" s="43" t="s">
        <v>1800</v>
      </c>
      <c r="D123" s="1" t="s">
        <v>2029</v>
      </c>
      <c r="E123" s="43" t="s">
        <v>1800</v>
      </c>
      <c r="F123" s="37" t="s">
        <v>2030</v>
      </c>
      <c r="G123" s="44">
        <v>7800</v>
      </c>
      <c r="H123" s="44">
        <v>78</v>
      </c>
    </row>
    <row r="124" spans="1:8">
      <c r="A124" s="90">
        <v>124513068303</v>
      </c>
      <c r="B124" s="1" t="s">
        <v>1790</v>
      </c>
      <c r="C124" s="43" t="s">
        <v>1800</v>
      </c>
      <c r="D124" s="1" t="s">
        <v>2029</v>
      </c>
      <c r="E124" s="43" t="s">
        <v>1800</v>
      </c>
      <c r="F124" s="37" t="s">
        <v>2030</v>
      </c>
      <c r="G124" s="44">
        <v>4300</v>
      </c>
      <c r="H124" s="44">
        <v>43</v>
      </c>
    </row>
    <row r="125" spans="1:8">
      <c r="A125" s="90">
        <v>124506917889</v>
      </c>
      <c r="B125" s="1" t="s">
        <v>8</v>
      </c>
      <c r="C125" s="43" t="s">
        <v>1800</v>
      </c>
      <c r="D125" s="1" t="s">
        <v>2029</v>
      </c>
      <c r="E125" s="43" t="s">
        <v>1800</v>
      </c>
      <c r="F125" s="37" t="s">
        <v>2030</v>
      </c>
      <c r="G125" s="44">
        <v>16500</v>
      </c>
      <c r="H125" s="44">
        <v>165</v>
      </c>
    </row>
    <row r="126" spans="1:8">
      <c r="A126" s="90">
        <v>124521851915</v>
      </c>
      <c r="B126" s="1" t="s">
        <v>1790</v>
      </c>
      <c r="C126" s="43" t="s">
        <v>1800</v>
      </c>
      <c r="D126" s="1" t="s">
        <v>2029</v>
      </c>
      <c r="E126" s="43" t="s">
        <v>1800</v>
      </c>
      <c r="F126" s="37" t="s">
        <v>2030</v>
      </c>
      <c r="G126" s="44">
        <v>12100</v>
      </c>
      <c r="H126" s="44">
        <v>121</v>
      </c>
    </row>
    <row r="127" spans="1:8">
      <c r="A127" s="90">
        <v>125063411054</v>
      </c>
      <c r="B127" s="1" t="s">
        <v>8</v>
      </c>
      <c r="C127" s="43" t="s">
        <v>1800</v>
      </c>
      <c r="D127" s="1" t="s">
        <v>2029</v>
      </c>
      <c r="E127" s="43" t="s">
        <v>1800</v>
      </c>
      <c r="F127" s="37" t="s">
        <v>2030</v>
      </c>
      <c r="G127" s="44">
        <v>8600</v>
      </c>
      <c r="H127" s="44">
        <v>86</v>
      </c>
    </row>
    <row r="128" spans="1:8">
      <c r="A128" s="90">
        <v>125072280684</v>
      </c>
      <c r="B128" s="1" t="s">
        <v>8</v>
      </c>
      <c r="C128" s="43" t="s">
        <v>1800</v>
      </c>
      <c r="D128" s="1" t="s">
        <v>2029</v>
      </c>
      <c r="E128" s="43" t="s">
        <v>1800</v>
      </c>
      <c r="F128" s="37" t="s">
        <v>2030</v>
      </c>
      <c r="G128" s="44">
        <v>9000</v>
      </c>
      <c r="H128" s="44">
        <v>90</v>
      </c>
    </row>
    <row r="129" spans="1:8">
      <c r="A129" s="90">
        <v>125066792780</v>
      </c>
      <c r="B129" s="1" t="s">
        <v>8</v>
      </c>
      <c r="C129" s="43" t="s">
        <v>1800</v>
      </c>
      <c r="D129" s="1" t="s">
        <v>2029</v>
      </c>
      <c r="E129" s="43" t="s">
        <v>1800</v>
      </c>
      <c r="F129" s="37" t="s">
        <v>2030</v>
      </c>
      <c r="G129" s="44">
        <v>10900</v>
      </c>
      <c r="H129" s="44">
        <v>109</v>
      </c>
    </row>
    <row r="130" spans="1:8">
      <c r="A130" s="90">
        <v>125074007976</v>
      </c>
      <c r="B130" s="1" t="s">
        <v>1790</v>
      </c>
      <c r="C130" s="43" t="s">
        <v>1800</v>
      </c>
      <c r="D130" s="1" t="s">
        <v>2029</v>
      </c>
      <c r="E130" s="43" t="s">
        <v>1800</v>
      </c>
      <c r="F130" s="37" t="s">
        <v>2030</v>
      </c>
      <c r="G130" s="44">
        <v>3500</v>
      </c>
      <c r="H130" s="44">
        <v>35</v>
      </c>
    </row>
    <row r="131" spans="1:8">
      <c r="A131" s="90">
        <v>124528936881</v>
      </c>
      <c r="B131" s="1" t="s">
        <v>1790</v>
      </c>
      <c r="C131" s="43" t="s">
        <v>1800</v>
      </c>
      <c r="D131" s="1" t="s">
        <v>2029</v>
      </c>
      <c r="E131" s="43" t="s">
        <v>1800</v>
      </c>
      <c r="F131" s="37" t="s">
        <v>2030</v>
      </c>
      <c r="G131" s="44">
        <v>50000</v>
      </c>
      <c r="H131" s="44">
        <v>500</v>
      </c>
    </row>
    <row r="132" spans="1:8">
      <c r="A132" s="90">
        <v>125074730376</v>
      </c>
      <c r="B132" s="1" t="s">
        <v>8</v>
      </c>
      <c r="C132" s="43" t="s">
        <v>1800</v>
      </c>
      <c r="D132" s="1" t="s">
        <v>2029</v>
      </c>
      <c r="E132" s="43" t="s">
        <v>1800</v>
      </c>
      <c r="F132" s="37" t="s">
        <v>2030</v>
      </c>
      <c r="G132" s="44">
        <v>7000</v>
      </c>
      <c r="H132" s="44">
        <v>70</v>
      </c>
    </row>
    <row r="133" spans="1:8">
      <c r="A133" s="90">
        <v>125075109170</v>
      </c>
      <c r="B133" s="1" t="s">
        <v>8</v>
      </c>
      <c r="C133" s="43" t="s">
        <v>1800</v>
      </c>
      <c r="D133" s="1" t="s">
        <v>2029</v>
      </c>
      <c r="E133" s="43" t="s">
        <v>1800</v>
      </c>
      <c r="F133" s="37" t="s">
        <v>2030</v>
      </c>
      <c r="G133" s="44">
        <v>4300</v>
      </c>
      <c r="H133" s="44">
        <v>43</v>
      </c>
    </row>
    <row r="134" spans="1:8">
      <c r="A134" s="90">
        <v>125075403750</v>
      </c>
      <c r="B134" s="1" t="s">
        <v>1790</v>
      </c>
      <c r="C134" s="43" t="s">
        <v>1800</v>
      </c>
      <c r="D134" s="1" t="s">
        <v>2029</v>
      </c>
      <c r="E134" s="43" t="s">
        <v>1800</v>
      </c>
      <c r="F134" s="37" t="s">
        <v>2030</v>
      </c>
      <c r="G134" s="44">
        <v>42900</v>
      </c>
      <c r="H134" s="44">
        <v>429</v>
      </c>
    </row>
    <row r="135" spans="1:8">
      <c r="A135" s="90">
        <v>124529807091</v>
      </c>
      <c r="B135" s="1" t="s">
        <v>8</v>
      </c>
      <c r="C135" s="43" t="s">
        <v>1800</v>
      </c>
      <c r="D135" s="1" t="s">
        <v>2029</v>
      </c>
      <c r="E135" s="43" t="s">
        <v>1800</v>
      </c>
      <c r="F135" s="37" t="s">
        <v>2030</v>
      </c>
      <c r="G135" s="44">
        <v>7800</v>
      </c>
      <c r="H135" s="44">
        <v>78</v>
      </c>
    </row>
    <row r="136" spans="1:8">
      <c r="A136" s="90">
        <v>125070585706</v>
      </c>
      <c r="B136" s="1" t="s">
        <v>1790</v>
      </c>
      <c r="C136" s="43" t="s">
        <v>1800</v>
      </c>
      <c r="D136" s="1" t="s">
        <v>2029</v>
      </c>
      <c r="E136" s="43" t="s">
        <v>1800</v>
      </c>
      <c r="F136" s="37" t="s">
        <v>2030</v>
      </c>
      <c r="G136" s="44">
        <v>7800</v>
      </c>
      <c r="H136" s="44">
        <v>78</v>
      </c>
    </row>
    <row r="137" spans="1:8">
      <c r="A137" s="90">
        <v>124525967241</v>
      </c>
      <c r="B137" s="1" t="s">
        <v>1790</v>
      </c>
      <c r="C137" s="43" t="s">
        <v>1800</v>
      </c>
      <c r="D137" s="1" t="s">
        <v>2029</v>
      </c>
      <c r="E137" s="43" t="s">
        <v>1800</v>
      </c>
      <c r="F137" s="37" t="s">
        <v>2030</v>
      </c>
      <c r="G137" s="44">
        <v>4300</v>
      </c>
      <c r="H137" s="44">
        <v>43</v>
      </c>
    </row>
    <row r="138" spans="1:8">
      <c r="A138" s="90">
        <v>124526350425</v>
      </c>
      <c r="B138" s="1" t="s">
        <v>8</v>
      </c>
      <c r="C138" s="43" t="s">
        <v>1800</v>
      </c>
      <c r="D138" s="1" t="s">
        <v>2029</v>
      </c>
      <c r="E138" s="43" t="s">
        <v>1800</v>
      </c>
      <c r="F138" s="37" t="s">
        <v>2030</v>
      </c>
      <c r="G138" s="44">
        <v>4300</v>
      </c>
      <c r="H138" s="44">
        <v>43</v>
      </c>
    </row>
    <row r="139" spans="1:8">
      <c r="A139" s="90">
        <v>125072870242</v>
      </c>
      <c r="B139" s="1" t="s">
        <v>1790</v>
      </c>
      <c r="C139" s="43" t="s">
        <v>1800</v>
      </c>
      <c r="D139" s="1" t="s">
        <v>2029</v>
      </c>
      <c r="E139" s="43" t="s">
        <v>1800</v>
      </c>
      <c r="F139" s="37" t="s">
        <v>2030</v>
      </c>
      <c r="G139" s="44">
        <v>9000</v>
      </c>
      <c r="H139" s="44">
        <v>90</v>
      </c>
    </row>
    <row r="140" spans="1:8">
      <c r="A140" s="90">
        <v>125080148776</v>
      </c>
      <c r="B140" s="1" t="s">
        <v>1790</v>
      </c>
      <c r="C140" s="43" t="s">
        <v>1800</v>
      </c>
      <c r="D140" s="1" t="s">
        <v>2029</v>
      </c>
      <c r="E140" s="43" t="s">
        <v>1800</v>
      </c>
      <c r="F140" s="37" t="s">
        <v>2030</v>
      </c>
      <c r="G140" s="44">
        <v>21600</v>
      </c>
      <c r="H140" s="44">
        <v>216</v>
      </c>
    </row>
    <row r="141" spans="1:8">
      <c r="A141" s="90">
        <v>125074877368</v>
      </c>
      <c r="B141" s="1" t="s">
        <v>8</v>
      </c>
      <c r="C141" s="43" t="s">
        <v>1800</v>
      </c>
      <c r="D141" s="1" t="s">
        <v>2029</v>
      </c>
      <c r="E141" s="43" t="s">
        <v>1800</v>
      </c>
      <c r="F141" s="37" t="s">
        <v>2030</v>
      </c>
      <c r="G141" s="44">
        <v>48600</v>
      </c>
      <c r="H141" s="44">
        <v>486</v>
      </c>
    </row>
    <row r="142" spans="1:8">
      <c r="A142" s="90">
        <v>125076566722</v>
      </c>
      <c r="B142" s="1" t="s">
        <v>1790</v>
      </c>
      <c r="C142" s="43" t="s">
        <v>1800</v>
      </c>
      <c r="D142" s="1" t="s">
        <v>2029</v>
      </c>
      <c r="E142" s="43" t="s">
        <v>1800</v>
      </c>
      <c r="F142" s="37" t="s">
        <v>2030</v>
      </c>
      <c r="G142" s="44">
        <v>14900</v>
      </c>
      <c r="H142" s="44">
        <v>149</v>
      </c>
    </row>
    <row r="143" spans="1:8">
      <c r="A143" s="90">
        <v>125083042824</v>
      </c>
      <c r="B143" s="1" t="s">
        <v>8</v>
      </c>
      <c r="C143" s="43" t="s">
        <v>1800</v>
      </c>
      <c r="D143" s="1" t="s">
        <v>2029</v>
      </c>
      <c r="E143" s="43" t="s">
        <v>1800</v>
      </c>
      <c r="F143" s="37" t="s">
        <v>2030</v>
      </c>
      <c r="G143" s="44">
        <v>11700</v>
      </c>
      <c r="H143" s="44">
        <v>117</v>
      </c>
    </row>
    <row r="144" spans="1:8">
      <c r="A144" s="90">
        <v>124531770681</v>
      </c>
      <c r="B144" s="1" t="s">
        <v>8</v>
      </c>
      <c r="C144" s="43" t="s">
        <v>1800</v>
      </c>
      <c r="D144" s="1" t="s">
        <v>2029</v>
      </c>
      <c r="E144" s="43" t="s">
        <v>1800</v>
      </c>
      <c r="F144" s="37" t="s">
        <v>2030</v>
      </c>
      <c r="G144" s="44">
        <v>41300</v>
      </c>
      <c r="H144" s="44">
        <v>413</v>
      </c>
    </row>
    <row r="145" spans="1:8">
      <c r="A145" s="90">
        <v>125077701916</v>
      </c>
      <c r="B145" s="1" t="s">
        <v>1790</v>
      </c>
      <c r="C145" s="43" t="s">
        <v>1800</v>
      </c>
      <c r="D145" s="1" t="s">
        <v>2029</v>
      </c>
      <c r="E145" s="43" t="s">
        <v>1800</v>
      </c>
      <c r="F145" s="37" t="s">
        <v>2030</v>
      </c>
      <c r="G145" s="44">
        <v>105600</v>
      </c>
      <c r="H145" s="44">
        <v>1056</v>
      </c>
    </row>
    <row r="146" spans="1:8">
      <c r="A146" s="90">
        <v>124538079727</v>
      </c>
      <c r="B146" s="1" t="s">
        <v>1790</v>
      </c>
      <c r="C146" s="43" t="s">
        <v>1800</v>
      </c>
      <c r="D146" s="1" t="s">
        <v>2029</v>
      </c>
      <c r="E146" s="43" t="s">
        <v>1800</v>
      </c>
      <c r="F146" s="37" t="s">
        <v>2030</v>
      </c>
      <c r="G146" s="44">
        <v>3900</v>
      </c>
      <c r="H146" s="44">
        <v>39</v>
      </c>
    </row>
    <row r="147" spans="1:8">
      <c r="A147" s="90">
        <v>125084267116</v>
      </c>
      <c r="B147" s="1" t="s">
        <v>1790</v>
      </c>
      <c r="C147" s="43" t="s">
        <v>1800</v>
      </c>
      <c r="D147" s="1" t="s">
        <v>2029</v>
      </c>
      <c r="E147" s="43" t="s">
        <v>1800</v>
      </c>
      <c r="F147" s="37" t="s">
        <v>2030</v>
      </c>
      <c r="G147" s="44">
        <v>15500</v>
      </c>
      <c r="H147" s="44">
        <v>155</v>
      </c>
    </row>
    <row r="148" spans="1:8">
      <c r="A148" s="90">
        <v>124538747357</v>
      </c>
      <c r="B148" s="1" t="s">
        <v>1790</v>
      </c>
      <c r="C148" s="43" t="s">
        <v>1800</v>
      </c>
      <c r="D148" s="1" t="s">
        <v>2029</v>
      </c>
      <c r="E148" s="43" t="s">
        <v>1800</v>
      </c>
      <c r="F148" s="37" t="s">
        <v>2030</v>
      </c>
      <c r="G148" s="44">
        <v>34800</v>
      </c>
      <c r="H148" s="44">
        <v>348</v>
      </c>
    </row>
    <row r="149" spans="1:8">
      <c r="A149" s="90">
        <v>124533578613</v>
      </c>
      <c r="B149" s="1" t="s">
        <v>8</v>
      </c>
      <c r="C149" s="43" t="s">
        <v>1800</v>
      </c>
      <c r="D149" s="1" t="s">
        <v>2029</v>
      </c>
      <c r="E149" s="43" t="s">
        <v>1800</v>
      </c>
      <c r="F149" s="37" t="s">
        <v>2030</v>
      </c>
      <c r="G149" s="44">
        <v>31500</v>
      </c>
      <c r="H149" s="44">
        <v>315</v>
      </c>
    </row>
    <row r="150" spans="1:8">
      <c r="A150" s="90">
        <v>125085549984</v>
      </c>
      <c r="B150" s="1" t="s">
        <v>1790</v>
      </c>
      <c r="C150" s="43" t="s">
        <v>1800</v>
      </c>
      <c r="D150" s="1" t="s">
        <v>2029</v>
      </c>
      <c r="E150" s="43" t="s">
        <v>1800</v>
      </c>
      <c r="F150" s="37" t="s">
        <v>2030</v>
      </c>
      <c r="G150" s="44">
        <v>41600</v>
      </c>
      <c r="H150" s="44">
        <v>416</v>
      </c>
    </row>
    <row r="151" spans="1:8">
      <c r="A151" s="90">
        <v>125085738014</v>
      </c>
      <c r="B151" s="1" t="s">
        <v>8</v>
      </c>
      <c r="C151" s="43" t="s">
        <v>1800</v>
      </c>
      <c r="D151" s="1" t="s">
        <v>2029</v>
      </c>
      <c r="E151" s="43" t="s">
        <v>1800</v>
      </c>
      <c r="F151" s="37" t="s">
        <v>2030</v>
      </c>
      <c r="G151" s="44">
        <v>27900</v>
      </c>
      <c r="H151" s="44">
        <v>279</v>
      </c>
    </row>
    <row r="152" spans="1:8">
      <c r="A152" s="90">
        <v>124534512559</v>
      </c>
      <c r="B152" s="1" t="s">
        <v>8</v>
      </c>
      <c r="C152" s="43" t="s">
        <v>1800</v>
      </c>
      <c r="D152" s="1" t="s">
        <v>2029</v>
      </c>
      <c r="E152" s="43" t="s">
        <v>1800</v>
      </c>
      <c r="F152" s="37" t="s">
        <v>2030</v>
      </c>
      <c r="G152" s="44">
        <v>60700</v>
      </c>
      <c r="H152" s="44">
        <v>607</v>
      </c>
    </row>
    <row r="153" spans="1:8">
      <c r="A153" s="90">
        <v>124540015625</v>
      </c>
      <c r="B153" s="1" t="s">
        <v>8</v>
      </c>
      <c r="C153" s="43" t="s">
        <v>1800</v>
      </c>
      <c r="D153" s="1" t="s">
        <v>2029</v>
      </c>
      <c r="E153" s="43" t="s">
        <v>1800</v>
      </c>
      <c r="F153" s="37" t="s">
        <v>2030</v>
      </c>
      <c r="G153" s="44">
        <v>25400</v>
      </c>
      <c r="H153" s="44">
        <v>254</v>
      </c>
    </row>
    <row r="154" spans="1:8">
      <c r="A154" s="90">
        <v>125080564580</v>
      </c>
      <c r="B154" s="1" t="s">
        <v>1790</v>
      </c>
      <c r="C154" s="43" t="s">
        <v>1800</v>
      </c>
      <c r="D154" s="1" t="s">
        <v>2029</v>
      </c>
      <c r="E154" s="43" t="s">
        <v>1800</v>
      </c>
      <c r="F154" s="37" t="s">
        <v>2030</v>
      </c>
      <c r="G154" s="44">
        <v>17300</v>
      </c>
      <c r="H154" s="44">
        <v>173</v>
      </c>
    </row>
    <row r="155" spans="1:8">
      <c r="A155" s="90">
        <v>124540445571</v>
      </c>
      <c r="B155" s="1" t="s">
        <v>8</v>
      </c>
      <c r="C155" s="43" t="s">
        <v>1800</v>
      </c>
      <c r="D155" s="1" t="s">
        <v>2029</v>
      </c>
      <c r="E155" s="43" t="s">
        <v>1800</v>
      </c>
      <c r="F155" s="37" t="s">
        <v>2030</v>
      </c>
      <c r="G155" s="44">
        <v>49100</v>
      </c>
      <c r="H155" s="44">
        <v>491</v>
      </c>
    </row>
    <row r="156" spans="1:8">
      <c r="A156" s="90">
        <v>125081323764</v>
      </c>
      <c r="B156" s="1" t="s">
        <v>1790</v>
      </c>
      <c r="C156" s="43" t="s">
        <v>1800</v>
      </c>
      <c r="D156" s="1" t="s">
        <v>2029</v>
      </c>
      <c r="E156" s="43" t="s">
        <v>1800</v>
      </c>
      <c r="F156" s="37" t="s">
        <v>2030</v>
      </c>
      <c r="G156" s="44">
        <v>9300</v>
      </c>
      <c r="H156" s="44">
        <v>93</v>
      </c>
    </row>
    <row r="157" spans="1:8">
      <c r="A157" s="90">
        <v>124541219739</v>
      </c>
      <c r="B157" s="1" t="s">
        <v>1790</v>
      </c>
      <c r="C157" s="43" t="s">
        <v>1800</v>
      </c>
      <c r="D157" s="1" t="s">
        <v>2029</v>
      </c>
      <c r="E157" s="43" t="s">
        <v>1800</v>
      </c>
      <c r="F157" s="37" t="s">
        <v>2030</v>
      </c>
      <c r="G157" s="44">
        <v>17900</v>
      </c>
      <c r="H157" s="44">
        <v>179</v>
      </c>
    </row>
    <row r="158" spans="1:8">
      <c r="A158" s="90">
        <v>124541482575</v>
      </c>
      <c r="B158" s="1" t="s">
        <v>1790</v>
      </c>
      <c r="C158" s="43" t="s">
        <v>1800</v>
      </c>
      <c r="D158" s="1" t="s">
        <v>2029</v>
      </c>
      <c r="E158" s="43" t="s">
        <v>1800</v>
      </c>
      <c r="F158" s="37" t="s">
        <v>2030</v>
      </c>
      <c r="G158" s="44">
        <v>30900</v>
      </c>
      <c r="H158" s="44">
        <v>309</v>
      </c>
    </row>
    <row r="159" spans="1:8">
      <c r="A159" s="90">
        <v>125082018504</v>
      </c>
      <c r="B159" s="1" t="s">
        <v>8</v>
      </c>
      <c r="C159" s="43" t="s">
        <v>1800</v>
      </c>
      <c r="D159" s="1" t="s">
        <v>2029</v>
      </c>
      <c r="E159" s="43" t="s">
        <v>1800</v>
      </c>
      <c r="F159" s="37" t="s">
        <v>2030</v>
      </c>
      <c r="G159" s="44">
        <v>36800</v>
      </c>
      <c r="H159" s="44">
        <v>368</v>
      </c>
    </row>
    <row r="160" spans="1:8">
      <c r="A160" s="90">
        <v>125087841682</v>
      </c>
      <c r="B160" s="1" t="s">
        <v>8</v>
      </c>
      <c r="C160" s="43" t="s">
        <v>1800</v>
      </c>
      <c r="D160" s="1" t="s">
        <v>2029</v>
      </c>
      <c r="E160" s="43" t="s">
        <v>1800</v>
      </c>
      <c r="F160" s="37" t="s">
        <v>2030</v>
      </c>
      <c r="G160" s="44">
        <v>36800</v>
      </c>
      <c r="H160" s="44">
        <v>368</v>
      </c>
    </row>
    <row r="161" spans="1:8">
      <c r="A161" s="90">
        <v>124542531059</v>
      </c>
      <c r="B161" s="1" t="s">
        <v>8</v>
      </c>
      <c r="C161" s="43" t="s">
        <v>1800</v>
      </c>
      <c r="D161" s="1" t="s">
        <v>2029</v>
      </c>
      <c r="E161" s="43" t="s">
        <v>1800</v>
      </c>
      <c r="F161" s="37" t="s">
        <v>2030</v>
      </c>
      <c r="G161" s="44">
        <v>26400</v>
      </c>
      <c r="H161" s="44">
        <v>264</v>
      </c>
    </row>
    <row r="162" spans="1:8">
      <c r="A162" s="90">
        <v>125088844362</v>
      </c>
      <c r="B162" s="1" t="s">
        <v>8</v>
      </c>
      <c r="C162" s="43" t="s">
        <v>1800</v>
      </c>
      <c r="D162" s="1" t="s">
        <v>2029</v>
      </c>
      <c r="E162" s="43" t="s">
        <v>1815</v>
      </c>
      <c r="F162" s="37" t="s">
        <v>2030</v>
      </c>
      <c r="G162" s="44">
        <v>8600</v>
      </c>
      <c r="H162" s="44">
        <v>86</v>
      </c>
    </row>
    <row r="163" spans="1:8">
      <c r="A163" s="90">
        <v>125088894738</v>
      </c>
      <c r="B163" s="1" t="s">
        <v>8</v>
      </c>
      <c r="C163" s="43" t="s">
        <v>1800</v>
      </c>
      <c r="D163" s="1" t="s">
        <v>2029</v>
      </c>
      <c r="E163" s="43" t="s">
        <v>1815</v>
      </c>
      <c r="F163" s="37" t="s">
        <v>2030</v>
      </c>
      <c r="G163" s="44">
        <v>12600</v>
      </c>
      <c r="H163" s="44">
        <v>126</v>
      </c>
    </row>
    <row r="164" spans="1:8">
      <c r="A164" s="90">
        <v>125088899534</v>
      </c>
      <c r="B164" s="1" t="s">
        <v>1790</v>
      </c>
      <c r="C164" s="43" t="s">
        <v>1800</v>
      </c>
      <c r="D164" s="1" t="s">
        <v>2029</v>
      </c>
      <c r="E164" s="43" t="s">
        <v>1815</v>
      </c>
      <c r="F164" s="37" t="s">
        <v>2030</v>
      </c>
      <c r="G164" s="44">
        <v>35100</v>
      </c>
      <c r="H164" s="44">
        <v>351</v>
      </c>
    </row>
    <row r="165" spans="1:8">
      <c r="A165" s="90">
        <v>125088923310</v>
      </c>
      <c r="B165" s="1" t="s">
        <v>8</v>
      </c>
      <c r="C165" s="43" t="s">
        <v>1800</v>
      </c>
      <c r="D165" s="1" t="s">
        <v>2029</v>
      </c>
      <c r="E165" s="43" t="s">
        <v>1815</v>
      </c>
      <c r="F165" s="37" t="s">
        <v>2030</v>
      </c>
      <c r="G165" s="44">
        <v>32800</v>
      </c>
      <c r="H165" s="44">
        <v>328</v>
      </c>
    </row>
    <row r="166" spans="1:8">
      <c r="A166" s="90">
        <v>125089015400</v>
      </c>
      <c r="B166" s="1" t="s">
        <v>8</v>
      </c>
      <c r="C166" s="43" t="s">
        <v>1800</v>
      </c>
      <c r="D166" s="1" t="s">
        <v>2029</v>
      </c>
      <c r="E166" s="43" t="s">
        <v>1815</v>
      </c>
      <c r="F166" s="37" t="s">
        <v>2030</v>
      </c>
      <c r="G166" s="44">
        <v>4300</v>
      </c>
      <c r="H166" s="44">
        <v>43</v>
      </c>
    </row>
    <row r="167" spans="1:8">
      <c r="A167" s="90">
        <v>125089355560</v>
      </c>
      <c r="B167" s="1" t="s">
        <v>8</v>
      </c>
      <c r="C167" s="43" t="s">
        <v>1800</v>
      </c>
      <c r="D167" s="1" t="s">
        <v>2029</v>
      </c>
      <c r="E167" s="43" t="s">
        <v>1815</v>
      </c>
      <c r="F167" s="37" t="s">
        <v>2030</v>
      </c>
      <c r="G167" s="44">
        <v>9300</v>
      </c>
      <c r="H167" s="44">
        <v>93</v>
      </c>
    </row>
    <row r="168" spans="1:8">
      <c r="A168" s="90">
        <v>124538330471</v>
      </c>
      <c r="B168" s="1" t="s">
        <v>8</v>
      </c>
      <c r="C168" s="43" t="s">
        <v>1800</v>
      </c>
      <c r="D168" s="1" t="s">
        <v>2029</v>
      </c>
      <c r="E168" s="43" t="s">
        <v>1800</v>
      </c>
      <c r="F168" s="37" t="s">
        <v>2030</v>
      </c>
      <c r="G168" s="44">
        <v>7000</v>
      </c>
      <c r="H168" s="44">
        <v>70</v>
      </c>
    </row>
    <row r="169" spans="1:8">
      <c r="A169" s="90">
        <v>125084844014</v>
      </c>
      <c r="B169" s="1" t="s">
        <v>8</v>
      </c>
      <c r="C169" s="43" t="s">
        <v>1800</v>
      </c>
      <c r="D169" s="1" t="s">
        <v>2029</v>
      </c>
      <c r="E169" s="43" t="s">
        <v>1800</v>
      </c>
      <c r="F169" s="37" t="s">
        <v>2030</v>
      </c>
      <c r="G169" s="44">
        <v>4300</v>
      </c>
      <c r="H169" s="44">
        <v>43</v>
      </c>
    </row>
    <row r="170" spans="1:8">
      <c r="A170" s="90">
        <v>124544677873</v>
      </c>
      <c r="B170" s="1" t="s">
        <v>8</v>
      </c>
      <c r="C170" s="43" t="s">
        <v>1800</v>
      </c>
      <c r="D170" s="1" t="s">
        <v>2029</v>
      </c>
      <c r="E170" s="43" t="s">
        <v>1815</v>
      </c>
      <c r="F170" s="37" t="s">
        <v>2030</v>
      </c>
      <c r="G170" s="44">
        <v>68200</v>
      </c>
      <c r="H170" s="44">
        <v>682</v>
      </c>
    </row>
    <row r="171" spans="1:8">
      <c r="A171" s="90">
        <v>124545246125</v>
      </c>
      <c r="B171" s="1" t="s">
        <v>8</v>
      </c>
      <c r="C171" s="43" t="s">
        <v>1800</v>
      </c>
      <c r="D171" s="1" t="s">
        <v>2029</v>
      </c>
      <c r="E171" s="43" t="s">
        <v>1815</v>
      </c>
      <c r="F171" s="37" t="s">
        <v>2030</v>
      </c>
      <c r="G171" s="44">
        <v>5300</v>
      </c>
      <c r="H171" s="44">
        <v>53</v>
      </c>
    </row>
    <row r="172" spans="1:8">
      <c r="A172" s="90">
        <v>125091085756</v>
      </c>
      <c r="B172" s="1" t="s">
        <v>1790</v>
      </c>
      <c r="C172" s="43" t="s">
        <v>1800</v>
      </c>
      <c r="D172" s="1" t="s">
        <v>2029</v>
      </c>
      <c r="E172" s="43" t="s">
        <v>1815</v>
      </c>
      <c r="F172" s="37" t="s">
        <v>2030</v>
      </c>
      <c r="G172" s="44">
        <v>7800</v>
      </c>
      <c r="H172" s="44">
        <v>78</v>
      </c>
    </row>
    <row r="173" spans="1:8">
      <c r="A173" s="90">
        <v>124540352665</v>
      </c>
      <c r="B173" s="1" t="s">
        <v>1790</v>
      </c>
      <c r="C173" s="43" t="s">
        <v>1800</v>
      </c>
      <c r="D173" s="1" t="s">
        <v>2029</v>
      </c>
      <c r="E173" s="43" t="s">
        <v>1800</v>
      </c>
      <c r="F173" s="37" t="s">
        <v>2030</v>
      </c>
      <c r="G173" s="44">
        <v>37600</v>
      </c>
      <c r="H173" s="44">
        <v>376</v>
      </c>
    </row>
    <row r="174" spans="1:8">
      <c r="A174" s="90">
        <v>125091553012</v>
      </c>
      <c r="B174" s="1" t="s">
        <v>8</v>
      </c>
      <c r="C174" s="43" t="s">
        <v>1800</v>
      </c>
      <c r="D174" s="1" t="s">
        <v>2029</v>
      </c>
      <c r="E174" s="43" t="s">
        <v>1815</v>
      </c>
      <c r="F174" s="37" t="s">
        <v>2030</v>
      </c>
      <c r="G174" s="44">
        <v>4300</v>
      </c>
      <c r="H174" s="44">
        <v>43</v>
      </c>
    </row>
    <row r="175" spans="1:8">
      <c r="A175" s="90">
        <v>125091877596</v>
      </c>
      <c r="B175" s="1" t="s">
        <v>8</v>
      </c>
      <c r="C175" s="43" t="s">
        <v>1800</v>
      </c>
      <c r="D175" s="1" t="s">
        <v>2029</v>
      </c>
      <c r="E175" s="43" t="s">
        <v>1815</v>
      </c>
      <c r="F175" s="37" t="s">
        <v>2030</v>
      </c>
      <c r="G175" s="44">
        <v>3500</v>
      </c>
      <c r="H175" s="44">
        <v>35</v>
      </c>
    </row>
    <row r="176" spans="1:8">
      <c r="A176" s="90">
        <v>124546385021</v>
      </c>
      <c r="B176" s="1" t="s">
        <v>8</v>
      </c>
      <c r="C176" s="43" t="s">
        <v>1800</v>
      </c>
      <c r="D176" s="1" t="s">
        <v>2029</v>
      </c>
      <c r="E176" s="43" t="s">
        <v>1815</v>
      </c>
      <c r="F176" s="37" t="s">
        <v>2030</v>
      </c>
      <c r="G176" s="44">
        <v>5300</v>
      </c>
      <c r="H176" s="44">
        <v>53</v>
      </c>
    </row>
    <row r="177" spans="1:8">
      <c r="A177" s="90">
        <v>125092458496</v>
      </c>
      <c r="B177" s="1" t="s">
        <v>1790</v>
      </c>
      <c r="C177" s="43" t="s">
        <v>1815</v>
      </c>
      <c r="D177" s="1" t="s">
        <v>2029</v>
      </c>
      <c r="E177" s="43" t="s">
        <v>1815</v>
      </c>
      <c r="F177" s="37" t="s">
        <v>2030</v>
      </c>
      <c r="G177" s="44">
        <v>105100</v>
      </c>
      <c r="H177" s="44">
        <v>1051</v>
      </c>
    </row>
    <row r="178" spans="1:8">
      <c r="A178" s="90">
        <v>125092611780</v>
      </c>
      <c r="B178" s="1" t="s">
        <v>8</v>
      </c>
      <c r="C178" s="43" t="s">
        <v>1815</v>
      </c>
      <c r="D178" s="1" t="s">
        <v>2029</v>
      </c>
      <c r="E178" s="43" t="s">
        <v>1815</v>
      </c>
      <c r="F178" s="37" t="s">
        <v>2030</v>
      </c>
      <c r="G178" s="44">
        <v>12900</v>
      </c>
      <c r="H178" s="44">
        <v>129</v>
      </c>
    </row>
    <row r="179" spans="1:8">
      <c r="A179" s="90">
        <v>125092695218</v>
      </c>
      <c r="B179" s="1" t="s">
        <v>1790</v>
      </c>
      <c r="C179" s="43" t="s">
        <v>1815</v>
      </c>
      <c r="D179" s="1" t="s">
        <v>2029</v>
      </c>
      <c r="E179" s="43" t="s">
        <v>1815</v>
      </c>
      <c r="F179" s="37" t="s">
        <v>2030</v>
      </c>
      <c r="G179" s="44">
        <v>27600</v>
      </c>
      <c r="H179" s="44">
        <v>276</v>
      </c>
    </row>
    <row r="180" spans="1:8">
      <c r="A180" s="90">
        <v>124541581193</v>
      </c>
      <c r="B180" s="1" t="s">
        <v>1790</v>
      </c>
      <c r="C180" s="43" t="s">
        <v>1800</v>
      </c>
      <c r="D180" s="1" t="s">
        <v>2029</v>
      </c>
      <c r="E180" s="43" t="s">
        <v>1800</v>
      </c>
      <c r="F180" s="37" t="s">
        <v>2030</v>
      </c>
      <c r="G180" s="44">
        <v>36900</v>
      </c>
      <c r="H180" s="44">
        <v>369</v>
      </c>
    </row>
    <row r="181" spans="1:8">
      <c r="A181" s="90">
        <v>125092821398</v>
      </c>
      <c r="B181" s="1" t="s">
        <v>1790</v>
      </c>
      <c r="C181" s="43" t="s">
        <v>1815</v>
      </c>
      <c r="D181" s="1" t="s">
        <v>2029</v>
      </c>
      <c r="E181" s="43" t="s">
        <v>1815</v>
      </c>
      <c r="F181" s="37" t="s">
        <v>2030</v>
      </c>
      <c r="G181" s="44">
        <v>28500</v>
      </c>
      <c r="H181" s="44">
        <v>285</v>
      </c>
    </row>
    <row r="182" spans="1:8">
      <c r="A182" s="90">
        <v>124546985255</v>
      </c>
      <c r="B182" s="1" t="s">
        <v>1790</v>
      </c>
      <c r="C182" s="43" t="s">
        <v>1815</v>
      </c>
      <c r="D182" s="1" t="s">
        <v>2029</v>
      </c>
      <c r="E182" s="43" t="s">
        <v>1815</v>
      </c>
      <c r="F182" s="37" t="s">
        <v>2030</v>
      </c>
      <c r="G182" s="44">
        <v>600</v>
      </c>
      <c r="H182" s="44">
        <v>6</v>
      </c>
    </row>
    <row r="183" spans="1:8">
      <c r="A183" s="90">
        <v>125093009032</v>
      </c>
      <c r="B183" s="1" t="s">
        <v>8</v>
      </c>
      <c r="C183" s="43" t="s">
        <v>1815</v>
      </c>
      <c r="D183" s="1" t="s">
        <v>2029</v>
      </c>
      <c r="E183" s="43" t="s">
        <v>1815</v>
      </c>
      <c r="F183" s="37" t="s">
        <v>2030</v>
      </c>
      <c r="G183" s="44">
        <v>15800</v>
      </c>
      <c r="H183" s="44">
        <v>158</v>
      </c>
    </row>
    <row r="184" spans="1:8">
      <c r="A184" s="90">
        <v>125093118136</v>
      </c>
      <c r="B184" s="1" t="s">
        <v>8</v>
      </c>
      <c r="C184" s="43" t="s">
        <v>1815</v>
      </c>
      <c r="D184" s="1" t="s">
        <v>2029</v>
      </c>
      <c r="E184" s="43" t="s">
        <v>1815</v>
      </c>
      <c r="F184" s="37" t="s">
        <v>2030</v>
      </c>
      <c r="G184" s="44">
        <v>15000</v>
      </c>
      <c r="H184" s="44">
        <v>150</v>
      </c>
    </row>
    <row r="185" spans="1:8">
      <c r="A185" s="90">
        <v>125093285044</v>
      </c>
      <c r="B185" s="1" t="s">
        <v>1790</v>
      </c>
      <c r="C185" s="43" t="s">
        <v>1815</v>
      </c>
      <c r="D185" s="1" t="s">
        <v>2029</v>
      </c>
      <c r="E185" s="43" t="s">
        <v>1815</v>
      </c>
      <c r="F185" s="37" t="s">
        <v>2030</v>
      </c>
      <c r="G185" s="44">
        <v>8600</v>
      </c>
      <c r="H185" s="44">
        <v>86</v>
      </c>
    </row>
    <row r="186" spans="1:8">
      <c r="A186" s="90">
        <v>124547797645</v>
      </c>
      <c r="B186" s="1" t="s">
        <v>8</v>
      </c>
      <c r="C186" s="43" t="s">
        <v>1815</v>
      </c>
      <c r="D186" s="1" t="s">
        <v>2029</v>
      </c>
      <c r="E186" s="43" t="s">
        <v>1815</v>
      </c>
      <c r="F186" s="37" t="s">
        <v>2030</v>
      </c>
      <c r="G186" s="44">
        <v>47800</v>
      </c>
      <c r="H186" s="44">
        <v>478</v>
      </c>
    </row>
    <row r="187" spans="1:8">
      <c r="A187" s="90">
        <v>124548093551</v>
      </c>
      <c r="B187" s="1" t="s">
        <v>8</v>
      </c>
      <c r="C187" s="43" t="s">
        <v>1815</v>
      </c>
      <c r="D187" s="1" t="s">
        <v>2029</v>
      </c>
      <c r="E187" s="43" t="s">
        <v>1815</v>
      </c>
      <c r="F187" s="37" t="s">
        <v>2030</v>
      </c>
      <c r="G187" s="44">
        <v>9300</v>
      </c>
      <c r="H187" s="44">
        <v>93</v>
      </c>
    </row>
    <row r="188" spans="1:8">
      <c r="A188" s="90">
        <v>125093963730</v>
      </c>
      <c r="B188" s="1" t="s">
        <v>8</v>
      </c>
      <c r="C188" s="43" t="s">
        <v>1815</v>
      </c>
      <c r="D188" s="1" t="s">
        <v>2029</v>
      </c>
      <c r="E188" s="43" t="s">
        <v>1815</v>
      </c>
      <c r="F188" s="37" t="s">
        <v>2030</v>
      </c>
      <c r="G188" s="44">
        <v>9600</v>
      </c>
      <c r="H188" s="44">
        <v>96</v>
      </c>
    </row>
    <row r="189" spans="1:8">
      <c r="A189" s="90">
        <v>124543378311</v>
      </c>
      <c r="B189" s="1" t="s">
        <v>8</v>
      </c>
      <c r="C189" s="43" t="s">
        <v>1800</v>
      </c>
      <c r="D189" s="1" t="s">
        <v>2029</v>
      </c>
      <c r="E189" s="43" t="s">
        <v>1815</v>
      </c>
      <c r="F189" s="37" t="s">
        <v>2030</v>
      </c>
      <c r="G189" s="44">
        <v>34800</v>
      </c>
      <c r="H189" s="44">
        <v>348</v>
      </c>
    </row>
    <row r="190" spans="1:8">
      <c r="A190" s="90">
        <v>125094899458</v>
      </c>
      <c r="B190" s="1" t="s">
        <v>8</v>
      </c>
      <c r="C190" s="43" t="s">
        <v>1815</v>
      </c>
      <c r="D190" s="1" t="s">
        <v>2029</v>
      </c>
      <c r="E190" s="43" t="s">
        <v>1815</v>
      </c>
      <c r="F190" s="37" t="s">
        <v>2030</v>
      </c>
      <c r="G190" s="44">
        <v>3500</v>
      </c>
      <c r="H190" s="44">
        <v>35</v>
      </c>
    </row>
    <row r="191" spans="1:8">
      <c r="A191" s="90">
        <v>124543543841</v>
      </c>
      <c r="B191" s="1" t="s">
        <v>1790</v>
      </c>
      <c r="C191" s="43" t="s">
        <v>1800</v>
      </c>
      <c r="D191" s="1" t="s">
        <v>2029</v>
      </c>
      <c r="E191" s="43" t="s">
        <v>1815</v>
      </c>
      <c r="F191" s="37" t="s">
        <v>2030</v>
      </c>
      <c r="G191" s="44">
        <v>49200</v>
      </c>
      <c r="H191" s="44">
        <v>492</v>
      </c>
    </row>
    <row r="192" spans="1:8">
      <c r="A192" s="90">
        <v>124549303705</v>
      </c>
      <c r="B192" s="1" t="s">
        <v>8</v>
      </c>
      <c r="C192" s="43" t="s">
        <v>1815</v>
      </c>
      <c r="D192" s="1" t="s">
        <v>2029</v>
      </c>
      <c r="E192" s="43" t="s">
        <v>1815</v>
      </c>
      <c r="F192" s="37" t="s">
        <v>2030</v>
      </c>
      <c r="G192" s="44">
        <v>10600</v>
      </c>
      <c r="H192" s="44">
        <v>106</v>
      </c>
    </row>
    <row r="193" spans="1:8">
      <c r="A193" s="90">
        <v>124549540369</v>
      </c>
      <c r="B193" s="1" t="s">
        <v>8</v>
      </c>
      <c r="C193" s="43" t="s">
        <v>1815</v>
      </c>
      <c r="D193" s="1" t="s">
        <v>2029</v>
      </c>
      <c r="E193" s="43" t="s">
        <v>1815</v>
      </c>
      <c r="F193" s="37" t="s">
        <v>2030</v>
      </c>
      <c r="G193" s="44">
        <v>14000</v>
      </c>
      <c r="H193" s="44">
        <v>140</v>
      </c>
    </row>
    <row r="194" spans="1:8">
      <c r="A194" s="90">
        <v>125089683168</v>
      </c>
      <c r="B194" s="1" t="s">
        <v>1790</v>
      </c>
      <c r="C194" s="43" t="s">
        <v>1800</v>
      </c>
      <c r="D194" s="1" t="s">
        <v>2029</v>
      </c>
      <c r="E194" s="43" t="s">
        <v>1815</v>
      </c>
      <c r="F194" s="37" t="s">
        <v>2030</v>
      </c>
      <c r="G194" s="44">
        <v>47300</v>
      </c>
      <c r="H194" s="44">
        <v>473</v>
      </c>
    </row>
    <row r="195" spans="1:8">
      <c r="A195" s="90">
        <v>125089938206</v>
      </c>
      <c r="B195" s="1" t="s">
        <v>8</v>
      </c>
      <c r="C195" s="43" t="s">
        <v>1800</v>
      </c>
      <c r="D195" s="1" t="s">
        <v>2029</v>
      </c>
      <c r="E195" s="43" t="s">
        <v>1815</v>
      </c>
      <c r="F195" s="37" t="s">
        <v>2030</v>
      </c>
      <c r="G195" s="44">
        <v>25300</v>
      </c>
      <c r="H195" s="44">
        <v>253</v>
      </c>
    </row>
    <row r="196" spans="1:8">
      <c r="A196" s="90">
        <v>125095467130</v>
      </c>
      <c r="B196" s="1" t="s">
        <v>8</v>
      </c>
      <c r="C196" s="43" t="s">
        <v>1815</v>
      </c>
      <c r="D196" s="1" t="s">
        <v>1818</v>
      </c>
      <c r="E196" s="43" t="s">
        <v>1815</v>
      </c>
      <c r="F196" s="37" t="s">
        <v>2030</v>
      </c>
      <c r="G196" s="44">
        <v>-80000</v>
      </c>
      <c r="H196" s="44">
        <v>-800</v>
      </c>
    </row>
    <row r="197" spans="1:8">
      <c r="A197" s="90">
        <v>125096002932</v>
      </c>
      <c r="B197" s="1" t="s">
        <v>8</v>
      </c>
      <c r="C197" s="43" t="s">
        <v>1815</v>
      </c>
      <c r="D197" s="1" t="s">
        <v>2029</v>
      </c>
      <c r="E197" s="43" t="s">
        <v>1815</v>
      </c>
      <c r="F197" s="37" t="s">
        <v>2030</v>
      </c>
      <c r="G197" s="44">
        <v>18200</v>
      </c>
      <c r="H197" s="44">
        <v>182</v>
      </c>
    </row>
    <row r="198" spans="1:8">
      <c r="A198" s="90">
        <v>124550195285</v>
      </c>
      <c r="B198" s="1" t="s">
        <v>8</v>
      </c>
      <c r="C198" s="43" t="s">
        <v>1815</v>
      </c>
      <c r="D198" s="1" t="s">
        <v>2029</v>
      </c>
      <c r="E198" s="43" t="s">
        <v>1815</v>
      </c>
      <c r="F198" s="37" t="s">
        <v>2030</v>
      </c>
      <c r="G198" s="44">
        <v>13200</v>
      </c>
      <c r="H198" s="44">
        <v>132</v>
      </c>
    </row>
    <row r="199" spans="1:8">
      <c r="A199" s="90">
        <v>125096109694</v>
      </c>
      <c r="B199" s="1" t="s">
        <v>8</v>
      </c>
      <c r="C199" s="43" t="s">
        <v>1815</v>
      </c>
      <c r="D199" s="1" t="s">
        <v>2029</v>
      </c>
      <c r="E199" s="43" t="s">
        <v>1815</v>
      </c>
      <c r="F199" s="37" t="s">
        <v>2030</v>
      </c>
      <c r="G199" s="44">
        <v>34200</v>
      </c>
      <c r="H199" s="44">
        <v>342</v>
      </c>
    </row>
    <row r="200" spans="1:8">
      <c r="A200" s="90">
        <v>124550395343</v>
      </c>
      <c r="B200" s="1" t="s">
        <v>8</v>
      </c>
      <c r="C200" s="43" t="s">
        <v>1815</v>
      </c>
      <c r="D200" s="1" t="s">
        <v>2029</v>
      </c>
      <c r="E200" s="43" t="s">
        <v>1815</v>
      </c>
      <c r="F200" s="37" t="s">
        <v>2030</v>
      </c>
      <c r="G200" s="44">
        <v>4300</v>
      </c>
      <c r="H200" s="44">
        <v>43</v>
      </c>
    </row>
    <row r="201" spans="1:8">
      <c r="A201" s="90">
        <v>124544646101</v>
      </c>
      <c r="B201" s="1" t="s">
        <v>8</v>
      </c>
      <c r="C201" s="43" t="s">
        <v>1800</v>
      </c>
      <c r="D201" s="1" t="s">
        <v>2029</v>
      </c>
      <c r="E201" s="43" t="s">
        <v>1815</v>
      </c>
      <c r="F201" s="37" t="s">
        <v>2030</v>
      </c>
      <c r="G201" s="44">
        <v>12500</v>
      </c>
      <c r="H201" s="44">
        <v>125</v>
      </c>
    </row>
    <row r="202" spans="1:8">
      <c r="A202" s="90">
        <v>124545331721</v>
      </c>
      <c r="B202" s="1" t="s">
        <v>1790</v>
      </c>
      <c r="C202" s="43" t="s">
        <v>1800</v>
      </c>
      <c r="D202" s="1" t="s">
        <v>2029</v>
      </c>
      <c r="E202" s="43" t="s">
        <v>1815</v>
      </c>
      <c r="F202" s="37" t="s">
        <v>2030</v>
      </c>
      <c r="G202" s="44">
        <v>39300</v>
      </c>
      <c r="H202" s="44">
        <v>393</v>
      </c>
    </row>
    <row r="203" spans="1:8">
      <c r="A203" s="90">
        <v>124545411795</v>
      </c>
      <c r="B203" s="1" t="s">
        <v>8</v>
      </c>
      <c r="C203" s="43" t="s">
        <v>1800</v>
      </c>
      <c r="D203" s="1" t="s">
        <v>2029</v>
      </c>
      <c r="E203" s="43" t="s">
        <v>1815</v>
      </c>
      <c r="F203" s="37" t="s">
        <v>2030</v>
      </c>
      <c r="G203" s="44">
        <v>1900</v>
      </c>
      <c r="H203" s="44">
        <v>19</v>
      </c>
    </row>
    <row r="204" spans="1:8">
      <c r="A204" s="90">
        <v>125091637502</v>
      </c>
      <c r="B204" s="1" t="s">
        <v>8</v>
      </c>
      <c r="C204" s="43" t="s">
        <v>1800</v>
      </c>
      <c r="D204" s="1" t="s">
        <v>2029</v>
      </c>
      <c r="E204" s="43" t="s">
        <v>1815</v>
      </c>
      <c r="F204" s="37" t="s">
        <v>2030</v>
      </c>
      <c r="G204" s="44">
        <v>10600</v>
      </c>
      <c r="H204" s="44">
        <v>106</v>
      </c>
    </row>
    <row r="205" spans="1:8">
      <c r="A205" s="90">
        <v>125091762262</v>
      </c>
      <c r="B205" s="1" t="s">
        <v>8</v>
      </c>
      <c r="C205" s="43" t="s">
        <v>1800</v>
      </c>
      <c r="D205" s="1" t="s">
        <v>2029</v>
      </c>
      <c r="E205" s="43" t="s">
        <v>1815</v>
      </c>
      <c r="F205" s="37" t="s">
        <v>2030</v>
      </c>
      <c r="G205" s="44">
        <v>38700</v>
      </c>
      <c r="H205" s="44">
        <v>387</v>
      </c>
    </row>
    <row r="206" spans="1:8">
      <c r="A206" s="90">
        <v>124545895951</v>
      </c>
      <c r="B206" s="1" t="s">
        <v>8</v>
      </c>
      <c r="C206" s="43" t="s">
        <v>1800</v>
      </c>
      <c r="D206" s="1" t="s">
        <v>2029</v>
      </c>
      <c r="E206" s="43" t="s">
        <v>1815</v>
      </c>
      <c r="F206" s="37" t="s">
        <v>2030</v>
      </c>
      <c r="G206" s="44">
        <v>3900</v>
      </c>
      <c r="H206" s="44">
        <v>39</v>
      </c>
    </row>
    <row r="207" spans="1:8">
      <c r="A207" s="90">
        <v>124546230277</v>
      </c>
      <c r="B207" s="1" t="s">
        <v>8</v>
      </c>
      <c r="C207" s="43" t="s">
        <v>1800</v>
      </c>
      <c r="D207" s="1" t="s">
        <v>2029</v>
      </c>
      <c r="E207" s="43" t="s">
        <v>1815</v>
      </c>
      <c r="F207" s="37" t="s">
        <v>2030</v>
      </c>
      <c r="G207" s="44">
        <v>47600</v>
      </c>
      <c r="H207" s="44">
        <v>476</v>
      </c>
    </row>
    <row r="208" spans="1:8">
      <c r="A208" s="90">
        <v>125092001900</v>
      </c>
      <c r="B208" s="1" t="s">
        <v>8</v>
      </c>
      <c r="C208" s="43" t="s">
        <v>1800</v>
      </c>
      <c r="D208" s="1" t="s">
        <v>2029</v>
      </c>
      <c r="E208" s="43" t="s">
        <v>1815</v>
      </c>
      <c r="F208" s="37" t="s">
        <v>2030</v>
      </c>
      <c r="G208" s="44">
        <v>4500</v>
      </c>
      <c r="H208" s="44">
        <v>45</v>
      </c>
    </row>
    <row r="209" spans="1:8">
      <c r="A209" s="90">
        <v>125092236130</v>
      </c>
      <c r="B209" s="1" t="s">
        <v>8</v>
      </c>
      <c r="C209" s="43" t="s">
        <v>1800</v>
      </c>
      <c r="D209" s="1" t="s">
        <v>2029</v>
      </c>
      <c r="E209" s="43" t="s">
        <v>1815</v>
      </c>
      <c r="F209" s="37" t="s">
        <v>2030</v>
      </c>
      <c r="G209" s="44">
        <v>8800</v>
      </c>
      <c r="H209" s="44">
        <v>88</v>
      </c>
    </row>
    <row r="210" spans="1:8">
      <c r="A210" s="90">
        <v>124547012843</v>
      </c>
      <c r="B210" s="1" t="s">
        <v>1790</v>
      </c>
      <c r="C210" s="43" t="s">
        <v>1815</v>
      </c>
      <c r="D210" s="1" t="s">
        <v>2029</v>
      </c>
      <c r="E210" s="43" t="s">
        <v>1815</v>
      </c>
      <c r="F210" s="37" t="s">
        <v>2030</v>
      </c>
      <c r="G210" s="44">
        <v>34000</v>
      </c>
      <c r="H210" s="44">
        <v>340</v>
      </c>
    </row>
    <row r="211" spans="1:8">
      <c r="A211" s="90">
        <v>124547549785</v>
      </c>
      <c r="B211" s="1" t="s">
        <v>1790</v>
      </c>
      <c r="C211" s="43" t="s">
        <v>1815</v>
      </c>
      <c r="D211" s="1" t="s">
        <v>2029</v>
      </c>
      <c r="E211" s="43" t="s">
        <v>1815</v>
      </c>
      <c r="F211" s="37" t="s">
        <v>2030</v>
      </c>
      <c r="G211" s="44">
        <v>62100</v>
      </c>
      <c r="H211" s="44">
        <v>621</v>
      </c>
    </row>
    <row r="212" spans="1:8">
      <c r="A212" s="90">
        <v>125093625960</v>
      </c>
      <c r="B212" s="1" t="s">
        <v>8</v>
      </c>
      <c r="C212" s="43" t="s">
        <v>1815</v>
      </c>
      <c r="D212" s="1" t="s">
        <v>2029</v>
      </c>
      <c r="E212" s="43" t="s">
        <v>1815</v>
      </c>
      <c r="F212" s="37" t="s">
        <v>2030</v>
      </c>
      <c r="G212" s="44">
        <v>26400</v>
      </c>
      <c r="H212" s="44">
        <v>264</v>
      </c>
    </row>
    <row r="213" spans="1:8">
      <c r="A213" s="90">
        <v>125093790872</v>
      </c>
      <c r="B213" s="1" t="s">
        <v>8</v>
      </c>
      <c r="C213" s="43" t="s">
        <v>1815</v>
      </c>
      <c r="D213" s="1" t="s">
        <v>2029</v>
      </c>
      <c r="E213" s="43" t="s">
        <v>1815</v>
      </c>
      <c r="F213" s="37" t="s">
        <v>2030</v>
      </c>
      <c r="G213" s="44">
        <v>12100</v>
      </c>
      <c r="H213" s="44">
        <v>121</v>
      </c>
    </row>
    <row r="214" spans="1:8">
      <c r="A214" s="90">
        <v>125094162494</v>
      </c>
      <c r="B214" s="1" t="s">
        <v>8</v>
      </c>
      <c r="C214" s="43" t="s">
        <v>1815</v>
      </c>
      <c r="D214" s="1" t="s">
        <v>2029</v>
      </c>
      <c r="E214" s="43" t="s">
        <v>1815</v>
      </c>
      <c r="F214" s="37" t="s">
        <v>2030</v>
      </c>
      <c r="G214" s="44">
        <v>8600</v>
      </c>
      <c r="H214" s="44">
        <v>86</v>
      </c>
    </row>
    <row r="215" spans="1:8">
      <c r="A215" s="90">
        <v>124548293337</v>
      </c>
      <c r="B215" s="1" t="s">
        <v>1790</v>
      </c>
      <c r="C215" s="43" t="s">
        <v>1815</v>
      </c>
      <c r="D215" s="1" t="s">
        <v>2029</v>
      </c>
      <c r="E215" s="43" t="s">
        <v>1815</v>
      </c>
      <c r="F215" s="37" t="s">
        <v>2030</v>
      </c>
      <c r="G215" s="44">
        <v>50400</v>
      </c>
      <c r="H215" s="44">
        <v>504</v>
      </c>
    </row>
    <row r="216" spans="1:8">
      <c r="A216" s="90">
        <v>125094219266</v>
      </c>
      <c r="B216" s="1" t="s">
        <v>8</v>
      </c>
      <c r="C216" s="43" t="s">
        <v>1815</v>
      </c>
      <c r="D216" s="1" t="s">
        <v>2029</v>
      </c>
      <c r="E216" s="43" t="s">
        <v>1815</v>
      </c>
      <c r="F216" s="37" t="s">
        <v>2030</v>
      </c>
      <c r="G216" s="44">
        <v>21500</v>
      </c>
      <c r="H216" s="44">
        <v>215</v>
      </c>
    </row>
    <row r="217" spans="1:8">
      <c r="A217" s="90">
        <v>124548516339</v>
      </c>
      <c r="B217" s="1" t="s">
        <v>8</v>
      </c>
      <c r="C217" s="43" t="s">
        <v>1815</v>
      </c>
      <c r="D217" s="1" t="s">
        <v>2029</v>
      </c>
      <c r="E217" s="43" t="s">
        <v>1815</v>
      </c>
      <c r="F217" s="37" t="s">
        <v>2030</v>
      </c>
      <c r="G217" s="44">
        <v>112000</v>
      </c>
      <c r="H217" s="44">
        <v>1120</v>
      </c>
    </row>
    <row r="218" spans="1:8">
      <c r="A218" s="90">
        <v>124548420083</v>
      </c>
      <c r="B218" s="1" t="s">
        <v>8</v>
      </c>
      <c r="C218" s="43" t="s">
        <v>1815</v>
      </c>
      <c r="D218" s="1" t="s">
        <v>2029</v>
      </c>
      <c r="E218" s="43" t="s">
        <v>1815</v>
      </c>
      <c r="F218" s="37" t="s">
        <v>2030</v>
      </c>
      <c r="G218" s="44">
        <v>18700</v>
      </c>
      <c r="H218" s="44">
        <v>187</v>
      </c>
    </row>
    <row r="219" spans="1:8">
      <c r="A219" s="90">
        <v>125094837668</v>
      </c>
      <c r="B219" s="1" t="s">
        <v>1790</v>
      </c>
      <c r="C219" s="43" t="s">
        <v>1815</v>
      </c>
      <c r="D219" s="1" t="s">
        <v>2029</v>
      </c>
      <c r="E219" s="43" t="s">
        <v>1815</v>
      </c>
      <c r="F219" s="37" t="s">
        <v>2030</v>
      </c>
      <c r="G219" s="44">
        <v>42800</v>
      </c>
      <c r="H219" s="44">
        <v>428</v>
      </c>
    </row>
    <row r="220" spans="1:8">
      <c r="A220" s="90">
        <v>125095026648</v>
      </c>
      <c r="B220" s="1" t="s">
        <v>8</v>
      </c>
      <c r="C220" s="43" t="s">
        <v>1815</v>
      </c>
      <c r="D220" s="1" t="s">
        <v>2029</v>
      </c>
      <c r="E220" s="43" t="s">
        <v>1815</v>
      </c>
      <c r="F220" s="37" t="s">
        <v>2030</v>
      </c>
      <c r="G220" s="44">
        <v>5300</v>
      </c>
      <c r="H220" s="44">
        <v>53</v>
      </c>
    </row>
    <row r="221" spans="1:8">
      <c r="A221" s="90">
        <v>125095467130</v>
      </c>
      <c r="B221" s="1" t="s">
        <v>8</v>
      </c>
      <c r="C221" s="43" t="s">
        <v>1815</v>
      </c>
      <c r="D221" s="1" t="s">
        <v>2029</v>
      </c>
      <c r="E221" s="43" t="s">
        <v>1815</v>
      </c>
      <c r="F221" s="37" t="s">
        <v>2030</v>
      </c>
      <c r="G221" s="44">
        <v>80000</v>
      </c>
      <c r="H221" s="44">
        <v>800</v>
      </c>
    </row>
    <row r="222" spans="1:8">
      <c r="A222" s="90">
        <v>125095831262</v>
      </c>
      <c r="B222" s="1" t="s">
        <v>8</v>
      </c>
      <c r="C222" s="43" t="s">
        <v>1815</v>
      </c>
      <c r="D222" s="1" t="s">
        <v>2029</v>
      </c>
      <c r="E222" s="43" t="s">
        <v>1815</v>
      </c>
      <c r="F222" s="37" t="s">
        <v>2030</v>
      </c>
      <c r="G222" s="44">
        <v>72100</v>
      </c>
      <c r="H222" s="44">
        <v>721</v>
      </c>
    </row>
    <row r="223" spans="1:8">
      <c r="A223" s="90">
        <v>124550095401</v>
      </c>
      <c r="B223" s="1" t="s">
        <v>8</v>
      </c>
      <c r="C223" s="43" t="s">
        <v>1815</v>
      </c>
      <c r="D223" s="1" t="s">
        <v>2029</v>
      </c>
      <c r="E223" s="43" t="s">
        <v>1815</v>
      </c>
      <c r="F223" s="37" t="s">
        <v>2030</v>
      </c>
      <c r="G223" s="44">
        <v>22100</v>
      </c>
      <c r="H223" s="44">
        <v>221</v>
      </c>
    </row>
    <row r="224" spans="1:8">
      <c r="A224" s="90">
        <v>125185741106</v>
      </c>
      <c r="B224" s="1" t="s">
        <v>1790</v>
      </c>
      <c r="C224" s="43" t="s">
        <v>1815</v>
      </c>
      <c r="D224" s="1" t="s">
        <v>2029</v>
      </c>
      <c r="E224" s="43" t="s">
        <v>1815</v>
      </c>
      <c r="F224" s="37" t="s">
        <v>2030</v>
      </c>
      <c r="G224" s="44">
        <v>4500</v>
      </c>
      <c r="H224" s="44">
        <v>45</v>
      </c>
    </row>
    <row r="225" spans="1:8">
      <c r="A225" s="90">
        <v>125196765748</v>
      </c>
      <c r="B225" s="1" t="s">
        <v>8</v>
      </c>
      <c r="C225" s="43" t="s">
        <v>1815</v>
      </c>
      <c r="D225" s="1" t="s">
        <v>2029</v>
      </c>
      <c r="E225" s="43" t="s">
        <v>1815</v>
      </c>
      <c r="F225" s="37" t="s">
        <v>2030</v>
      </c>
      <c r="G225" s="44">
        <v>52100</v>
      </c>
      <c r="H225" s="44">
        <v>521</v>
      </c>
    </row>
    <row r="226" spans="1:8">
      <c r="A226" s="90">
        <v>125192805316</v>
      </c>
      <c r="B226" s="1" t="s">
        <v>1790</v>
      </c>
      <c r="C226" s="43" t="s">
        <v>1815</v>
      </c>
      <c r="D226" s="1" t="s">
        <v>2029</v>
      </c>
      <c r="E226" s="43" t="s">
        <v>1815</v>
      </c>
      <c r="F226" s="37" t="s">
        <v>2030</v>
      </c>
      <c r="G226" s="44">
        <v>15100</v>
      </c>
      <c r="H226" s="44">
        <v>151</v>
      </c>
    </row>
    <row r="227" spans="1:8">
      <c r="A227" s="90">
        <v>125199712170</v>
      </c>
      <c r="B227" s="1" t="s">
        <v>1790</v>
      </c>
      <c r="C227" s="43" t="s">
        <v>1815</v>
      </c>
      <c r="D227" s="1" t="s">
        <v>2029</v>
      </c>
      <c r="E227" s="43" t="s">
        <v>1815</v>
      </c>
      <c r="F227" s="37" t="s">
        <v>2030</v>
      </c>
      <c r="G227" s="44">
        <v>49100</v>
      </c>
      <c r="H227" s="44">
        <v>491</v>
      </c>
    </row>
    <row r="228" spans="1:8">
      <c r="A228" s="90">
        <v>124653835763</v>
      </c>
      <c r="B228" s="1" t="s">
        <v>8</v>
      </c>
      <c r="C228" s="43" t="s">
        <v>1815</v>
      </c>
      <c r="D228" s="1" t="s">
        <v>2029</v>
      </c>
      <c r="E228" s="43" t="s">
        <v>1815</v>
      </c>
      <c r="F228" s="37" t="s">
        <v>2030</v>
      </c>
      <c r="G228" s="44">
        <v>12700</v>
      </c>
      <c r="H228" s="44">
        <v>127</v>
      </c>
    </row>
    <row r="229" spans="1:8">
      <c r="A229" s="90">
        <v>125195880866</v>
      </c>
      <c r="B229" s="1" t="s">
        <v>8</v>
      </c>
      <c r="C229" s="43" t="s">
        <v>1815</v>
      </c>
      <c r="D229" s="1" t="s">
        <v>2029</v>
      </c>
      <c r="E229" s="43" t="s">
        <v>1815</v>
      </c>
      <c r="F229" s="37" t="s">
        <v>2030</v>
      </c>
      <c r="G229" s="44">
        <v>28100</v>
      </c>
      <c r="H229" s="44">
        <v>281</v>
      </c>
    </row>
    <row r="230" spans="1:8">
      <c r="A230" s="90">
        <v>125198391082</v>
      </c>
      <c r="B230" s="1" t="s">
        <v>8</v>
      </c>
      <c r="C230" s="43" t="s">
        <v>1815</v>
      </c>
      <c r="D230" s="1" t="s">
        <v>2029</v>
      </c>
      <c r="E230" s="43" t="s">
        <v>1815</v>
      </c>
      <c r="F230" s="37" t="s">
        <v>2030</v>
      </c>
      <c r="G230" s="44">
        <v>8600</v>
      </c>
      <c r="H230" s="44">
        <v>86</v>
      </c>
    </row>
    <row r="231" spans="1:8">
      <c r="A231" s="90">
        <v>125206345154</v>
      </c>
      <c r="B231" s="1" t="s">
        <v>8</v>
      </c>
      <c r="C231" s="43" t="s">
        <v>1815</v>
      </c>
      <c r="D231" s="1" t="s">
        <v>2029</v>
      </c>
      <c r="E231" s="43" t="s">
        <v>1815</v>
      </c>
      <c r="F231" s="37" t="s">
        <v>2030</v>
      </c>
      <c r="G231" s="44">
        <v>27000</v>
      </c>
      <c r="H231" s="44">
        <v>270</v>
      </c>
    </row>
    <row r="232" spans="1:8">
      <c r="A232" s="90">
        <v>124660671863</v>
      </c>
      <c r="B232" s="1" t="s">
        <v>8</v>
      </c>
      <c r="C232" s="43" t="s">
        <v>1815</v>
      </c>
      <c r="D232" s="1" t="s">
        <v>2029</v>
      </c>
      <c r="E232" s="43" t="s">
        <v>1815</v>
      </c>
      <c r="F232" s="37" t="s">
        <v>2030</v>
      </c>
      <c r="G232" s="44">
        <v>8600</v>
      </c>
      <c r="H232" s="44">
        <v>86</v>
      </c>
    </row>
    <row r="233" spans="1:8">
      <c r="A233" s="90">
        <v>124654285441</v>
      </c>
      <c r="B233" s="1" t="s">
        <v>1790</v>
      </c>
      <c r="C233" s="43" t="s">
        <v>1815</v>
      </c>
      <c r="D233" s="1" t="s">
        <v>2029</v>
      </c>
      <c r="E233" s="43" t="s">
        <v>1815</v>
      </c>
      <c r="F233" s="37" t="s">
        <v>2030</v>
      </c>
      <c r="G233" s="44">
        <v>16700</v>
      </c>
      <c r="H233" s="44">
        <v>167</v>
      </c>
    </row>
    <row r="234" spans="1:8">
      <c r="A234" s="90">
        <v>124662242795</v>
      </c>
      <c r="B234" s="1" t="s">
        <v>8</v>
      </c>
      <c r="C234" s="43" t="s">
        <v>1815</v>
      </c>
      <c r="D234" s="1" t="s">
        <v>2029</v>
      </c>
      <c r="E234" s="43" t="s">
        <v>1815</v>
      </c>
      <c r="F234" s="37" t="s">
        <v>2030</v>
      </c>
      <c r="G234" s="44">
        <v>39000</v>
      </c>
      <c r="H234" s="44">
        <v>390</v>
      </c>
    </row>
    <row r="235" spans="1:8">
      <c r="A235" s="90">
        <v>124662948695</v>
      </c>
      <c r="B235" s="1" t="s">
        <v>1790</v>
      </c>
      <c r="C235" s="43" t="s">
        <v>1815</v>
      </c>
      <c r="D235" s="1" t="s">
        <v>2029</v>
      </c>
      <c r="E235" s="43" t="s">
        <v>1815</v>
      </c>
      <c r="F235" s="37" t="s">
        <v>2030</v>
      </c>
      <c r="G235" s="44">
        <v>28000</v>
      </c>
      <c r="H235" s="44">
        <v>280</v>
      </c>
    </row>
    <row r="236" spans="1:8">
      <c r="A236" s="90">
        <v>124663516767</v>
      </c>
      <c r="B236" s="1" t="s">
        <v>8</v>
      </c>
      <c r="C236" s="43" t="s">
        <v>1815</v>
      </c>
      <c r="D236" s="1" t="s">
        <v>2029</v>
      </c>
      <c r="E236" s="43" t="s">
        <v>1815</v>
      </c>
      <c r="F236" s="37" t="s">
        <v>2030</v>
      </c>
      <c r="G236" s="44">
        <v>34400</v>
      </c>
      <c r="H236" s="44">
        <v>344</v>
      </c>
    </row>
    <row r="237" spans="1:8">
      <c r="A237" s="90">
        <v>125210313878</v>
      </c>
      <c r="B237" s="1" t="s">
        <v>8</v>
      </c>
      <c r="C237" s="43" t="s">
        <v>1815</v>
      </c>
      <c r="D237" s="1" t="s">
        <v>2029</v>
      </c>
      <c r="E237" s="43" t="s">
        <v>1815</v>
      </c>
      <c r="F237" s="37" t="s">
        <v>2030</v>
      </c>
      <c r="G237" s="44">
        <v>8600</v>
      </c>
      <c r="H237" s="44">
        <v>86</v>
      </c>
    </row>
    <row r="238" spans="1:8">
      <c r="A238" s="90">
        <v>124657393069</v>
      </c>
      <c r="B238" s="1" t="s">
        <v>8</v>
      </c>
      <c r="C238" s="43" t="s">
        <v>1815</v>
      </c>
      <c r="D238" s="1" t="s">
        <v>2029</v>
      </c>
      <c r="E238" s="43" t="s">
        <v>1815</v>
      </c>
      <c r="F238" s="37" t="s">
        <v>2030</v>
      </c>
      <c r="G238" s="44">
        <v>34100</v>
      </c>
      <c r="H238" s="44">
        <v>341</v>
      </c>
    </row>
    <row r="239" spans="1:8">
      <c r="A239" s="90">
        <v>124657418835</v>
      </c>
      <c r="B239" s="1" t="s">
        <v>8</v>
      </c>
      <c r="C239" s="43" t="s">
        <v>1815</v>
      </c>
      <c r="D239" s="1" t="s">
        <v>2029</v>
      </c>
      <c r="E239" s="43" t="s">
        <v>1815</v>
      </c>
      <c r="F239" s="37" t="s">
        <v>2030</v>
      </c>
      <c r="G239" s="44">
        <v>15600</v>
      </c>
      <c r="H239" s="44">
        <v>156</v>
      </c>
    </row>
    <row r="240" spans="1:8">
      <c r="A240" s="90">
        <v>125210580296</v>
      </c>
      <c r="B240" s="1" t="s">
        <v>8</v>
      </c>
      <c r="C240" s="43" t="s">
        <v>1815</v>
      </c>
      <c r="D240" s="1" t="s">
        <v>2029</v>
      </c>
      <c r="E240" s="43" t="s">
        <v>1815</v>
      </c>
      <c r="F240" s="37" t="s">
        <v>2030</v>
      </c>
      <c r="G240" s="44">
        <v>10600</v>
      </c>
      <c r="H240" s="44">
        <v>106</v>
      </c>
    </row>
    <row r="241" spans="1:8">
      <c r="A241" s="90">
        <v>124664329219</v>
      </c>
      <c r="B241" s="1" t="s">
        <v>8</v>
      </c>
      <c r="C241" s="43" t="s">
        <v>1815</v>
      </c>
      <c r="D241" s="1" t="s">
        <v>2029</v>
      </c>
      <c r="E241" s="43" t="s">
        <v>1815</v>
      </c>
      <c r="F241" s="37" t="s">
        <v>2030</v>
      </c>
      <c r="G241" s="44">
        <v>28800</v>
      </c>
      <c r="H241" s="44">
        <v>288</v>
      </c>
    </row>
    <row r="242" spans="1:8">
      <c r="A242" s="90">
        <v>124664971085</v>
      </c>
      <c r="B242" s="1" t="s">
        <v>8</v>
      </c>
      <c r="C242" s="43" t="s">
        <v>1815</v>
      </c>
      <c r="D242" s="1" t="s">
        <v>2029</v>
      </c>
      <c r="E242" s="43" t="s">
        <v>1815</v>
      </c>
      <c r="F242" s="37" t="s">
        <v>2030</v>
      </c>
      <c r="G242" s="44">
        <v>54800</v>
      </c>
      <c r="H242" s="44">
        <v>548</v>
      </c>
    </row>
    <row r="243" spans="1:8">
      <c r="A243" s="90">
        <v>124665395075</v>
      </c>
      <c r="B243" s="1" t="s">
        <v>1790</v>
      </c>
      <c r="C243" s="43" t="s">
        <v>1815</v>
      </c>
      <c r="D243" s="1" t="s">
        <v>2029</v>
      </c>
      <c r="E243" s="43" t="s">
        <v>1815</v>
      </c>
      <c r="F243" s="37" t="s">
        <v>2030</v>
      </c>
      <c r="G243" s="44">
        <v>27400</v>
      </c>
      <c r="H243" s="44">
        <v>274</v>
      </c>
    </row>
    <row r="244" spans="1:8">
      <c r="A244" s="90">
        <v>124665509203</v>
      </c>
      <c r="B244" s="1" t="s">
        <v>8</v>
      </c>
      <c r="C244" s="43" t="s">
        <v>1815</v>
      </c>
      <c r="D244" s="1" t="s">
        <v>2029</v>
      </c>
      <c r="E244" s="43" t="s">
        <v>1815</v>
      </c>
      <c r="F244" s="37" t="s">
        <v>2030</v>
      </c>
      <c r="G244" s="44">
        <v>44400</v>
      </c>
      <c r="H244" s="44">
        <v>444</v>
      </c>
    </row>
    <row r="245" spans="1:8">
      <c r="A245" s="90">
        <v>125212296296</v>
      </c>
      <c r="B245" s="1" t="s">
        <v>8</v>
      </c>
      <c r="C245" s="43" t="s">
        <v>1815</v>
      </c>
      <c r="D245" s="1" t="s">
        <v>2029</v>
      </c>
      <c r="E245" s="43" t="s">
        <v>1815</v>
      </c>
      <c r="F245" s="37" t="s">
        <v>2030</v>
      </c>
      <c r="G245" s="44">
        <v>7800</v>
      </c>
      <c r="H245" s="44">
        <v>78</v>
      </c>
    </row>
    <row r="246" spans="1:8">
      <c r="A246" s="90">
        <v>125212279366</v>
      </c>
      <c r="B246" s="1" t="s">
        <v>8</v>
      </c>
      <c r="C246" s="43" t="s">
        <v>1815</v>
      </c>
      <c r="D246" s="1" t="s">
        <v>2029</v>
      </c>
      <c r="E246" s="43" t="s">
        <v>1815</v>
      </c>
      <c r="F246" s="37" t="s">
        <v>2030</v>
      </c>
      <c r="G246" s="44">
        <v>8500</v>
      </c>
      <c r="H246" s="44">
        <v>85</v>
      </c>
    </row>
    <row r="247" spans="1:8">
      <c r="A247" s="90">
        <v>125205657088</v>
      </c>
      <c r="B247" s="1" t="s">
        <v>8</v>
      </c>
      <c r="C247" s="43" t="s">
        <v>1815</v>
      </c>
      <c r="D247" s="1" t="s">
        <v>2029</v>
      </c>
      <c r="E247" s="43" t="s">
        <v>1815</v>
      </c>
      <c r="F247" s="37" t="s">
        <v>2030</v>
      </c>
      <c r="G247" s="44">
        <v>33000</v>
      </c>
      <c r="H247" s="44">
        <v>330</v>
      </c>
    </row>
    <row r="248" spans="1:8">
      <c r="A248" s="90">
        <v>124665912009</v>
      </c>
      <c r="B248" s="1" t="s">
        <v>8</v>
      </c>
      <c r="C248" s="43" t="s">
        <v>1815</v>
      </c>
      <c r="D248" s="1" t="s">
        <v>2029</v>
      </c>
      <c r="E248" s="43" t="s">
        <v>1815</v>
      </c>
      <c r="F248" s="37" t="s">
        <v>2030</v>
      </c>
      <c r="G248" s="44">
        <v>43400</v>
      </c>
      <c r="H248" s="44">
        <v>434</v>
      </c>
    </row>
    <row r="249" spans="1:8">
      <c r="A249" s="90">
        <v>124666058581</v>
      </c>
      <c r="B249" s="1" t="s">
        <v>1790</v>
      </c>
      <c r="C249" s="43" t="s">
        <v>1815</v>
      </c>
      <c r="D249" s="1" t="s">
        <v>2029</v>
      </c>
      <c r="E249" s="43" t="s">
        <v>1815</v>
      </c>
      <c r="F249" s="37" t="s">
        <v>2030</v>
      </c>
      <c r="G249" s="44">
        <v>35800</v>
      </c>
      <c r="H249" s="44">
        <v>358</v>
      </c>
    </row>
    <row r="250" spans="1:8">
      <c r="A250" s="90">
        <v>125205858756</v>
      </c>
      <c r="B250" s="1" t="s">
        <v>8</v>
      </c>
      <c r="C250" s="43" t="s">
        <v>1815</v>
      </c>
      <c r="D250" s="1" t="s">
        <v>2029</v>
      </c>
      <c r="E250" s="43" t="s">
        <v>1815</v>
      </c>
      <c r="F250" s="37" t="s">
        <v>2030</v>
      </c>
      <c r="G250" s="44">
        <v>8600</v>
      </c>
      <c r="H250" s="44">
        <v>86</v>
      </c>
    </row>
    <row r="251" spans="1:8">
      <c r="A251" s="90">
        <v>125212652108</v>
      </c>
      <c r="B251" s="1" t="s">
        <v>1790</v>
      </c>
      <c r="C251" s="43" t="s">
        <v>1815</v>
      </c>
      <c r="D251" s="1" t="s">
        <v>2029</v>
      </c>
      <c r="E251" s="43" t="s">
        <v>1815</v>
      </c>
      <c r="F251" s="37" t="s">
        <v>2030</v>
      </c>
      <c r="G251" s="44">
        <v>44300</v>
      </c>
      <c r="H251" s="44">
        <v>443</v>
      </c>
    </row>
    <row r="252" spans="1:8">
      <c r="A252" s="90">
        <v>124660239475</v>
      </c>
      <c r="B252" s="1" t="s">
        <v>8</v>
      </c>
      <c r="C252" s="43" t="s">
        <v>1815</v>
      </c>
      <c r="D252" s="1" t="s">
        <v>2029</v>
      </c>
      <c r="E252" s="43" t="s">
        <v>1815</v>
      </c>
      <c r="F252" s="37" t="s">
        <v>2030</v>
      </c>
      <c r="G252" s="44">
        <v>7800</v>
      </c>
      <c r="H252" s="44">
        <v>78</v>
      </c>
    </row>
    <row r="253" spans="1:8">
      <c r="A253" s="90">
        <v>124666970071</v>
      </c>
      <c r="B253" s="1" t="s">
        <v>8</v>
      </c>
      <c r="C253" s="43" t="s">
        <v>1815</v>
      </c>
      <c r="D253" s="1" t="s">
        <v>2029</v>
      </c>
      <c r="E253" s="43" t="s">
        <v>1815</v>
      </c>
      <c r="F253" s="37" t="s">
        <v>2030</v>
      </c>
      <c r="G253" s="44">
        <v>20900</v>
      </c>
      <c r="H253" s="44">
        <v>209</v>
      </c>
    </row>
    <row r="254" spans="1:8">
      <c r="A254" s="90">
        <v>124660482969</v>
      </c>
      <c r="B254" s="1" t="s">
        <v>8</v>
      </c>
      <c r="C254" s="43" t="s">
        <v>1815</v>
      </c>
      <c r="D254" s="1" t="s">
        <v>2029</v>
      </c>
      <c r="E254" s="43" t="s">
        <v>1815</v>
      </c>
      <c r="F254" s="37" t="s">
        <v>2030</v>
      </c>
      <c r="G254" s="44">
        <v>600</v>
      </c>
      <c r="H254" s="44">
        <v>6</v>
      </c>
    </row>
    <row r="255" spans="1:8">
      <c r="A255" s="90">
        <v>125213846894</v>
      </c>
      <c r="B255" s="1" t="s">
        <v>1790</v>
      </c>
      <c r="C255" s="43" t="s">
        <v>1815</v>
      </c>
      <c r="D255" s="1" t="s">
        <v>2029</v>
      </c>
      <c r="E255" s="43" t="s">
        <v>1815</v>
      </c>
      <c r="F255" s="37" t="s">
        <v>2030</v>
      </c>
      <c r="G255" s="44">
        <v>11700</v>
      </c>
      <c r="H255" s="44">
        <v>117</v>
      </c>
    </row>
    <row r="256" spans="1:8">
      <c r="A256" s="90">
        <v>125213889984</v>
      </c>
      <c r="B256" s="1" t="s">
        <v>8</v>
      </c>
      <c r="C256" s="43" t="s">
        <v>1815</v>
      </c>
      <c r="D256" s="1" t="s">
        <v>2029</v>
      </c>
      <c r="E256" s="43" t="s">
        <v>1815</v>
      </c>
      <c r="F256" s="37" t="s">
        <v>2030</v>
      </c>
      <c r="G256" s="44">
        <v>7000</v>
      </c>
      <c r="H256" s="44">
        <v>70</v>
      </c>
    </row>
    <row r="257" spans="1:8">
      <c r="A257" s="90">
        <v>124667883929</v>
      </c>
      <c r="B257" s="1" t="s">
        <v>8</v>
      </c>
      <c r="C257" s="43" t="s">
        <v>1815</v>
      </c>
      <c r="D257" s="1" t="s">
        <v>2029</v>
      </c>
      <c r="E257" s="43" t="s">
        <v>1815</v>
      </c>
      <c r="F257" s="37" t="s">
        <v>2030</v>
      </c>
      <c r="G257" s="44">
        <v>81200</v>
      </c>
      <c r="H257" s="44">
        <v>812</v>
      </c>
    </row>
    <row r="258" spans="1:8">
      <c r="A258" s="90">
        <v>125214441310</v>
      </c>
      <c r="B258" s="1" t="s">
        <v>8</v>
      </c>
      <c r="C258" s="43" t="s">
        <v>1815</v>
      </c>
      <c r="D258" s="1" t="s">
        <v>2029</v>
      </c>
      <c r="E258" s="43" t="s">
        <v>1815</v>
      </c>
      <c r="F258" s="37" t="s">
        <v>2030</v>
      </c>
      <c r="G258" s="44">
        <v>33500</v>
      </c>
      <c r="H258" s="44">
        <v>335</v>
      </c>
    </row>
    <row r="259" spans="1:8">
      <c r="A259" s="90">
        <v>124668378655</v>
      </c>
      <c r="B259" s="1" t="s">
        <v>1790</v>
      </c>
      <c r="C259" s="43" t="s">
        <v>1815</v>
      </c>
      <c r="D259" s="1" t="s">
        <v>2029</v>
      </c>
      <c r="E259" s="43" t="s">
        <v>1815</v>
      </c>
      <c r="F259" s="37" t="s">
        <v>2030</v>
      </c>
      <c r="G259" s="44">
        <v>7800</v>
      </c>
      <c r="H259" s="44">
        <v>78</v>
      </c>
    </row>
    <row r="260" spans="1:8">
      <c r="A260" s="90">
        <v>125208294382</v>
      </c>
      <c r="B260" s="1" t="s">
        <v>8</v>
      </c>
      <c r="C260" s="43" t="s">
        <v>1815</v>
      </c>
      <c r="D260" s="1" t="s">
        <v>2029</v>
      </c>
      <c r="E260" s="43" t="s">
        <v>1815</v>
      </c>
      <c r="F260" s="37" t="s">
        <v>2030</v>
      </c>
      <c r="G260" s="44">
        <v>38600</v>
      </c>
      <c r="H260" s="44">
        <v>386</v>
      </c>
    </row>
    <row r="261" spans="1:8">
      <c r="A261" s="90">
        <v>124669045807</v>
      </c>
      <c r="B261" s="1" t="s">
        <v>8</v>
      </c>
      <c r="C261" s="43" t="s">
        <v>1815</v>
      </c>
      <c r="D261" s="1" t="s">
        <v>2029</v>
      </c>
      <c r="E261" s="43" t="s">
        <v>1815</v>
      </c>
      <c r="F261" s="37" t="s">
        <v>2030</v>
      </c>
      <c r="G261" s="44">
        <v>7800</v>
      </c>
      <c r="H261" s="44">
        <v>78</v>
      </c>
    </row>
    <row r="262" spans="1:8">
      <c r="A262" s="90">
        <v>125215868728</v>
      </c>
      <c r="B262" s="1" t="s">
        <v>1790</v>
      </c>
      <c r="C262" s="43" t="s">
        <v>1815</v>
      </c>
      <c r="D262" s="1" t="s">
        <v>2029</v>
      </c>
      <c r="E262" s="43" t="s">
        <v>1829</v>
      </c>
      <c r="F262" s="37" t="s">
        <v>2030</v>
      </c>
      <c r="G262" s="44">
        <v>12900</v>
      </c>
      <c r="H262" s="44">
        <v>129</v>
      </c>
    </row>
    <row r="263" spans="1:8">
      <c r="A263" s="90">
        <v>124669482349</v>
      </c>
      <c r="B263" s="1" t="s">
        <v>8</v>
      </c>
      <c r="C263" s="43" t="s">
        <v>1815</v>
      </c>
      <c r="D263" s="1" t="s">
        <v>2029</v>
      </c>
      <c r="E263" s="43" t="s">
        <v>1829</v>
      </c>
      <c r="F263" s="37" t="s">
        <v>2030</v>
      </c>
      <c r="G263" s="44">
        <v>8600</v>
      </c>
      <c r="H263" s="44">
        <v>86</v>
      </c>
    </row>
    <row r="264" spans="1:8">
      <c r="A264" s="90">
        <v>124670247087</v>
      </c>
      <c r="B264" s="1" t="s">
        <v>8</v>
      </c>
      <c r="C264" s="43" t="s">
        <v>1815</v>
      </c>
      <c r="D264" s="1" t="s">
        <v>2029</v>
      </c>
      <c r="E264" s="43" t="s">
        <v>1829</v>
      </c>
      <c r="F264" s="37" t="s">
        <v>2030</v>
      </c>
      <c r="G264" s="44">
        <v>84300</v>
      </c>
      <c r="H264" s="44">
        <v>843</v>
      </c>
    </row>
    <row r="265" spans="1:8">
      <c r="A265" s="90">
        <v>125216661736</v>
      </c>
      <c r="B265" s="1" t="s">
        <v>1790</v>
      </c>
      <c r="C265" s="43" t="s">
        <v>1815</v>
      </c>
      <c r="D265" s="1" t="s">
        <v>2029</v>
      </c>
      <c r="E265" s="43" t="s">
        <v>1829</v>
      </c>
      <c r="F265" s="37" t="s">
        <v>2030</v>
      </c>
      <c r="G265" s="44">
        <v>59600</v>
      </c>
      <c r="H265" s="44">
        <v>596</v>
      </c>
    </row>
    <row r="266" spans="1:8">
      <c r="A266" s="90">
        <v>124670291781</v>
      </c>
      <c r="B266" s="1" t="s">
        <v>8</v>
      </c>
      <c r="C266" s="43" t="s">
        <v>1815</v>
      </c>
      <c r="D266" s="1" t="s">
        <v>2029</v>
      </c>
      <c r="E266" s="43" t="s">
        <v>1829</v>
      </c>
      <c r="F266" s="37" t="s">
        <v>2030</v>
      </c>
      <c r="G266" s="44">
        <v>4300</v>
      </c>
      <c r="H266" s="44">
        <v>43</v>
      </c>
    </row>
    <row r="267" spans="1:8">
      <c r="A267" s="90">
        <v>125210591466</v>
      </c>
      <c r="B267" s="1" t="s">
        <v>8</v>
      </c>
      <c r="C267" s="43" t="s">
        <v>1815</v>
      </c>
      <c r="D267" s="1" t="s">
        <v>2029</v>
      </c>
      <c r="E267" s="43" t="s">
        <v>1815</v>
      </c>
      <c r="F267" s="37" t="s">
        <v>2030</v>
      </c>
      <c r="G267" s="44">
        <v>45100</v>
      </c>
      <c r="H267" s="44">
        <v>451</v>
      </c>
    </row>
    <row r="268" spans="1:8">
      <c r="A268" s="90">
        <v>124664940299</v>
      </c>
      <c r="B268" s="1" t="s">
        <v>8</v>
      </c>
      <c r="C268" s="43" t="s">
        <v>1815</v>
      </c>
      <c r="D268" s="1" t="s">
        <v>2029</v>
      </c>
      <c r="E268" s="43" t="s">
        <v>1815</v>
      </c>
      <c r="F268" s="37" t="s">
        <v>2030</v>
      </c>
      <c r="G268" s="44">
        <v>8500</v>
      </c>
      <c r="H268" s="44">
        <v>85</v>
      </c>
    </row>
    <row r="269" spans="1:8">
      <c r="A269" s="90">
        <v>125218410126</v>
      </c>
      <c r="B269" s="1" t="s">
        <v>8</v>
      </c>
      <c r="C269" s="43" t="s">
        <v>1815</v>
      </c>
      <c r="D269" s="1" t="s">
        <v>2029</v>
      </c>
      <c r="E269" s="43" t="s">
        <v>1829</v>
      </c>
      <c r="F269" s="37" t="s">
        <v>2030</v>
      </c>
      <c r="G269" s="44">
        <v>10800</v>
      </c>
      <c r="H269" s="44">
        <v>108</v>
      </c>
    </row>
    <row r="270" spans="1:8">
      <c r="A270" s="90">
        <v>125218795632</v>
      </c>
      <c r="B270" s="1" t="s">
        <v>1790</v>
      </c>
      <c r="C270" s="43" t="s">
        <v>1815</v>
      </c>
      <c r="D270" s="1" t="s">
        <v>2029</v>
      </c>
      <c r="E270" s="43" t="s">
        <v>1829</v>
      </c>
      <c r="F270" s="37" t="s">
        <v>2030</v>
      </c>
      <c r="G270" s="44">
        <v>8800</v>
      </c>
      <c r="H270" s="44">
        <v>88</v>
      </c>
    </row>
    <row r="271" spans="1:8">
      <c r="A271" s="90">
        <v>124672534433</v>
      </c>
      <c r="B271" s="1" t="s">
        <v>8</v>
      </c>
      <c r="C271" s="43" t="s">
        <v>1815</v>
      </c>
      <c r="D271" s="1" t="s">
        <v>2029</v>
      </c>
      <c r="E271" s="43" t="s">
        <v>1829</v>
      </c>
      <c r="F271" s="37" t="s">
        <v>2030</v>
      </c>
      <c r="G271" s="44">
        <v>7800</v>
      </c>
      <c r="H271" s="44">
        <v>78</v>
      </c>
    </row>
    <row r="272" spans="1:8">
      <c r="A272" s="90">
        <v>125212465982</v>
      </c>
      <c r="B272" s="1" t="s">
        <v>8</v>
      </c>
      <c r="C272" s="43" t="s">
        <v>1815</v>
      </c>
      <c r="D272" s="1" t="s">
        <v>2029</v>
      </c>
      <c r="E272" s="43" t="s">
        <v>1815</v>
      </c>
      <c r="F272" s="37" t="s">
        <v>2030</v>
      </c>
      <c r="G272" s="44">
        <v>4300</v>
      </c>
      <c r="H272" s="44">
        <v>43</v>
      </c>
    </row>
    <row r="273" spans="1:8">
      <c r="A273" s="90">
        <v>125219203876</v>
      </c>
      <c r="B273" s="1" t="s">
        <v>8</v>
      </c>
      <c r="C273" s="43" t="s">
        <v>1829</v>
      </c>
      <c r="D273" s="1" t="s">
        <v>2029</v>
      </c>
      <c r="E273" s="43" t="s">
        <v>1829</v>
      </c>
      <c r="F273" s="37" t="s">
        <v>2030</v>
      </c>
      <c r="G273" s="44">
        <v>8600</v>
      </c>
      <c r="H273" s="44">
        <v>86</v>
      </c>
    </row>
    <row r="274" spans="1:8">
      <c r="A274" s="90">
        <v>125219233532</v>
      </c>
      <c r="B274" s="1" t="s">
        <v>8</v>
      </c>
      <c r="C274" s="43" t="s">
        <v>1829</v>
      </c>
      <c r="D274" s="1" t="s">
        <v>2029</v>
      </c>
      <c r="E274" s="43" t="s">
        <v>1829</v>
      </c>
      <c r="F274" s="37" t="s">
        <v>2030</v>
      </c>
      <c r="G274" s="44">
        <v>5700</v>
      </c>
      <c r="H274" s="44">
        <v>57</v>
      </c>
    </row>
    <row r="275" spans="1:8">
      <c r="A275" s="90">
        <v>125213185822</v>
      </c>
      <c r="B275" s="1" t="s">
        <v>8</v>
      </c>
      <c r="C275" s="43" t="s">
        <v>1815</v>
      </c>
      <c r="D275" s="1" t="s">
        <v>2029</v>
      </c>
      <c r="E275" s="43" t="s">
        <v>1815</v>
      </c>
      <c r="F275" s="37" t="s">
        <v>2030</v>
      </c>
      <c r="G275" s="44">
        <v>15300</v>
      </c>
      <c r="H275" s="44">
        <v>153</v>
      </c>
    </row>
    <row r="276" spans="1:8">
      <c r="A276" s="90">
        <v>125219899446</v>
      </c>
      <c r="B276" s="1" t="s">
        <v>8</v>
      </c>
      <c r="C276" s="43" t="s">
        <v>1829</v>
      </c>
      <c r="D276" s="1" t="s">
        <v>2029</v>
      </c>
      <c r="E276" s="43" t="s">
        <v>1829</v>
      </c>
      <c r="F276" s="37" t="s">
        <v>2030</v>
      </c>
      <c r="G276" s="44">
        <v>7000</v>
      </c>
      <c r="H276" s="44">
        <v>70</v>
      </c>
    </row>
    <row r="277" spans="1:8">
      <c r="A277" s="90">
        <v>125219980312</v>
      </c>
      <c r="B277" s="1" t="s">
        <v>8</v>
      </c>
      <c r="C277" s="43" t="s">
        <v>1829</v>
      </c>
      <c r="D277" s="1" t="s">
        <v>2029</v>
      </c>
      <c r="E277" s="43" t="s">
        <v>1829</v>
      </c>
      <c r="F277" s="37" t="s">
        <v>2030</v>
      </c>
      <c r="G277" s="44">
        <v>54600</v>
      </c>
      <c r="H277" s="44">
        <v>546</v>
      </c>
    </row>
    <row r="278" spans="1:8">
      <c r="A278" s="90">
        <v>124673995833</v>
      </c>
      <c r="B278" s="1" t="s">
        <v>8</v>
      </c>
      <c r="C278" s="43" t="s">
        <v>1829</v>
      </c>
      <c r="D278" s="1" t="s">
        <v>2029</v>
      </c>
      <c r="E278" s="43" t="s">
        <v>1829</v>
      </c>
      <c r="F278" s="37" t="s">
        <v>2030</v>
      </c>
      <c r="G278" s="44">
        <v>25700</v>
      </c>
      <c r="H278" s="44">
        <v>257</v>
      </c>
    </row>
    <row r="279" spans="1:8">
      <c r="A279" s="90">
        <v>124674256535</v>
      </c>
      <c r="B279" s="1" t="s">
        <v>8</v>
      </c>
      <c r="C279" s="43" t="s">
        <v>1829</v>
      </c>
      <c r="D279" s="1" t="s">
        <v>2029</v>
      </c>
      <c r="E279" s="43" t="s">
        <v>1829</v>
      </c>
      <c r="F279" s="37" t="s">
        <v>2030</v>
      </c>
      <c r="G279" s="44">
        <v>5000</v>
      </c>
      <c r="H279" s="44">
        <v>50</v>
      </c>
    </row>
    <row r="280" spans="1:8">
      <c r="A280" s="90">
        <v>125214339204</v>
      </c>
      <c r="B280" s="1" t="s">
        <v>8</v>
      </c>
      <c r="C280" s="43" t="s">
        <v>1815</v>
      </c>
      <c r="D280" s="1" t="s">
        <v>2029</v>
      </c>
      <c r="E280" s="43" t="s">
        <v>1815</v>
      </c>
      <c r="F280" s="37" t="s">
        <v>2030</v>
      </c>
      <c r="G280" s="44">
        <v>34400</v>
      </c>
      <c r="H280" s="44">
        <v>344</v>
      </c>
    </row>
    <row r="281" spans="1:8">
      <c r="A281" s="90">
        <v>125215046740</v>
      </c>
      <c r="B281" s="1" t="s">
        <v>8</v>
      </c>
      <c r="C281" s="43" t="s">
        <v>1815</v>
      </c>
      <c r="D281" s="1" t="s">
        <v>2029</v>
      </c>
      <c r="E281" s="43" t="s">
        <v>1815</v>
      </c>
      <c r="F281" s="37" t="s">
        <v>2030</v>
      </c>
      <c r="G281" s="44">
        <v>8500</v>
      </c>
      <c r="H281" s="44">
        <v>85</v>
      </c>
    </row>
    <row r="282" spans="1:8">
      <c r="A282" s="90">
        <v>125215388296</v>
      </c>
      <c r="B282" s="1" t="s">
        <v>8</v>
      </c>
      <c r="C282" s="43" t="s">
        <v>1815</v>
      </c>
      <c r="D282" s="1" t="s">
        <v>2029</v>
      </c>
      <c r="E282" s="43" t="s">
        <v>1815</v>
      </c>
      <c r="F282" s="37" t="s">
        <v>2030</v>
      </c>
      <c r="G282" s="44">
        <v>36800</v>
      </c>
      <c r="H282" s="44">
        <v>368</v>
      </c>
    </row>
    <row r="283" spans="1:8">
      <c r="A283" s="90">
        <v>124675558175</v>
      </c>
      <c r="B283" s="1" t="s">
        <v>8</v>
      </c>
      <c r="C283" s="43" t="s">
        <v>1829</v>
      </c>
      <c r="D283" s="1" t="s">
        <v>2029</v>
      </c>
      <c r="E283" s="43" t="s">
        <v>1829</v>
      </c>
      <c r="F283" s="37" t="s">
        <v>2030</v>
      </c>
      <c r="G283" s="44">
        <v>25300</v>
      </c>
      <c r="H283" s="44">
        <v>253</v>
      </c>
    </row>
    <row r="284" spans="1:8">
      <c r="A284" s="90">
        <v>124675646391</v>
      </c>
      <c r="B284" s="1" t="s">
        <v>8</v>
      </c>
      <c r="C284" s="43" t="s">
        <v>1829</v>
      </c>
      <c r="D284" s="1" t="s">
        <v>2029</v>
      </c>
      <c r="E284" s="43" t="s">
        <v>1829</v>
      </c>
      <c r="F284" s="37" t="s">
        <v>2030</v>
      </c>
      <c r="G284" s="44">
        <v>5000</v>
      </c>
      <c r="H284" s="44">
        <v>50</v>
      </c>
    </row>
    <row r="285" spans="1:8">
      <c r="A285" s="90">
        <v>124668982491</v>
      </c>
      <c r="B285" s="1" t="s">
        <v>1790</v>
      </c>
      <c r="C285" s="43" t="s">
        <v>1815</v>
      </c>
      <c r="D285" s="1" t="s">
        <v>2029</v>
      </c>
      <c r="E285" s="43" t="s">
        <v>1815</v>
      </c>
      <c r="F285" s="37" t="s">
        <v>2030</v>
      </c>
      <c r="G285" s="44">
        <v>51600</v>
      </c>
      <c r="H285" s="44">
        <v>516</v>
      </c>
    </row>
    <row r="286" spans="1:8">
      <c r="A286" s="90">
        <v>124669082353</v>
      </c>
      <c r="B286" s="1" t="s">
        <v>1790</v>
      </c>
      <c r="C286" s="43" t="s">
        <v>1815</v>
      </c>
      <c r="D286" s="1" t="s">
        <v>2029</v>
      </c>
      <c r="E286" s="43" t="s">
        <v>1815</v>
      </c>
      <c r="F286" s="37" t="s">
        <v>2030</v>
      </c>
      <c r="G286" s="44">
        <v>42400</v>
      </c>
      <c r="H286" s="44">
        <v>424</v>
      </c>
    </row>
    <row r="287" spans="1:8">
      <c r="A287" s="90">
        <v>124669236361</v>
      </c>
      <c r="B287" s="1" t="s">
        <v>8</v>
      </c>
      <c r="C287" s="43" t="s">
        <v>1815</v>
      </c>
      <c r="D287" s="1" t="s">
        <v>2029</v>
      </c>
      <c r="E287" s="43" t="s">
        <v>1815</v>
      </c>
      <c r="F287" s="37" t="s">
        <v>2030</v>
      </c>
      <c r="G287" s="44">
        <v>2200</v>
      </c>
      <c r="H287" s="44">
        <v>22</v>
      </c>
    </row>
    <row r="288" spans="1:8">
      <c r="A288" s="90">
        <v>125222462618</v>
      </c>
      <c r="B288" s="1" t="s">
        <v>8</v>
      </c>
      <c r="C288" s="43" t="s">
        <v>1829</v>
      </c>
      <c r="D288" s="1" t="s">
        <v>2029</v>
      </c>
      <c r="E288" s="43" t="s">
        <v>1829</v>
      </c>
      <c r="F288" s="37" t="s">
        <v>2030</v>
      </c>
      <c r="G288" s="44">
        <v>7000</v>
      </c>
      <c r="H288" s="44">
        <v>70</v>
      </c>
    </row>
    <row r="289" spans="1:8">
      <c r="A289" s="90">
        <v>125216045810</v>
      </c>
      <c r="B289" s="1" t="s">
        <v>1790</v>
      </c>
      <c r="C289" s="43" t="s">
        <v>1815</v>
      </c>
      <c r="D289" s="1" t="s">
        <v>2029</v>
      </c>
      <c r="E289" s="43" t="s">
        <v>1829</v>
      </c>
      <c r="F289" s="37" t="s">
        <v>2030</v>
      </c>
      <c r="G289" s="44">
        <v>101800</v>
      </c>
      <c r="H289" s="44">
        <v>1018</v>
      </c>
    </row>
    <row r="290" spans="1:8">
      <c r="A290" s="90">
        <v>125216200412</v>
      </c>
      <c r="B290" s="1" t="s">
        <v>8</v>
      </c>
      <c r="C290" s="43" t="s">
        <v>1815</v>
      </c>
      <c r="D290" s="1" t="s">
        <v>2029</v>
      </c>
      <c r="E290" s="43" t="s">
        <v>1829</v>
      </c>
      <c r="F290" s="37" t="s">
        <v>2030</v>
      </c>
      <c r="G290" s="44">
        <v>8500</v>
      </c>
      <c r="H290" s="44">
        <v>85</v>
      </c>
    </row>
    <row r="291" spans="1:8">
      <c r="A291" s="90">
        <v>125222877250</v>
      </c>
      <c r="B291" s="1" t="s">
        <v>8</v>
      </c>
      <c r="C291" s="43" t="s">
        <v>1829</v>
      </c>
      <c r="D291" s="1" t="s">
        <v>2029</v>
      </c>
      <c r="E291" s="43" t="s">
        <v>1829</v>
      </c>
      <c r="F291" s="37" t="s">
        <v>2030</v>
      </c>
      <c r="G291" s="44">
        <v>10600</v>
      </c>
      <c r="H291" s="44">
        <v>106</v>
      </c>
    </row>
    <row r="292" spans="1:8">
      <c r="A292" s="90">
        <v>124669988837</v>
      </c>
      <c r="B292" s="1" t="s">
        <v>8</v>
      </c>
      <c r="C292" s="43" t="s">
        <v>1815</v>
      </c>
      <c r="D292" s="1" t="s">
        <v>2029</v>
      </c>
      <c r="E292" s="43" t="s">
        <v>1829</v>
      </c>
      <c r="F292" s="37" t="s">
        <v>2030</v>
      </c>
      <c r="G292" s="44">
        <v>10600</v>
      </c>
      <c r="H292" s="44">
        <v>106</v>
      </c>
    </row>
    <row r="293" spans="1:8">
      <c r="A293" s="90">
        <v>124676648481</v>
      </c>
      <c r="B293" s="1" t="s">
        <v>1790</v>
      </c>
      <c r="C293" s="43" t="s">
        <v>1829</v>
      </c>
      <c r="D293" s="1" t="s">
        <v>2029</v>
      </c>
      <c r="E293" s="43" t="s">
        <v>1829</v>
      </c>
      <c r="F293" s="37" t="s">
        <v>2030</v>
      </c>
      <c r="G293" s="44">
        <v>64500</v>
      </c>
      <c r="H293" s="44">
        <v>645</v>
      </c>
    </row>
    <row r="294" spans="1:8">
      <c r="A294" s="90">
        <v>124670059343</v>
      </c>
      <c r="B294" s="1" t="s">
        <v>8</v>
      </c>
      <c r="C294" s="43" t="s">
        <v>1815</v>
      </c>
      <c r="D294" s="1" t="s">
        <v>2029</v>
      </c>
      <c r="E294" s="43" t="s">
        <v>1829</v>
      </c>
      <c r="F294" s="37" t="s">
        <v>2030</v>
      </c>
      <c r="G294" s="44">
        <v>38000</v>
      </c>
      <c r="H294" s="44">
        <v>380</v>
      </c>
    </row>
    <row r="295" spans="1:8">
      <c r="A295" s="90">
        <v>125223208832</v>
      </c>
      <c r="B295" s="1" t="s">
        <v>8</v>
      </c>
      <c r="C295" s="43" t="s">
        <v>1829</v>
      </c>
      <c r="D295" s="1" t="s">
        <v>2029</v>
      </c>
      <c r="E295" s="43" t="s">
        <v>1829</v>
      </c>
      <c r="F295" s="37" t="s">
        <v>2030</v>
      </c>
      <c r="G295" s="44">
        <v>15000</v>
      </c>
      <c r="H295" s="44">
        <v>150</v>
      </c>
    </row>
    <row r="296" spans="1:8">
      <c r="A296" s="90">
        <v>125216777826</v>
      </c>
      <c r="B296" s="1" t="s">
        <v>1790</v>
      </c>
      <c r="C296" s="43" t="s">
        <v>1815</v>
      </c>
      <c r="D296" s="1" t="s">
        <v>2029</v>
      </c>
      <c r="E296" s="43" t="s">
        <v>1829</v>
      </c>
      <c r="F296" s="37" t="s">
        <v>2030</v>
      </c>
      <c r="G296" s="44">
        <v>119900</v>
      </c>
      <c r="H296" s="44">
        <v>1199</v>
      </c>
    </row>
    <row r="297" spans="1:8">
      <c r="A297" s="90">
        <v>124677058353</v>
      </c>
      <c r="B297" s="1" t="s">
        <v>1790</v>
      </c>
      <c r="C297" s="43" t="s">
        <v>1829</v>
      </c>
      <c r="D297" s="1" t="s">
        <v>2029</v>
      </c>
      <c r="E297" s="43" t="s">
        <v>1829</v>
      </c>
      <c r="F297" s="37" t="s">
        <v>2030</v>
      </c>
      <c r="G297" s="44">
        <v>47500</v>
      </c>
      <c r="H297" s="44">
        <v>475</v>
      </c>
    </row>
    <row r="298" spans="1:8">
      <c r="A298" s="90">
        <v>125223493470</v>
      </c>
      <c r="B298" s="1" t="s">
        <v>8</v>
      </c>
      <c r="C298" s="43" t="s">
        <v>1829</v>
      </c>
      <c r="D298" s="1" t="s">
        <v>2029</v>
      </c>
      <c r="E298" s="43" t="s">
        <v>1829</v>
      </c>
      <c r="F298" s="37" t="s">
        <v>2030</v>
      </c>
      <c r="G298" s="44">
        <v>8600</v>
      </c>
      <c r="H298" s="44">
        <v>86</v>
      </c>
    </row>
    <row r="299" spans="1:8">
      <c r="A299" s="90">
        <v>124677107387</v>
      </c>
      <c r="B299" s="1" t="s">
        <v>8</v>
      </c>
      <c r="C299" s="43" t="s">
        <v>1829</v>
      </c>
      <c r="D299" s="1" t="s">
        <v>2029</v>
      </c>
      <c r="E299" s="43" t="s">
        <v>1829</v>
      </c>
      <c r="F299" s="37" t="s">
        <v>2030</v>
      </c>
      <c r="G299" s="44">
        <v>22100</v>
      </c>
      <c r="H299" s="44">
        <v>221</v>
      </c>
    </row>
    <row r="300" spans="1:8">
      <c r="A300" s="90">
        <v>124677077767</v>
      </c>
      <c r="B300" s="1" t="s">
        <v>1790</v>
      </c>
      <c r="C300" s="43" t="s">
        <v>1829</v>
      </c>
      <c r="D300" s="1" t="s">
        <v>2029</v>
      </c>
      <c r="E300" s="43" t="s">
        <v>1829</v>
      </c>
      <c r="F300" s="37" t="s">
        <v>2030</v>
      </c>
      <c r="G300" s="44">
        <v>12800</v>
      </c>
      <c r="H300" s="44">
        <v>128</v>
      </c>
    </row>
    <row r="301" spans="1:8">
      <c r="A301" s="90">
        <v>125217154744</v>
      </c>
      <c r="B301" s="1" t="s">
        <v>8</v>
      </c>
      <c r="C301" s="43" t="s">
        <v>1815</v>
      </c>
      <c r="D301" s="1" t="s">
        <v>2029</v>
      </c>
      <c r="E301" s="43" t="s">
        <v>1829</v>
      </c>
      <c r="F301" s="37" t="s">
        <v>2030</v>
      </c>
      <c r="G301" s="44">
        <v>8600</v>
      </c>
      <c r="H301" s="44">
        <v>86</v>
      </c>
    </row>
    <row r="302" spans="1:8">
      <c r="A302" s="90">
        <v>124670696413</v>
      </c>
      <c r="B302" s="1" t="s">
        <v>8</v>
      </c>
      <c r="C302" s="43" t="s">
        <v>1815</v>
      </c>
      <c r="D302" s="1" t="s">
        <v>2029</v>
      </c>
      <c r="E302" s="43" t="s">
        <v>1829</v>
      </c>
      <c r="F302" s="37" t="s">
        <v>2030</v>
      </c>
      <c r="G302" s="44">
        <v>8500</v>
      </c>
      <c r="H302" s="44">
        <v>85</v>
      </c>
    </row>
    <row r="303" spans="1:8">
      <c r="A303" s="90">
        <v>124670726623</v>
      </c>
      <c r="B303" s="1" t="s">
        <v>8</v>
      </c>
      <c r="C303" s="43" t="s">
        <v>1815</v>
      </c>
      <c r="D303" s="1" t="s">
        <v>2029</v>
      </c>
      <c r="E303" s="43" t="s">
        <v>1829</v>
      </c>
      <c r="F303" s="37" t="s">
        <v>2030</v>
      </c>
      <c r="G303" s="44">
        <v>4300</v>
      </c>
      <c r="H303" s="44">
        <v>43</v>
      </c>
    </row>
    <row r="304" spans="1:8">
      <c r="A304" s="90">
        <v>125217693384</v>
      </c>
      <c r="B304" s="1" t="s">
        <v>8</v>
      </c>
      <c r="C304" s="43" t="s">
        <v>1815</v>
      </c>
      <c r="D304" s="1" t="s">
        <v>2029</v>
      </c>
      <c r="E304" s="43" t="s">
        <v>1829</v>
      </c>
      <c r="F304" s="37" t="s">
        <v>2030</v>
      </c>
      <c r="G304" s="44">
        <v>15000</v>
      </c>
      <c r="H304" s="44">
        <v>150</v>
      </c>
    </row>
    <row r="305" spans="1:8">
      <c r="A305" s="90">
        <v>124671275577</v>
      </c>
      <c r="B305" s="1" t="s">
        <v>1790</v>
      </c>
      <c r="C305" s="43" t="s">
        <v>1815</v>
      </c>
      <c r="D305" s="1" t="s">
        <v>2029</v>
      </c>
      <c r="E305" s="43" t="s">
        <v>1829</v>
      </c>
      <c r="F305" s="37" t="s">
        <v>2030</v>
      </c>
      <c r="G305" s="44">
        <v>35600</v>
      </c>
      <c r="H305" s="44">
        <v>356</v>
      </c>
    </row>
    <row r="306" spans="1:8">
      <c r="A306" s="90">
        <v>124671527545</v>
      </c>
      <c r="B306" s="1" t="s">
        <v>8</v>
      </c>
      <c r="C306" s="43" t="s">
        <v>1815</v>
      </c>
      <c r="D306" s="1" t="s">
        <v>2029</v>
      </c>
      <c r="E306" s="43" t="s">
        <v>1829</v>
      </c>
      <c r="F306" s="37" t="s">
        <v>2030</v>
      </c>
      <c r="G306" s="44">
        <v>42800</v>
      </c>
      <c r="H306" s="44">
        <v>428</v>
      </c>
    </row>
    <row r="307" spans="1:8">
      <c r="A307" s="90">
        <v>124671860837</v>
      </c>
      <c r="B307" s="1" t="s">
        <v>8</v>
      </c>
      <c r="C307" s="43" t="s">
        <v>1815</v>
      </c>
      <c r="D307" s="1" t="s">
        <v>2029</v>
      </c>
      <c r="E307" s="43" t="s">
        <v>1829</v>
      </c>
      <c r="F307" s="37" t="s">
        <v>2030</v>
      </c>
      <c r="G307" s="44">
        <v>32600</v>
      </c>
      <c r="H307" s="44">
        <v>326</v>
      </c>
    </row>
    <row r="308" spans="1:8">
      <c r="A308" s="90">
        <v>124672504175</v>
      </c>
      <c r="B308" s="1" t="s">
        <v>8</v>
      </c>
      <c r="C308" s="43" t="s">
        <v>1815</v>
      </c>
      <c r="D308" s="1" t="s">
        <v>2029</v>
      </c>
      <c r="E308" s="43" t="s">
        <v>1829</v>
      </c>
      <c r="F308" s="37" t="s">
        <v>2030</v>
      </c>
      <c r="G308" s="44">
        <v>8800</v>
      </c>
      <c r="H308" s="44">
        <v>88</v>
      </c>
    </row>
    <row r="309" spans="1:8">
      <c r="A309" s="90">
        <v>125219129574</v>
      </c>
      <c r="B309" s="1" t="s">
        <v>8</v>
      </c>
      <c r="C309" s="43" t="s">
        <v>1829</v>
      </c>
      <c r="D309" s="1" t="s">
        <v>2029</v>
      </c>
      <c r="E309" s="43" t="s">
        <v>1829</v>
      </c>
      <c r="F309" s="37" t="s">
        <v>2030</v>
      </c>
      <c r="G309" s="44">
        <v>45800</v>
      </c>
      <c r="H309" s="44">
        <v>458</v>
      </c>
    </row>
    <row r="310" spans="1:8">
      <c r="A310" s="90">
        <v>125220021668</v>
      </c>
      <c r="B310" s="1" t="s">
        <v>8</v>
      </c>
      <c r="C310" s="43" t="s">
        <v>1829</v>
      </c>
      <c r="D310" s="1" t="s">
        <v>2029</v>
      </c>
      <c r="E310" s="43" t="s">
        <v>1829</v>
      </c>
      <c r="F310" s="37" t="s">
        <v>2030</v>
      </c>
      <c r="G310" s="44">
        <v>8600</v>
      </c>
      <c r="H310" s="44">
        <v>86</v>
      </c>
    </row>
    <row r="311" spans="1:8">
      <c r="A311" s="90">
        <v>124673710401</v>
      </c>
      <c r="B311" s="1" t="s">
        <v>1790</v>
      </c>
      <c r="C311" s="43" t="s">
        <v>1829</v>
      </c>
      <c r="D311" s="1" t="s">
        <v>2029</v>
      </c>
      <c r="E311" s="43" t="s">
        <v>1829</v>
      </c>
      <c r="F311" s="37" t="s">
        <v>2030</v>
      </c>
      <c r="G311" s="44">
        <v>33800</v>
      </c>
      <c r="H311" s="44">
        <v>338</v>
      </c>
    </row>
    <row r="312" spans="1:8">
      <c r="A312" s="90">
        <v>124673905673</v>
      </c>
      <c r="B312" s="1" t="s">
        <v>8</v>
      </c>
      <c r="C312" s="43" t="s">
        <v>1829</v>
      </c>
      <c r="D312" s="1" t="s">
        <v>2029</v>
      </c>
      <c r="E312" s="43" t="s">
        <v>1829</v>
      </c>
      <c r="F312" s="37" t="s">
        <v>2030</v>
      </c>
      <c r="G312" s="44">
        <v>5000</v>
      </c>
      <c r="H312" s="44">
        <v>50</v>
      </c>
    </row>
    <row r="313" spans="1:8">
      <c r="A313" s="90">
        <v>125220339680</v>
      </c>
      <c r="B313" s="1" t="s">
        <v>8</v>
      </c>
      <c r="C313" s="43" t="s">
        <v>1829</v>
      </c>
      <c r="D313" s="1" t="s">
        <v>2029</v>
      </c>
      <c r="E313" s="43" t="s">
        <v>1829</v>
      </c>
      <c r="F313" s="37" t="s">
        <v>2030</v>
      </c>
      <c r="G313" s="44">
        <v>7000</v>
      </c>
      <c r="H313" s="44">
        <v>70</v>
      </c>
    </row>
    <row r="314" spans="1:8">
      <c r="A314" s="90">
        <v>124675042795</v>
      </c>
      <c r="B314" s="1" t="s">
        <v>8</v>
      </c>
      <c r="C314" s="43" t="s">
        <v>1829</v>
      </c>
      <c r="D314" s="1" t="s">
        <v>2029</v>
      </c>
      <c r="E314" s="43" t="s">
        <v>1829</v>
      </c>
      <c r="F314" s="37" t="s">
        <v>2030</v>
      </c>
      <c r="G314" s="44">
        <v>49900</v>
      </c>
      <c r="H314" s="44">
        <v>499</v>
      </c>
    </row>
    <row r="315" spans="1:8">
      <c r="A315" s="90">
        <v>124675009187</v>
      </c>
      <c r="B315" s="1" t="s">
        <v>8</v>
      </c>
      <c r="C315" s="43" t="s">
        <v>1829</v>
      </c>
      <c r="D315" s="1" t="s">
        <v>2029</v>
      </c>
      <c r="E315" s="43" t="s">
        <v>1829</v>
      </c>
      <c r="F315" s="37" t="s">
        <v>2030</v>
      </c>
      <c r="G315" s="44">
        <v>18400</v>
      </c>
      <c r="H315" s="44">
        <v>184</v>
      </c>
    </row>
    <row r="316" spans="1:8">
      <c r="A316" s="90">
        <v>124675934201</v>
      </c>
      <c r="B316" s="1" t="s">
        <v>8</v>
      </c>
      <c r="C316" s="43" t="s">
        <v>1829</v>
      </c>
      <c r="D316" s="1" t="s">
        <v>2029</v>
      </c>
      <c r="E316" s="43" t="s">
        <v>1829</v>
      </c>
      <c r="F316" s="37" t="s">
        <v>2030</v>
      </c>
      <c r="G316" s="44">
        <v>9200</v>
      </c>
      <c r="H316" s="44">
        <v>92</v>
      </c>
    </row>
    <row r="317" spans="1:8">
      <c r="A317" s="90">
        <v>125222388040</v>
      </c>
      <c r="B317" s="1" t="s">
        <v>1790</v>
      </c>
      <c r="C317" s="43" t="s">
        <v>1829</v>
      </c>
      <c r="D317" s="1" t="s">
        <v>2029</v>
      </c>
      <c r="E317" s="43" t="s">
        <v>1829</v>
      </c>
      <c r="F317" s="37" t="s">
        <v>2030</v>
      </c>
      <c r="G317" s="44">
        <v>58100</v>
      </c>
      <c r="H317" s="44">
        <v>581</v>
      </c>
    </row>
    <row r="318" spans="1:8">
      <c r="A318" s="90">
        <v>125223266490</v>
      </c>
      <c r="B318" s="1" t="s">
        <v>1790</v>
      </c>
      <c r="C318" s="43" t="s">
        <v>1829</v>
      </c>
      <c r="D318" s="1" t="s">
        <v>2029</v>
      </c>
      <c r="E318" s="43" t="s">
        <v>1829</v>
      </c>
      <c r="F318" s="37" t="s">
        <v>2030</v>
      </c>
      <c r="G318" s="44">
        <v>9500</v>
      </c>
      <c r="H318" s="44">
        <v>95</v>
      </c>
    </row>
    <row r="319" spans="1:8">
      <c r="A319" s="90">
        <v>125223478166</v>
      </c>
      <c r="B319" s="1" t="s">
        <v>1790</v>
      </c>
      <c r="C319" s="43" t="s">
        <v>1829</v>
      </c>
      <c r="D319" s="1" t="s">
        <v>2029</v>
      </c>
      <c r="E319" s="43" t="s">
        <v>1829</v>
      </c>
      <c r="F319" s="37" t="s">
        <v>2030</v>
      </c>
      <c r="G319" s="44">
        <v>21900</v>
      </c>
      <c r="H319" s="44">
        <v>219</v>
      </c>
    </row>
    <row r="320" spans="1:8">
      <c r="A320" s="90">
        <v>125223606328</v>
      </c>
      <c r="B320" s="1" t="s">
        <v>8</v>
      </c>
      <c r="C320" s="43" t="s">
        <v>1829</v>
      </c>
      <c r="D320" s="1" t="s">
        <v>2029</v>
      </c>
      <c r="E320" s="43" t="s">
        <v>1829</v>
      </c>
      <c r="F320" s="37" t="s">
        <v>2030</v>
      </c>
      <c r="G320" s="44">
        <v>148600</v>
      </c>
      <c r="H320" s="44">
        <v>1486</v>
      </c>
    </row>
    <row r="321" spans="1:8">
      <c r="A321" s="90">
        <v>124677103773</v>
      </c>
      <c r="B321" s="1" t="s">
        <v>8</v>
      </c>
      <c r="C321" s="43" t="s">
        <v>1829</v>
      </c>
      <c r="D321" s="1" t="s">
        <v>2029</v>
      </c>
      <c r="E321" s="43" t="s">
        <v>1829</v>
      </c>
      <c r="F321" s="37" t="s">
        <v>2030</v>
      </c>
      <c r="G321" s="44">
        <v>7200</v>
      </c>
      <c r="H321" s="44">
        <v>72</v>
      </c>
    </row>
    <row r="322" spans="1:8">
      <c r="A322" s="90">
        <v>124749410821</v>
      </c>
      <c r="B322" s="1" t="s">
        <v>8</v>
      </c>
      <c r="C322" s="43" t="s">
        <v>1829</v>
      </c>
      <c r="D322" s="1" t="s">
        <v>2029</v>
      </c>
      <c r="E322" s="43" t="s">
        <v>1829</v>
      </c>
      <c r="F322" s="37" t="s">
        <v>2030</v>
      </c>
      <c r="G322" s="44">
        <v>8600</v>
      </c>
      <c r="H322" s="44">
        <v>86</v>
      </c>
    </row>
    <row r="323" spans="1:8">
      <c r="A323" s="90">
        <v>124751640007</v>
      </c>
      <c r="B323" s="1" t="s">
        <v>8</v>
      </c>
      <c r="C323" s="43" t="s">
        <v>1829</v>
      </c>
      <c r="D323" s="1" t="s">
        <v>2029</v>
      </c>
      <c r="E323" s="43" t="s">
        <v>1829</v>
      </c>
      <c r="F323" s="37" t="s">
        <v>2030</v>
      </c>
      <c r="G323" s="44">
        <v>45400</v>
      </c>
      <c r="H323" s="44">
        <v>454</v>
      </c>
    </row>
    <row r="324" spans="1:8">
      <c r="A324" s="90">
        <v>124754527205</v>
      </c>
      <c r="B324" s="1" t="s">
        <v>8</v>
      </c>
      <c r="C324" s="43" t="s">
        <v>1829</v>
      </c>
      <c r="D324" s="1" t="s">
        <v>2029</v>
      </c>
      <c r="E324" s="43" t="s">
        <v>1829</v>
      </c>
      <c r="F324" s="37" t="s">
        <v>2030</v>
      </c>
      <c r="G324" s="44">
        <v>48000</v>
      </c>
      <c r="H324" s="44">
        <v>480</v>
      </c>
    </row>
    <row r="325" spans="1:8">
      <c r="A325" s="90">
        <v>124755105423</v>
      </c>
      <c r="B325" s="1" t="s">
        <v>8</v>
      </c>
      <c r="C325" s="43" t="s">
        <v>1829</v>
      </c>
      <c r="D325" s="1" t="s">
        <v>2029</v>
      </c>
      <c r="E325" s="43" t="s">
        <v>1829</v>
      </c>
      <c r="F325" s="37" t="s">
        <v>2030</v>
      </c>
      <c r="G325" s="44">
        <v>17200</v>
      </c>
      <c r="H325" s="44">
        <v>172</v>
      </c>
    </row>
    <row r="326" spans="1:8">
      <c r="A326" s="90">
        <v>124756307845</v>
      </c>
      <c r="B326" s="1" t="s">
        <v>8</v>
      </c>
      <c r="C326" s="43" t="s">
        <v>1829</v>
      </c>
      <c r="D326" s="1" t="s">
        <v>2029</v>
      </c>
      <c r="E326" s="43" t="s">
        <v>1829</v>
      </c>
      <c r="F326" s="37" t="s">
        <v>2030</v>
      </c>
      <c r="G326" s="44">
        <v>21400</v>
      </c>
      <c r="H326" s="44">
        <v>214</v>
      </c>
    </row>
    <row r="327" spans="1:8">
      <c r="A327" s="90">
        <v>124756676035</v>
      </c>
      <c r="B327" s="1" t="s">
        <v>8</v>
      </c>
      <c r="C327" s="43" t="s">
        <v>1829</v>
      </c>
      <c r="D327" s="1" t="s">
        <v>2029</v>
      </c>
      <c r="E327" s="43" t="s">
        <v>1829</v>
      </c>
      <c r="F327" s="37" t="s">
        <v>2030</v>
      </c>
      <c r="G327" s="44">
        <v>32700</v>
      </c>
      <c r="H327" s="44">
        <v>327</v>
      </c>
    </row>
    <row r="328" spans="1:8">
      <c r="A328" s="90">
        <v>125304841170</v>
      </c>
      <c r="B328" s="1" t="s">
        <v>8</v>
      </c>
      <c r="C328" s="43" t="s">
        <v>1829</v>
      </c>
      <c r="D328" s="1" t="s">
        <v>2029</v>
      </c>
      <c r="E328" s="43" t="s">
        <v>1829</v>
      </c>
      <c r="F328" s="37" t="s">
        <v>2030</v>
      </c>
      <c r="G328" s="44">
        <v>76800</v>
      </c>
      <c r="H328" s="44">
        <v>768</v>
      </c>
    </row>
    <row r="329" spans="1:8">
      <c r="A329" s="90">
        <v>125298883468</v>
      </c>
      <c r="B329" s="1" t="s">
        <v>8</v>
      </c>
      <c r="C329" s="43" t="s">
        <v>1829</v>
      </c>
      <c r="D329" s="1" t="s">
        <v>2029</v>
      </c>
      <c r="E329" s="43" t="s">
        <v>1829</v>
      </c>
      <c r="F329" s="37" t="s">
        <v>2030</v>
      </c>
      <c r="G329" s="44">
        <v>11000</v>
      </c>
      <c r="H329" s="44">
        <v>110</v>
      </c>
    </row>
    <row r="330" spans="1:8">
      <c r="A330" s="90">
        <v>124752111709</v>
      </c>
      <c r="B330" s="1" t="s">
        <v>8</v>
      </c>
      <c r="C330" s="43" t="s">
        <v>1829</v>
      </c>
      <c r="D330" s="1" t="s">
        <v>2029</v>
      </c>
      <c r="E330" s="43" t="s">
        <v>1829</v>
      </c>
      <c r="F330" s="37" t="s">
        <v>2030</v>
      </c>
      <c r="G330" s="44">
        <v>8600</v>
      </c>
      <c r="H330" s="44">
        <v>86</v>
      </c>
    </row>
    <row r="331" spans="1:8">
      <c r="A331" s="90">
        <v>124759575161</v>
      </c>
      <c r="B331" s="1" t="s">
        <v>8</v>
      </c>
      <c r="C331" s="43" t="s">
        <v>1829</v>
      </c>
      <c r="D331" s="1" t="s">
        <v>2029</v>
      </c>
      <c r="E331" s="43" t="s">
        <v>1829</v>
      </c>
      <c r="F331" s="37" t="s">
        <v>2030</v>
      </c>
      <c r="G331" s="44">
        <v>18550</v>
      </c>
      <c r="H331" s="44">
        <v>185.5</v>
      </c>
    </row>
    <row r="332" spans="1:8">
      <c r="A332" s="90">
        <v>124760077545</v>
      </c>
      <c r="B332" s="1" t="s">
        <v>1790</v>
      </c>
      <c r="C332" s="43" t="s">
        <v>1829</v>
      </c>
      <c r="D332" s="1" t="s">
        <v>2029</v>
      </c>
      <c r="E332" s="43" t="s">
        <v>1829</v>
      </c>
      <c r="F332" s="37" t="s">
        <v>2030</v>
      </c>
      <c r="G332" s="44">
        <v>36300</v>
      </c>
      <c r="H332" s="44">
        <v>363</v>
      </c>
    </row>
    <row r="333" spans="1:8">
      <c r="A333" s="90">
        <v>125300953476</v>
      </c>
      <c r="B333" s="1" t="s">
        <v>1790</v>
      </c>
      <c r="C333" s="43" t="s">
        <v>1829</v>
      </c>
      <c r="D333" s="1" t="s">
        <v>2029</v>
      </c>
      <c r="E333" s="43" t="s">
        <v>1829</v>
      </c>
      <c r="F333" s="37" t="s">
        <v>2030</v>
      </c>
      <c r="G333" s="44">
        <v>30900</v>
      </c>
      <c r="H333" s="44">
        <v>309</v>
      </c>
    </row>
    <row r="334" spans="1:8">
      <c r="A334" s="90">
        <v>125307583524</v>
      </c>
      <c r="B334" s="1" t="s">
        <v>8</v>
      </c>
      <c r="C334" s="43" t="s">
        <v>1829</v>
      </c>
      <c r="D334" s="1" t="s">
        <v>2029</v>
      </c>
      <c r="E334" s="43" t="s">
        <v>1829</v>
      </c>
      <c r="F334" s="37" t="s">
        <v>2030</v>
      </c>
      <c r="G334" s="44">
        <v>47300</v>
      </c>
      <c r="H334" s="44">
        <v>473</v>
      </c>
    </row>
    <row r="335" spans="1:8">
      <c r="A335" s="90">
        <v>124761305099</v>
      </c>
      <c r="B335" s="1" t="s">
        <v>8</v>
      </c>
      <c r="C335" s="43" t="s">
        <v>1829</v>
      </c>
      <c r="D335" s="1" t="s">
        <v>2029</v>
      </c>
      <c r="E335" s="43" t="s">
        <v>1829</v>
      </c>
      <c r="F335" s="37" t="s">
        <v>2030</v>
      </c>
      <c r="G335" s="44">
        <v>40500</v>
      </c>
      <c r="H335" s="44">
        <v>405</v>
      </c>
    </row>
    <row r="336" spans="1:8">
      <c r="A336" s="90">
        <v>124761974987</v>
      </c>
      <c r="B336" s="1" t="s">
        <v>8</v>
      </c>
      <c r="C336" s="43" t="s">
        <v>1829</v>
      </c>
      <c r="D336" s="1" t="s">
        <v>2029</v>
      </c>
      <c r="E336" s="43" t="s">
        <v>1829</v>
      </c>
      <c r="F336" s="37" t="s">
        <v>2030</v>
      </c>
      <c r="G336" s="44">
        <v>69000</v>
      </c>
      <c r="H336" s="44">
        <v>690</v>
      </c>
    </row>
    <row r="337" spans="1:8">
      <c r="A337" s="90">
        <v>125309426696</v>
      </c>
      <c r="B337" s="1" t="s">
        <v>8</v>
      </c>
      <c r="C337" s="43" t="s">
        <v>1829</v>
      </c>
      <c r="D337" s="1" t="s">
        <v>2029</v>
      </c>
      <c r="E337" s="43" t="s">
        <v>1829</v>
      </c>
      <c r="F337" s="37" t="s">
        <v>2030</v>
      </c>
      <c r="G337" s="44">
        <v>24300</v>
      </c>
      <c r="H337" s="44">
        <v>243</v>
      </c>
    </row>
    <row r="338" spans="1:8">
      <c r="A338" s="90">
        <v>124762545723</v>
      </c>
      <c r="B338" s="1" t="s">
        <v>8</v>
      </c>
      <c r="C338" s="43" t="s">
        <v>1829</v>
      </c>
      <c r="D338" s="1" t="s">
        <v>2029</v>
      </c>
      <c r="E338" s="43" t="s">
        <v>1829</v>
      </c>
      <c r="F338" s="37" t="s">
        <v>2030</v>
      </c>
      <c r="G338" s="44">
        <v>119500</v>
      </c>
      <c r="H338" s="44">
        <v>1195</v>
      </c>
    </row>
    <row r="339" spans="1:8">
      <c r="A339" s="90">
        <v>125311407008</v>
      </c>
      <c r="B339" s="1" t="s">
        <v>8</v>
      </c>
      <c r="C339" s="43" t="s">
        <v>1829</v>
      </c>
      <c r="D339" s="1" t="s">
        <v>2029</v>
      </c>
      <c r="E339" s="43" t="s">
        <v>1829</v>
      </c>
      <c r="F339" s="37" t="s">
        <v>2030</v>
      </c>
      <c r="G339" s="44">
        <v>5700</v>
      </c>
      <c r="H339" s="44">
        <v>57</v>
      </c>
    </row>
    <row r="340" spans="1:8">
      <c r="A340" s="90">
        <v>125305682512</v>
      </c>
      <c r="B340" s="1" t="s">
        <v>8</v>
      </c>
      <c r="C340" s="43" t="s">
        <v>1829</v>
      </c>
      <c r="D340" s="1" t="s">
        <v>2029</v>
      </c>
      <c r="E340" s="43" t="s">
        <v>1829</v>
      </c>
      <c r="F340" s="37" t="s">
        <v>2030</v>
      </c>
      <c r="G340" s="44">
        <v>100900</v>
      </c>
      <c r="H340" s="44">
        <v>1009</v>
      </c>
    </row>
    <row r="341" spans="1:8">
      <c r="A341" s="90">
        <v>124760717875</v>
      </c>
      <c r="B341" s="1" t="s">
        <v>8</v>
      </c>
      <c r="C341" s="43" t="s">
        <v>1829</v>
      </c>
      <c r="D341" s="1" t="s">
        <v>2029</v>
      </c>
      <c r="E341" s="43" t="s">
        <v>1829</v>
      </c>
      <c r="F341" s="37" t="s">
        <v>2030</v>
      </c>
      <c r="G341" s="44">
        <v>28600</v>
      </c>
      <c r="H341" s="44">
        <v>286</v>
      </c>
    </row>
    <row r="342" spans="1:8">
      <c r="A342" s="90">
        <v>125307924448</v>
      </c>
      <c r="B342" s="1" t="s">
        <v>8</v>
      </c>
      <c r="C342" s="43" t="s">
        <v>1829</v>
      </c>
      <c r="D342" s="1" t="s">
        <v>2029</v>
      </c>
      <c r="E342" s="43" t="s">
        <v>1829</v>
      </c>
      <c r="F342" s="37" t="s">
        <v>2030</v>
      </c>
      <c r="G342" s="44">
        <v>36300</v>
      </c>
      <c r="H342" s="44">
        <v>363</v>
      </c>
    </row>
    <row r="343" spans="1:8">
      <c r="A343" s="90">
        <v>124767314759</v>
      </c>
      <c r="B343" s="1" t="s">
        <v>8</v>
      </c>
      <c r="C343" s="43" t="s">
        <v>1829</v>
      </c>
      <c r="D343" s="1" t="s">
        <v>2029</v>
      </c>
      <c r="E343" s="43" t="s">
        <v>1837</v>
      </c>
      <c r="F343" s="37" t="s">
        <v>2030</v>
      </c>
      <c r="G343" s="44">
        <v>33700</v>
      </c>
      <c r="H343" s="44">
        <v>337</v>
      </c>
    </row>
    <row r="344" spans="1:8">
      <c r="A344" s="90">
        <v>124767429929</v>
      </c>
      <c r="B344" s="1" t="s">
        <v>8</v>
      </c>
      <c r="C344" s="43" t="s">
        <v>1829</v>
      </c>
      <c r="D344" s="1" t="s">
        <v>2029</v>
      </c>
      <c r="E344" s="43" t="s">
        <v>1837</v>
      </c>
      <c r="F344" s="37" t="s">
        <v>2030</v>
      </c>
      <c r="G344" s="44">
        <v>71100</v>
      </c>
      <c r="H344" s="44">
        <v>711</v>
      </c>
    </row>
    <row r="345" spans="1:8">
      <c r="A345" s="90">
        <v>125314451784</v>
      </c>
      <c r="B345" s="1" t="s">
        <v>8</v>
      </c>
      <c r="C345" s="43" t="s">
        <v>1837</v>
      </c>
      <c r="D345" s="1" t="s">
        <v>2029</v>
      </c>
      <c r="E345" s="43" t="s">
        <v>1837</v>
      </c>
      <c r="F345" s="37" t="s">
        <v>2030</v>
      </c>
      <c r="G345" s="44">
        <v>14500</v>
      </c>
      <c r="H345" s="44">
        <v>145</v>
      </c>
    </row>
    <row r="346" spans="1:8">
      <c r="A346" s="90">
        <v>124762161923</v>
      </c>
      <c r="B346" s="1" t="s">
        <v>1790</v>
      </c>
      <c r="C346" s="43" t="s">
        <v>1829</v>
      </c>
      <c r="D346" s="1" t="s">
        <v>2029</v>
      </c>
      <c r="E346" s="43" t="s">
        <v>1829</v>
      </c>
      <c r="F346" s="37" t="s">
        <v>2030</v>
      </c>
      <c r="G346" s="44">
        <v>39000</v>
      </c>
      <c r="H346" s="44">
        <v>390</v>
      </c>
    </row>
    <row r="347" spans="1:8">
      <c r="A347" s="90">
        <v>124762404115</v>
      </c>
      <c r="B347" s="1" t="s">
        <v>1790</v>
      </c>
      <c r="C347" s="43" t="s">
        <v>1829</v>
      </c>
      <c r="D347" s="1" t="s">
        <v>2029</v>
      </c>
      <c r="E347" s="43" t="s">
        <v>1829</v>
      </c>
      <c r="F347" s="37" t="s">
        <v>2030</v>
      </c>
      <c r="G347" s="44">
        <v>10100</v>
      </c>
      <c r="H347" s="44">
        <v>101</v>
      </c>
    </row>
    <row r="348" spans="1:8">
      <c r="A348" s="90">
        <v>124768684947</v>
      </c>
      <c r="B348" s="1" t="s">
        <v>8</v>
      </c>
      <c r="C348" s="43" t="s">
        <v>1837</v>
      </c>
      <c r="D348" s="1" t="s">
        <v>2029</v>
      </c>
      <c r="E348" s="43" t="s">
        <v>1837</v>
      </c>
      <c r="F348" s="37" t="s">
        <v>2030</v>
      </c>
      <c r="G348" s="44">
        <v>19500</v>
      </c>
      <c r="H348" s="44">
        <v>195</v>
      </c>
    </row>
    <row r="349" spans="1:8">
      <c r="A349" s="90">
        <v>125315557302</v>
      </c>
      <c r="B349" s="1" t="s">
        <v>8</v>
      </c>
      <c r="C349" s="43" t="s">
        <v>1837</v>
      </c>
      <c r="D349" s="1" t="s">
        <v>2029</v>
      </c>
      <c r="E349" s="43" t="s">
        <v>1837</v>
      </c>
      <c r="F349" s="37" t="s">
        <v>2030</v>
      </c>
      <c r="G349" s="44">
        <v>7800</v>
      </c>
      <c r="H349" s="44">
        <v>78</v>
      </c>
    </row>
    <row r="350" spans="1:8">
      <c r="A350" s="90">
        <v>125311350634</v>
      </c>
      <c r="B350" s="1" t="s">
        <v>1790</v>
      </c>
      <c r="C350" s="43" t="s">
        <v>1829</v>
      </c>
      <c r="D350" s="1" t="s">
        <v>2029</v>
      </c>
      <c r="E350" s="43" t="s">
        <v>1829</v>
      </c>
      <c r="F350" s="37" t="s">
        <v>2030</v>
      </c>
      <c r="G350" s="44">
        <v>31600</v>
      </c>
      <c r="H350" s="44">
        <v>316</v>
      </c>
    </row>
    <row r="351" spans="1:8">
      <c r="A351" s="90">
        <v>124767413713</v>
      </c>
      <c r="B351" s="1" t="s">
        <v>8</v>
      </c>
      <c r="C351" s="43" t="s">
        <v>1829</v>
      </c>
      <c r="D351" s="1" t="s">
        <v>2029</v>
      </c>
      <c r="E351" s="43" t="s">
        <v>1837</v>
      </c>
      <c r="F351" s="37" t="s">
        <v>2030</v>
      </c>
      <c r="G351" s="44">
        <v>10000</v>
      </c>
      <c r="H351" s="44">
        <v>100</v>
      </c>
    </row>
    <row r="352" spans="1:8">
      <c r="A352" s="90">
        <v>125152888873</v>
      </c>
      <c r="B352" s="1" t="s">
        <v>8</v>
      </c>
      <c r="C352" s="43" t="s">
        <v>1845</v>
      </c>
      <c r="D352" s="1" t="s">
        <v>2029</v>
      </c>
      <c r="E352" s="43" t="s">
        <v>1845</v>
      </c>
      <c r="F352" s="37" t="s">
        <v>2030</v>
      </c>
      <c r="G352" s="44">
        <v>7000</v>
      </c>
      <c r="H352" s="44">
        <v>70</v>
      </c>
    </row>
    <row r="353" spans="1:8">
      <c r="A353" s="90">
        <v>125156581215</v>
      </c>
      <c r="B353" s="1" t="s">
        <v>8</v>
      </c>
      <c r="C353" s="43" t="s">
        <v>1845</v>
      </c>
      <c r="D353" s="1" t="s">
        <v>2029</v>
      </c>
      <c r="E353" s="43" t="s">
        <v>1845</v>
      </c>
      <c r="F353" s="37" t="s">
        <v>2030</v>
      </c>
      <c r="G353" s="44">
        <v>8000</v>
      </c>
      <c r="H353" s="44">
        <v>80</v>
      </c>
    </row>
    <row r="354" spans="1:8">
      <c r="A354" s="90">
        <v>125707492856</v>
      </c>
      <c r="B354" s="1" t="s">
        <v>8</v>
      </c>
      <c r="C354" s="43" t="s">
        <v>1845</v>
      </c>
      <c r="D354" s="1" t="s">
        <v>2029</v>
      </c>
      <c r="E354" s="43" t="s">
        <v>1845</v>
      </c>
      <c r="F354" s="37" t="s">
        <v>2030</v>
      </c>
      <c r="G354" s="44">
        <v>14400</v>
      </c>
      <c r="H354" s="44">
        <v>144</v>
      </c>
    </row>
    <row r="355" spans="1:8">
      <c r="A355" s="90">
        <v>125161425019</v>
      </c>
      <c r="B355" s="1" t="s">
        <v>8</v>
      </c>
      <c r="C355" s="43" t="s">
        <v>1845</v>
      </c>
      <c r="D355" s="1" t="s">
        <v>2029</v>
      </c>
      <c r="E355" s="43" t="s">
        <v>1845</v>
      </c>
      <c r="F355" s="37" t="s">
        <v>2030</v>
      </c>
      <c r="G355" s="44">
        <v>17500</v>
      </c>
      <c r="H355" s="44">
        <v>175</v>
      </c>
    </row>
    <row r="356" spans="1:8">
      <c r="A356" s="90">
        <v>125709845758</v>
      </c>
      <c r="B356" s="1" t="s">
        <v>8</v>
      </c>
      <c r="C356" s="43" t="s">
        <v>1845</v>
      </c>
      <c r="D356" s="1" t="s">
        <v>2029</v>
      </c>
      <c r="E356" s="43" t="s">
        <v>1845</v>
      </c>
      <c r="F356" s="37" t="s">
        <v>2030</v>
      </c>
      <c r="G356" s="44">
        <v>16400</v>
      </c>
      <c r="H356" s="44">
        <v>164</v>
      </c>
    </row>
    <row r="357" spans="1:8">
      <c r="A357" s="90">
        <v>125168194775</v>
      </c>
      <c r="B357" s="1" t="s">
        <v>8</v>
      </c>
      <c r="C357" s="43" t="s">
        <v>1845</v>
      </c>
      <c r="D357" s="1" t="s">
        <v>2029</v>
      </c>
      <c r="E357" s="43" t="s">
        <v>1845</v>
      </c>
      <c r="F357" s="37" t="s">
        <v>2030</v>
      </c>
      <c r="G357" s="44">
        <v>14800</v>
      </c>
      <c r="H357" s="44">
        <v>148</v>
      </c>
    </row>
    <row r="358" spans="1:8">
      <c r="A358" s="90">
        <v>125712931478</v>
      </c>
      <c r="B358" s="1" t="s">
        <v>8</v>
      </c>
      <c r="C358" s="43" t="s">
        <v>1845</v>
      </c>
      <c r="D358" s="1" t="s">
        <v>2029</v>
      </c>
      <c r="E358" s="43" t="s">
        <v>1845</v>
      </c>
      <c r="F358" s="37" t="s">
        <v>2030</v>
      </c>
      <c r="G358" s="44">
        <v>5300</v>
      </c>
      <c r="H358" s="44">
        <v>53</v>
      </c>
    </row>
    <row r="359" spans="1:8">
      <c r="A359" s="90">
        <v>125719555728</v>
      </c>
      <c r="B359" s="1" t="s">
        <v>8</v>
      </c>
      <c r="C359" s="43" t="s">
        <v>1845</v>
      </c>
      <c r="D359" s="1" t="s">
        <v>2029</v>
      </c>
      <c r="E359" s="43" t="s">
        <v>1845</v>
      </c>
      <c r="F359" s="37" t="s">
        <v>2030</v>
      </c>
      <c r="G359" s="44">
        <v>9999.99</v>
      </c>
      <c r="H359" s="44">
        <v>100</v>
      </c>
    </row>
    <row r="360" spans="1:8">
      <c r="A360" s="90">
        <v>125721391454</v>
      </c>
      <c r="B360" s="1" t="s">
        <v>8</v>
      </c>
      <c r="C360" s="43" t="s">
        <v>1845</v>
      </c>
      <c r="D360" s="1" t="s">
        <v>2029</v>
      </c>
      <c r="E360" s="43" t="s">
        <v>1845</v>
      </c>
      <c r="F360" s="37" t="s">
        <v>2030</v>
      </c>
      <c r="G360" s="44">
        <v>9800</v>
      </c>
      <c r="H360" s="44">
        <v>98</v>
      </c>
    </row>
    <row r="361" spans="1:8">
      <c r="A361" s="90">
        <v>125167691185</v>
      </c>
      <c r="B361" s="1" t="s">
        <v>1790</v>
      </c>
      <c r="C361" s="43" t="s">
        <v>1845</v>
      </c>
      <c r="D361" s="1" t="s">
        <v>2029</v>
      </c>
      <c r="E361" s="43" t="s">
        <v>1845</v>
      </c>
      <c r="F361" s="37" t="s">
        <v>2030</v>
      </c>
      <c r="G361" s="44">
        <v>15200</v>
      </c>
      <c r="H361" s="44">
        <v>152</v>
      </c>
    </row>
    <row r="362" spans="1:8">
      <c r="A362" s="90">
        <v>125174559711</v>
      </c>
      <c r="B362" s="1" t="s">
        <v>8</v>
      </c>
      <c r="C362" s="43" t="s">
        <v>1845</v>
      </c>
      <c r="D362" s="1" t="s">
        <v>2029</v>
      </c>
      <c r="E362" s="43" t="s">
        <v>1845</v>
      </c>
      <c r="F362" s="37" t="s">
        <v>2030</v>
      </c>
      <c r="G362" s="44">
        <v>29400</v>
      </c>
      <c r="H362" s="44">
        <v>294</v>
      </c>
    </row>
    <row r="363" spans="1:8">
      <c r="A363" s="90">
        <v>125726480542</v>
      </c>
      <c r="B363" s="1" t="s">
        <v>1790</v>
      </c>
      <c r="C363" s="43" t="s">
        <v>1845</v>
      </c>
      <c r="D363" s="1" t="s">
        <v>2029</v>
      </c>
      <c r="E363" s="43" t="s">
        <v>1845</v>
      </c>
      <c r="F363" s="37" t="s">
        <v>2030</v>
      </c>
      <c r="G363" s="44">
        <v>4900</v>
      </c>
      <c r="H363" s="44">
        <v>49</v>
      </c>
    </row>
    <row r="364" spans="1:8">
      <c r="A364" s="90">
        <v>125173149657</v>
      </c>
      <c r="B364" s="1" t="s">
        <v>8</v>
      </c>
      <c r="C364" s="43" t="s">
        <v>1845</v>
      </c>
      <c r="D364" s="1" t="s">
        <v>2029</v>
      </c>
      <c r="E364" s="43" t="s">
        <v>1845</v>
      </c>
      <c r="F364" s="37" t="s">
        <v>2030</v>
      </c>
      <c r="G364" s="44">
        <v>43299</v>
      </c>
      <c r="H364" s="44">
        <v>432.99</v>
      </c>
    </row>
    <row r="365" spans="1:8">
      <c r="A365" s="90">
        <v>125728164766</v>
      </c>
      <c r="B365" s="1" t="s">
        <v>8</v>
      </c>
      <c r="C365" s="43" t="s">
        <v>1845</v>
      </c>
      <c r="D365" s="1" t="s">
        <v>2029</v>
      </c>
      <c r="E365" s="43" t="s">
        <v>1845</v>
      </c>
      <c r="F365" s="37" t="s">
        <v>2030</v>
      </c>
      <c r="G365" s="44">
        <v>19998</v>
      </c>
      <c r="H365" s="44">
        <v>199.98</v>
      </c>
    </row>
    <row r="366" spans="1:8">
      <c r="A366" s="90">
        <v>125179482645</v>
      </c>
      <c r="B366" s="1" t="s">
        <v>8</v>
      </c>
      <c r="C366" s="43" t="s">
        <v>1845</v>
      </c>
      <c r="D366" s="1" t="s">
        <v>2029</v>
      </c>
      <c r="E366" s="43" t="s">
        <v>1845</v>
      </c>
      <c r="F366" s="37" t="s">
        <v>2030</v>
      </c>
      <c r="G366" s="44">
        <v>60700</v>
      </c>
      <c r="H366" s="44">
        <v>607</v>
      </c>
    </row>
    <row r="367" spans="1:8">
      <c r="A367" s="90">
        <v>125729220164</v>
      </c>
      <c r="B367" s="1" t="s">
        <v>8</v>
      </c>
      <c r="C367" s="43" t="s">
        <v>1845</v>
      </c>
      <c r="D367" s="1" t="s">
        <v>2029</v>
      </c>
      <c r="E367" s="43" t="s">
        <v>1845</v>
      </c>
      <c r="F367" s="37" t="s">
        <v>2030</v>
      </c>
      <c r="G367" s="44">
        <v>28300</v>
      </c>
      <c r="H367" s="44">
        <v>283</v>
      </c>
    </row>
    <row r="368" spans="1:8">
      <c r="A368" s="90">
        <v>125723665590</v>
      </c>
      <c r="B368" s="1" t="s">
        <v>1790</v>
      </c>
      <c r="C368" s="43" t="s">
        <v>1845</v>
      </c>
      <c r="D368" s="1" t="s">
        <v>2029</v>
      </c>
      <c r="E368" s="43" t="s">
        <v>1845</v>
      </c>
      <c r="F368" s="37" t="s">
        <v>2030</v>
      </c>
      <c r="G368" s="44">
        <v>35100</v>
      </c>
      <c r="H368" s="44">
        <v>351</v>
      </c>
    </row>
    <row r="369" spans="1:8">
      <c r="A369" s="90">
        <v>125174877007</v>
      </c>
      <c r="B369" s="1" t="s">
        <v>8</v>
      </c>
      <c r="C369" s="43" t="s">
        <v>1845</v>
      </c>
      <c r="D369" s="1" t="s">
        <v>2029</v>
      </c>
      <c r="E369" s="43" t="s">
        <v>1845</v>
      </c>
      <c r="F369" s="37" t="s">
        <v>2030</v>
      </c>
      <c r="G369" s="44">
        <v>51697</v>
      </c>
      <c r="H369" s="44">
        <v>516.97</v>
      </c>
    </row>
    <row r="370" spans="1:8">
      <c r="A370" s="90">
        <v>125730284306</v>
      </c>
      <c r="B370" s="1" t="s">
        <v>8</v>
      </c>
      <c r="C370" s="43" t="s">
        <v>1845</v>
      </c>
      <c r="D370" s="1" t="s">
        <v>2029</v>
      </c>
      <c r="E370" s="43" t="s">
        <v>1845</v>
      </c>
      <c r="F370" s="37" t="s">
        <v>2030</v>
      </c>
      <c r="G370" s="44">
        <v>51897</v>
      </c>
      <c r="H370" s="44">
        <v>518.97</v>
      </c>
    </row>
    <row r="371" spans="1:8">
      <c r="A371" s="90">
        <v>125730630344</v>
      </c>
      <c r="B371" s="1" t="s">
        <v>8</v>
      </c>
      <c r="C371" s="43" t="s">
        <v>1845</v>
      </c>
      <c r="D371" s="1" t="s">
        <v>2029</v>
      </c>
      <c r="E371" s="43" t="s">
        <v>1849</v>
      </c>
      <c r="F371" s="37" t="s">
        <v>2030</v>
      </c>
      <c r="G371" s="44">
        <v>17200</v>
      </c>
      <c r="H371" s="44">
        <v>172</v>
      </c>
    </row>
    <row r="372" spans="1:8">
      <c r="A372" s="90">
        <v>125730938612</v>
      </c>
      <c r="B372" s="1" t="s">
        <v>8</v>
      </c>
      <c r="C372" s="43" t="s">
        <v>1845</v>
      </c>
      <c r="D372" s="1" t="s">
        <v>2029</v>
      </c>
      <c r="E372" s="43" t="s">
        <v>1849</v>
      </c>
      <c r="F372" s="37" t="s">
        <v>2030</v>
      </c>
      <c r="G372" s="44">
        <v>92397</v>
      </c>
      <c r="H372" s="44">
        <v>923.97</v>
      </c>
    </row>
    <row r="373" spans="1:8">
      <c r="A373" s="90">
        <v>125182282317</v>
      </c>
      <c r="B373" s="1" t="s">
        <v>8</v>
      </c>
      <c r="C373" s="43" t="s">
        <v>1845</v>
      </c>
      <c r="D373" s="1" t="s">
        <v>2029</v>
      </c>
      <c r="E373" s="43" t="s">
        <v>1849</v>
      </c>
      <c r="F373" s="37" t="s">
        <v>2030</v>
      </c>
      <c r="G373" s="44">
        <v>64995</v>
      </c>
      <c r="H373" s="44">
        <v>649.95000000000005</v>
      </c>
    </row>
    <row r="374" spans="1:8">
      <c r="A374" s="90">
        <v>125726680184</v>
      </c>
      <c r="B374" s="1" t="s">
        <v>8</v>
      </c>
      <c r="C374" s="43" t="s">
        <v>1845</v>
      </c>
      <c r="D374" s="1" t="s">
        <v>2029</v>
      </c>
      <c r="E374" s="43" t="s">
        <v>1845</v>
      </c>
      <c r="F374" s="37" t="s">
        <v>2030</v>
      </c>
      <c r="G374" s="44">
        <v>28898</v>
      </c>
      <c r="H374" s="44">
        <v>288.98</v>
      </c>
    </row>
    <row r="375" spans="1:8">
      <c r="A375" s="90">
        <v>125177806895</v>
      </c>
      <c r="B375" s="1" t="s">
        <v>8</v>
      </c>
      <c r="C375" s="43" t="s">
        <v>1845</v>
      </c>
      <c r="D375" s="1" t="s">
        <v>2029</v>
      </c>
      <c r="E375" s="43" t="s">
        <v>1845</v>
      </c>
      <c r="F375" s="37" t="s">
        <v>2030</v>
      </c>
      <c r="G375" s="44">
        <v>36700</v>
      </c>
      <c r="H375" s="44">
        <v>367</v>
      </c>
    </row>
    <row r="376" spans="1:8">
      <c r="A376" s="90">
        <v>125732657942</v>
      </c>
      <c r="B376" s="1" t="s">
        <v>8</v>
      </c>
      <c r="C376" s="43" t="s">
        <v>1845</v>
      </c>
      <c r="D376" s="1" t="s">
        <v>2029</v>
      </c>
      <c r="E376" s="43" t="s">
        <v>1849</v>
      </c>
      <c r="F376" s="37" t="s">
        <v>2030</v>
      </c>
      <c r="G376" s="44">
        <v>62798</v>
      </c>
      <c r="H376" s="44">
        <v>627.98</v>
      </c>
    </row>
    <row r="377" spans="1:8">
      <c r="A377" s="90">
        <v>125178836433</v>
      </c>
      <c r="B377" s="1" t="s">
        <v>8</v>
      </c>
      <c r="C377" s="43" t="s">
        <v>1845</v>
      </c>
      <c r="D377" s="1" t="s">
        <v>2029</v>
      </c>
      <c r="E377" s="43" t="s">
        <v>1845</v>
      </c>
      <c r="F377" s="37" t="s">
        <v>2030</v>
      </c>
      <c r="G377" s="44">
        <v>29799</v>
      </c>
      <c r="H377" s="44">
        <v>297.99</v>
      </c>
    </row>
    <row r="378" spans="1:8">
      <c r="A378" s="90">
        <v>125727987474</v>
      </c>
      <c r="B378" s="1" t="s">
        <v>8</v>
      </c>
      <c r="C378" s="43" t="s">
        <v>1845</v>
      </c>
      <c r="D378" s="1" t="s">
        <v>2029</v>
      </c>
      <c r="E378" s="43" t="s">
        <v>1845</v>
      </c>
      <c r="F378" s="37" t="s">
        <v>2030</v>
      </c>
      <c r="G378" s="44">
        <v>1900</v>
      </c>
      <c r="H378" s="44">
        <v>19</v>
      </c>
    </row>
    <row r="379" spans="1:8">
      <c r="A379" s="90">
        <v>125728029628</v>
      </c>
      <c r="B379" s="1" t="s">
        <v>8</v>
      </c>
      <c r="C379" s="43" t="s">
        <v>1845</v>
      </c>
      <c r="D379" s="1" t="s">
        <v>2029</v>
      </c>
      <c r="E379" s="43" t="s">
        <v>1845</v>
      </c>
      <c r="F379" s="37" t="s">
        <v>2030</v>
      </c>
      <c r="G379" s="44">
        <v>36799</v>
      </c>
      <c r="H379" s="44">
        <v>367.99</v>
      </c>
    </row>
    <row r="380" spans="1:8">
      <c r="A380" s="90">
        <v>125728223328</v>
      </c>
      <c r="B380" s="1" t="s">
        <v>8</v>
      </c>
      <c r="C380" s="43" t="s">
        <v>1845</v>
      </c>
      <c r="D380" s="1" t="s">
        <v>2029</v>
      </c>
      <c r="E380" s="43" t="s">
        <v>1845</v>
      </c>
      <c r="F380" s="37" t="s">
        <v>2030</v>
      </c>
      <c r="G380" s="44">
        <v>40897</v>
      </c>
      <c r="H380" s="44">
        <v>408.97</v>
      </c>
    </row>
    <row r="381" spans="1:8">
      <c r="A381" s="90">
        <v>125728703810</v>
      </c>
      <c r="B381" s="1" t="s">
        <v>8</v>
      </c>
      <c r="C381" s="43" t="s">
        <v>1845</v>
      </c>
      <c r="D381" s="1" t="s">
        <v>2029</v>
      </c>
      <c r="E381" s="43" t="s">
        <v>1845</v>
      </c>
      <c r="F381" s="37" t="s">
        <v>2030</v>
      </c>
      <c r="G381" s="44">
        <v>39996</v>
      </c>
      <c r="H381" s="44">
        <v>399.96</v>
      </c>
    </row>
    <row r="382" spans="1:8">
      <c r="A382" s="90">
        <v>125734498538</v>
      </c>
      <c r="B382" s="1" t="s">
        <v>8</v>
      </c>
      <c r="C382" s="43" t="s">
        <v>1849</v>
      </c>
      <c r="D382" s="1" t="s">
        <v>2029</v>
      </c>
      <c r="E382" s="43" t="s">
        <v>1849</v>
      </c>
      <c r="F382" s="37" t="s">
        <v>2030</v>
      </c>
      <c r="G382" s="44">
        <v>5300</v>
      </c>
      <c r="H382" s="44">
        <v>53</v>
      </c>
    </row>
    <row r="383" spans="1:8">
      <c r="A383" s="90">
        <v>125729208924</v>
      </c>
      <c r="B383" s="1" t="s">
        <v>1790</v>
      </c>
      <c r="C383" s="43" t="s">
        <v>1845</v>
      </c>
      <c r="D383" s="1" t="s">
        <v>2029</v>
      </c>
      <c r="E383" s="43" t="s">
        <v>1845</v>
      </c>
      <c r="F383" s="37" t="s">
        <v>2030</v>
      </c>
      <c r="G383" s="44">
        <v>45300</v>
      </c>
      <c r="H383" s="44">
        <v>453</v>
      </c>
    </row>
    <row r="384" spans="1:8">
      <c r="A384" s="90">
        <v>125729858142</v>
      </c>
      <c r="B384" s="1" t="s">
        <v>8</v>
      </c>
      <c r="C384" s="43" t="s">
        <v>1845</v>
      </c>
      <c r="D384" s="1" t="s">
        <v>2029</v>
      </c>
      <c r="E384" s="43" t="s">
        <v>1845</v>
      </c>
      <c r="F384" s="37" t="s">
        <v>2030</v>
      </c>
      <c r="G384" s="44">
        <v>41700</v>
      </c>
      <c r="H384" s="44">
        <v>417</v>
      </c>
    </row>
    <row r="385" spans="1:8">
      <c r="A385" s="90">
        <v>125186206585</v>
      </c>
      <c r="B385" s="1" t="s">
        <v>8</v>
      </c>
      <c r="C385" s="43" t="s">
        <v>1849</v>
      </c>
      <c r="D385" s="1" t="s">
        <v>2029</v>
      </c>
      <c r="E385" s="43" t="s">
        <v>1849</v>
      </c>
      <c r="F385" s="37" t="s">
        <v>2030</v>
      </c>
      <c r="G385" s="44">
        <v>28000</v>
      </c>
      <c r="H385" s="44">
        <v>280</v>
      </c>
    </row>
    <row r="386" spans="1:8">
      <c r="A386" s="90">
        <v>125186249815</v>
      </c>
      <c r="B386" s="1" t="s">
        <v>8</v>
      </c>
      <c r="C386" s="43" t="s">
        <v>1849</v>
      </c>
      <c r="D386" s="1" t="s">
        <v>2029</v>
      </c>
      <c r="E386" s="43" t="s">
        <v>1849</v>
      </c>
      <c r="F386" s="37" t="s">
        <v>2030</v>
      </c>
      <c r="G386" s="44">
        <v>30000</v>
      </c>
      <c r="H386" s="44">
        <v>300</v>
      </c>
    </row>
    <row r="387" spans="1:8">
      <c r="A387" s="90">
        <v>125735533144</v>
      </c>
      <c r="B387" s="1" t="s">
        <v>8</v>
      </c>
      <c r="C387" s="43" t="s">
        <v>1849</v>
      </c>
      <c r="D387" s="1" t="s">
        <v>2029</v>
      </c>
      <c r="E387" s="43" t="s">
        <v>1849</v>
      </c>
      <c r="F387" s="37" t="s">
        <v>2030</v>
      </c>
      <c r="G387" s="44">
        <v>15600</v>
      </c>
      <c r="H387" s="44">
        <v>156</v>
      </c>
    </row>
    <row r="388" spans="1:8">
      <c r="A388" s="90">
        <v>125735896318</v>
      </c>
      <c r="B388" s="1" t="s">
        <v>8</v>
      </c>
      <c r="C388" s="43" t="s">
        <v>1849</v>
      </c>
      <c r="D388" s="1" t="s">
        <v>2029</v>
      </c>
      <c r="E388" s="43" t="s">
        <v>1849</v>
      </c>
      <c r="F388" s="37" t="s">
        <v>2030</v>
      </c>
      <c r="G388" s="44">
        <v>37500</v>
      </c>
      <c r="H388" s="44">
        <v>375</v>
      </c>
    </row>
    <row r="389" spans="1:8">
      <c r="A389" s="90">
        <v>125182469271</v>
      </c>
      <c r="B389" s="1" t="s">
        <v>1790</v>
      </c>
      <c r="C389" s="43" t="s">
        <v>1845</v>
      </c>
      <c r="D389" s="1" t="s">
        <v>2029</v>
      </c>
      <c r="E389" s="43" t="s">
        <v>1849</v>
      </c>
      <c r="F389" s="37" t="s">
        <v>2030</v>
      </c>
      <c r="G389" s="44">
        <v>19998</v>
      </c>
      <c r="H389" s="44">
        <v>199.98</v>
      </c>
    </row>
    <row r="390" spans="1:8">
      <c r="A390" s="90">
        <v>125182626663</v>
      </c>
      <c r="B390" s="1" t="s">
        <v>8</v>
      </c>
      <c r="C390" s="43" t="s">
        <v>1845</v>
      </c>
      <c r="D390" s="1" t="s">
        <v>2029</v>
      </c>
      <c r="E390" s="43" t="s">
        <v>1849</v>
      </c>
      <c r="F390" s="37" t="s">
        <v>2030</v>
      </c>
      <c r="G390" s="44">
        <v>34398</v>
      </c>
      <c r="H390" s="44">
        <v>343.98</v>
      </c>
    </row>
    <row r="391" spans="1:8">
      <c r="A391" s="90">
        <v>125731690258</v>
      </c>
      <c r="B391" s="1" t="s">
        <v>8</v>
      </c>
      <c r="C391" s="43" t="s">
        <v>1845</v>
      </c>
      <c r="D391" s="1" t="s">
        <v>2029</v>
      </c>
      <c r="E391" s="43" t="s">
        <v>1849</v>
      </c>
      <c r="F391" s="37" t="s">
        <v>2030</v>
      </c>
      <c r="G391" s="44">
        <v>42297</v>
      </c>
      <c r="H391" s="44">
        <v>422.97</v>
      </c>
    </row>
    <row r="392" spans="1:8">
      <c r="A392" s="90">
        <v>125732575486</v>
      </c>
      <c r="B392" s="1" t="s">
        <v>1790</v>
      </c>
      <c r="C392" s="43" t="s">
        <v>1845</v>
      </c>
      <c r="D392" s="1" t="s">
        <v>2029</v>
      </c>
      <c r="E392" s="43" t="s">
        <v>1849</v>
      </c>
      <c r="F392" s="37" t="s">
        <v>2030</v>
      </c>
      <c r="G392" s="44">
        <v>36798</v>
      </c>
      <c r="H392" s="44">
        <v>367.98</v>
      </c>
    </row>
    <row r="393" spans="1:8">
      <c r="A393" s="90">
        <v>125734695008</v>
      </c>
      <c r="B393" s="1" t="s">
        <v>1790</v>
      </c>
      <c r="C393" s="43" t="s">
        <v>1849</v>
      </c>
      <c r="D393" s="1" t="s">
        <v>2029</v>
      </c>
      <c r="E393" s="43" t="s">
        <v>1849</v>
      </c>
      <c r="F393" s="37" t="s">
        <v>2030</v>
      </c>
      <c r="G393" s="44">
        <v>28400</v>
      </c>
      <c r="H393" s="44">
        <v>284</v>
      </c>
    </row>
    <row r="394" spans="1:8">
      <c r="A394" s="90">
        <v>125186162773</v>
      </c>
      <c r="B394" s="1" t="s">
        <v>8</v>
      </c>
      <c r="C394" s="43" t="s">
        <v>1849</v>
      </c>
      <c r="D394" s="1" t="s">
        <v>2029</v>
      </c>
      <c r="E394" s="43" t="s">
        <v>1849</v>
      </c>
      <c r="F394" s="37" t="s">
        <v>2030</v>
      </c>
      <c r="G394" s="44">
        <v>10600</v>
      </c>
      <c r="H394" s="44">
        <v>106</v>
      </c>
    </row>
    <row r="395" spans="1:8">
      <c r="A395" s="90">
        <v>125186455061</v>
      </c>
      <c r="B395" s="1" t="s">
        <v>8</v>
      </c>
      <c r="C395" s="43" t="s">
        <v>1849</v>
      </c>
      <c r="D395" s="1" t="s">
        <v>2029</v>
      </c>
      <c r="E395" s="43" t="s">
        <v>1849</v>
      </c>
      <c r="F395" s="37" t="s">
        <v>2030</v>
      </c>
      <c r="G395" s="44">
        <v>18100</v>
      </c>
      <c r="H395" s="44">
        <v>181</v>
      </c>
    </row>
    <row r="396" spans="1:8">
      <c r="A396" s="90">
        <v>125735529498</v>
      </c>
      <c r="B396" s="1" t="s">
        <v>8</v>
      </c>
      <c r="C396" s="43" t="s">
        <v>1849</v>
      </c>
      <c r="D396" s="1" t="s">
        <v>2029</v>
      </c>
      <c r="E396" s="43" t="s">
        <v>1849</v>
      </c>
      <c r="F396" s="37" t="s">
        <v>2030</v>
      </c>
      <c r="G396" s="44">
        <v>8000</v>
      </c>
      <c r="H396" s="44">
        <v>80</v>
      </c>
    </row>
    <row r="397" spans="1:8">
      <c r="A397" s="90">
        <v>125296798273</v>
      </c>
      <c r="B397" s="1" t="s">
        <v>8</v>
      </c>
      <c r="C397" s="43" t="s">
        <v>1849</v>
      </c>
      <c r="D397" s="1" t="s">
        <v>2029</v>
      </c>
      <c r="E397" s="43" t="s">
        <v>1849</v>
      </c>
      <c r="F397" s="37" t="s">
        <v>2030</v>
      </c>
      <c r="G397" s="44">
        <v>8400</v>
      </c>
      <c r="H397" s="44">
        <v>84</v>
      </c>
    </row>
    <row r="398" spans="1:8">
      <c r="A398" s="90">
        <v>125847517582</v>
      </c>
      <c r="B398" s="1" t="s">
        <v>8</v>
      </c>
      <c r="C398" s="43" t="s">
        <v>1849</v>
      </c>
      <c r="D398" s="1" t="s">
        <v>2029</v>
      </c>
      <c r="E398" s="43" t="s">
        <v>1849</v>
      </c>
      <c r="F398" s="37" t="s">
        <v>2030</v>
      </c>
      <c r="G398" s="44">
        <v>23000</v>
      </c>
      <c r="H398" s="44">
        <v>230</v>
      </c>
    </row>
    <row r="399" spans="1:8">
      <c r="A399" s="90">
        <v>125298516019</v>
      </c>
      <c r="B399" s="1" t="s">
        <v>1790</v>
      </c>
      <c r="C399" s="43" t="s">
        <v>1849</v>
      </c>
      <c r="D399" s="1" t="s">
        <v>2029</v>
      </c>
      <c r="E399" s="43" t="s">
        <v>1849</v>
      </c>
      <c r="F399" s="37" t="s">
        <v>2030</v>
      </c>
      <c r="G399" s="44">
        <v>35900</v>
      </c>
      <c r="H399" s="44">
        <v>359</v>
      </c>
    </row>
    <row r="400" spans="1:8">
      <c r="A400" s="90">
        <v>125852041418</v>
      </c>
      <c r="B400" s="1" t="s">
        <v>1790</v>
      </c>
      <c r="C400" s="43" t="s">
        <v>1849</v>
      </c>
      <c r="D400" s="1" t="s">
        <v>2029</v>
      </c>
      <c r="E400" s="43" t="s">
        <v>1849</v>
      </c>
      <c r="F400" s="37" t="s">
        <v>2030</v>
      </c>
      <c r="G400" s="44">
        <v>4300</v>
      </c>
      <c r="H400" s="44">
        <v>43</v>
      </c>
    </row>
    <row r="401" spans="1:8">
      <c r="A401" s="90">
        <v>125852449818</v>
      </c>
      <c r="B401" s="1" t="s">
        <v>8</v>
      </c>
      <c r="C401" s="43" t="s">
        <v>1849</v>
      </c>
      <c r="D401" s="1" t="s">
        <v>2029</v>
      </c>
      <c r="E401" s="43" t="s">
        <v>1849</v>
      </c>
      <c r="F401" s="37" t="s">
        <v>2030</v>
      </c>
      <c r="G401" s="44">
        <v>3500</v>
      </c>
      <c r="H401" s="44">
        <v>35</v>
      </c>
    </row>
    <row r="402" spans="1:8">
      <c r="A402" s="90">
        <v>125846766732</v>
      </c>
      <c r="B402" s="1" t="s">
        <v>8</v>
      </c>
      <c r="C402" s="43" t="s">
        <v>1849</v>
      </c>
      <c r="D402" s="1" t="s">
        <v>2029</v>
      </c>
      <c r="E402" s="43" t="s">
        <v>1849</v>
      </c>
      <c r="F402" s="37" t="s">
        <v>2030</v>
      </c>
      <c r="G402" s="44">
        <v>11000</v>
      </c>
      <c r="H402" s="44">
        <v>110</v>
      </c>
    </row>
    <row r="403" spans="1:8">
      <c r="A403" s="90">
        <v>125304094253</v>
      </c>
      <c r="B403" s="1" t="s">
        <v>8</v>
      </c>
      <c r="C403" s="43" t="s">
        <v>1849</v>
      </c>
      <c r="D403" s="1" t="s">
        <v>2029</v>
      </c>
      <c r="E403" s="43" t="s">
        <v>1849</v>
      </c>
      <c r="F403" s="37" t="s">
        <v>2030</v>
      </c>
      <c r="G403" s="44">
        <v>3900</v>
      </c>
      <c r="H403" s="44">
        <v>39</v>
      </c>
    </row>
    <row r="404" spans="1:8">
      <c r="A404" s="90">
        <v>125304141263</v>
      </c>
      <c r="B404" s="1" t="s">
        <v>8</v>
      </c>
      <c r="C404" s="43" t="s">
        <v>1849</v>
      </c>
      <c r="D404" s="1" t="s">
        <v>2029</v>
      </c>
      <c r="E404" s="43" t="s">
        <v>1849</v>
      </c>
      <c r="F404" s="37" t="s">
        <v>2030</v>
      </c>
      <c r="G404" s="44">
        <v>21900</v>
      </c>
      <c r="H404" s="44">
        <v>219</v>
      </c>
    </row>
    <row r="405" spans="1:8">
      <c r="A405" s="90">
        <v>125304398269</v>
      </c>
      <c r="B405" s="1" t="s">
        <v>1790</v>
      </c>
      <c r="C405" s="43" t="s">
        <v>1849</v>
      </c>
      <c r="D405" s="1" t="s">
        <v>2029</v>
      </c>
      <c r="E405" s="43" t="s">
        <v>1849</v>
      </c>
      <c r="F405" s="37" t="s">
        <v>2030</v>
      </c>
      <c r="G405" s="44">
        <v>29700</v>
      </c>
      <c r="H405" s="44">
        <v>297</v>
      </c>
    </row>
    <row r="406" spans="1:8">
      <c r="A406" s="90">
        <v>125854396652</v>
      </c>
      <c r="B406" s="1" t="s">
        <v>1790</v>
      </c>
      <c r="C406" s="43" t="s">
        <v>1849</v>
      </c>
      <c r="D406" s="1" t="s">
        <v>2029</v>
      </c>
      <c r="E406" s="43" t="s">
        <v>1849</v>
      </c>
      <c r="F406" s="37" t="s">
        <v>2030</v>
      </c>
      <c r="G406" s="44">
        <v>21800</v>
      </c>
      <c r="H406" s="44">
        <v>218</v>
      </c>
    </row>
    <row r="407" spans="1:8">
      <c r="A407" s="90">
        <v>125855330618</v>
      </c>
      <c r="B407" s="1" t="s">
        <v>8</v>
      </c>
      <c r="C407" s="43" t="s">
        <v>1849</v>
      </c>
      <c r="D407" s="1" t="s">
        <v>2029</v>
      </c>
      <c r="E407" s="43" t="s">
        <v>1849</v>
      </c>
      <c r="F407" s="37" t="s">
        <v>2030</v>
      </c>
      <c r="G407" s="44">
        <v>54900</v>
      </c>
      <c r="H407" s="44">
        <v>549</v>
      </c>
    </row>
    <row r="408" spans="1:8">
      <c r="A408" s="90">
        <v>125855413332</v>
      </c>
      <c r="B408" s="1" t="s">
        <v>1790</v>
      </c>
      <c r="C408" s="43" t="s">
        <v>1849</v>
      </c>
      <c r="D408" s="1" t="s">
        <v>2029</v>
      </c>
      <c r="E408" s="43" t="s">
        <v>1849</v>
      </c>
      <c r="F408" s="37" t="s">
        <v>2030</v>
      </c>
      <c r="G408" s="44">
        <v>7800</v>
      </c>
      <c r="H408" s="44">
        <v>78</v>
      </c>
    </row>
    <row r="409" spans="1:8">
      <c r="A409" s="90">
        <v>125851439308</v>
      </c>
      <c r="B409" s="1" t="s">
        <v>8</v>
      </c>
      <c r="C409" s="43" t="s">
        <v>1849</v>
      </c>
      <c r="D409" s="1" t="s">
        <v>2029</v>
      </c>
      <c r="E409" s="43" t="s">
        <v>1849</v>
      </c>
      <c r="F409" s="37" t="s">
        <v>2030</v>
      </c>
      <c r="G409" s="44">
        <v>8600</v>
      </c>
      <c r="H409" s="44">
        <v>86</v>
      </c>
    </row>
    <row r="410" spans="1:8">
      <c r="A410" s="90">
        <v>125307881689</v>
      </c>
      <c r="B410" s="1" t="s">
        <v>8</v>
      </c>
      <c r="C410" s="43" t="s">
        <v>1849</v>
      </c>
      <c r="D410" s="1" t="s">
        <v>2029</v>
      </c>
      <c r="E410" s="43" t="s">
        <v>1849</v>
      </c>
      <c r="F410" s="37" t="s">
        <v>2030</v>
      </c>
      <c r="G410" s="44">
        <v>4300</v>
      </c>
      <c r="H410" s="44">
        <v>43</v>
      </c>
    </row>
    <row r="411" spans="1:8">
      <c r="A411" s="90">
        <v>125851618468</v>
      </c>
      <c r="B411" s="1" t="s">
        <v>8</v>
      </c>
      <c r="C411" s="43" t="s">
        <v>1849</v>
      </c>
      <c r="D411" s="1" t="s">
        <v>2029</v>
      </c>
      <c r="E411" s="43" t="s">
        <v>1849</v>
      </c>
      <c r="F411" s="37" t="s">
        <v>2030</v>
      </c>
      <c r="G411" s="44">
        <v>4300</v>
      </c>
      <c r="H411" s="44">
        <v>43</v>
      </c>
    </row>
    <row r="412" spans="1:8">
      <c r="A412" s="90">
        <v>125302111081</v>
      </c>
      <c r="B412" s="1" t="s">
        <v>8</v>
      </c>
      <c r="C412" s="43" t="s">
        <v>1849</v>
      </c>
      <c r="D412" s="1" t="s">
        <v>2029</v>
      </c>
      <c r="E412" s="43" t="s">
        <v>1849</v>
      </c>
      <c r="F412" s="37" t="s">
        <v>2030</v>
      </c>
      <c r="G412" s="44">
        <v>7000</v>
      </c>
      <c r="H412" s="44">
        <v>70</v>
      </c>
    </row>
    <row r="413" spans="1:8">
      <c r="A413" s="90">
        <v>125852727536</v>
      </c>
      <c r="B413" s="1" t="s">
        <v>1790</v>
      </c>
      <c r="C413" s="43" t="s">
        <v>1849</v>
      </c>
      <c r="D413" s="1" t="s">
        <v>2029</v>
      </c>
      <c r="E413" s="43" t="s">
        <v>1849</v>
      </c>
      <c r="F413" s="37" t="s">
        <v>2030</v>
      </c>
      <c r="G413" s="44">
        <v>30000</v>
      </c>
      <c r="H413" s="44">
        <v>300</v>
      </c>
    </row>
    <row r="414" spans="1:8">
      <c r="A414" s="90">
        <v>125853449760</v>
      </c>
      <c r="B414" s="1" t="s">
        <v>8</v>
      </c>
      <c r="C414" s="43" t="s">
        <v>1849</v>
      </c>
      <c r="D414" s="1" t="s">
        <v>2029</v>
      </c>
      <c r="E414" s="43" t="s">
        <v>1849</v>
      </c>
      <c r="F414" s="37" t="s">
        <v>2030</v>
      </c>
      <c r="G414" s="44">
        <v>8600</v>
      </c>
      <c r="H414" s="44">
        <v>86</v>
      </c>
    </row>
    <row r="415" spans="1:8">
      <c r="A415" s="90">
        <v>125860218818</v>
      </c>
      <c r="B415" s="1" t="s">
        <v>8</v>
      </c>
      <c r="C415" s="43" t="s">
        <v>1849</v>
      </c>
      <c r="D415" s="1" t="s">
        <v>2029</v>
      </c>
      <c r="E415" s="43" t="s">
        <v>1849</v>
      </c>
      <c r="F415" s="37" t="s">
        <v>2030</v>
      </c>
      <c r="G415" s="44">
        <v>28400</v>
      </c>
      <c r="H415" s="44">
        <v>284</v>
      </c>
    </row>
    <row r="416" spans="1:8">
      <c r="A416" s="90">
        <v>125310911019</v>
      </c>
      <c r="B416" s="1" t="s">
        <v>8</v>
      </c>
      <c r="C416" s="43" t="s">
        <v>1849</v>
      </c>
      <c r="D416" s="1" t="s">
        <v>2029</v>
      </c>
      <c r="E416" s="43" t="s">
        <v>1849</v>
      </c>
      <c r="F416" s="37" t="s">
        <v>2030</v>
      </c>
      <c r="G416" s="44">
        <v>4300</v>
      </c>
      <c r="H416" s="44">
        <v>43</v>
      </c>
    </row>
    <row r="417" spans="1:8">
      <c r="A417" s="90">
        <v>125305225765</v>
      </c>
      <c r="B417" s="1" t="s">
        <v>8</v>
      </c>
      <c r="C417" s="43" t="s">
        <v>1849</v>
      </c>
      <c r="D417" s="1" t="s">
        <v>2029</v>
      </c>
      <c r="E417" s="43" t="s">
        <v>1849</v>
      </c>
      <c r="F417" s="37" t="s">
        <v>2030</v>
      </c>
      <c r="G417" s="44">
        <v>2200</v>
      </c>
      <c r="H417" s="44">
        <v>22</v>
      </c>
    </row>
    <row r="418" spans="1:8">
      <c r="A418" s="90">
        <v>125311773883</v>
      </c>
      <c r="B418" s="1" t="s">
        <v>8</v>
      </c>
      <c r="C418" s="43" t="s">
        <v>1849</v>
      </c>
      <c r="D418" s="1" t="s">
        <v>2029</v>
      </c>
      <c r="E418" s="43" t="s">
        <v>1849</v>
      </c>
      <c r="F418" s="37" t="s">
        <v>2030</v>
      </c>
      <c r="G418" s="44">
        <v>18600</v>
      </c>
      <c r="H418" s="44">
        <v>186</v>
      </c>
    </row>
    <row r="419" spans="1:8">
      <c r="A419" s="90">
        <v>125306671969</v>
      </c>
      <c r="B419" s="1" t="s">
        <v>1790</v>
      </c>
      <c r="C419" s="43" t="s">
        <v>1849</v>
      </c>
      <c r="D419" s="1" t="s">
        <v>2029</v>
      </c>
      <c r="E419" s="43" t="s">
        <v>1849</v>
      </c>
      <c r="F419" s="37" t="s">
        <v>2030</v>
      </c>
      <c r="G419" s="44">
        <v>18700</v>
      </c>
      <c r="H419" s="44">
        <v>187</v>
      </c>
    </row>
    <row r="420" spans="1:8">
      <c r="A420" s="90">
        <v>125307224295</v>
      </c>
      <c r="B420" s="1" t="s">
        <v>8</v>
      </c>
      <c r="C420" s="43" t="s">
        <v>1849</v>
      </c>
      <c r="D420" s="1" t="s">
        <v>2029</v>
      </c>
      <c r="E420" s="43" t="s">
        <v>1849</v>
      </c>
      <c r="F420" s="37" t="s">
        <v>2030</v>
      </c>
      <c r="G420" s="44">
        <v>4300</v>
      </c>
      <c r="H420" s="44">
        <v>43</v>
      </c>
    </row>
    <row r="421" spans="1:8">
      <c r="A421" s="90">
        <v>125307313189</v>
      </c>
      <c r="B421" s="1" t="s">
        <v>8</v>
      </c>
      <c r="C421" s="43" t="s">
        <v>1849</v>
      </c>
      <c r="D421" s="1" t="s">
        <v>2029</v>
      </c>
      <c r="E421" s="43" t="s">
        <v>1849</v>
      </c>
      <c r="F421" s="37" t="s">
        <v>2030</v>
      </c>
      <c r="G421" s="44">
        <v>4300</v>
      </c>
      <c r="H421" s="44">
        <v>43</v>
      </c>
    </row>
    <row r="422" spans="1:8">
      <c r="A422" s="90">
        <v>125858046938</v>
      </c>
      <c r="B422" s="1" t="s">
        <v>8</v>
      </c>
      <c r="C422" s="43" t="s">
        <v>1849</v>
      </c>
      <c r="D422" s="1" t="s">
        <v>2029</v>
      </c>
      <c r="E422" s="43" t="s">
        <v>1849</v>
      </c>
      <c r="F422" s="37" t="s">
        <v>2030</v>
      </c>
      <c r="G422" s="44">
        <v>8600</v>
      </c>
      <c r="H422" s="44">
        <v>86</v>
      </c>
    </row>
    <row r="423" spans="1:8">
      <c r="A423" s="90">
        <v>125858321940</v>
      </c>
      <c r="B423" s="1" t="s">
        <v>8</v>
      </c>
      <c r="C423" s="43" t="s">
        <v>1849</v>
      </c>
      <c r="D423" s="1" t="s">
        <v>2029</v>
      </c>
      <c r="E423" s="43" t="s">
        <v>1849</v>
      </c>
      <c r="F423" s="37" t="s">
        <v>2030</v>
      </c>
      <c r="G423" s="44">
        <v>8800</v>
      </c>
      <c r="H423" s="44">
        <v>88</v>
      </c>
    </row>
    <row r="424" spans="1:8">
      <c r="A424" s="90">
        <v>125858862480</v>
      </c>
      <c r="B424" s="1" t="s">
        <v>8</v>
      </c>
      <c r="C424" s="43" t="s">
        <v>1849</v>
      </c>
      <c r="D424" s="1" t="s">
        <v>2029</v>
      </c>
      <c r="E424" s="43" t="s">
        <v>1849</v>
      </c>
      <c r="F424" s="37" t="s">
        <v>2030</v>
      </c>
      <c r="G424" s="44">
        <v>5300</v>
      </c>
      <c r="H424" s="44">
        <v>53</v>
      </c>
    </row>
    <row r="425" spans="1:8">
      <c r="A425" s="90">
        <v>125315415565</v>
      </c>
      <c r="B425" s="1" t="s">
        <v>8</v>
      </c>
      <c r="C425" s="43" t="s">
        <v>1849</v>
      </c>
      <c r="D425" s="1" t="s">
        <v>2029</v>
      </c>
      <c r="E425" s="43" t="s">
        <v>1849</v>
      </c>
      <c r="F425" s="37" t="s">
        <v>2030</v>
      </c>
      <c r="G425" s="44">
        <v>56200</v>
      </c>
      <c r="H425" s="44">
        <v>562</v>
      </c>
    </row>
    <row r="426" spans="1:8">
      <c r="A426" s="90">
        <v>125865477358</v>
      </c>
      <c r="B426" s="1" t="s">
        <v>8</v>
      </c>
      <c r="C426" s="43" t="s">
        <v>1849</v>
      </c>
      <c r="D426" s="1" t="s">
        <v>2029</v>
      </c>
      <c r="E426" s="43" t="s">
        <v>1849</v>
      </c>
      <c r="F426" s="37" t="s">
        <v>2030</v>
      </c>
      <c r="G426" s="44">
        <v>15600</v>
      </c>
      <c r="H426" s="44">
        <v>156</v>
      </c>
    </row>
    <row r="427" spans="1:8">
      <c r="A427" s="90">
        <v>125865890526</v>
      </c>
      <c r="B427" s="1" t="s">
        <v>8</v>
      </c>
      <c r="C427" s="43" t="s">
        <v>1849</v>
      </c>
      <c r="D427" s="1" t="s">
        <v>2029</v>
      </c>
      <c r="E427" s="43" t="s">
        <v>1864</v>
      </c>
      <c r="F427" s="37" t="s">
        <v>2030</v>
      </c>
      <c r="G427" s="44">
        <v>16800</v>
      </c>
      <c r="H427" s="44">
        <v>168</v>
      </c>
    </row>
    <row r="428" spans="1:8">
      <c r="A428" s="90">
        <v>125860330268</v>
      </c>
      <c r="B428" s="1" t="s">
        <v>8</v>
      </c>
      <c r="C428" s="43" t="s">
        <v>1849</v>
      </c>
      <c r="D428" s="1" t="s">
        <v>2029</v>
      </c>
      <c r="E428" s="43" t="s">
        <v>1849</v>
      </c>
      <c r="F428" s="37" t="s">
        <v>2030</v>
      </c>
      <c r="G428" s="44">
        <v>4300</v>
      </c>
      <c r="H428" s="44">
        <v>43</v>
      </c>
    </row>
    <row r="429" spans="1:8">
      <c r="A429" s="90">
        <v>125860494178</v>
      </c>
      <c r="B429" s="1" t="s">
        <v>8</v>
      </c>
      <c r="C429" s="43" t="s">
        <v>1849</v>
      </c>
      <c r="D429" s="1" t="s">
        <v>2029</v>
      </c>
      <c r="E429" s="43" t="s">
        <v>1849</v>
      </c>
      <c r="F429" s="37" t="s">
        <v>2030</v>
      </c>
      <c r="G429" s="44">
        <v>5000</v>
      </c>
      <c r="H429" s="44">
        <v>50</v>
      </c>
    </row>
    <row r="430" spans="1:8">
      <c r="A430" s="90">
        <v>125316809887</v>
      </c>
      <c r="B430" s="1" t="s">
        <v>8</v>
      </c>
      <c r="C430" s="43" t="s">
        <v>1849</v>
      </c>
      <c r="D430" s="1" t="s">
        <v>2029</v>
      </c>
      <c r="E430" s="43" t="s">
        <v>1864</v>
      </c>
      <c r="F430" s="37" t="s">
        <v>2030</v>
      </c>
      <c r="G430" s="44">
        <v>8600</v>
      </c>
      <c r="H430" s="44">
        <v>86</v>
      </c>
    </row>
    <row r="431" spans="1:8">
      <c r="A431" s="90">
        <v>125311241119</v>
      </c>
      <c r="B431" s="1" t="s">
        <v>8</v>
      </c>
      <c r="C431" s="43" t="s">
        <v>1849</v>
      </c>
      <c r="D431" s="1" t="s">
        <v>2029</v>
      </c>
      <c r="E431" s="43" t="s">
        <v>1849</v>
      </c>
      <c r="F431" s="37" t="s">
        <v>2030</v>
      </c>
      <c r="G431" s="44">
        <v>8600</v>
      </c>
      <c r="H431" s="44">
        <v>86</v>
      </c>
    </row>
    <row r="432" spans="1:8">
      <c r="A432" s="90">
        <v>125317118715</v>
      </c>
      <c r="B432" s="1" t="s">
        <v>8</v>
      </c>
      <c r="C432" s="43" t="s">
        <v>1849</v>
      </c>
      <c r="D432" s="1" t="s">
        <v>2029</v>
      </c>
      <c r="E432" s="43" t="s">
        <v>1864</v>
      </c>
      <c r="F432" s="37" t="s">
        <v>2030</v>
      </c>
      <c r="G432" s="44">
        <v>3900</v>
      </c>
      <c r="H432" s="44">
        <v>39</v>
      </c>
    </row>
    <row r="433" spans="1:8">
      <c r="A433" s="90">
        <v>125318227505</v>
      </c>
      <c r="B433" s="1" t="s">
        <v>8</v>
      </c>
      <c r="C433" s="43" t="s">
        <v>1849</v>
      </c>
      <c r="D433" s="1" t="s">
        <v>2029</v>
      </c>
      <c r="E433" s="43" t="s">
        <v>1864</v>
      </c>
      <c r="F433" s="37" t="s">
        <v>2030</v>
      </c>
      <c r="G433" s="44">
        <v>8600</v>
      </c>
      <c r="H433" s="44">
        <v>86</v>
      </c>
    </row>
    <row r="434" spans="1:8">
      <c r="A434" s="90">
        <v>125862584570</v>
      </c>
      <c r="B434" s="1" t="s">
        <v>8</v>
      </c>
      <c r="C434" s="43" t="s">
        <v>1849</v>
      </c>
      <c r="D434" s="1" t="s">
        <v>2029</v>
      </c>
      <c r="E434" s="43" t="s">
        <v>1849</v>
      </c>
      <c r="F434" s="37" t="s">
        <v>2030</v>
      </c>
      <c r="G434" s="44">
        <v>83700</v>
      </c>
      <c r="H434" s="44">
        <v>837</v>
      </c>
    </row>
    <row r="435" spans="1:8">
      <c r="A435" s="90">
        <v>125318560667</v>
      </c>
      <c r="B435" s="1" t="s">
        <v>8</v>
      </c>
      <c r="C435" s="43" t="s">
        <v>1849</v>
      </c>
      <c r="D435" s="1" t="s">
        <v>2029</v>
      </c>
      <c r="E435" s="43" t="s">
        <v>1864</v>
      </c>
      <c r="F435" s="37" t="s">
        <v>2030</v>
      </c>
      <c r="G435" s="44">
        <v>30700</v>
      </c>
      <c r="H435" s="44">
        <v>307</v>
      </c>
    </row>
    <row r="436" spans="1:8">
      <c r="A436" s="90">
        <v>125312890421</v>
      </c>
      <c r="B436" s="1" t="s">
        <v>1790</v>
      </c>
      <c r="C436" s="43" t="s">
        <v>1849</v>
      </c>
      <c r="D436" s="1" t="s">
        <v>2029</v>
      </c>
      <c r="E436" s="43" t="s">
        <v>1849</v>
      </c>
      <c r="F436" s="37" t="s">
        <v>2030</v>
      </c>
      <c r="G436" s="44">
        <v>19100</v>
      </c>
      <c r="H436" s="44">
        <v>191</v>
      </c>
    </row>
    <row r="437" spans="1:8">
      <c r="A437" s="90">
        <v>125862675902</v>
      </c>
      <c r="B437" s="1" t="s">
        <v>8</v>
      </c>
      <c r="C437" s="43" t="s">
        <v>1849</v>
      </c>
      <c r="D437" s="1" t="s">
        <v>2029</v>
      </c>
      <c r="E437" s="43" t="s">
        <v>1849</v>
      </c>
      <c r="F437" s="37" t="s">
        <v>2030</v>
      </c>
      <c r="G437" s="44">
        <v>14000</v>
      </c>
      <c r="H437" s="44">
        <v>140</v>
      </c>
    </row>
    <row r="438" spans="1:8">
      <c r="A438" s="90">
        <v>125863448486</v>
      </c>
      <c r="B438" s="1" t="s">
        <v>8</v>
      </c>
      <c r="C438" s="43" t="s">
        <v>1849</v>
      </c>
      <c r="D438" s="1" t="s">
        <v>2029</v>
      </c>
      <c r="E438" s="43" t="s">
        <v>1849</v>
      </c>
      <c r="F438" s="37" t="s">
        <v>2030</v>
      </c>
      <c r="G438" s="44">
        <v>24100</v>
      </c>
      <c r="H438" s="44">
        <v>241</v>
      </c>
    </row>
    <row r="439" spans="1:8">
      <c r="A439" s="90">
        <v>125869530502</v>
      </c>
      <c r="B439" s="1" t="s">
        <v>8</v>
      </c>
      <c r="C439" s="43" t="s">
        <v>1864</v>
      </c>
      <c r="D439" s="1" t="s">
        <v>2029</v>
      </c>
      <c r="E439" s="43" t="s">
        <v>1864</v>
      </c>
      <c r="F439" s="37" t="s">
        <v>2030</v>
      </c>
      <c r="G439" s="44">
        <v>93600</v>
      </c>
      <c r="H439" s="44">
        <v>936</v>
      </c>
    </row>
    <row r="440" spans="1:8">
      <c r="A440" s="90">
        <v>125314398803</v>
      </c>
      <c r="B440" s="1" t="s">
        <v>8</v>
      </c>
      <c r="C440" s="43" t="s">
        <v>1849</v>
      </c>
      <c r="D440" s="1" t="s">
        <v>2029</v>
      </c>
      <c r="E440" s="43" t="s">
        <v>1849</v>
      </c>
      <c r="F440" s="37" t="s">
        <v>2030</v>
      </c>
      <c r="G440" s="44">
        <v>31800</v>
      </c>
      <c r="H440" s="44">
        <v>318</v>
      </c>
    </row>
    <row r="441" spans="1:8">
      <c r="A441" s="90">
        <v>125869507316</v>
      </c>
      <c r="B441" s="1" t="s">
        <v>8</v>
      </c>
      <c r="C441" s="43" t="s">
        <v>1864</v>
      </c>
      <c r="D441" s="1" t="s">
        <v>2029</v>
      </c>
      <c r="E441" s="43" t="s">
        <v>1864</v>
      </c>
      <c r="F441" s="37" t="s">
        <v>2030</v>
      </c>
      <c r="G441" s="44">
        <v>27900</v>
      </c>
      <c r="H441" s="44">
        <v>279</v>
      </c>
    </row>
    <row r="442" spans="1:8">
      <c r="A442" s="90">
        <v>125864492262</v>
      </c>
      <c r="B442" s="1" t="s">
        <v>8</v>
      </c>
      <c r="C442" s="43" t="s">
        <v>1849</v>
      </c>
      <c r="D442" s="1" t="s">
        <v>2029</v>
      </c>
      <c r="E442" s="43" t="s">
        <v>1849</v>
      </c>
      <c r="F442" s="37" t="s">
        <v>2030</v>
      </c>
      <c r="G442" s="44">
        <v>14300</v>
      </c>
      <c r="H442" s="44">
        <v>143</v>
      </c>
    </row>
    <row r="443" spans="1:8">
      <c r="A443" s="90">
        <v>125864705876</v>
      </c>
      <c r="B443" s="1" t="s">
        <v>1790</v>
      </c>
      <c r="C443" s="43" t="s">
        <v>1849</v>
      </c>
      <c r="D443" s="1" t="s">
        <v>2029</v>
      </c>
      <c r="E443" s="43" t="s">
        <v>1849</v>
      </c>
      <c r="F443" s="37" t="s">
        <v>2030</v>
      </c>
      <c r="G443" s="44">
        <v>8600</v>
      </c>
      <c r="H443" s="44">
        <v>86</v>
      </c>
    </row>
    <row r="444" spans="1:8">
      <c r="A444" s="90">
        <v>125864911030</v>
      </c>
      <c r="B444" s="1" t="s">
        <v>8</v>
      </c>
      <c r="C444" s="43" t="s">
        <v>1849</v>
      </c>
      <c r="D444" s="1" t="s">
        <v>2029</v>
      </c>
      <c r="E444" s="43" t="s">
        <v>1849</v>
      </c>
      <c r="F444" s="37" t="s">
        <v>2030</v>
      </c>
      <c r="G444" s="44">
        <v>17900</v>
      </c>
      <c r="H444" s="44">
        <v>179</v>
      </c>
    </row>
    <row r="445" spans="1:8">
      <c r="A445" s="90">
        <v>125320457011</v>
      </c>
      <c r="B445" s="1" t="s">
        <v>1790</v>
      </c>
      <c r="C445" s="43" t="s">
        <v>1864</v>
      </c>
      <c r="D445" s="1" t="s">
        <v>2029</v>
      </c>
      <c r="E445" s="43" t="s">
        <v>1864</v>
      </c>
      <c r="F445" s="37" t="s">
        <v>2030</v>
      </c>
      <c r="G445" s="44">
        <v>10000</v>
      </c>
      <c r="H445" s="44">
        <v>100</v>
      </c>
    </row>
    <row r="446" spans="1:8">
      <c r="A446" s="90">
        <v>125315241639</v>
      </c>
      <c r="B446" s="1" t="s">
        <v>8</v>
      </c>
      <c r="C446" s="43" t="s">
        <v>1849</v>
      </c>
      <c r="D446" s="1" t="s">
        <v>2029</v>
      </c>
      <c r="E446" s="43" t="s">
        <v>1849</v>
      </c>
      <c r="F446" s="37" t="s">
        <v>2030</v>
      </c>
      <c r="G446" s="44">
        <v>28000</v>
      </c>
      <c r="H446" s="44">
        <v>280</v>
      </c>
    </row>
    <row r="447" spans="1:8">
      <c r="A447" s="90">
        <v>125320564485</v>
      </c>
      <c r="B447" s="1" t="s">
        <v>1790</v>
      </c>
      <c r="C447" s="43" t="s">
        <v>1864</v>
      </c>
      <c r="D447" s="1" t="s">
        <v>2029</v>
      </c>
      <c r="E447" s="43" t="s">
        <v>1864</v>
      </c>
      <c r="F447" s="37" t="s">
        <v>2030</v>
      </c>
      <c r="G447" s="44">
        <v>5000</v>
      </c>
      <c r="H447" s="44">
        <v>50</v>
      </c>
    </row>
    <row r="448" spans="1:8">
      <c r="A448" s="90">
        <v>125315401565</v>
      </c>
      <c r="B448" s="1" t="s">
        <v>1790</v>
      </c>
      <c r="C448" s="43" t="s">
        <v>1849</v>
      </c>
      <c r="D448" s="1" t="s">
        <v>2029</v>
      </c>
      <c r="E448" s="43" t="s">
        <v>1849</v>
      </c>
      <c r="F448" s="37" t="s">
        <v>2030</v>
      </c>
      <c r="G448" s="44">
        <v>8600</v>
      </c>
      <c r="H448" s="44">
        <v>86</v>
      </c>
    </row>
    <row r="449" spans="1:8">
      <c r="A449" s="90">
        <v>125315541627</v>
      </c>
      <c r="B449" s="1" t="s">
        <v>8</v>
      </c>
      <c r="C449" s="43" t="s">
        <v>1849</v>
      </c>
      <c r="D449" s="1" t="s">
        <v>2029</v>
      </c>
      <c r="E449" s="43" t="s">
        <v>1849</v>
      </c>
      <c r="F449" s="37" t="s">
        <v>2030</v>
      </c>
      <c r="G449" s="44">
        <v>12800</v>
      </c>
      <c r="H449" s="44">
        <v>128</v>
      </c>
    </row>
    <row r="450" spans="1:8">
      <c r="A450" s="90">
        <v>125870474672</v>
      </c>
      <c r="B450" s="1" t="s">
        <v>8</v>
      </c>
      <c r="C450" s="43" t="s">
        <v>1864</v>
      </c>
      <c r="D450" s="1" t="s">
        <v>2029</v>
      </c>
      <c r="E450" s="43" t="s">
        <v>1864</v>
      </c>
      <c r="F450" s="37" t="s">
        <v>2030</v>
      </c>
      <c r="G450" s="44">
        <v>44500</v>
      </c>
      <c r="H450" s="44">
        <v>445</v>
      </c>
    </row>
    <row r="451" spans="1:8">
      <c r="A451" s="90">
        <v>125865630514</v>
      </c>
      <c r="B451" s="1" t="s">
        <v>8</v>
      </c>
      <c r="C451" s="43" t="s">
        <v>1849</v>
      </c>
      <c r="D451" s="1" t="s">
        <v>2029</v>
      </c>
      <c r="E451" s="43" t="s">
        <v>1849</v>
      </c>
      <c r="F451" s="37" t="s">
        <v>2030</v>
      </c>
      <c r="G451" s="44">
        <v>7000</v>
      </c>
      <c r="H451" s="44">
        <v>70</v>
      </c>
    </row>
    <row r="452" spans="1:8">
      <c r="A452" s="90">
        <v>125866469482</v>
      </c>
      <c r="B452" s="1" t="s">
        <v>8</v>
      </c>
      <c r="C452" s="43" t="s">
        <v>1849</v>
      </c>
      <c r="D452" s="1" t="s">
        <v>2029</v>
      </c>
      <c r="E452" s="43" t="s">
        <v>1864</v>
      </c>
      <c r="F452" s="37" t="s">
        <v>2030</v>
      </c>
      <c r="G452" s="44">
        <v>13900</v>
      </c>
      <c r="H452" s="44">
        <v>139</v>
      </c>
    </row>
    <row r="453" spans="1:8">
      <c r="A453" s="90">
        <v>125871368350</v>
      </c>
      <c r="B453" s="1" t="s">
        <v>8</v>
      </c>
      <c r="C453" s="43" t="s">
        <v>1864</v>
      </c>
      <c r="D453" s="1" t="s">
        <v>2029</v>
      </c>
      <c r="E453" s="43" t="s">
        <v>1864</v>
      </c>
      <c r="F453" s="37" t="s">
        <v>2030</v>
      </c>
      <c r="G453" s="44">
        <v>13100</v>
      </c>
      <c r="H453" s="44">
        <v>131</v>
      </c>
    </row>
    <row r="454" spans="1:8">
      <c r="A454" s="90">
        <v>125317119521</v>
      </c>
      <c r="B454" s="1" t="s">
        <v>8</v>
      </c>
      <c r="C454" s="43" t="s">
        <v>1849</v>
      </c>
      <c r="D454" s="1" t="s">
        <v>2029</v>
      </c>
      <c r="E454" s="43" t="s">
        <v>1864</v>
      </c>
      <c r="F454" s="37" t="s">
        <v>2030</v>
      </c>
      <c r="G454" s="44">
        <v>36300</v>
      </c>
      <c r="H454" s="44">
        <v>363</v>
      </c>
    </row>
    <row r="455" spans="1:8">
      <c r="A455" s="90">
        <v>125871359326</v>
      </c>
      <c r="B455" s="1" t="s">
        <v>8</v>
      </c>
      <c r="C455" s="43" t="s">
        <v>1864</v>
      </c>
      <c r="D455" s="1" t="s">
        <v>2029</v>
      </c>
      <c r="E455" s="43" t="s">
        <v>1864</v>
      </c>
      <c r="F455" s="37" t="s">
        <v>2030</v>
      </c>
      <c r="G455" s="44">
        <v>22900</v>
      </c>
      <c r="H455" s="44">
        <v>229</v>
      </c>
    </row>
    <row r="456" spans="1:8">
      <c r="A456" s="90">
        <v>125322062757</v>
      </c>
      <c r="B456" s="1" t="s">
        <v>8</v>
      </c>
      <c r="C456" s="43" t="s">
        <v>1864</v>
      </c>
      <c r="D456" s="1" t="s">
        <v>2029</v>
      </c>
      <c r="E456" s="43" t="s">
        <v>1864</v>
      </c>
      <c r="F456" s="37" t="s">
        <v>2030</v>
      </c>
      <c r="G456" s="44">
        <v>14800</v>
      </c>
      <c r="H456" s="44">
        <v>148</v>
      </c>
    </row>
    <row r="457" spans="1:8">
      <c r="A457" s="90">
        <v>125317739121</v>
      </c>
      <c r="B457" s="1" t="s">
        <v>8</v>
      </c>
      <c r="C457" s="43" t="s">
        <v>1849</v>
      </c>
      <c r="D457" s="1" t="s">
        <v>2029</v>
      </c>
      <c r="E457" s="43" t="s">
        <v>1864</v>
      </c>
      <c r="F457" s="37" t="s">
        <v>2030</v>
      </c>
      <c r="G457" s="44">
        <v>4300</v>
      </c>
      <c r="H457" s="44">
        <v>43</v>
      </c>
    </row>
    <row r="458" spans="1:8">
      <c r="A458" s="90">
        <v>125867689614</v>
      </c>
      <c r="B458" s="1" t="s">
        <v>8</v>
      </c>
      <c r="C458" s="43" t="s">
        <v>1849</v>
      </c>
      <c r="D458" s="1" t="s">
        <v>2029</v>
      </c>
      <c r="E458" s="43" t="s">
        <v>1864</v>
      </c>
      <c r="F458" s="37" t="s">
        <v>2030</v>
      </c>
      <c r="G458" s="44">
        <v>29400</v>
      </c>
      <c r="H458" s="44">
        <v>294</v>
      </c>
    </row>
    <row r="459" spans="1:8">
      <c r="A459" s="90">
        <v>125318140511</v>
      </c>
      <c r="B459" s="1" t="s">
        <v>8</v>
      </c>
      <c r="C459" s="43" t="s">
        <v>1849</v>
      </c>
      <c r="D459" s="1" t="s">
        <v>2029</v>
      </c>
      <c r="E459" s="43" t="s">
        <v>1864</v>
      </c>
      <c r="F459" s="37" t="s">
        <v>2030</v>
      </c>
      <c r="G459" s="44">
        <v>15000</v>
      </c>
      <c r="H459" s="44">
        <v>150</v>
      </c>
    </row>
    <row r="460" spans="1:8">
      <c r="A460" s="90">
        <v>125322405401</v>
      </c>
      <c r="B460" s="1" t="s">
        <v>8</v>
      </c>
      <c r="C460" s="43" t="s">
        <v>1864</v>
      </c>
      <c r="D460" s="1" t="s">
        <v>2029</v>
      </c>
      <c r="E460" s="43" t="s">
        <v>1864</v>
      </c>
      <c r="F460" s="37" t="s">
        <v>2030</v>
      </c>
      <c r="G460" s="44">
        <v>8600</v>
      </c>
      <c r="H460" s="44">
        <v>86</v>
      </c>
    </row>
    <row r="461" spans="1:8">
      <c r="A461" s="90">
        <v>125322736611</v>
      </c>
      <c r="B461" s="1" t="s">
        <v>8</v>
      </c>
      <c r="C461" s="43" t="s">
        <v>1864</v>
      </c>
      <c r="D461" s="1" t="s">
        <v>2029</v>
      </c>
      <c r="E461" s="43" t="s">
        <v>1864</v>
      </c>
      <c r="F461" s="37" t="s">
        <v>2030</v>
      </c>
      <c r="G461" s="44">
        <v>4300</v>
      </c>
      <c r="H461" s="44">
        <v>43</v>
      </c>
    </row>
    <row r="462" spans="1:8">
      <c r="A462" s="90">
        <v>125868254842</v>
      </c>
      <c r="B462" s="1" t="s">
        <v>8</v>
      </c>
      <c r="C462" s="43" t="s">
        <v>1849</v>
      </c>
      <c r="D462" s="1" t="s">
        <v>2029</v>
      </c>
      <c r="E462" s="43" t="s">
        <v>1864</v>
      </c>
      <c r="F462" s="37" t="s">
        <v>2030</v>
      </c>
      <c r="G462" s="44">
        <v>8600</v>
      </c>
      <c r="H462" s="44">
        <v>86</v>
      </c>
    </row>
    <row r="463" spans="1:8">
      <c r="A463" s="90">
        <v>125322503897</v>
      </c>
      <c r="B463" s="1" t="s">
        <v>1790</v>
      </c>
      <c r="C463" s="43" t="s">
        <v>1864</v>
      </c>
      <c r="D463" s="1" t="s">
        <v>2029</v>
      </c>
      <c r="E463" s="43" t="s">
        <v>1864</v>
      </c>
      <c r="F463" s="37" t="s">
        <v>2030</v>
      </c>
      <c r="G463" s="44">
        <v>53500</v>
      </c>
      <c r="H463" s="44">
        <v>535</v>
      </c>
    </row>
    <row r="464" spans="1:8">
      <c r="A464" s="90">
        <v>125868559084</v>
      </c>
      <c r="B464" s="1" t="s">
        <v>8</v>
      </c>
      <c r="C464" s="43" t="s">
        <v>1864</v>
      </c>
      <c r="D464" s="1" t="s">
        <v>2029</v>
      </c>
      <c r="E464" s="43" t="s">
        <v>1864</v>
      </c>
      <c r="F464" s="37" t="s">
        <v>2030</v>
      </c>
      <c r="G464" s="44">
        <v>38400</v>
      </c>
      <c r="H464" s="44">
        <v>384</v>
      </c>
    </row>
    <row r="465" spans="1:8">
      <c r="A465" s="90">
        <v>125318831565</v>
      </c>
      <c r="B465" s="1" t="s">
        <v>8</v>
      </c>
      <c r="C465" s="43" t="s">
        <v>1864</v>
      </c>
      <c r="D465" s="1" t="s">
        <v>2029</v>
      </c>
      <c r="E465" s="43" t="s">
        <v>1864</v>
      </c>
      <c r="F465" s="37" t="s">
        <v>2030</v>
      </c>
      <c r="G465" s="44">
        <v>17100</v>
      </c>
      <c r="H465" s="44">
        <v>171</v>
      </c>
    </row>
    <row r="466" spans="1:8">
      <c r="A466" s="90">
        <v>125319036607</v>
      </c>
      <c r="B466" s="1" t="s">
        <v>8</v>
      </c>
      <c r="C466" s="43" t="s">
        <v>1864</v>
      </c>
      <c r="D466" s="1" t="s">
        <v>2029</v>
      </c>
      <c r="E466" s="43" t="s">
        <v>1864</v>
      </c>
      <c r="F466" s="37" t="s">
        <v>2030</v>
      </c>
      <c r="G466" s="44">
        <v>12900</v>
      </c>
      <c r="H466" s="44">
        <v>129</v>
      </c>
    </row>
    <row r="467" spans="1:8">
      <c r="A467" s="90">
        <v>125319017341</v>
      </c>
      <c r="B467" s="1" t="s">
        <v>8</v>
      </c>
      <c r="C467" s="43" t="s">
        <v>1864</v>
      </c>
      <c r="D467" s="1" t="s">
        <v>2029</v>
      </c>
      <c r="E467" s="43" t="s">
        <v>1864</v>
      </c>
      <c r="F467" s="37" t="s">
        <v>2030</v>
      </c>
      <c r="G467" s="44">
        <v>18500</v>
      </c>
      <c r="H467" s="44">
        <v>185</v>
      </c>
    </row>
    <row r="468" spans="1:8">
      <c r="A468" s="90">
        <v>125869092878</v>
      </c>
      <c r="B468" s="1" t="s">
        <v>8</v>
      </c>
      <c r="C468" s="43" t="s">
        <v>1864</v>
      </c>
      <c r="D468" s="1" t="s">
        <v>2029</v>
      </c>
      <c r="E468" s="43" t="s">
        <v>1864</v>
      </c>
      <c r="F468" s="37" t="s">
        <v>2030</v>
      </c>
      <c r="G468" s="44">
        <v>8600</v>
      </c>
      <c r="H468" s="44">
        <v>86</v>
      </c>
    </row>
    <row r="469" spans="1:8">
      <c r="A469" s="90">
        <v>125869422198</v>
      </c>
      <c r="B469" s="1" t="s">
        <v>8</v>
      </c>
      <c r="C469" s="43" t="s">
        <v>1864</v>
      </c>
      <c r="D469" s="1" t="s">
        <v>2029</v>
      </c>
      <c r="E469" s="43" t="s">
        <v>1864</v>
      </c>
      <c r="F469" s="37" t="s">
        <v>2030</v>
      </c>
      <c r="G469" s="44">
        <v>81300</v>
      </c>
      <c r="H469" s="44">
        <v>813</v>
      </c>
    </row>
    <row r="470" spans="1:8">
      <c r="A470" s="90">
        <v>125869681610</v>
      </c>
      <c r="B470" s="1" t="s">
        <v>8</v>
      </c>
      <c r="C470" s="43" t="s">
        <v>1864</v>
      </c>
      <c r="D470" s="1" t="s">
        <v>2029</v>
      </c>
      <c r="E470" s="43" t="s">
        <v>1864</v>
      </c>
      <c r="F470" s="37" t="s">
        <v>2030</v>
      </c>
      <c r="G470" s="44">
        <v>8600</v>
      </c>
      <c r="H470" s="44">
        <v>86</v>
      </c>
    </row>
    <row r="471" spans="1:8">
      <c r="A471" s="90">
        <v>125320055657</v>
      </c>
      <c r="B471" s="1" t="s">
        <v>1790</v>
      </c>
      <c r="C471" s="43" t="s">
        <v>1864</v>
      </c>
      <c r="D471" s="1" t="s">
        <v>2029</v>
      </c>
      <c r="E471" s="43" t="s">
        <v>1864</v>
      </c>
      <c r="F471" s="37" t="s">
        <v>2030</v>
      </c>
      <c r="G471" s="44">
        <v>8200</v>
      </c>
      <c r="H471" s="44">
        <v>82</v>
      </c>
    </row>
    <row r="472" spans="1:8">
      <c r="A472" s="90">
        <v>125321324087</v>
      </c>
      <c r="B472" s="1" t="s">
        <v>1790</v>
      </c>
      <c r="C472" s="43" t="s">
        <v>1864</v>
      </c>
      <c r="D472" s="1" t="s">
        <v>2029</v>
      </c>
      <c r="E472" s="43" t="s">
        <v>1864</v>
      </c>
      <c r="F472" s="37" t="s">
        <v>2030</v>
      </c>
      <c r="G472" s="44">
        <v>71200</v>
      </c>
      <c r="H472" s="44">
        <v>712</v>
      </c>
    </row>
    <row r="473" spans="1:8">
      <c r="A473" s="90">
        <v>125871494326</v>
      </c>
      <c r="B473" s="1" t="s">
        <v>8</v>
      </c>
      <c r="C473" s="43" t="s">
        <v>1864</v>
      </c>
      <c r="D473" s="1" t="s">
        <v>2029</v>
      </c>
      <c r="E473" s="43" t="s">
        <v>1864</v>
      </c>
      <c r="F473" s="37" t="s">
        <v>2030</v>
      </c>
      <c r="G473" s="44">
        <v>31600</v>
      </c>
      <c r="H473" s="44">
        <v>316</v>
      </c>
    </row>
    <row r="474" spans="1:8">
      <c r="A474" s="90">
        <v>125871870980</v>
      </c>
      <c r="B474" s="1" t="s">
        <v>8</v>
      </c>
      <c r="C474" s="43" t="s">
        <v>1864</v>
      </c>
      <c r="D474" s="1" t="s">
        <v>2029</v>
      </c>
      <c r="E474" s="43" t="s">
        <v>1864</v>
      </c>
      <c r="F474" s="37" t="s">
        <v>2030</v>
      </c>
      <c r="G474" s="44">
        <v>23600</v>
      </c>
      <c r="H474" s="44">
        <v>236</v>
      </c>
    </row>
    <row r="475" spans="1:8">
      <c r="A475" s="90">
        <v>125322493065</v>
      </c>
      <c r="B475" s="1" t="s">
        <v>8</v>
      </c>
      <c r="C475" s="43" t="s">
        <v>1864</v>
      </c>
      <c r="D475" s="1" t="s">
        <v>2029</v>
      </c>
      <c r="E475" s="43" t="s">
        <v>1864</v>
      </c>
      <c r="F475" s="37" t="s">
        <v>2030</v>
      </c>
      <c r="G475" s="44">
        <v>7000</v>
      </c>
      <c r="H475" s="44">
        <v>70</v>
      </c>
    </row>
    <row r="476" spans="1:8">
      <c r="A476" s="90">
        <v>125322888369</v>
      </c>
      <c r="B476" s="1" t="s">
        <v>8</v>
      </c>
      <c r="C476" s="43" t="s">
        <v>1864</v>
      </c>
      <c r="D476" s="1" t="s">
        <v>2029</v>
      </c>
      <c r="E476" s="43" t="s">
        <v>1864</v>
      </c>
      <c r="F476" s="37" t="s">
        <v>2030</v>
      </c>
      <c r="G476" s="44">
        <v>28400</v>
      </c>
      <c r="H476" s="44">
        <v>284</v>
      </c>
    </row>
    <row r="477" spans="1:8">
      <c r="A477" s="90">
        <v>125872587248</v>
      </c>
      <c r="B477" s="1" t="s">
        <v>1790</v>
      </c>
      <c r="C477" s="43" t="s">
        <v>1864</v>
      </c>
      <c r="D477" s="1" t="s">
        <v>2029</v>
      </c>
      <c r="E477" s="43" t="s">
        <v>1864</v>
      </c>
      <c r="F477" s="37" t="s">
        <v>2030</v>
      </c>
      <c r="G477" s="44">
        <v>17200</v>
      </c>
      <c r="H477" s="44">
        <v>172</v>
      </c>
    </row>
    <row r="478" spans="1:8">
      <c r="A478" s="90">
        <v>125872758668</v>
      </c>
      <c r="B478" s="1" t="s">
        <v>8</v>
      </c>
      <c r="C478" s="43" t="s">
        <v>1864</v>
      </c>
      <c r="D478" s="1" t="s">
        <v>2029</v>
      </c>
      <c r="E478" s="43" t="s">
        <v>1864</v>
      </c>
      <c r="F478" s="37" t="s">
        <v>2030</v>
      </c>
      <c r="G478" s="44">
        <v>73600</v>
      </c>
      <c r="H478" s="44">
        <v>736</v>
      </c>
    </row>
    <row r="479" spans="1:8">
      <c r="A479" s="90">
        <v>125323011517</v>
      </c>
      <c r="B479" s="1" t="s">
        <v>8</v>
      </c>
      <c r="C479" s="43" t="s">
        <v>1864</v>
      </c>
      <c r="D479" s="1" t="s">
        <v>2029</v>
      </c>
      <c r="E479" s="43" t="s">
        <v>1864</v>
      </c>
      <c r="F479" s="37" t="s">
        <v>2030</v>
      </c>
      <c r="G479" s="44">
        <v>48500</v>
      </c>
      <c r="H479" s="44">
        <v>485</v>
      </c>
    </row>
    <row r="480" spans="1:8">
      <c r="A480" s="90">
        <v>125427741477</v>
      </c>
      <c r="B480" s="1" t="s">
        <v>8</v>
      </c>
      <c r="C480" s="43" t="s">
        <v>1864</v>
      </c>
      <c r="D480" s="1" t="s">
        <v>2029</v>
      </c>
      <c r="E480" s="43" t="s">
        <v>1864</v>
      </c>
      <c r="F480" s="37" t="s">
        <v>2030</v>
      </c>
      <c r="G480" s="44">
        <v>12900</v>
      </c>
      <c r="H480" s="44">
        <v>129</v>
      </c>
    </row>
    <row r="481" spans="1:8">
      <c r="A481" s="90">
        <v>125437996133</v>
      </c>
      <c r="B481" s="1" t="s">
        <v>1790</v>
      </c>
      <c r="C481" s="43" t="s">
        <v>1864</v>
      </c>
      <c r="D481" s="1" t="s">
        <v>2029</v>
      </c>
      <c r="E481" s="43" t="s">
        <v>1864</v>
      </c>
      <c r="F481" s="37" t="s">
        <v>2030</v>
      </c>
      <c r="G481" s="44">
        <v>25600</v>
      </c>
      <c r="H481" s="44">
        <v>256</v>
      </c>
    </row>
    <row r="482" spans="1:8">
      <c r="A482" s="90">
        <v>125433504737</v>
      </c>
      <c r="B482" s="1" t="s">
        <v>1790</v>
      </c>
      <c r="C482" s="43" t="s">
        <v>1864</v>
      </c>
      <c r="D482" s="1" t="s">
        <v>2029</v>
      </c>
      <c r="E482" s="43" t="s">
        <v>1864</v>
      </c>
      <c r="F482" s="37" t="s">
        <v>2030</v>
      </c>
      <c r="G482" s="44">
        <v>10800</v>
      </c>
      <c r="H482" s="44">
        <v>108</v>
      </c>
    </row>
    <row r="483" spans="1:8">
      <c r="A483" s="90">
        <v>125433898761</v>
      </c>
      <c r="B483" s="1" t="s">
        <v>8</v>
      </c>
      <c r="C483" s="43" t="s">
        <v>1864</v>
      </c>
      <c r="D483" s="1" t="s">
        <v>2029</v>
      </c>
      <c r="E483" s="43" t="s">
        <v>1864</v>
      </c>
      <c r="F483" s="37" t="s">
        <v>2030</v>
      </c>
      <c r="G483" s="44">
        <v>35700</v>
      </c>
      <c r="H483" s="44">
        <v>357</v>
      </c>
    </row>
    <row r="484" spans="1:8">
      <c r="A484" s="90">
        <v>125437359297</v>
      </c>
      <c r="B484" s="1" t="s">
        <v>1790</v>
      </c>
      <c r="C484" s="43" t="s">
        <v>1864</v>
      </c>
      <c r="D484" s="1" t="s">
        <v>2029</v>
      </c>
      <c r="E484" s="43" t="s">
        <v>1864</v>
      </c>
      <c r="F484" s="37" t="s">
        <v>2030</v>
      </c>
      <c r="G484" s="44">
        <v>4100</v>
      </c>
      <c r="H484" s="44">
        <v>41</v>
      </c>
    </row>
    <row r="485" spans="1:8">
      <c r="A485" s="90">
        <v>125437433757</v>
      </c>
      <c r="B485" s="1" t="s">
        <v>1790</v>
      </c>
      <c r="C485" s="43" t="s">
        <v>1864</v>
      </c>
      <c r="D485" s="1" t="s">
        <v>2029</v>
      </c>
      <c r="E485" s="43" t="s">
        <v>1864</v>
      </c>
      <c r="F485" s="37" t="s">
        <v>2030</v>
      </c>
      <c r="G485" s="44">
        <v>12100</v>
      </c>
      <c r="H485" s="44">
        <v>121</v>
      </c>
    </row>
    <row r="486" spans="1:8">
      <c r="A486" s="90">
        <v>125437828867</v>
      </c>
      <c r="B486" s="1" t="s">
        <v>8</v>
      </c>
      <c r="C486" s="43" t="s">
        <v>1864</v>
      </c>
      <c r="D486" s="1" t="s">
        <v>2029</v>
      </c>
      <c r="E486" s="43" t="s">
        <v>1864</v>
      </c>
      <c r="F486" s="37" t="s">
        <v>2030</v>
      </c>
      <c r="G486" s="44">
        <v>8800</v>
      </c>
      <c r="H486" s="44">
        <v>88</v>
      </c>
    </row>
    <row r="487" spans="1:8">
      <c r="A487" s="90">
        <v>125996443306</v>
      </c>
      <c r="B487" s="1" t="s">
        <v>1790</v>
      </c>
      <c r="C487" s="43" t="s">
        <v>1864</v>
      </c>
      <c r="D487" s="1" t="s">
        <v>2029</v>
      </c>
      <c r="E487" s="43" t="s">
        <v>1864</v>
      </c>
      <c r="F487" s="37" t="s">
        <v>2030</v>
      </c>
      <c r="G487" s="44">
        <v>3900</v>
      </c>
      <c r="H487" s="44">
        <v>39</v>
      </c>
    </row>
    <row r="488" spans="1:8">
      <c r="A488" s="90">
        <v>125993614332</v>
      </c>
      <c r="B488" s="1" t="s">
        <v>8</v>
      </c>
      <c r="C488" s="43" t="s">
        <v>1864</v>
      </c>
      <c r="D488" s="1" t="s">
        <v>2029</v>
      </c>
      <c r="E488" s="43" t="s">
        <v>1864</v>
      </c>
      <c r="F488" s="37" t="s">
        <v>2030</v>
      </c>
      <c r="G488" s="44">
        <v>4300</v>
      </c>
      <c r="H488" s="44">
        <v>43</v>
      </c>
    </row>
    <row r="489" spans="1:8">
      <c r="A489" s="90">
        <v>125449062915</v>
      </c>
      <c r="B489" s="1" t="s">
        <v>8</v>
      </c>
      <c r="C489" s="43" t="s">
        <v>1864</v>
      </c>
      <c r="D489" s="1" t="s">
        <v>2029</v>
      </c>
      <c r="E489" s="43" t="s">
        <v>1864</v>
      </c>
      <c r="F489" s="37" t="s">
        <v>2030</v>
      </c>
      <c r="G489" s="44">
        <v>27800</v>
      </c>
      <c r="H489" s="44">
        <v>278</v>
      </c>
    </row>
    <row r="490" spans="1:8">
      <c r="A490" s="90">
        <v>125449242459</v>
      </c>
      <c r="B490" s="1" t="s">
        <v>8</v>
      </c>
      <c r="C490" s="43" t="s">
        <v>1864</v>
      </c>
      <c r="D490" s="1" t="s">
        <v>2029</v>
      </c>
      <c r="E490" s="43" t="s">
        <v>1864</v>
      </c>
      <c r="F490" s="37" t="s">
        <v>2030</v>
      </c>
      <c r="G490" s="44">
        <v>39000</v>
      </c>
      <c r="H490" s="44">
        <v>390</v>
      </c>
    </row>
    <row r="491" spans="1:8">
      <c r="A491" s="90">
        <v>125449622091</v>
      </c>
      <c r="B491" s="1" t="s">
        <v>8</v>
      </c>
      <c r="C491" s="43" t="s">
        <v>1864</v>
      </c>
      <c r="D491" s="1" t="s">
        <v>2029</v>
      </c>
      <c r="E491" s="43" t="s">
        <v>1864</v>
      </c>
      <c r="F491" s="37" t="s">
        <v>2030</v>
      </c>
      <c r="G491" s="44">
        <v>31000</v>
      </c>
      <c r="H491" s="44">
        <v>310</v>
      </c>
    </row>
    <row r="492" spans="1:8">
      <c r="A492" s="90">
        <v>126001791192</v>
      </c>
      <c r="B492" s="1" t="s">
        <v>8</v>
      </c>
      <c r="C492" s="43" t="s">
        <v>1864</v>
      </c>
      <c r="D492" s="1" t="s">
        <v>2029</v>
      </c>
      <c r="E492" s="43" t="s">
        <v>1864</v>
      </c>
      <c r="F492" s="37" t="s">
        <v>2030</v>
      </c>
      <c r="G492" s="44">
        <v>40700</v>
      </c>
      <c r="H492" s="44">
        <v>407</v>
      </c>
    </row>
    <row r="493" spans="1:8">
      <c r="A493" s="90">
        <v>126002231286</v>
      </c>
      <c r="B493" s="1" t="s">
        <v>8</v>
      </c>
      <c r="C493" s="43" t="s">
        <v>1864</v>
      </c>
      <c r="D493" s="1" t="s">
        <v>2029</v>
      </c>
      <c r="E493" s="43" t="s">
        <v>1864</v>
      </c>
      <c r="F493" s="37" t="s">
        <v>2030</v>
      </c>
      <c r="G493" s="44">
        <v>37000</v>
      </c>
      <c r="H493" s="44">
        <v>370</v>
      </c>
    </row>
    <row r="494" spans="1:8">
      <c r="A494" s="90">
        <v>125451713543</v>
      </c>
      <c r="B494" s="1" t="s">
        <v>1790</v>
      </c>
      <c r="C494" s="43" t="s">
        <v>1864</v>
      </c>
      <c r="D494" s="1" t="s">
        <v>2029</v>
      </c>
      <c r="E494" s="43" t="s">
        <v>1864</v>
      </c>
      <c r="F494" s="37" t="s">
        <v>2030</v>
      </c>
      <c r="G494" s="44">
        <v>54600</v>
      </c>
      <c r="H494" s="44">
        <v>546</v>
      </c>
    </row>
    <row r="495" spans="1:8">
      <c r="A495" s="90">
        <v>125452973303</v>
      </c>
      <c r="B495" s="1" t="s">
        <v>8</v>
      </c>
      <c r="C495" s="43" t="s">
        <v>1864</v>
      </c>
      <c r="D495" s="1" t="s">
        <v>2029</v>
      </c>
      <c r="E495" s="43" t="s">
        <v>1864</v>
      </c>
      <c r="F495" s="37" t="s">
        <v>2030</v>
      </c>
      <c r="G495" s="44">
        <v>21700</v>
      </c>
      <c r="H495" s="44">
        <v>217</v>
      </c>
    </row>
    <row r="496" spans="1:8">
      <c r="A496" s="90">
        <v>125446989707</v>
      </c>
      <c r="B496" s="1" t="s">
        <v>1790</v>
      </c>
      <c r="C496" s="43" t="s">
        <v>1864</v>
      </c>
      <c r="D496" s="1" t="s">
        <v>2029</v>
      </c>
      <c r="E496" s="43" t="s">
        <v>1864</v>
      </c>
      <c r="F496" s="37" t="s">
        <v>2030</v>
      </c>
      <c r="G496" s="44">
        <v>26500</v>
      </c>
      <c r="H496" s="44">
        <v>265</v>
      </c>
    </row>
    <row r="497" spans="1:8">
      <c r="A497" s="90">
        <v>125446961843</v>
      </c>
      <c r="B497" s="1" t="s">
        <v>1790</v>
      </c>
      <c r="C497" s="43" t="s">
        <v>1864</v>
      </c>
      <c r="D497" s="1" t="s">
        <v>2029</v>
      </c>
      <c r="E497" s="43" t="s">
        <v>1864</v>
      </c>
      <c r="F497" s="37" t="s">
        <v>2030</v>
      </c>
      <c r="G497" s="44">
        <v>32700</v>
      </c>
      <c r="H497" s="44">
        <v>327</v>
      </c>
    </row>
    <row r="498" spans="1:8">
      <c r="A498" s="90">
        <v>125453295123</v>
      </c>
      <c r="B498" s="1" t="s">
        <v>8</v>
      </c>
      <c r="C498" s="43" t="s">
        <v>1864</v>
      </c>
      <c r="D498" s="1" t="s">
        <v>2029</v>
      </c>
      <c r="E498" s="43" t="s">
        <v>1864</v>
      </c>
      <c r="F498" s="37" t="s">
        <v>2030</v>
      </c>
      <c r="G498" s="44">
        <v>8200</v>
      </c>
      <c r="H498" s="44">
        <v>82</v>
      </c>
    </row>
    <row r="499" spans="1:8">
      <c r="A499" s="90">
        <v>125447857505</v>
      </c>
      <c r="B499" s="1" t="s">
        <v>1790</v>
      </c>
      <c r="C499" s="43" t="s">
        <v>1864</v>
      </c>
      <c r="D499" s="1" t="s">
        <v>2029</v>
      </c>
      <c r="E499" s="43" t="s">
        <v>1864</v>
      </c>
      <c r="F499" s="37" t="s">
        <v>2030</v>
      </c>
      <c r="G499" s="44">
        <v>4300</v>
      </c>
      <c r="H499" s="44">
        <v>43</v>
      </c>
    </row>
    <row r="500" spans="1:8">
      <c r="A500" s="90">
        <v>126005317084</v>
      </c>
      <c r="B500" s="1" t="s">
        <v>8</v>
      </c>
      <c r="C500" s="43" t="s">
        <v>1864</v>
      </c>
      <c r="D500" s="1" t="s">
        <v>2029</v>
      </c>
      <c r="E500" s="43" t="s">
        <v>1864</v>
      </c>
      <c r="F500" s="37" t="s">
        <v>2030</v>
      </c>
      <c r="G500" s="44">
        <v>44800</v>
      </c>
      <c r="H500" s="44">
        <v>448</v>
      </c>
    </row>
    <row r="501" spans="1:8">
      <c r="A501" s="90">
        <v>125999347750</v>
      </c>
      <c r="B501" s="1" t="s">
        <v>8</v>
      </c>
      <c r="C501" s="43" t="s">
        <v>1864</v>
      </c>
      <c r="D501" s="1" t="s">
        <v>2029</v>
      </c>
      <c r="E501" s="43" t="s">
        <v>1864</v>
      </c>
      <c r="F501" s="37" t="s">
        <v>2030</v>
      </c>
      <c r="G501" s="44">
        <v>37300</v>
      </c>
      <c r="H501" s="44">
        <v>373</v>
      </c>
    </row>
    <row r="502" spans="1:8">
      <c r="A502" s="90">
        <v>125454937941</v>
      </c>
      <c r="B502" s="1" t="s">
        <v>8</v>
      </c>
      <c r="C502" s="43" t="s">
        <v>1864</v>
      </c>
      <c r="D502" s="1" t="s">
        <v>2029</v>
      </c>
      <c r="E502" s="43" t="s">
        <v>1864</v>
      </c>
      <c r="F502" s="37" t="s">
        <v>2030</v>
      </c>
      <c r="G502" s="44">
        <v>11300</v>
      </c>
      <c r="H502" s="44">
        <v>113</v>
      </c>
    </row>
    <row r="503" spans="1:8">
      <c r="A503" s="90">
        <v>125455209189</v>
      </c>
      <c r="B503" s="1" t="s">
        <v>1790</v>
      </c>
      <c r="C503" s="43" t="s">
        <v>1864</v>
      </c>
      <c r="D503" s="1" t="s">
        <v>2029</v>
      </c>
      <c r="E503" s="43" t="s">
        <v>1864</v>
      </c>
      <c r="F503" s="37" t="s">
        <v>2030</v>
      </c>
      <c r="G503" s="44">
        <v>28200</v>
      </c>
      <c r="H503" s="44">
        <v>282</v>
      </c>
    </row>
    <row r="504" spans="1:8">
      <c r="A504" s="90">
        <v>126006688382</v>
      </c>
      <c r="B504" s="1" t="s">
        <v>8</v>
      </c>
      <c r="C504" s="43" t="s">
        <v>1864</v>
      </c>
      <c r="D504" s="1" t="s">
        <v>2029</v>
      </c>
      <c r="E504" s="43" t="s">
        <v>1864</v>
      </c>
      <c r="F504" s="37" t="s">
        <v>2030</v>
      </c>
      <c r="G504" s="44">
        <v>34200</v>
      </c>
      <c r="H504" s="44">
        <v>342</v>
      </c>
    </row>
    <row r="505" spans="1:8">
      <c r="A505" s="90">
        <v>126001259020</v>
      </c>
      <c r="B505" s="1" t="s">
        <v>8</v>
      </c>
      <c r="C505" s="43" t="s">
        <v>1864</v>
      </c>
      <c r="D505" s="1" t="s">
        <v>2029</v>
      </c>
      <c r="E505" s="43" t="s">
        <v>1864</v>
      </c>
      <c r="F505" s="37" t="s">
        <v>2030</v>
      </c>
      <c r="G505" s="44">
        <v>7000</v>
      </c>
      <c r="H505" s="44">
        <v>70</v>
      </c>
    </row>
    <row r="506" spans="1:8">
      <c r="A506" s="90">
        <v>125456097501</v>
      </c>
      <c r="B506" s="1" t="s">
        <v>1790</v>
      </c>
      <c r="C506" s="43" t="s">
        <v>1864</v>
      </c>
      <c r="D506" s="1" t="s">
        <v>2029</v>
      </c>
      <c r="E506" s="43" t="s">
        <v>1864</v>
      </c>
      <c r="F506" s="37" t="s">
        <v>2030</v>
      </c>
      <c r="G506" s="44">
        <v>17900</v>
      </c>
      <c r="H506" s="44">
        <v>179</v>
      </c>
    </row>
    <row r="507" spans="1:8">
      <c r="A507" s="90">
        <v>125456304867</v>
      </c>
      <c r="B507" s="1" t="s">
        <v>8</v>
      </c>
      <c r="C507" s="43" t="s">
        <v>1864</v>
      </c>
      <c r="D507" s="1" t="s">
        <v>2029</v>
      </c>
      <c r="E507" s="43" t="s">
        <v>1874</v>
      </c>
      <c r="F507" s="37" t="s">
        <v>2030</v>
      </c>
      <c r="G507" s="44">
        <v>41800</v>
      </c>
      <c r="H507" s="44">
        <v>418</v>
      </c>
    </row>
    <row r="508" spans="1:8">
      <c r="A508" s="90">
        <v>126007613112</v>
      </c>
      <c r="B508" s="1" t="s">
        <v>8</v>
      </c>
      <c r="C508" s="43" t="s">
        <v>1864</v>
      </c>
      <c r="D508" s="1" t="s">
        <v>2029</v>
      </c>
      <c r="E508" s="43" t="s">
        <v>1874</v>
      </c>
      <c r="F508" s="37" t="s">
        <v>2030</v>
      </c>
      <c r="G508" s="44">
        <v>37000</v>
      </c>
      <c r="H508" s="44">
        <v>370</v>
      </c>
    </row>
    <row r="509" spans="1:8">
      <c r="A509" s="90">
        <v>125457086371</v>
      </c>
      <c r="B509" s="1" t="s">
        <v>8</v>
      </c>
      <c r="C509" s="43" t="s">
        <v>1864</v>
      </c>
      <c r="D509" s="1" t="s">
        <v>2029</v>
      </c>
      <c r="E509" s="43" t="s">
        <v>1874</v>
      </c>
      <c r="F509" s="37" t="s">
        <v>2030</v>
      </c>
      <c r="G509" s="44">
        <v>38400</v>
      </c>
      <c r="H509" s="44">
        <v>384</v>
      </c>
    </row>
    <row r="510" spans="1:8">
      <c r="A510" s="90">
        <v>126008404306</v>
      </c>
      <c r="B510" s="1" t="s">
        <v>1790</v>
      </c>
      <c r="C510" s="43" t="s">
        <v>1864</v>
      </c>
      <c r="D510" s="1" t="s">
        <v>2029</v>
      </c>
      <c r="E510" s="43" t="s">
        <v>1874</v>
      </c>
      <c r="F510" s="37" t="s">
        <v>2030</v>
      </c>
      <c r="G510" s="44">
        <v>15600</v>
      </c>
      <c r="H510" s="44">
        <v>156</v>
      </c>
    </row>
    <row r="511" spans="1:8">
      <c r="A511" s="90">
        <v>125457113205</v>
      </c>
      <c r="B511" s="1" t="s">
        <v>1790</v>
      </c>
      <c r="C511" s="43" t="s">
        <v>1864</v>
      </c>
      <c r="D511" s="1" t="s">
        <v>2029</v>
      </c>
      <c r="E511" s="43" t="s">
        <v>1874</v>
      </c>
      <c r="F511" s="37" t="s">
        <v>2030</v>
      </c>
      <c r="G511" s="44">
        <v>48900</v>
      </c>
      <c r="H511" s="44">
        <v>489</v>
      </c>
    </row>
    <row r="512" spans="1:8">
      <c r="A512" s="90">
        <v>126008508224</v>
      </c>
      <c r="B512" s="1" t="s">
        <v>8</v>
      </c>
      <c r="C512" s="43" t="s">
        <v>1864</v>
      </c>
      <c r="D512" s="1" t="s">
        <v>2029</v>
      </c>
      <c r="E512" s="43" t="s">
        <v>1874</v>
      </c>
      <c r="F512" s="37" t="s">
        <v>2030</v>
      </c>
      <c r="G512" s="44">
        <v>28300</v>
      </c>
      <c r="H512" s="44">
        <v>283</v>
      </c>
    </row>
    <row r="513" spans="1:8">
      <c r="A513" s="90">
        <v>125451470875</v>
      </c>
      <c r="B513" s="1" t="s">
        <v>8</v>
      </c>
      <c r="C513" s="43" t="s">
        <v>1864</v>
      </c>
      <c r="D513" s="1" t="s">
        <v>2029</v>
      </c>
      <c r="E513" s="43" t="s">
        <v>1864</v>
      </c>
      <c r="F513" s="37" t="s">
        <v>2030</v>
      </c>
      <c r="G513" s="44">
        <v>8000</v>
      </c>
      <c r="H513" s="44">
        <v>80</v>
      </c>
    </row>
    <row r="514" spans="1:8">
      <c r="A514" s="90">
        <v>126008998174</v>
      </c>
      <c r="B514" s="1" t="s">
        <v>1790</v>
      </c>
      <c r="C514" s="43" t="s">
        <v>1864</v>
      </c>
      <c r="D514" s="1" t="s">
        <v>2029</v>
      </c>
      <c r="E514" s="43" t="s">
        <v>1874</v>
      </c>
      <c r="F514" s="37" t="s">
        <v>2030</v>
      </c>
      <c r="G514" s="44">
        <v>50700</v>
      </c>
      <c r="H514" s="44">
        <v>507</v>
      </c>
    </row>
    <row r="515" spans="1:8">
      <c r="A515" s="90">
        <v>126009033428</v>
      </c>
      <c r="B515" s="1" t="s">
        <v>1790</v>
      </c>
      <c r="C515" s="43" t="s">
        <v>1864</v>
      </c>
      <c r="D515" s="1" t="s">
        <v>2029</v>
      </c>
      <c r="E515" s="43" t="s">
        <v>1874</v>
      </c>
      <c r="F515" s="37" t="s">
        <v>2030</v>
      </c>
      <c r="G515" s="44">
        <v>17000</v>
      </c>
      <c r="H515" s="44">
        <v>170</v>
      </c>
    </row>
    <row r="516" spans="1:8">
      <c r="A516" s="90">
        <v>126004526618</v>
      </c>
      <c r="B516" s="1" t="s">
        <v>1790</v>
      </c>
      <c r="C516" s="43" t="s">
        <v>1864</v>
      </c>
      <c r="D516" s="1" t="s">
        <v>2029</v>
      </c>
      <c r="E516" s="43" t="s">
        <v>1864</v>
      </c>
      <c r="F516" s="37" t="s">
        <v>2030</v>
      </c>
      <c r="G516" s="44">
        <v>46300</v>
      </c>
      <c r="H516" s="44">
        <v>463</v>
      </c>
    </row>
    <row r="517" spans="1:8">
      <c r="A517" s="90">
        <v>125459627485</v>
      </c>
      <c r="B517" s="1" t="s">
        <v>8</v>
      </c>
      <c r="C517" s="43" t="s">
        <v>1874</v>
      </c>
      <c r="D517" s="1" t="s">
        <v>2029</v>
      </c>
      <c r="E517" s="43" t="s">
        <v>1874</v>
      </c>
      <c r="F517" s="37" t="s">
        <v>2030</v>
      </c>
      <c r="G517" s="44">
        <v>49900</v>
      </c>
      <c r="H517" s="44">
        <v>499</v>
      </c>
    </row>
    <row r="518" spans="1:8">
      <c r="A518" s="90">
        <v>126004723518</v>
      </c>
      <c r="B518" s="1" t="s">
        <v>8</v>
      </c>
      <c r="C518" s="43" t="s">
        <v>1864</v>
      </c>
      <c r="D518" s="1" t="s">
        <v>2029</v>
      </c>
      <c r="E518" s="43" t="s">
        <v>1864</v>
      </c>
      <c r="F518" s="37" t="s">
        <v>2030</v>
      </c>
      <c r="G518" s="44">
        <v>15800</v>
      </c>
      <c r="H518" s="44">
        <v>158</v>
      </c>
    </row>
    <row r="519" spans="1:8">
      <c r="A519" s="90">
        <v>126011115826</v>
      </c>
      <c r="B519" s="1" t="s">
        <v>8</v>
      </c>
      <c r="C519" s="43" t="s">
        <v>1874</v>
      </c>
      <c r="D519" s="1" t="s">
        <v>2029</v>
      </c>
      <c r="E519" s="43" t="s">
        <v>1874</v>
      </c>
      <c r="F519" s="37" t="s">
        <v>2030</v>
      </c>
      <c r="G519" s="44">
        <v>16600</v>
      </c>
      <c r="H519" s="44">
        <v>166</v>
      </c>
    </row>
    <row r="520" spans="1:8">
      <c r="A520" s="90">
        <v>126004850416</v>
      </c>
      <c r="B520" s="1" t="s">
        <v>8</v>
      </c>
      <c r="C520" s="43" t="s">
        <v>1864</v>
      </c>
      <c r="D520" s="1" t="s">
        <v>2029</v>
      </c>
      <c r="E520" s="43" t="s">
        <v>1864</v>
      </c>
      <c r="F520" s="37" t="s">
        <v>2030</v>
      </c>
      <c r="G520" s="44">
        <v>44200</v>
      </c>
      <c r="H520" s="44">
        <v>442</v>
      </c>
    </row>
    <row r="521" spans="1:8">
      <c r="A521" s="90">
        <v>125459983441</v>
      </c>
      <c r="B521" s="1" t="s">
        <v>8</v>
      </c>
      <c r="C521" s="43" t="s">
        <v>1874</v>
      </c>
      <c r="D521" s="1" t="s">
        <v>2029</v>
      </c>
      <c r="E521" s="43" t="s">
        <v>1874</v>
      </c>
      <c r="F521" s="37" t="s">
        <v>2030</v>
      </c>
      <c r="G521" s="44">
        <v>20200</v>
      </c>
      <c r="H521" s="44">
        <v>202</v>
      </c>
    </row>
    <row r="522" spans="1:8">
      <c r="A522" s="90">
        <v>125453742521</v>
      </c>
      <c r="B522" s="1" t="s">
        <v>1790</v>
      </c>
      <c r="C522" s="43" t="s">
        <v>1864</v>
      </c>
      <c r="D522" s="1" t="s">
        <v>2029</v>
      </c>
      <c r="E522" s="43" t="s">
        <v>1864</v>
      </c>
      <c r="F522" s="37" t="s">
        <v>2030</v>
      </c>
      <c r="G522" s="44">
        <v>40100</v>
      </c>
      <c r="H522" s="44">
        <v>401</v>
      </c>
    </row>
    <row r="523" spans="1:8">
      <c r="A523" s="90">
        <v>125460460203</v>
      </c>
      <c r="B523" s="1" t="s">
        <v>1790</v>
      </c>
      <c r="C523" s="43" t="s">
        <v>1874</v>
      </c>
      <c r="D523" s="1" t="s">
        <v>2029</v>
      </c>
      <c r="E523" s="43" t="s">
        <v>1874</v>
      </c>
      <c r="F523" s="37" t="s">
        <v>2030</v>
      </c>
      <c r="G523" s="44">
        <v>13600</v>
      </c>
      <c r="H523" s="44">
        <v>136</v>
      </c>
    </row>
    <row r="524" spans="1:8">
      <c r="A524" s="90">
        <v>125454342423</v>
      </c>
      <c r="B524" s="1" t="s">
        <v>1790</v>
      </c>
      <c r="C524" s="43" t="s">
        <v>1864</v>
      </c>
      <c r="D524" s="1" t="s">
        <v>2029</v>
      </c>
      <c r="E524" s="43" t="s">
        <v>1864</v>
      </c>
      <c r="F524" s="37" t="s">
        <v>2030</v>
      </c>
      <c r="G524" s="44">
        <v>8200</v>
      </c>
      <c r="H524" s="44">
        <v>82</v>
      </c>
    </row>
    <row r="525" spans="1:8">
      <c r="A525" s="90">
        <v>125460972465</v>
      </c>
      <c r="B525" s="1" t="s">
        <v>1790</v>
      </c>
      <c r="C525" s="43" t="s">
        <v>1874</v>
      </c>
      <c r="D525" s="1" t="s">
        <v>2029</v>
      </c>
      <c r="E525" s="43" t="s">
        <v>1874</v>
      </c>
      <c r="F525" s="37" t="s">
        <v>2030</v>
      </c>
      <c r="G525" s="44">
        <v>7900</v>
      </c>
      <c r="H525" s="44">
        <v>79</v>
      </c>
    </row>
    <row r="526" spans="1:8">
      <c r="A526" s="90">
        <v>126012503986</v>
      </c>
      <c r="B526" s="1" t="s">
        <v>1790</v>
      </c>
      <c r="C526" s="43" t="s">
        <v>1874</v>
      </c>
      <c r="D526" s="1" t="s">
        <v>2029</v>
      </c>
      <c r="E526" s="43" t="s">
        <v>1874</v>
      </c>
      <c r="F526" s="37" t="s">
        <v>2030</v>
      </c>
      <c r="G526" s="44">
        <v>12900</v>
      </c>
      <c r="H526" s="44">
        <v>129</v>
      </c>
    </row>
    <row r="527" spans="1:8">
      <c r="A527" s="90">
        <v>126012630432</v>
      </c>
      <c r="B527" s="1" t="s">
        <v>1790</v>
      </c>
      <c r="C527" s="43" t="s">
        <v>1874</v>
      </c>
      <c r="D527" s="1" t="s">
        <v>2029</v>
      </c>
      <c r="E527" s="43" t="s">
        <v>1874</v>
      </c>
      <c r="F527" s="37" t="s">
        <v>2030</v>
      </c>
      <c r="G527" s="44">
        <v>4300</v>
      </c>
      <c r="H527" s="44">
        <v>43</v>
      </c>
    </row>
    <row r="528" spans="1:8">
      <c r="A528" s="90">
        <v>125461418987</v>
      </c>
      <c r="B528" s="1" t="s">
        <v>8</v>
      </c>
      <c r="C528" s="43" t="s">
        <v>1874</v>
      </c>
      <c r="D528" s="1" t="s">
        <v>2029</v>
      </c>
      <c r="E528" s="43" t="s">
        <v>1874</v>
      </c>
      <c r="F528" s="37" t="s">
        <v>2030</v>
      </c>
      <c r="G528" s="44">
        <v>62300</v>
      </c>
      <c r="H528" s="44">
        <v>623</v>
      </c>
    </row>
    <row r="529" spans="1:8">
      <c r="A529" s="90">
        <v>126012871060</v>
      </c>
      <c r="B529" s="1" t="s">
        <v>8</v>
      </c>
      <c r="C529" s="43" t="s">
        <v>1874</v>
      </c>
      <c r="D529" s="1" t="s">
        <v>2029</v>
      </c>
      <c r="E529" s="43" t="s">
        <v>1874</v>
      </c>
      <c r="F529" s="37" t="s">
        <v>2030</v>
      </c>
      <c r="G529" s="44">
        <v>15000</v>
      </c>
      <c r="H529" s="44">
        <v>150</v>
      </c>
    </row>
    <row r="530" spans="1:8">
      <c r="A530" s="90">
        <v>126012851936</v>
      </c>
      <c r="B530" s="1" t="s">
        <v>8</v>
      </c>
      <c r="C530" s="43" t="s">
        <v>1874</v>
      </c>
      <c r="D530" s="1" t="s">
        <v>2029</v>
      </c>
      <c r="E530" s="43" t="s">
        <v>1874</v>
      </c>
      <c r="F530" s="37" t="s">
        <v>2030</v>
      </c>
      <c r="G530" s="44">
        <v>37700</v>
      </c>
      <c r="H530" s="44">
        <v>377</v>
      </c>
    </row>
    <row r="531" spans="1:8">
      <c r="A531" s="90">
        <v>125455143547</v>
      </c>
      <c r="B531" s="1" t="s">
        <v>1790</v>
      </c>
      <c r="C531" s="43" t="s">
        <v>1864</v>
      </c>
      <c r="D531" s="1" t="s">
        <v>2029</v>
      </c>
      <c r="E531" s="43" t="s">
        <v>1864</v>
      </c>
      <c r="F531" s="37" t="s">
        <v>2030</v>
      </c>
      <c r="G531" s="44">
        <v>8200</v>
      </c>
      <c r="H531" s="44">
        <v>82</v>
      </c>
    </row>
    <row r="532" spans="1:8">
      <c r="A532" s="90">
        <v>125461870989</v>
      </c>
      <c r="B532" s="1" t="s">
        <v>8</v>
      </c>
      <c r="C532" s="43" t="s">
        <v>1874</v>
      </c>
      <c r="D532" s="1" t="s">
        <v>2029</v>
      </c>
      <c r="E532" s="43" t="s">
        <v>1874</v>
      </c>
      <c r="F532" s="37" t="s">
        <v>2030</v>
      </c>
      <c r="G532" s="44">
        <v>39700</v>
      </c>
      <c r="H532" s="44">
        <v>397</v>
      </c>
    </row>
    <row r="533" spans="1:8">
      <c r="A533" s="90">
        <v>126006479850</v>
      </c>
      <c r="B533" s="1" t="s">
        <v>8</v>
      </c>
      <c r="C533" s="43" t="s">
        <v>1864</v>
      </c>
      <c r="D533" s="1" t="s">
        <v>2029</v>
      </c>
      <c r="E533" s="43" t="s">
        <v>1864</v>
      </c>
      <c r="F533" s="37" t="s">
        <v>2030</v>
      </c>
      <c r="G533" s="44">
        <v>5000</v>
      </c>
      <c r="H533" s="44">
        <v>50</v>
      </c>
    </row>
    <row r="534" spans="1:8">
      <c r="A534" s="90">
        <v>126013114190</v>
      </c>
      <c r="B534" s="1" t="s">
        <v>8</v>
      </c>
      <c r="C534" s="43" t="s">
        <v>1874</v>
      </c>
      <c r="D534" s="1" t="s">
        <v>2029</v>
      </c>
      <c r="E534" s="43" t="s">
        <v>1874</v>
      </c>
      <c r="F534" s="37" t="s">
        <v>2030</v>
      </c>
      <c r="G534" s="44">
        <v>17200</v>
      </c>
      <c r="H534" s="44">
        <v>172</v>
      </c>
    </row>
    <row r="535" spans="1:8">
      <c r="A535" s="90">
        <v>125455496263</v>
      </c>
      <c r="B535" s="1" t="s">
        <v>8</v>
      </c>
      <c r="C535" s="43" t="s">
        <v>1864</v>
      </c>
      <c r="D535" s="1" t="s">
        <v>2029</v>
      </c>
      <c r="E535" s="43" t="s">
        <v>1864</v>
      </c>
      <c r="F535" s="37" t="s">
        <v>2030</v>
      </c>
      <c r="G535" s="44">
        <v>74700</v>
      </c>
      <c r="H535" s="44">
        <v>747</v>
      </c>
    </row>
    <row r="536" spans="1:8">
      <c r="A536" s="90">
        <v>126007138224</v>
      </c>
      <c r="B536" s="1" t="s">
        <v>1790</v>
      </c>
      <c r="C536" s="43" t="s">
        <v>1864</v>
      </c>
      <c r="D536" s="1" t="s">
        <v>2029</v>
      </c>
      <c r="E536" s="43" t="s">
        <v>1864</v>
      </c>
      <c r="F536" s="37" t="s">
        <v>2030</v>
      </c>
      <c r="G536" s="44">
        <v>48400</v>
      </c>
      <c r="H536" s="44">
        <v>484</v>
      </c>
    </row>
    <row r="537" spans="1:8">
      <c r="A537" s="90">
        <v>125455999533</v>
      </c>
      <c r="B537" s="1" t="s">
        <v>1790</v>
      </c>
      <c r="C537" s="43" t="s">
        <v>1864</v>
      </c>
      <c r="D537" s="1" t="s">
        <v>2029</v>
      </c>
      <c r="E537" s="43" t="s">
        <v>1864</v>
      </c>
      <c r="F537" s="37" t="s">
        <v>2030</v>
      </c>
      <c r="G537" s="44">
        <v>73000</v>
      </c>
      <c r="H537" s="44">
        <v>730</v>
      </c>
    </row>
    <row r="538" spans="1:8">
      <c r="A538" s="90">
        <v>126013746036</v>
      </c>
      <c r="B538" s="1" t="s">
        <v>8</v>
      </c>
      <c r="C538" s="43" t="s">
        <v>1874</v>
      </c>
      <c r="D538" s="1" t="s">
        <v>2029</v>
      </c>
      <c r="E538" s="43" t="s">
        <v>1874</v>
      </c>
      <c r="F538" s="37" t="s">
        <v>2030</v>
      </c>
      <c r="G538" s="44">
        <v>99200</v>
      </c>
      <c r="H538" s="44">
        <v>992</v>
      </c>
    </row>
    <row r="539" spans="1:8">
      <c r="A539" s="90">
        <v>125462776275</v>
      </c>
      <c r="B539" s="1" t="s">
        <v>1790</v>
      </c>
      <c r="C539" s="43" t="s">
        <v>1874</v>
      </c>
      <c r="D539" s="1" t="s">
        <v>2029</v>
      </c>
      <c r="E539" s="43" t="s">
        <v>1874</v>
      </c>
      <c r="F539" s="37" t="s">
        <v>2030</v>
      </c>
      <c r="G539" s="44">
        <v>7900</v>
      </c>
      <c r="H539" s="44">
        <v>79</v>
      </c>
    </row>
    <row r="540" spans="1:8">
      <c r="A540" s="90">
        <v>126007254642</v>
      </c>
      <c r="B540" s="1" t="s">
        <v>8</v>
      </c>
      <c r="C540" s="43" t="s">
        <v>1864</v>
      </c>
      <c r="D540" s="1" t="s">
        <v>2029</v>
      </c>
      <c r="E540" s="43" t="s">
        <v>1864</v>
      </c>
      <c r="F540" s="37" t="s">
        <v>2030</v>
      </c>
      <c r="G540" s="44">
        <v>3500</v>
      </c>
      <c r="H540" s="44">
        <v>35</v>
      </c>
    </row>
    <row r="541" spans="1:8">
      <c r="A541" s="90">
        <v>126007328626</v>
      </c>
      <c r="B541" s="1" t="s">
        <v>8</v>
      </c>
      <c r="C541" s="43" t="s">
        <v>1864</v>
      </c>
      <c r="D541" s="1" t="s">
        <v>2029</v>
      </c>
      <c r="E541" s="43" t="s">
        <v>1864</v>
      </c>
      <c r="F541" s="37" t="s">
        <v>2030</v>
      </c>
      <c r="G541" s="44">
        <v>10000</v>
      </c>
      <c r="H541" s="44">
        <v>100</v>
      </c>
    </row>
    <row r="542" spans="1:8">
      <c r="A542" s="90">
        <v>125462980105</v>
      </c>
      <c r="B542" s="1" t="s">
        <v>8</v>
      </c>
      <c r="C542" s="43" t="s">
        <v>1874</v>
      </c>
      <c r="D542" s="1" t="s">
        <v>2029</v>
      </c>
      <c r="E542" s="43" t="s">
        <v>1874</v>
      </c>
      <c r="F542" s="37" t="s">
        <v>2030</v>
      </c>
      <c r="G542" s="44">
        <v>58400</v>
      </c>
      <c r="H542" s="44">
        <v>584</v>
      </c>
    </row>
    <row r="543" spans="1:8">
      <c r="A543" s="90">
        <v>125463291439</v>
      </c>
      <c r="B543" s="1" t="s">
        <v>8</v>
      </c>
      <c r="C543" s="43" t="s">
        <v>1874</v>
      </c>
      <c r="D543" s="1" t="s">
        <v>2029</v>
      </c>
      <c r="E543" s="43" t="s">
        <v>1874</v>
      </c>
      <c r="F543" s="37" t="s">
        <v>2030</v>
      </c>
      <c r="G543" s="44">
        <v>47200</v>
      </c>
      <c r="H543" s="44">
        <v>472</v>
      </c>
    </row>
    <row r="544" spans="1:8">
      <c r="A544" s="90">
        <v>126014567370</v>
      </c>
      <c r="B544" s="1" t="s">
        <v>8</v>
      </c>
      <c r="C544" s="43" t="s">
        <v>1874</v>
      </c>
      <c r="D544" s="1" t="s">
        <v>2029</v>
      </c>
      <c r="E544" s="43" t="s">
        <v>1874</v>
      </c>
      <c r="F544" s="37" t="s">
        <v>2030</v>
      </c>
      <c r="G544" s="44">
        <v>36800</v>
      </c>
      <c r="H544" s="44">
        <v>368</v>
      </c>
    </row>
    <row r="545" spans="1:8">
      <c r="A545" s="90">
        <v>125463455779</v>
      </c>
      <c r="B545" s="1" t="s">
        <v>8</v>
      </c>
      <c r="C545" s="43" t="s">
        <v>1874</v>
      </c>
      <c r="D545" s="1" t="s">
        <v>2029</v>
      </c>
      <c r="E545" s="43" t="s">
        <v>1874</v>
      </c>
      <c r="F545" s="37" t="s">
        <v>2030</v>
      </c>
      <c r="G545" s="44">
        <v>14000</v>
      </c>
      <c r="H545" s="44">
        <v>140</v>
      </c>
    </row>
    <row r="546" spans="1:8">
      <c r="A546" s="90">
        <v>126008199580</v>
      </c>
      <c r="B546" s="1" t="s">
        <v>8</v>
      </c>
      <c r="C546" s="43" t="s">
        <v>1864</v>
      </c>
      <c r="D546" s="1" t="s">
        <v>2029</v>
      </c>
      <c r="E546" s="43" t="s">
        <v>1874</v>
      </c>
      <c r="F546" s="37" t="s">
        <v>2030</v>
      </c>
      <c r="G546" s="44">
        <v>35900</v>
      </c>
      <c r="H546" s="44">
        <v>359</v>
      </c>
    </row>
    <row r="547" spans="1:8">
      <c r="A547" s="90">
        <v>126008501598</v>
      </c>
      <c r="B547" s="1" t="s">
        <v>1790</v>
      </c>
      <c r="C547" s="43" t="s">
        <v>1864</v>
      </c>
      <c r="D547" s="1" t="s">
        <v>2029</v>
      </c>
      <c r="E547" s="43" t="s">
        <v>1874</v>
      </c>
      <c r="F547" s="37" t="s">
        <v>2030</v>
      </c>
      <c r="G547" s="44">
        <v>43100</v>
      </c>
      <c r="H547" s="44">
        <v>431</v>
      </c>
    </row>
    <row r="548" spans="1:8">
      <c r="A548" s="90">
        <v>125458240273</v>
      </c>
      <c r="B548" s="1" t="s">
        <v>8</v>
      </c>
      <c r="C548" s="43" t="s">
        <v>1864</v>
      </c>
      <c r="D548" s="1" t="s">
        <v>2029</v>
      </c>
      <c r="E548" s="43" t="s">
        <v>1874</v>
      </c>
      <c r="F548" s="37" t="s">
        <v>2030</v>
      </c>
      <c r="G548" s="44">
        <v>11600</v>
      </c>
      <c r="H548" s="44">
        <v>116</v>
      </c>
    </row>
    <row r="549" spans="1:8">
      <c r="A549" s="90">
        <v>125458625329</v>
      </c>
      <c r="B549" s="1" t="s">
        <v>8</v>
      </c>
      <c r="C549" s="43" t="s">
        <v>1864</v>
      </c>
      <c r="D549" s="1" t="s">
        <v>2029</v>
      </c>
      <c r="E549" s="43" t="s">
        <v>1874</v>
      </c>
      <c r="F549" s="37" t="s">
        <v>2030</v>
      </c>
      <c r="G549" s="44">
        <v>8200</v>
      </c>
      <c r="H549" s="44">
        <v>82</v>
      </c>
    </row>
    <row r="550" spans="1:8">
      <c r="A550" s="90">
        <v>125458908029</v>
      </c>
      <c r="B550" s="1" t="s">
        <v>8</v>
      </c>
      <c r="C550" s="43" t="s">
        <v>1864</v>
      </c>
      <c r="D550" s="1" t="s">
        <v>2029</v>
      </c>
      <c r="E550" s="43" t="s">
        <v>1874</v>
      </c>
      <c r="F550" s="37" t="s">
        <v>2030</v>
      </c>
      <c r="G550" s="44">
        <v>25400</v>
      </c>
      <c r="H550" s="44">
        <v>254</v>
      </c>
    </row>
    <row r="551" spans="1:8">
      <c r="A551" s="90">
        <v>126010551652</v>
      </c>
      <c r="B551" s="1" t="s">
        <v>1790</v>
      </c>
      <c r="C551" s="43" t="s">
        <v>1864</v>
      </c>
      <c r="D551" s="1" t="s">
        <v>2029</v>
      </c>
      <c r="E551" s="43" t="s">
        <v>1874</v>
      </c>
      <c r="F551" s="37" t="s">
        <v>2030</v>
      </c>
      <c r="G551" s="44">
        <v>30500</v>
      </c>
      <c r="H551" s="44">
        <v>305</v>
      </c>
    </row>
    <row r="552" spans="1:8">
      <c r="A552" s="90">
        <v>125459770589</v>
      </c>
      <c r="B552" s="1" t="s">
        <v>1790</v>
      </c>
      <c r="C552" s="43" t="s">
        <v>1874</v>
      </c>
      <c r="D552" s="1" t="s">
        <v>2029</v>
      </c>
      <c r="E552" s="43" t="s">
        <v>1874</v>
      </c>
      <c r="F552" s="37" t="s">
        <v>2030</v>
      </c>
      <c r="G552" s="44">
        <v>42500</v>
      </c>
      <c r="H552" s="44">
        <v>425</v>
      </c>
    </row>
    <row r="553" spans="1:8">
      <c r="A553" s="90">
        <v>125459913579</v>
      </c>
      <c r="B553" s="1" t="s">
        <v>8</v>
      </c>
      <c r="C553" s="43" t="s">
        <v>1874</v>
      </c>
      <c r="D553" s="1" t="s">
        <v>2029</v>
      </c>
      <c r="E553" s="43" t="s">
        <v>1874</v>
      </c>
      <c r="F553" s="37" t="s">
        <v>2030</v>
      </c>
      <c r="G553" s="44">
        <v>7400</v>
      </c>
      <c r="H553" s="44">
        <v>74</v>
      </c>
    </row>
    <row r="554" spans="1:8">
      <c r="A554" s="90">
        <v>126011371400</v>
      </c>
      <c r="B554" s="1" t="s">
        <v>8</v>
      </c>
      <c r="C554" s="43" t="s">
        <v>1874</v>
      </c>
      <c r="D554" s="1" t="s">
        <v>2029</v>
      </c>
      <c r="E554" s="43" t="s">
        <v>1874</v>
      </c>
      <c r="F554" s="37" t="s">
        <v>2030</v>
      </c>
      <c r="G554" s="44">
        <v>12800</v>
      </c>
      <c r="H554" s="44">
        <v>128</v>
      </c>
    </row>
    <row r="555" spans="1:8">
      <c r="A555" s="90">
        <v>125460195335</v>
      </c>
      <c r="B555" s="1" t="s">
        <v>8</v>
      </c>
      <c r="C555" s="43" t="s">
        <v>1874</v>
      </c>
      <c r="D555" s="1" t="s">
        <v>2029</v>
      </c>
      <c r="E555" s="43" t="s">
        <v>1874</v>
      </c>
      <c r="F555" s="37" t="s">
        <v>2030</v>
      </c>
      <c r="G555" s="44">
        <v>7800</v>
      </c>
      <c r="H555" s="44">
        <v>78</v>
      </c>
    </row>
    <row r="556" spans="1:8">
      <c r="A556" s="90">
        <v>125460516437</v>
      </c>
      <c r="B556" s="1" t="s">
        <v>1790</v>
      </c>
      <c r="C556" s="43" t="s">
        <v>1874</v>
      </c>
      <c r="D556" s="1" t="s">
        <v>2029</v>
      </c>
      <c r="E556" s="43" t="s">
        <v>1874</v>
      </c>
      <c r="F556" s="37" t="s">
        <v>2030</v>
      </c>
      <c r="G556" s="44">
        <v>36400</v>
      </c>
      <c r="H556" s="44">
        <v>364</v>
      </c>
    </row>
    <row r="557" spans="1:8">
      <c r="A557" s="90">
        <v>126012314684</v>
      </c>
      <c r="B557" s="1" t="s">
        <v>1790</v>
      </c>
      <c r="C557" s="43" t="s">
        <v>1874</v>
      </c>
      <c r="D557" s="1" t="s">
        <v>2029</v>
      </c>
      <c r="E557" s="43" t="s">
        <v>1874</v>
      </c>
      <c r="F557" s="37" t="s">
        <v>2030</v>
      </c>
      <c r="G557" s="44">
        <v>41700</v>
      </c>
      <c r="H557" s="44">
        <v>417</v>
      </c>
    </row>
    <row r="558" spans="1:8">
      <c r="A558" s="90">
        <v>126012854938</v>
      </c>
      <c r="B558" s="1" t="s">
        <v>8</v>
      </c>
      <c r="C558" s="43" t="s">
        <v>1874</v>
      </c>
      <c r="D558" s="1" t="s">
        <v>2029</v>
      </c>
      <c r="E558" s="43" t="s">
        <v>1874</v>
      </c>
      <c r="F558" s="37" t="s">
        <v>2030</v>
      </c>
      <c r="G558" s="44">
        <v>10600</v>
      </c>
      <c r="H558" s="44">
        <v>106</v>
      </c>
    </row>
    <row r="559" spans="1:8">
      <c r="A559" s="90">
        <v>126012972604</v>
      </c>
      <c r="B559" s="1" t="s">
        <v>8</v>
      </c>
      <c r="C559" s="43" t="s">
        <v>1874</v>
      </c>
      <c r="D559" s="1" t="s">
        <v>2029</v>
      </c>
      <c r="E559" s="43" t="s">
        <v>1874</v>
      </c>
      <c r="F559" s="37" t="s">
        <v>2030</v>
      </c>
      <c r="G559" s="44">
        <v>41200</v>
      </c>
      <c r="H559" s="44">
        <v>412</v>
      </c>
    </row>
    <row r="560" spans="1:8">
      <c r="A560" s="90">
        <v>125461936825</v>
      </c>
      <c r="B560" s="1" t="s">
        <v>1790</v>
      </c>
      <c r="C560" s="43" t="s">
        <v>1874</v>
      </c>
      <c r="D560" s="1" t="s">
        <v>2029</v>
      </c>
      <c r="E560" s="43" t="s">
        <v>1874</v>
      </c>
      <c r="F560" s="37" t="s">
        <v>2030</v>
      </c>
      <c r="G560" s="44">
        <v>14700</v>
      </c>
      <c r="H560" s="44">
        <v>147</v>
      </c>
    </row>
    <row r="561" spans="1:8">
      <c r="A561" s="90">
        <v>126013525296</v>
      </c>
      <c r="B561" s="1" t="s">
        <v>8</v>
      </c>
      <c r="C561" s="43" t="s">
        <v>1874</v>
      </c>
      <c r="D561" s="1" t="s">
        <v>2029</v>
      </c>
      <c r="E561" s="43" t="s">
        <v>1874</v>
      </c>
      <c r="F561" s="37" t="s">
        <v>2030</v>
      </c>
      <c r="G561" s="44">
        <v>23500</v>
      </c>
      <c r="H561" s="44">
        <v>235</v>
      </c>
    </row>
    <row r="562" spans="1:8">
      <c r="A562" s="90">
        <v>126014168820</v>
      </c>
      <c r="B562" s="1" t="s">
        <v>8</v>
      </c>
      <c r="C562" s="43" t="s">
        <v>1874</v>
      </c>
      <c r="D562" s="1" t="s">
        <v>2029</v>
      </c>
      <c r="E562" s="43" t="s">
        <v>1874</v>
      </c>
      <c r="F562" s="37" t="s">
        <v>2030</v>
      </c>
      <c r="G562" s="44">
        <v>28700</v>
      </c>
      <c r="H562" s="44">
        <v>287</v>
      </c>
    </row>
    <row r="563" spans="1:8">
      <c r="A563" s="90">
        <v>125463043451</v>
      </c>
      <c r="B563" s="1" t="s">
        <v>8</v>
      </c>
      <c r="C563" s="43" t="s">
        <v>1874</v>
      </c>
      <c r="D563" s="1" t="s">
        <v>2029</v>
      </c>
      <c r="E563" s="43" t="s">
        <v>1874</v>
      </c>
      <c r="F563" s="37" t="s">
        <v>2030</v>
      </c>
      <c r="G563" s="44">
        <v>10500</v>
      </c>
      <c r="H563" s="44">
        <v>105</v>
      </c>
    </row>
    <row r="564" spans="1:8">
      <c r="A564" s="90">
        <v>126014227310</v>
      </c>
      <c r="B564" s="1" t="s">
        <v>8</v>
      </c>
      <c r="C564" s="43" t="s">
        <v>1874</v>
      </c>
      <c r="D564" s="1" t="s">
        <v>2029</v>
      </c>
      <c r="E564" s="43" t="s">
        <v>1874</v>
      </c>
      <c r="F564" s="37" t="s">
        <v>2030</v>
      </c>
      <c r="G564" s="44">
        <v>23500</v>
      </c>
      <c r="H564" s="44">
        <v>235</v>
      </c>
    </row>
    <row r="565" spans="1:8">
      <c r="A565" s="90">
        <v>125463091997</v>
      </c>
      <c r="B565" s="1" t="s">
        <v>8</v>
      </c>
      <c r="C565" s="43" t="s">
        <v>1874</v>
      </c>
      <c r="D565" s="1" t="s">
        <v>2029</v>
      </c>
      <c r="E565" s="43" t="s">
        <v>1874</v>
      </c>
      <c r="F565" s="37" t="s">
        <v>2030</v>
      </c>
      <c r="G565" s="44">
        <v>15800</v>
      </c>
      <c r="H565" s="44">
        <v>158</v>
      </c>
    </row>
    <row r="566" spans="1:8">
      <c r="A566" s="90">
        <v>126014664178</v>
      </c>
      <c r="B566" s="1" t="s">
        <v>1790</v>
      </c>
      <c r="C566" s="43" t="s">
        <v>1874</v>
      </c>
      <c r="D566" s="1" t="s">
        <v>2029</v>
      </c>
      <c r="E566" s="43" t="s">
        <v>1874</v>
      </c>
      <c r="F566" s="37" t="s">
        <v>2030</v>
      </c>
      <c r="G566" s="44">
        <v>121000</v>
      </c>
      <c r="H566" s="44">
        <v>1210</v>
      </c>
    </row>
    <row r="567" spans="1:8">
      <c r="A567" s="90">
        <v>125463562387</v>
      </c>
      <c r="B567" s="1" t="s">
        <v>8</v>
      </c>
      <c r="C567" s="43" t="s">
        <v>1874</v>
      </c>
      <c r="D567" s="1" t="s">
        <v>2029</v>
      </c>
      <c r="E567" s="43" t="s">
        <v>1874</v>
      </c>
      <c r="F567" s="37" t="s">
        <v>2030</v>
      </c>
      <c r="G567" s="44">
        <v>7200</v>
      </c>
      <c r="H567" s="44">
        <v>72</v>
      </c>
    </row>
    <row r="568" spans="1:8">
      <c r="A568" s="90">
        <v>126096640836</v>
      </c>
      <c r="B568" s="1" t="s">
        <v>1790</v>
      </c>
      <c r="C568" s="43" t="s">
        <v>1874</v>
      </c>
      <c r="D568" s="1" t="s">
        <v>2029</v>
      </c>
      <c r="E568" s="43" t="s">
        <v>1874</v>
      </c>
      <c r="F568" s="37" t="s">
        <v>2030</v>
      </c>
      <c r="G568" s="44">
        <v>7800</v>
      </c>
      <c r="H568" s="44">
        <v>78</v>
      </c>
    </row>
    <row r="569" spans="1:8">
      <c r="A569" s="90">
        <v>126099304852</v>
      </c>
      <c r="B569" s="1" t="s">
        <v>8</v>
      </c>
      <c r="C569" s="43" t="s">
        <v>1874</v>
      </c>
      <c r="D569" s="1" t="s">
        <v>2029</v>
      </c>
      <c r="E569" s="43" t="s">
        <v>1874</v>
      </c>
      <c r="F569" s="37" t="s">
        <v>2030</v>
      </c>
      <c r="G569" s="44">
        <v>15300</v>
      </c>
      <c r="H569" s="44">
        <v>153</v>
      </c>
    </row>
    <row r="570" spans="1:8">
      <c r="A570" s="90">
        <v>126105964490</v>
      </c>
      <c r="B570" s="1" t="s">
        <v>1790</v>
      </c>
      <c r="C570" s="43" t="s">
        <v>1874</v>
      </c>
      <c r="D570" s="1" t="s">
        <v>2029</v>
      </c>
      <c r="E570" s="43" t="s">
        <v>1874</v>
      </c>
      <c r="F570" s="37" t="s">
        <v>2030</v>
      </c>
      <c r="G570" s="44">
        <v>12100</v>
      </c>
      <c r="H570" s="44">
        <v>121</v>
      </c>
    </row>
    <row r="571" spans="1:8">
      <c r="A571" s="90">
        <v>125554253101</v>
      </c>
      <c r="B571" s="1" t="s">
        <v>8</v>
      </c>
      <c r="C571" s="43" t="s">
        <v>1874</v>
      </c>
      <c r="D571" s="1" t="s">
        <v>2029</v>
      </c>
      <c r="E571" s="43" t="s">
        <v>1874</v>
      </c>
      <c r="F571" s="37" t="s">
        <v>2030</v>
      </c>
      <c r="G571" s="44">
        <v>4300</v>
      </c>
      <c r="H571" s="44">
        <v>43</v>
      </c>
    </row>
    <row r="572" spans="1:8">
      <c r="A572" s="90">
        <v>125554633827</v>
      </c>
      <c r="B572" s="1" t="s">
        <v>8</v>
      </c>
      <c r="C572" s="43" t="s">
        <v>1874</v>
      </c>
      <c r="D572" s="1" t="s">
        <v>2029</v>
      </c>
      <c r="E572" s="43" t="s">
        <v>1874</v>
      </c>
      <c r="F572" s="37" t="s">
        <v>2030</v>
      </c>
      <c r="G572" s="44">
        <v>8600</v>
      </c>
      <c r="H572" s="44">
        <v>86</v>
      </c>
    </row>
    <row r="573" spans="1:8">
      <c r="A573" s="90">
        <v>126109192968</v>
      </c>
      <c r="B573" s="1" t="s">
        <v>8</v>
      </c>
      <c r="C573" s="43" t="s">
        <v>1874</v>
      </c>
      <c r="D573" s="1" t="s">
        <v>2029</v>
      </c>
      <c r="E573" s="43" t="s">
        <v>1874</v>
      </c>
      <c r="F573" s="37" t="s">
        <v>2030</v>
      </c>
      <c r="G573" s="44">
        <v>10900</v>
      </c>
      <c r="H573" s="44">
        <v>109</v>
      </c>
    </row>
    <row r="574" spans="1:8">
      <c r="A574" s="90">
        <v>126110485752</v>
      </c>
      <c r="B574" s="1" t="s">
        <v>8</v>
      </c>
      <c r="C574" s="43" t="s">
        <v>1874</v>
      </c>
      <c r="D574" s="1" t="s">
        <v>2029</v>
      </c>
      <c r="E574" s="43" t="s">
        <v>1874</v>
      </c>
      <c r="F574" s="37" t="s">
        <v>2030</v>
      </c>
      <c r="G574" s="44">
        <v>4300</v>
      </c>
      <c r="H574" s="44">
        <v>43</v>
      </c>
    </row>
    <row r="575" spans="1:8">
      <c r="A575" s="90">
        <v>126103502012</v>
      </c>
      <c r="B575" s="1" t="s">
        <v>8</v>
      </c>
      <c r="C575" s="43" t="s">
        <v>1874</v>
      </c>
      <c r="D575" s="1" t="s">
        <v>2029</v>
      </c>
      <c r="E575" s="43" t="s">
        <v>1874</v>
      </c>
      <c r="F575" s="37" t="s">
        <v>2030</v>
      </c>
      <c r="G575" s="44">
        <v>39200</v>
      </c>
      <c r="H575" s="44">
        <v>392</v>
      </c>
    </row>
    <row r="576" spans="1:8">
      <c r="A576" s="90">
        <v>126105503786</v>
      </c>
      <c r="B576" s="1" t="s">
        <v>8</v>
      </c>
      <c r="C576" s="43" t="s">
        <v>1874</v>
      </c>
      <c r="D576" s="1" t="s">
        <v>2029</v>
      </c>
      <c r="E576" s="43" t="s">
        <v>1874</v>
      </c>
      <c r="F576" s="37" t="s">
        <v>2030</v>
      </c>
      <c r="G576" s="44">
        <v>15900</v>
      </c>
      <c r="H576" s="44">
        <v>159</v>
      </c>
    </row>
    <row r="577" spans="1:8">
      <c r="A577" s="90">
        <v>125561730289</v>
      </c>
      <c r="B577" s="1" t="s">
        <v>1790</v>
      </c>
      <c r="C577" s="43" t="s">
        <v>1874</v>
      </c>
      <c r="D577" s="1" t="s">
        <v>2029</v>
      </c>
      <c r="E577" s="43" t="s">
        <v>1874</v>
      </c>
      <c r="F577" s="37" t="s">
        <v>2030</v>
      </c>
      <c r="G577" s="44">
        <v>35400</v>
      </c>
      <c r="H577" s="44">
        <v>354</v>
      </c>
    </row>
    <row r="578" spans="1:8">
      <c r="A578" s="90">
        <v>125562837095</v>
      </c>
      <c r="B578" s="1" t="s">
        <v>8</v>
      </c>
      <c r="C578" s="43" t="s">
        <v>1874</v>
      </c>
      <c r="D578" s="1" t="s">
        <v>2029</v>
      </c>
      <c r="E578" s="43" t="s">
        <v>1874</v>
      </c>
      <c r="F578" s="37" t="s">
        <v>2030</v>
      </c>
      <c r="G578" s="44">
        <v>9000</v>
      </c>
      <c r="H578" s="44">
        <v>90</v>
      </c>
    </row>
    <row r="579" spans="1:8">
      <c r="A579" s="90">
        <v>125557181285</v>
      </c>
      <c r="B579" s="1" t="s">
        <v>8</v>
      </c>
      <c r="C579" s="43" t="s">
        <v>1874</v>
      </c>
      <c r="D579" s="1" t="s">
        <v>2029</v>
      </c>
      <c r="E579" s="43" t="s">
        <v>1874</v>
      </c>
      <c r="F579" s="37" t="s">
        <v>2030</v>
      </c>
      <c r="G579" s="44">
        <v>15600</v>
      </c>
      <c r="H579" s="44">
        <v>156</v>
      </c>
    </row>
    <row r="580" spans="1:8">
      <c r="A580" s="90">
        <v>125558021461</v>
      </c>
      <c r="B580" s="1" t="s">
        <v>1790</v>
      </c>
      <c r="C580" s="43" t="s">
        <v>1874</v>
      </c>
      <c r="D580" s="1" t="s">
        <v>2029</v>
      </c>
      <c r="E580" s="43" t="s">
        <v>1874</v>
      </c>
      <c r="F580" s="37" t="s">
        <v>2030</v>
      </c>
      <c r="G580" s="44">
        <v>4300</v>
      </c>
      <c r="H580" s="44">
        <v>43</v>
      </c>
    </row>
    <row r="581" spans="1:8">
      <c r="A581" s="90">
        <v>125565748807</v>
      </c>
      <c r="B581" s="1" t="s">
        <v>8</v>
      </c>
      <c r="C581" s="43" t="s">
        <v>1874</v>
      </c>
      <c r="D581" s="1" t="s">
        <v>2029</v>
      </c>
      <c r="E581" s="43" t="s">
        <v>1874</v>
      </c>
      <c r="F581" s="37" t="s">
        <v>2030</v>
      </c>
      <c r="G581" s="44">
        <v>30000</v>
      </c>
      <c r="H581" s="44">
        <v>300</v>
      </c>
    </row>
    <row r="582" spans="1:8">
      <c r="A582" s="90">
        <v>126110608540</v>
      </c>
      <c r="B582" s="1" t="s">
        <v>8</v>
      </c>
      <c r="C582" s="43" t="s">
        <v>1874</v>
      </c>
      <c r="D582" s="1" t="s">
        <v>2029</v>
      </c>
      <c r="E582" s="43" t="s">
        <v>1874</v>
      </c>
      <c r="F582" s="37" t="s">
        <v>2030</v>
      </c>
      <c r="G582" s="44">
        <v>12600</v>
      </c>
      <c r="H582" s="44">
        <v>126</v>
      </c>
    </row>
    <row r="583" spans="1:8">
      <c r="A583" s="90">
        <v>126118455600</v>
      </c>
      <c r="B583" s="1" t="s">
        <v>1790</v>
      </c>
      <c r="C583" s="43" t="s">
        <v>1874</v>
      </c>
      <c r="D583" s="1" t="s">
        <v>2029</v>
      </c>
      <c r="E583" s="43" t="s">
        <v>1874</v>
      </c>
      <c r="F583" s="37" t="s">
        <v>2030</v>
      </c>
      <c r="G583" s="44">
        <v>49600</v>
      </c>
      <c r="H583" s="44">
        <v>496</v>
      </c>
    </row>
    <row r="584" spans="1:8">
      <c r="A584" s="90">
        <v>125566797827</v>
      </c>
      <c r="B584" s="1" t="s">
        <v>1790</v>
      </c>
      <c r="C584" s="43" t="s">
        <v>1874</v>
      </c>
      <c r="D584" s="1" t="s">
        <v>2029</v>
      </c>
      <c r="E584" s="43" t="s">
        <v>1874</v>
      </c>
      <c r="F584" s="37" t="s">
        <v>2030</v>
      </c>
      <c r="G584" s="44">
        <v>56600</v>
      </c>
      <c r="H584" s="44">
        <v>566</v>
      </c>
    </row>
    <row r="585" spans="1:8">
      <c r="A585" s="90">
        <v>125559982515</v>
      </c>
      <c r="B585" s="1" t="s">
        <v>8</v>
      </c>
      <c r="C585" s="43" t="s">
        <v>1874</v>
      </c>
      <c r="D585" s="1" t="s">
        <v>2029</v>
      </c>
      <c r="E585" s="43" t="s">
        <v>1874</v>
      </c>
      <c r="F585" s="37" t="s">
        <v>2030</v>
      </c>
      <c r="G585" s="44">
        <v>26500</v>
      </c>
      <c r="H585" s="44">
        <v>265</v>
      </c>
    </row>
    <row r="586" spans="1:8">
      <c r="A586" s="90">
        <v>126111930026</v>
      </c>
      <c r="B586" s="1" t="s">
        <v>1790</v>
      </c>
      <c r="C586" s="43" t="s">
        <v>1874</v>
      </c>
      <c r="D586" s="1" t="s">
        <v>2029</v>
      </c>
      <c r="E586" s="43" t="s">
        <v>1874</v>
      </c>
      <c r="F586" s="37" t="s">
        <v>2030</v>
      </c>
      <c r="G586" s="44">
        <v>49600</v>
      </c>
      <c r="H586" s="44">
        <v>496</v>
      </c>
    </row>
    <row r="587" spans="1:8">
      <c r="A587" s="90">
        <v>126120126774</v>
      </c>
      <c r="B587" s="1" t="s">
        <v>1790</v>
      </c>
      <c r="C587" s="43" t="s">
        <v>1874</v>
      </c>
      <c r="D587" s="1" t="s">
        <v>2029</v>
      </c>
      <c r="E587" s="43" t="s">
        <v>1874</v>
      </c>
      <c r="F587" s="37" t="s">
        <v>2030</v>
      </c>
      <c r="G587" s="44">
        <v>27700</v>
      </c>
      <c r="H587" s="44">
        <v>277</v>
      </c>
    </row>
    <row r="588" spans="1:8">
      <c r="A588" s="90">
        <v>126121422420</v>
      </c>
      <c r="B588" s="1" t="s">
        <v>8</v>
      </c>
      <c r="C588" s="43" t="s">
        <v>1874</v>
      </c>
      <c r="D588" s="1" t="s">
        <v>2029</v>
      </c>
      <c r="E588" s="43" t="s">
        <v>1874</v>
      </c>
      <c r="F588" s="37" t="s">
        <v>2030</v>
      </c>
      <c r="G588" s="44">
        <v>43100</v>
      </c>
      <c r="H588" s="44">
        <v>431</v>
      </c>
    </row>
    <row r="589" spans="1:8">
      <c r="A589" s="90">
        <v>126121449144</v>
      </c>
      <c r="B589" s="1" t="s">
        <v>8</v>
      </c>
      <c r="C589" s="43" t="s">
        <v>1874</v>
      </c>
      <c r="D589" s="1" t="s">
        <v>2029</v>
      </c>
      <c r="E589" s="43" t="s">
        <v>1874</v>
      </c>
      <c r="F589" s="37" t="s">
        <v>2030</v>
      </c>
      <c r="G589" s="44">
        <v>32300</v>
      </c>
      <c r="H589" s="44">
        <v>323</v>
      </c>
    </row>
    <row r="590" spans="1:8">
      <c r="A590" s="90">
        <v>126121361624</v>
      </c>
      <c r="B590" s="1" t="s">
        <v>1790</v>
      </c>
      <c r="C590" s="43" t="s">
        <v>1874</v>
      </c>
      <c r="D590" s="1" t="s">
        <v>2029</v>
      </c>
      <c r="E590" s="43" t="s">
        <v>1874</v>
      </c>
      <c r="F590" s="37" t="s">
        <v>2030</v>
      </c>
      <c r="G590" s="44">
        <v>66400</v>
      </c>
      <c r="H590" s="44">
        <v>664</v>
      </c>
    </row>
    <row r="591" spans="1:8">
      <c r="A591" s="90">
        <v>126122277928</v>
      </c>
      <c r="B591" s="1" t="s">
        <v>1790</v>
      </c>
      <c r="C591" s="43" t="s">
        <v>1874</v>
      </c>
      <c r="D591" s="1" t="s">
        <v>2029</v>
      </c>
      <c r="E591" s="43" t="s">
        <v>1874</v>
      </c>
      <c r="F591" s="37" t="s">
        <v>2030</v>
      </c>
      <c r="G591" s="44">
        <v>38100</v>
      </c>
      <c r="H591" s="44">
        <v>381</v>
      </c>
    </row>
    <row r="592" spans="1:8">
      <c r="A592" s="90">
        <v>125563294919</v>
      </c>
      <c r="B592" s="1" t="s">
        <v>1790</v>
      </c>
      <c r="C592" s="43" t="s">
        <v>1874</v>
      </c>
      <c r="D592" s="1" t="s">
        <v>2029</v>
      </c>
      <c r="E592" s="43" t="s">
        <v>1874</v>
      </c>
      <c r="F592" s="37" t="s">
        <v>2030</v>
      </c>
      <c r="G592" s="44">
        <v>5500</v>
      </c>
      <c r="H592" s="44">
        <v>55</v>
      </c>
    </row>
    <row r="593" spans="1:8">
      <c r="A593" s="90">
        <v>126123126956</v>
      </c>
      <c r="B593" s="1" t="s">
        <v>1790</v>
      </c>
      <c r="C593" s="43" t="s">
        <v>1874</v>
      </c>
      <c r="D593" s="1" t="s">
        <v>2029</v>
      </c>
      <c r="E593" s="43" t="s">
        <v>1874</v>
      </c>
      <c r="F593" s="37" t="s">
        <v>2030</v>
      </c>
      <c r="G593" s="44">
        <v>41200</v>
      </c>
      <c r="H593" s="44">
        <v>412</v>
      </c>
    </row>
    <row r="594" spans="1:8">
      <c r="A594" s="90">
        <v>125571870311</v>
      </c>
      <c r="B594" s="1" t="s">
        <v>8</v>
      </c>
      <c r="C594" s="43" t="s">
        <v>1874</v>
      </c>
      <c r="D594" s="1" t="s">
        <v>2029</v>
      </c>
      <c r="E594" s="43" t="s">
        <v>1874</v>
      </c>
      <c r="F594" s="37" t="s">
        <v>2030</v>
      </c>
      <c r="G594" s="44">
        <v>38100</v>
      </c>
      <c r="H594" s="44">
        <v>381</v>
      </c>
    </row>
    <row r="595" spans="1:8">
      <c r="A595" s="90">
        <v>125571861443</v>
      </c>
      <c r="B595" s="1" t="s">
        <v>8</v>
      </c>
      <c r="C595" s="43" t="s">
        <v>1874</v>
      </c>
      <c r="D595" s="1" t="s">
        <v>2029</v>
      </c>
      <c r="E595" s="43" t="s">
        <v>1874</v>
      </c>
      <c r="F595" s="37" t="s">
        <v>2030</v>
      </c>
      <c r="G595" s="44">
        <v>3500</v>
      </c>
      <c r="H595" s="44">
        <v>35</v>
      </c>
    </row>
    <row r="596" spans="1:8">
      <c r="A596" s="90">
        <v>125565056217</v>
      </c>
      <c r="B596" s="1" t="s">
        <v>1790</v>
      </c>
      <c r="C596" s="43" t="s">
        <v>1874</v>
      </c>
      <c r="D596" s="1" t="s">
        <v>2029</v>
      </c>
      <c r="E596" s="43" t="s">
        <v>1874</v>
      </c>
      <c r="F596" s="37" t="s">
        <v>2030</v>
      </c>
      <c r="G596" s="44">
        <v>38700</v>
      </c>
      <c r="H596" s="44">
        <v>387</v>
      </c>
    </row>
    <row r="597" spans="1:8">
      <c r="A597" s="90">
        <v>125572517133</v>
      </c>
      <c r="B597" s="1" t="s">
        <v>8</v>
      </c>
      <c r="C597" s="43" t="s">
        <v>1874</v>
      </c>
      <c r="D597" s="1" t="s">
        <v>2029</v>
      </c>
      <c r="E597" s="43" t="s">
        <v>1879</v>
      </c>
      <c r="F597" s="37" t="s">
        <v>2030</v>
      </c>
      <c r="G597" s="44">
        <v>27400</v>
      </c>
      <c r="H597" s="44">
        <v>274</v>
      </c>
    </row>
    <row r="598" spans="1:8">
      <c r="A598" s="90">
        <v>125573390505</v>
      </c>
      <c r="B598" s="1" t="s">
        <v>8</v>
      </c>
      <c r="C598" s="43" t="s">
        <v>1874</v>
      </c>
      <c r="D598" s="1" t="s">
        <v>2029</v>
      </c>
      <c r="E598" s="43" t="s">
        <v>1879</v>
      </c>
      <c r="F598" s="37" t="s">
        <v>2030</v>
      </c>
      <c r="G598" s="44">
        <v>56200</v>
      </c>
      <c r="H598" s="44">
        <v>562</v>
      </c>
    </row>
    <row r="599" spans="1:8">
      <c r="A599" s="90">
        <v>126125649050</v>
      </c>
      <c r="B599" s="1" t="s">
        <v>1790</v>
      </c>
      <c r="C599" s="43" t="s">
        <v>1874</v>
      </c>
      <c r="D599" s="1" t="s">
        <v>2029</v>
      </c>
      <c r="E599" s="43" t="s">
        <v>1879</v>
      </c>
      <c r="F599" s="37" t="s">
        <v>2030</v>
      </c>
      <c r="G599" s="44">
        <v>69500</v>
      </c>
      <c r="H599" s="44">
        <v>695</v>
      </c>
    </row>
    <row r="600" spans="1:8">
      <c r="A600" s="90">
        <v>125573766089</v>
      </c>
      <c r="B600" s="1" t="s">
        <v>1790</v>
      </c>
      <c r="C600" s="43" t="s">
        <v>1874</v>
      </c>
      <c r="D600" s="1" t="s">
        <v>2029</v>
      </c>
      <c r="E600" s="43" t="s">
        <v>1879</v>
      </c>
      <c r="F600" s="37" t="s">
        <v>2030</v>
      </c>
      <c r="G600" s="44">
        <v>6900</v>
      </c>
      <c r="H600" s="44">
        <v>69</v>
      </c>
    </row>
    <row r="601" spans="1:8">
      <c r="A601" s="90">
        <v>126125865338</v>
      </c>
      <c r="B601" s="1" t="s">
        <v>1790</v>
      </c>
      <c r="C601" s="43" t="s">
        <v>1874</v>
      </c>
      <c r="D601" s="1" t="s">
        <v>2029</v>
      </c>
      <c r="E601" s="43" t="s">
        <v>1879</v>
      </c>
      <c r="F601" s="37" t="s">
        <v>2030</v>
      </c>
      <c r="G601" s="44">
        <v>36700</v>
      </c>
      <c r="H601" s="44">
        <v>367</v>
      </c>
    </row>
    <row r="602" spans="1:8">
      <c r="A602" s="90">
        <v>126126003700</v>
      </c>
      <c r="B602" s="1" t="s">
        <v>8</v>
      </c>
      <c r="C602" s="43" t="s">
        <v>1874</v>
      </c>
      <c r="D602" s="1" t="s">
        <v>2029</v>
      </c>
      <c r="E602" s="43" t="s">
        <v>1879</v>
      </c>
      <c r="F602" s="37" t="s">
        <v>2030</v>
      </c>
      <c r="G602" s="44">
        <v>55500</v>
      </c>
      <c r="H602" s="44">
        <v>555</v>
      </c>
    </row>
    <row r="603" spans="1:8">
      <c r="A603" s="90">
        <v>125574552839</v>
      </c>
      <c r="B603" s="1" t="s">
        <v>8</v>
      </c>
      <c r="C603" s="43" t="s">
        <v>1874</v>
      </c>
      <c r="D603" s="1" t="s">
        <v>2029</v>
      </c>
      <c r="E603" s="43" t="s">
        <v>1879</v>
      </c>
      <c r="F603" s="37" t="s">
        <v>2030</v>
      </c>
      <c r="G603" s="44">
        <v>50700</v>
      </c>
      <c r="H603" s="44">
        <v>507</v>
      </c>
    </row>
    <row r="604" spans="1:8">
      <c r="A604" s="90">
        <v>126126279136</v>
      </c>
      <c r="B604" s="1" t="s">
        <v>8</v>
      </c>
      <c r="C604" s="43" t="s">
        <v>1874</v>
      </c>
      <c r="D604" s="1" t="s">
        <v>2029</v>
      </c>
      <c r="E604" s="43" t="s">
        <v>1879</v>
      </c>
      <c r="F604" s="37" t="s">
        <v>2030</v>
      </c>
      <c r="G604" s="44">
        <v>44900</v>
      </c>
      <c r="H604" s="44">
        <v>449</v>
      </c>
    </row>
    <row r="605" spans="1:8">
      <c r="A605" s="90">
        <v>125575047745</v>
      </c>
      <c r="B605" s="1" t="s">
        <v>1790</v>
      </c>
      <c r="C605" s="43" t="s">
        <v>1874</v>
      </c>
      <c r="D605" s="1" t="s">
        <v>2029</v>
      </c>
      <c r="E605" s="43" t="s">
        <v>1879</v>
      </c>
      <c r="F605" s="37" t="s">
        <v>2030</v>
      </c>
      <c r="G605" s="44">
        <v>50600</v>
      </c>
      <c r="H605" s="44">
        <v>506</v>
      </c>
    </row>
    <row r="606" spans="1:8">
      <c r="A606" s="90">
        <v>126127444242</v>
      </c>
      <c r="B606" s="1" t="s">
        <v>1790</v>
      </c>
      <c r="C606" s="43" t="s">
        <v>1874</v>
      </c>
      <c r="D606" s="1" t="s">
        <v>2029</v>
      </c>
      <c r="E606" s="43" t="s">
        <v>1879</v>
      </c>
      <c r="F606" s="37" t="s">
        <v>2030</v>
      </c>
      <c r="G606" s="44">
        <v>36000</v>
      </c>
      <c r="H606" s="44">
        <v>360</v>
      </c>
    </row>
    <row r="607" spans="1:8">
      <c r="A607" s="90">
        <v>126127972920</v>
      </c>
      <c r="B607" s="1" t="s">
        <v>8</v>
      </c>
      <c r="C607" s="43" t="s">
        <v>1879</v>
      </c>
      <c r="D607" s="1" t="s">
        <v>2029</v>
      </c>
      <c r="E607" s="43" t="s">
        <v>1879</v>
      </c>
      <c r="F607" s="37" t="s">
        <v>2030</v>
      </c>
      <c r="G607" s="44">
        <v>9000</v>
      </c>
      <c r="H607" s="44">
        <v>90</v>
      </c>
    </row>
    <row r="608" spans="1:8">
      <c r="A608" s="90">
        <v>126120191518</v>
      </c>
      <c r="B608" s="1" t="s">
        <v>1790</v>
      </c>
      <c r="C608" s="43" t="s">
        <v>1874</v>
      </c>
      <c r="D608" s="1" t="s">
        <v>2029</v>
      </c>
      <c r="E608" s="43" t="s">
        <v>1874</v>
      </c>
      <c r="F608" s="37" t="s">
        <v>2030</v>
      </c>
      <c r="G608" s="44">
        <v>32400</v>
      </c>
      <c r="H608" s="44">
        <v>324</v>
      </c>
    </row>
    <row r="609" spans="1:8">
      <c r="A609" s="90">
        <v>126128300134</v>
      </c>
      <c r="B609" s="1" t="s">
        <v>1790</v>
      </c>
      <c r="C609" s="43" t="s">
        <v>1879</v>
      </c>
      <c r="D609" s="1" t="s">
        <v>2029</v>
      </c>
      <c r="E609" s="43" t="s">
        <v>1879</v>
      </c>
      <c r="F609" s="37" t="s">
        <v>2030</v>
      </c>
      <c r="G609" s="44">
        <v>37200</v>
      </c>
      <c r="H609" s="44">
        <v>372</v>
      </c>
    </row>
    <row r="610" spans="1:8">
      <c r="A610" s="90">
        <v>126128476864</v>
      </c>
      <c r="B610" s="1" t="s">
        <v>8</v>
      </c>
      <c r="C610" s="43" t="s">
        <v>1879</v>
      </c>
      <c r="D610" s="1" t="s">
        <v>2029</v>
      </c>
      <c r="E610" s="43" t="s">
        <v>1879</v>
      </c>
      <c r="F610" s="37" t="s">
        <v>2030</v>
      </c>
      <c r="G610" s="44">
        <v>121200</v>
      </c>
      <c r="H610" s="44">
        <v>1212</v>
      </c>
    </row>
    <row r="611" spans="1:8">
      <c r="A611" s="90">
        <v>125576351683</v>
      </c>
      <c r="B611" s="1" t="s">
        <v>8</v>
      </c>
      <c r="C611" s="43" t="s">
        <v>1879</v>
      </c>
      <c r="D611" s="1" t="s">
        <v>2029</v>
      </c>
      <c r="E611" s="43" t="s">
        <v>1879</v>
      </c>
      <c r="F611" s="37" t="s">
        <v>2030</v>
      </c>
      <c r="G611" s="44">
        <v>39600</v>
      </c>
      <c r="H611" s="44">
        <v>396</v>
      </c>
    </row>
    <row r="612" spans="1:8">
      <c r="A612" s="90">
        <v>125569052645</v>
      </c>
      <c r="B612" s="1" t="s">
        <v>8</v>
      </c>
      <c r="C612" s="43" t="s">
        <v>1874</v>
      </c>
      <c r="D612" s="1" t="s">
        <v>2029</v>
      </c>
      <c r="E612" s="43" t="s">
        <v>1874</v>
      </c>
      <c r="F612" s="37" t="s">
        <v>2030</v>
      </c>
      <c r="G612" s="44">
        <v>33100</v>
      </c>
      <c r="H612" s="44">
        <v>331</v>
      </c>
    </row>
    <row r="613" spans="1:8">
      <c r="A613" s="90">
        <v>126128849374</v>
      </c>
      <c r="B613" s="1" t="s">
        <v>8</v>
      </c>
      <c r="C613" s="43" t="s">
        <v>1879</v>
      </c>
      <c r="D613" s="1" t="s">
        <v>2029</v>
      </c>
      <c r="E613" s="43" t="s">
        <v>1879</v>
      </c>
      <c r="F613" s="37" t="s">
        <v>2030</v>
      </c>
      <c r="G613" s="44">
        <v>5300</v>
      </c>
      <c r="H613" s="44">
        <v>53</v>
      </c>
    </row>
    <row r="614" spans="1:8">
      <c r="A614" s="90">
        <v>126121826612</v>
      </c>
      <c r="B614" s="1" t="s">
        <v>8</v>
      </c>
      <c r="C614" s="43" t="s">
        <v>1874</v>
      </c>
      <c r="D614" s="1" t="s">
        <v>2029</v>
      </c>
      <c r="E614" s="43" t="s">
        <v>1874</v>
      </c>
      <c r="F614" s="37" t="s">
        <v>2030</v>
      </c>
      <c r="G614" s="44">
        <v>22100</v>
      </c>
      <c r="H614" s="44">
        <v>221</v>
      </c>
    </row>
    <row r="615" spans="1:8">
      <c r="A615" s="90">
        <v>125578259241</v>
      </c>
      <c r="B615" s="1" t="s">
        <v>1790</v>
      </c>
      <c r="C615" s="43" t="s">
        <v>1879</v>
      </c>
      <c r="D615" s="1" t="s">
        <v>2029</v>
      </c>
      <c r="E615" s="43" t="s">
        <v>1879</v>
      </c>
      <c r="F615" s="37" t="s">
        <v>2030</v>
      </c>
      <c r="G615" s="44">
        <v>3900</v>
      </c>
      <c r="H615" s="44">
        <v>39</v>
      </c>
    </row>
    <row r="616" spans="1:8">
      <c r="A616" s="90">
        <v>125578192035</v>
      </c>
      <c r="B616" s="1" t="s">
        <v>1790</v>
      </c>
      <c r="C616" s="43" t="s">
        <v>1879</v>
      </c>
      <c r="D616" s="1" t="s">
        <v>2029</v>
      </c>
      <c r="E616" s="43" t="s">
        <v>1879</v>
      </c>
      <c r="F616" s="37" t="s">
        <v>2030</v>
      </c>
      <c r="G616" s="44">
        <v>16100</v>
      </c>
      <c r="H616" s="44">
        <v>161</v>
      </c>
    </row>
    <row r="617" spans="1:8">
      <c r="A617" s="90">
        <v>126130624264</v>
      </c>
      <c r="B617" s="1" t="s">
        <v>1790</v>
      </c>
      <c r="C617" s="43" t="s">
        <v>1879</v>
      </c>
      <c r="D617" s="1" t="s">
        <v>2029</v>
      </c>
      <c r="E617" s="43" t="s">
        <v>1879</v>
      </c>
      <c r="F617" s="37" t="s">
        <v>2030</v>
      </c>
      <c r="G617" s="44">
        <v>7800</v>
      </c>
      <c r="H617" s="44">
        <v>78</v>
      </c>
    </row>
    <row r="618" spans="1:8">
      <c r="A618" s="90">
        <v>126131164784</v>
      </c>
      <c r="B618" s="1" t="s">
        <v>1790</v>
      </c>
      <c r="C618" s="43" t="s">
        <v>1879</v>
      </c>
      <c r="D618" s="1" t="s">
        <v>2029</v>
      </c>
      <c r="E618" s="43" t="s">
        <v>1879</v>
      </c>
      <c r="F618" s="37" t="s">
        <v>2030</v>
      </c>
      <c r="G618" s="44">
        <v>25200</v>
      </c>
      <c r="H618" s="44">
        <v>252</v>
      </c>
    </row>
    <row r="619" spans="1:8">
      <c r="A619" s="90">
        <v>125578892085</v>
      </c>
      <c r="B619" s="1" t="s">
        <v>8</v>
      </c>
      <c r="C619" s="43" t="s">
        <v>1879</v>
      </c>
      <c r="D619" s="1" t="s">
        <v>2029</v>
      </c>
      <c r="E619" s="43" t="s">
        <v>1879</v>
      </c>
      <c r="F619" s="37" t="s">
        <v>2030</v>
      </c>
      <c r="G619" s="44">
        <v>13100</v>
      </c>
      <c r="H619" s="44">
        <v>131</v>
      </c>
    </row>
    <row r="620" spans="1:8">
      <c r="A620" s="90">
        <v>125579346241</v>
      </c>
      <c r="B620" s="1" t="s">
        <v>1790</v>
      </c>
      <c r="C620" s="43" t="s">
        <v>1879</v>
      </c>
      <c r="D620" s="1" t="s">
        <v>2029</v>
      </c>
      <c r="E620" s="43" t="s">
        <v>1879</v>
      </c>
      <c r="F620" s="37" t="s">
        <v>2030</v>
      </c>
      <c r="G620" s="44">
        <v>32100</v>
      </c>
      <c r="H620" s="44">
        <v>321</v>
      </c>
    </row>
    <row r="621" spans="1:8">
      <c r="A621" s="90">
        <v>125571811845</v>
      </c>
      <c r="B621" s="1" t="s">
        <v>8</v>
      </c>
      <c r="C621" s="43" t="s">
        <v>1874</v>
      </c>
      <c r="D621" s="1" t="s">
        <v>2029</v>
      </c>
      <c r="E621" s="43" t="s">
        <v>1874</v>
      </c>
      <c r="F621" s="37" t="s">
        <v>2030</v>
      </c>
      <c r="G621" s="44">
        <v>3500</v>
      </c>
      <c r="H621" s="44">
        <v>35</v>
      </c>
    </row>
    <row r="622" spans="1:8">
      <c r="A622" s="90">
        <v>126124056584</v>
      </c>
      <c r="B622" s="1" t="s">
        <v>1790</v>
      </c>
      <c r="C622" s="43" t="s">
        <v>1874</v>
      </c>
      <c r="D622" s="1" t="s">
        <v>2029</v>
      </c>
      <c r="E622" s="43" t="s">
        <v>1874</v>
      </c>
      <c r="F622" s="37" t="s">
        <v>2030</v>
      </c>
      <c r="G622" s="44">
        <v>104200</v>
      </c>
      <c r="H622" s="44">
        <v>1042</v>
      </c>
    </row>
    <row r="623" spans="1:8">
      <c r="A623" s="90">
        <v>126131769430</v>
      </c>
      <c r="B623" s="1" t="s">
        <v>8</v>
      </c>
      <c r="C623" s="43" t="s">
        <v>1879</v>
      </c>
      <c r="D623" s="1" t="s">
        <v>2029</v>
      </c>
      <c r="E623" s="43" t="s">
        <v>1879</v>
      </c>
      <c r="F623" s="37" t="s">
        <v>2030</v>
      </c>
      <c r="G623" s="44">
        <v>8000</v>
      </c>
      <c r="H623" s="44">
        <v>80</v>
      </c>
    </row>
    <row r="624" spans="1:8">
      <c r="A624" s="90">
        <v>125579583955</v>
      </c>
      <c r="B624" s="1" t="s">
        <v>8</v>
      </c>
      <c r="C624" s="43" t="s">
        <v>1879</v>
      </c>
      <c r="D624" s="1" t="s">
        <v>2029</v>
      </c>
      <c r="E624" s="43" t="s">
        <v>1879</v>
      </c>
      <c r="F624" s="37" t="s">
        <v>2030</v>
      </c>
      <c r="G624" s="44">
        <v>9500</v>
      </c>
      <c r="H624" s="44">
        <v>95</v>
      </c>
    </row>
    <row r="625" spans="1:8">
      <c r="A625" s="90">
        <v>125572639149</v>
      </c>
      <c r="B625" s="1" t="s">
        <v>1790</v>
      </c>
      <c r="C625" s="43" t="s">
        <v>1874</v>
      </c>
      <c r="D625" s="1" t="s">
        <v>2029</v>
      </c>
      <c r="E625" s="43" t="s">
        <v>1879</v>
      </c>
      <c r="F625" s="37" t="s">
        <v>2030</v>
      </c>
      <c r="G625" s="44">
        <v>40200</v>
      </c>
      <c r="H625" s="44">
        <v>402</v>
      </c>
    </row>
    <row r="626" spans="1:8">
      <c r="A626" s="90">
        <v>126124937948</v>
      </c>
      <c r="B626" s="1" t="s">
        <v>8</v>
      </c>
      <c r="C626" s="43" t="s">
        <v>1874</v>
      </c>
      <c r="D626" s="1" t="s">
        <v>2029</v>
      </c>
      <c r="E626" s="43" t="s">
        <v>1879</v>
      </c>
      <c r="F626" s="37" t="s">
        <v>2030</v>
      </c>
      <c r="G626" s="44">
        <v>15600</v>
      </c>
      <c r="H626" s="44">
        <v>156</v>
      </c>
    </row>
    <row r="627" spans="1:8">
      <c r="A627" s="90">
        <v>126125328454</v>
      </c>
      <c r="B627" s="1" t="s">
        <v>8</v>
      </c>
      <c r="C627" s="43" t="s">
        <v>1874</v>
      </c>
      <c r="D627" s="1" t="s">
        <v>2029</v>
      </c>
      <c r="E627" s="43" t="s">
        <v>1879</v>
      </c>
      <c r="F627" s="37" t="s">
        <v>2030</v>
      </c>
      <c r="G627" s="44">
        <v>31900</v>
      </c>
      <c r="H627" s="44">
        <v>319</v>
      </c>
    </row>
    <row r="628" spans="1:8">
      <c r="A628" s="90">
        <v>126125616248</v>
      </c>
      <c r="B628" s="1" t="s">
        <v>8</v>
      </c>
      <c r="C628" s="43" t="s">
        <v>1874</v>
      </c>
      <c r="D628" s="1" t="s">
        <v>2029</v>
      </c>
      <c r="E628" s="43" t="s">
        <v>1879</v>
      </c>
      <c r="F628" s="37" t="s">
        <v>2030</v>
      </c>
      <c r="G628" s="44">
        <v>2200</v>
      </c>
      <c r="H628" s="44">
        <v>22</v>
      </c>
    </row>
    <row r="629" spans="1:8">
      <c r="A629" s="90">
        <v>126125844426</v>
      </c>
      <c r="B629" s="1" t="s">
        <v>1790</v>
      </c>
      <c r="C629" s="43" t="s">
        <v>1874</v>
      </c>
      <c r="D629" s="1" t="s">
        <v>2029</v>
      </c>
      <c r="E629" s="43" t="s">
        <v>1879</v>
      </c>
      <c r="F629" s="37" t="s">
        <v>2030</v>
      </c>
      <c r="G629" s="44">
        <v>92100</v>
      </c>
      <c r="H629" s="44">
        <v>921</v>
      </c>
    </row>
    <row r="630" spans="1:8">
      <c r="A630" s="90">
        <v>125575646461</v>
      </c>
      <c r="B630" s="1" t="s">
        <v>8</v>
      </c>
      <c r="C630" s="43" t="s">
        <v>1879</v>
      </c>
      <c r="D630" s="1" t="s">
        <v>2029</v>
      </c>
      <c r="E630" s="43" t="s">
        <v>1879</v>
      </c>
      <c r="F630" s="37" t="s">
        <v>2030</v>
      </c>
      <c r="G630" s="44">
        <v>66600</v>
      </c>
      <c r="H630" s="44">
        <v>666</v>
      </c>
    </row>
    <row r="631" spans="1:8">
      <c r="A631" s="90">
        <v>125575777739</v>
      </c>
      <c r="B631" s="1" t="s">
        <v>1790</v>
      </c>
      <c r="C631" s="43" t="s">
        <v>1879</v>
      </c>
      <c r="D631" s="1" t="s">
        <v>2029</v>
      </c>
      <c r="E631" s="43" t="s">
        <v>1879</v>
      </c>
      <c r="F631" s="37" t="s">
        <v>2030</v>
      </c>
      <c r="G631" s="44">
        <v>18600</v>
      </c>
      <c r="H631" s="44">
        <v>186</v>
      </c>
    </row>
    <row r="632" spans="1:8">
      <c r="A632" s="90">
        <v>126128502728</v>
      </c>
      <c r="B632" s="1" t="s">
        <v>1790</v>
      </c>
      <c r="C632" s="43" t="s">
        <v>1879</v>
      </c>
      <c r="D632" s="1" t="s">
        <v>2029</v>
      </c>
      <c r="E632" s="43" t="s">
        <v>1879</v>
      </c>
      <c r="F632" s="37" t="s">
        <v>2030</v>
      </c>
      <c r="G632" s="44">
        <v>17900</v>
      </c>
      <c r="H632" s="44">
        <v>179</v>
      </c>
    </row>
    <row r="633" spans="1:8">
      <c r="A633" s="90">
        <v>125576738331</v>
      </c>
      <c r="B633" s="1" t="s">
        <v>8</v>
      </c>
      <c r="C633" s="43" t="s">
        <v>1879</v>
      </c>
      <c r="D633" s="1" t="s">
        <v>2029</v>
      </c>
      <c r="E633" s="43" t="s">
        <v>1879</v>
      </c>
      <c r="F633" s="37" t="s">
        <v>2030</v>
      </c>
      <c r="G633" s="44">
        <v>71600</v>
      </c>
      <c r="H633" s="44">
        <v>716</v>
      </c>
    </row>
    <row r="634" spans="1:8">
      <c r="A634" s="90">
        <v>125576972801</v>
      </c>
      <c r="B634" s="1" t="s">
        <v>8</v>
      </c>
      <c r="C634" s="43" t="s">
        <v>1879</v>
      </c>
      <c r="D634" s="1" t="s">
        <v>2029</v>
      </c>
      <c r="E634" s="43" t="s">
        <v>1879</v>
      </c>
      <c r="F634" s="37" t="s">
        <v>2030</v>
      </c>
      <c r="G634" s="44">
        <v>5300</v>
      </c>
      <c r="H634" s="44">
        <v>53</v>
      </c>
    </row>
    <row r="635" spans="1:8">
      <c r="A635" s="90">
        <v>126128996208</v>
      </c>
      <c r="B635" s="1" t="s">
        <v>8</v>
      </c>
      <c r="C635" s="43" t="s">
        <v>1879</v>
      </c>
      <c r="D635" s="1" t="s">
        <v>2029</v>
      </c>
      <c r="E635" s="43" t="s">
        <v>1879</v>
      </c>
      <c r="F635" s="37" t="s">
        <v>2030</v>
      </c>
      <c r="G635" s="44">
        <v>3900</v>
      </c>
      <c r="H635" s="44">
        <v>39</v>
      </c>
    </row>
    <row r="636" spans="1:8">
      <c r="A636" s="90">
        <v>126128875098</v>
      </c>
      <c r="B636" s="1" t="s">
        <v>8</v>
      </c>
      <c r="C636" s="43" t="s">
        <v>1879</v>
      </c>
      <c r="D636" s="1" t="s">
        <v>2029</v>
      </c>
      <c r="E636" s="43" t="s">
        <v>1879</v>
      </c>
      <c r="F636" s="37" t="s">
        <v>2030</v>
      </c>
      <c r="G636" s="44">
        <v>15300</v>
      </c>
      <c r="H636" s="44">
        <v>153</v>
      </c>
    </row>
    <row r="637" spans="1:8">
      <c r="A637" s="90">
        <v>126128807772</v>
      </c>
      <c r="B637" s="1" t="s">
        <v>8</v>
      </c>
      <c r="C637" s="43" t="s">
        <v>1879</v>
      </c>
      <c r="D637" s="1" t="s">
        <v>2029</v>
      </c>
      <c r="E637" s="43" t="s">
        <v>1879</v>
      </c>
      <c r="F637" s="37" t="s">
        <v>2030</v>
      </c>
      <c r="G637" s="44">
        <v>10300</v>
      </c>
      <c r="H637" s="44">
        <v>103</v>
      </c>
    </row>
    <row r="638" spans="1:8">
      <c r="A638" s="90">
        <v>125576905955</v>
      </c>
      <c r="B638" s="1" t="s">
        <v>1790</v>
      </c>
      <c r="C638" s="43" t="s">
        <v>1879</v>
      </c>
      <c r="D638" s="1" t="s">
        <v>2029</v>
      </c>
      <c r="E638" s="43" t="s">
        <v>1879</v>
      </c>
      <c r="F638" s="37" t="s">
        <v>2030</v>
      </c>
      <c r="G638" s="44">
        <v>9800</v>
      </c>
      <c r="H638" s="44">
        <v>98</v>
      </c>
    </row>
    <row r="639" spans="1:8">
      <c r="A639" s="90">
        <v>125577184425</v>
      </c>
      <c r="B639" s="1" t="s">
        <v>8</v>
      </c>
      <c r="C639" s="43" t="s">
        <v>1879</v>
      </c>
      <c r="D639" s="1" t="s">
        <v>2029</v>
      </c>
      <c r="E639" s="43" t="s">
        <v>1879</v>
      </c>
      <c r="F639" s="37" t="s">
        <v>2030</v>
      </c>
      <c r="G639" s="44">
        <v>25800</v>
      </c>
      <c r="H639" s="44">
        <v>258</v>
      </c>
    </row>
    <row r="640" spans="1:8">
      <c r="A640" s="90">
        <v>125577313229</v>
      </c>
      <c r="B640" s="1" t="s">
        <v>8</v>
      </c>
      <c r="C640" s="43" t="s">
        <v>1879</v>
      </c>
      <c r="D640" s="1" t="s">
        <v>2029</v>
      </c>
      <c r="E640" s="43" t="s">
        <v>1879</v>
      </c>
      <c r="F640" s="37" t="s">
        <v>2030</v>
      </c>
      <c r="G640" s="44">
        <v>16500</v>
      </c>
      <c r="H640" s="44">
        <v>165</v>
      </c>
    </row>
    <row r="641" spans="1:8">
      <c r="A641" s="90">
        <v>125577491253</v>
      </c>
      <c r="B641" s="1" t="s">
        <v>1790</v>
      </c>
      <c r="C641" s="43" t="s">
        <v>1879</v>
      </c>
      <c r="D641" s="1" t="s">
        <v>2029</v>
      </c>
      <c r="E641" s="43" t="s">
        <v>1879</v>
      </c>
      <c r="F641" s="37" t="s">
        <v>2030</v>
      </c>
      <c r="G641" s="44">
        <v>44400</v>
      </c>
      <c r="H641" s="44">
        <v>444</v>
      </c>
    </row>
    <row r="642" spans="1:8">
      <c r="A642" s="90">
        <v>126129426494</v>
      </c>
      <c r="B642" s="1" t="s">
        <v>1790</v>
      </c>
      <c r="C642" s="43" t="s">
        <v>1879</v>
      </c>
      <c r="D642" s="1" t="s">
        <v>2029</v>
      </c>
      <c r="E642" s="43" t="s">
        <v>1879</v>
      </c>
      <c r="F642" s="37" t="s">
        <v>2030</v>
      </c>
      <c r="G642" s="44">
        <v>12000</v>
      </c>
      <c r="H642" s="44">
        <v>120</v>
      </c>
    </row>
    <row r="643" spans="1:8">
      <c r="A643" s="90">
        <v>126129504564</v>
      </c>
      <c r="B643" s="1" t="s">
        <v>8</v>
      </c>
      <c r="C643" s="43" t="s">
        <v>1879</v>
      </c>
      <c r="D643" s="1" t="s">
        <v>2029</v>
      </c>
      <c r="E643" s="43" t="s">
        <v>1879</v>
      </c>
      <c r="F643" s="37" t="s">
        <v>2030</v>
      </c>
      <c r="G643" s="44">
        <v>51600</v>
      </c>
      <c r="H643" s="44">
        <v>516</v>
      </c>
    </row>
    <row r="644" spans="1:8">
      <c r="A644" s="90">
        <v>126131114974</v>
      </c>
      <c r="B644" s="1" t="s">
        <v>8</v>
      </c>
      <c r="C644" s="43" t="s">
        <v>1879</v>
      </c>
      <c r="D644" s="1" t="s">
        <v>2029</v>
      </c>
      <c r="E644" s="43" t="s">
        <v>1879</v>
      </c>
      <c r="F644" s="37" t="s">
        <v>2030</v>
      </c>
      <c r="G644" s="44">
        <v>57000</v>
      </c>
      <c r="H644" s="44">
        <v>570</v>
      </c>
    </row>
    <row r="645" spans="1:8">
      <c r="A645" s="90">
        <v>126131278306</v>
      </c>
      <c r="B645" s="1" t="s">
        <v>8</v>
      </c>
      <c r="C645" s="43" t="s">
        <v>1879</v>
      </c>
      <c r="D645" s="1" t="s">
        <v>2029</v>
      </c>
      <c r="E645" s="43" t="s">
        <v>1879</v>
      </c>
      <c r="F645" s="37" t="s">
        <v>2030</v>
      </c>
      <c r="G645" s="44">
        <v>19900</v>
      </c>
      <c r="H645" s="44">
        <v>199</v>
      </c>
    </row>
    <row r="646" spans="1:8">
      <c r="A646" s="90">
        <v>126131480124</v>
      </c>
      <c r="B646" s="1" t="s">
        <v>8</v>
      </c>
      <c r="C646" s="43" t="s">
        <v>1879</v>
      </c>
      <c r="D646" s="1" t="s">
        <v>2029</v>
      </c>
      <c r="E646" s="43" t="s">
        <v>1879</v>
      </c>
      <c r="F646" s="37" t="s">
        <v>2030</v>
      </c>
      <c r="G646" s="44">
        <v>24600</v>
      </c>
      <c r="H646" s="44">
        <v>246</v>
      </c>
    </row>
    <row r="647" spans="1:8">
      <c r="A647" s="90">
        <v>125579030099</v>
      </c>
      <c r="B647" s="1" t="s">
        <v>8</v>
      </c>
      <c r="C647" s="43" t="s">
        <v>1879</v>
      </c>
      <c r="D647" s="1" t="s">
        <v>2029</v>
      </c>
      <c r="E647" s="43" t="s">
        <v>1879</v>
      </c>
      <c r="F647" s="37" t="s">
        <v>2030</v>
      </c>
      <c r="G647" s="44">
        <v>20900</v>
      </c>
      <c r="H647" s="44">
        <v>209</v>
      </c>
    </row>
    <row r="648" spans="1:8">
      <c r="A648" s="90">
        <v>125579320835</v>
      </c>
      <c r="B648" s="1" t="s">
        <v>1790</v>
      </c>
      <c r="C648" s="43" t="s">
        <v>1879</v>
      </c>
      <c r="D648" s="1" t="s">
        <v>2029</v>
      </c>
      <c r="E648" s="43" t="s">
        <v>1879</v>
      </c>
      <c r="F648" s="37" t="s">
        <v>2030</v>
      </c>
      <c r="G648" s="44">
        <v>11700</v>
      </c>
      <c r="H648" s="44">
        <v>117</v>
      </c>
    </row>
    <row r="649" spans="1:8">
      <c r="A649" s="90">
        <v>126131790334</v>
      </c>
      <c r="B649" s="1" t="s">
        <v>8</v>
      </c>
      <c r="C649" s="43" t="s">
        <v>1879</v>
      </c>
      <c r="D649" s="1" t="s">
        <v>2029</v>
      </c>
      <c r="E649" s="43" t="s">
        <v>1879</v>
      </c>
      <c r="F649" s="37" t="s">
        <v>2030</v>
      </c>
      <c r="G649" s="44">
        <v>25400</v>
      </c>
      <c r="H649" s="44">
        <v>254</v>
      </c>
    </row>
    <row r="650" spans="1:8">
      <c r="A650" s="90">
        <v>126131685768</v>
      </c>
      <c r="B650" s="1" t="s">
        <v>8</v>
      </c>
      <c r="C650" s="43" t="s">
        <v>1879</v>
      </c>
      <c r="D650" s="1" t="s">
        <v>2029</v>
      </c>
      <c r="E650" s="43" t="s">
        <v>1879</v>
      </c>
      <c r="F650" s="37" t="s">
        <v>2030</v>
      </c>
      <c r="G650" s="44">
        <v>61100</v>
      </c>
      <c r="H650" s="44">
        <v>611</v>
      </c>
    </row>
    <row r="651" spans="1:8">
      <c r="A651" s="90">
        <v>125579567091</v>
      </c>
      <c r="B651" s="1" t="s">
        <v>8</v>
      </c>
      <c r="C651" s="43" t="s">
        <v>1879</v>
      </c>
      <c r="D651" s="1" t="s">
        <v>2029</v>
      </c>
      <c r="E651" s="43" t="s">
        <v>1879</v>
      </c>
      <c r="F651" s="37" t="s">
        <v>2030</v>
      </c>
      <c r="G651" s="44">
        <v>27000</v>
      </c>
      <c r="H651" s="44">
        <v>270</v>
      </c>
    </row>
    <row r="652" spans="1:8">
      <c r="A652" s="90">
        <v>125641694887</v>
      </c>
      <c r="B652" s="1" t="s">
        <v>8</v>
      </c>
      <c r="C652" s="43" t="s">
        <v>1879</v>
      </c>
      <c r="D652" s="1" t="s">
        <v>2029</v>
      </c>
      <c r="E652" s="43" t="s">
        <v>1879</v>
      </c>
      <c r="F652" s="37" t="s">
        <v>2030</v>
      </c>
      <c r="G652" s="44">
        <v>11000</v>
      </c>
      <c r="H652" s="44">
        <v>110</v>
      </c>
    </row>
    <row r="653" spans="1:8">
      <c r="A653" s="90">
        <v>126199806570</v>
      </c>
      <c r="B653" s="1" t="s">
        <v>8</v>
      </c>
      <c r="C653" s="43" t="s">
        <v>1879</v>
      </c>
      <c r="D653" s="1" t="s">
        <v>2029</v>
      </c>
      <c r="E653" s="43" t="s">
        <v>1879</v>
      </c>
      <c r="F653" s="37" t="s">
        <v>2030</v>
      </c>
      <c r="G653" s="44">
        <v>23000</v>
      </c>
      <c r="H653" s="44">
        <v>230</v>
      </c>
    </row>
    <row r="654" spans="1:8">
      <c r="A654" s="90">
        <v>125648509125</v>
      </c>
      <c r="B654" s="1" t="s">
        <v>8</v>
      </c>
      <c r="C654" s="43" t="s">
        <v>1879</v>
      </c>
      <c r="D654" s="1" t="s">
        <v>2029</v>
      </c>
      <c r="E654" s="43" t="s">
        <v>1879</v>
      </c>
      <c r="F654" s="37" t="s">
        <v>2030</v>
      </c>
      <c r="G654" s="44">
        <v>5300</v>
      </c>
      <c r="H654" s="44">
        <v>53</v>
      </c>
    </row>
    <row r="655" spans="1:8">
      <c r="A655" s="90">
        <v>126202107638</v>
      </c>
      <c r="B655" s="1" t="s">
        <v>1790</v>
      </c>
      <c r="C655" s="43" t="s">
        <v>1879</v>
      </c>
      <c r="D655" s="1" t="s">
        <v>2029</v>
      </c>
      <c r="E655" s="43" t="s">
        <v>1879</v>
      </c>
      <c r="F655" s="37" t="s">
        <v>2030</v>
      </c>
      <c r="G655" s="44">
        <v>27000</v>
      </c>
      <c r="H655" s="44">
        <v>270</v>
      </c>
    </row>
    <row r="656" spans="1:8">
      <c r="A656" s="90">
        <v>126195667264</v>
      </c>
      <c r="B656" s="1" t="s">
        <v>1790</v>
      </c>
      <c r="C656" s="43" t="s">
        <v>1879</v>
      </c>
      <c r="D656" s="1" t="s">
        <v>2029</v>
      </c>
      <c r="E656" s="43" t="s">
        <v>1879</v>
      </c>
      <c r="F656" s="37" t="s">
        <v>2030</v>
      </c>
      <c r="G656" s="44">
        <v>9000</v>
      </c>
      <c r="H656" s="44">
        <v>90</v>
      </c>
    </row>
    <row r="657" spans="1:8">
      <c r="A657" s="90">
        <v>125647221653</v>
      </c>
      <c r="B657" s="1" t="s">
        <v>8</v>
      </c>
      <c r="C657" s="43" t="s">
        <v>1879</v>
      </c>
      <c r="D657" s="1" t="s">
        <v>2029</v>
      </c>
      <c r="E657" s="43" t="s">
        <v>1879</v>
      </c>
      <c r="F657" s="37" t="s">
        <v>2030</v>
      </c>
      <c r="G657" s="44">
        <v>7800</v>
      </c>
      <c r="H657" s="44">
        <v>78</v>
      </c>
    </row>
    <row r="658" spans="1:8">
      <c r="A658" s="90">
        <v>126208398932</v>
      </c>
      <c r="B658" s="1" t="s">
        <v>8</v>
      </c>
      <c r="C658" s="43" t="s">
        <v>1879</v>
      </c>
      <c r="D658" s="1" t="s">
        <v>2029</v>
      </c>
      <c r="E658" s="43" t="s">
        <v>1879</v>
      </c>
      <c r="F658" s="37" t="s">
        <v>2030</v>
      </c>
      <c r="G658" s="44">
        <v>38000</v>
      </c>
      <c r="H658" s="44">
        <v>380</v>
      </c>
    </row>
    <row r="659" spans="1:8">
      <c r="A659" s="90">
        <v>125656403991</v>
      </c>
      <c r="B659" s="1" t="s">
        <v>8</v>
      </c>
      <c r="C659" s="43" t="s">
        <v>1879</v>
      </c>
      <c r="D659" s="1" t="s">
        <v>2029</v>
      </c>
      <c r="E659" s="43" t="s">
        <v>1879</v>
      </c>
      <c r="F659" s="37" t="s">
        <v>2030</v>
      </c>
      <c r="G659" s="44">
        <v>18600</v>
      </c>
      <c r="H659" s="44">
        <v>186</v>
      </c>
    </row>
    <row r="660" spans="1:8">
      <c r="A660" s="90">
        <v>125650842711</v>
      </c>
      <c r="B660" s="1" t="s">
        <v>1790</v>
      </c>
      <c r="C660" s="43" t="s">
        <v>1879</v>
      </c>
      <c r="D660" s="1" t="s">
        <v>2029</v>
      </c>
      <c r="E660" s="43" t="s">
        <v>1879</v>
      </c>
      <c r="F660" s="37" t="s">
        <v>2030</v>
      </c>
      <c r="G660" s="44">
        <v>22100</v>
      </c>
      <c r="H660" s="44">
        <v>221</v>
      </c>
    </row>
    <row r="661" spans="1:8">
      <c r="A661" s="90">
        <v>125659996117</v>
      </c>
      <c r="B661" s="1" t="s">
        <v>8</v>
      </c>
      <c r="C661" s="43" t="s">
        <v>1879</v>
      </c>
      <c r="D661" s="1" t="s">
        <v>2029</v>
      </c>
      <c r="E661" s="43" t="s">
        <v>1879</v>
      </c>
      <c r="F661" s="37" t="s">
        <v>2030</v>
      </c>
      <c r="G661" s="44">
        <v>43800</v>
      </c>
      <c r="H661" s="44">
        <v>438</v>
      </c>
    </row>
    <row r="662" spans="1:8">
      <c r="A662" s="90">
        <v>126212628608</v>
      </c>
      <c r="B662" s="1" t="s">
        <v>1790</v>
      </c>
      <c r="C662" s="43" t="s">
        <v>1879</v>
      </c>
      <c r="D662" s="1" t="s">
        <v>2029</v>
      </c>
      <c r="E662" s="43" t="s">
        <v>1879</v>
      </c>
      <c r="F662" s="37" t="s">
        <v>2030</v>
      </c>
      <c r="G662" s="44">
        <v>10300</v>
      </c>
      <c r="H662" s="44">
        <v>103</v>
      </c>
    </row>
    <row r="663" spans="1:8">
      <c r="A663" s="90">
        <v>126213444444</v>
      </c>
      <c r="B663" s="1" t="s">
        <v>8</v>
      </c>
      <c r="C663" s="43" t="s">
        <v>1879</v>
      </c>
      <c r="D663" s="1" t="s">
        <v>2029</v>
      </c>
      <c r="E663" s="43" t="s">
        <v>1879</v>
      </c>
      <c r="F663" s="37" t="s">
        <v>2030</v>
      </c>
      <c r="G663" s="44">
        <v>4500</v>
      </c>
      <c r="H663" s="44">
        <v>45</v>
      </c>
    </row>
    <row r="664" spans="1:8">
      <c r="A664" s="90">
        <v>126214829960</v>
      </c>
      <c r="B664" s="1" t="s">
        <v>8</v>
      </c>
      <c r="C664" s="43" t="s">
        <v>1879</v>
      </c>
      <c r="D664" s="1" t="s">
        <v>2029</v>
      </c>
      <c r="E664" s="43" t="s">
        <v>1879</v>
      </c>
      <c r="F664" s="37" t="s">
        <v>2030</v>
      </c>
      <c r="G664" s="44">
        <v>49000</v>
      </c>
      <c r="H664" s="44">
        <v>490</v>
      </c>
    </row>
    <row r="665" spans="1:8">
      <c r="A665" s="90">
        <v>125663240327</v>
      </c>
      <c r="B665" s="1" t="s">
        <v>1790</v>
      </c>
      <c r="C665" s="43" t="s">
        <v>1879</v>
      </c>
      <c r="D665" s="1" t="s">
        <v>2029</v>
      </c>
      <c r="E665" s="43" t="s">
        <v>1879</v>
      </c>
      <c r="F665" s="37" t="s">
        <v>2030</v>
      </c>
      <c r="G665" s="44">
        <v>11900</v>
      </c>
      <c r="H665" s="44">
        <v>119</v>
      </c>
    </row>
    <row r="666" spans="1:8">
      <c r="A666" s="90">
        <v>126215681054</v>
      </c>
      <c r="B666" s="1" t="s">
        <v>1790</v>
      </c>
      <c r="C666" s="43" t="s">
        <v>1879</v>
      </c>
      <c r="D666" s="1" t="s">
        <v>2029</v>
      </c>
      <c r="E666" s="43" t="s">
        <v>1879</v>
      </c>
      <c r="F666" s="37" t="s">
        <v>2030</v>
      </c>
      <c r="G666" s="44">
        <v>43500</v>
      </c>
      <c r="H666" s="44">
        <v>435</v>
      </c>
    </row>
    <row r="667" spans="1:8">
      <c r="A667" s="90">
        <v>125664117927</v>
      </c>
      <c r="B667" s="1" t="s">
        <v>8</v>
      </c>
      <c r="C667" s="43" t="s">
        <v>1879</v>
      </c>
      <c r="D667" s="1" t="s">
        <v>2029</v>
      </c>
      <c r="E667" s="43" t="s">
        <v>1891</v>
      </c>
      <c r="F667" s="37" t="s">
        <v>2030</v>
      </c>
      <c r="G667" s="44">
        <v>58800</v>
      </c>
      <c r="H667" s="44">
        <v>588</v>
      </c>
    </row>
    <row r="668" spans="1:8">
      <c r="A668" s="90">
        <v>126216657442</v>
      </c>
      <c r="B668" s="1" t="s">
        <v>1790</v>
      </c>
      <c r="C668" s="43" t="s">
        <v>1879</v>
      </c>
      <c r="D668" s="1" t="s">
        <v>2029</v>
      </c>
      <c r="E668" s="43" t="s">
        <v>1891</v>
      </c>
      <c r="F668" s="37" t="s">
        <v>2030</v>
      </c>
      <c r="G668" s="44">
        <v>33700</v>
      </c>
      <c r="H668" s="44">
        <v>337</v>
      </c>
    </row>
    <row r="669" spans="1:8">
      <c r="A669" s="90">
        <v>126209525276</v>
      </c>
      <c r="B669" s="1" t="s">
        <v>8</v>
      </c>
      <c r="C669" s="43" t="s">
        <v>1879</v>
      </c>
      <c r="D669" s="1" t="s">
        <v>2029</v>
      </c>
      <c r="E669" s="43" t="s">
        <v>1879</v>
      </c>
      <c r="F669" s="37" t="s">
        <v>2030</v>
      </c>
      <c r="G669" s="44">
        <v>14000</v>
      </c>
      <c r="H669" s="44">
        <v>140</v>
      </c>
    </row>
    <row r="670" spans="1:8">
      <c r="A670" s="90">
        <v>126210057176</v>
      </c>
      <c r="B670" s="1" t="s">
        <v>1790</v>
      </c>
      <c r="C670" s="43" t="s">
        <v>1879</v>
      </c>
      <c r="D670" s="1" t="s">
        <v>2029</v>
      </c>
      <c r="E670" s="43" t="s">
        <v>1879</v>
      </c>
      <c r="F670" s="37" t="s">
        <v>2030</v>
      </c>
      <c r="G670" s="44">
        <v>23800</v>
      </c>
      <c r="H670" s="44">
        <v>238</v>
      </c>
    </row>
    <row r="671" spans="1:8">
      <c r="A671" s="90">
        <v>126217490808</v>
      </c>
      <c r="B671" s="1" t="s">
        <v>8</v>
      </c>
      <c r="C671" s="43" t="s">
        <v>1879</v>
      </c>
      <c r="D671" s="1" t="s">
        <v>2029</v>
      </c>
      <c r="E671" s="43" t="s">
        <v>1891</v>
      </c>
      <c r="F671" s="37" t="s">
        <v>2030</v>
      </c>
      <c r="G671" s="44">
        <v>9000</v>
      </c>
      <c r="H671" s="44">
        <v>90</v>
      </c>
    </row>
    <row r="672" spans="1:8">
      <c r="A672" s="90">
        <v>126217984052</v>
      </c>
      <c r="B672" s="1" t="s">
        <v>8</v>
      </c>
      <c r="C672" s="43" t="s">
        <v>1879</v>
      </c>
      <c r="D672" s="1" t="s">
        <v>2029</v>
      </c>
      <c r="E672" s="43" t="s">
        <v>1891</v>
      </c>
      <c r="F672" s="37" t="s">
        <v>2030</v>
      </c>
      <c r="G672" s="44">
        <v>50100</v>
      </c>
      <c r="H672" s="44">
        <v>501</v>
      </c>
    </row>
    <row r="673" spans="1:8">
      <c r="A673" s="90">
        <v>126211365010</v>
      </c>
      <c r="B673" s="1" t="s">
        <v>8</v>
      </c>
      <c r="C673" s="43" t="s">
        <v>1879</v>
      </c>
      <c r="D673" s="1" t="s">
        <v>2029</v>
      </c>
      <c r="E673" s="43" t="s">
        <v>1879</v>
      </c>
      <c r="F673" s="37" t="s">
        <v>2030</v>
      </c>
      <c r="G673" s="44">
        <v>32300</v>
      </c>
      <c r="H673" s="44">
        <v>323</v>
      </c>
    </row>
    <row r="674" spans="1:8">
      <c r="A674" s="90">
        <v>126218221652</v>
      </c>
      <c r="B674" s="1" t="s">
        <v>1790</v>
      </c>
      <c r="C674" s="43" t="s">
        <v>1879</v>
      </c>
      <c r="D674" s="1" t="s">
        <v>2029</v>
      </c>
      <c r="E674" s="43" t="s">
        <v>1891</v>
      </c>
      <c r="F674" s="37" t="s">
        <v>2030</v>
      </c>
      <c r="G674" s="44">
        <v>23200</v>
      </c>
      <c r="H674" s="44">
        <v>232</v>
      </c>
    </row>
    <row r="675" spans="1:8">
      <c r="A675" s="90">
        <v>125666113965</v>
      </c>
      <c r="B675" s="1" t="s">
        <v>8</v>
      </c>
      <c r="C675" s="43" t="s">
        <v>1891</v>
      </c>
      <c r="D675" s="1" t="s">
        <v>2029</v>
      </c>
      <c r="E675" s="43" t="s">
        <v>1891</v>
      </c>
      <c r="F675" s="37" t="s">
        <v>2030</v>
      </c>
      <c r="G675" s="44">
        <v>38600</v>
      </c>
      <c r="H675" s="44">
        <v>386</v>
      </c>
    </row>
    <row r="676" spans="1:8">
      <c r="A676" s="90">
        <v>125659456895</v>
      </c>
      <c r="B676" s="1" t="s">
        <v>8</v>
      </c>
      <c r="C676" s="43" t="s">
        <v>1879</v>
      </c>
      <c r="D676" s="1" t="s">
        <v>2029</v>
      </c>
      <c r="E676" s="43" t="s">
        <v>1879</v>
      </c>
      <c r="F676" s="37" t="s">
        <v>2030</v>
      </c>
      <c r="G676" s="44">
        <v>8600</v>
      </c>
      <c r="H676" s="44">
        <v>86</v>
      </c>
    </row>
    <row r="677" spans="1:8">
      <c r="A677" s="90">
        <v>125659954419</v>
      </c>
      <c r="B677" s="1" t="s">
        <v>8</v>
      </c>
      <c r="C677" s="43" t="s">
        <v>1879</v>
      </c>
      <c r="D677" s="1" t="s">
        <v>2029</v>
      </c>
      <c r="E677" s="43" t="s">
        <v>1879</v>
      </c>
      <c r="F677" s="37" t="s">
        <v>2030</v>
      </c>
      <c r="G677" s="44">
        <v>40400</v>
      </c>
      <c r="H677" s="44">
        <v>404</v>
      </c>
    </row>
    <row r="678" spans="1:8">
      <c r="A678" s="90">
        <v>126213107032</v>
      </c>
      <c r="B678" s="1" t="s">
        <v>8</v>
      </c>
      <c r="C678" s="43" t="s">
        <v>1879</v>
      </c>
      <c r="D678" s="1" t="s">
        <v>2029</v>
      </c>
      <c r="E678" s="43" t="s">
        <v>1879</v>
      </c>
      <c r="F678" s="37" t="s">
        <v>2030</v>
      </c>
      <c r="G678" s="44">
        <v>28900</v>
      </c>
      <c r="H678" s="44">
        <v>289</v>
      </c>
    </row>
    <row r="679" spans="1:8">
      <c r="A679" s="90">
        <v>126213201364</v>
      </c>
      <c r="B679" s="1" t="s">
        <v>8</v>
      </c>
      <c r="C679" s="43" t="s">
        <v>1879</v>
      </c>
      <c r="D679" s="1" t="s">
        <v>2029</v>
      </c>
      <c r="E679" s="43" t="s">
        <v>1879</v>
      </c>
      <c r="F679" s="37" t="s">
        <v>2030</v>
      </c>
      <c r="G679" s="44">
        <v>78900</v>
      </c>
      <c r="H679" s="44">
        <v>789</v>
      </c>
    </row>
    <row r="680" spans="1:8">
      <c r="A680" s="90">
        <v>125661802007</v>
      </c>
      <c r="B680" s="1" t="s">
        <v>1790</v>
      </c>
      <c r="C680" s="43" t="s">
        <v>1879</v>
      </c>
      <c r="D680" s="1" t="s">
        <v>2029</v>
      </c>
      <c r="E680" s="43" t="s">
        <v>1879</v>
      </c>
      <c r="F680" s="37" t="s">
        <v>2030</v>
      </c>
      <c r="G680" s="44">
        <v>70000</v>
      </c>
      <c r="H680" s="44">
        <v>700</v>
      </c>
    </row>
    <row r="681" spans="1:8">
      <c r="A681" s="90">
        <v>125662278353</v>
      </c>
      <c r="B681" s="1" t="s">
        <v>8</v>
      </c>
      <c r="C681" s="43" t="s">
        <v>1879</v>
      </c>
      <c r="D681" s="1" t="s">
        <v>2029</v>
      </c>
      <c r="E681" s="43" t="s">
        <v>1879</v>
      </c>
      <c r="F681" s="37" t="s">
        <v>2030</v>
      </c>
      <c r="G681" s="44">
        <v>20500</v>
      </c>
      <c r="H681" s="44">
        <v>205</v>
      </c>
    </row>
    <row r="682" spans="1:8">
      <c r="A682" s="90">
        <v>125662860685</v>
      </c>
      <c r="B682" s="1" t="s">
        <v>1790</v>
      </c>
      <c r="C682" s="43" t="s">
        <v>1879</v>
      </c>
      <c r="D682" s="1" t="s">
        <v>2029</v>
      </c>
      <c r="E682" s="43" t="s">
        <v>1879</v>
      </c>
      <c r="F682" s="37" t="s">
        <v>2030</v>
      </c>
      <c r="G682" s="44">
        <v>41900</v>
      </c>
      <c r="H682" s="44">
        <v>419</v>
      </c>
    </row>
    <row r="683" spans="1:8">
      <c r="A683" s="90">
        <v>125663262315</v>
      </c>
      <c r="B683" s="1" t="s">
        <v>8</v>
      </c>
      <c r="C683" s="43" t="s">
        <v>1879</v>
      </c>
      <c r="D683" s="1" t="s">
        <v>2029</v>
      </c>
      <c r="E683" s="43" t="s">
        <v>1879</v>
      </c>
      <c r="F683" s="37" t="s">
        <v>2030</v>
      </c>
      <c r="G683" s="44">
        <v>17800</v>
      </c>
      <c r="H683" s="44">
        <v>178</v>
      </c>
    </row>
    <row r="684" spans="1:8">
      <c r="A684" s="90">
        <v>126216706478</v>
      </c>
      <c r="B684" s="1" t="s">
        <v>8</v>
      </c>
      <c r="C684" s="43" t="s">
        <v>1879</v>
      </c>
      <c r="D684" s="1" t="s">
        <v>2029</v>
      </c>
      <c r="E684" s="43" t="s">
        <v>1891</v>
      </c>
      <c r="F684" s="37" t="s">
        <v>2030</v>
      </c>
      <c r="G684" s="44">
        <v>85900</v>
      </c>
      <c r="H684" s="44">
        <v>859</v>
      </c>
    </row>
    <row r="685" spans="1:8">
      <c r="A685" s="90">
        <v>126216807538</v>
      </c>
      <c r="B685" s="1" t="s">
        <v>8</v>
      </c>
      <c r="C685" s="43" t="s">
        <v>1879</v>
      </c>
      <c r="D685" s="1" t="s">
        <v>2029</v>
      </c>
      <c r="E685" s="43" t="s">
        <v>1891</v>
      </c>
      <c r="F685" s="37" t="s">
        <v>2030</v>
      </c>
      <c r="G685" s="44">
        <v>23500</v>
      </c>
      <c r="H685" s="44">
        <v>235</v>
      </c>
    </row>
    <row r="686" spans="1:8">
      <c r="A686" s="90">
        <v>126217102720</v>
      </c>
      <c r="B686" s="1" t="s">
        <v>8</v>
      </c>
      <c r="C686" s="43" t="s">
        <v>1879</v>
      </c>
      <c r="D686" s="1" t="s">
        <v>2029</v>
      </c>
      <c r="E686" s="43" t="s">
        <v>1891</v>
      </c>
      <c r="F686" s="37" t="s">
        <v>2030</v>
      </c>
      <c r="G686" s="44">
        <v>27700</v>
      </c>
      <c r="H686" s="44">
        <v>277</v>
      </c>
    </row>
    <row r="687" spans="1:8">
      <c r="A687" s="90">
        <v>126218238140</v>
      </c>
      <c r="B687" s="1" t="s">
        <v>8</v>
      </c>
      <c r="C687" s="43" t="s">
        <v>1879</v>
      </c>
      <c r="D687" s="1" t="s">
        <v>2029</v>
      </c>
      <c r="E687" s="43" t="s">
        <v>1891</v>
      </c>
      <c r="F687" s="37" t="s">
        <v>2030</v>
      </c>
      <c r="G687" s="44">
        <v>36100</v>
      </c>
      <c r="H687" s="44">
        <v>361</v>
      </c>
    </row>
    <row r="688" spans="1:8">
      <c r="A688" s="90">
        <v>126594945894</v>
      </c>
      <c r="B688" s="1" t="s">
        <v>1790</v>
      </c>
      <c r="C688" s="43" t="s">
        <v>1904</v>
      </c>
      <c r="D688" s="1" t="s">
        <v>2029</v>
      </c>
      <c r="E688" s="43" t="s">
        <v>1904</v>
      </c>
      <c r="F688" s="37" t="s">
        <v>2030</v>
      </c>
      <c r="G688" s="44">
        <v>9999</v>
      </c>
      <c r="H688" s="44">
        <v>99.99</v>
      </c>
    </row>
    <row r="689" spans="1:8">
      <c r="A689" s="90">
        <v>126032999989</v>
      </c>
      <c r="B689" s="1" t="s">
        <v>8</v>
      </c>
      <c r="C689" s="43" t="s">
        <v>1904</v>
      </c>
      <c r="D689" s="1" t="s">
        <v>2029</v>
      </c>
      <c r="E689" s="43" t="s">
        <v>1904</v>
      </c>
      <c r="F689" s="37" t="s">
        <v>2030</v>
      </c>
      <c r="G689" s="44">
        <v>8600</v>
      </c>
      <c r="H689" s="44">
        <v>86</v>
      </c>
    </row>
    <row r="690" spans="1:8">
      <c r="A690" s="90">
        <v>126597067472</v>
      </c>
      <c r="B690" s="1" t="s">
        <v>8</v>
      </c>
      <c r="C690" s="43" t="s">
        <v>1904</v>
      </c>
      <c r="D690" s="1" t="s">
        <v>2029</v>
      </c>
      <c r="E690" s="43" t="s">
        <v>1904</v>
      </c>
      <c r="F690" s="37" t="s">
        <v>2030</v>
      </c>
      <c r="G690" s="44">
        <v>8600</v>
      </c>
      <c r="H690" s="44">
        <v>86</v>
      </c>
    </row>
    <row r="691" spans="1:8">
      <c r="A691" s="90">
        <v>126597591802</v>
      </c>
      <c r="B691" s="1" t="s">
        <v>8</v>
      </c>
      <c r="C691" s="43" t="s">
        <v>1904</v>
      </c>
      <c r="D691" s="1" t="s">
        <v>2029</v>
      </c>
      <c r="E691" s="43" t="s">
        <v>1904</v>
      </c>
      <c r="F691" s="37" t="s">
        <v>2030</v>
      </c>
      <c r="G691" s="44">
        <v>38699</v>
      </c>
      <c r="H691" s="44">
        <v>386.99</v>
      </c>
    </row>
    <row r="692" spans="1:8">
      <c r="A692" s="90">
        <v>126591409114</v>
      </c>
      <c r="B692" s="1" t="s">
        <v>1790</v>
      </c>
      <c r="C692" s="43" t="s">
        <v>1904</v>
      </c>
      <c r="D692" s="1" t="s">
        <v>2029</v>
      </c>
      <c r="E692" s="43" t="s">
        <v>1904</v>
      </c>
      <c r="F692" s="37" t="s">
        <v>2030</v>
      </c>
      <c r="G692" s="44">
        <v>8600</v>
      </c>
      <c r="H692" s="44">
        <v>86</v>
      </c>
    </row>
    <row r="693" spans="1:8">
      <c r="A693" s="90">
        <v>126036386561</v>
      </c>
      <c r="B693" s="1" t="s">
        <v>8</v>
      </c>
      <c r="C693" s="43" t="s">
        <v>1904</v>
      </c>
      <c r="D693" s="1" t="s">
        <v>2029</v>
      </c>
      <c r="E693" s="43" t="s">
        <v>1904</v>
      </c>
      <c r="F693" s="37" t="s">
        <v>2030</v>
      </c>
      <c r="G693" s="44">
        <v>12900</v>
      </c>
      <c r="H693" s="44">
        <v>129</v>
      </c>
    </row>
    <row r="694" spans="1:8">
      <c r="A694" s="90">
        <v>126600508822</v>
      </c>
      <c r="B694" s="1" t="s">
        <v>8</v>
      </c>
      <c r="C694" s="43" t="s">
        <v>1904</v>
      </c>
      <c r="D694" s="1" t="s">
        <v>2029</v>
      </c>
      <c r="E694" s="43" t="s">
        <v>1904</v>
      </c>
      <c r="F694" s="37" t="s">
        <v>2030</v>
      </c>
      <c r="G694" s="44">
        <v>19800</v>
      </c>
      <c r="H694" s="44">
        <v>198</v>
      </c>
    </row>
    <row r="695" spans="1:8">
      <c r="A695" s="90">
        <v>126046694901</v>
      </c>
      <c r="B695" s="1" t="s">
        <v>8</v>
      </c>
      <c r="C695" s="43" t="s">
        <v>1904</v>
      </c>
      <c r="D695" s="1" t="s">
        <v>2029</v>
      </c>
      <c r="E695" s="43" t="s">
        <v>1904</v>
      </c>
      <c r="F695" s="37" t="s">
        <v>2030</v>
      </c>
      <c r="G695" s="44">
        <v>51300</v>
      </c>
      <c r="H695" s="44">
        <v>513</v>
      </c>
    </row>
    <row r="696" spans="1:8">
      <c r="A696" s="90">
        <v>126047460401</v>
      </c>
      <c r="B696" s="1" t="s">
        <v>8</v>
      </c>
      <c r="C696" s="43" t="s">
        <v>1904</v>
      </c>
      <c r="D696" s="1" t="s">
        <v>2029</v>
      </c>
      <c r="E696" s="43" t="s">
        <v>1904</v>
      </c>
      <c r="F696" s="37" t="s">
        <v>2030</v>
      </c>
      <c r="G696" s="44">
        <v>19998</v>
      </c>
      <c r="H696" s="44">
        <v>199.98</v>
      </c>
    </row>
    <row r="697" spans="1:8">
      <c r="A697" s="90">
        <v>126603090892</v>
      </c>
      <c r="B697" s="1" t="s">
        <v>8</v>
      </c>
      <c r="C697" s="43" t="s">
        <v>1904</v>
      </c>
      <c r="D697" s="1" t="s">
        <v>2029</v>
      </c>
      <c r="E697" s="43" t="s">
        <v>1904</v>
      </c>
      <c r="F697" s="37" t="s">
        <v>2030</v>
      </c>
      <c r="G697" s="44">
        <v>34199</v>
      </c>
      <c r="H697" s="44">
        <v>341.99</v>
      </c>
    </row>
    <row r="698" spans="1:8">
      <c r="A698" s="90">
        <v>126603719712</v>
      </c>
      <c r="B698" s="1" t="s">
        <v>8</v>
      </c>
      <c r="C698" s="43" t="s">
        <v>1904</v>
      </c>
      <c r="D698" s="1" t="s">
        <v>2029</v>
      </c>
      <c r="E698" s="43" t="s">
        <v>1904</v>
      </c>
      <c r="F698" s="37" t="s">
        <v>2030</v>
      </c>
      <c r="G698" s="44">
        <v>4300</v>
      </c>
      <c r="H698" s="44">
        <v>43</v>
      </c>
    </row>
    <row r="699" spans="1:8">
      <c r="A699" s="90">
        <v>126605063444</v>
      </c>
      <c r="B699" s="1" t="s">
        <v>1790</v>
      </c>
      <c r="C699" s="43" t="s">
        <v>1904</v>
      </c>
      <c r="D699" s="1" t="s">
        <v>2029</v>
      </c>
      <c r="E699" s="43" t="s">
        <v>1904</v>
      </c>
      <c r="F699" s="37" t="s">
        <v>2030</v>
      </c>
      <c r="G699" s="44">
        <v>84400</v>
      </c>
      <c r="H699" s="44">
        <v>844</v>
      </c>
    </row>
    <row r="700" spans="1:8">
      <c r="A700" s="90">
        <v>126043752843</v>
      </c>
      <c r="B700" s="1" t="s">
        <v>8</v>
      </c>
      <c r="C700" s="43" t="s">
        <v>1904</v>
      </c>
      <c r="D700" s="1" t="s">
        <v>2029</v>
      </c>
      <c r="E700" s="43" t="s">
        <v>1904</v>
      </c>
      <c r="F700" s="37" t="s">
        <v>2030</v>
      </c>
      <c r="G700" s="44">
        <v>43998</v>
      </c>
      <c r="H700" s="44">
        <v>439.98</v>
      </c>
    </row>
    <row r="701" spans="1:8">
      <c r="A701" s="90">
        <v>126045198407</v>
      </c>
      <c r="B701" s="1" t="s">
        <v>8</v>
      </c>
      <c r="C701" s="43" t="s">
        <v>1904</v>
      </c>
      <c r="D701" s="1" t="s">
        <v>2029</v>
      </c>
      <c r="E701" s="43" t="s">
        <v>1904</v>
      </c>
      <c r="F701" s="37" t="s">
        <v>2030</v>
      </c>
      <c r="G701" s="44">
        <v>25800</v>
      </c>
      <c r="H701" s="44">
        <v>258</v>
      </c>
    </row>
    <row r="702" spans="1:8">
      <c r="A702" s="90">
        <v>126046661655</v>
      </c>
      <c r="B702" s="1" t="s">
        <v>8</v>
      </c>
      <c r="C702" s="43" t="s">
        <v>1904</v>
      </c>
      <c r="D702" s="1" t="s">
        <v>2029</v>
      </c>
      <c r="E702" s="43" t="s">
        <v>1904</v>
      </c>
      <c r="F702" s="37" t="s">
        <v>2030</v>
      </c>
      <c r="G702" s="44">
        <v>71300</v>
      </c>
      <c r="H702" s="44">
        <v>713</v>
      </c>
    </row>
    <row r="703" spans="1:8">
      <c r="A703" s="90">
        <v>126047122521</v>
      </c>
      <c r="B703" s="1" t="s">
        <v>8</v>
      </c>
      <c r="C703" s="43" t="s">
        <v>1904</v>
      </c>
      <c r="D703" s="1" t="s">
        <v>2029</v>
      </c>
      <c r="E703" s="43" t="s">
        <v>1904</v>
      </c>
      <c r="F703" s="37" t="s">
        <v>2030</v>
      </c>
      <c r="G703" s="44">
        <v>8600</v>
      </c>
      <c r="H703" s="44">
        <v>86</v>
      </c>
    </row>
    <row r="704" spans="1:8">
      <c r="A704" s="90">
        <v>126608518506</v>
      </c>
      <c r="B704" s="1" t="s">
        <v>1790</v>
      </c>
      <c r="C704" s="43" t="s">
        <v>1905</v>
      </c>
      <c r="D704" s="1" t="s">
        <v>2029</v>
      </c>
      <c r="E704" s="43" t="s">
        <v>1905</v>
      </c>
      <c r="F704" s="37" t="s">
        <v>2030</v>
      </c>
      <c r="G704" s="44">
        <v>9100</v>
      </c>
      <c r="H704" s="44">
        <v>91</v>
      </c>
    </row>
    <row r="705" spans="1:8">
      <c r="A705" s="90">
        <v>126602656096</v>
      </c>
      <c r="B705" s="1" t="s">
        <v>8</v>
      </c>
      <c r="C705" s="43" t="s">
        <v>1904</v>
      </c>
      <c r="D705" s="1" t="s">
        <v>2029</v>
      </c>
      <c r="E705" s="43" t="s">
        <v>1904</v>
      </c>
      <c r="F705" s="37" t="s">
        <v>2030</v>
      </c>
      <c r="G705" s="44">
        <v>34100</v>
      </c>
      <c r="H705" s="44">
        <v>341</v>
      </c>
    </row>
    <row r="706" spans="1:8">
      <c r="A706" s="90">
        <v>126608907260</v>
      </c>
      <c r="B706" s="1" t="s">
        <v>8</v>
      </c>
      <c r="C706" s="43" t="s">
        <v>1905</v>
      </c>
      <c r="D706" s="1" t="s">
        <v>2029</v>
      </c>
      <c r="E706" s="43" t="s">
        <v>1905</v>
      </c>
      <c r="F706" s="37" t="s">
        <v>2030</v>
      </c>
      <c r="G706" s="44">
        <v>43999</v>
      </c>
      <c r="H706" s="44">
        <v>439.99</v>
      </c>
    </row>
    <row r="707" spans="1:8">
      <c r="A707" s="90">
        <v>126604501712</v>
      </c>
      <c r="B707" s="1" t="s">
        <v>8</v>
      </c>
      <c r="C707" s="43" t="s">
        <v>1904</v>
      </c>
      <c r="D707" s="1" t="s">
        <v>2029</v>
      </c>
      <c r="E707" s="43" t="s">
        <v>1904</v>
      </c>
      <c r="F707" s="37" t="s">
        <v>2030</v>
      </c>
      <c r="G707" s="44">
        <v>20300</v>
      </c>
      <c r="H707" s="44">
        <v>203</v>
      </c>
    </row>
    <row r="708" spans="1:8">
      <c r="A708" s="90">
        <v>126604962718</v>
      </c>
      <c r="B708" s="1" t="s">
        <v>8</v>
      </c>
      <c r="C708" s="43" t="s">
        <v>1904</v>
      </c>
      <c r="D708" s="1" t="s">
        <v>2029</v>
      </c>
      <c r="E708" s="43" t="s">
        <v>1904</v>
      </c>
      <c r="F708" s="37" t="s">
        <v>2030</v>
      </c>
      <c r="G708" s="44">
        <v>28699</v>
      </c>
      <c r="H708" s="44">
        <v>286.99</v>
      </c>
    </row>
    <row r="709" spans="1:8">
      <c r="A709" s="90">
        <v>126050976059</v>
      </c>
      <c r="B709" s="1" t="s">
        <v>8</v>
      </c>
      <c r="C709" s="43" t="s">
        <v>1904</v>
      </c>
      <c r="D709" s="1" t="s">
        <v>2029</v>
      </c>
      <c r="E709" s="43" t="s">
        <v>1905</v>
      </c>
      <c r="F709" s="37" t="s">
        <v>2030</v>
      </c>
      <c r="G709" s="44">
        <v>10000</v>
      </c>
      <c r="H709" s="44">
        <v>100</v>
      </c>
    </row>
    <row r="710" spans="1:8">
      <c r="A710" s="90">
        <v>126606760284</v>
      </c>
      <c r="B710" s="1" t="s">
        <v>1790</v>
      </c>
      <c r="C710" s="43" t="s">
        <v>1904</v>
      </c>
      <c r="D710" s="1" t="s">
        <v>2029</v>
      </c>
      <c r="E710" s="43" t="s">
        <v>1905</v>
      </c>
      <c r="F710" s="37" t="s">
        <v>2030</v>
      </c>
      <c r="G710" s="44">
        <v>54399</v>
      </c>
      <c r="H710" s="44">
        <v>543.99</v>
      </c>
    </row>
    <row r="711" spans="1:8">
      <c r="A711" s="90">
        <v>126607039216</v>
      </c>
      <c r="B711" s="1" t="s">
        <v>8</v>
      </c>
      <c r="C711" s="43" t="s">
        <v>1904</v>
      </c>
      <c r="D711" s="1" t="s">
        <v>2029</v>
      </c>
      <c r="E711" s="43" t="s">
        <v>1905</v>
      </c>
      <c r="F711" s="37" t="s">
        <v>2030</v>
      </c>
      <c r="G711" s="44">
        <v>8600</v>
      </c>
      <c r="H711" s="44">
        <v>86</v>
      </c>
    </row>
    <row r="712" spans="1:8">
      <c r="A712" s="90">
        <v>126053089055</v>
      </c>
      <c r="B712" s="1" t="s">
        <v>8</v>
      </c>
      <c r="C712" s="43" t="s">
        <v>1905</v>
      </c>
      <c r="D712" s="1" t="s">
        <v>2029</v>
      </c>
      <c r="E712" s="43" t="s">
        <v>1905</v>
      </c>
      <c r="F712" s="37" t="s">
        <v>2030</v>
      </c>
      <c r="G712" s="44">
        <v>51099</v>
      </c>
      <c r="H712" s="44">
        <v>510.99</v>
      </c>
    </row>
    <row r="713" spans="1:8">
      <c r="A713" s="90">
        <v>126054219383</v>
      </c>
      <c r="B713" s="1" t="s">
        <v>8</v>
      </c>
      <c r="C713" s="43" t="s">
        <v>1905</v>
      </c>
      <c r="D713" s="1" t="s">
        <v>2029</v>
      </c>
      <c r="E713" s="43" t="s">
        <v>1905</v>
      </c>
      <c r="F713" s="37" t="s">
        <v>2030</v>
      </c>
      <c r="G713" s="44">
        <v>25299</v>
      </c>
      <c r="H713" s="44">
        <v>252.99</v>
      </c>
    </row>
    <row r="714" spans="1:8">
      <c r="A714" s="90">
        <v>126157000377</v>
      </c>
      <c r="B714" s="1" t="s">
        <v>8</v>
      </c>
      <c r="C714" s="43" t="s">
        <v>1905</v>
      </c>
      <c r="D714" s="1" t="s">
        <v>2029</v>
      </c>
      <c r="E714" s="43" t="s">
        <v>1905</v>
      </c>
      <c r="F714" s="37" t="s">
        <v>2030</v>
      </c>
      <c r="G714" s="44">
        <v>9000</v>
      </c>
      <c r="H714" s="44">
        <v>90</v>
      </c>
    </row>
    <row r="715" spans="1:8">
      <c r="A715" s="90">
        <v>126717656802</v>
      </c>
      <c r="B715" s="1" t="s">
        <v>8</v>
      </c>
      <c r="C715" s="43" t="s">
        <v>1905</v>
      </c>
      <c r="D715" s="1" t="s">
        <v>2029</v>
      </c>
      <c r="E715" s="43" t="s">
        <v>1905</v>
      </c>
      <c r="F715" s="37" t="s">
        <v>2030</v>
      </c>
      <c r="G715" s="44">
        <v>4300</v>
      </c>
      <c r="H715" s="44">
        <v>43</v>
      </c>
    </row>
    <row r="716" spans="1:8">
      <c r="A716" s="90">
        <v>126720176148</v>
      </c>
      <c r="B716" s="1" t="s">
        <v>1790</v>
      </c>
      <c r="C716" s="43" t="s">
        <v>1905</v>
      </c>
      <c r="D716" s="1" t="s">
        <v>2029</v>
      </c>
      <c r="E716" s="43" t="s">
        <v>1905</v>
      </c>
      <c r="F716" s="37" t="s">
        <v>2030</v>
      </c>
      <c r="G716" s="44">
        <v>53500</v>
      </c>
      <c r="H716" s="44">
        <v>535</v>
      </c>
    </row>
    <row r="717" spans="1:8">
      <c r="A717" s="90">
        <v>126159013621</v>
      </c>
      <c r="B717" s="1" t="s">
        <v>8</v>
      </c>
      <c r="C717" s="43" t="s">
        <v>1905</v>
      </c>
      <c r="D717" s="1" t="s">
        <v>2029</v>
      </c>
      <c r="E717" s="43" t="s">
        <v>1905</v>
      </c>
      <c r="F717" s="37" t="s">
        <v>2030</v>
      </c>
      <c r="G717" s="44">
        <v>4300</v>
      </c>
      <c r="H717" s="44">
        <v>43</v>
      </c>
    </row>
    <row r="718" spans="1:8">
      <c r="A718" s="90">
        <v>126715334666</v>
      </c>
      <c r="B718" s="1" t="s">
        <v>8</v>
      </c>
      <c r="C718" s="43" t="s">
        <v>1905</v>
      </c>
      <c r="D718" s="1" t="s">
        <v>2029</v>
      </c>
      <c r="E718" s="43" t="s">
        <v>1905</v>
      </c>
      <c r="F718" s="37" t="s">
        <v>2030</v>
      </c>
      <c r="G718" s="44">
        <v>25800</v>
      </c>
      <c r="H718" s="44">
        <v>258</v>
      </c>
    </row>
    <row r="719" spans="1:8">
      <c r="A719" s="90">
        <v>126723539042</v>
      </c>
      <c r="B719" s="1" t="s">
        <v>1790</v>
      </c>
      <c r="C719" s="43" t="s">
        <v>1905</v>
      </c>
      <c r="D719" s="1" t="s">
        <v>2029</v>
      </c>
      <c r="E719" s="43" t="s">
        <v>1905</v>
      </c>
      <c r="F719" s="37" t="s">
        <v>2030</v>
      </c>
      <c r="G719" s="44">
        <v>4300</v>
      </c>
      <c r="H719" s="44">
        <v>43</v>
      </c>
    </row>
    <row r="720" spans="1:8">
      <c r="A720" s="90">
        <v>126724304832</v>
      </c>
      <c r="B720" s="1" t="s">
        <v>8</v>
      </c>
      <c r="C720" s="43" t="s">
        <v>1905</v>
      </c>
      <c r="D720" s="1" t="s">
        <v>2029</v>
      </c>
      <c r="E720" s="43" t="s">
        <v>1905</v>
      </c>
      <c r="F720" s="37" t="s">
        <v>2030</v>
      </c>
      <c r="G720" s="44">
        <v>3900</v>
      </c>
      <c r="H720" s="44">
        <v>39</v>
      </c>
    </row>
    <row r="721" spans="1:8">
      <c r="A721" s="90">
        <v>126169270677</v>
      </c>
      <c r="B721" s="1" t="s">
        <v>8</v>
      </c>
      <c r="C721" s="43" t="s">
        <v>1905</v>
      </c>
      <c r="D721" s="1" t="s">
        <v>2029</v>
      </c>
      <c r="E721" s="43" t="s">
        <v>1905</v>
      </c>
      <c r="F721" s="37" t="s">
        <v>2030</v>
      </c>
      <c r="G721" s="44">
        <v>5700</v>
      </c>
      <c r="H721" s="44">
        <v>57</v>
      </c>
    </row>
    <row r="722" spans="1:8">
      <c r="A722" s="90">
        <v>126163201675</v>
      </c>
      <c r="B722" s="1" t="s">
        <v>8</v>
      </c>
      <c r="C722" s="43" t="s">
        <v>1905</v>
      </c>
      <c r="D722" s="1" t="s">
        <v>2029</v>
      </c>
      <c r="E722" s="43" t="s">
        <v>1905</v>
      </c>
      <c r="F722" s="37" t="s">
        <v>2030</v>
      </c>
      <c r="G722" s="44">
        <v>8600</v>
      </c>
      <c r="H722" s="44">
        <v>86</v>
      </c>
    </row>
    <row r="723" spans="1:8">
      <c r="A723" s="90">
        <v>126163696217</v>
      </c>
      <c r="B723" s="1" t="s">
        <v>1790</v>
      </c>
      <c r="C723" s="43" t="s">
        <v>1905</v>
      </c>
      <c r="D723" s="1" t="s">
        <v>2029</v>
      </c>
      <c r="E723" s="43" t="s">
        <v>1905</v>
      </c>
      <c r="F723" s="37" t="s">
        <v>2030</v>
      </c>
      <c r="G723" s="44">
        <v>24200</v>
      </c>
      <c r="H723" s="44">
        <v>242</v>
      </c>
    </row>
    <row r="724" spans="1:8">
      <c r="A724" s="90">
        <v>126171264709</v>
      </c>
      <c r="B724" s="1" t="s">
        <v>8</v>
      </c>
      <c r="C724" s="43" t="s">
        <v>1905</v>
      </c>
      <c r="D724" s="1" t="s">
        <v>2029</v>
      </c>
      <c r="E724" s="43" t="s">
        <v>1905</v>
      </c>
      <c r="F724" s="37" t="s">
        <v>2030</v>
      </c>
      <c r="G724" s="44">
        <v>4300</v>
      </c>
      <c r="H724" s="44">
        <v>43</v>
      </c>
    </row>
    <row r="725" spans="1:8">
      <c r="A725" s="90">
        <v>126720731270</v>
      </c>
      <c r="B725" s="1" t="s">
        <v>8</v>
      </c>
      <c r="C725" s="43" t="s">
        <v>1905</v>
      </c>
      <c r="D725" s="1" t="s">
        <v>2029</v>
      </c>
      <c r="E725" s="43" t="s">
        <v>1905</v>
      </c>
      <c r="F725" s="37" t="s">
        <v>2030</v>
      </c>
      <c r="G725" s="44">
        <v>4300</v>
      </c>
      <c r="H725" s="44">
        <v>43</v>
      </c>
    </row>
    <row r="726" spans="1:8">
      <c r="A726" s="90">
        <v>126165274867</v>
      </c>
      <c r="B726" s="1" t="s">
        <v>1790</v>
      </c>
      <c r="C726" s="43" t="s">
        <v>1905</v>
      </c>
      <c r="D726" s="1" t="s">
        <v>2029</v>
      </c>
      <c r="E726" s="43" t="s">
        <v>1905</v>
      </c>
      <c r="F726" s="37" t="s">
        <v>2030</v>
      </c>
      <c r="G726" s="44">
        <v>4300</v>
      </c>
      <c r="H726" s="44">
        <v>43</v>
      </c>
    </row>
    <row r="727" spans="1:8">
      <c r="A727" s="90">
        <v>126172609131</v>
      </c>
      <c r="B727" s="1" t="s">
        <v>1790</v>
      </c>
      <c r="C727" s="43" t="s">
        <v>1905</v>
      </c>
      <c r="D727" s="1" t="s">
        <v>2029</v>
      </c>
      <c r="E727" s="43" t="s">
        <v>1905</v>
      </c>
      <c r="F727" s="37" t="s">
        <v>2030</v>
      </c>
      <c r="G727" s="44">
        <v>19100</v>
      </c>
      <c r="H727" s="44">
        <v>191</v>
      </c>
    </row>
    <row r="728" spans="1:8">
      <c r="A728" s="90">
        <v>126728677538</v>
      </c>
      <c r="B728" s="1" t="s">
        <v>1790</v>
      </c>
      <c r="C728" s="43" t="s">
        <v>1905</v>
      </c>
      <c r="D728" s="1" t="s">
        <v>2029</v>
      </c>
      <c r="E728" s="43" t="s">
        <v>1905</v>
      </c>
      <c r="F728" s="37" t="s">
        <v>2030</v>
      </c>
      <c r="G728" s="44">
        <v>4300</v>
      </c>
      <c r="H728" s="44">
        <v>43</v>
      </c>
    </row>
    <row r="729" spans="1:8">
      <c r="A729" s="90">
        <v>126723007268</v>
      </c>
      <c r="B729" s="1" t="s">
        <v>8</v>
      </c>
      <c r="C729" s="43" t="s">
        <v>1905</v>
      </c>
      <c r="D729" s="1" t="s">
        <v>2029</v>
      </c>
      <c r="E729" s="43" t="s">
        <v>1905</v>
      </c>
      <c r="F729" s="37" t="s">
        <v>2030</v>
      </c>
      <c r="G729" s="44">
        <v>7900</v>
      </c>
      <c r="H729" s="44">
        <v>79</v>
      </c>
    </row>
    <row r="730" spans="1:8">
      <c r="A730" s="90">
        <v>126729997528</v>
      </c>
      <c r="B730" s="1" t="s">
        <v>1790</v>
      </c>
      <c r="C730" s="43" t="s">
        <v>1905</v>
      </c>
      <c r="D730" s="1" t="s">
        <v>2029</v>
      </c>
      <c r="E730" s="43" t="s">
        <v>1905</v>
      </c>
      <c r="F730" s="37" t="s">
        <v>2030</v>
      </c>
      <c r="G730" s="44">
        <v>4300</v>
      </c>
      <c r="H730" s="44">
        <v>43</v>
      </c>
    </row>
    <row r="731" spans="1:8">
      <c r="A731" s="90">
        <v>126173864405</v>
      </c>
      <c r="B731" s="1" t="s">
        <v>8</v>
      </c>
      <c r="C731" s="43" t="s">
        <v>1905</v>
      </c>
      <c r="D731" s="1" t="s">
        <v>2029</v>
      </c>
      <c r="E731" s="43" t="s">
        <v>1905</v>
      </c>
      <c r="F731" s="37" t="s">
        <v>2030</v>
      </c>
      <c r="G731" s="44">
        <v>17200</v>
      </c>
      <c r="H731" s="44">
        <v>172</v>
      </c>
    </row>
    <row r="732" spans="1:8">
      <c r="A732" s="90">
        <v>126723765408</v>
      </c>
      <c r="B732" s="1" t="s">
        <v>8</v>
      </c>
      <c r="C732" s="43" t="s">
        <v>1905</v>
      </c>
      <c r="D732" s="1" t="s">
        <v>2029</v>
      </c>
      <c r="E732" s="43" t="s">
        <v>1905</v>
      </c>
      <c r="F732" s="37" t="s">
        <v>2030</v>
      </c>
      <c r="G732" s="44">
        <v>4300</v>
      </c>
      <c r="H732" s="44">
        <v>43</v>
      </c>
    </row>
    <row r="733" spans="1:8">
      <c r="A733" s="90">
        <v>126730400096</v>
      </c>
      <c r="B733" s="1" t="s">
        <v>8</v>
      </c>
      <c r="C733" s="43" t="s">
        <v>1905</v>
      </c>
      <c r="D733" s="1" t="s">
        <v>2029</v>
      </c>
      <c r="E733" s="43" t="s">
        <v>1905</v>
      </c>
      <c r="F733" s="37" t="s">
        <v>2030</v>
      </c>
      <c r="G733" s="44">
        <v>56200</v>
      </c>
      <c r="H733" s="44">
        <v>562</v>
      </c>
    </row>
    <row r="734" spans="1:8">
      <c r="A734" s="90">
        <v>126730724768</v>
      </c>
      <c r="B734" s="1" t="s">
        <v>8</v>
      </c>
      <c r="C734" s="43" t="s">
        <v>1905</v>
      </c>
      <c r="D734" s="1" t="s">
        <v>2029</v>
      </c>
      <c r="E734" s="43" t="s">
        <v>1905</v>
      </c>
      <c r="F734" s="37" t="s">
        <v>2030</v>
      </c>
      <c r="G734" s="44">
        <v>4300</v>
      </c>
      <c r="H734" s="44">
        <v>43</v>
      </c>
    </row>
    <row r="735" spans="1:8">
      <c r="A735" s="90">
        <v>126724104590</v>
      </c>
      <c r="B735" s="1" t="s">
        <v>1790</v>
      </c>
      <c r="C735" s="43" t="s">
        <v>1905</v>
      </c>
      <c r="D735" s="1" t="s">
        <v>2029</v>
      </c>
      <c r="E735" s="43" t="s">
        <v>1905</v>
      </c>
      <c r="F735" s="37" t="s">
        <v>2030</v>
      </c>
      <c r="G735" s="44">
        <v>9500</v>
      </c>
      <c r="H735" s="44">
        <v>95</v>
      </c>
    </row>
    <row r="736" spans="1:8">
      <c r="A736" s="90">
        <v>126724308446</v>
      </c>
      <c r="B736" s="1" t="s">
        <v>8</v>
      </c>
      <c r="C736" s="43" t="s">
        <v>1905</v>
      </c>
      <c r="D736" s="1" t="s">
        <v>2029</v>
      </c>
      <c r="E736" s="43" t="s">
        <v>1905</v>
      </c>
      <c r="F736" s="37" t="s">
        <v>2030</v>
      </c>
      <c r="G736" s="44">
        <v>4300</v>
      </c>
      <c r="H736" s="44">
        <v>43</v>
      </c>
    </row>
    <row r="737" spans="1:8">
      <c r="A737" s="90">
        <v>126730960018</v>
      </c>
      <c r="B737" s="1" t="s">
        <v>8</v>
      </c>
      <c r="C737" s="43" t="s">
        <v>1905</v>
      </c>
      <c r="D737" s="1" t="s">
        <v>2029</v>
      </c>
      <c r="E737" s="43" t="s">
        <v>1905</v>
      </c>
      <c r="F737" s="37" t="s">
        <v>2030</v>
      </c>
      <c r="G737" s="44">
        <v>3500</v>
      </c>
      <c r="H737" s="44">
        <v>35</v>
      </c>
    </row>
    <row r="738" spans="1:8">
      <c r="A738" s="90">
        <v>126725418364</v>
      </c>
      <c r="B738" s="1" t="s">
        <v>8</v>
      </c>
      <c r="C738" s="43" t="s">
        <v>1905</v>
      </c>
      <c r="D738" s="1" t="s">
        <v>2029</v>
      </c>
      <c r="E738" s="43" t="s">
        <v>1905</v>
      </c>
      <c r="F738" s="37" t="s">
        <v>2030</v>
      </c>
      <c r="G738" s="44">
        <v>3500</v>
      </c>
      <c r="H738" s="44">
        <v>35</v>
      </c>
    </row>
    <row r="739" spans="1:8">
      <c r="A739" s="90">
        <v>126725608370</v>
      </c>
      <c r="B739" s="1" t="s">
        <v>8</v>
      </c>
      <c r="C739" s="43" t="s">
        <v>1905</v>
      </c>
      <c r="D739" s="1" t="s">
        <v>2029</v>
      </c>
      <c r="E739" s="43" t="s">
        <v>1905</v>
      </c>
      <c r="F739" s="37" t="s">
        <v>2030</v>
      </c>
      <c r="G739" s="44">
        <v>3500</v>
      </c>
      <c r="H739" s="44">
        <v>35</v>
      </c>
    </row>
    <row r="740" spans="1:8">
      <c r="A740" s="90">
        <v>126176306385</v>
      </c>
      <c r="B740" s="1" t="s">
        <v>8</v>
      </c>
      <c r="C740" s="43" t="s">
        <v>1905</v>
      </c>
      <c r="D740" s="1" t="s">
        <v>2029</v>
      </c>
      <c r="E740" s="43" t="s">
        <v>1905</v>
      </c>
      <c r="F740" s="37" t="s">
        <v>2030</v>
      </c>
      <c r="G740" s="44">
        <v>8600</v>
      </c>
      <c r="H740" s="44">
        <v>86</v>
      </c>
    </row>
    <row r="741" spans="1:8">
      <c r="A741" s="90">
        <v>126733342172</v>
      </c>
      <c r="B741" s="1" t="s">
        <v>1790</v>
      </c>
      <c r="C741" s="43" t="s">
        <v>1905</v>
      </c>
      <c r="D741" s="1" t="s">
        <v>2029</v>
      </c>
      <c r="E741" s="43" t="s">
        <v>1905</v>
      </c>
      <c r="F741" s="37" t="s">
        <v>2030</v>
      </c>
      <c r="G741" s="44">
        <v>25700</v>
      </c>
      <c r="H741" s="44">
        <v>257</v>
      </c>
    </row>
    <row r="742" spans="1:8">
      <c r="A742" s="90">
        <v>126170159241</v>
      </c>
      <c r="B742" s="1" t="s">
        <v>1790</v>
      </c>
      <c r="C742" s="43" t="s">
        <v>1905</v>
      </c>
      <c r="D742" s="1" t="s">
        <v>2029</v>
      </c>
      <c r="E742" s="43" t="s">
        <v>1905</v>
      </c>
      <c r="F742" s="37" t="s">
        <v>2030</v>
      </c>
      <c r="G742" s="44">
        <v>39200</v>
      </c>
      <c r="H742" s="44">
        <v>392</v>
      </c>
    </row>
    <row r="743" spans="1:8">
      <c r="A743" s="90">
        <v>126177394425</v>
      </c>
      <c r="B743" s="1" t="s">
        <v>8</v>
      </c>
      <c r="C743" s="43" t="s">
        <v>1905</v>
      </c>
      <c r="D743" s="1" t="s">
        <v>2029</v>
      </c>
      <c r="E743" s="43" t="s">
        <v>1905</v>
      </c>
      <c r="F743" s="37" t="s">
        <v>2030</v>
      </c>
      <c r="G743" s="44">
        <v>5300</v>
      </c>
      <c r="H743" s="44">
        <v>53</v>
      </c>
    </row>
    <row r="744" spans="1:8">
      <c r="A744" s="90">
        <v>126733789902</v>
      </c>
      <c r="B744" s="1" t="s">
        <v>8</v>
      </c>
      <c r="C744" s="43" t="s">
        <v>1905</v>
      </c>
      <c r="D744" s="1" t="s">
        <v>2029</v>
      </c>
      <c r="E744" s="43" t="s">
        <v>1905</v>
      </c>
      <c r="F744" s="37" t="s">
        <v>2030</v>
      </c>
      <c r="G744" s="44">
        <v>10600</v>
      </c>
      <c r="H744" s="44">
        <v>106</v>
      </c>
    </row>
    <row r="745" spans="1:8">
      <c r="A745" s="90">
        <v>126177996273</v>
      </c>
      <c r="B745" s="1" t="s">
        <v>8</v>
      </c>
      <c r="C745" s="43" t="s">
        <v>1905</v>
      </c>
      <c r="D745" s="1" t="s">
        <v>2029</v>
      </c>
      <c r="E745" s="43" t="s">
        <v>1905</v>
      </c>
      <c r="F745" s="37" t="s">
        <v>2030</v>
      </c>
      <c r="G745" s="44">
        <v>17200</v>
      </c>
      <c r="H745" s="44">
        <v>172</v>
      </c>
    </row>
    <row r="746" spans="1:8">
      <c r="A746" s="90">
        <v>126171003423</v>
      </c>
      <c r="B746" s="1" t="s">
        <v>8</v>
      </c>
      <c r="C746" s="43" t="s">
        <v>1905</v>
      </c>
      <c r="D746" s="1" t="s">
        <v>2029</v>
      </c>
      <c r="E746" s="43" t="s">
        <v>1905</v>
      </c>
      <c r="F746" s="37" t="s">
        <v>2030</v>
      </c>
      <c r="G746" s="44">
        <v>3500</v>
      </c>
      <c r="H746" s="44">
        <v>35</v>
      </c>
    </row>
    <row r="747" spans="1:8">
      <c r="A747" s="90">
        <v>126734131932</v>
      </c>
      <c r="B747" s="1" t="s">
        <v>8</v>
      </c>
      <c r="C747" s="43" t="s">
        <v>1905</v>
      </c>
      <c r="D747" s="1" t="s">
        <v>2029</v>
      </c>
      <c r="E747" s="43" t="s">
        <v>1905</v>
      </c>
      <c r="F747" s="37" t="s">
        <v>2030</v>
      </c>
      <c r="G747" s="44">
        <v>4300</v>
      </c>
      <c r="H747" s="44">
        <v>43</v>
      </c>
    </row>
    <row r="748" spans="1:8">
      <c r="A748" s="90">
        <v>126171958661</v>
      </c>
      <c r="B748" s="1" t="s">
        <v>8</v>
      </c>
      <c r="C748" s="43" t="s">
        <v>1905</v>
      </c>
      <c r="D748" s="1" t="s">
        <v>2029</v>
      </c>
      <c r="E748" s="43" t="s">
        <v>1905</v>
      </c>
      <c r="F748" s="37" t="s">
        <v>2030</v>
      </c>
      <c r="G748" s="44">
        <v>12200</v>
      </c>
      <c r="H748" s="44">
        <v>122</v>
      </c>
    </row>
    <row r="749" spans="1:8">
      <c r="A749" s="90">
        <v>126728336370</v>
      </c>
      <c r="B749" s="1" t="s">
        <v>1790</v>
      </c>
      <c r="C749" s="43" t="s">
        <v>1905</v>
      </c>
      <c r="D749" s="1" t="s">
        <v>2029</v>
      </c>
      <c r="E749" s="43" t="s">
        <v>1905</v>
      </c>
      <c r="F749" s="37" t="s">
        <v>2030</v>
      </c>
      <c r="G749" s="44">
        <v>4300</v>
      </c>
      <c r="H749" s="44">
        <v>43</v>
      </c>
    </row>
    <row r="750" spans="1:8">
      <c r="A750" s="90">
        <v>126735538284</v>
      </c>
      <c r="B750" s="1" t="s">
        <v>8</v>
      </c>
      <c r="C750" s="43" t="s">
        <v>1905</v>
      </c>
      <c r="D750" s="1" t="s">
        <v>2029</v>
      </c>
      <c r="E750" s="43" t="s">
        <v>1905</v>
      </c>
      <c r="F750" s="37" t="s">
        <v>2030</v>
      </c>
      <c r="G750" s="44">
        <v>9300</v>
      </c>
      <c r="H750" s="44">
        <v>93</v>
      </c>
    </row>
    <row r="751" spans="1:8">
      <c r="A751" s="90">
        <v>126179338967</v>
      </c>
      <c r="B751" s="1" t="s">
        <v>1790</v>
      </c>
      <c r="C751" s="43" t="s">
        <v>1905</v>
      </c>
      <c r="D751" s="1" t="s">
        <v>2029</v>
      </c>
      <c r="E751" s="43" t="s">
        <v>1910</v>
      </c>
      <c r="F751" s="37" t="s">
        <v>2030</v>
      </c>
      <c r="G751" s="44">
        <v>4300</v>
      </c>
      <c r="H751" s="44">
        <v>43</v>
      </c>
    </row>
    <row r="752" spans="1:8">
      <c r="A752" s="90">
        <v>126172507849</v>
      </c>
      <c r="B752" s="1" t="s">
        <v>1790</v>
      </c>
      <c r="C752" s="43" t="s">
        <v>1905</v>
      </c>
      <c r="D752" s="1" t="s">
        <v>2029</v>
      </c>
      <c r="E752" s="43" t="s">
        <v>1905</v>
      </c>
      <c r="F752" s="37" t="s">
        <v>2030</v>
      </c>
      <c r="G752" s="44">
        <v>7900</v>
      </c>
      <c r="H752" s="44">
        <v>79</v>
      </c>
    </row>
    <row r="753" spans="1:8">
      <c r="A753" s="90">
        <v>126179543345</v>
      </c>
      <c r="B753" s="1" t="s">
        <v>8</v>
      </c>
      <c r="C753" s="43" t="s">
        <v>1905</v>
      </c>
      <c r="D753" s="1" t="s">
        <v>2029</v>
      </c>
      <c r="E753" s="43" t="s">
        <v>1910</v>
      </c>
      <c r="F753" s="37" t="s">
        <v>2030</v>
      </c>
      <c r="G753" s="44">
        <v>12900</v>
      </c>
      <c r="H753" s="44">
        <v>129</v>
      </c>
    </row>
    <row r="754" spans="1:8">
      <c r="A754" s="90">
        <v>126736088642</v>
      </c>
      <c r="B754" s="1" t="s">
        <v>8</v>
      </c>
      <c r="C754" s="43" t="s">
        <v>1905</v>
      </c>
      <c r="D754" s="1" t="s">
        <v>2029</v>
      </c>
      <c r="E754" s="43" t="s">
        <v>1910</v>
      </c>
      <c r="F754" s="37" t="s">
        <v>2030</v>
      </c>
      <c r="G754" s="44">
        <v>21300</v>
      </c>
      <c r="H754" s="44">
        <v>213</v>
      </c>
    </row>
    <row r="755" spans="1:8">
      <c r="A755" s="90">
        <v>126736031606</v>
      </c>
      <c r="B755" s="1" t="s">
        <v>8</v>
      </c>
      <c r="C755" s="43" t="s">
        <v>1905</v>
      </c>
      <c r="D755" s="1" t="s">
        <v>2029</v>
      </c>
      <c r="E755" s="43" t="s">
        <v>1910</v>
      </c>
      <c r="F755" s="37" t="s">
        <v>2030</v>
      </c>
      <c r="G755" s="44">
        <v>4500</v>
      </c>
      <c r="H755" s="44">
        <v>45</v>
      </c>
    </row>
    <row r="756" spans="1:8">
      <c r="A756" s="90">
        <v>126179853579</v>
      </c>
      <c r="B756" s="1" t="s">
        <v>8</v>
      </c>
      <c r="C756" s="43" t="s">
        <v>1905</v>
      </c>
      <c r="D756" s="1" t="s">
        <v>2029</v>
      </c>
      <c r="E756" s="43" t="s">
        <v>1910</v>
      </c>
      <c r="F756" s="37" t="s">
        <v>2030</v>
      </c>
      <c r="G756" s="44">
        <v>9300</v>
      </c>
      <c r="H756" s="44">
        <v>93</v>
      </c>
    </row>
    <row r="757" spans="1:8">
      <c r="A757" s="90">
        <v>126729380342</v>
      </c>
      <c r="B757" s="1" t="s">
        <v>8</v>
      </c>
      <c r="C757" s="43" t="s">
        <v>1905</v>
      </c>
      <c r="D757" s="1" t="s">
        <v>2029</v>
      </c>
      <c r="E757" s="43" t="s">
        <v>1905</v>
      </c>
      <c r="F757" s="37" t="s">
        <v>2030</v>
      </c>
      <c r="G757" s="44">
        <v>4300</v>
      </c>
      <c r="H757" s="44">
        <v>43</v>
      </c>
    </row>
    <row r="758" spans="1:8">
      <c r="A758" s="90">
        <v>126729257882</v>
      </c>
      <c r="B758" s="1" t="s">
        <v>8</v>
      </c>
      <c r="C758" s="43" t="s">
        <v>1905</v>
      </c>
      <c r="D758" s="1" t="s">
        <v>2029</v>
      </c>
      <c r="E758" s="43" t="s">
        <v>1905</v>
      </c>
      <c r="F758" s="37" t="s">
        <v>2030</v>
      </c>
      <c r="G758" s="44">
        <v>5300</v>
      </c>
      <c r="H758" s="44">
        <v>53</v>
      </c>
    </row>
    <row r="759" spans="1:8">
      <c r="A759" s="90">
        <v>126729595734</v>
      </c>
      <c r="B759" s="1" t="s">
        <v>1790</v>
      </c>
      <c r="C759" s="43" t="s">
        <v>1905</v>
      </c>
      <c r="D759" s="1" t="s">
        <v>2029</v>
      </c>
      <c r="E759" s="43" t="s">
        <v>1905</v>
      </c>
      <c r="F759" s="37" t="s">
        <v>2030</v>
      </c>
      <c r="G759" s="44">
        <v>4300</v>
      </c>
      <c r="H759" s="44">
        <v>43</v>
      </c>
    </row>
    <row r="760" spans="1:8">
      <c r="A760" s="90">
        <v>126180519317</v>
      </c>
      <c r="B760" s="1" t="s">
        <v>8</v>
      </c>
      <c r="C760" s="43" t="s">
        <v>1905</v>
      </c>
      <c r="D760" s="1" t="s">
        <v>2029</v>
      </c>
      <c r="E760" s="43" t="s">
        <v>1910</v>
      </c>
      <c r="F760" s="37" t="s">
        <v>2030</v>
      </c>
      <c r="G760" s="44">
        <v>67600</v>
      </c>
      <c r="H760" s="44">
        <v>676</v>
      </c>
    </row>
    <row r="761" spans="1:8">
      <c r="A761" s="90">
        <v>126736920096</v>
      </c>
      <c r="B761" s="1" t="s">
        <v>1790</v>
      </c>
      <c r="C761" s="43" t="s">
        <v>1905</v>
      </c>
      <c r="D761" s="1" t="s">
        <v>2029</v>
      </c>
      <c r="E761" s="43" t="s">
        <v>1910</v>
      </c>
      <c r="F761" s="37" t="s">
        <v>2030</v>
      </c>
      <c r="G761" s="44">
        <v>86100</v>
      </c>
      <c r="H761" s="44">
        <v>861</v>
      </c>
    </row>
    <row r="762" spans="1:8">
      <c r="A762" s="90">
        <v>126180758335</v>
      </c>
      <c r="B762" s="1" t="s">
        <v>1790</v>
      </c>
      <c r="C762" s="43" t="s">
        <v>1905</v>
      </c>
      <c r="D762" s="1" t="s">
        <v>2029</v>
      </c>
      <c r="E762" s="43" t="s">
        <v>1910</v>
      </c>
      <c r="F762" s="37" t="s">
        <v>2030</v>
      </c>
      <c r="G762" s="44">
        <v>20800</v>
      </c>
      <c r="H762" s="44">
        <v>208</v>
      </c>
    </row>
    <row r="763" spans="1:8">
      <c r="A763" s="90">
        <v>126737086952</v>
      </c>
      <c r="B763" s="1" t="s">
        <v>1790</v>
      </c>
      <c r="C763" s="43" t="s">
        <v>1905</v>
      </c>
      <c r="D763" s="1" t="s">
        <v>2029</v>
      </c>
      <c r="E763" s="43" t="s">
        <v>1910</v>
      </c>
      <c r="F763" s="37" t="s">
        <v>2030</v>
      </c>
      <c r="G763" s="44">
        <v>17500</v>
      </c>
      <c r="H763" s="44">
        <v>175</v>
      </c>
    </row>
    <row r="764" spans="1:8">
      <c r="A764" s="90">
        <v>126181139963</v>
      </c>
      <c r="B764" s="1" t="s">
        <v>8</v>
      </c>
      <c r="C764" s="43" t="s">
        <v>1905</v>
      </c>
      <c r="D764" s="1" t="s">
        <v>2029</v>
      </c>
      <c r="E764" s="43" t="s">
        <v>1910</v>
      </c>
      <c r="F764" s="37" t="s">
        <v>2030</v>
      </c>
      <c r="G764" s="44">
        <v>12900</v>
      </c>
      <c r="H764" s="44">
        <v>129</v>
      </c>
    </row>
    <row r="765" spans="1:8">
      <c r="A765" s="90">
        <v>126730576680</v>
      </c>
      <c r="B765" s="1" t="s">
        <v>8</v>
      </c>
      <c r="C765" s="43" t="s">
        <v>1905</v>
      </c>
      <c r="D765" s="1" t="s">
        <v>2029</v>
      </c>
      <c r="E765" s="43" t="s">
        <v>1905</v>
      </c>
      <c r="F765" s="37" t="s">
        <v>2030</v>
      </c>
      <c r="G765" s="44">
        <v>21400</v>
      </c>
      <c r="H765" s="44">
        <v>214</v>
      </c>
    </row>
    <row r="766" spans="1:8">
      <c r="A766" s="90">
        <v>126730666812</v>
      </c>
      <c r="B766" s="1" t="s">
        <v>8</v>
      </c>
      <c r="C766" s="43" t="s">
        <v>1905</v>
      </c>
      <c r="D766" s="1" t="s">
        <v>2029</v>
      </c>
      <c r="E766" s="43" t="s">
        <v>1905</v>
      </c>
      <c r="F766" s="37" t="s">
        <v>2030</v>
      </c>
      <c r="G766" s="44">
        <v>3500</v>
      </c>
      <c r="H766" s="44">
        <v>35</v>
      </c>
    </row>
    <row r="767" spans="1:8">
      <c r="A767" s="90">
        <v>126174840651</v>
      </c>
      <c r="B767" s="1" t="s">
        <v>8</v>
      </c>
      <c r="C767" s="43" t="s">
        <v>1905</v>
      </c>
      <c r="D767" s="1" t="s">
        <v>2029</v>
      </c>
      <c r="E767" s="43" t="s">
        <v>1905</v>
      </c>
      <c r="F767" s="37" t="s">
        <v>2030</v>
      </c>
      <c r="G767" s="44">
        <v>53800</v>
      </c>
      <c r="H767" s="44">
        <v>538</v>
      </c>
    </row>
    <row r="768" spans="1:8">
      <c r="A768" s="90">
        <v>126182042267</v>
      </c>
      <c r="B768" s="1" t="s">
        <v>8</v>
      </c>
      <c r="C768" s="43" t="s">
        <v>1905</v>
      </c>
      <c r="D768" s="1" t="s">
        <v>2029</v>
      </c>
      <c r="E768" s="43" t="s">
        <v>1910</v>
      </c>
      <c r="F768" s="37" t="s">
        <v>2030</v>
      </c>
      <c r="G768" s="44">
        <v>22500</v>
      </c>
      <c r="H768" s="44">
        <v>225</v>
      </c>
    </row>
    <row r="769" spans="1:8">
      <c r="A769" s="90">
        <v>126175205521</v>
      </c>
      <c r="B769" s="1" t="s">
        <v>8</v>
      </c>
      <c r="C769" s="43" t="s">
        <v>1905</v>
      </c>
      <c r="D769" s="1" t="s">
        <v>2029</v>
      </c>
      <c r="E769" s="43" t="s">
        <v>1905</v>
      </c>
      <c r="F769" s="37" t="s">
        <v>2030</v>
      </c>
      <c r="G769" s="44">
        <v>13700</v>
      </c>
      <c r="H769" s="44">
        <v>137</v>
      </c>
    </row>
    <row r="770" spans="1:8">
      <c r="A770" s="90">
        <v>126738655450</v>
      </c>
      <c r="B770" s="1" t="s">
        <v>8</v>
      </c>
      <c r="C770" s="43" t="s">
        <v>1910</v>
      </c>
      <c r="D770" s="1" t="s">
        <v>2029</v>
      </c>
      <c r="E770" s="43" t="s">
        <v>1910</v>
      </c>
      <c r="F770" s="37" t="s">
        <v>2030</v>
      </c>
      <c r="G770" s="44">
        <v>13600</v>
      </c>
      <c r="H770" s="44">
        <v>136</v>
      </c>
    </row>
    <row r="771" spans="1:8">
      <c r="A771" s="90">
        <v>126182746591</v>
      </c>
      <c r="B771" s="1" t="s">
        <v>8</v>
      </c>
      <c r="C771" s="43" t="s">
        <v>1910</v>
      </c>
      <c r="D771" s="1" t="s">
        <v>2029</v>
      </c>
      <c r="E771" s="43" t="s">
        <v>1910</v>
      </c>
      <c r="F771" s="37" t="s">
        <v>2030</v>
      </c>
      <c r="G771" s="44">
        <v>23900</v>
      </c>
      <c r="H771" s="44">
        <v>239</v>
      </c>
    </row>
    <row r="772" spans="1:8">
      <c r="A772" s="90">
        <v>126182861281</v>
      </c>
      <c r="B772" s="1" t="s">
        <v>8</v>
      </c>
      <c r="C772" s="43" t="s">
        <v>1910</v>
      </c>
      <c r="D772" s="1" t="s">
        <v>2029</v>
      </c>
      <c r="E772" s="43" t="s">
        <v>1910</v>
      </c>
      <c r="F772" s="37" t="s">
        <v>2030</v>
      </c>
      <c r="G772" s="44">
        <v>3900</v>
      </c>
      <c r="H772" s="44">
        <v>39</v>
      </c>
    </row>
    <row r="773" spans="1:8">
      <c r="A773" s="90">
        <v>126176356419</v>
      </c>
      <c r="B773" s="1" t="s">
        <v>8</v>
      </c>
      <c r="C773" s="43" t="s">
        <v>1905</v>
      </c>
      <c r="D773" s="1" t="s">
        <v>2029</v>
      </c>
      <c r="E773" s="43" t="s">
        <v>1905</v>
      </c>
      <c r="F773" s="37" t="s">
        <v>2030</v>
      </c>
      <c r="G773" s="44">
        <v>8600</v>
      </c>
      <c r="H773" s="44">
        <v>86</v>
      </c>
    </row>
    <row r="774" spans="1:8">
      <c r="A774" s="90">
        <v>126176295955</v>
      </c>
      <c r="B774" s="1" t="s">
        <v>8</v>
      </c>
      <c r="C774" s="43" t="s">
        <v>1905</v>
      </c>
      <c r="D774" s="1" t="s">
        <v>2029</v>
      </c>
      <c r="E774" s="43" t="s">
        <v>1905</v>
      </c>
      <c r="F774" s="37" t="s">
        <v>2030</v>
      </c>
      <c r="G774" s="44">
        <v>14800</v>
      </c>
      <c r="H774" s="44">
        <v>148</v>
      </c>
    </row>
    <row r="775" spans="1:8">
      <c r="A775" s="90">
        <v>126183222931</v>
      </c>
      <c r="B775" s="1" t="s">
        <v>8</v>
      </c>
      <c r="C775" s="43" t="s">
        <v>1910</v>
      </c>
      <c r="D775" s="1" t="s">
        <v>2029</v>
      </c>
      <c r="E775" s="43" t="s">
        <v>1910</v>
      </c>
      <c r="F775" s="37" t="s">
        <v>2030</v>
      </c>
      <c r="G775" s="44">
        <v>8200</v>
      </c>
      <c r="H775" s="44">
        <v>82</v>
      </c>
    </row>
    <row r="776" spans="1:8">
      <c r="A776" s="90">
        <v>126183344315</v>
      </c>
      <c r="B776" s="1" t="s">
        <v>8</v>
      </c>
      <c r="C776" s="43" t="s">
        <v>1910</v>
      </c>
      <c r="D776" s="1" t="s">
        <v>2029</v>
      </c>
      <c r="E776" s="43" t="s">
        <v>1910</v>
      </c>
      <c r="F776" s="37" t="s">
        <v>2030</v>
      </c>
      <c r="G776" s="44">
        <v>62800</v>
      </c>
      <c r="H776" s="44">
        <v>628</v>
      </c>
    </row>
    <row r="777" spans="1:8">
      <c r="A777" s="90">
        <v>126183601699</v>
      </c>
      <c r="B777" s="1" t="s">
        <v>1790</v>
      </c>
      <c r="C777" s="43" t="s">
        <v>1910</v>
      </c>
      <c r="D777" s="1" t="s">
        <v>2029</v>
      </c>
      <c r="E777" s="43" t="s">
        <v>1910</v>
      </c>
      <c r="F777" s="37" t="s">
        <v>2030</v>
      </c>
      <c r="G777" s="44">
        <v>3500</v>
      </c>
      <c r="H777" s="44">
        <v>35</v>
      </c>
    </row>
    <row r="778" spans="1:8">
      <c r="A778" s="90">
        <v>126177858555</v>
      </c>
      <c r="B778" s="1" t="s">
        <v>8</v>
      </c>
      <c r="C778" s="43" t="s">
        <v>1905</v>
      </c>
      <c r="D778" s="1" t="s">
        <v>2029</v>
      </c>
      <c r="E778" s="43" t="s">
        <v>1905</v>
      </c>
      <c r="F778" s="37" t="s">
        <v>2030</v>
      </c>
      <c r="G778" s="44">
        <v>107200</v>
      </c>
      <c r="H778" s="44">
        <v>1072</v>
      </c>
    </row>
    <row r="779" spans="1:8">
      <c r="A779" s="90">
        <v>126740392456</v>
      </c>
      <c r="B779" s="1" t="s">
        <v>8</v>
      </c>
      <c r="C779" s="43" t="s">
        <v>1910</v>
      </c>
      <c r="D779" s="1" t="s">
        <v>2029</v>
      </c>
      <c r="E779" s="43" t="s">
        <v>1910</v>
      </c>
      <c r="F779" s="37" t="s">
        <v>2030</v>
      </c>
      <c r="G779" s="44">
        <v>8400</v>
      </c>
      <c r="H779" s="44">
        <v>84</v>
      </c>
    </row>
    <row r="780" spans="1:8">
      <c r="A780" s="90">
        <v>126734101344</v>
      </c>
      <c r="B780" s="1" t="s">
        <v>8</v>
      </c>
      <c r="C780" s="43" t="s">
        <v>1905</v>
      </c>
      <c r="D780" s="1" t="s">
        <v>2029</v>
      </c>
      <c r="E780" s="43" t="s">
        <v>1905</v>
      </c>
      <c r="F780" s="37" t="s">
        <v>2030</v>
      </c>
      <c r="G780" s="44">
        <v>8600</v>
      </c>
      <c r="H780" s="44">
        <v>86</v>
      </c>
    </row>
    <row r="781" spans="1:8">
      <c r="A781" s="90">
        <v>126184382547</v>
      </c>
      <c r="B781" s="1" t="s">
        <v>8</v>
      </c>
      <c r="C781" s="43" t="s">
        <v>1910</v>
      </c>
      <c r="D781" s="1" t="s">
        <v>2029</v>
      </c>
      <c r="E781" s="43" t="s">
        <v>1910</v>
      </c>
      <c r="F781" s="37" t="s">
        <v>2030</v>
      </c>
      <c r="G781" s="44">
        <v>52400</v>
      </c>
      <c r="H781" s="44">
        <v>524</v>
      </c>
    </row>
    <row r="782" spans="1:8">
      <c r="A782" s="90">
        <v>126734488490</v>
      </c>
      <c r="B782" s="1" t="s">
        <v>8</v>
      </c>
      <c r="C782" s="43" t="s">
        <v>1905</v>
      </c>
      <c r="D782" s="1" t="s">
        <v>2029</v>
      </c>
      <c r="E782" s="43" t="s">
        <v>1905</v>
      </c>
      <c r="F782" s="37" t="s">
        <v>2030</v>
      </c>
      <c r="G782" s="44">
        <v>21900</v>
      </c>
      <c r="H782" s="44">
        <v>219</v>
      </c>
    </row>
    <row r="783" spans="1:8">
      <c r="A783" s="90">
        <v>126178996297</v>
      </c>
      <c r="B783" s="1" t="s">
        <v>8</v>
      </c>
      <c r="C783" s="43" t="s">
        <v>1905</v>
      </c>
      <c r="D783" s="1" t="s">
        <v>2029</v>
      </c>
      <c r="E783" s="43" t="s">
        <v>1905</v>
      </c>
      <c r="F783" s="37" t="s">
        <v>2030</v>
      </c>
      <c r="G783" s="44">
        <v>8600</v>
      </c>
      <c r="H783" s="44">
        <v>86</v>
      </c>
    </row>
    <row r="784" spans="1:8">
      <c r="A784" s="90">
        <v>126740843732</v>
      </c>
      <c r="B784" s="1" t="s">
        <v>8</v>
      </c>
      <c r="C784" s="43" t="s">
        <v>1910</v>
      </c>
      <c r="D784" s="1" t="s">
        <v>2029</v>
      </c>
      <c r="E784" s="43" t="s">
        <v>1910</v>
      </c>
      <c r="F784" s="37" t="s">
        <v>2030</v>
      </c>
      <c r="G784" s="44">
        <v>9600</v>
      </c>
      <c r="H784" s="44">
        <v>96</v>
      </c>
    </row>
    <row r="785" spans="1:8">
      <c r="A785" s="90">
        <v>126179218399</v>
      </c>
      <c r="B785" s="1" t="s">
        <v>8</v>
      </c>
      <c r="C785" s="43" t="s">
        <v>1905</v>
      </c>
      <c r="D785" s="1" t="s">
        <v>2029</v>
      </c>
      <c r="E785" s="43" t="s">
        <v>1905</v>
      </c>
      <c r="F785" s="37" t="s">
        <v>2030</v>
      </c>
      <c r="G785" s="44">
        <v>9600</v>
      </c>
      <c r="H785" s="44">
        <v>96</v>
      </c>
    </row>
    <row r="786" spans="1:8">
      <c r="A786" s="90">
        <v>126735130040</v>
      </c>
      <c r="B786" s="1" t="s">
        <v>8</v>
      </c>
      <c r="C786" s="43" t="s">
        <v>1905</v>
      </c>
      <c r="D786" s="1" t="s">
        <v>2029</v>
      </c>
      <c r="E786" s="43" t="s">
        <v>1905</v>
      </c>
      <c r="F786" s="37" t="s">
        <v>2030</v>
      </c>
      <c r="G786" s="44">
        <v>3500</v>
      </c>
      <c r="H786" s="44">
        <v>35</v>
      </c>
    </row>
    <row r="787" spans="1:8">
      <c r="A787" s="90">
        <v>126735449040</v>
      </c>
      <c r="B787" s="1" t="s">
        <v>1790</v>
      </c>
      <c r="C787" s="43" t="s">
        <v>1905</v>
      </c>
      <c r="D787" s="1" t="s">
        <v>2029</v>
      </c>
      <c r="E787" s="43" t="s">
        <v>1910</v>
      </c>
      <c r="F787" s="37" t="s">
        <v>2030</v>
      </c>
      <c r="G787" s="44">
        <v>4300</v>
      </c>
      <c r="H787" s="44">
        <v>43</v>
      </c>
    </row>
    <row r="788" spans="1:8">
      <c r="A788" s="90">
        <v>126179317665</v>
      </c>
      <c r="B788" s="1" t="s">
        <v>1790</v>
      </c>
      <c r="C788" s="43" t="s">
        <v>1905</v>
      </c>
      <c r="D788" s="1" t="s">
        <v>2029</v>
      </c>
      <c r="E788" s="43" t="s">
        <v>1910</v>
      </c>
      <c r="F788" s="37" t="s">
        <v>2030</v>
      </c>
      <c r="G788" s="44">
        <v>8600</v>
      </c>
      <c r="H788" s="44">
        <v>86</v>
      </c>
    </row>
    <row r="789" spans="1:8">
      <c r="A789" s="90">
        <v>126741631900</v>
      </c>
      <c r="B789" s="1" t="s">
        <v>8</v>
      </c>
      <c r="C789" s="43" t="s">
        <v>1910</v>
      </c>
      <c r="D789" s="1" t="s">
        <v>2029</v>
      </c>
      <c r="E789" s="43" t="s">
        <v>1910</v>
      </c>
      <c r="F789" s="37" t="s">
        <v>2030</v>
      </c>
      <c r="G789" s="44">
        <v>12300</v>
      </c>
      <c r="H789" s="44">
        <v>123</v>
      </c>
    </row>
    <row r="790" spans="1:8">
      <c r="A790" s="90">
        <v>126736781276</v>
      </c>
      <c r="B790" s="1" t="s">
        <v>8</v>
      </c>
      <c r="C790" s="43" t="s">
        <v>1905</v>
      </c>
      <c r="D790" s="1" t="s">
        <v>2029</v>
      </c>
      <c r="E790" s="43" t="s">
        <v>1910</v>
      </c>
      <c r="F790" s="37" t="s">
        <v>2030</v>
      </c>
      <c r="G790" s="44">
        <v>8600</v>
      </c>
      <c r="H790" s="44">
        <v>86</v>
      </c>
    </row>
    <row r="791" spans="1:8">
      <c r="A791" s="90">
        <v>126741893182</v>
      </c>
      <c r="B791" s="1" t="s">
        <v>1790</v>
      </c>
      <c r="C791" s="43" t="s">
        <v>1910</v>
      </c>
      <c r="D791" s="1" t="s">
        <v>2029</v>
      </c>
      <c r="E791" s="43" t="s">
        <v>1910</v>
      </c>
      <c r="F791" s="37" t="s">
        <v>2030</v>
      </c>
      <c r="G791" s="44">
        <v>19500</v>
      </c>
      <c r="H791" s="44">
        <v>195</v>
      </c>
    </row>
    <row r="792" spans="1:8">
      <c r="A792" s="90">
        <v>126185826419</v>
      </c>
      <c r="B792" s="1" t="s">
        <v>8</v>
      </c>
      <c r="C792" s="43" t="s">
        <v>1910</v>
      </c>
      <c r="D792" s="1" t="s">
        <v>2029</v>
      </c>
      <c r="E792" s="43" t="s">
        <v>1910</v>
      </c>
      <c r="F792" s="37" t="s">
        <v>2030</v>
      </c>
      <c r="G792" s="44">
        <v>7800</v>
      </c>
      <c r="H792" s="44">
        <v>78</v>
      </c>
    </row>
    <row r="793" spans="1:8">
      <c r="A793" s="90">
        <v>126736925278</v>
      </c>
      <c r="B793" s="1" t="s">
        <v>1790</v>
      </c>
      <c r="C793" s="43" t="s">
        <v>1905</v>
      </c>
      <c r="D793" s="1" t="s">
        <v>2029</v>
      </c>
      <c r="E793" s="43" t="s">
        <v>1910</v>
      </c>
      <c r="F793" s="37" t="s">
        <v>2030</v>
      </c>
      <c r="G793" s="44">
        <v>23000</v>
      </c>
      <c r="H793" s="44">
        <v>230</v>
      </c>
    </row>
    <row r="794" spans="1:8">
      <c r="A794" s="90">
        <v>126737129400</v>
      </c>
      <c r="B794" s="1" t="s">
        <v>8</v>
      </c>
      <c r="C794" s="43" t="s">
        <v>1905</v>
      </c>
      <c r="D794" s="1" t="s">
        <v>2029</v>
      </c>
      <c r="E794" s="43" t="s">
        <v>1910</v>
      </c>
      <c r="F794" s="37" t="s">
        <v>2030</v>
      </c>
      <c r="G794" s="44">
        <v>9300</v>
      </c>
      <c r="H794" s="44">
        <v>93</v>
      </c>
    </row>
    <row r="795" spans="1:8">
      <c r="A795" s="90">
        <v>126181421567</v>
      </c>
      <c r="B795" s="1" t="s">
        <v>8</v>
      </c>
      <c r="C795" s="43" t="s">
        <v>1905</v>
      </c>
      <c r="D795" s="1" t="s">
        <v>2029</v>
      </c>
      <c r="E795" s="43" t="s">
        <v>1910</v>
      </c>
      <c r="F795" s="37" t="s">
        <v>2030</v>
      </c>
      <c r="G795" s="44">
        <v>32700</v>
      </c>
      <c r="H795" s="44">
        <v>327</v>
      </c>
    </row>
    <row r="796" spans="1:8">
      <c r="A796" s="90">
        <v>126738333100</v>
      </c>
      <c r="B796" s="1" t="s">
        <v>8</v>
      </c>
      <c r="C796" s="43" t="s">
        <v>1905</v>
      </c>
      <c r="D796" s="1" t="s">
        <v>2029</v>
      </c>
      <c r="E796" s="43" t="s">
        <v>1910</v>
      </c>
      <c r="F796" s="37" t="s">
        <v>2030</v>
      </c>
      <c r="G796" s="44">
        <v>35000</v>
      </c>
      <c r="H796" s="44">
        <v>350</v>
      </c>
    </row>
    <row r="797" spans="1:8">
      <c r="A797" s="90">
        <v>126738441012</v>
      </c>
      <c r="B797" s="1" t="s">
        <v>8</v>
      </c>
      <c r="C797" s="43" t="s">
        <v>1910</v>
      </c>
      <c r="D797" s="1" t="s">
        <v>2029</v>
      </c>
      <c r="E797" s="43" t="s">
        <v>1910</v>
      </c>
      <c r="F797" s="37" t="s">
        <v>2030</v>
      </c>
      <c r="G797" s="44">
        <v>13600</v>
      </c>
      <c r="H797" s="44">
        <v>136</v>
      </c>
    </row>
    <row r="798" spans="1:8">
      <c r="A798" s="90">
        <v>126738940502</v>
      </c>
      <c r="B798" s="1" t="s">
        <v>8</v>
      </c>
      <c r="C798" s="43" t="s">
        <v>1910</v>
      </c>
      <c r="D798" s="1" t="s">
        <v>2029</v>
      </c>
      <c r="E798" s="43" t="s">
        <v>1910</v>
      </c>
      <c r="F798" s="37" t="s">
        <v>2030</v>
      </c>
      <c r="G798" s="44">
        <v>3900</v>
      </c>
      <c r="H798" s="44">
        <v>39</v>
      </c>
    </row>
    <row r="799" spans="1:8">
      <c r="A799" s="90">
        <v>126183314795</v>
      </c>
      <c r="B799" s="1" t="s">
        <v>8</v>
      </c>
      <c r="C799" s="43" t="s">
        <v>1910</v>
      </c>
      <c r="D799" s="1" t="s">
        <v>2029</v>
      </c>
      <c r="E799" s="43" t="s">
        <v>1910</v>
      </c>
      <c r="F799" s="37" t="s">
        <v>2030</v>
      </c>
      <c r="G799" s="44">
        <v>9300</v>
      </c>
      <c r="H799" s="44">
        <v>93</v>
      </c>
    </row>
    <row r="800" spans="1:8">
      <c r="A800" s="90">
        <v>126183517159</v>
      </c>
      <c r="B800" s="1" t="s">
        <v>8</v>
      </c>
      <c r="C800" s="43" t="s">
        <v>1910</v>
      </c>
      <c r="D800" s="1" t="s">
        <v>2029</v>
      </c>
      <c r="E800" s="43" t="s">
        <v>1910</v>
      </c>
      <c r="F800" s="37" t="s">
        <v>2030</v>
      </c>
      <c r="G800" s="44">
        <v>4300</v>
      </c>
      <c r="H800" s="44">
        <v>43</v>
      </c>
    </row>
    <row r="801" spans="1:8">
      <c r="A801" s="90">
        <v>126740106866</v>
      </c>
      <c r="B801" s="1" t="s">
        <v>8</v>
      </c>
      <c r="C801" s="43" t="s">
        <v>1910</v>
      </c>
      <c r="D801" s="1" t="s">
        <v>2029</v>
      </c>
      <c r="E801" s="43" t="s">
        <v>1910</v>
      </c>
      <c r="F801" s="37" t="s">
        <v>2030</v>
      </c>
      <c r="G801" s="44">
        <v>5000</v>
      </c>
      <c r="H801" s="44">
        <v>50</v>
      </c>
    </row>
    <row r="802" spans="1:8">
      <c r="A802" s="90">
        <v>126183676019</v>
      </c>
      <c r="B802" s="1" t="s">
        <v>8</v>
      </c>
      <c r="C802" s="43" t="s">
        <v>1910</v>
      </c>
      <c r="D802" s="1" t="s">
        <v>2029</v>
      </c>
      <c r="E802" s="43" t="s">
        <v>1910</v>
      </c>
      <c r="F802" s="37" t="s">
        <v>2030</v>
      </c>
      <c r="G802" s="44">
        <v>12900</v>
      </c>
      <c r="H802" s="44">
        <v>129</v>
      </c>
    </row>
    <row r="803" spans="1:8">
      <c r="A803" s="90">
        <v>126740494230</v>
      </c>
      <c r="B803" s="1" t="s">
        <v>1790</v>
      </c>
      <c r="C803" s="43" t="s">
        <v>1910</v>
      </c>
      <c r="D803" s="1" t="s">
        <v>2029</v>
      </c>
      <c r="E803" s="43" t="s">
        <v>1910</v>
      </c>
      <c r="F803" s="37" t="s">
        <v>2030</v>
      </c>
      <c r="G803" s="44">
        <v>5700</v>
      </c>
      <c r="H803" s="44">
        <v>57</v>
      </c>
    </row>
    <row r="804" spans="1:8">
      <c r="A804" s="90">
        <v>126740171940</v>
      </c>
      <c r="B804" s="1" t="s">
        <v>8</v>
      </c>
      <c r="C804" s="43" t="s">
        <v>1910</v>
      </c>
      <c r="D804" s="1" t="s">
        <v>2029</v>
      </c>
      <c r="E804" s="43" t="s">
        <v>1910</v>
      </c>
      <c r="F804" s="37" t="s">
        <v>2030</v>
      </c>
      <c r="G804" s="44">
        <v>5000</v>
      </c>
      <c r="H804" s="44">
        <v>50</v>
      </c>
    </row>
    <row r="805" spans="1:8">
      <c r="A805" s="90">
        <v>126185585139</v>
      </c>
      <c r="B805" s="1" t="s">
        <v>8</v>
      </c>
      <c r="C805" s="43" t="s">
        <v>1910</v>
      </c>
      <c r="D805" s="1" t="s">
        <v>2029</v>
      </c>
      <c r="E805" s="43" t="s">
        <v>1910</v>
      </c>
      <c r="F805" s="37" t="s">
        <v>2030</v>
      </c>
      <c r="G805" s="44">
        <v>23700</v>
      </c>
      <c r="H805" s="44">
        <v>237</v>
      </c>
    </row>
    <row r="806" spans="1:8">
      <c r="A806" s="90">
        <v>126185692955</v>
      </c>
      <c r="B806" s="1" t="s">
        <v>8</v>
      </c>
      <c r="C806" s="43" t="s">
        <v>1910</v>
      </c>
      <c r="D806" s="1" t="s">
        <v>2029</v>
      </c>
      <c r="E806" s="43" t="s">
        <v>1910</v>
      </c>
      <c r="F806" s="37" t="s">
        <v>2030</v>
      </c>
      <c r="G806" s="44">
        <v>16800</v>
      </c>
      <c r="H806" s="44">
        <v>168</v>
      </c>
    </row>
    <row r="807" spans="1:8">
      <c r="A807" s="90">
        <v>126185509995</v>
      </c>
      <c r="B807" s="1" t="s">
        <v>8</v>
      </c>
      <c r="C807" s="43" t="s">
        <v>1910</v>
      </c>
      <c r="D807" s="1" t="s">
        <v>2029</v>
      </c>
      <c r="E807" s="43" t="s">
        <v>1910</v>
      </c>
      <c r="F807" s="37" t="s">
        <v>2030</v>
      </c>
      <c r="G807" s="44">
        <v>23000</v>
      </c>
      <c r="H807" s="44">
        <v>230</v>
      </c>
    </row>
    <row r="808" spans="1:8">
      <c r="A808" s="90">
        <v>126185693425</v>
      </c>
      <c r="B808" s="1" t="s">
        <v>8</v>
      </c>
      <c r="C808" s="43" t="s">
        <v>1910</v>
      </c>
      <c r="D808" s="1" t="s">
        <v>2029</v>
      </c>
      <c r="E808" s="43" t="s">
        <v>1910</v>
      </c>
      <c r="F808" s="37" t="s">
        <v>2030</v>
      </c>
      <c r="G808" s="44">
        <v>46100</v>
      </c>
      <c r="H808" s="44">
        <v>461</v>
      </c>
    </row>
    <row r="809" spans="1:8">
      <c r="A809" s="90">
        <v>126284532553</v>
      </c>
      <c r="B809" s="1" t="s">
        <v>1790</v>
      </c>
      <c r="C809" s="43" t="s">
        <v>1910</v>
      </c>
      <c r="D809" s="1" t="s">
        <v>2029</v>
      </c>
      <c r="E809" s="43" t="s">
        <v>1910</v>
      </c>
      <c r="F809" s="37" t="s">
        <v>2030</v>
      </c>
      <c r="G809" s="44">
        <v>8600</v>
      </c>
      <c r="H809" s="44">
        <v>86</v>
      </c>
    </row>
    <row r="810" spans="1:8">
      <c r="A810" s="90">
        <v>126853170834</v>
      </c>
      <c r="B810" s="1" t="s">
        <v>1790</v>
      </c>
      <c r="C810" s="43" t="s">
        <v>1910</v>
      </c>
      <c r="D810" s="1" t="s">
        <v>2029</v>
      </c>
      <c r="E810" s="43" t="s">
        <v>1910</v>
      </c>
      <c r="F810" s="37" t="s">
        <v>2030</v>
      </c>
      <c r="G810" s="44">
        <v>9000</v>
      </c>
      <c r="H810" s="44">
        <v>90</v>
      </c>
    </row>
    <row r="811" spans="1:8">
      <c r="A811" s="90">
        <v>126296416437</v>
      </c>
      <c r="B811" s="1" t="s">
        <v>1790</v>
      </c>
      <c r="C811" s="43" t="s">
        <v>1910</v>
      </c>
      <c r="D811" s="1" t="s">
        <v>2029</v>
      </c>
      <c r="E811" s="43" t="s">
        <v>1910</v>
      </c>
      <c r="F811" s="37" t="s">
        <v>2030</v>
      </c>
      <c r="G811" s="44">
        <v>8600</v>
      </c>
      <c r="H811" s="44">
        <v>86</v>
      </c>
    </row>
    <row r="812" spans="1:8">
      <c r="A812" s="90">
        <v>126298554027</v>
      </c>
      <c r="B812" s="1" t="s">
        <v>8</v>
      </c>
      <c r="C812" s="43" t="s">
        <v>1910</v>
      </c>
      <c r="D812" s="1" t="s">
        <v>2029</v>
      </c>
      <c r="E812" s="43" t="s">
        <v>1910</v>
      </c>
      <c r="F812" s="37" t="s">
        <v>2030</v>
      </c>
      <c r="G812" s="44">
        <v>9000</v>
      </c>
      <c r="H812" s="44">
        <v>90</v>
      </c>
    </row>
    <row r="813" spans="1:8">
      <c r="A813" s="90">
        <v>126292935665</v>
      </c>
      <c r="B813" s="1" t="s">
        <v>1790</v>
      </c>
      <c r="C813" s="43" t="s">
        <v>1910</v>
      </c>
      <c r="D813" s="1" t="s">
        <v>2029</v>
      </c>
      <c r="E813" s="43" t="s">
        <v>1910</v>
      </c>
      <c r="F813" s="37" t="s">
        <v>2030</v>
      </c>
      <c r="G813" s="44">
        <v>3900</v>
      </c>
      <c r="H813" s="44">
        <v>39</v>
      </c>
    </row>
    <row r="814" spans="1:8">
      <c r="A814" s="90">
        <v>126859782450</v>
      </c>
      <c r="B814" s="1" t="s">
        <v>1790</v>
      </c>
      <c r="C814" s="43" t="s">
        <v>1910</v>
      </c>
      <c r="D814" s="1" t="s">
        <v>2029</v>
      </c>
      <c r="E814" s="43" t="s">
        <v>1910</v>
      </c>
      <c r="F814" s="37" t="s">
        <v>2030</v>
      </c>
      <c r="G814" s="44">
        <v>4300</v>
      </c>
      <c r="H814" s="44">
        <v>43</v>
      </c>
    </row>
    <row r="815" spans="1:8">
      <c r="A815" s="90">
        <v>126295087115</v>
      </c>
      <c r="B815" s="1" t="s">
        <v>8</v>
      </c>
      <c r="C815" s="43" t="s">
        <v>1910</v>
      </c>
      <c r="D815" s="1" t="s">
        <v>2029</v>
      </c>
      <c r="E815" s="43" t="s">
        <v>1910</v>
      </c>
      <c r="F815" s="37" t="s">
        <v>2030</v>
      </c>
      <c r="G815" s="44">
        <v>9000</v>
      </c>
      <c r="H815" s="44">
        <v>90</v>
      </c>
    </row>
    <row r="816" spans="1:8">
      <c r="A816" s="90">
        <v>126862230908</v>
      </c>
      <c r="B816" s="1" t="s">
        <v>8</v>
      </c>
      <c r="C816" s="43" t="s">
        <v>1910</v>
      </c>
      <c r="D816" s="1" t="s">
        <v>2029</v>
      </c>
      <c r="E816" s="43" t="s">
        <v>1910</v>
      </c>
      <c r="F816" s="37" t="s">
        <v>2030</v>
      </c>
      <c r="G816" s="44">
        <v>3900</v>
      </c>
      <c r="H816" s="44">
        <v>39</v>
      </c>
    </row>
    <row r="817" spans="1:8">
      <c r="A817" s="90">
        <v>126298474467</v>
      </c>
      <c r="B817" s="1" t="s">
        <v>8</v>
      </c>
      <c r="C817" s="43" t="s">
        <v>1910</v>
      </c>
      <c r="D817" s="1" t="s">
        <v>2029</v>
      </c>
      <c r="E817" s="43" t="s">
        <v>1910</v>
      </c>
      <c r="F817" s="37" t="s">
        <v>2030</v>
      </c>
      <c r="G817" s="44">
        <v>9000</v>
      </c>
      <c r="H817" s="44">
        <v>90</v>
      </c>
    </row>
    <row r="818" spans="1:8">
      <c r="A818" s="90">
        <v>126299319221</v>
      </c>
      <c r="B818" s="1" t="s">
        <v>8</v>
      </c>
      <c r="C818" s="43" t="s">
        <v>1910</v>
      </c>
      <c r="D818" s="1" t="s">
        <v>2029</v>
      </c>
      <c r="E818" s="43" t="s">
        <v>1910</v>
      </c>
      <c r="F818" s="37" t="s">
        <v>2030</v>
      </c>
      <c r="G818" s="44">
        <v>21300</v>
      </c>
      <c r="H818" s="44">
        <v>213</v>
      </c>
    </row>
    <row r="819" spans="1:8">
      <c r="A819" s="90">
        <v>126865877842</v>
      </c>
      <c r="B819" s="1" t="s">
        <v>1790</v>
      </c>
      <c r="C819" s="43" t="s">
        <v>1910</v>
      </c>
      <c r="D819" s="1" t="s">
        <v>2029</v>
      </c>
      <c r="E819" s="43" t="s">
        <v>1910</v>
      </c>
      <c r="F819" s="37" t="s">
        <v>2030</v>
      </c>
      <c r="G819" s="44">
        <v>35900</v>
      </c>
      <c r="H819" s="44">
        <v>359</v>
      </c>
    </row>
    <row r="820" spans="1:8">
      <c r="A820" s="90">
        <v>126304421967</v>
      </c>
      <c r="B820" s="1" t="s">
        <v>8</v>
      </c>
      <c r="C820" s="43" t="s">
        <v>1910</v>
      </c>
      <c r="D820" s="1" t="s">
        <v>2029</v>
      </c>
      <c r="E820" s="43" t="s">
        <v>1910</v>
      </c>
      <c r="F820" s="37" t="s">
        <v>2030</v>
      </c>
      <c r="G820" s="44">
        <v>48200</v>
      </c>
      <c r="H820" s="44">
        <v>482</v>
      </c>
    </row>
    <row r="821" spans="1:8">
      <c r="A821" s="90">
        <v>126861716336</v>
      </c>
      <c r="B821" s="1" t="s">
        <v>8</v>
      </c>
      <c r="C821" s="43" t="s">
        <v>1910</v>
      </c>
      <c r="D821" s="1" t="s">
        <v>2029</v>
      </c>
      <c r="E821" s="43" t="s">
        <v>1910</v>
      </c>
      <c r="F821" s="37" t="s">
        <v>2030</v>
      </c>
      <c r="G821" s="44">
        <v>5300</v>
      </c>
      <c r="H821" s="44">
        <v>53</v>
      </c>
    </row>
    <row r="822" spans="1:8">
      <c r="A822" s="90">
        <v>126312348037</v>
      </c>
      <c r="B822" s="1" t="s">
        <v>8</v>
      </c>
      <c r="C822" s="43" t="s">
        <v>1910</v>
      </c>
      <c r="D822" s="1" t="s">
        <v>2029</v>
      </c>
      <c r="E822" s="43" t="s">
        <v>1910</v>
      </c>
      <c r="F822" s="37" t="s">
        <v>2030</v>
      </c>
      <c r="G822" s="44">
        <v>3900</v>
      </c>
      <c r="H822" s="44">
        <v>39</v>
      </c>
    </row>
    <row r="823" spans="1:8">
      <c r="A823" s="90">
        <v>126870052406</v>
      </c>
      <c r="B823" s="1" t="s">
        <v>1790</v>
      </c>
      <c r="C823" s="43" t="s">
        <v>1910</v>
      </c>
      <c r="D823" s="1" t="s">
        <v>2029</v>
      </c>
      <c r="E823" s="43" t="s">
        <v>1910</v>
      </c>
      <c r="F823" s="37" t="s">
        <v>2030</v>
      </c>
      <c r="G823" s="44">
        <v>49500</v>
      </c>
      <c r="H823" s="44">
        <v>495</v>
      </c>
    </row>
    <row r="824" spans="1:8">
      <c r="A824" s="90">
        <v>126306563085</v>
      </c>
      <c r="B824" s="1" t="s">
        <v>8</v>
      </c>
      <c r="C824" s="43" t="s">
        <v>1910</v>
      </c>
      <c r="D824" s="1" t="s">
        <v>2029</v>
      </c>
      <c r="E824" s="43" t="s">
        <v>1910</v>
      </c>
      <c r="F824" s="37" t="s">
        <v>2030</v>
      </c>
      <c r="G824" s="44">
        <v>26700</v>
      </c>
      <c r="H824" s="44">
        <v>267</v>
      </c>
    </row>
    <row r="825" spans="1:8">
      <c r="A825" s="90">
        <v>126314909589</v>
      </c>
      <c r="B825" s="1" t="s">
        <v>8</v>
      </c>
      <c r="C825" s="43" t="s">
        <v>1910</v>
      </c>
      <c r="D825" s="1" t="s">
        <v>2029</v>
      </c>
      <c r="E825" s="43" t="s">
        <v>1910</v>
      </c>
      <c r="F825" s="37" t="s">
        <v>2030</v>
      </c>
      <c r="G825" s="44">
        <v>5000</v>
      </c>
      <c r="H825" s="44">
        <v>50</v>
      </c>
    </row>
    <row r="826" spans="1:8">
      <c r="A826" s="90">
        <v>126871817554</v>
      </c>
      <c r="B826" s="1" t="s">
        <v>8</v>
      </c>
      <c r="C826" s="43" t="s">
        <v>1910</v>
      </c>
      <c r="D826" s="1" t="s">
        <v>2029</v>
      </c>
      <c r="E826" s="43" t="s">
        <v>1910</v>
      </c>
      <c r="F826" s="37" t="s">
        <v>2030</v>
      </c>
      <c r="G826" s="44">
        <v>17200</v>
      </c>
      <c r="H826" s="44">
        <v>172</v>
      </c>
    </row>
    <row r="827" spans="1:8">
      <c r="A827" s="90">
        <v>126308248317</v>
      </c>
      <c r="B827" s="1" t="s">
        <v>8</v>
      </c>
      <c r="C827" s="43" t="s">
        <v>1910</v>
      </c>
      <c r="D827" s="1" t="s">
        <v>2029</v>
      </c>
      <c r="E827" s="43" t="s">
        <v>1910</v>
      </c>
      <c r="F827" s="37" t="s">
        <v>2030</v>
      </c>
      <c r="G827" s="44">
        <v>9000</v>
      </c>
      <c r="H827" s="44">
        <v>90</v>
      </c>
    </row>
    <row r="828" spans="1:8">
      <c r="A828" s="90">
        <v>126873074156</v>
      </c>
      <c r="B828" s="1" t="s">
        <v>8</v>
      </c>
      <c r="C828" s="43" t="s">
        <v>1910</v>
      </c>
      <c r="D828" s="1" t="s">
        <v>2029</v>
      </c>
      <c r="E828" s="43" t="s">
        <v>1910</v>
      </c>
      <c r="F828" s="37" t="s">
        <v>2030</v>
      </c>
      <c r="G828" s="44">
        <v>4300</v>
      </c>
      <c r="H828" s="44">
        <v>43</v>
      </c>
    </row>
    <row r="829" spans="1:8">
      <c r="A829" s="90">
        <v>126309333557</v>
      </c>
      <c r="B829" s="1" t="s">
        <v>1790</v>
      </c>
      <c r="C829" s="43" t="s">
        <v>1910</v>
      </c>
      <c r="D829" s="1" t="s">
        <v>2029</v>
      </c>
      <c r="E829" s="43" t="s">
        <v>1910</v>
      </c>
      <c r="F829" s="37" t="s">
        <v>2030</v>
      </c>
      <c r="G829" s="44">
        <v>47300</v>
      </c>
      <c r="H829" s="44">
        <v>473</v>
      </c>
    </row>
    <row r="830" spans="1:8">
      <c r="A830" s="90">
        <v>126875041098</v>
      </c>
      <c r="B830" s="1" t="s">
        <v>1790</v>
      </c>
      <c r="C830" s="43" t="s">
        <v>1910</v>
      </c>
      <c r="D830" s="1" t="s">
        <v>2029</v>
      </c>
      <c r="E830" s="43" t="s">
        <v>1917</v>
      </c>
      <c r="F830" s="37" t="s">
        <v>2030</v>
      </c>
      <c r="G830" s="44">
        <v>15700</v>
      </c>
      <c r="H830" s="44">
        <v>157</v>
      </c>
    </row>
    <row r="831" spans="1:8">
      <c r="A831" s="90">
        <v>126318205615</v>
      </c>
      <c r="B831" s="1" t="s">
        <v>8</v>
      </c>
      <c r="C831" s="43" t="s">
        <v>1910</v>
      </c>
      <c r="D831" s="1" t="s">
        <v>2029</v>
      </c>
      <c r="E831" s="43" t="s">
        <v>1917</v>
      </c>
      <c r="F831" s="37" t="s">
        <v>2030</v>
      </c>
      <c r="G831" s="44">
        <v>7900</v>
      </c>
      <c r="H831" s="44">
        <v>79</v>
      </c>
    </row>
    <row r="832" spans="1:8">
      <c r="A832" s="90">
        <v>126868129818</v>
      </c>
      <c r="B832" s="1" t="s">
        <v>8</v>
      </c>
      <c r="C832" s="43" t="s">
        <v>1910</v>
      </c>
      <c r="D832" s="1" t="s">
        <v>2029</v>
      </c>
      <c r="E832" s="43" t="s">
        <v>1910</v>
      </c>
      <c r="F832" s="37" t="s">
        <v>2030</v>
      </c>
      <c r="G832" s="44">
        <v>60100</v>
      </c>
      <c r="H832" s="44">
        <v>601</v>
      </c>
    </row>
    <row r="833" spans="1:8">
      <c r="A833" s="90">
        <v>126876254088</v>
      </c>
      <c r="B833" s="1" t="s">
        <v>8</v>
      </c>
      <c r="C833" s="43" t="s">
        <v>1910</v>
      </c>
      <c r="D833" s="1" t="s">
        <v>2029</v>
      </c>
      <c r="E833" s="43" t="s">
        <v>1917</v>
      </c>
      <c r="F833" s="37" t="s">
        <v>2030</v>
      </c>
      <c r="G833" s="44">
        <v>4300</v>
      </c>
      <c r="H833" s="44">
        <v>43</v>
      </c>
    </row>
    <row r="834" spans="1:8">
      <c r="A834" s="90">
        <v>126311741457</v>
      </c>
      <c r="B834" s="1" t="s">
        <v>8</v>
      </c>
      <c r="C834" s="43" t="s">
        <v>1910</v>
      </c>
      <c r="D834" s="1" t="s">
        <v>2029</v>
      </c>
      <c r="E834" s="43" t="s">
        <v>1910</v>
      </c>
      <c r="F834" s="37" t="s">
        <v>2030</v>
      </c>
      <c r="G834" s="44">
        <v>35600</v>
      </c>
      <c r="H834" s="44">
        <v>356</v>
      </c>
    </row>
    <row r="835" spans="1:8">
      <c r="A835" s="90">
        <v>126869531676</v>
      </c>
      <c r="B835" s="1" t="s">
        <v>1790</v>
      </c>
      <c r="C835" s="43" t="s">
        <v>1910</v>
      </c>
      <c r="D835" s="1" t="s">
        <v>2029</v>
      </c>
      <c r="E835" s="43" t="s">
        <v>1910</v>
      </c>
      <c r="F835" s="37" t="s">
        <v>2030</v>
      </c>
      <c r="G835" s="44">
        <v>17200</v>
      </c>
      <c r="H835" s="44">
        <v>172</v>
      </c>
    </row>
    <row r="836" spans="1:8">
      <c r="A836" s="90">
        <v>126869842594</v>
      </c>
      <c r="B836" s="1" t="s">
        <v>1790</v>
      </c>
      <c r="C836" s="43" t="s">
        <v>1910</v>
      </c>
      <c r="D836" s="1" t="s">
        <v>2029</v>
      </c>
      <c r="E836" s="43" t="s">
        <v>1910</v>
      </c>
      <c r="F836" s="37" t="s">
        <v>2030</v>
      </c>
      <c r="G836" s="44">
        <v>10000</v>
      </c>
      <c r="H836" s="44">
        <v>100</v>
      </c>
    </row>
    <row r="837" spans="1:8">
      <c r="A837" s="90">
        <v>126878375750</v>
      </c>
      <c r="B837" s="1" t="s">
        <v>1790</v>
      </c>
      <c r="C837" s="43" t="s">
        <v>1917</v>
      </c>
      <c r="D837" s="1" t="s">
        <v>2029</v>
      </c>
      <c r="E837" s="43" t="s">
        <v>1917</v>
      </c>
      <c r="F837" s="37" t="s">
        <v>2030</v>
      </c>
      <c r="G837" s="44">
        <v>239400</v>
      </c>
      <c r="H837" s="44">
        <v>2394</v>
      </c>
    </row>
    <row r="838" spans="1:8">
      <c r="A838" s="90">
        <v>126321636735</v>
      </c>
      <c r="B838" s="1" t="s">
        <v>8</v>
      </c>
      <c r="C838" s="43" t="s">
        <v>1917</v>
      </c>
      <c r="D838" s="1" t="s">
        <v>2029</v>
      </c>
      <c r="E838" s="43" t="s">
        <v>1917</v>
      </c>
      <c r="F838" s="37" t="s">
        <v>2030</v>
      </c>
      <c r="G838" s="44">
        <v>42800</v>
      </c>
      <c r="H838" s="44">
        <v>428</v>
      </c>
    </row>
    <row r="839" spans="1:8">
      <c r="A839" s="90">
        <v>126879442386</v>
      </c>
      <c r="B839" s="1" t="s">
        <v>1790</v>
      </c>
      <c r="C839" s="43" t="s">
        <v>1917</v>
      </c>
      <c r="D839" s="1" t="s">
        <v>2029</v>
      </c>
      <c r="E839" s="43" t="s">
        <v>1917</v>
      </c>
      <c r="F839" s="37" t="s">
        <v>2030</v>
      </c>
      <c r="G839" s="44">
        <v>46200</v>
      </c>
      <c r="H839" s="44">
        <v>462</v>
      </c>
    </row>
    <row r="840" spans="1:8">
      <c r="A840" s="90">
        <v>126322363921</v>
      </c>
      <c r="B840" s="1" t="s">
        <v>8</v>
      </c>
      <c r="C840" s="43" t="s">
        <v>1917</v>
      </c>
      <c r="D840" s="1" t="s">
        <v>2029</v>
      </c>
      <c r="E840" s="43" t="s">
        <v>1917</v>
      </c>
      <c r="F840" s="37" t="s">
        <v>2030</v>
      </c>
      <c r="G840" s="44">
        <v>51300</v>
      </c>
      <c r="H840" s="44">
        <v>513</v>
      </c>
    </row>
    <row r="841" spans="1:8">
      <c r="A841" s="90">
        <v>126879997894</v>
      </c>
      <c r="B841" s="1" t="s">
        <v>8</v>
      </c>
      <c r="C841" s="43" t="s">
        <v>1917</v>
      </c>
      <c r="D841" s="1" t="s">
        <v>2029</v>
      </c>
      <c r="E841" s="43" t="s">
        <v>1917</v>
      </c>
      <c r="F841" s="37" t="s">
        <v>2030</v>
      </c>
      <c r="G841" s="44">
        <v>67700</v>
      </c>
      <c r="H841" s="44">
        <v>677</v>
      </c>
    </row>
    <row r="842" spans="1:8">
      <c r="A842" s="90">
        <v>126323027433</v>
      </c>
      <c r="B842" s="1" t="s">
        <v>1790</v>
      </c>
      <c r="C842" s="43" t="s">
        <v>1917</v>
      </c>
      <c r="D842" s="1" t="s">
        <v>2029</v>
      </c>
      <c r="E842" s="43" t="s">
        <v>1917</v>
      </c>
      <c r="F842" s="37" t="s">
        <v>2030</v>
      </c>
      <c r="G842" s="44">
        <v>23700</v>
      </c>
      <c r="H842" s="44">
        <v>237</v>
      </c>
    </row>
    <row r="843" spans="1:8">
      <c r="A843" s="90">
        <v>126322987383</v>
      </c>
      <c r="B843" s="1" t="s">
        <v>8</v>
      </c>
      <c r="C843" s="43" t="s">
        <v>1917</v>
      </c>
      <c r="D843" s="1" t="s">
        <v>2029</v>
      </c>
      <c r="E843" s="43" t="s">
        <v>1917</v>
      </c>
      <c r="F843" s="37" t="s">
        <v>2030</v>
      </c>
      <c r="G843" s="44">
        <v>45200</v>
      </c>
      <c r="H843" s="44">
        <v>452</v>
      </c>
    </row>
    <row r="844" spans="1:8">
      <c r="A844" s="90">
        <v>126316225841</v>
      </c>
      <c r="B844" s="1" t="s">
        <v>8</v>
      </c>
      <c r="C844" s="43" t="s">
        <v>1910</v>
      </c>
      <c r="D844" s="1" t="s">
        <v>2029</v>
      </c>
      <c r="E844" s="43" t="s">
        <v>1917</v>
      </c>
      <c r="F844" s="37" t="s">
        <v>2030</v>
      </c>
      <c r="G844" s="44">
        <v>1900</v>
      </c>
      <c r="H844" s="44">
        <v>19</v>
      </c>
    </row>
    <row r="845" spans="1:8">
      <c r="A845" s="90">
        <v>126874886990</v>
      </c>
      <c r="B845" s="1" t="s">
        <v>1790</v>
      </c>
      <c r="C845" s="43" t="s">
        <v>1910</v>
      </c>
      <c r="D845" s="1" t="s">
        <v>2029</v>
      </c>
      <c r="E845" s="43" t="s">
        <v>1917</v>
      </c>
      <c r="F845" s="37" t="s">
        <v>2030</v>
      </c>
      <c r="G845" s="44">
        <v>71700</v>
      </c>
      <c r="H845" s="44">
        <v>717</v>
      </c>
    </row>
    <row r="846" spans="1:8">
      <c r="A846" s="90">
        <v>126875172028</v>
      </c>
      <c r="B846" s="1" t="s">
        <v>8</v>
      </c>
      <c r="C846" s="43" t="s">
        <v>1910</v>
      </c>
      <c r="D846" s="1" t="s">
        <v>2029</v>
      </c>
      <c r="E846" s="43" t="s">
        <v>1917</v>
      </c>
      <c r="F846" s="37" t="s">
        <v>2030</v>
      </c>
      <c r="G846" s="44">
        <v>5000</v>
      </c>
      <c r="H846" s="44">
        <v>50</v>
      </c>
    </row>
    <row r="847" spans="1:8">
      <c r="A847" s="90">
        <v>126876381400</v>
      </c>
      <c r="B847" s="1" t="s">
        <v>8</v>
      </c>
      <c r="C847" s="43" t="s">
        <v>1910</v>
      </c>
      <c r="D847" s="1" t="s">
        <v>2029</v>
      </c>
      <c r="E847" s="43" t="s">
        <v>1917</v>
      </c>
      <c r="F847" s="37" t="s">
        <v>2030</v>
      </c>
      <c r="G847" s="44">
        <v>7000</v>
      </c>
      <c r="H847" s="44">
        <v>70</v>
      </c>
    </row>
    <row r="848" spans="1:8">
      <c r="A848" s="90">
        <v>126319844955</v>
      </c>
      <c r="B848" s="1" t="s">
        <v>8</v>
      </c>
      <c r="C848" s="43" t="s">
        <v>1917</v>
      </c>
      <c r="D848" s="1" t="s">
        <v>2029</v>
      </c>
      <c r="E848" s="43" t="s">
        <v>1917</v>
      </c>
      <c r="F848" s="37" t="s">
        <v>2030</v>
      </c>
      <c r="G848" s="44">
        <v>30900</v>
      </c>
      <c r="H848" s="44">
        <v>309</v>
      </c>
    </row>
    <row r="849" spans="1:8">
      <c r="A849" s="90">
        <v>126320141423</v>
      </c>
      <c r="B849" s="1" t="s">
        <v>8</v>
      </c>
      <c r="C849" s="43" t="s">
        <v>1917</v>
      </c>
      <c r="D849" s="1" t="s">
        <v>2029</v>
      </c>
      <c r="E849" s="43" t="s">
        <v>1917</v>
      </c>
      <c r="F849" s="37" t="s">
        <v>2030</v>
      </c>
      <c r="G849" s="44">
        <v>13300</v>
      </c>
      <c r="H849" s="44">
        <v>133</v>
      </c>
    </row>
    <row r="850" spans="1:8">
      <c r="A850" s="90">
        <v>126320288243</v>
      </c>
      <c r="B850" s="1" t="s">
        <v>8</v>
      </c>
      <c r="C850" s="43" t="s">
        <v>1917</v>
      </c>
      <c r="D850" s="1" t="s">
        <v>2029</v>
      </c>
      <c r="E850" s="43" t="s">
        <v>1917</v>
      </c>
      <c r="F850" s="37" t="s">
        <v>2030</v>
      </c>
      <c r="G850" s="44">
        <v>4300</v>
      </c>
      <c r="H850" s="44">
        <v>43</v>
      </c>
    </row>
    <row r="851" spans="1:8">
      <c r="A851" s="90">
        <v>126320241659</v>
      </c>
      <c r="B851" s="1" t="s">
        <v>8</v>
      </c>
      <c r="C851" s="43" t="s">
        <v>1917</v>
      </c>
      <c r="D851" s="1" t="s">
        <v>2029</v>
      </c>
      <c r="E851" s="43" t="s">
        <v>1917</v>
      </c>
      <c r="F851" s="37" t="s">
        <v>2030</v>
      </c>
      <c r="G851" s="44">
        <v>11500</v>
      </c>
      <c r="H851" s="44">
        <v>115</v>
      </c>
    </row>
    <row r="852" spans="1:8">
      <c r="A852" s="90">
        <v>126877870800</v>
      </c>
      <c r="B852" s="1" t="s">
        <v>8</v>
      </c>
      <c r="C852" s="43" t="s">
        <v>1917</v>
      </c>
      <c r="D852" s="1" t="s">
        <v>2029</v>
      </c>
      <c r="E852" s="43" t="s">
        <v>1917</v>
      </c>
      <c r="F852" s="37" t="s">
        <v>2030</v>
      </c>
      <c r="G852" s="44">
        <v>9400</v>
      </c>
      <c r="H852" s="44">
        <v>94</v>
      </c>
    </row>
    <row r="853" spans="1:8">
      <c r="A853" s="90">
        <v>126322107825</v>
      </c>
      <c r="B853" s="1" t="s">
        <v>1790</v>
      </c>
      <c r="C853" s="43" t="s">
        <v>1917</v>
      </c>
      <c r="D853" s="1" t="s">
        <v>2029</v>
      </c>
      <c r="E853" s="43" t="s">
        <v>1917</v>
      </c>
      <c r="F853" s="37" t="s">
        <v>2030</v>
      </c>
      <c r="G853" s="44">
        <v>66400</v>
      </c>
      <c r="H853" s="44">
        <v>664</v>
      </c>
    </row>
    <row r="854" spans="1:8">
      <c r="A854" s="90">
        <v>126322416275</v>
      </c>
      <c r="B854" s="1" t="s">
        <v>8</v>
      </c>
      <c r="C854" s="43" t="s">
        <v>1917</v>
      </c>
      <c r="D854" s="1" t="s">
        <v>2029</v>
      </c>
      <c r="E854" s="43" t="s">
        <v>1917</v>
      </c>
      <c r="F854" s="37" t="s">
        <v>2030</v>
      </c>
      <c r="G854" s="44">
        <v>10000</v>
      </c>
      <c r="H854" s="44">
        <v>100</v>
      </c>
    </row>
    <row r="855" spans="1:8">
      <c r="A855" s="90">
        <v>126322417111</v>
      </c>
      <c r="B855" s="1" t="s">
        <v>8</v>
      </c>
      <c r="C855" s="43" t="s">
        <v>1917</v>
      </c>
      <c r="D855" s="1" t="s">
        <v>2029</v>
      </c>
      <c r="E855" s="43" t="s">
        <v>1917</v>
      </c>
      <c r="F855" s="37" t="s">
        <v>2030</v>
      </c>
      <c r="G855" s="44">
        <v>13000</v>
      </c>
      <c r="H855" s="44">
        <v>130</v>
      </c>
    </row>
    <row r="856" spans="1:8">
      <c r="A856" s="90">
        <v>126879711336</v>
      </c>
      <c r="B856" s="1" t="s">
        <v>1790</v>
      </c>
      <c r="C856" s="43" t="s">
        <v>1917</v>
      </c>
      <c r="D856" s="1" t="s">
        <v>2029</v>
      </c>
      <c r="E856" s="43" t="s">
        <v>1917</v>
      </c>
      <c r="F856" s="37" t="s">
        <v>2030</v>
      </c>
      <c r="G856" s="44">
        <v>9000</v>
      </c>
      <c r="H856" s="44">
        <v>90</v>
      </c>
    </row>
    <row r="857" spans="1:8">
      <c r="A857" s="90">
        <v>126960677984</v>
      </c>
      <c r="B857" s="1" t="s">
        <v>1790</v>
      </c>
      <c r="C857" s="43" t="s">
        <v>1917</v>
      </c>
      <c r="D857" s="1" t="s">
        <v>2029</v>
      </c>
      <c r="E857" s="43" t="s">
        <v>1917</v>
      </c>
      <c r="F857" s="37" t="s">
        <v>2030</v>
      </c>
      <c r="G857" s="44">
        <v>12600</v>
      </c>
      <c r="H857" s="44">
        <v>126</v>
      </c>
    </row>
    <row r="858" spans="1:8">
      <c r="A858" s="90">
        <v>126410121599</v>
      </c>
      <c r="B858" s="1" t="s">
        <v>8</v>
      </c>
      <c r="C858" s="43" t="s">
        <v>1917</v>
      </c>
      <c r="D858" s="1" t="s">
        <v>2029</v>
      </c>
      <c r="E858" s="43" t="s">
        <v>1917</v>
      </c>
      <c r="F858" s="37" t="s">
        <v>2030</v>
      </c>
      <c r="G858" s="44">
        <v>5300</v>
      </c>
      <c r="H858" s="44">
        <v>53</v>
      </c>
    </row>
    <row r="859" spans="1:8">
      <c r="A859" s="90">
        <v>126410422343</v>
      </c>
      <c r="B859" s="1" t="s">
        <v>8</v>
      </c>
      <c r="C859" s="43" t="s">
        <v>1917</v>
      </c>
      <c r="D859" s="1" t="s">
        <v>2029</v>
      </c>
      <c r="E859" s="43" t="s">
        <v>1917</v>
      </c>
      <c r="F859" s="37" t="s">
        <v>2030</v>
      </c>
      <c r="G859" s="44">
        <v>4300</v>
      </c>
      <c r="H859" s="44">
        <v>43</v>
      </c>
    </row>
    <row r="860" spans="1:8">
      <c r="A860" s="90">
        <v>126971190364</v>
      </c>
      <c r="B860" s="1" t="s">
        <v>1790</v>
      </c>
      <c r="C860" s="43" t="s">
        <v>1917</v>
      </c>
      <c r="D860" s="1" t="s">
        <v>2029</v>
      </c>
      <c r="E860" s="43" t="s">
        <v>1917</v>
      </c>
      <c r="F860" s="37" t="s">
        <v>2030</v>
      </c>
      <c r="G860" s="44">
        <v>8000</v>
      </c>
      <c r="H860" s="44">
        <v>80</v>
      </c>
    </row>
    <row r="861" spans="1:8">
      <c r="A861" s="90">
        <v>126415952795</v>
      </c>
      <c r="B861" s="1" t="s">
        <v>8</v>
      </c>
      <c r="C861" s="43" t="s">
        <v>1917</v>
      </c>
      <c r="D861" s="1" t="s">
        <v>2029</v>
      </c>
      <c r="E861" s="43" t="s">
        <v>1917</v>
      </c>
      <c r="F861" s="37" t="s">
        <v>2030</v>
      </c>
      <c r="G861" s="44">
        <v>3900</v>
      </c>
      <c r="H861" s="44">
        <v>39</v>
      </c>
    </row>
    <row r="862" spans="1:8">
      <c r="A862" s="90">
        <v>126416100771</v>
      </c>
      <c r="B862" s="1" t="s">
        <v>8</v>
      </c>
      <c r="C862" s="43" t="s">
        <v>1917</v>
      </c>
      <c r="D862" s="1" t="s">
        <v>2029</v>
      </c>
      <c r="E862" s="43" t="s">
        <v>1917</v>
      </c>
      <c r="F862" s="37" t="s">
        <v>2030</v>
      </c>
      <c r="G862" s="44">
        <v>18700</v>
      </c>
      <c r="H862" s="44">
        <v>187</v>
      </c>
    </row>
    <row r="863" spans="1:8">
      <c r="A863" s="90">
        <v>126417189235</v>
      </c>
      <c r="B863" s="1" t="s">
        <v>1790</v>
      </c>
      <c r="C863" s="43" t="s">
        <v>1917</v>
      </c>
      <c r="D863" s="1" t="s">
        <v>2029</v>
      </c>
      <c r="E863" s="43" t="s">
        <v>1917</v>
      </c>
      <c r="F863" s="37" t="s">
        <v>2030</v>
      </c>
      <c r="G863" s="44">
        <v>58800</v>
      </c>
      <c r="H863" s="44">
        <v>588</v>
      </c>
    </row>
    <row r="864" spans="1:8">
      <c r="A864" s="90">
        <v>126418008273</v>
      </c>
      <c r="B864" s="1" t="s">
        <v>8</v>
      </c>
      <c r="C864" s="43" t="s">
        <v>1917</v>
      </c>
      <c r="D864" s="1" t="s">
        <v>2029</v>
      </c>
      <c r="E864" s="43" t="s">
        <v>1917</v>
      </c>
      <c r="F864" s="37" t="s">
        <v>2030</v>
      </c>
      <c r="G864" s="44">
        <v>27300</v>
      </c>
      <c r="H864" s="44">
        <v>273</v>
      </c>
    </row>
    <row r="865" spans="1:8">
      <c r="A865" s="90">
        <v>126978302556</v>
      </c>
      <c r="B865" s="1" t="s">
        <v>8</v>
      </c>
      <c r="C865" s="43" t="s">
        <v>1917</v>
      </c>
      <c r="D865" s="1" t="s">
        <v>2029</v>
      </c>
      <c r="E865" s="43" t="s">
        <v>1917</v>
      </c>
      <c r="F865" s="37" t="s">
        <v>2030</v>
      </c>
      <c r="G865" s="44">
        <v>28100</v>
      </c>
      <c r="H865" s="44">
        <v>281</v>
      </c>
    </row>
    <row r="866" spans="1:8">
      <c r="A866" s="90">
        <v>126412724811</v>
      </c>
      <c r="B866" s="1" t="s">
        <v>1790</v>
      </c>
      <c r="C866" s="43" t="s">
        <v>1917</v>
      </c>
      <c r="D866" s="1" t="s">
        <v>2029</v>
      </c>
      <c r="E866" s="43" t="s">
        <v>1917</v>
      </c>
      <c r="F866" s="37" t="s">
        <v>2030</v>
      </c>
      <c r="G866" s="44">
        <v>7800</v>
      </c>
      <c r="H866" s="44">
        <v>78</v>
      </c>
    </row>
    <row r="867" spans="1:8">
      <c r="A867" s="90">
        <v>126970599066</v>
      </c>
      <c r="B867" s="1" t="s">
        <v>1790</v>
      </c>
      <c r="C867" s="43" t="s">
        <v>1917</v>
      </c>
      <c r="D867" s="1" t="s">
        <v>2029</v>
      </c>
      <c r="E867" s="43" t="s">
        <v>1917</v>
      </c>
      <c r="F867" s="37" t="s">
        <v>2030</v>
      </c>
      <c r="G867" s="44">
        <v>4300</v>
      </c>
      <c r="H867" s="44">
        <v>43</v>
      </c>
    </row>
    <row r="868" spans="1:8">
      <c r="A868" s="90">
        <v>126421871761</v>
      </c>
      <c r="B868" s="1" t="s">
        <v>8</v>
      </c>
      <c r="C868" s="43" t="s">
        <v>1917</v>
      </c>
      <c r="D868" s="1" t="s">
        <v>2029</v>
      </c>
      <c r="E868" s="43" t="s">
        <v>1917</v>
      </c>
      <c r="F868" s="37" t="s">
        <v>2030</v>
      </c>
      <c r="G868" s="44">
        <v>8600</v>
      </c>
      <c r="H868" s="44">
        <v>86</v>
      </c>
    </row>
    <row r="869" spans="1:8">
      <c r="A869" s="90">
        <v>126423667935</v>
      </c>
      <c r="B869" s="1" t="s">
        <v>1790</v>
      </c>
      <c r="C869" s="43" t="s">
        <v>1917</v>
      </c>
      <c r="D869" s="1" t="s">
        <v>2029</v>
      </c>
      <c r="E869" s="43" t="s">
        <v>1917</v>
      </c>
      <c r="F869" s="37" t="s">
        <v>2030</v>
      </c>
      <c r="G869" s="44">
        <v>33200</v>
      </c>
      <c r="H869" s="44">
        <v>332</v>
      </c>
    </row>
    <row r="870" spans="1:8">
      <c r="A870" s="90">
        <v>126424486673</v>
      </c>
      <c r="B870" s="1" t="s">
        <v>8</v>
      </c>
      <c r="C870" s="43" t="s">
        <v>1917</v>
      </c>
      <c r="D870" s="1" t="s">
        <v>2029</v>
      </c>
      <c r="E870" s="43" t="s">
        <v>1917</v>
      </c>
      <c r="F870" s="37" t="s">
        <v>2030</v>
      </c>
      <c r="G870" s="44">
        <v>10600</v>
      </c>
      <c r="H870" s="44">
        <v>106</v>
      </c>
    </row>
    <row r="871" spans="1:8">
      <c r="A871" s="90">
        <v>126416744717</v>
      </c>
      <c r="B871" s="1" t="s">
        <v>1790</v>
      </c>
      <c r="C871" s="43" t="s">
        <v>1917</v>
      </c>
      <c r="D871" s="1" t="s">
        <v>2029</v>
      </c>
      <c r="E871" s="43" t="s">
        <v>1917</v>
      </c>
      <c r="F871" s="37" t="s">
        <v>2030</v>
      </c>
      <c r="G871" s="44">
        <v>7800</v>
      </c>
      <c r="H871" s="44">
        <v>78</v>
      </c>
    </row>
    <row r="872" spans="1:8">
      <c r="A872" s="90">
        <v>126417744443</v>
      </c>
      <c r="B872" s="1" t="s">
        <v>8</v>
      </c>
      <c r="C872" s="43" t="s">
        <v>1917</v>
      </c>
      <c r="D872" s="1" t="s">
        <v>2029</v>
      </c>
      <c r="E872" s="43" t="s">
        <v>1917</v>
      </c>
      <c r="F872" s="37" t="s">
        <v>2030</v>
      </c>
      <c r="G872" s="44">
        <v>18000</v>
      </c>
      <c r="H872" s="44">
        <v>180</v>
      </c>
    </row>
    <row r="873" spans="1:8">
      <c r="A873" s="90">
        <v>126426592653</v>
      </c>
      <c r="B873" s="1" t="s">
        <v>8</v>
      </c>
      <c r="C873" s="43" t="s">
        <v>1917</v>
      </c>
      <c r="D873" s="1" t="s">
        <v>2029</v>
      </c>
      <c r="E873" s="43" t="s">
        <v>1917</v>
      </c>
      <c r="F873" s="37" t="s">
        <v>2030</v>
      </c>
      <c r="G873" s="44">
        <v>40800</v>
      </c>
      <c r="H873" s="44">
        <v>408</v>
      </c>
    </row>
    <row r="874" spans="1:8">
      <c r="A874" s="90">
        <v>126426524043</v>
      </c>
      <c r="B874" s="1" t="s">
        <v>1790</v>
      </c>
      <c r="C874" s="43" t="s">
        <v>1917</v>
      </c>
      <c r="D874" s="1" t="s">
        <v>2029</v>
      </c>
      <c r="E874" s="43" t="s">
        <v>1917</v>
      </c>
      <c r="F874" s="37" t="s">
        <v>2030</v>
      </c>
      <c r="G874" s="44">
        <v>29200</v>
      </c>
      <c r="H874" s="44">
        <v>292</v>
      </c>
    </row>
    <row r="875" spans="1:8">
      <c r="A875" s="90">
        <v>126984441946</v>
      </c>
      <c r="B875" s="1" t="s">
        <v>1790</v>
      </c>
      <c r="C875" s="43" t="s">
        <v>1917</v>
      </c>
      <c r="D875" s="1" t="s">
        <v>2029</v>
      </c>
      <c r="E875" s="43" t="s">
        <v>1917</v>
      </c>
      <c r="F875" s="37" t="s">
        <v>2030</v>
      </c>
      <c r="G875" s="44">
        <v>21600</v>
      </c>
      <c r="H875" s="44">
        <v>216</v>
      </c>
    </row>
    <row r="876" spans="1:8">
      <c r="A876" s="90">
        <v>126418419939</v>
      </c>
      <c r="B876" s="1" t="s">
        <v>8</v>
      </c>
      <c r="C876" s="43" t="s">
        <v>1917</v>
      </c>
      <c r="D876" s="1" t="s">
        <v>2029</v>
      </c>
      <c r="E876" s="43" t="s">
        <v>1917</v>
      </c>
      <c r="F876" s="37" t="s">
        <v>2030</v>
      </c>
      <c r="G876" s="44">
        <v>13100</v>
      </c>
      <c r="H876" s="44">
        <v>131</v>
      </c>
    </row>
    <row r="877" spans="1:8">
      <c r="A877" s="90">
        <v>126427840519</v>
      </c>
      <c r="B877" s="1" t="s">
        <v>8</v>
      </c>
      <c r="C877" s="43" t="s">
        <v>1917</v>
      </c>
      <c r="D877" s="1" t="s">
        <v>2029</v>
      </c>
      <c r="E877" s="43" t="s">
        <v>1917</v>
      </c>
      <c r="F877" s="37" t="s">
        <v>2030</v>
      </c>
      <c r="G877" s="44">
        <v>33400</v>
      </c>
      <c r="H877" s="44">
        <v>334</v>
      </c>
    </row>
    <row r="878" spans="1:8">
      <c r="A878" s="90">
        <v>126428154421</v>
      </c>
      <c r="B878" s="1" t="s">
        <v>8</v>
      </c>
      <c r="C878" s="43" t="s">
        <v>1917</v>
      </c>
      <c r="D878" s="1" t="s">
        <v>2029</v>
      </c>
      <c r="E878" s="43" t="s">
        <v>1917</v>
      </c>
      <c r="F878" s="37" t="s">
        <v>2030</v>
      </c>
      <c r="G878" s="44">
        <v>10000</v>
      </c>
      <c r="H878" s="44">
        <v>100</v>
      </c>
    </row>
    <row r="879" spans="1:8">
      <c r="A879" s="90">
        <v>126985881488</v>
      </c>
      <c r="B879" s="1" t="s">
        <v>1790</v>
      </c>
      <c r="C879" s="43" t="s">
        <v>1917</v>
      </c>
      <c r="D879" s="1" t="s">
        <v>2029</v>
      </c>
      <c r="E879" s="43" t="s">
        <v>1917</v>
      </c>
      <c r="F879" s="37" t="s">
        <v>2030</v>
      </c>
      <c r="G879" s="44">
        <v>73700</v>
      </c>
      <c r="H879" s="44">
        <v>737</v>
      </c>
    </row>
    <row r="880" spans="1:8">
      <c r="A880" s="90">
        <v>126428591035</v>
      </c>
      <c r="B880" s="1" t="s">
        <v>1790</v>
      </c>
      <c r="C880" s="43" t="s">
        <v>1917</v>
      </c>
      <c r="D880" s="1" t="s">
        <v>2029</v>
      </c>
      <c r="E880" s="43" t="s">
        <v>1917</v>
      </c>
      <c r="F880" s="37" t="s">
        <v>2030</v>
      </c>
      <c r="G880" s="44">
        <v>39400</v>
      </c>
      <c r="H880" s="44">
        <v>394</v>
      </c>
    </row>
    <row r="881" spans="1:8">
      <c r="A881" s="90">
        <v>126986728354</v>
      </c>
      <c r="B881" s="1" t="s">
        <v>1790</v>
      </c>
      <c r="C881" s="43" t="s">
        <v>1917</v>
      </c>
      <c r="D881" s="1" t="s">
        <v>2029</v>
      </c>
      <c r="E881" s="43" t="s">
        <v>1917</v>
      </c>
      <c r="F881" s="37" t="s">
        <v>2030</v>
      </c>
      <c r="G881" s="44">
        <v>9300</v>
      </c>
      <c r="H881" s="44">
        <v>93</v>
      </c>
    </row>
    <row r="882" spans="1:8">
      <c r="A882" s="90">
        <v>126986973700</v>
      </c>
      <c r="B882" s="1" t="s">
        <v>8</v>
      </c>
      <c r="C882" s="43" t="s">
        <v>1917</v>
      </c>
      <c r="D882" s="1" t="s">
        <v>2029</v>
      </c>
      <c r="E882" s="43" t="s">
        <v>1917</v>
      </c>
      <c r="F882" s="37" t="s">
        <v>2030</v>
      </c>
      <c r="G882" s="44">
        <v>10600</v>
      </c>
      <c r="H882" s="44">
        <v>106</v>
      </c>
    </row>
    <row r="883" spans="1:8">
      <c r="A883" s="90">
        <v>126430310225</v>
      </c>
      <c r="B883" s="1" t="s">
        <v>1790</v>
      </c>
      <c r="C883" s="43" t="s">
        <v>1917</v>
      </c>
      <c r="D883" s="1" t="s">
        <v>2029</v>
      </c>
      <c r="E883" s="43" t="s">
        <v>1925</v>
      </c>
      <c r="F883" s="37" t="s">
        <v>2030</v>
      </c>
      <c r="G883" s="44">
        <v>23000</v>
      </c>
      <c r="H883" s="44">
        <v>230</v>
      </c>
    </row>
    <row r="884" spans="1:8">
      <c r="A884" s="90">
        <v>126979157826</v>
      </c>
      <c r="B884" s="1" t="s">
        <v>1790</v>
      </c>
      <c r="C884" s="43" t="s">
        <v>1917</v>
      </c>
      <c r="D884" s="1" t="s">
        <v>2029</v>
      </c>
      <c r="E884" s="43" t="s">
        <v>1917</v>
      </c>
      <c r="F884" s="37" t="s">
        <v>2030</v>
      </c>
      <c r="G884" s="44">
        <v>36300</v>
      </c>
      <c r="H884" s="44">
        <v>363</v>
      </c>
    </row>
    <row r="885" spans="1:8">
      <c r="A885" s="90">
        <v>126988634112</v>
      </c>
      <c r="B885" s="1" t="s">
        <v>1790</v>
      </c>
      <c r="C885" s="43" t="s">
        <v>1917</v>
      </c>
      <c r="D885" s="1" t="s">
        <v>2029</v>
      </c>
      <c r="E885" s="43" t="s">
        <v>1925</v>
      </c>
      <c r="F885" s="37" t="s">
        <v>2030</v>
      </c>
      <c r="G885" s="44">
        <v>11500</v>
      </c>
      <c r="H885" s="44">
        <v>115</v>
      </c>
    </row>
    <row r="886" spans="1:8">
      <c r="A886" s="90">
        <v>126431285979</v>
      </c>
      <c r="B886" s="1" t="s">
        <v>8</v>
      </c>
      <c r="C886" s="43" t="s">
        <v>1917</v>
      </c>
      <c r="D886" s="1" t="s">
        <v>2029</v>
      </c>
      <c r="E886" s="43" t="s">
        <v>1925</v>
      </c>
      <c r="F886" s="37" t="s">
        <v>2030</v>
      </c>
      <c r="G886" s="44">
        <v>54300</v>
      </c>
      <c r="H886" s="44">
        <v>543</v>
      </c>
    </row>
    <row r="887" spans="1:8">
      <c r="A887" s="90">
        <v>126431466333</v>
      </c>
      <c r="B887" s="1" t="s">
        <v>8</v>
      </c>
      <c r="C887" s="43" t="s">
        <v>1917</v>
      </c>
      <c r="D887" s="1" t="s">
        <v>2029</v>
      </c>
      <c r="E887" s="43" t="s">
        <v>1925</v>
      </c>
      <c r="F887" s="37" t="s">
        <v>2030</v>
      </c>
      <c r="G887" s="44">
        <v>70400</v>
      </c>
      <c r="H887" s="44">
        <v>704</v>
      </c>
    </row>
    <row r="888" spans="1:8">
      <c r="A888" s="90">
        <v>126980936250</v>
      </c>
      <c r="B888" s="1" t="s">
        <v>8</v>
      </c>
      <c r="C888" s="43" t="s">
        <v>1917</v>
      </c>
      <c r="D888" s="1" t="s">
        <v>2029</v>
      </c>
      <c r="E888" s="43" t="s">
        <v>1917</v>
      </c>
      <c r="F888" s="37" t="s">
        <v>2030</v>
      </c>
      <c r="G888" s="44">
        <v>22800</v>
      </c>
      <c r="H888" s="44">
        <v>228</v>
      </c>
    </row>
    <row r="889" spans="1:8">
      <c r="A889" s="90">
        <v>126423501303</v>
      </c>
      <c r="B889" s="1" t="s">
        <v>1790</v>
      </c>
      <c r="C889" s="43" t="s">
        <v>1917</v>
      </c>
      <c r="D889" s="1" t="s">
        <v>2029</v>
      </c>
      <c r="E889" s="43" t="s">
        <v>1917</v>
      </c>
      <c r="F889" s="37" t="s">
        <v>2030</v>
      </c>
      <c r="G889" s="44">
        <v>24700</v>
      </c>
      <c r="H889" s="44">
        <v>247</v>
      </c>
    </row>
    <row r="890" spans="1:8">
      <c r="A890" s="90">
        <v>126981776406</v>
      </c>
      <c r="B890" s="1" t="s">
        <v>1790</v>
      </c>
      <c r="C890" s="43" t="s">
        <v>1917</v>
      </c>
      <c r="D890" s="1" t="s">
        <v>2029</v>
      </c>
      <c r="E890" s="43" t="s">
        <v>1917</v>
      </c>
      <c r="F890" s="37" t="s">
        <v>2030</v>
      </c>
      <c r="G890" s="44">
        <v>34800</v>
      </c>
      <c r="H890" s="44">
        <v>348</v>
      </c>
    </row>
    <row r="891" spans="1:8">
      <c r="A891" s="90">
        <v>126981700000</v>
      </c>
      <c r="B891" s="1" t="s">
        <v>1790</v>
      </c>
      <c r="C891" s="43" t="s">
        <v>1917</v>
      </c>
      <c r="D891" s="1" t="s">
        <v>2029</v>
      </c>
      <c r="E891" s="43" t="s">
        <v>1917</v>
      </c>
      <c r="F891" s="37" t="s">
        <v>2030</v>
      </c>
      <c r="G891" s="44">
        <v>75600</v>
      </c>
      <c r="H891" s="44">
        <v>756</v>
      </c>
    </row>
    <row r="892" spans="1:8">
      <c r="A892" s="90">
        <v>126990455038</v>
      </c>
      <c r="B892" s="1" t="s">
        <v>8</v>
      </c>
      <c r="C892" s="43" t="s">
        <v>1917</v>
      </c>
      <c r="D892" s="1" t="s">
        <v>2029</v>
      </c>
      <c r="E892" s="43" t="s">
        <v>1925</v>
      </c>
      <c r="F892" s="37" t="s">
        <v>2030</v>
      </c>
      <c r="G892" s="44">
        <v>57100</v>
      </c>
      <c r="H892" s="44">
        <v>571</v>
      </c>
    </row>
    <row r="893" spans="1:8">
      <c r="A893" s="90">
        <v>126424804149</v>
      </c>
      <c r="B893" s="1" t="s">
        <v>8</v>
      </c>
      <c r="C893" s="43" t="s">
        <v>1917</v>
      </c>
      <c r="D893" s="1" t="s">
        <v>2029</v>
      </c>
      <c r="E893" s="43" t="s">
        <v>1917</v>
      </c>
      <c r="F893" s="37" t="s">
        <v>2030</v>
      </c>
      <c r="G893" s="44">
        <v>52300</v>
      </c>
      <c r="H893" s="44">
        <v>523</v>
      </c>
    </row>
    <row r="894" spans="1:8">
      <c r="A894" s="90">
        <v>126991162222</v>
      </c>
      <c r="B894" s="1" t="s">
        <v>8</v>
      </c>
      <c r="C894" s="43" t="s">
        <v>1925</v>
      </c>
      <c r="D894" s="1" t="s">
        <v>2029</v>
      </c>
      <c r="E894" s="43" t="s">
        <v>1925</v>
      </c>
      <c r="F894" s="37" t="s">
        <v>2030</v>
      </c>
      <c r="G894" s="44">
        <v>156700</v>
      </c>
      <c r="H894" s="44">
        <v>1567</v>
      </c>
    </row>
    <row r="895" spans="1:8">
      <c r="A895" s="90">
        <v>126991147208</v>
      </c>
      <c r="B895" s="1" t="s">
        <v>8</v>
      </c>
      <c r="C895" s="43" t="s">
        <v>1925</v>
      </c>
      <c r="D895" s="1" t="s">
        <v>2029</v>
      </c>
      <c r="E895" s="43" t="s">
        <v>1925</v>
      </c>
      <c r="F895" s="37" t="s">
        <v>2030</v>
      </c>
      <c r="G895" s="44">
        <v>43800</v>
      </c>
      <c r="H895" s="44">
        <v>438</v>
      </c>
    </row>
    <row r="896" spans="1:8">
      <c r="A896" s="90">
        <v>126433647229</v>
      </c>
      <c r="B896" s="1" t="s">
        <v>8</v>
      </c>
      <c r="C896" s="43" t="s">
        <v>1925</v>
      </c>
      <c r="D896" s="1" t="s">
        <v>2029</v>
      </c>
      <c r="E896" s="43" t="s">
        <v>1925</v>
      </c>
      <c r="F896" s="37" t="s">
        <v>2030</v>
      </c>
      <c r="G896" s="44">
        <v>5900</v>
      </c>
      <c r="H896" s="44">
        <v>59</v>
      </c>
    </row>
    <row r="897" spans="1:8">
      <c r="A897" s="90">
        <v>126425131863</v>
      </c>
      <c r="B897" s="1" t="s">
        <v>1790</v>
      </c>
      <c r="C897" s="43" t="s">
        <v>1917</v>
      </c>
      <c r="D897" s="1" t="s">
        <v>2029</v>
      </c>
      <c r="E897" s="43" t="s">
        <v>1917</v>
      </c>
      <c r="F897" s="37" t="s">
        <v>2030</v>
      </c>
      <c r="G897" s="44">
        <v>26800</v>
      </c>
      <c r="H897" s="44">
        <v>268</v>
      </c>
    </row>
    <row r="898" spans="1:8">
      <c r="A898" s="90">
        <v>126991562026</v>
      </c>
      <c r="B898" s="1" t="s">
        <v>8</v>
      </c>
      <c r="C898" s="43" t="s">
        <v>1925</v>
      </c>
      <c r="D898" s="1" t="s">
        <v>2029</v>
      </c>
      <c r="E898" s="43" t="s">
        <v>1925</v>
      </c>
      <c r="F898" s="37" t="s">
        <v>2030</v>
      </c>
      <c r="G898" s="44">
        <v>23500</v>
      </c>
      <c r="H898" s="44">
        <v>235</v>
      </c>
    </row>
    <row r="899" spans="1:8">
      <c r="A899" s="90">
        <v>126982959770</v>
      </c>
      <c r="B899" s="1" t="s">
        <v>8</v>
      </c>
      <c r="C899" s="43" t="s">
        <v>1917</v>
      </c>
      <c r="D899" s="1" t="s">
        <v>2029</v>
      </c>
      <c r="E899" s="43" t="s">
        <v>1917</v>
      </c>
      <c r="F899" s="37" t="s">
        <v>2030</v>
      </c>
      <c r="G899" s="44">
        <v>10900</v>
      </c>
      <c r="H899" s="44">
        <v>109</v>
      </c>
    </row>
    <row r="900" spans="1:8">
      <c r="A900" s="90">
        <v>126983145714</v>
      </c>
      <c r="B900" s="1" t="s">
        <v>8</v>
      </c>
      <c r="C900" s="43" t="s">
        <v>1917</v>
      </c>
      <c r="D900" s="1" t="s">
        <v>2029</v>
      </c>
      <c r="E900" s="43" t="s">
        <v>1917</v>
      </c>
      <c r="F900" s="37" t="s">
        <v>2030</v>
      </c>
      <c r="G900" s="44">
        <v>8600</v>
      </c>
      <c r="H900" s="44">
        <v>86</v>
      </c>
    </row>
    <row r="901" spans="1:8">
      <c r="A901" s="90">
        <v>126426033467</v>
      </c>
      <c r="B901" s="1" t="s">
        <v>8</v>
      </c>
      <c r="C901" s="43" t="s">
        <v>1917</v>
      </c>
      <c r="D901" s="1" t="s">
        <v>2029</v>
      </c>
      <c r="E901" s="43" t="s">
        <v>1917</v>
      </c>
      <c r="F901" s="37" t="s">
        <v>2030</v>
      </c>
      <c r="G901" s="44">
        <v>38200</v>
      </c>
      <c r="H901" s="44">
        <v>382</v>
      </c>
    </row>
    <row r="902" spans="1:8">
      <c r="A902" s="90">
        <v>126983720944</v>
      </c>
      <c r="B902" s="1" t="s">
        <v>8</v>
      </c>
      <c r="C902" s="43" t="s">
        <v>1917</v>
      </c>
      <c r="D902" s="1" t="s">
        <v>2029</v>
      </c>
      <c r="E902" s="43" t="s">
        <v>1917</v>
      </c>
      <c r="F902" s="37" t="s">
        <v>2030</v>
      </c>
      <c r="G902" s="44">
        <v>41400</v>
      </c>
      <c r="H902" s="44">
        <v>414</v>
      </c>
    </row>
    <row r="903" spans="1:8">
      <c r="A903" s="90">
        <v>126992591204</v>
      </c>
      <c r="B903" s="1" t="s">
        <v>8</v>
      </c>
      <c r="C903" s="43" t="s">
        <v>1925</v>
      </c>
      <c r="D903" s="1" t="s">
        <v>2029</v>
      </c>
      <c r="E903" s="43" t="s">
        <v>1925</v>
      </c>
      <c r="F903" s="37" t="s">
        <v>2030</v>
      </c>
      <c r="G903" s="44">
        <v>14000</v>
      </c>
      <c r="H903" s="44">
        <v>140</v>
      </c>
    </row>
    <row r="904" spans="1:8">
      <c r="A904" s="90">
        <v>126983964624</v>
      </c>
      <c r="B904" s="1" t="s">
        <v>8</v>
      </c>
      <c r="C904" s="43" t="s">
        <v>1917</v>
      </c>
      <c r="D904" s="1" t="s">
        <v>2029</v>
      </c>
      <c r="E904" s="43" t="s">
        <v>1917</v>
      </c>
      <c r="F904" s="37" t="s">
        <v>2030</v>
      </c>
      <c r="G904" s="44">
        <v>72700</v>
      </c>
      <c r="H904" s="44">
        <v>727</v>
      </c>
    </row>
    <row r="905" spans="1:8">
      <c r="A905" s="90">
        <v>126435881501</v>
      </c>
      <c r="B905" s="1" t="s">
        <v>8</v>
      </c>
      <c r="C905" s="43" t="s">
        <v>1925</v>
      </c>
      <c r="D905" s="1" t="s">
        <v>2029</v>
      </c>
      <c r="E905" s="43" t="s">
        <v>1925</v>
      </c>
      <c r="F905" s="37" t="s">
        <v>2030</v>
      </c>
      <c r="G905" s="44">
        <v>117300</v>
      </c>
      <c r="H905" s="44">
        <v>1173</v>
      </c>
    </row>
    <row r="906" spans="1:8">
      <c r="A906" s="90">
        <v>126435988375</v>
      </c>
      <c r="B906" s="1" t="s">
        <v>8</v>
      </c>
      <c r="C906" s="43" t="s">
        <v>1925</v>
      </c>
      <c r="D906" s="1" t="s">
        <v>2029</v>
      </c>
      <c r="E906" s="43" t="s">
        <v>1925</v>
      </c>
      <c r="F906" s="37" t="s">
        <v>2030</v>
      </c>
      <c r="G906" s="44">
        <v>20600</v>
      </c>
      <c r="H906" s="44">
        <v>206</v>
      </c>
    </row>
    <row r="907" spans="1:8">
      <c r="A907" s="90">
        <v>126984992484</v>
      </c>
      <c r="B907" s="1" t="s">
        <v>8</v>
      </c>
      <c r="C907" s="43" t="s">
        <v>1917</v>
      </c>
      <c r="D907" s="1" t="s">
        <v>2029</v>
      </c>
      <c r="E907" s="43" t="s">
        <v>1917</v>
      </c>
      <c r="F907" s="37" t="s">
        <v>2030</v>
      </c>
      <c r="G907" s="44">
        <v>33400</v>
      </c>
      <c r="H907" s="44">
        <v>334</v>
      </c>
    </row>
    <row r="908" spans="1:8">
      <c r="A908" s="90">
        <v>126984981826</v>
      </c>
      <c r="B908" s="1" t="s">
        <v>1790</v>
      </c>
      <c r="C908" s="43" t="s">
        <v>1917</v>
      </c>
      <c r="D908" s="1" t="s">
        <v>2029</v>
      </c>
      <c r="E908" s="43" t="s">
        <v>1917</v>
      </c>
      <c r="F908" s="37" t="s">
        <v>2030</v>
      </c>
      <c r="G908" s="44">
        <v>32000</v>
      </c>
      <c r="H908" s="44">
        <v>320</v>
      </c>
    </row>
    <row r="909" spans="1:8">
      <c r="A909" s="90">
        <v>126427734197</v>
      </c>
      <c r="B909" s="1" t="s">
        <v>8</v>
      </c>
      <c r="C909" s="43" t="s">
        <v>1917</v>
      </c>
      <c r="D909" s="1" t="s">
        <v>2029</v>
      </c>
      <c r="E909" s="43" t="s">
        <v>1917</v>
      </c>
      <c r="F909" s="37" t="s">
        <v>2030</v>
      </c>
      <c r="G909" s="44">
        <v>7500</v>
      </c>
      <c r="H909" s="44">
        <v>75</v>
      </c>
    </row>
    <row r="910" spans="1:8">
      <c r="A910" s="90">
        <v>126985153914</v>
      </c>
      <c r="B910" s="1" t="s">
        <v>8</v>
      </c>
      <c r="C910" s="43" t="s">
        <v>1917</v>
      </c>
      <c r="D910" s="1" t="s">
        <v>2029</v>
      </c>
      <c r="E910" s="43" t="s">
        <v>1917</v>
      </c>
      <c r="F910" s="37" t="s">
        <v>2030</v>
      </c>
      <c r="G910" s="44">
        <v>3900</v>
      </c>
      <c r="H910" s="44">
        <v>39</v>
      </c>
    </row>
    <row r="911" spans="1:8">
      <c r="A911" s="90">
        <v>126436481429</v>
      </c>
      <c r="B911" s="1" t="s">
        <v>1790</v>
      </c>
      <c r="C911" s="43" t="s">
        <v>1925</v>
      </c>
      <c r="D911" s="1" t="s">
        <v>2029</v>
      </c>
      <c r="E911" s="43" t="s">
        <v>1925</v>
      </c>
      <c r="F911" s="37" t="s">
        <v>2030</v>
      </c>
      <c r="G911" s="44">
        <v>52300</v>
      </c>
      <c r="H911" s="44">
        <v>523</v>
      </c>
    </row>
    <row r="912" spans="1:8">
      <c r="A912" s="90">
        <v>126428160507</v>
      </c>
      <c r="B912" s="1" t="s">
        <v>1790</v>
      </c>
      <c r="C912" s="43" t="s">
        <v>1917</v>
      </c>
      <c r="D912" s="1" t="s">
        <v>2029</v>
      </c>
      <c r="E912" s="43" t="s">
        <v>1917</v>
      </c>
      <c r="F912" s="37" t="s">
        <v>2030</v>
      </c>
      <c r="G912" s="44">
        <v>40000</v>
      </c>
      <c r="H912" s="44">
        <v>400</v>
      </c>
    </row>
    <row r="913" spans="1:8">
      <c r="A913" s="90">
        <v>126437258399</v>
      </c>
      <c r="B913" s="1" t="s">
        <v>8</v>
      </c>
      <c r="C913" s="43" t="s">
        <v>1925</v>
      </c>
      <c r="D913" s="1" t="s">
        <v>2029</v>
      </c>
      <c r="E913" s="43" t="s">
        <v>1925</v>
      </c>
      <c r="F913" s="37" t="s">
        <v>2030</v>
      </c>
      <c r="G913" s="44">
        <v>18600</v>
      </c>
      <c r="H913" s="44">
        <v>186</v>
      </c>
    </row>
    <row r="914" spans="1:8">
      <c r="A914" s="90">
        <v>126986201156</v>
      </c>
      <c r="B914" s="1" t="s">
        <v>1790</v>
      </c>
      <c r="C914" s="43" t="s">
        <v>1917</v>
      </c>
      <c r="D914" s="1" t="s">
        <v>2029</v>
      </c>
      <c r="E914" s="43" t="s">
        <v>1917</v>
      </c>
      <c r="F914" s="37" t="s">
        <v>2030</v>
      </c>
      <c r="G914" s="44">
        <v>37100</v>
      </c>
      <c r="H914" s="44">
        <v>371</v>
      </c>
    </row>
    <row r="915" spans="1:8">
      <c r="A915" s="90">
        <v>126994834838</v>
      </c>
      <c r="B915" s="1" t="s">
        <v>1790</v>
      </c>
      <c r="C915" s="43" t="s">
        <v>1925</v>
      </c>
      <c r="D915" s="1" t="s">
        <v>2029</v>
      </c>
      <c r="E915" s="43" t="s">
        <v>1925</v>
      </c>
      <c r="F915" s="37" t="s">
        <v>2030</v>
      </c>
      <c r="G915" s="44">
        <v>8600</v>
      </c>
      <c r="H915" s="44">
        <v>86</v>
      </c>
    </row>
    <row r="916" spans="1:8">
      <c r="A916" s="90">
        <v>126994860808</v>
      </c>
      <c r="B916" s="1" t="s">
        <v>8</v>
      </c>
      <c r="C916" s="43" t="s">
        <v>1925</v>
      </c>
      <c r="D916" s="1" t="s">
        <v>2029</v>
      </c>
      <c r="E916" s="43" t="s">
        <v>1925</v>
      </c>
      <c r="F916" s="37" t="s">
        <v>2030</v>
      </c>
      <c r="G916" s="44">
        <v>23500</v>
      </c>
      <c r="H916" s="44">
        <v>235</v>
      </c>
    </row>
    <row r="917" spans="1:8">
      <c r="A917" s="90">
        <v>126994870920</v>
      </c>
      <c r="B917" s="1" t="s">
        <v>8</v>
      </c>
      <c r="C917" s="43" t="s">
        <v>1925</v>
      </c>
      <c r="D917" s="1" t="s">
        <v>2029</v>
      </c>
      <c r="E917" s="43" t="s">
        <v>1925</v>
      </c>
      <c r="F917" s="37" t="s">
        <v>2030</v>
      </c>
      <c r="G917" s="44">
        <v>19300</v>
      </c>
      <c r="H917" s="44">
        <v>193</v>
      </c>
    </row>
    <row r="918" spans="1:8">
      <c r="A918" s="90">
        <v>126428827067</v>
      </c>
      <c r="B918" s="1" t="s">
        <v>8</v>
      </c>
      <c r="C918" s="43" t="s">
        <v>1917</v>
      </c>
      <c r="D918" s="1" t="s">
        <v>2029</v>
      </c>
      <c r="E918" s="43" t="s">
        <v>1917</v>
      </c>
      <c r="F918" s="37" t="s">
        <v>2030</v>
      </c>
      <c r="G918" s="44">
        <v>46200</v>
      </c>
      <c r="H918" s="44">
        <v>462</v>
      </c>
    </row>
    <row r="919" spans="1:8">
      <c r="A919" s="90">
        <v>126995028620</v>
      </c>
      <c r="B919" s="1" t="s">
        <v>1790</v>
      </c>
      <c r="C919" s="43" t="s">
        <v>1925</v>
      </c>
      <c r="D919" s="1" t="s">
        <v>2029</v>
      </c>
      <c r="E919" s="43" t="s">
        <v>1925</v>
      </c>
      <c r="F919" s="37" t="s">
        <v>2030</v>
      </c>
      <c r="G919" s="44">
        <v>37200</v>
      </c>
      <c r="H919" s="44">
        <v>372</v>
      </c>
    </row>
    <row r="920" spans="1:8">
      <c r="A920" s="90">
        <v>126429190877</v>
      </c>
      <c r="B920" s="1" t="s">
        <v>8</v>
      </c>
      <c r="C920" s="43" t="s">
        <v>1917</v>
      </c>
      <c r="D920" s="1" t="s">
        <v>2029</v>
      </c>
      <c r="E920" s="43" t="s">
        <v>1917</v>
      </c>
      <c r="F920" s="37" t="s">
        <v>2030</v>
      </c>
      <c r="G920" s="44">
        <v>52000</v>
      </c>
      <c r="H920" s="44">
        <v>520</v>
      </c>
    </row>
    <row r="921" spans="1:8">
      <c r="A921" s="90">
        <v>126987554710</v>
      </c>
      <c r="B921" s="1" t="s">
        <v>1790</v>
      </c>
      <c r="C921" s="43" t="s">
        <v>1917</v>
      </c>
      <c r="D921" s="1" t="s">
        <v>2029</v>
      </c>
      <c r="E921" s="43" t="s">
        <v>1917</v>
      </c>
      <c r="F921" s="37" t="s">
        <v>2030</v>
      </c>
      <c r="G921" s="44">
        <v>27700</v>
      </c>
      <c r="H921" s="44">
        <v>277</v>
      </c>
    </row>
    <row r="922" spans="1:8">
      <c r="A922" s="90">
        <v>126430431329</v>
      </c>
      <c r="B922" s="1" t="s">
        <v>1790</v>
      </c>
      <c r="C922" s="43" t="s">
        <v>1917</v>
      </c>
      <c r="D922" s="1" t="s">
        <v>2029</v>
      </c>
      <c r="E922" s="43" t="s">
        <v>1925</v>
      </c>
      <c r="F922" s="37" t="s">
        <v>2030</v>
      </c>
      <c r="G922" s="44">
        <v>16600</v>
      </c>
      <c r="H922" s="44">
        <v>166</v>
      </c>
    </row>
    <row r="923" spans="1:8">
      <c r="A923" s="90">
        <v>126988152896</v>
      </c>
      <c r="B923" s="1" t="s">
        <v>8</v>
      </c>
      <c r="C923" s="43" t="s">
        <v>1917</v>
      </c>
      <c r="D923" s="1" t="s">
        <v>2029</v>
      </c>
      <c r="E923" s="43" t="s">
        <v>1925</v>
      </c>
      <c r="F923" s="37" t="s">
        <v>2030</v>
      </c>
      <c r="G923" s="44">
        <v>58200</v>
      </c>
      <c r="H923" s="44">
        <v>582</v>
      </c>
    </row>
    <row r="924" spans="1:8">
      <c r="A924" s="90">
        <v>126430926107</v>
      </c>
      <c r="B924" s="1" t="s">
        <v>1790</v>
      </c>
      <c r="C924" s="43" t="s">
        <v>1917</v>
      </c>
      <c r="D924" s="1" t="s">
        <v>2029</v>
      </c>
      <c r="E924" s="43" t="s">
        <v>1925</v>
      </c>
      <c r="F924" s="37" t="s">
        <v>2030</v>
      </c>
      <c r="G924" s="44">
        <v>18700</v>
      </c>
      <c r="H924" s="44">
        <v>187</v>
      </c>
    </row>
    <row r="925" spans="1:8">
      <c r="A925" s="90">
        <v>126430980121</v>
      </c>
      <c r="B925" s="1" t="s">
        <v>8</v>
      </c>
      <c r="C925" s="43" t="s">
        <v>1917</v>
      </c>
      <c r="D925" s="1" t="s">
        <v>2029</v>
      </c>
      <c r="E925" s="43" t="s">
        <v>1925</v>
      </c>
      <c r="F925" s="37" t="s">
        <v>2030</v>
      </c>
      <c r="G925" s="44">
        <v>8200</v>
      </c>
      <c r="H925" s="44">
        <v>82</v>
      </c>
    </row>
    <row r="926" spans="1:8">
      <c r="A926" s="90">
        <v>126432046519</v>
      </c>
      <c r="B926" s="1" t="s">
        <v>8</v>
      </c>
      <c r="C926" s="43" t="s">
        <v>1917</v>
      </c>
      <c r="D926" s="1" t="s">
        <v>2029</v>
      </c>
      <c r="E926" s="43" t="s">
        <v>1925</v>
      </c>
      <c r="F926" s="37" t="s">
        <v>2030</v>
      </c>
      <c r="G926" s="44">
        <v>10000</v>
      </c>
      <c r="H926" s="44">
        <v>100</v>
      </c>
    </row>
    <row r="927" spans="1:8">
      <c r="A927" s="90">
        <v>126432682049</v>
      </c>
      <c r="B927" s="1" t="s">
        <v>1790</v>
      </c>
      <c r="C927" s="43" t="s">
        <v>1917</v>
      </c>
      <c r="D927" s="1" t="s">
        <v>2029</v>
      </c>
      <c r="E927" s="43" t="s">
        <v>1925</v>
      </c>
      <c r="F927" s="37" t="s">
        <v>2030</v>
      </c>
      <c r="G927" s="44">
        <v>12100</v>
      </c>
      <c r="H927" s="44">
        <v>121</v>
      </c>
    </row>
    <row r="928" spans="1:8">
      <c r="A928" s="90">
        <v>126990295636</v>
      </c>
      <c r="B928" s="1" t="s">
        <v>8</v>
      </c>
      <c r="C928" s="43" t="s">
        <v>1917</v>
      </c>
      <c r="D928" s="1" t="s">
        <v>2029</v>
      </c>
      <c r="E928" s="43" t="s">
        <v>1925</v>
      </c>
      <c r="F928" s="37" t="s">
        <v>2030</v>
      </c>
      <c r="G928" s="44">
        <v>44300</v>
      </c>
      <c r="H928" s="44">
        <v>443</v>
      </c>
    </row>
    <row r="929" spans="1:8">
      <c r="A929" s="90">
        <v>126990463684</v>
      </c>
      <c r="B929" s="1" t="s">
        <v>8</v>
      </c>
      <c r="C929" s="43" t="s">
        <v>1917</v>
      </c>
      <c r="D929" s="1" t="s">
        <v>2029</v>
      </c>
      <c r="E929" s="43" t="s">
        <v>1925</v>
      </c>
      <c r="F929" s="37" t="s">
        <v>2030</v>
      </c>
      <c r="G929" s="44">
        <v>80200</v>
      </c>
      <c r="H929" s="44">
        <v>802</v>
      </c>
    </row>
    <row r="930" spans="1:8">
      <c r="A930" s="90">
        <v>126433454335</v>
      </c>
      <c r="B930" s="1" t="s">
        <v>1790</v>
      </c>
      <c r="C930" s="43" t="s">
        <v>1925</v>
      </c>
      <c r="D930" s="1" t="s">
        <v>2029</v>
      </c>
      <c r="E930" s="43" t="s">
        <v>1925</v>
      </c>
      <c r="F930" s="37" t="s">
        <v>2030</v>
      </c>
      <c r="G930" s="44">
        <v>103500</v>
      </c>
      <c r="H930" s="44">
        <v>1035</v>
      </c>
    </row>
    <row r="931" spans="1:8">
      <c r="A931" s="90">
        <v>126434616539</v>
      </c>
      <c r="B931" s="1" t="s">
        <v>1790</v>
      </c>
      <c r="C931" s="43" t="s">
        <v>1925</v>
      </c>
      <c r="D931" s="1" t="s">
        <v>2029</v>
      </c>
      <c r="E931" s="43" t="s">
        <v>1925</v>
      </c>
      <c r="F931" s="37" t="s">
        <v>2030</v>
      </c>
      <c r="G931" s="44">
        <v>24600</v>
      </c>
      <c r="H931" s="44">
        <v>246</v>
      </c>
    </row>
    <row r="932" spans="1:8">
      <c r="A932" s="90">
        <v>126434588095</v>
      </c>
      <c r="B932" s="1" t="s">
        <v>1790</v>
      </c>
      <c r="C932" s="43" t="s">
        <v>1925</v>
      </c>
      <c r="D932" s="1" t="s">
        <v>2029</v>
      </c>
      <c r="E932" s="43" t="s">
        <v>1925</v>
      </c>
      <c r="F932" s="37" t="s">
        <v>2030</v>
      </c>
      <c r="G932" s="44">
        <v>19800</v>
      </c>
      <c r="H932" s="44">
        <v>198</v>
      </c>
    </row>
    <row r="933" spans="1:8">
      <c r="A933" s="90">
        <v>126992251400</v>
      </c>
      <c r="B933" s="1" t="s">
        <v>8</v>
      </c>
      <c r="C933" s="43" t="s">
        <v>1925</v>
      </c>
      <c r="D933" s="1" t="s">
        <v>2029</v>
      </c>
      <c r="E933" s="43" t="s">
        <v>1925</v>
      </c>
      <c r="F933" s="37" t="s">
        <v>2030</v>
      </c>
      <c r="G933" s="44">
        <v>53900</v>
      </c>
      <c r="H933" s="44">
        <v>539</v>
      </c>
    </row>
    <row r="934" spans="1:8">
      <c r="A934" s="90">
        <v>126992434810</v>
      </c>
      <c r="B934" s="1" t="s">
        <v>1790</v>
      </c>
      <c r="C934" s="43" t="s">
        <v>1925</v>
      </c>
      <c r="D934" s="1" t="s">
        <v>2029</v>
      </c>
      <c r="E934" s="43" t="s">
        <v>1925</v>
      </c>
      <c r="F934" s="37" t="s">
        <v>2030</v>
      </c>
      <c r="G934" s="44">
        <v>35900</v>
      </c>
      <c r="H934" s="44">
        <v>359</v>
      </c>
    </row>
    <row r="935" spans="1:8">
      <c r="A935" s="90">
        <v>126992555472</v>
      </c>
      <c r="B935" s="1" t="s">
        <v>8</v>
      </c>
      <c r="C935" s="43" t="s">
        <v>1925</v>
      </c>
      <c r="D935" s="1" t="s">
        <v>2029</v>
      </c>
      <c r="E935" s="43" t="s">
        <v>1925</v>
      </c>
      <c r="F935" s="37" t="s">
        <v>2030</v>
      </c>
      <c r="G935" s="44">
        <v>8600</v>
      </c>
      <c r="H935" s="44">
        <v>86</v>
      </c>
    </row>
    <row r="936" spans="1:8">
      <c r="A936" s="90">
        <v>126435168221</v>
      </c>
      <c r="B936" s="1" t="s">
        <v>8</v>
      </c>
      <c r="C936" s="43" t="s">
        <v>1925</v>
      </c>
      <c r="D936" s="1" t="s">
        <v>2029</v>
      </c>
      <c r="E936" s="43" t="s">
        <v>1925</v>
      </c>
      <c r="F936" s="37" t="s">
        <v>2030</v>
      </c>
      <c r="G936" s="44">
        <v>117100</v>
      </c>
      <c r="H936" s="44">
        <v>1171</v>
      </c>
    </row>
    <row r="937" spans="1:8">
      <c r="A937" s="90">
        <v>126992667842</v>
      </c>
      <c r="B937" s="1" t="s">
        <v>1790</v>
      </c>
      <c r="C937" s="43" t="s">
        <v>1925</v>
      </c>
      <c r="D937" s="1" t="s">
        <v>2029</v>
      </c>
      <c r="E937" s="43" t="s">
        <v>1925</v>
      </c>
      <c r="F937" s="37" t="s">
        <v>2030</v>
      </c>
      <c r="G937" s="44">
        <v>22500</v>
      </c>
      <c r="H937" s="44">
        <v>225</v>
      </c>
    </row>
    <row r="938" spans="1:8">
      <c r="A938" s="90">
        <v>126992767926</v>
      </c>
      <c r="B938" s="1" t="s">
        <v>8</v>
      </c>
      <c r="C938" s="43" t="s">
        <v>1925</v>
      </c>
      <c r="D938" s="1" t="s">
        <v>2029</v>
      </c>
      <c r="E938" s="43" t="s">
        <v>1925</v>
      </c>
      <c r="F938" s="37" t="s">
        <v>2030</v>
      </c>
      <c r="G938" s="44">
        <v>46700</v>
      </c>
      <c r="H938" s="44">
        <v>467</v>
      </c>
    </row>
    <row r="939" spans="1:8">
      <c r="A939" s="90">
        <v>126992956554</v>
      </c>
      <c r="B939" s="1" t="s">
        <v>1790</v>
      </c>
      <c r="C939" s="43" t="s">
        <v>1925</v>
      </c>
      <c r="D939" s="1" t="s">
        <v>2029</v>
      </c>
      <c r="E939" s="43" t="s">
        <v>1925</v>
      </c>
      <c r="F939" s="37" t="s">
        <v>2030</v>
      </c>
      <c r="G939" s="44">
        <v>86400</v>
      </c>
      <c r="H939" s="44">
        <v>864</v>
      </c>
    </row>
    <row r="940" spans="1:8">
      <c r="A940" s="90">
        <v>126435878863</v>
      </c>
      <c r="B940" s="1" t="s">
        <v>1790</v>
      </c>
      <c r="C940" s="43" t="s">
        <v>1925</v>
      </c>
      <c r="D940" s="1" t="s">
        <v>2029</v>
      </c>
      <c r="E940" s="43" t="s">
        <v>1925</v>
      </c>
      <c r="F940" s="37" t="s">
        <v>2030</v>
      </c>
      <c r="G940" s="44">
        <v>24800</v>
      </c>
      <c r="H940" s="44">
        <v>248</v>
      </c>
    </row>
    <row r="941" spans="1:8">
      <c r="A941" s="90">
        <v>126436273079</v>
      </c>
      <c r="B941" s="1" t="s">
        <v>8</v>
      </c>
      <c r="C941" s="43" t="s">
        <v>1925</v>
      </c>
      <c r="D941" s="1" t="s">
        <v>2029</v>
      </c>
      <c r="E941" s="43" t="s">
        <v>1925</v>
      </c>
      <c r="F941" s="37" t="s">
        <v>2030</v>
      </c>
      <c r="G941" s="44">
        <v>10300</v>
      </c>
      <c r="H941" s="44">
        <v>103</v>
      </c>
    </row>
    <row r="942" spans="1:8">
      <c r="A942" s="90">
        <v>126993816968</v>
      </c>
      <c r="B942" s="1" t="s">
        <v>8</v>
      </c>
      <c r="C942" s="43" t="s">
        <v>1925</v>
      </c>
      <c r="D942" s="1" t="s">
        <v>2029</v>
      </c>
      <c r="E942" s="43" t="s">
        <v>1925</v>
      </c>
      <c r="F942" s="37" t="s">
        <v>2030</v>
      </c>
      <c r="G942" s="44">
        <v>8800</v>
      </c>
      <c r="H942" s="44">
        <v>88</v>
      </c>
    </row>
    <row r="943" spans="1:8">
      <c r="A943" s="90">
        <v>126993923076</v>
      </c>
      <c r="B943" s="1" t="s">
        <v>8</v>
      </c>
      <c r="C943" s="43" t="s">
        <v>1925</v>
      </c>
      <c r="D943" s="1" t="s">
        <v>2029</v>
      </c>
      <c r="E943" s="43" t="s">
        <v>1925</v>
      </c>
      <c r="F943" s="37" t="s">
        <v>2030</v>
      </c>
      <c r="G943" s="44">
        <v>26100</v>
      </c>
      <c r="H943" s="44">
        <v>261</v>
      </c>
    </row>
    <row r="944" spans="1:8">
      <c r="A944" s="90">
        <v>126436687071</v>
      </c>
      <c r="B944" s="1" t="s">
        <v>8</v>
      </c>
      <c r="C944" s="43" t="s">
        <v>1925</v>
      </c>
      <c r="D944" s="1" t="s">
        <v>2029</v>
      </c>
      <c r="E944" s="43" t="s">
        <v>1925</v>
      </c>
      <c r="F944" s="37" t="s">
        <v>2030</v>
      </c>
      <c r="G944" s="44">
        <v>39000</v>
      </c>
      <c r="H944" s="44">
        <v>390</v>
      </c>
    </row>
    <row r="945" spans="1:8">
      <c r="A945" s="90">
        <v>126436885759</v>
      </c>
      <c r="B945" s="1" t="s">
        <v>8</v>
      </c>
      <c r="C945" s="43" t="s">
        <v>1925</v>
      </c>
      <c r="D945" s="1" t="s">
        <v>2029</v>
      </c>
      <c r="E945" s="43" t="s">
        <v>1925</v>
      </c>
      <c r="F945" s="37" t="s">
        <v>2030</v>
      </c>
      <c r="G945" s="44">
        <v>19000</v>
      </c>
      <c r="H945" s="44">
        <v>190</v>
      </c>
    </row>
    <row r="946" spans="1:8">
      <c r="A946" s="90">
        <v>126994713226</v>
      </c>
      <c r="B946" s="1" t="s">
        <v>8</v>
      </c>
      <c r="C946" s="43" t="s">
        <v>1925</v>
      </c>
      <c r="D946" s="1" t="s">
        <v>2029</v>
      </c>
      <c r="E946" s="43" t="s">
        <v>1925</v>
      </c>
      <c r="F946" s="37" t="s">
        <v>2030</v>
      </c>
      <c r="G946" s="44">
        <v>44400</v>
      </c>
      <c r="H946" s="44">
        <v>444</v>
      </c>
    </row>
    <row r="947" spans="1:8">
      <c r="A947" s="90">
        <v>126994733000</v>
      </c>
      <c r="B947" s="1" t="s">
        <v>8</v>
      </c>
      <c r="C947" s="43" t="s">
        <v>1925</v>
      </c>
      <c r="D947" s="1" t="s">
        <v>2029</v>
      </c>
      <c r="E947" s="43" t="s">
        <v>1925</v>
      </c>
      <c r="F947" s="37" t="s">
        <v>2030</v>
      </c>
      <c r="G947" s="44">
        <v>18500</v>
      </c>
      <c r="H947" s="44">
        <v>185</v>
      </c>
    </row>
    <row r="948" spans="1:8">
      <c r="A948" s="90">
        <v>126994702036</v>
      </c>
      <c r="B948" s="1" t="s">
        <v>8</v>
      </c>
      <c r="C948" s="43" t="s">
        <v>1925</v>
      </c>
      <c r="D948" s="1" t="s">
        <v>2029</v>
      </c>
      <c r="E948" s="43" t="s">
        <v>1925</v>
      </c>
      <c r="F948" s="37" t="s">
        <v>2030</v>
      </c>
      <c r="G948" s="44">
        <v>15900</v>
      </c>
      <c r="H948" s="44">
        <v>159</v>
      </c>
    </row>
    <row r="949" spans="1:8">
      <c r="A949" s="90">
        <v>126498711815</v>
      </c>
      <c r="B949" s="1" t="s">
        <v>8</v>
      </c>
      <c r="C949" s="43" t="s">
        <v>1925</v>
      </c>
      <c r="D949" s="1" t="s">
        <v>2029</v>
      </c>
      <c r="E949" s="43" t="s">
        <v>1925</v>
      </c>
      <c r="F949" s="37" t="s">
        <v>2030</v>
      </c>
      <c r="G949" s="44">
        <v>8600</v>
      </c>
      <c r="H949" s="44">
        <v>86</v>
      </c>
    </row>
    <row r="950" spans="1:8">
      <c r="A950" s="90">
        <v>126501121485</v>
      </c>
      <c r="B950" s="1" t="s">
        <v>1790</v>
      </c>
      <c r="C950" s="43" t="s">
        <v>1925</v>
      </c>
      <c r="D950" s="1" t="s">
        <v>2029</v>
      </c>
      <c r="E950" s="43" t="s">
        <v>1925</v>
      </c>
      <c r="F950" s="37" t="s">
        <v>2030</v>
      </c>
      <c r="G950" s="44">
        <v>7000</v>
      </c>
      <c r="H950" s="44">
        <v>70</v>
      </c>
    </row>
    <row r="951" spans="1:8">
      <c r="A951" s="90">
        <v>126499013865</v>
      </c>
      <c r="B951" s="1" t="s">
        <v>1790</v>
      </c>
      <c r="C951" s="43" t="s">
        <v>1925</v>
      </c>
      <c r="D951" s="1" t="s">
        <v>2029</v>
      </c>
      <c r="E951" s="43" t="s">
        <v>1925</v>
      </c>
      <c r="F951" s="37" t="s">
        <v>2030</v>
      </c>
      <c r="G951" s="44">
        <v>5300</v>
      </c>
      <c r="H951" s="44">
        <v>53</v>
      </c>
    </row>
    <row r="952" spans="1:8">
      <c r="A952" s="90">
        <v>127057252498</v>
      </c>
      <c r="B952" s="1" t="s">
        <v>8</v>
      </c>
      <c r="C952" s="43" t="s">
        <v>1925</v>
      </c>
      <c r="D952" s="1" t="s">
        <v>2029</v>
      </c>
      <c r="E952" s="43" t="s">
        <v>1925</v>
      </c>
      <c r="F952" s="37" t="s">
        <v>2030</v>
      </c>
      <c r="G952" s="44">
        <v>4300</v>
      </c>
      <c r="H952" s="44">
        <v>43</v>
      </c>
    </row>
    <row r="953" spans="1:8">
      <c r="A953" s="90">
        <v>127066369438</v>
      </c>
      <c r="B953" s="1" t="s">
        <v>8</v>
      </c>
      <c r="C953" s="43" t="s">
        <v>1925</v>
      </c>
      <c r="D953" s="1" t="s">
        <v>2029</v>
      </c>
      <c r="E953" s="43" t="s">
        <v>1925</v>
      </c>
      <c r="F953" s="37" t="s">
        <v>2030</v>
      </c>
      <c r="G953" s="44">
        <v>17100</v>
      </c>
      <c r="H953" s="44">
        <v>171</v>
      </c>
    </row>
    <row r="954" spans="1:8">
      <c r="A954" s="90">
        <v>126509739927</v>
      </c>
      <c r="B954" s="1" t="s">
        <v>1790</v>
      </c>
      <c r="C954" s="43" t="s">
        <v>1925</v>
      </c>
      <c r="D954" s="1" t="s">
        <v>2029</v>
      </c>
      <c r="E954" s="43" t="s">
        <v>1925</v>
      </c>
      <c r="F954" s="37" t="s">
        <v>2030</v>
      </c>
      <c r="G954" s="44">
        <v>19500</v>
      </c>
      <c r="H954" s="44">
        <v>195</v>
      </c>
    </row>
    <row r="955" spans="1:8">
      <c r="A955" s="90">
        <v>126502326417</v>
      </c>
      <c r="B955" s="1" t="s">
        <v>8</v>
      </c>
      <c r="C955" s="43" t="s">
        <v>1925</v>
      </c>
      <c r="D955" s="1" t="s">
        <v>2029</v>
      </c>
      <c r="E955" s="43" t="s">
        <v>1925</v>
      </c>
      <c r="F955" s="37" t="s">
        <v>2030</v>
      </c>
      <c r="G955" s="44">
        <v>4500</v>
      </c>
      <c r="H955" s="44">
        <v>45</v>
      </c>
    </row>
    <row r="956" spans="1:8">
      <c r="A956" s="90">
        <v>127060015374</v>
      </c>
      <c r="B956" s="1" t="s">
        <v>8</v>
      </c>
      <c r="C956" s="43" t="s">
        <v>1925</v>
      </c>
      <c r="D956" s="1" t="s">
        <v>2029</v>
      </c>
      <c r="E956" s="43" t="s">
        <v>1925</v>
      </c>
      <c r="F956" s="37" t="s">
        <v>2030</v>
      </c>
      <c r="G956" s="44">
        <v>9000</v>
      </c>
      <c r="H956" s="44">
        <v>90</v>
      </c>
    </row>
    <row r="957" spans="1:8">
      <c r="A957" s="90">
        <v>126511461547</v>
      </c>
      <c r="B957" s="1" t="s">
        <v>8</v>
      </c>
      <c r="C957" s="43" t="s">
        <v>1925</v>
      </c>
      <c r="D957" s="1" t="s">
        <v>2029</v>
      </c>
      <c r="E957" s="43" t="s">
        <v>1925</v>
      </c>
      <c r="F957" s="37" t="s">
        <v>2030</v>
      </c>
      <c r="G957" s="44">
        <v>23500</v>
      </c>
      <c r="H957" s="44">
        <v>235</v>
      </c>
    </row>
    <row r="958" spans="1:8">
      <c r="A958" s="90">
        <v>126512641065</v>
      </c>
      <c r="B958" s="1" t="s">
        <v>8</v>
      </c>
      <c r="C958" s="43" t="s">
        <v>1925</v>
      </c>
      <c r="D958" s="1" t="s">
        <v>2029</v>
      </c>
      <c r="E958" s="43" t="s">
        <v>1925</v>
      </c>
      <c r="F958" s="37" t="s">
        <v>2030</v>
      </c>
      <c r="G958" s="44">
        <v>8000</v>
      </c>
      <c r="H958" s="44">
        <v>80</v>
      </c>
    </row>
    <row r="959" spans="1:8">
      <c r="A959" s="90">
        <v>127070575668</v>
      </c>
      <c r="B959" s="1" t="s">
        <v>1790</v>
      </c>
      <c r="C959" s="43" t="s">
        <v>1925</v>
      </c>
      <c r="D959" s="1" t="s">
        <v>2029</v>
      </c>
      <c r="E959" s="43" t="s">
        <v>1925</v>
      </c>
      <c r="F959" s="37" t="s">
        <v>2030</v>
      </c>
      <c r="G959" s="44">
        <v>27300</v>
      </c>
      <c r="H959" s="44">
        <v>273</v>
      </c>
    </row>
    <row r="960" spans="1:8">
      <c r="A960" s="90">
        <v>127064546278</v>
      </c>
      <c r="B960" s="1" t="s">
        <v>8</v>
      </c>
      <c r="C960" s="43" t="s">
        <v>1925</v>
      </c>
      <c r="D960" s="1" t="s">
        <v>2029</v>
      </c>
      <c r="E960" s="43" t="s">
        <v>1925</v>
      </c>
      <c r="F960" s="37" t="s">
        <v>2030</v>
      </c>
      <c r="G960" s="44">
        <v>19500</v>
      </c>
      <c r="H960" s="44">
        <v>195</v>
      </c>
    </row>
    <row r="961" spans="1:8">
      <c r="A961" s="90">
        <v>127072983012</v>
      </c>
      <c r="B961" s="1" t="s">
        <v>1790</v>
      </c>
      <c r="C961" s="43" t="s">
        <v>1925</v>
      </c>
      <c r="D961" s="1" t="s">
        <v>2029</v>
      </c>
      <c r="E961" s="43" t="s">
        <v>1925</v>
      </c>
      <c r="F961" s="37" t="s">
        <v>2030</v>
      </c>
      <c r="G961" s="44">
        <v>87600</v>
      </c>
      <c r="H961" s="44">
        <v>876</v>
      </c>
    </row>
    <row r="962" spans="1:8">
      <c r="A962" s="90">
        <v>127073051828</v>
      </c>
      <c r="B962" s="1" t="s">
        <v>8</v>
      </c>
      <c r="C962" s="43" t="s">
        <v>1925</v>
      </c>
      <c r="D962" s="1" t="s">
        <v>2029</v>
      </c>
      <c r="E962" s="43" t="s">
        <v>1925</v>
      </c>
      <c r="F962" s="37" t="s">
        <v>2030</v>
      </c>
      <c r="G962" s="44">
        <v>10600</v>
      </c>
      <c r="H962" s="44">
        <v>106</v>
      </c>
    </row>
    <row r="963" spans="1:8">
      <c r="A963" s="90">
        <v>127073157830</v>
      </c>
      <c r="B963" s="1" t="s">
        <v>1790</v>
      </c>
      <c r="C963" s="43" t="s">
        <v>1925</v>
      </c>
      <c r="D963" s="1" t="s">
        <v>2029</v>
      </c>
      <c r="E963" s="43" t="s">
        <v>1925</v>
      </c>
      <c r="F963" s="37" t="s">
        <v>2030</v>
      </c>
      <c r="G963" s="44">
        <v>61700</v>
      </c>
      <c r="H963" s="44">
        <v>617</v>
      </c>
    </row>
    <row r="964" spans="1:8">
      <c r="A964" s="90">
        <v>126508269011</v>
      </c>
      <c r="B964" s="1" t="s">
        <v>8</v>
      </c>
      <c r="C964" s="43" t="s">
        <v>1925</v>
      </c>
      <c r="D964" s="1" t="s">
        <v>2029</v>
      </c>
      <c r="E964" s="43" t="s">
        <v>1925</v>
      </c>
      <c r="F964" s="37" t="s">
        <v>2030</v>
      </c>
      <c r="G964" s="44">
        <v>8600</v>
      </c>
      <c r="H964" s="44">
        <v>86</v>
      </c>
    </row>
    <row r="965" spans="1:8">
      <c r="A965" s="90">
        <v>126517327301</v>
      </c>
      <c r="B965" s="1" t="s">
        <v>8</v>
      </c>
      <c r="C965" s="43" t="s">
        <v>1925</v>
      </c>
      <c r="D965" s="1" t="s">
        <v>2029</v>
      </c>
      <c r="E965" s="43" t="s">
        <v>1925</v>
      </c>
      <c r="F965" s="37" t="s">
        <v>2030</v>
      </c>
      <c r="G965" s="44">
        <v>7000</v>
      </c>
      <c r="H965" s="44">
        <v>70</v>
      </c>
    </row>
    <row r="966" spans="1:8">
      <c r="A966" s="90">
        <v>127075428606</v>
      </c>
      <c r="B966" s="1" t="s">
        <v>8</v>
      </c>
      <c r="C966" s="43" t="s">
        <v>1925</v>
      </c>
      <c r="D966" s="1" t="s">
        <v>2029</v>
      </c>
      <c r="E966" s="43" t="s">
        <v>1925</v>
      </c>
      <c r="F966" s="37" t="s">
        <v>2030</v>
      </c>
      <c r="G966" s="44">
        <v>33600</v>
      </c>
      <c r="H966" s="44">
        <v>336</v>
      </c>
    </row>
    <row r="967" spans="1:8">
      <c r="A967" s="90">
        <v>126510073927</v>
      </c>
      <c r="B967" s="1" t="s">
        <v>1790</v>
      </c>
      <c r="C967" s="43" t="s">
        <v>1925</v>
      </c>
      <c r="D967" s="1" t="s">
        <v>2029</v>
      </c>
      <c r="E967" s="43" t="s">
        <v>1925</v>
      </c>
      <c r="F967" s="37" t="s">
        <v>2030</v>
      </c>
      <c r="G967" s="44">
        <v>26100</v>
      </c>
      <c r="H967" s="44">
        <v>261</v>
      </c>
    </row>
    <row r="968" spans="1:8">
      <c r="A968" s="90">
        <v>126511948803</v>
      </c>
      <c r="B968" s="1" t="s">
        <v>8</v>
      </c>
      <c r="C968" s="43" t="s">
        <v>1925</v>
      </c>
      <c r="D968" s="1" t="s">
        <v>2029</v>
      </c>
      <c r="E968" s="43" t="s">
        <v>1925</v>
      </c>
      <c r="F968" s="37" t="s">
        <v>2030</v>
      </c>
      <c r="G968" s="44">
        <v>64400</v>
      </c>
      <c r="H968" s="44">
        <v>644</v>
      </c>
    </row>
    <row r="969" spans="1:8">
      <c r="A969" s="90">
        <v>126514090825</v>
      </c>
      <c r="B969" s="1" t="s">
        <v>1790</v>
      </c>
      <c r="C969" s="43" t="s">
        <v>1925</v>
      </c>
      <c r="D969" s="1" t="s">
        <v>2029</v>
      </c>
      <c r="E969" s="43" t="s">
        <v>1925</v>
      </c>
      <c r="F969" s="37" t="s">
        <v>2030</v>
      </c>
      <c r="G969" s="44">
        <v>15300</v>
      </c>
      <c r="H969" s="44">
        <v>153</v>
      </c>
    </row>
    <row r="970" spans="1:8">
      <c r="A970" s="90">
        <v>126515332807</v>
      </c>
      <c r="B970" s="1" t="s">
        <v>1790</v>
      </c>
      <c r="C970" s="43" t="s">
        <v>1925</v>
      </c>
      <c r="D970" s="1" t="s">
        <v>2029</v>
      </c>
      <c r="E970" s="43" t="s">
        <v>1925</v>
      </c>
      <c r="F970" s="37" t="s">
        <v>2030</v>
      </c>
      <c r="G970" s="44">
        <v>10500</v>
      </c>
      <c r="H970" s="44">
        <v>105</v>
      </c>
    </row>
    <row r="971" spans="1:8">
      <c r="A971" s="90">
        <v>126515369669</v>
      </c>
      <c r="B971" s="1" t="s">
        <v>8</v>
      </c>
      <c r="C971" s="43" t="s">
        <v>1925</v>
      </c>
      <c r="D971" s="1" t="s">
        <v>2029</v>
      </c>
      <c r="E971" s="43" t="s">
        <v>1925</v>
      </c>
      <c r="F971" s="37" t="s">
        <v>2030</v>
      </c>
      <c r="G971" s="44">
        <v>33700</v>
      </c>
      <c r="H971" s="44">
        <v>337</v>
      </c>
    </row>
    <row r="972" spans="1:8">
      <c r="A972" s="90">
        <v>127076367736</v>
      </c>
      <c r="B972" s="1" t="s">
        <v>1790</v>
      </c>
      <c r="C972" s="43" t="s">
        <v>1925</v>
      </c>
      <c r="D972" s="1" t="s">
        <v>2029</v>
      </c>
      <c r="E972" s="43" t="s">
        <v>1925</v>
      </c>
      <c r="F972" s="37" t="s">
        <v>2030</v>
      </c>
      <c r="G972" s="44">
        <v>8600</v>
      </c>
      <c r="H972" s="44">
        <v>86</v>
      </c>
    </row>
    <row r="973" spans="1:8">
      <c r="A973" s="90">
        <v>126876188659</v>
      </c>
      <c r="B973" s="1" t="s">
        <v>8</v>
      </c>
      <c r="C973" s="43" t="s">
        <v>1954</v>
      </c>
      <c r="D973" s="1" t="s">
        <v>2029</v>
      </c>
      <c r="E973" s="43" t="s">
        <v>1954</v>
      </c>
      <c r="F973" s="37" t="s">
        <v>2030</v>
      </c>
      <c r="G973" s="44">
        <v>9900</v>
      </c>
      <c r="H973" s="44">
        <v>99</v>
      </c>
    </row>
    <row r="974" spans="1:8">
      <c r="A974" s="90">
        <v>126870127477</v>
      </c>
      <c r="B974" s="1" t="s">
        <v>8</v>
      </c>
      <c r="C974" s="43" t="s">
        <v>1954</v>
      </c>
      <c r="D974" s="1" t="s">
        <v>2029</v>
      </c>
      <c r="E974" s="43" t="s">
        <v>1954</v>
      </c>
      <c r="F974" s="37" t="s">
        <v>2030</v>
      </c>
      <c r="G974" s="44">
        <v>9400</v>
      </c>
      <c r="H974" s="44">
        <v>94</v>
      </c>
    </row>
    <row r="975" spans="1:8">
      <c r="A975" s="90">
        <v>126870455355</v>
      </c>
      <c r="B975" s="1" t="s">
        <v>8</v>
      </c>
      <c r="C975" s="43" t="s">
        <v>1954</v>
      </c>
      <c r="D975" s="1" t="s">
        <v>2029</v>
      </c>
      <c r="E975" s="43" t="s">
        <v>1954</v>
      </c>
      <c r="F975" s="37" t="s">
        <v>2030</v>
      </c>
      <c r="G975" s="44">
        <v>8200</v>
      </c>
      <c r="H975" s="44">
        <v>82</v>
      </c>
    </row>
    <row r="976" spans="1:8">
      <c r="A976" s="90">
        <v>126879534625</v>
      </c>
      <c r="B976" s="1" t="s">
        <v>1790</v>
      </c>
      <c r="C976" s="43" t="s">
        <v>1954</v>
      </c>
      <c r="D976" s="1" t="s">
        <v>2029</v>
      </c>
      <c r="E976" s="43" t="s">
        <v>1954</v>
      </c>
      <c r="F976" s="37" t="s">
        <v>2030</v>
      </c>
      <c r="G976" s="44">
        <v>39698</v>
      </c>
      <c r="H976" s="44">
        <v>396.98</v>
      </c>
    </row>
    <row r="977" spans="1:8">
      <c r="A977" s="90">
        <v>126879032923</v>
      </c>
      <c r="B977" s="1" t="s">
        <v>8</v>
      </c>
      <c r="C977" s="43" t="s">
        <v>1954</v>
      </c>
      <c r="D977" s="1" t="s">
        <v>2029</v>
      </c>
      <c r="E977" s="43" t="s">
        <v>1954</v>
      </c>
      <c r="F977" s="37" t="s">
        <v>2030</v>
      </c>
      <c r="G977" s="44">
        <v>17500</v>
      </c>
      <c r="H977" s="44">
        <v>175</v>
      </c>
    </row>
    <row r="978" spans="1:8">
      <c r="A978" s="90">
        <v>126886865607</v>
      </c>
      <c r="B978" s="1" t="s">
        <v>8</v>
      </c>
      <c r="C978" s="43" t="s">
        <v>1954</v>
      </c>
      <c r="D978" s="1" t="s">
        <v>2029</v>
      </c>
      <c r="E978" s="43" t="s">
        <v>1954</v>
      </c>
      <c r="F978" s="37" t="s">
        <v>2030</v>
      </c>
      <c r="G978" s="44">
        <v>87999</v>
      </c>
      <c r="H978" s="44">
        <v>879.99</v>
      </c>
    </row>
    <row r="979" spans="1:8">
      <c r="A979" s="90">
        <v>126887451621</v>
      </c>
      <c r="B979" s="1" t="s">
        <v>8</v>
      </c>
      <c r="C979" s="43" t="s">
        <v>1954</v>
      </c>
      <c r="D979" s="1" t="s">
        <v>2029</v>
      </c>
      <c r="E979" s="43" t="s">
        <v>1954</v>
      </c>
      <c r="F979" s="37" t="s">
        <v>2030</v>
      </c>
      <c r="G979" s="44">
        <v>30898</v>
      </c>
      <c r="H979" s="44">
        <v>308.98</v>
      </c>
    </row>
    <row r="980" spans="1:8">
      <c r="A980" s="90">
        <v>126887615459</v>
      </c>
      <c r="B980" s="1" t="s">
        <v>8</v>
      </c>
      <c r="C980" s="43" t="s">
        <v>1954</v>
      </c>
      <c r="D980" s="1" t="s">
        <v>2029</v>
      </c>
      <c r="E980" s="43" t="s">
        <v>1954</v>
      </c>
      <c r="F980" s="37" t="s">
        <v>2030</v>
      </c>
      <c r="G980" s="44">
        <v>19998</v>
      </c>
      <c r="H980" s="44">
        <v>199.98</v>
      </c>
    </row>
    <row r="981" spans="1:8">
      <c r="A981" s="90">
        <v>127450599184</v>
      </c>
      <c r="B981" s="1" t="s">
        <v>8</v>
      </c>
      <c r="C981" s="43" t="s">
        <v>1954</v>
      </c>
      <c r="D981" s="1" t="s">
        <v>2029</v>
      </c>
      <c r="E981" s="43" t="s">
        <v>1956</v>
      </c>
      <c r="F981" s="37" t="s">
        <v>2030</v>
      </c>
      <c r="G981" s="44">
        <v>19600</v>
      </c>
      <c r="H981" s="44">
        <v>196</v>
      </c>
    </row>
    <row r="982" spans="1:8">
      <c r="A982" s="90">
        <v>127451720802</v>
      </c>
      <c r="B982" s="1" t="s">
        <v>8</v>
      </c>
      <c r="C982" s="43" t="s">
        <v>1956</v>
      </c>
      <c r="D982" s="1" t="s">
        <v>2029</v>
      </c>
      <c r="E982" s="43" t="s">
        <v>1956</v>
      </c>
      <c r="F982" s="37" t="s">
        <v>2030</v>
      </c>
      <c r="G982" s="44">
        <v>36000</v>
      </c>
      <c r="H982" s="44">
        <v>360</v>
      </c>
    </row>
    <row r="983" spans="1:8">
      <c r="A983" s="90">
        <v>126885640855</v>
      </c>
      <c r="B983" s="1" t="s">
        <v>1790</v>
      </c>
      <c r="C983" s="43" t="s">
        <v>1954</v>
      </c>
      <c r="D983" s="1" t="s">
        <v>2029</v>
      </c>
      <c r="E983" s="43" t="s">
        <v>1954</v>
      </c>
      <c r="F983" s="37" t="s">
        <v>2030</v>
      </c>
      <c r="G983" s="44">
        <v>37400</v>
      </c>
      <c r="H983" s="44">
        <v>374</v>
      </c>
    </row>
    <row r="984" spans="1:8">
      <c r="A984" s="90">
        <v>127446508562</v>
      </c>
      <c r="B984" s="1" t="s">
        <v>1790</v>
      </c>
      <c r="C984" s="43" t="s">
        <v>1954</v>
      </c>
      <c r="D984" s="1" t="s">
        <v>2029</v>
      </c>
      <c r="E984" s="43" t="s">
        <v>1954</v>
      </c>
      <c r="F984" s="37" t="s">
        <v>2030</v>
      </c>
      <c r="G984" s="44">
        <v>34697</v>
      </c>
      <c r="H984" s="44">
        <v>346.97</v>
      </c>
    </row>
    <row r="985" spans="1:8">
      <c r="A985" s="90">
        <v>127448262384</v>
      </c>
      <c r="B985" s="1" t="s">
        <v>8</v>
      </c>
      <c r="C985" s="43" t="s">
        <v>1954</v>
      </c>
      <c r="D985" s="1" t="s">
        <v>2029</v>
      </c>
      <c r="E985" s="43" t="s">
        <v>1954</v>
      </c>
      <c r="F985" s="37" t="s">
        <v>2030</v>
      </c>
      <c r="G985" s="44">
        <v>26494</v>
      </c>
      <c r="H985" s="44">
        <v>264.94</v>
      </c>
    </row>
    <row r="986" spans="1:8">
      <c r="A986" s="90">
        <v>126890006531</v>
      </c>
      <c r="B986" s="1" t="s">
        <v>1790</v>
      </c>
      <c r="C986" s="43" t="s">
        <v>1954</v>
      </c>
      <c r="D986" s="1" t="s">
        <v>2029</v>
      </c>
      <c r="E986" s="43" t="s">
        <v>1956</v>
      </c>
      <c r="F986" s="37" t="s">
        <v>2030</v>
      </c>
      <c r="G986" s="44">
        <v>27100</v>
      </c>
      <c r="H986" s="44">
        <v>271</v>
      </c>
    </row>
    <row r="987" spans="1:8">
      <c r="A987" s="90">
        <v>126987851295</v>
      </c>
      <c r="B987" s="1" t="s">
        <v>1790</v>
      </c>
      <c r="C987" s="43" t="s">
        <v>1956</v>
      </c>
      <c r="D987" s="1" t="s">
        <v>2029</v>
      </c>
      <c r="E987" s="43" t="s">
        <v>1956</v>
      </c>
      <c r="F987" s="37" t="s">
        <v>2030</v>
      </c>
      <c r="G987" s="44">
        <v>9000</v>
      </c>
      <c r="H987" s="44">
        <v>90</v>
      </c>
    </row>
    <row r="988" spans="1:8">
      <c r="A988" s="90">
        <v>126992616729</v>
      </c>
      <c r="B988" s="1" t="s">
        <v>8</v>
      </c>
      <c r="C988" s="43" t="s">
        <v>1956</v>
      </c>
      <c r="D988" s="1" t="s">
        <v>2029</v>
      </c>
      <c r="E988" s="43" t="s">
        <v>1956</v>
      </c>
      <c r="F988" s="37" t="s">
        <v>2030</v>
      </c>
      <c r="G988" s="44">
        <v>4500</v>
      </c>
      <c r="H988" s="44">
        <v>45</v>
      </c>
    </row>
    <row r="989" spans="1:8">
      <c r="A989" s="90">
        <v>126993096283</v>
      </c>
      <c r="B989" s="1" t="s">
        <v>8</v>
      </c>
      <c r="C989" s="43" t="s">
        <v>1956</v>
      </c>
      <c r="D989" s="1" t="s">
        <v>2029</v>
      </c>
      <c r="E989" s="43" t="s">
        <v>1956</v>
      </c>
      <c r="F989" s="37" t="s">
        <v>2030</v>
      </c>
      <c r="G989" s="44">
        <v>9000</v>
      </c>
      <c r="H989" s="44">
        <v>90</v>
      </c>
    </row>
    <row r="990" spans="1:8">
      <c r="A990" s="90">
        <v>126995125095</v>
      </c>
      <c r="B990" s="1" t="s">
        <v>8</v>
      </c>
      <c r="C990" s="43" t="s">
        <v>1956</v>
      </c>
      <c r="D990" s="1" t="s">
        <v>2029</v>
      </c>
      <c r="E990" s="43" t="s">
        <v>1956</v>
      </c>
      <c r="F990" s="37" t="s">
        <v>2030</v>
      </c>
      <c r="G990" s="44">
        <v>3600</v>
      </c>
      <c r="H990" s="44">
        <v>36</v>
      </c>
    </row>
    <row r="991" spans="1:8">
      <c r="A991" s="90">
        <v>126997229679</v>
      </c>
      <c r="B991" s="1" t="s">
        <v>8</v>
      </c>
      <c r="C991" s="43" t="s">
        <v>1956</v>
      </c>
      <c r="D991" s="1" t="s">
        <v>2029</v>
      </c>
      <c r="E991" s="43" t="s">
        <v>1956</v>
      </c>
      <c r="F991" s="37" t="s">
        <v>2030</v>
      </c>
      <c r="G991" s="44">
        <v>5500</v>
      </c>
      <c r="H991" s="44">
        <v>55</v>
      </c>
    </row>
    <row r="992" spans="1:8">
      <c r="A992" s="90">
        <v>127559378722</v>
      </c>
      <c r="B992" s="1" t="s">
        <v>8</v>
      </c>
      <c r="C992" s="43" t="s">
        <v>1956</v>
      </c>
      <c r="D992" s="1" t="s">
        <v>2029</v>
      </c>
      <c r="E992" s="43" t="s">
        <v>1956</v>
      </c>
      <c r="F992" s="37" t="s">
        <v>2030</v>
      </c>
      <c r="G992" s="44">
        <v>4500</v>
      </c>
      <c r="H992" s="44">
        <v>45</v>
      </c>
    </row>
    <row r="993" spans="1:8">
      <c r="A993" s="90">
        <v>126998588149</v>
      </c>
      <c r="B993" s="1" t="s">
        <v>8</v>
      </c>
      <c r="C993" s="43" t="s">
        <v>1956</v>
      </c>
      <c r="D993" s="1" t="s">
        <v>2029</v>
      </c>
      <c r="E993" s="43" t="s">
        <v>1956</v>
      </c>
      <c r="F993" s="37" t="s">
        <v>2030</v>
      </c>
      <c r="G993" s="44">
        <v>18000</v>
      </c>
      <c r="H993" s="44">
        <v>180</v>
      </c>
    </row>
    <row r="994" spans="1:8">
      <c r="A994" s="90">
        <v>127551863294</v>
      </c>
      <c r="B994" s="1" t="s">
        <v>1790</v>
      </c>
      <c r="C994" s="43" t="s">
        <v>1956</v>
      </c>
      <c r="D994" s="1" t="s">
        <v>2029</v>
      </c>
      <c r="E994" s="43" t="s">
        <v>1956</v>
      </c>
      <c r="F994" s="37" t="s">
        <v>2030</v>
      </c>
      <c r="G994" s="44">
        <v>40800</v>
      </c>
      <c r="H994" s="44">
        <v>408</v>
      </c>
    </row>
    <row r="995" spans="1:8">
      <c r="A995" s="90">
        <v>127560080358</v>
      </c>
      <c r="B995" s="1" t="s">
        <v>8</v>
      </c>
      <c r="C995" s="43" t="s">
        <v>1956</v>
      </c>
      <c r="D995" s="1" t="s">
        <v>2029</v>
      </c>
      <c r="E995" s="43" t="s">
        <v>1956</v>
      </c>
      <c r="F995" s="37" t="s">
        <v>2030</v>
      </c>
      <c r="G995" s="44">
        <v>4500</v>
      </c>
      <c r="H995" s="44">
        <v>45</v>
      </c>
    </row>
    <row r="996" spans="1:8">
      <c r="A996" s="90">
        <v>126999420385</v>
      </c>
      <c r="B996" s="1" t="s">
        <v>8</v>
      </c>
      <c r="C996" s="43" t="s">
        <v>1956</v>
      </c>
      <c r="D996" s="1" t="s">
        <v>2029</v>
      </c>
      <c r="E996" s="43" t="s">
        <v>1956</v>
      </c>
      <c r="F996" s="37" t="s">
        <v>2030</v>
      </c>
      <c r="G996" s="44">
        <v>9200</v>
      </c>
      <c r="H996" s="44">
        <v>92</v>
      </c>
    </row>
    <row r="997" spans="1:8">
      <c r="A997" s="90">
        <v>127563396870</v>
      </c>
      <c r="B997" s="1" t="s">
        <v>8</v>
      </c>
      <c r="C997" s="43" t="s">
        <v>1956</v>
      </c>
      <c r="D997" s="1" t="s">
        <v>2029</v>
      </c>
      <c r="E997" s="43" t="s">
        <v>1956</v>
      </c>
      <c r="F997" s="37" t="s">
        <v>2030</v>
      </c>
      <c r="G997" s="44">
        <v>7000</v>
      </c>
      <c r="H997" s="44">
        <v>70</v>
      </c>
    </row>
    <row r="998" spans="1:8">
      <c r="A998" s="90">
        <v>127002777527</v>
      </c>
      <c r="B998" s="1" t="s">
        <v>8</v>
      </c>
      <c r="C998" s="43" t="s">
        <v>1956</v>
      </c>
      <c r="D998" s="1" t="s">
        <v>2029</v>
      </c>
      <c r="E998" s="43" t="s">
        <v>1956</v>
      </c>
      <c r="F998" s="37" t="s">
        <v>2030</v>
      </c>
      <c r="G998" s="44">
        <v>4500</v>
      </c>
      <c r="H998" s="44">
        <v>45</v>
      </c>
    </row>
    <row r="999" spans="1:8">
      <c r="A999" s="90">
        <v>127564523660</v>
      </c>
      <c r="B999" s="1" t="s">
        <v>8</v>
      </c>
      <c r="C999" s="43" t="s">
        <v>1956</v>
      </c>
      <c r="D999" s="1" t="s">
        <v>2029</v>
      </c>
      <c r="E999" s="43" t="s">
        <v>1956</v>
      </c>
      <c r="F999" s="37" t="s">
        <v>2030</v>
      </c>
      <c r="G999" s="44">
        <v>4000</v>
      </c>
      <c r="H999" s="44">
        <v>40</v>
      </c>
    </row>
    <row r="1000" spans="1:8">
      <c r="A1000" s="90">
        <v>127004006243</v>
      </c>
      <c r="B1000" s="1" t="s">
        <v>8</v>
      </c>
      <c r="C1000" s="43" t="s">
        <v>1956</v>
      </c>
      <c r="D1000" s="1" t="s">
        <v>2029</v>
      </c>
      <c r="E1000" s="43" t="s">
        <v>1956</v>
      </c>
      <c r="F1000" s="37" t="s">
        <v>2030</v>
      </c>
      <c r="G1000" s="44">
        <v>4500</v>
      </c>
      <c r="H1000" s="44">
        <v>45</v>
      </c>
    </row>
    <row r="1001" spans="1:8">
      <c r="A1001" s="90">
        <v>127558376292</v>
      </c>
      <c r="B1001" s="1" t="s">
        <v>1790</v>
      </c>
      <c r="C1001" s="43" t="s">
        <v>1956</v>
      </c>
      <c r="D1001" s="1" t="s">
        <v>2029</v>
      </c>
      <c r="E1001" s="43" t="s">
        <v>1956</v>
      </c>
      <c r="F1001" s="37" t="s">
        <v>2030</v>
      </c>
      <c r="G1001" s="44">
        <v>25400</v>
      </c>
      <c r="H1001" s="44">
        <v>254</v>
      </c>
    </row>
    <row r="1002" spans="1:8">
      <c r="A1002" s="90">
        <v>127005216387</v>
      </c>
      <c r="B1002" s="1" t="s">
        <v>1790</v>
      </c>
      <c r="C1002" s="43" t="s">
        <v>1956</v>
      </c>
      <c r="D1002" s="1" t="s">
        <v>2029</v>
      </c>
      <c r="E1002" s="43" t="s">
        <v>1956</v>
      </c>
      <c r="F1002" s="37" t="s">
        <v>2030</v>
      </c>
      <c r="G1002" s="44">
        <v>8500</v>
      </c>
      <c r="H1002" s="44">
        <v>85</v>
      </c>
    </row>
    <row r="1003" spans="1:8">
      <c r="A1003" s="90">
        <v>127006095161</v>
      </c>
      <c r="B1003" s="1" t="s">
        <v>8</v>
      </c>
      <c r="C1003" s="43" t="s">
        <v>1956</v>
      </c>
      <c r="D1003" s="1" t="s">
        <v>2029</v>
      </c>
      <c r="E1003" s="43" t="s">
        <v>1956</v>
      </c>
      <c r="F1003" s="37" t="s">
        <v>2030</v>
      </c>
      <c r="G1003" s="44">
        <v>1800</v>
      </c>
      <c r="H1003" s="44">
        <v>18</v>
      </c>
    </row>
    <row r="1004" spans="1:8">
      <c r="A1004" s="90">
        <v>127000155083</v>
      </c>
      <c r="B1004" s="1" t="s">
        <v>8</v>
      </c>
      <c r="C1004" s="43" t="s">
        <v>1956</v>
      </c>
      <c r="D1004" s="1" t="s">
        <v>2029</v>
      </c>
      <c r="E1004" s="43" t="s">
        <v>1956</v>
      </c>
      <c r="F1004" s="37" t="s">
        <v>2030</v>
      </c>
      <c r="G1004" s="44">
        <v>9000</v>
      </c>
      <c r="H1004" s="44">
        <v>90</v>
      </c>
    </row>
    <row r="1005" spans="1:8">
      <c r="A1005" s="90">
        <v>127568769746</v>
      </c>
      <c r="B1005" s="1" t="s">
        <v>8</v>
      </c>
      <c r="C1005" s="43" t="s">
        <v>1956</v>
      </c>
      <c r="D1005" s="1" t="s">
        <v>2029</v>
      </c>
      <c r="E1005" s="43" t="s">
        <v>1956</v>
      </c>
      <c r="F1005" s="37" t="s">
        <v>2030</v>
      </c>
      <c r="G1005" s="44">
        <v>39900</v>
      </c>
      <c r="H1005" s="44">
        <v>399</v>
      </c>
    </row>
    <row r="1006" spans="1:8">
      <c r="A1006" s="90">
        <v>127568899816</v>
      </c>
      <c r="B1006" s="1" t="s">
        <v>8</v>
      </c>
      <c r="C1006" s="43" t="s">
        <v>1956</v>
      </c>
      <c r="D1006" s="1" t="s">
        <v>2029</v>
      </c>
      <c r="E1006" s="43" t="s">
        <v>1956</v>
      </c>
      <c r="F1006" s="37" t="s">
        <v>2030</v>
      </c>
      <c r="G1006" s="44">
        <v>3600</v>
      </c>
      <c r="H1006" s="44">
        <v>36</v>
      </c>
    </row>
    <row r="1007" spans="1:8">
      <c r="A1007" s="90">
        <v>127562689912</v>
      </c>
      <c r="B1007" s="1" t="s">
        <v>8</v>
      </c>
      <c r="C1007" s="43" t="s">
        <v>1956</v>
      </c>
      <c r="D1007" s="1" t="s">
        <v>2029</v>
      </c>
      <c r="E1007" s="43" t="s">
        <v>1956</v>
      </c>
      <c r="F1007" s="37" t="s">
        <v>2030</v>
      </c>
      <c r="G1007" s="44">
        <v>12400</v>
      </c>
      <c r="H1007" s="44">
        <v>124</v>
      </c>
    </row>
    <row r="1008" spans="1:8">
      <c r="A1008" s="90">
        <v>127562889506</v>
      </c>
      <c r="B1008" s="1" t="s">
        <v>1790</v>
      </c>
      <c r="C1008" s="43" t="s">
        <v>1956</v>
      </c>
      <c r="D1008" s="1" t="s">
        <v>2029</v>
      </c>
      <c r="E1008" s="43" t="s">
        <v>1956</v>
      </c>
      <c r="F1008" s="37" t="s">
        <v>2030</v>
      </c>
      <c r="G1008" s="44">
        <v>79500</v>
      </c>
      <c r="H1008" s="44">
        <v>795</v>
      </c>
    </row>
    <row r="1009" spans="1:8">
      <c r="A1009" s="90">
        <v>127562995342</v>
      </c>
      <c r="B1009" s="1" t="s">
        <v>1790</v>
      </c>
      <c r="C1009" s="43" t="s">
        <v>1956</v>
      </c>
      <c r="D1009" s="1" t="s">
        <v>2029</v>
      </c>
      <c r="E1009" s="43" t="s">
        <v>1956</v>
      </c>
      <c r="F1009" s="37" t="s">
        <v>2030</v>
      </c>
      <c r="G1009" s="44">
        <v>19900</v>
      </c>
      <c r="H1009" s="44">
        <v>199</v>
      </c>
    </row>
    <row r="1010" spans="1:8">
      <c r="A1010" s="90">
        <v>127563642228</v>
      </c>
      <c r="B1010" s="1" t="s">
        <v>8</v>
      </c>
      <c r="C1010" s="43" t="s">
        <v>1956</v>
      </c>
      <c r="D1010" s="1" t="s">
        <v>2029</v>
      </c>
      <c r="E1010" s="43" t="s">
        <v>1956</v>
      </c>
      <c r="F1010" s="37" t="s">
        <v>2030</v>
      </c>
      <c r="G1010" s="44">
        <v>3800</v>
      </c>
      <c r="H1010" s="44">
        <v>38</v>
      </c>
    </row>
    <row r="1011" spans="1:8">
      <c r="A1011" s="90">
        <v>127571110712</v>
      </c>
      <c r="B1011" s="1" t="s">
        <v>8</v>
      </c>
      <c r="C1011" s="43" t="s">
        <v>1956</v>
      </c>
      <c r="D1011" s="1" t="s">
        <v>2029</v>
      </c>
      <c r="E1011" s="43" t="s">
        <v>1963</v>
      </c>
      <c r="F1011" s="37" t="s">
        <v>2030</v>
      </c>
      <c r="G1011" s="44">
        <v>4500</v>
      </c>
      <c r="H1011" s="44">
        <v>45</v>
      </c>
    </row>
    <row r="1012" spans="1:8">
      <c r="A1012" s="90">
        <v>127002660243</v>
      </c>
      <c r="B1012" s="1" t="s">
        <v>8</v>
      </c>
      <c r="C1012" s="43" t="s">
        <v>1956</v>
      </c>
      <c r="D1012" s="1" t="s">
        <v>2029</v>
      </c>
      <c r="E1012" s="43" t="s">
        <v>1956</v>
      </c>
      <c r="F1012" s="37" t="s">
        <v>2030</v>
      </c>
      <c r="G1012" s="44">
        <v>3800</v>
      </c>
      <c r="H1012" s="44">
        <v>38</v>
      </c>
    </row>
    <row r="1013" spans="1:8">
      <c r="A1013" s="90">
        <v>127009987447</v>
      </c>
      <c r="B1013" s="1" t="s">
        <v>8</v>
      </c>
      <c r="C1013" s="43" t="s">
        <v>1956</v>
      </c>
      <c r="D1013" s="1" t="s">
        <v>2029</v>
      </c>
      <c r="E1013" s="43" t="s">
        <v>1963</v>
      </c>
      <c r="F1013" s="37" t="s">
        <v>2030</v>
      </c>
      <c r="G1013" s="44">
        <v>46000</v>
      </c>
      <c r="H1013" s="44">
        <v>460</v>
      </c>
    </row>
    <row r="1014" spans="1:8">
      <c r="A1014" s="90">
        <v>127010025919</v>
      </c>
      <c r="B1014" s="1" t="s">
        <v>8</v>
      </c>
      <c r="C1014" s="43" t="s">
        <v>1956</v>
      </c>
      <c r="D1014" s="1" t="s">
        <v>2029</v>
      </c>
      <c r="E1014" s="43" t="s">
        <v>1963</v>
      </c>
      <c r="F1014" s="37" t="s">
        <v>2030</v>
      </c>
      <c r="G1014" s="44">
        <v>4500</v>
      </c>
      <c r="H1014" s="44">
        <v>45</v>
      </c>
    </row>
    <row r="1015" spans="1:8">
      <c r="A1015" s="90">
        <v>127010211831</v>
      </c>
      <c r="B1015" s="1" t="s">
        <v>8</v>
      </c>
      <c r="C1015" s="43" t="s">
        <v>1956</v>
      </c>
      <c r="D1015" s="1" t="s">
        <v>2029</v>
      </c>
      <c r="E1015" s="43" t="s">
        <v>1963</v>
      </c>
      <c r="F1015" s="37" t="s">
        <v>2030</v>
      </c>
      <c r="G1015" s="44">
        <v>15300</v>
      </c>
      <c r="H1015" s="44">
        <v>153</v>
      </c>
    </row>
    <row r="1016" spans="1:8">
      <c r="A1016" s="90">
        <v>127003432415</v>
      </c>
      <c r="B1016" s="1" t="s">
        <v>8</v>
      </c>
      <c r="C1016" s="43" t="s">
        <v>1956</v>
      </c>
      <c r="D1016" s="1" t="s">
        <v>2029</v>
      </c>
      <c r="E1016" s="43" t="s">
        <v>1956</v>
      </c>
      <c r="F1016" s="37" t="s">
        <v>2030</v>
      </c>
      <c r="G1016" s="44">
        <v>8400</v>
      </c>
      <c r="H1016" s="44">
        <v>84</v>
      </c>
    </row>
    <row r="1017" spans="1:8">
      <c r="A1017" s="90">
        <v>127572103516</v>
      </c>
      <c r="B1017" s="1" t="s">
        <v>8</v>
      </c>
      <c r="C1017" s="43" t="s">
        <v>1956</v>
      </c>
      <c r="D1017" s="1" t="s">
        <v>2029</v>
      </c>
      <c r="E1017" s="43" t="s">
        <v>1963</v>
      </c>
      <c r="F1017" s="37" t="s">
        <v>2030</v>
      </c>
      <c r="G1017" s="44">
        <v>4400</v>
      </c>
      <c r="H1017" s="44">
        <v>44</v>
      </c>
    </row>
    <row r="1018" spans="1:8">
      <c r="A1018" s="90">
        <v>127010996009</v>
      </c>
      <c r="B1018" s="1" t="s">
        <v>8</v>
      </c>
      <c r="C1018" s="43" t="s">
        <v>1956</v>
      </c>
      <c r="D1018" s="1" t="s">
        <v>2029</v>
      </c>
      <c r="E1018" s="43" t="s">
        <v>1963</v>
      </c>
      <c r="F1018" s="37" t="s">
        <v>2030</v>
      </c>
      <c r="G1018" s="44">
        <v>8100</v>
      </c>
      <c r="H1018" s="44">
        <v>81</v>
      </c>
    </row>
    <row r="1019" spans="1:8">
      <c r="A1019" s="90">
        <v>127564884982</v>
      </c>
      <c r="B1019" s="1" t="s">
        <v>8</v>
      </c>
      <c r="C1019" s="43" t="s">
        <v>1956</v>
      </c>
      <c r="D1019" s="1" t="s">
        <v>2029</v>
      </c>
      <c r="E1019" s="43" t="s">
        <v>1956</v>
      </c>
      <c r="F1019" s="37" t="s">
        <v>2030</v>
      </c>
      <c r="G1019" s="44">
        <v>131000</v>
      </c>
      <c r="H1019" s="44">
        <v>1310</v>
      </c>
    </row>
    <row r="1020" spans="1:8">
      <c r="A1020" s="90">
        <v>127003793721</v>
      </c>
      <c r="B1020" s="1" t="s">
        <v>1790</v>
      </c>
      <c r="C1020" s="43" t="s">
        <v>1956</v>
      </c>
      <c r="D1020" s="1" t="s">
        <v>2029</v>
      </c>
      <c r="E1020" s="43" t="s">
        <v>1956</v>
      </c>
      <c r="F1020" s="37" t="s">
        <v>2030</v>
      </c>
      <c r="G1020" s="44">
        <v>4500</v>
      </c>
      <c r="H1020" s="44">
        <v>45</v>
      </c>
    </row>
    <row r="1021" spans="1:8">
      <c r="A1021" s="90">
        <v>127572547690</v>
      </c>
      <c r="B1021" s="1" t="s">
        <v>8</v>
      </c>
      <c r="C1021" s="43" t="s">
        <v>1956</v>
      </c>
      <c r="D1021" s="1" t="s">
        <v>2029</v>
      </c>
      <c r="E1021" s="43" t="s">
        <v>1963</v>
      </c>
      <c r="F1021" s="37" t="s">
        <v>2030</v>
      </c>
      <c r="G1021" s="44">
        <v>85550</v>
      </c>
      <c r="H1021" s="44">
        <v>855.5</v>
      </c>
    </row>
    <row r="1022" spans="1:8">
      <c r="A1022" s="90">
        <v>127004301425</v>
      </c>
      <c r="B1022" s="1" t="s">
        <v>8</v>
      </c>
      <c r="C1022" s="43" t="s">
        <v>1956</v>
      </c>
      <c r="D1022" s="1" t="s">
        <v>2029</v>
      </c>
      <c r="E1022" s="43" t="s">
        <v>1956</v>
      </c>
      <c r="F1022" s="37" t="s">
        <v>2030</v>
      </c>
      <c r="G1022" s="44">
        <v>4050</v>
      </c>
      <c r="H1022" s="44">
        <v>40.5</v>
      </c>
    </row>
    <row r="1023" spans="1:8">
      <c r="A1023" s="90">
        <v>127573121230</v>
      </c>
      <c r="B1023" s="1" t="s">
        <v>1790</v>
      </c>
      <c r="C1023" s="43" t="s">
        <v>1956</v>
      </c>
      <c r="D1023" s="1" t="s">
        <v>2029</v>
      </c>
      <c r="E1023" s="43" t="s">
        <v>1963</v>
      </c>
      <c r="F1023" s="37" t="s">
        <v>2030</v>
      </c>
      <c r="G1023" s="44">
        <v>9000</v>
      </c>
      <c r="H1023" s="44">
        <v>90</v>
      </c>
    </row>
    <row r="1024" spans="1:8">
      <c r="A1024" s="90">
        <v>127565988078</v>
      </c>
      <c r="B1024" s="1" t="s">
        <v>8</v>
      </c>
      <c r="C1024" s="43" t="s">
        <v>1956</v>
      </c>
      <c r="D1024" s="1" t="s">
        <v>2029</v>
      </c>
      <c r="E1024" s="43" t="s">
        <v>1956</v>
      </c>
      <c r="F1024" s="37" t="s">
        <v>2030</v>
      </c>
      <c r="G1024" s="44">
        <v>24400</v>
      </c>
      <c r="H1024" s="44">
        <v>244</v>
      </c>
    </row>
    <row r="1025" spans="1:8">
      <c r="A1025" s="90">
        <v>127012562167</v>
      </c>
      <c r="B1025" s="1" t="s">
        <v>8</v>
      </c>
      <c r="C1025" s="43" t="s">
        <v>1963</v>
      </c>
      <c r="D1025" s="1" t="s">
        <v>2029</v>
      </c>
      <c r="E1025" s="43" t="s">
        <v>1963</v>
      </c>
      <c r="F1025" s="37" t="s">
        <v>2030</v>
      </c>
      <c r="G1025" s="44">
        <v>4500</v>
      </c>
      <c r="H1025" s="44">
        <v>45</v>
      </c>
    </row>
    <row r="1026" spans="1:8">
      <c r="A1026" s="90">
        <v>127005490421</v>
      </c>
      <c r="B1026" s="1" t="s">
        <v>8</v>
      </c>
      <c r="C1026" s="43" t="s">
        <v>1956</v>
      </c>
      <c r="D1026" s="1" t="s">
        <v>2029</v>
      </c>
      <c r="E1026" s="43" t="s">
        <v>1956</v>
      </c>
      <c r="F1026" s="37" t="s">
        <v>2030</v>
      </c>
      <c r="G1026" s="44">
        <v>5000</v>
      </c>
      <c r="H1026" s="44">
        <v>50</v>
      </c>
    </row>
    <row r="1027" spans="1:8">
      <c r="A1027" s="90">
        <v>127005540781</v>
      </c>
      <c r="B1027" s="1" t="s">
        <v>8</v>
      </c>
      <c r="C1027" s="43" t="s">
        <v>1956</v>
      </c>
      <c r="D1027" s="1" t="s">
        <v>2029</v>
      </c>
      <c r="E1027" s="43" t="s">
        <v>1956</v>
      </c>
      <c r="F1027" s="37" t="s">
        <v>2030</v>
      </c>
      <c r="G1027" s="44">
        <v>5000</v>
      </c>
      <c r="H1027" s="44">
        <v>50</v>
      </c>
    </row>
    <row r="1028" spans="1:8">
      <c r="A1028" s="90">
        <v>127574467208</v>
      </c>
      <c r="B1028" s="1" t="s">
        <v>8</v>
      </c>
      <c r="C1028" s="43" t="s">
        <v>1963</v>
      </c>
      <c r="D1028" s="1" t="s">
        <v>2029</v>
      </c>
      <c r="E1028" s="43" t="s">
        <v>1963</v>
      </c>
      <c r="F1028" s="37" t="s">
        <v>2030</v>
      </c>
      <c r="G1028" s="44">
        <v>3600</v>
      </c>
      <c r="H1028" s="44">
        <v>36</v>
      </c>
    </row>
    <row r="1029" spans="1:8">
      <c r="A1029" s="90">
        <v>127574484086</v>
      </c>
      <c r="B1029" s="1" t="s">
        <v>8</v>
      </c>
      <c r="C1029" s="43" t="s">
        <v>1963</v>
      </c>
      <c r="D1029" s="1" t="s">
        <v>2029</v>
      </c>
      <c r="E1029" s="43" t="s">
        <v>1963</v>
      </c>
      <c r="F1029" s="37" t="s">
        <v>2030</v>
      </c>
      <c r="G1029" s="44">
        <v>4500</v>
      </c>
      <c r="H1029" s="44">
        <v>45</v>
      </c>
    </row>
    <row r="1030" spans="1:8">
      <c r="A1030" s="90">
        <v>127567646980</v>
      </c>
      <c r="B1030" s="1" t="s">
        <v>8</v>
      </c>
      <c r="C1030" s="43" t="s">
        <v>1956</v>
      </c>
      <c r="D1030" s="1" t="s">
        <v>2029</v>
      </c>
      <c r="E1030" s="43" t="s">
        <v>1956</v>
      </c>
      <c r="F1030" s="37" t="s">
        <v>2030</v>
      </c>
      <c r="G1030" s="44">
        <v>3600</v>
      </c>
      <c r="H1030" s="44">
        <v>36</v>
      </c>
    </row>
    <row r="1031" spans="1:8">
      <c r="A1031" s="90">
        <v>127574760394</v>
      </c>
      <c r="B1031" s="1" t="s">
        <v>8</v>
      </c>
      <c r="C1031" s="43" t="s">
        <v>1963</v>
      </c>
      <c r="D1031" s="1" t="s">
        <v>2029</v>
      </c>
      <c r="E1031" s="43" t="s">
        <v>1963</v>
      </c>
      <c r="F1031" s="37" t="s">
        <v>2030</v>
      </c>
      <c r="G1031" s="44">
        <v>10750</v>
      </c>
      <c r="H1031" s="44">
        <v>107.5</v>
      </c>
    </row>
    <row r="1032" spans="1:8">
      <c r="A1032" s="90">
        <v>127575063154</v>
      </c>
      <c r="B1032" s="1" t="s">
        <v>1790</v>
      </c>
      <c r="C1032" s="43" t="s">
        <v>1963</v>
      </c>
      <c r="D1032" s="1" t="s">
        <v>2029</v>
      </c>
      <c r="E1032" s="43" t="s">
        <v>1963</v>
      </c>
      <c r="F1032" s="37" t="s">
        <v>2030</v>
      </c>
      <c r="G1032" s="44">
        <v>30550</v>
      </c>
      <c r="H1032" s="44">
        <v>305.5</v>
      </c>
    </row>
    <row r="1033" spans="1:8">
      <c r="A1033" s="90">
        <v>127007093447</v>
      </c>
      <c r="B1033" s="1" t="s">
        <v>8</v>
      </c>
      <c r="C1033" s="43" t="s">
        <v>1956</v>
      </c>
      <c r="D1033" s="1" t="s">
        <v>2029</v>
      </c>
      <c r="E1033" s="43" t="s">
        <v>1956</v>
      </c>
      <c r="F1033" s="37" t="s">
        <v>2030</v>
      </c>
      <c r="G1033" s="44">
        <v>60600</v>
      </c>
      <c r="H1033" s="44">
        <v>606</v>
      </c>
    </row>
    <row r="1034" spans="1:8">
      <c r="A1034" s="90">
        <v>127007204939</v>
      </c>
      <c r="B1034" s="1" t="s">
        <v>8</v>
      </c>
      <c r="C1034" s="43" t="s">
        <v>1956</v>
      </c>
      <c r="D1034" s="1" t="s">
        <v>2029</v>
      </c>
      <c r="E1034" s="43" t="s">
        <v>1956</v>
      </c>
      <c r="F1034" s="37" t="s">
        <v>2030</v>
      </c>
      <c r="G1034" s="44">
        <v>4500</v>
      </c>
      <c r="H1034" s="44">
        <v>45</v>
      </c>
    </row>
    <row r="1035" spans="1:8">
      <c r="A1035" s="90">
        <v>127575157346</v>
      </c>
      <c r="B1035" s="1" t="s">
        <v>8</v>
      </c>
      <c r="C1035" s="43" t="s">
        <v>1963</v>
      </c>
      <c r="D1035" s="1" t="s">
        <v>2029</v>
      </c>
      <c r="E1035" s="43" t="s">
        <v>1963</v>
      </c>
      <c r="F1035" s="37" t="s">
        <v>2030</v>
      </c>
      <c r="G1035" s="44">
        <v>4500</v>
      </c>
      <c r="H1035" s="44">
        <v>45</v>
      </c>
    </row>
    <row r="1036" spans="1:8">
      <c r="A1036" s="90">
        <v>127568624334</v>
      </c>
      <c r="B1036" s="1" t="s">
        <v>1790</v>
      </c>
      <c r="C1036" s="43" t="s">
        <v>1956</v>
      </c>
      <c r="D1036" s="1" t="s">
        <v>2029</v>
      </c>
      <c r="E1036" s="43" t="s">
        <v>1956</v>
      </c>
      <c r="F1036" s="37" t="s">
        <v>2030</v>
      </c>
      <c r="G1036" s="44">
        <v>4300</v>
      </c>
      <c r="H1036" s="44">
        <v>43</v>
      </c>
    </row>
    <row r="1037" spans="1:8">
      <c r="A1037" s="90">
        <v>127568666708</v>
      </c>
      <c r="B1037" s="1" t="s">
        <v>8</v>
      </c>
      <c r="C1037" s="43" t="s">
        <v>1956</v>
      </c>
      <c r="D1037" s="1" t="s">
        <v>2029</v>
      </c>
      <c r="E1037" s="43" t="s">
        <v>1956</v>
      </c>
      <c r="F1037" s="37" t="s">
        <v>2030</v>
      </c>
      <c r="G1037" s="44">
        <v>9000</v>
      </c>
      <c r="H1037" s="44">
        <v>90</v>
      </c>
    </row>
    <row r="1038" spans="1:8">
      <c r="A1038" s="90">
        <v>127007460091</v>
      </c>
      <c r="B1038" s="1" t="s">
        <v>8</v>
      </c>
      <c r="C1038" s="43" t="s">
        <v>1956</v>
      </c>
      <c r="D1038" s="1" t="s">
        <v>2029</v>
      </c>
      <c r="E1038" s="43" t="s">
        <v>1956</v>
      </c>
      <c r="F1038" s="37" t="s">
        <v>2030</v>
      </c>
      <c r="G1038" s="44">
        <v>21300</v>
      </c>
      <c r="H1038" s="44">
        <v>213</v>
      </c>
    </row>
    <row r="1039" spans="1:8">
      <c r="A1039" s="90">
        <v>127014134823</v>
      </c>
      <c r="B1039" s="1" t="s">
        <v>8</v>
      </c>
      <c r="C1039" s="43" t="s">
        <v>1963</v>
      </c>
      <c r="D1039" s="1" t="s">
        <v>2029</v>
      </c>
      <c r="E1039" s="43" t="s">
        <v>1963</v>
      </c>
      <c r="F1039" s="37" t="s">
        <v>2030</v>
      </c>
      <c r="G1039" s="44">
        <v>4050</v>
      </c>
      <c r="H1039" s="44">
        <v>40.5</v>
      </c>
    </row>
    <row r="1040" spans="1:8">
      <c r="A1040" s="90">
        <v>127007916917</v>
      </c>
      <c r="B1040" s="1" t="s">
        <v>8</v>
      </c>
      <c r="C1040" s="43" t="s">
        <v>1956</v>
      </c>
      <c r="D1040" s="1" t="s">
        <v>2029</v>
      </c>
      <c r="E1040" s="43" t="s">
        <v>1956</v>
      </c>
      <c r="F1040" s="37" t="s">
        <v>2030</v>
      </c>
      <c r="G1040" s="44">
        <v>9500</v>
      </c>
      <c r="H1040" s="44">
        <v>95</v>
      </c>
    </row>
    <row r="1041" spans="1:8">
      <c r="A1041" s="90">
        <v>127575732242</v>
      </c>
      <c r="B1041" s="1" t="s">
        <v>8</v>
      </c>
      <c r="C1041" s="43" t="s">
        <v>1963</v>
      </c>
      <c r="D1041" s="1" t="s">
        <v>2029</v>
      </c>
      <c r="E1041" s="43" t="s">
        <v>1963</v>
      </c>
      <c r="F1041" s="37" t="s">
        <v>2030</v>
      </c>
      <c r="G1041" s="44">
        <v>38100</v>
      </c>
      <c r="H1041" s="44">
        <v>381</v>
      </c>
    </row>
    <row r="1042" spans="1:8">
      <c r="A1042" s="90">
        <v>127569343110</v>
      </c>
      <c r="B1042" s="1" t="s">
        <v>8</v>
      </c>
      <c r="C1042" s="43" t="s">
        <v>1956</v>
      </c>
      <c r="D1042" s="1" t="s">
        <v>2029</v>
      </c>
      <c r="E1042" s="43" t="s">
        <v>1956</v>
      </c>
      <c r="F1042" s="37" t="s">
        <v>2030</v>
      </c>
      <c r="G1042" s="44">
        <v>4500</v>
      </c>
      <c r="H1042" s="44">
        <v>45</v>
      </c>
    </row>
    <row r="1043" spans="1:8">
      <c r="A1043" s="90">
        <v>127569643602</v>
      </c>
      <c r="B1043" s="1" t="s">
        <v>8</v>
      </c>
      <c r="C1043" s="43" t="s">
        <v>1956</v>
      </c>
      <c r="D1043" s="1" t="s">
        <v>2029</v>
      </c>
      <c r="E1043" s="43" t="s">
        <v>1956</v>
      </c>
      <c r="F1043" s="37" t="s">
        <v>2030</v>
      </c>
      <c r="G1043" s="44">
        <v>104600</v>
      </c>
      <c r="H1043" s="44">
        <v>1046</v>
      </c>
    </row>
    <row r="1044" spans="1:8">
      <c r="A1044" s="90">
        <v>127569711396</v>
      </c>
      <c r="B1044" s="1" t="s">
        <v>8</v>
      </c>
      <c r="C1044" s="43" t="s">
        <v>1956</v>
      </c>
      <c r="D1044" s="1" t="s">
        <v>2029</v>
      </c>
      <c r="E1044" s="43" t="s">
        <v>1956</v>
      </c>
      <c r="F1044" s="37" t="s">
        <v>2030</v>
      </c>
      <c r="G1044" s="44">
        <v>100450</v>
      </c>
      <c r="H1044" s="44">
        <v>1004.5</v>
      </c>
    </row>
    <row r="1045" spans="1:8">
      <c r="A1045" s="90">
        <v>127569878656</v>
      </c>
      <c r="B1045" s="1" t="s">
        <v>8</v>
      </c>
      <c r="C1045" s="43" t="s">
        <v>1956</v>
      </c>
      <c r="D1045" s="1" t="s">
        <v>2029</v>
      </c>
      <c r="E1045" s="43" t="s">
        <v>1956</v>
      </c>
      <c r="F1045" s="37" t="s">
        <v>2030</v>
      </c>
      <c r="G1045" s="44">
        <v>8100</v>
      </c>
      <c r="H1045" s="44">
        <v>81</v>
      </c>
    </row>
    <row r="1046" spans="1:8">
      <c r="A1046" s="90">
        <v>127008737071</v>
      </c>
      <c r="B1046" s="1" t="s">
        <v>8</v>
      </c>
      <c r="C1046" s="43" t="s">
        <v>1956</v>
      </c>
      <c r="D1046" s="1" t="s">
        <v>2029</v>
      </c>
      <c r="E1046" s="43" t="s">
        <v>1956</v>
      </c>
      <c r="F1046" s="37" t="s">
        <v>2030</v>
      </c>
      <c r="G1046" s="44">
        <v>31750</v>
      </c>
      <c r="H1046" s="44">
        <v>317.5</v>
      </c>
    </row>
    <row r="1047" spans="1:8">
      <c r="A1047" s="90">
        <v>127570168514</v>
      </c>
      <c r="B1047" s="1" t="s">
        <v>8</v>
      </c>
      <c r="C1047" s="43" t="s">
        <v>1956</v>
      </c>
      <c r="D1047" s="1" t="s">
        <v>2029</v>
      </c>
      <c r="E1047" s="43" t="s">
        <v>1956</v>
      </c>
      <c r="F1047" s="37" t="s">
        <v>2030</v>
      </c>
      <c r="G1047" s="44">
        <v>4500</v>
      </c>
      <c r="H1047" s="44">
        <v>45</v>
      </c>
    </row>
    <row r="1048" spans="1:8">
      <c r="A1048" s="90">
        <v>127576498344</v>
      </c>
      <c r="B1048" s="1" t="s">
        <v>8</v>
      </c>
      <c r="C1048" s="43" t="s">
        <v>1963</v>
      </c>
      <c r="D1048" s="1" t="s">
        <v>2029</v>
      </c>
      <c r="E1048" s="43" t="s">
        <v>1963</v>
      </c>
      <c r="F1048" s="37" t="s">
        <v>2030</v>
      </c>
      <c r="G1048" s="44">
        <v>53750</v>
      </c>
      <c r="H1048" s="44">
        <v>537.5</v>
      </c>
    </row>
    <row r="1049" spans="1:8">
      <c r="A1049" s="90">
        <v>127570530222</v>
      </c>
      <c r="B1049" s="1" t="s">
        <v>8</v>
      </c>
      <c r="C1049" s="43" t="s">
        <v>1956</v>
      </c>
      <c r="D1049" s="1" t="s">
        <v>2029</v>
      </c>
      <c r="E1049" s="43" t="s">
        <v>1956</v>
      </c>
      <c r="F1049" s="37" t="s">
        <v>2030</v>
      </c>
      <c r="G1049" s="44">
        <v>35450</v>
      </c>
      <c r="H1049" s="44">
        <v>354.5</v>
      </c>
    </row>
    <row r="1050" spans="1:8">
      <c r="A1050" s="90">
        <v>127576545044</v>
      </c>
      <c r="B1050" s="1" t="s">
        <v>1790</v>
      </c>
      <c r="C1050" s="43" t="s">
        <v>1963</v>
      </c>
      <c r="D1050" s="1" t="s">
        <v>2029</v>
      </c>
      <c r="E1050" s="43" t="s">
        <v>1963</v>
      </c>
      <c r="F1050" s="37" t="s">
        <v>2030</v>
      </c>
      <c r="G1050" s="44">
        <v>6500</v>
      </c>
      <c r="H1050" s="44">
        <v>65</v>
      </c>
    </row>
    <row r="1051" spans="1:8">
      <c r="A1051" s="90">
        <v>127009741659</v>
      </c>
      <c r="B1051" s="1" t="s">
        <v>8</v>
      </c>
      <c r="C1051" s="43" t="s">
        <v>1956</v>
      </c>
      <c r="D1051" s="1" t="s">
        <v>2029</v>
      </c>
      <c r="E1051" s="43" t="s">
        <v>1963</v>
      </c>
      <c r="F1051" s="37" t="s">
        <v>2030</v>
      </c>
      <c r="G1051" s="44">
        <v>7600</v>
      </c>
      <c r="H1051" s="44">
        <v>76</v>
      </c>
    </row>
    <row r="1052" spans="1:8">
      <c r="A1052" s="90">
        <v>127015620133</v>
      </c>
      <c r="B1052" s="1" t="s">
        <v>8</v>
      </c>
      <c r="C1052" s="43" t="s">
        <v>1963</v>
      </c>
      <c r="D1052" s="1" t="s">
        <v>2029</v>
      </c>
      <c r="E1052" s="43" t="s">
        <v>1963</v>
      </c>
      <c r="F1052" s="37" t="s">
        <v>2030</v>
      </c>
      <c r="G1052" s="44">
        <v>13500</v>
      </c>
      <c r="H1052" s="44">
        <v>135</v>
      </c>
    </row>
    <row r="1053" spans="1:8">
      <c r="A1053" s="90">
        <v>127015403685</v>
      </c>
      <c r="B1053" s="1" t="s">
        <v>8</v>
      </c>
      <c r="C1053" s="43" t="s">
        <v>1963</v>
      </c>
      <c r="D1053" s="1" t="s">
        <v>2029</v>
      </c>
      <c r="E1053" s="43" t="s">
        <v>1963</v>
      </c>
      <c r="F1053" s="37" t="s">
        <v>2030</v>
      </c>
      <c r="G1053" s="44">
        <v>7200</v>
      </c>
      <c r="H1053" s="44">
        <v>72</v>
      </c>
    </row>
    <row r="1054" spans="1:8">
      <c r="A1054" s="90">
        <v>127010232283</v>
      </c>
      <c r="B1054" s="1" t="s">
        <v>8</v>
      </c>
      <c r="C1054" s="43" t="s">
        <v>1956</v>
      </c>
      <c r="D1054" s="1" t="s">
        <v>2029</v>
      </c>
      <c r="E1054" s="43" t="s">
        <v>1963</v>
      </c>
      <c r="F1054" s="37" t="s">
        <v>2030</v>
      </c>
      <c r="G1054" s="44">
        <v>10000</v>
      </c>
      <c r="H1054" s="44">
        <v>100</v>
      </c>
    </row>
    <row r="1055" spans="1:8">
      <c r="A1055" s="90">
        <v>127576831188</v>
      </c>
      <c r="B1055" s="1" t="s">
        <v>8</v>
      </c>
      <c r="C1055" s="43" t="s">
        <v>1963</v>
      </c>
      <c r="D1055" s="1" t="s">
        <v>2029</v>
      </c>
      <c r="E1055" s="43" t="s">
        <v>1963</v>
      </c>
      <c r="F1055" s="37" t="s">
        <v>2030</v>
      </c>
      <c r="G1055" s="44">
        <v>4500</v>
      </c>
      <c r="H1055" s="44">
        <v>45</v>
      </c>
    </row>
    <row r="1056" spans="1:8">
      <c r="A1056" s="90">
        <v>127571538018</v>
      </c>
      <c r="B1056" s="1" t="s">
        <v>1790</v>
      </c>
      <c r="C1056" s="43" t="s">
        <v>1956</v>
      </c>
      <c r="D1056" s="1" t="s">
        <v>2029</v>
      </c>
      <c r="E1056" s="43" t="s">
        <v>1963</v>
      </c>
      <c r="F1056" s="37" t="s">
        <v>2030</v>
      </c>
      <c r="G1056" s="44">
        <v>37200</v>
      </c>
      <c r="H1056" s="44">
        <v>372</v>
      </c>
    </row>
    <row r="1057" spans="1:8">
      <c r="A1057" s="90">
        <v>127572308076</v>
      </c>
      <c r="B1057" s="1" t="s">
        <v>8</v>
      </c>
      <c r="C1057" s="43" t="s">
        <v>1956</v>
      </c>
      <c r="D1057" s="1" t="s">
        <v>2029</v>
      </c>
      <c r="E1057" s="43" t="s">
        <v>1963</v>
      </c>
      <c r="F1057" s="37" t="s">
        <v>2030</v>
      </c>
      <c r="G1057" s="44">
        <v>4500</v>
      </c>
      <c r="H1057" s="44">
        <v>45</v>
      </c>
    </row>
    <row r="1058" spans="1:8">
      <c r="A1058" s="90">
        <v>127011203685</v>
      </c>
      <c r="B1058" s="1" t="s">
        <v>8</v>
      </c>
      <c r="C1058" s="43" t="s">
        <v>1956</v>
      </c>
      <c r="D1058" s="1" t="s">
        <v>2029</v>
      </c>
      <c r="E1058" s="43" t="s">
        <v>1963</v>
      </c>
      <c r="F1058" s="37" t="s">
        <v>2030</v>
      </c>
      <c r="G1058" s="44">
        <v>4500</v>
      </c>
      <c r="H1058" s="44">
        <v>45</v>
      </c>
    </row>
    <row r="1059" spans="1:8">
      <c r="A1059" s="90">
        <v>127572489702</v>
      </c>
      <c r="B1059" s="1" t="s">
        <v>1790</v>
      </c>
      <c r="C1059" s="43" t="s">
        <v>1956</v>
      </c>
      <c r="D1059" s="1" t="s">
        <v>2029</v>
      </c>
      <c r="E1059" s="43" t="s">
        <v>1963</v>
      </c>
      <c r="F1059" s="37" t="s">
        <v>2030</v>
      </c>
      <c r="G1059" s="44">
        <v>3600</v>
      </c>
      <c r="H1059" s="44">
        <v>36</v>
      </c>
    </row>
    <row r="1060" spans="1:8">
      <c r="A1060" s="90">
        <v>127572677794</v>
      </c>
      <c r="B1060" s="1" t="s">
        <v>8</v>
      </c>
      <c r="C1060" s="43" t="s">
        <v>1956</v>
      </c>
      <c r="D1060" s="1" t="s">
        <v>2029</v>
      </c>
      <c r="E1060" s="43" t="s">
        <v>1963</v>
      </c>
      <c r="F1060" s="37" t="s">
        <v>2030</v>
      </c>
      <c r="G1060" s="44">
        <v>3600</v>
      </c>
      <c r="H1060" s="44">
        <v>36</v>
      </c>
    </row>
    <row r="1061" spans="1:8">
      <c r="A1061" s="90">
        <v>127572984226</v>
      </c>
      <c r="B1061" s="1" t="s">
        <v>8</v>
      </c>
      <c r="C1061" s="43" t="s">
        <v>1956</v>
      </c>
      <c r="D1061" s="1" t="s">
        <v>2029</v>
      </c>
      <c r="E1061" s="43" t="s">
        <v>1963</v>
      </c>
      <c r="F1061" s="37" t="s">
        <v>2030</v>
      </c>
      <c r="G1061" s="44">
        <v>11500</v>
      </c>
      <c r="H1061" s="44">
        <v>115</v>
      </c>
    </row>
    <row r="1062" spans="1:8">
      <c r="A1062" s="90">
        <v>127573266632</v>
      </c>
      <c r="B1062" s="1" t="s">
        <v>8</v>
      </c>
      <c r="C1062" s="43" t="s">
        <v>1956</v>
      </c>
      <c r="D1062" s="1" t="s">
        <v>2029</v>
      </c>
      <c r="E1062" s="43" t="s">
        <v>1963</v>
      </c>
      <c r="F1062" s="37" t="s">
        <v>2030</v>
      </c>
      <c r="G1062" s="44">
        <v>15300</v>
      </c>
      <c r="H1062" s="44">
        <v>153</v>
      </c>
    </row>
    <row r="1063" spans="1:8">
      <c r="A1063" s="90">
        <v>127573233874</v>
      </c>
      <c r="B1063" s="1" t="s">
        <v>8</v>
      </c>
      <c r="C1063" s="43" t="s">
        <v>1963</v>
      </c>
      <c r="D1063" s="1" t="s">
        <v>2029</v>
      </c>
      <c r="E1063" s="43" t="s">
        <v>1963</v>
      </c>
      <c r="F1063" s="37" t="s">
        <v>2030</v>
      </c>
      <c r="G1063" s="44">
        <v>8100</v>
      </c>
      <c r="H1063" s="44">
        <v>81</v>
      </c>
    </row>
    <row r="1064" spans="1:8">
      <c r="A1064" s="90">
        <v>127573340062</v>
      </c>
      <c r="B1064" s="1" t="s">
        <v>8</v>
      </c>
      <c r="C1064" s="43" t="s">
        <v>1963</v>
      </c>
      <c r="D1064" s="1" t="s">
        <v>2029</v>
      </c>
      <c r="E1064" s="43" t="s">
        <v>1963</v>
      </c>
      <c r="F1064" s="37" t="s">
        <v>2030</v>
      </c>
      <c r="G1064" s="44">
        <v>12900</v>
      </c>
      <c r="H1064" s="44">
        <v>129</v>
      </c>
    </row>
    <row r="1065" spans="1:8">
      <c r="A1065" s="90">
        <v>127573927294</v>
      </c>
      <c r="B1065" s="1" t="s">
        <v>8</v>
      </c>
      <c r="C1065" s="43" t="s">
        <v>1963</v>
      </c>
      <c r="D1065" s="1" t="s">
        <v>2029</v>
      </c>
      <c r="E1065" s="43" t="s">
        <v>1963</v>
      </c>
      <c r="F1065" s="37" t="s">
        <v>2030</v>
      </c>
      <c r="G1065" s="44">
        <v>3600</v>
      </c>
      <c r="H1065" s="44">
        <v>36</v>
      </c>
    </row>
    <row r="1066" spans="1:8">
      <c r="A1066" s="90">
        <v>127013820395</v>
      </c>
      <c r="B1066" s="1" t="s">
        <v>8</v>
      </c>
      <c r="C1066" s="43" t="s">
        <v>1963</v>
      </c>
      <c r="D1066" s="1" t="s">
        <v>2029</v>
      </c>
      <c r="E1066" s="43" t="s">
        <v>1963</v>
      </c>
      <c r="F1066" s="37" t="s">
        <v>2030</v>
      </c>
      <c r="G1066" s="44">
        <v>18000</v>
      </c>
      <c r="H1066" s="44">
        <v>180</v>
      </c>
    </row>
    <row r="1067" spans="1:8">
      <c r="A1067" s="90">
        <v>127575113918</v>
      </c>
      <c r="B1067" s="1" t="s">
        <v>8</v>
      </c>
      <c r="C1067" s="43" t="s">
        <v>1963</v>
      </c>
      <c r="D1067" s="1" t="s">
        <v>2029</v>
      </c>
      <c r="E1067" s="43" t="s">
        <v>1963</v>
      </c>
      <c r="F1067" s="37" t="s">
        <v>2030</v>
      </c>
      <c r="G1067" s="44">
        <v>42500</v>
      </c>
      <c r="H1067" s="44">
        <v>425</v>
      </c>
    </row>
    <row r="1068" spans="1:8">
      <c r="A1068" s="90">
        <v>127013893873</v>
      </c>
      <c r="B1068" s="1" t="s">
        <v>8</v>
      </c>
      <c r="C1068" s="43" t="s">
        <v>1963</v>
      </c>
      <c r="D1068" s="1" t="s">
        <v>2029</v>
      </c>
      <c r="E1068" s="43" t="s">
        <v>1963</v>
      </c>
      <c r="F1068" s="37" t="s">
        <v>2030</v>
      </c>
      <c r="G1068" s="44">
        <v>15300</v>
      </c>
      <c r="H1068" s="44">
        <v>153</v>
      </c>
    </row>
    <row r="1069" spans="1:8">
      <c r="A1069" s="90">
        <v>127575489108</v>
      </c>
      <c r="B1069" s="1" t="s">
        <v>8</v>
      </c>
      <c r="C1069" s="43" t="s">
        <v>1963</v>
      </c>
      <c r="D1069" s="1" t="s">
        <v>2029</v>
      </c>
      <c r="E1069" s="43" t="s">
        <v>1963</v>
      </c>
      <c r="F1069" s="37" t="s">
        <v>2030</v>
      </c>
      <c r="G1069" s="44">
        <v>5000</v>
      </c>
      <c r="H1069" s="44">
        <v>50</v>
      </c>
    </row>
    <row r="1070" spans="1:8">
      <c r="A1070" s="90">
        <v>127575709104</v>
      </c>
      <c r="B1070" s="1" t="s">
        <v>8</v>
      </c>
      <c r="C1070" s="43" t="s">
        <v>1963</v>
      </c>
      <c r="D1070" s="1" t="s">
        <v>2029</v>
      </c>
      <c r="E1070" s="43" t="s">
        <v>1963</v>
      </c>
      <c r="F1070" s="37" t="s">
        <v>2030</v>
      </c>
      <c r="G1070" s="44">
        <v>8650</v>
      </c>
      <c r="H1070" s="44">
        <v>86.5</v>
      </c>
    </row>
    <row r="1071" spans="1:8">
      <c r="A1071" s="90">
        <v>127576327400</v>
      </c>
      <c r="B1071" s="1" t="s">
        <v>8</v>
      </c>
      <c r="C1071" s="43" t="s">
        <v>1963</v>
      </c>
      <c r="D1071" s="1" t="s">
        <v>2029</v>
      </c>
      <c r="E1071" s="43" t="s">
        <v>1963</v>
      </c>
      <c r="F1071" s="37" t="s">
        <v>2030</v>
      </c>
      <c r="G1071" s="44">
        <v>9000</v>
      </c>
      <c r="H1071" s="44">
        <v>90</v>
      </c>
    </row>
    <row r="1072" spans="1:8">
      <c r="A1072" s="90">
        <v>127576590324</v>
      </c>
      <c r="B1072" s="1" t="s">
        <v>1790</v>
      </c>
      <c r="C1072" s="43" t="s">
        <v>1963</v>
      </c>
      <c r="D1072" s="1" t="s">
        <v>2029</v>
      </c>
      <c r="E1072" s="43" t="s">
        <v>1963</v>
      </c>
      <c r="F1072" s="37" t="s">
        <v>2030</v>
      </c>
      <c r="G1072" s="44">
        <v>3600</v>
      </c>
      <c r="H1072" s="44">
        <v>36</v>
      </c>
    </row>
    <row r="1073" spans="1:8">
      <c r="A1073" s="90">
        <v>127576557502</v>
      </c>
      <c r="B1073" s="1" t="s">
        <v>8</v>
      </c>
      <c r="C1073" s="43" t="s">
        <v>1963</v>
      </c>
      <c r="D1073" s="1" t="s">
        <v>2029</v>
      </c>
      <c r="E1073" s="43" t="s">
        <v>1963</v>
      </c>
      <c r="F1073" s="37" t="s">
        <v>2030</v>
      </c>
      <c r="G1073" s="44">
        <v>158850</v>
      </c>
      <c r="H1073" s="44">
        <v>1588.5</v>
      </c>
    </row>
    <row r="1074" spans="1:8">
      <c r="A1074" s="90">
        <v>127015646835</v>
      </c>
      <c r="B1074" s="1" t="s">
        <v>8</v>
      </c>
      <c r="C1074" s="43" t="s">
        <v>1963</v>
      </c>
      <c r="D1074" s="1" t="s">
        <v>2029</v>
      </c>
      <c r="E1074" s="43" t="s">
        <v>1963</v>
      </c>
      <c r="F1074" s="37" t="s">
        <v>2030</v>
      </c>
      <c r="G1074" s="44">
        <v>12600</v>
      </c>
      <c r="H1074" s="44">
        <v>126</v>
      </c>
    </row>
    <row r="1075" spans="1:8">
      <c r="A1075" s="90">
        <v>127015860511</v>
      </c>
      <c r="B1075" s="1" t="s">
        <v>8</v>
      </c>
      <c r="C1075" s="43" t="s">
        <v>1963</v>
      </c>
      <c r="D1075" s="1" t="s">
        <v>2029</v>
      </c>
      <c r="E1075" s="43" t="s">
        <v>1963</v>
      </c>
      <c r="F1075" s="37" t="s">
        <v>2030</v>
      </c>
      <c r="G1075" s="44">
        <v>4500</v>
      </c>
      <c r="H1075" s="44">
        <v>45</v>
      </c>
    </row>
    <row r="1076" spans="1:8">
      <c r="A1076" s="90">
        <v>127015606063</v>
      </c>
      <c r="B1076" s="1" t="s">
        <v>1790</v>
      </c>
      <c r="C1076" s="43" t="s">
        <v>1963</v>
      </c>
      <c r="D1076" s="1" t="s">
        <v>2029</v>
      </c>
      <c r="E1076" s="43" t="s">
        <v>1963</v>
      </c>
      <c r="F1076" s="37" t="s">
        <v>2030</v>
      </c>
      <c r="G1076" s="44">
        <v>6200</v>
      </c>
      <c r="H1076" s="44">
        <v>62</v>
      </c>
    </row>
    <row r="1077" spans="1:8">
      <c r="A1077" s="90">
        <v>127685431266</v>
      </c>
      <c r="B1077" s="1" t="s">
        <v>8</v>
      </c>
      <c r="C1077" s="43" t="s">
        <v>1963</v>
      </c>
      <c r="D1077" s="1" t="s">
        <v>2029</v>
      </c>
      <c r="E1077" s="43" t="s">
        <v>1963</v>
      </c>
      <c r="F1077" s="37" t="s">
        <v>2030</v>
      </c>
      <c r="G1077" s="44">
        <v>9400</v>
      </c>
      <c r="H1077" s="44">
        <v>94</v>
      </c>
    </row>
    <row r="1078" spans="1:8">
      <c r="A1078" s="90">
        <v>127686983606</v>
      </c>
      <c r="B1078" s="1" t="s">
        <v>1790</v>
      </c>
      <c r="C1078" s="43" t="s">
        <v>1963</v>
      </c>
      <c r="D1078" s="1" t="s">
        <v>2029</v>
      </c>
      <c r="E1078" s="43" t="s">
        <v>1963</v>
      </c>
      <c r="F1078" s="37" t="s">
        <v>2030</v>
      </c>
      <c r="G1078" s="44">
        <v>4500</v>
      </c>
      <c r="H1078" s="44">
        <v>45</v>
      </c>
    </row>
    <row r="1079" spans="1:8">
      <c r="A1079" s="90">
        <v>127687107476</v>
      </c>
      <c r="B1079" s="1" t="s">
        <v>8</v>
      </c>
      <c r="C1079" s="43" t="s">
        <v>1963</v>
      </c>
      <c r="D1079" s="1" t="s">
        <v>2029</v>
      </c>
      <c r="E1079" s="43" t="s">
        <v>1963</v>
      </c>
      <c r="F1079" s="37" t="s">
        <v>2030</v>
      </c>
      <c r="G1079" s="44">
        <v>8000</v>
      </c>
      <c r="H1079" s="44">
        <v>80</v>
      </c>
    </row>
    <row r="1080" spans="1:8">
      <c r="A1080" s="90">
        <v>127679194174</v>
      </c>
      <c r="B1080" s="1" t="s">
        <v>1790</v>
      </c>
      <c r="C1080" s="43" t="s">
        <v>1963</v>
      </c>
      <c r="D1080" s="1" t="s">
        <v>2029</v>
      </c>
      <c r="E1080" s="43" t="s">
        <v>1963</v>
      </c>
      <c r="F1080" s="37" t="s">
        <v>2030</v>
      </c>
      <c r="G1080" s="44">
        <v>7000</v>
      </c>
      <c r="H1080" s="44">
        <v>70</v>
      </c>
    </row>
    <row r="1081" spans="1:8">
      <c r="A1081" s="90">
        <v>127679388200</v>
      </c>
      <c r="B1081" s="1" t="s">
        <v>1790</v>
      </c>
      <c r="C1081" s="43" t="s">
        <v>1963</v>
      </c>
      <c r="D1081" s="1" t="s">
        <v>2029</v>
      </c>
      <c r="E1081" s="43" t="s">
        <v>1963</v>
      </c>
      <c r="F1081" s="37" t="s">
        <v>2030</v>
      </c>
      <c r="G1081" s="44">
        <v>13000</v>
      </c>
      <c r="H1081" s="44">
        <v>130</v>
      </c>
    </row>
    <row r="1082" spans="1:8">
      <c r="A1082" s="90">
        <v>127680169218</v>
      </c>
      <c r="B1082" s="1" t="s">
        <v>8</v>
      </c>
      <c r="C1082" s="43" t="s">
        <v>1963</v>
      </c>
      <c r="D1082" s="1" t="s">
        <v>2029</v>
      </c>
      <c r="E1082" s="43" t="s">
        <v>1963</v>
      </c>
      <c r="F1082" s="37" t="s">
        <v>2030</v>
      </c>
      <c r="G1082" s="44">
        <v>29400</v>
      </c>
      <c r="H1082" s="44">
        <v>294</v>
      </c>
    </row>
    <row r="1083" spans="1:8">
      <c r="A1083" s="90">
        <v>127688724722</v>
      </c>
      <c r="B1083" s="1" t="s">
        <v>1790</v>
      </c>
      <c r="C1083" s="43" t="s">
        <v>1963</v>
      </c>
      <c r="D1083" s="1" t="s">
        <v>2029</v>
      </c>
      <c r="E1083" s="43" t="s">
        <v>1963</v>
      </c>
      <c r="F1083" s="37" t="s">
        <v>2030</v>
      </c>
      <c r="G1083" s="44">
        <v>26900</v>
      </c>
      <c r="H1083" s="44">
        <v>269</v>
      </c>
    </row>
    <row r="1084" spans="1:8">
      <c r="A1084" s="90">
        <v>127680295528</v>
      </c>
      <c r="B1084" s="1" t="s">
        <v>8</v>
      </c>
      <c r="C1084" s="43" t="s">
        <v>1963</v>
      </c>
      <c r="D1084" s="1" t="s">
        <v>2029</v>
      </c>
      <c r="E1084" s="43" t="s">
        <v>1963</v>
      </c>
      <c r="F1084" s="37" t="s">
        <v>2030</v>
      </c>
      <c r="G1084" s="44">
        <v>13700</v>
      </c>
      <c r="H1084" s="44">
        <v>137</v>
      </c>
    </row>
    <row r="1085" spans="1:8">
      <c r="A1085" s="90">
        <v>127127545649</v>
      </c>
      <c r="B1085" s="1" t="s">
        <v>8</v>
      </c>
      <c r="C1085" s="43" t="s">
        <v>1963</v>
      </c>
      <c r="D1085" s="1" t="s">
        <v>2029</v>
      </c>
      <c r="E1085" s="43" t="s">
        <v>1963</v>
      </c>
      <c r="F1085" s="37" t="s">
        <v>2030</v>
      </c>
      <c r="G1085" s="44">
        <v>61400</v>
      </c>
      <c r="H1085" s="44">
        <v>614</v>
      </c>
    </row>
    <row r="1086" spans="1:8">
      <c r="A1086" s="90">
        <v>127682236964</v>
      </c>
      <c r="B1086" s="1" t="s">
        <v>1790</v>
      </c>
      <c r="C1086" s="43" t="s">
        <v>1963</v>
      </c>
      <c r="D1086" s="1" t="s">
        <v>2029</v>
      </c>
      <c r="E1086" s="43" t="s">
        <v>1963</v>
      </c>
      <c r="F1086" s="37" t="s">
        <v>2030</v>
      </c>
      <c r="G1086" s="44">
        <v>30300</v>
      </c>
      <c r="H1086" s="44">
        <v>303</v>
      </c>
    </row>
    <row r="1087" spans="1:8">
      <c r="A1087" s="90">
        <v>127130305985</v>
      </c>
      <c r="B1087" s="1" t="s">
        <v>8</v>
      </c>
      <c r="C1087" s="43" t="s">
        <v>1963</v>
      </c>
      <c r="D1087" s="1" t="s">
        <v>2029</v>
      </c>
      <c r="E1087" s="43" t="s">
        <v>1963</v>
      </c>
      <c r="F1087" s="37" t="s">
        <v>2030</v>
      </c>
      <c r="G1087" s="44">
        <v>47800</v>
      </c>
      <c r="H1087" s="44">
        <v>478</v>
      </c>
    </row>
    <row r="1088" spans="1:8">
      <c r="A1088" s="90">
        <v>127691820066</v>
      </c>
      <c r="B1088" s="1" t="s">
        <v>8</v>
      </c>
      <c r="C1088" s="43" t="s">
        <v>1963</v>
      </c>
      <c r="D1088" s="1" t="s">
        <v>2029</v>
      </c>
      <c r="E1088" s="43" t="s">
        <v>1963</v>
      </c>
      <c r="F1088" s="37" t="s">
        <v>2030</v>
      </c>
      <c r="G1088" s="44">
        <v>29300</v>
      </c>
      <c r="H1088" s="44">
        <v>293</v>
      </c>
    </row>
    <row r="1089" spans="1:8">
      <c r="A1089" s="90">
        <v>127130788563</v>
      </c>
      <c r="B1089" s="1" t="s">
        <v>8</v>
      </c>
      <c r="C1089" s="43" t="s">
        <v>1963</v>
      </c>
      <c r="D1089" s="1" t="s">
        <v>2029</v>
      </c>
      <c r="E1089" s="43" t="s">
        <v>1963</v>
      </c>
      <c r="F1089" s="37" t="s">
        <v>2030</v>
      </c>
      <c r="G1089" s="44">
        <v>37400</v>
      </c>
      <c r="H1089" s="44">
        <v>374</v>
      </c>
    </row>
    <row r="1090" spans="1:8">
      <c r="A1090" s="90">
        <v>127692414538</v>
      </c>
      <c r="B1090" s="1" t="s">
        <v>8</v>
      </c>
      <c r="C1090" s="43" t="s">
        <v>1963</v>
      </c>
      <c r="D1090" s="1" t="s">
        <v>2029</v>
      </c>
      <c r="E1090" s="43" t="s">
        <v>1963</v>
      </c>
      <c r="F1090" s="37" t="s">
        <v>2030</v>
      </c>
      <c r="G1090" s="44">
        <v>126100</v>
      </c>
      <c r="H1090" s="44">
        <v>1261</v>
      </c>
    </row>
    <row r="1091" spans="1:8">
      <c r="A1091" s="90">
        <v>127685463730</v>
      </c>
      <c r="B1091" s="1" t="s">
        <v>1790</v>
      </c>
      <c r="C1091" s="43" t="s">
        <v>1963</v>
      </c>
      <c r="D1091" s="1" t="s">
        <v>2029</v>
      </c>
      <c r="E1091" s="43" t="s">
        <v>1963</v>
      </c>
      <c r="F1091" s="37" t="s">
        <v>2030</v>
      </c>
      <c r="G1091" s="44">
        <v>4500</v>
      </c>
      <c r="H1091" s="44">
        <v>45</v>
      </c>
    </row>
    <row r="1092" spans="1:8">
      <c r="A1092" s="90">
        <v>127693996562</v>
      </c>
      <c r="B1092" s="1" t="s">
        <v>1790</v>
      </c>
      <c r="C1092" s="43" t="s">
        <v>1963</v>
      </c>
      <c r="D1092" s="1" t="s">
        <v>2029</v>
      </c>
      <c r="E1092" s="43" t="s">
        <v>1963</v>
      </c>
      <c r="F1092" s="37" t="s">
        <v>2030</v>
      </c>
      <c r="G1092" s="44">
        <v>4500</v>
      </c>
      <c r="H1092" s="44">
        <v>45</v>
      </c>
    </row>
    <row r="1093" spans="1:8">
      <c r="A1093" s="90">
        <v>127694163582</v>
      </c>
      <c r="B1093" s="1" t="s">
        <v>8</v>
      </c>
      <c r="C1093" s="43" t="s">
        <v>1963</v>
      </c>
      <c r="D1093" s="1" t="s">
        <v>2029</v>
      </c>
      <c r="E1093" s="43" t="s">
        <v>1963</v>
      </c>
      <c r="F1093" s="37" t="s">
        <v>2030</v>
      </c>
      <c r="G1093" s="44">
        <v>31900</v>
      </c>
      <c r="H1093" s="44">
        <v>319</v>
      </c>
    </row>
    <row r="1094" spans="1:8">
      <c r="A1094" s="90">
        <v>127126712461</v>
      </c>
      <c r="B1094" s="1" t="s">
        <v>8</v>
      </c>
      <c r="C1094" s="43" t="s">
        <v>1963</v>
      </c>
      <c r="D1094" s="1" t="s">
        <v>2029</v>
      </c>
      <c r="E1094" s="43" t="s">
        <v>1963</v>
      </c>
      <c r="F1094" s="37" t="s">
        <v>2030</v>
      </c>
      <c r="G1094" s="44">
        <v>179000</v>
      </c>
      <c r="H1094" s="44">
        <v>1790</v>
      </c>
    </row>
    <row r="1095" spans="1:8">
      <c r="A1095" s="90">
        <v>127696845350</v>
      </c>
      <c r="B1095" s="1" t="s">
        <v>8</v>
      </c>
      <c r="C1095" s="43" t="s">
        <v>1963</v>
      </c>
      <c r="D1095" s="1" t="s">
        <v>2029</v>
      </c>
      <c r="E1095" s="43" t="s">
        <v>1963</v>
      </c>
      <c r="F1095" s="37" t="s">
        <v>2030</v>
      </c>
      <c r="G1095" s="44">
        <v>31600</v>
      </c>
      <c r="H1095" s="44">
        <v>316</v>
      </c>
    </row>
    <row r="1096" spans="1:8">
      <c r="A1096" s="90">
        <v>127135739949</v>
      </c>
      <c r="B1096" s="1" t="s">
        <v>8</v>
      </c>
      <c r="C1096" s="43" t="s">
        <v>1963</v>
      </c>
      <c r="D1096" s="1" t="s">
        <v>2029</v>
      </c>
      <c r="E1096" s="43" t="s">
        <v>1963</v>
      </c>
      <c r="F1096" s="37" t="s">
        <v>2030</v>
      </c>
      <c r="G1096" s="44">
        <v>35400</v>
      </c>
      <c r="H1096" s="44">
        <v>354</v>
      </c>
    </row>
    <row r="1097" spans="1:8">
      <c r="A1097" s="90">
        <v>127137188773</v>
      </c>
      <c r="B1097" s="1" t="s">
        <v>1790</v>
      </c>
      <c r="C1097" s="43" t="s">
        <v>1963</v>
      </c>
      <c r="D1097" s="1" t="s">
        <v>2029</v>
      </c>
      <c r="E1097" s="43" t="s">
        <v>1963</v>
      </c>
      <c r="F1097" s="37" t="s">
        <v>2030</v>
      </c>
      <c r="G1097" s="44">
        <v>12900</v>
      </c>
      <c r="H1097" s="44">
        <v>129</v>
      </c>
    </row>
    <row r="1098" spans="1:8">
      <c r="A1098" s="90">
        <v>127699173378</v>
      </c>
      <c r="B1098" s="1" t="s">
        <v>8</v>
      </c>
      <c r="C1098" s="43" t="s">
        <v>1963</v>
      </c>
      <c r="D1098" s="1" t="s">
        <v>2029</v>
      </c>
      <c r="E1098" s="43" t="s">
        <v>1963</v>
      </c>
      <c r="F1098" s="37" t="s">
        <v>2030</v>
      </c>
      <c r="G1098" s="44">
        <v>15800</v>
      </c>
      <c r="H1098" s="44">
        <v>158</v>
      </c>
    </row>
    <row r="1099" spans="1:8">
      <c r="A1099" s="90">
        <v>127138754811</v>
      </c>
      <c r="B1099" s="1" t="s">
        <v>8</v>
      </c>
      <c r="C1099" s="43" t="s">
        <v>1963</v>
      </c>
      <c r="D1099" s="1" t="s">
        <v>2029</v>
      </c>
      <c r="E1099" s="43" t="s">
        <v>1963</v>
      </c>
      <c r="F1099" s="37" t="s">
        <v>2030</v>
      </c>
      <c r="G1099" s="44">
        <v>45000</v>
      </c>
      <c r="H1099" s="44">
        <v>450</v>
      </c>
    </row>
    <row r="1100" spans="1:8">
      <c r="A1100" s="90">
        <v>127692795340</v>
      </c>
      <c r="B1100" s="1" t="s">
        <v>1790</v>
      </c>
      <c r="C1100" s="43" t="s">
        <v>1963</v>
      </c>
      <c r="D1100" s="1" t="s">
        <v>2029</v>
      </c>
      <c r="E1100" s="43" t="s">
        <v>1963</v>
      </c>
      <c r="F1100" s="37" t="s">
        <v>2030</v>
      </c>
      <c r="G1100" s="44">
        <v>25800</v>
      </c>
      <c r="H1100" s="44">
        <v>258</v>
      </c>
    </row>
    <row r="1101" spans="1:8">
      <c r="A1101" s="90">
        <v>127138858083</v>
      </c>
      <c r="B1101" s="1" t="s">
        <v>8</v>
      </c>
      <c r="C1101" s="43" t="s">
        <v>1963</v>
      </c>
      <c r="D1101" s="1" t="s">
        <v>2029</v>
      </c>
      <c r="E1101" s="43" t="s">
        <v>1963</v>
      </c>
      <c r="F1101" s="37" t="s">
        <v>2030</v>
      </c>
      <c r="G1101" s="44">
        <v>28900</v>
      </c>
      <c r="H1101" s="44">
        <v>289</v>
      </c>
    </row>
    <row r="1102" spans="1:8">
      <c r="A1102" s="90">
        <v>127132014539</v>
      </c>
      <c r="B1102" s="1" t="s">
        <v>1790</v>
      </c>
      <c r="C1102" s="43" t="s">
        <v>1963</v>
      </c>
      <c r="D1102" s="1" t="s">
        <v>2029</v>
      </c>
      <c r="E1102" s="43" t="s">
        <v>1963</v>
      </c>
      <c r="F1102" s="37" t="s">
        <v>2030</v>
      </c>
      <c r="G1102" s="44">
        <v>45900</v>
      </c>
      <c r="H1102" s="44">
        <v>459</v>
      </c>
    </row>
    <row r="1103" spans="1:8">
      <c r="A1103" s="90">
        <v>127132281045</v>
      </c>
      <c r="B1103" s="1" t="s">
        <v>8</v>
      </c>
      <c r="C1103" s="43" t="s">
        <v>1963</v>
      </c>
      <c r="D1103" s="1" t="s">
        <v>2029</v>
      </c>
      <c r="E1103" s="43" t="s">
        <v>1963</v>
      </c>
      <c r="F1103" s="37" t="s">
        <v>2030</v>
      </c>
      <c r="G1103" s="44">
        <v>43900</v>
      </c>
      <c r="H1103" s="44">
        <v>439</v>
      </c>
    </row>
    <row r="1104" spans="1:8">
      <c r="A1104" s="90">
        <v>127694077596</v>
      </c>
      <c r="B1104" s="1" t="s">
        <v>8</v>
      </c>
      <c r="C1104" s="43" t="s">
        <v>1963</v>
      </c>
      <c r="D1104" s="1" t="s">
        <v>2029</v>
      </c>
      <c r="E1104" s="43" t="s">
        <v>1963</v>
      </c>
      <c r="F1104" s="37" t="s">
        <v>2030</v>
      </c>
      <c r="G1104" s="44">
        <v>4500</v>
      </c>
      <c r="H1104" s="44">
        <v>45</v>
      </c>
    </row>
    <row r="1105" spans="1:8">
      <c r="A1105" s="90">
        <v>127694198004</v>
      </c>
      <c r="B1105" s="1" t="s">
        <v>8</v>
      </c>
      <c r="C1105" s="43" t="s">
        <v>1963</v>
      </c>
      <c r="D1105" s="1" t="s">
        <v>2029</v>
      </c>
      <c r="E1105" s="43" t="s">
        <v>1963</v>
      </c>
      <c r="F1105" s="37" t="s">
        <v>2030</v>
      </c>
      <c r="G1105" s="44">
        <v>26500</v>
      </c>
      <c r="H1105" s="44">
        <v>265</v>
      </c>
    </row>
    <row r="1106" spans="1:8">
      <c r="A1106" s="90">
        <v>127702622786</v>
      </c>
      <c r="B1106" s="1" t="s">
        <v>8</v>
      </c>
      <c r="C1106" s="43" t="s">
        <v>1963</v>
      </c>
      <c r="D1106" s="1" t="s">
        <v>2029</v>
      </c>
      <c r="E1106" s="43" t="s">
        <v>1972</v>
      </c>
      <c r="F1106" s="37" t="s">
        <v>2030</v>
      </c>
      <c r="G1106" s="44">
        <v>229400</v>
      </c>
      <c r="H1106" s="44">
        <v>2294</v>
      </c>
    </row>
    <row r="1107" spans="1:8">
      <c r="A1107" s="90">
        <v>127141531181</v>
      </c>
      <c r="B1107" s="1" t="s">
        <v>8</v>
      </c>
      <c r="C1107" s="43" t="s">
        <v>1963</v>
      </c>
      <c r="D1107" s="1" t="s">
        <v>2029</v>
      </c>
      <c r="E1107" s="43" t="s">
        <v>1972</v>
      </c>
      <c r="F1107" s="37" t="s">
        <v>2030</v>
      </c>
      <c r="G1107" s="44">
        <v>2200</v>
      </c>
      <c r="H1107" s="44">
        <v>22</v>
      </c>
    </row>
    <row r="1108" spans="1:8">
      <c r="A1108" s="90">
        <v>127141616145</v>
      </c>
      <c r="B1108" s="1" t="s">
        <v>8</v>
      </c>
      <c r="C1108" s="43" t="s">
        <v>1963</v>
      </c>
      <c r="D1108" s="1" t="s">
        <v>2029</v>
      </c>
      <c r="E1108" s="43" t="s">
        <v>1972</v>
      </c>
      <c r="F1108" s="37" t="s">
        <v>2030</v>
      </c>
      <c r="G1108" s="44">
        <v>5000</v>
      </c>
      <c r="H1108" s="44">
        <v>50</v>
      </c>
    </row>
    <row r="1109" spans="1:8">
      <c r="A1109" s="90">
        <v>127142199177</v>
      </c>
      <c r="B1109" s="1" t="s">
        <v>8</v>
      </c>
      <c r="C1109" s="43" t="s">
        <v>1972</v>
      </c>
      <c r="D1109" s="1" t="s">
        <v>2029</v>
      </c>
      <c r="E1109" s="43" t="s">
        <v>1972</v>
      </c>
      <c r="F1109" s="37" t="s">
        <v>2030</v>
      </c>
      <c r="G1109" s="44">
        <v>38600</v>
      </c>
      <c r="H1109" s="44">
        <v>386</v>
      </c>
    </row>
    <row r="1110" spans="1:8">
      <c r="A1110" s="90">
        <v>127705207416</v>
      </c>
      <c r="B1110" s="1" t="s">
        <v>8</v>
      </c>
      <c r="C1110" s="43" t="s">
        <v>1972</v>
      </c>
      <c r="D1110" s="1" t="s">
        <v>2029</v>
      </c>
      <c r="E1110" s="43" t="s">
        <v>1972</v>
      </c>
      <c r="F1110" s="37" t="s">
        <v>2030</v>
      </c>
      <c r="G1110" s="44">
        <v>10000</v>
      </c>
      <c r="H1110" s="44">
        <v>100</v>
      </c>
    </row>
    <row r="1111" spans="1:8">
      <c r="A1111" s="90">
        <v>127143969217</v>
      </c>
      <c r="B1111" s="1" t="s">
        <v>1790</v>
      </c>
      <c r="C1111" s="43" t="s">
        <v>1972</v>
      </c>
      <c r="D1111" s="1" t="s">
        <v>2029</v>
      </c>
      <c r="E1111" s="43" t="s">
        <v>1972</v>
      </c>
      <c r="F1111" s="37" t="s">
        <v>2030</v>
      </c>
      <c r="G1111" s="44">
        <v>28600</v>
      </c>
      <c r="H1111" s="44">
        <v>286</v>
      </c>
    </row>
    <row r="1112" spans="1:8">
      <c r="A1112" s="90">
        <v>127697127812</v>
      </c>
      <c r="B1112" s="1" t="s">
        <v>1790</v>
      </c>
      <c r="C1112" s="43" t="s">
        <v>1963</v>
      </c>
      <c r="D1112" s="1" t="s">
        <v>2029</v>
      </c>
      <c r="E1112" s="43" t="s">
        <v>1963</v>
      </c>
      <c r="F1112" s="37" t="s">
        <v>2030</v>
      </c>
      <c r="G1112" s="44">
        <v>176000</v>
      </c>
      <c r="H1112" s="44">
        <v>1760</v>
      </c>
    </row>
    <row r="1113" spans="1:8">
      <c r="A1113" s="90">
        <v>127135874547</v>
      </c>
      <c r="B1113" s="1" t="s">
        <v>1790</v>
      </c>
      <c r="C1113" s="43" t="s">
        <v>1963</v>
      </c>
      <c r="D1113" s="1" t="s">
        <v>2029</v>
      </c>
      <c r="E1113" s="43" t="s">
        <v>1963</v>
      </c>
      <c r="F1113" s="37" t="s">
        <v>2030</v>
      </c>
      <c r="G1113" s="44">
        <v>54900</v>
      </c>
      <c r="H1113" s="44">
        <v>549</v>
      </c>
    </row>
    <row r="1114" spans="1:8">
      <c r="A1114" s="90">
        <v>127144478587</v>
      </c>
      <c r="B1114" s="1" t="s">
        <v>8</v>
      </c>
      <c r="C1114" s="43" t="s">
        <v>1972</v>
      </c>
      <c r="D1114" s="1" t="s">
        <v>2029</v>
      </c>
      <c r="E1114" s="43" t="s">
        <v>1972</v>
      </c>
      <c r="F1114" s="37" t="s">
        <v>2030</v>
      </c>
      <c r="G1114" s="44">
        <v>55800</v>
      </c>
      <c r="H1114" s="44">
        <v>558</v>
      </c>
    </row>
    <row r="1115" spans="1:8">
      <c r="A1115" s="90">
        <v>127697846676</v>
      </c>
      <c r="B1115" s="1" t="s">
        <v>8</v>
      </c>
      <c r="C1115" s="43" t="s">
        <v>1963</v>
      </c>
      <c r="D1115" s="1" t="s">
        <v>2029</v>
      </c>
      <c r="E1115" s="43" t="s">
        <v>1963</v>
      </c>
      <c r="F1115" s="37" t="s">
        <v>2030</v>
      </c>
      <c r="G1115" s="44">
        <v>15100</v>
      </c>
      <c r="H1115" s="44">
        <v>151</v>
      </c>
    </row>
    <row r="1116" spans="1:8">
      <c r="A1116" s="90">
        <v>127145306205</v>
      </c>
      <c r="B1116" s="1" t="s">
        <v>1790</v>
      </c>
      <c r="C1116" s="43" t="s">
        <v>1972</v>
      </c>
      <c r="D1116" s="1" t="s">
        <v>2029</v>
      </c>
      <c r="E1116" s="43" t="s">
        <v>1972</v>
      </c>
      <c r="F1116" s="37" t="s">
        <v>2030</v>
      </c>
      <c r="G1116" s="44">
        <v>27900</v>
      </c>
      <c r="H1116" s="44">
        <v>279</v>
      </c>
    </row>
    <row r="1117" spans="1:8">
      <c r="A1117" s="90">
        <v>127698564448</v>
      </c>
      <c r="B1117" s="1" t="s">
        <v>8</v>
      </c>
      <c r="C1117" s="43" t="s">
        <v>1963</v>
      </c>
      <c r="D1117" s="1" t="s">
        <v>2029</v>
      </c>
      <c r="E1117" s="43" t="s">
        <v>1963</v>
      </c>
      <c r="F1117" s="37" t="s">
        <v>2030</v>
      </c>
      <c r="G1117" s="44">
        <v>13500</v>
      </c>
      <c r="H1117" s="44">
        <v>135</v>
      </c>
    </row>
    <row r="1118" spans="1:8">
      <c r="A1118" s="90">
        <v>127707143532</v>
      </c>
      <c r="B1118" s="1" t="s">
        <v>1790</v>
      </c>
      <c r="C1118" s="43" t="s">
        <v>1972</v>
      </c>
      <c r="D1118" s="1" t="s">
        <v>2029</v>
      </c>
      <c r="E1118" s="43" t="s">
        <v>1972</v>
      </c>
      <c r="F1118" s="37" t="s">
        <v>2030</v>
      </c>
      <c r="G1118" s="44">
        <v>31600</v>
      </c>
      <c r="H1118" s="44">
        <v>316</v>
      </c>
    </row>
    <row r="1119" spans="1:8">
      <c r="A1119" s="90">
        <v>127707316320</v>
      </c>
      <c r="B1119" s="1" t="s">
        <v>8</v>
      </c>
      <c r="C1119" s="43" t="s">
        <v>1972</v>
      </c>
      <c r="D1119" s="1" t="s">
        <v>2029</v>
      </c>
      <c r="E1119" s="43" t="s">
        <v>1972</v>
      </c>
      <c r="F1119" s="37" t="s">
        <v>2030</v>
      </c>
      <c r="G1119" s="44">
        <v>29400</v>
      </c>
      <c r="H1119" s="44">
        <v>294</v>
      </c>
    </row>
    <row r="1120" spans="1:8">
      <c r="A1120" s="90">
        <v>127137102327</v>
      </c>
      <c r="B1120" s="1" t="s">
        <v>1790</v>
      </c>
      <c r="C1120" s="43" t="s">
        <v>1963</v>
      </c>
      <c r="D1120" s="1" t="s">
        <v>2029</v>
      </c>
      <c r="E1120" s="43" t="s">
        <v>1963</v>
      </c>
      <c r="F1120" s="37" t="s">
        <v>2030</v>
      </c>
      <c r="G1120" s="44">
        <v>39900</v>
      </c>
      <c r="H1120" s="44">
        <v>399</v>
      </c>
    </row>
    <row r="1121" spans="1:8">
      <c r="A1121" s="90">
        <v>127699484268</v>
      </c>
      <c r="B1121" s="1" t="s">
        <v>1790</v>
      </c>
      <c r="C1121" s="43" t="s">
        <v>1963</v>
      </c>
      <c r="D1121" s="1" t="s">
        <v>2029</v>
      </c>
      <c r="E1121" s="43" t="s">
        <v>1963</v>
      </c>
      <c r="F1121" s="37" t="s">
        <v>2030</v>
      </c>
      <c r="G1121" s="44">
        <v>40200</v>
      </c>
      <c r="H1121" s="44">
        <v>402</v>
      </c>
    </row>
    <row r="1122" spans="1:8">
      <c r="A1122" s="90">
        <v>127138460989</v>
      </c>
      <c r="B1122" s="1" t="s">
        <v>1790</v>
      </c>
      <c r="C1122" s="43" t="s">
        <v>1963</v>
      </c>
      <c r="D1122" s="1" t="s">
        <v>2029</v>
      </c>
      <c r="E1122" s="43" t="s">
        <v>1963</v>
      </c>
      <c r="F1122" s="37" t="s">
        <v>2030</v>
      </c>
      <c r="G1122" s="44">
        <v>42100</v>
      </c>
      <c r="H1122" s="44">
        <v>421</v>
      </c>
    </row>
    <row r="1123" spans="1:8">
      <c r="A1123" s="90">
        <v>127138622917</v>
      </c>
      <c r="B1123" s="1" t="s">
        <v>1790</v>
      </c>
      <c r="C1123" s="43" t="s">
        <v>1963</v>
      </c>
      <c r="D1123" s="1" t="s">
        <v>2029</v>
      </c>
      <c r="E1123" s="43" t="s">
        <v>1963</v>
      </c>
      <c r="F1123" s="37" t="s">
        <v>2030</v>
      </c>
      <c r="G1123" s="44">
        <v>4300</v>
      </c>
      <c r="H1123" s="44">
        <v>43</v>
      </c>
    </row>
    <row r="1124" spans="1:8">
      <c r="A1124" s="90">
        <v>127702181460</v>
      </c>
      <c r="B1124" s="1" t="s">
        <v>8</v>
      </c>
      <c r="C1124" s="43" t="s">
        <v>1963</v>
      </c>
      <c r="D1124" s="1" t="s">
        <v>2029</v>
      </c>
      <c r="E1124" s="43" t="s">
        <v>1972</v>
      </c>
      <c r="F1124" s="37" t="s">
        <v>2030</v>
      </c>
      <c r="G1124" s="44">
        <v>7400</v>
      </c>
      <c r="H1124" s="44">
        <v>74</v>
      </c>
    </row>
    <row r="1125" spans="1:8">
      <c r="A1125" s="90">
        <v>127702629144</v>
      </c>
      <c r="B1125" s="1" t="s">
        <v>8</v>
      </c>
      <c r="C1125" s="43" t="s">
        <v>1963</v>
      </c>
      <c r="D1125" s="1" t="s">
        <v>2029</v>
      </c>
      <c r="E1125" s="43" t="s">
        <v>1972</v>
      </c>
      <c r="F1125" s="37" t="s">
        <v>2030</v>
      </c>
      <c r="G1125" s="44">
        <v>5000</v>
      </c>
      <c r="H1125" s="44">
        <v>50</v>
      </c>
    </row>
    <row r="1126" spans="1:8">
      <c r="A1126" s="90">
        <v>127141798509</v>
      </c>
      <c r="B1126" s="1" t="s">
        <v>8</v>
      </c>
      <c r="C1126" s="43" t="s">
        <v>1963</v>
      </c>
      <c r="D1126" s="1" t="s">
        <v>2029</v>
      </c>
      <c r="E1126" s="43" t="s">
        <v>1972</v>
      </c>
      <c r="F1126" s="37" t="s">
        <v>2030</v>
      </c>
      <c r="G1126" s="44">
        <v>23000</v>
      </c>
      <c r="H1126" s="44">
        <v>230</v>
      </c>
    </row>
    <row r="1127" spans="1:8">
      <c r="A1127" s="90">
        <v>127703776340</v>
      </c>
      <c r="B1127" s="1" t="s">
        <v>8</v>
      </c>
      <c r="C1127" s="43" t="s">
        <v>1963</v>
      </c>
      <c r="D1127" s="1" t="s">
        <v>2029</v>
      </c>
      <c r="E1127" s="43" t="s">
        <v>1972</v>
      </c>
      <c r="F1127" s="37" t="s">
        <v>2030</v>
      </c>
      <c r="G1127" s="44">
        <v>122000</v>
      </c>
      <c r="H1127" s="44">
        <v>1220</v>
      </c>
    </row>
    <row r="1128" spans="1:8">
      <c r="A1128" s="90">
        <v>127141989725</v>
      </c>
      <c r="B1128" s="1" t="s">
        <v>8</v>
      </c>
      <c r="C1128" s="43" t="s">
        <v>1963</v>
      </c>
      <c r="D1128" s="1" t="s">
        <v>2029</v>
      </c>
      <c r="E1128" s="43" t="s">
        <v>1972</v>
      </c>
      <c r="F1128" s="37" t="s">
        <v>2030</v>
      </c>
      <c r="G1128" s="44">
        <v>18600</v>
      </c>
      <c r="H1128" s="44">
        <v>186</v>
      </c>
    </row>
    <row r="1129" spans="1:8">
      <c r="A1129" s="90">
        <v>127142183777</v>
      </c>
      <c r="B1129" s="1" t="s">
        <v>8</v>
      </c>
      <c r="C1129" s="43" t="s">
        <v>1972</v>
      </c>
      <c r="D1129" s="1" t="s">
        <v>2029</v>
      </c>
      <c r="E1129" s="43" t="s">
        <v>1972</v>
      </c>
      <c r="F1129" s="37" t="s">
        <v>2030</v>
      </c>
      <c r="G1129" s="44">
        <v>8800</v>
      </c>
      <c r="H1129" s="44">
        <v>88</v>
      </c>
    </row>
    <row r="1130" spans="1:8">
      <c r="A1130" s="90">
        <v>127142483797</v>
      </c>
      <c r="B1130" s="1" t="s">
        <v>8</v>
      </c>
      <c r="C1130" s="43" t="s">
        <v>1972</v>
      </c>
      <c r="D1130" s="1" t="s">
        <v>2029</v>
      </c>
      <c r="E1130" s="43" t="s">
        <v>1972</v>
      </c>
      <c r="F1130" s="37" t="s">
        <v>2030</v>
      </c>
      <c r="G1130" s="44">
        <v>42000</v>
      </c>
      <c r="H1130" s="44">
        <v>420</v>
      </c>
    </row>
    <row r="1131" spans="1:8">
      <c r="A1131" s="90">
        <v>127704640858</v>
      </c>
      <c r="B1131" s="1" t="s">
        <v>8</v>
      </c>
      <c r="C1131" s="43" t="s">
        <v>1972</v>
      </c>
      <c r="D1131" s="1" t="s">
        <v>2029</v>
      </c>
      <c r="E1131" s="43" t="s">
        <v>1972</v>
      </c>
      <c r="F1131" s="37" t="s">
        <v>2030</v>
      </c>
      <c r="G1131" s="44">
        <v>12900</v>
      </c>
      <c r="H1131" s="44">
        <v>129</v>
      </c>
    </row>
    <row r="1132" spans="1:8">
      <c r="A1132" s="90">
        <v>127704837868</v>
      </c>
      <c r="B1132" s="1" t="s">
        <v>1790</v>
      </c>
      <c r="C1132" s="43" t="s">
        <v>1972</v>
      </c>
      <c r="D1132" s="1" t="s">
        <v>2029</v>
      </c>
      <c r="E1132" s="43" t="s">
        <v>1972</v>
      </c>
      <c r="F1132" s="37" t="s">
        <v>2030</v>
      </c>
      <c r="G1132" s="44">
        <v>39400</v>
      </c>
      <c r="H1132" s="44">
        <v>394</v>
      </c>
    </row>
    <row r="1133" spans="1:8">
      <c r="A1133" s="90">
        <v>127705296188</v>
      </c>
      <c r="B1133" s="1" t="s">
        <v>8</v>
      </c>
      <c r="C1133" s="43" t="s">
        <v>1972</v>
      </c>
      <c r="D1133" s="1" t="s">
        <v>2029</v>
      </c>
      <c r="E1133" s="43" t="s">
        <v>1972</v>
      </c>
      <c r="F1133" s="37" t="s">
        <v>2030</v>
      </c>
      <c r="G1133" s="44">
        <v>62900</v>
      </c>
      <c r="H1133" s="44">
        <v>629</v>
      </c>
    </row>
    <row r="1134" spans="1:8">
      <c r="A1134" s="90">
        <v>127143767515</v>
      </c>
      <c r="B1134" s="1" t="s">
        <v>8</v>
      </c>
      <c r="C1134" s="43" t="s">
        <v>1972</v>
      </c>
      <c r="D1134" s="1" t="s">
        <v>2029</v>
      </c>
      <c r="E1134" s="43" t="s">
        <v>1972</v>
      </c>
      <c r="F1134" s="37" t="s">
        <v>2030</v>
      </c>
      <c r="G1134" s="44">
        <v>6200</v>
      </c>
      <c r="H1134" s="44">
        <v>62</v>
      </c>
    </row>
    <row r="1135" spans="1:8">
      <c r="A1135" s="90">
        <v>127705564586</v>
      </c>
      <c r="B1135" s="1" t="s">
        <v>1790</v>
      </c>
      <c r="C1135" s="43" t="s">
        <v>1972</v>
      </c>
      <c r="D1135" s="1" t="s">
        <v>2029</v>
      </c>
      <c r="E1135" s="43" t="s">
        <v>1972</v>
      </c>
      <c r="F1135" s="37" t="s">
        <v>2030</v>
      </c>
      <c r="G1135" s="44">
        <v>28600</v>
      </c>
      <c r="H1135" s="44">
        <v>286</v>
      </c>
    </row>
    <row r="1136" spans="1:8">
      <c r="A1136" s="90">
        <v>127144387259</v>
      </c>
      <c r="B1136" s="1" t="s">
        <v>8</v>
      </c>
      <c r="C1136" s="43" t="s">
        <v>1972</v>
      </c>
      <c r="D1136" s="1" t="s">
        <v>2029</v>
      </c>
      <c r="E1136" s="43" t="s">
        <v>1972</v>
      </c>
      <c r="F1136" s="37" t="s">
        <v>2030</v>
      </c>
      <c r="G1136" s="44">
        <v>15800</v>
      </c>
      <c r="H1136" s="44">
        <v>158</v>
      </c>
    </row>
    <row r="1137" spans="1:8">
      <c r="A1137" s="90">
        <v>127144733153</v>
      </c>
      <c r="B1137" s="1" t="s">
        <v>8</v>
      </c>
      <c r="C1137" s="43" t="s">
        <v>1972</v>
      </c>
      <c r="D1137" s="1" t="s">
        <v>2029</v>
      </c>
      <c r="E1137" s="43" t="s">
        <v>1972</v>
      </c>
      <c r="F1137" s="37" t="s">
        <v>2030</v>
      </c>
      <c r="G1137" s="44">
        <v>10800</v>
      </c>
      <c r="H1137" s="44">
        <v>108</v>
      </c>
    </row>
    <row r="1138" spans="1:8">
      <c r="A1138" s="90">
        <v>127145169313</v>
      </c>
      <c r="B1138" s="1" t="s">
        <v>8</v>
      </c>
      <c r="C1138" s="43" t="s">
        <v>1972</v>
      </c>
      <c r="D1138" s="1" t="s">
        <v>2029</v>
      </c>
      <c r="E1138" s="43" t="s">
        <v>1972</v>
      </c>
      <c r="F1138" s="37" t="s">
        <v>2030</v>
      </c>
      <c r="G1138" s="44">
        <v>10300</v>
      </c>
      <c r="H1138" s="44">
        <v>103</v>
      </c>
    </row>
    <row r="1139" spans="1:8">
      <c r="A1139" s="90">
        <v>127145410663</v>
      </c>
      <c r="B1139" s="1" t="s">
        <v>1790</v>
      </c>
      <c r="C1139" s="43" t="s">
        <v>1972</v>
      </c>
      <c r="D1139" s="1" t="s">
        <v>2029</v>
      </c>
      <c r="E1139" s="43" t="s">
        <v>1972</v>
      </c>
      <c r="F1139" s="37" t="s">
        <v>2030</v>
      </c>
      <c r="G1139" s="44">
        <v>135200</v>
      </c>
      <c r="H1139" s="44">
        <v>1352</v>
      </c>
    </row>
    <row r="1140" spans="1:8">
      <c r="A1140" s="90">
        <v>127707273290</v>
      </c>
      <c r="B1140" s="1" t="s">
        <v>8</v>
      </c>
      <c r="C1140" s="43" t="s">
        <v>1972</v>
      </c>
      <c r="D1140" s="1" t="s">
        <v>2029</v>
      </c>
      <c r="E1140" s="43" t="s">
        <v>1972</v>
      </c>
      <c r="F1140" s="37" t="s">
        <v>2030</v>
      </c>
      <c r="G1140" s="44">
        <v>42400</v>
      </c>
      <c r="H1140" s="44">
        <v>424</v>
      </c>
    </row>
    <row r="1141" spans="1:8">
      <c r="A1141" s="90">
        <v>127785471812</v>
      </c>
      <c r="B1141" s="1" t="s">
        <v>8</v>
      </c>
      <c r="C1141" s="43" t="s">
        <v>1972</v>
      </c>
      <c r="D1141" s="1" t="s">
        <v>2029</v>
      </c>
      <c r="E1141" s="43" t="s">
        <v>1972</v>
      </c>
      <c r="F1141" s="37" t="s">
        <v>2030</v>
      </c>
      <c r="G1141" s="44">
        <v>13500</v>
      </c>
      <c r="H1141" s="44">
        <v>135</v>
      </c>
    </row>
    <row r="1142" spans="1:8">
      <c r="A1142" s="90">
        <v>127788429684</v>
      </c>
      <c r="B1142" s="1" t="s">
        <v>8</v>
      </c>
      <c r="C1142" s="43" t="s">
        <v>1972</v>
      </c>
      <c r="D1142" s="1" t="s">
        <v>2029</v>
      </c>
      <c r="E1142" s="43" t="s">
        <v>1972</v>
      </c>
      <c r="F1142" s="37" t="s">
        <v>2030</v>
      </c>
      <c r="G1142" s="44">
        <v>16000</v>
      </c>
      <c r="H1142" s="44">
        <v>160</v>
      </c>
    </row>
    <row r="1143" spans="1:8">
      <c r="A1143" s="90">
        <v>127789821032</v>
      </c>
      <c r="B1143" s="1" t="s">
        <v>1790</v>
      </c>
      <c r="C1143" s="43" t="s">
        <v>1972</v>
      </c>
      <c r="D1143" s="1" t="s">
        <v>2029</v>
      </c>
      <c r="E1143" s="43" t="s">
        <v>1972</v>
      </c>
      <c r="F1143" s="37" t="s">
        <v>2030</v>
      </c>
      <c r="G1143" s="44">
        <v>8500</v>
      </c>
      <c r="H1143" s="44">
        <v>85</v>
      </c>
    </row>
    <row r="1144" spans="1:8">
      <c r="A1144" s="90">
        <v>127228393663</v>
      </c>
      <c r="B1144" s="1" t="s">
        <v>8</v>
      </c>
      <c r="C1144" s="43" t="s">
        <v>1972</v>
      </c>
      <c r="D1144" s="1" t="s">
        <v>2029</v>
      </c>
      <c r="E1144" s="43" t="s">
        <v>1972</v>
      </c>
      <c r="F1144" s="37" t="s">
        <v>2030</v>
      </c>
      <c r="G1144" s="44">
        <v>9400</v>
      </c>
      <c r="H1144" s="44">
        <v>94</v>
      </c>
    </row>
    <row r="1145" spans="1:8">
      <c r="A1145" s="90">
        <v>127229216263</v>
      </c>
      <c r="B1145" s="1" t="s">
        <v>8</v>
      </c>
      <c r="C1145" s="43" t="s">
        <v>1972</v>
      </c>
      <c r="D1145" s="1" t="s">
        <v>2029</v>
      </c>
      <c r="E1145" s="43" t="s">
        <v>1972</v>
      </c>
      <c r="F1145" s="37" t="s">
        <v>2030</v>
      </c>
      <c r="G1145" s="44">
        <v>16500</v>
      </c>
      <c r="H1145" s="44">
        <v>165</v>
      </c>
    </row>
    <row r="1146" spans="1:8">
      <c r="A1146" s="90">
        <v>127791466702</v>
      </c>
      <c r="B1146" s="1" t="s">
        <v>8</v>
      </c>
      <c r="C1146" s="43" t="s">
        <v>1972</v>
      </c>
      <c r="D1146" s="1" t="s">
        <v>2029</v>
      </c>
      <c r="E1146" s="43" t="s">
        <v>1972</v>
      </c>
      <c r="F1146" s="37" t="s">
        <v>2030</v>
      </c>
      <c r="G1146" s="44">
        <v>10900</v>
      </c>
      <c r="H1146" s="44">
        <v>109</v>
      </c>
    </row>
    <row r="1147" spans="1:8">
      <c r="A1147" s="90">
        <v>127220230833</v>
      </c>
      <c r="B1147" s="1" t="s">
        <v>8</v>
      </c>
      <c r="C1147" s="43" t="s">
        <v>1972</v>
      </c>
      <c r="D1147" s="1" t="s">
        <v>2029</v>
      </c>
      <c r="E1147" s="43" t="s">
        <v>1972</v>
      </c>
      <c r="F1147" s="37" t="s">
        <v>2030</v>
      </c>
      <c r="G1147" s="44">
        <v>5500</v>
      </c>
      <c r="H1147" s="44">
        <v>55</v>
      </c>
    </row>
    <row r="1148" spans="1:8">
      <c r="A1148" s="90">
        <v>127231821275</v>
      </c>
      <c r="B1148" s="1" t="s">
        <v>8</v>
      </c>
      <c r="C1148" s="43" t="s">
        <v>1972</v>
      </c>
      <c r="D1148" s="1" t="s">
        <v>2029</v>
      </c>
      <c r="E1148" s="43" t="s">
        <v>1972</v>
      </c>
      <c r="F1148" s="37" t="s">
        <v>2030</v>
      </c>
      <c r="G1148" s="44">
        <v>4700</v>
      </c>
      <c r="H1148" s="44">
        <v>47</v>
      </c>
    </row>
    <row r="1149" spans="1:8">
      <c r="A1149" s="90">
        <v>127794328414</v>
      </c>
      <c r="B1149" s="1" t="s">
        <v>8</v>
      </c>
      <c r="C1149" s="43" t="s">
        <v>1972</v>
      </c>
      <c r="D1149" s="1" t="s">
        <v>2029</v>
      </c>
      <c r="E1149" s="43" t="s">
        <v>1972</v>
      </c>
      <c r="F1149" s="37" t="s">
        <v>2030</v>
      </c>
      <c r="G1149" s="44">
        <v>12700</v>
      </c>
      <c r="H1149" s="44">
        <v>127</v>
      </c>
    </row>
    <row r="1150" spans="1:8">
      <c r="A1150" s="90">
        <v>127233936785</v>
      </c>
      <c r="B1150" s="1" t="s">
        <v>1790</v>
      </c>
      <c r="C1150" s="43" t="s">
        <v>1972</v>
      </c>
      <c r="D1150" s="1" t="s">
        <v>2029</v>
      </c>
      <c r="E1150" s="43" t="s">
        <v>1972</v>
      </c>
      <c r="F1150" s="37" t="s">
        <v>2030</v>
      </c>
      <c r="G1150" s="44">
        <v>9000</v>
      </c>
      <c r="H1150" s="44">
        <v>90</v>
      </c>
    </row>
    <row r="1151" spans="1:8">
      <c r="A1151" s="90">
        <v>127234256045</v>
      </c>
      <c r="B1151" s="1" t="s">
        <v>1790</v>
      </c>
      <c r="C1151" s="43" t="s">
        <v>1972</v>
      </c>
      <c r="D1151" s="1" t="s">
        <v>2029</v>
      </c>
      <c r="E1151" s="43" t="s">
        <v>1972</v>
      </c>
      <c r="F1151" s="37" t="s">
        <v>2030</v>
      </c>
      <c r="G1151" s="44">
        <v>5700</v>
      </c>
      <c r="H1151" s="44">
        <v>57</v>
      </c>
    </row>
    <row r="1152" spans="1:8">
      <c r="A1152" s="90">
        <v>127796618374</v>
      </c>
      <c r="B1152" s="1" t="s">
        <v>8</v>
      </c>
      <c r="C1152" s="43" t="s">
        <v>1972</v>
      </c>
      <c r="D1152" s="1" t="s">
        <v>2029</v>
      </c>
      <c r="E1152" s="43" t="s">
        <v>1972</v>
      </c>
      <c r="F1152" s="37" t="s">
        <v>2030</v>
      </c>
      <c r="G1152" s="44">
        <v>7400</v>
      </c>
      <c r="H1152" s="44">
        <v>74</v>
      </c>
    </row>
    <row r="1153" spans="1:8">
      <c r="A1153" s="90">
        <v>127787969538</v>
      </c>
      <c r="B1153" s="1" t="s">
        <v>1790</v>
      </c>
      <c r="C1153" s="43" t="s">
        <v>1972</v>
      </c>
      <c r="D1153" s="1" t="s">
        <v>2029</v>
      </c>
      <c r="E1153" s="43" t="s">
        <v>1972</v>
      </c>
      <c r="F1153" s="37" t="s">
        <v>2030</v>
      </c>
      <c r="G1153" s="44">
        <v>7800</v>
      </c>
      <c r="H1153" s="44">
        <v>78</v>
      </c>
    </row>
    <row r="1154" spans="1:8">
      <c r="A1154" s="90">
        <v>127228416533</v>
      </c>
      <c r="B1154" s="1" t="s">
        <v>8</v>
      </c>
      <c r="C1154" s="43" t="s">
        <v>1972</v>
      </c>
      <c r="D1154" s="1" t="s">
        <v>2029</v>
      </c>
      <c r="E1154" s="43" t="s">
        <v>1972</v>
      </c>
      <c r="F1154" s="37" t="s">
        <v>2030</v>
      </c>
      <c r="G1154" s="44">
        <v>25200</v>
      </c>
      <c r="H1154" s="44">
        <v>252</v>
      </c>
    </row>
    <row r="1155" spans="1:8">
      <c r="A1155" s="90">
        <v>127238351915</v>
      </c>
      <c r="B1155" s="1" t="s">
        <v>8</v>
      </c>
      <c r="C1155" s="43" t="s">
        <v>1972</v>
      </c>
      <c r="D1155" s="1" t="s">
        <v>2029</v>
      </c>
      <c r="E1155" s="43" t="s">
        <v>1972</v>
      </c>
      <c r="F1155" s="37" t="s">
        <v>2030</v>
      </c>
      <c r="G1155" s="44">
        <v>34000</v>
      </c>
      <c r="H1155" s="44">
        <v>340</v>
      </c>
    </row>
    <row r="1156" spans="1:8">
      <c r="A1156" s="90">
        <v>127239227751</v>
      </c>
      <c r="B1156" s="1" t="s">
        <v>1790</v>
      </c>
      <c r="C1156" s="43" t="s">
        <v>1972</v>
      </c>
      <c r="D1156" s="1" t="s">
        <v>2029</v>
      </c>
      <c r="E1156" s="43" t="s">
        <v>1972</v>
      </c>
      <c r="F1156" s="37" t="s">
        <v>2030</v>
      </c>
      <c r="G1156" s="44">
        <v>23200</v>
      </c>
      <c r="H1156" s="44">
        <v>232</v>
      </c>
    </row>
    <row r="1157" spans="1:8">
      <c r="A1157" s="90">
        <v>127239351455</v>
      </c>
      <c r="B1157" s="1" t="s">
        <v>8</v>
      </c>
      <c r="C1157" s="43" t="s">
        <v>1972</v>
      </c>
      <c r="D1157" s="1" t="s">
        <v>2029</v>
      </c>
      <c r="E1157" s="43" t="s">
        <v>1972</v>
      </c>
      <c r="F1157" s="37" t="s">
        <v>2030</v>
      </c>
      <c r="G1157" s="44">
        <v>22800</v>
      </c>
      <c r="H1157" s="44">
        <v>228</v>
      </c>
    </row>
    <row r="1158" spans="1:8">
      <c r="A1158" s="90">
        <v>127792154848</v>
      </c>
      <c r="B1158" s="1" t="s">
        <v>1790</v>
      </c>
      <c r="C1158" s="43" t="s">
        <v>1972</v>
      </c>
      <c r="D1158" s="1" t="s">
        <v>2029</v>
      </c>
      <c r="E1158" s="43" t="s">
        <v>1972</v>
      </c>
      <c r="F1158" s="37" t="s">
        <v>2030</v>
      </c>
      <c r="G1158" s="44">
        <v>9000</v>
      </c>
      <c r="H1158" s="44">
        <v>90</v>
      </c>
    </row>
    <row r="1159" spans="1:8">
      <c r="A1159" s="90">
        <v>127239890865</v>
      </c>
      <c r="B1159" s="1" t="s">
        <v>8</v>
      </c>
      <c r="C1159" s="43" t="s">
        <v>1972</v>
      </c>
      <c r="D1159" s="1" t="s">
        <v>2029</v>
      </c>
      <c r="E1159" s="43" t="s">
        <v>1972</v>
      </c>
      <c r="F1159" s="37" t="s">
        <v>2030</v>
      </c>
      <c r="G1159" s="44">
        <v>32200</v>
      </c>
      <c r="H1159" s="44">
        <v>322</v>
      </c>
    </row>
    <row r="1160" spans="1:8">
      <c r="A1160" s="90">
        <v>127803309066</v>
      </c>
      <c r="B1160" s="1" t="s">
        <v>8</v>
      </c>
      <c r="C1160" s="43" t="s">
        <v>1972</v>
      </c>
      <c r="D1160" s="1" t="s">
        <v>2029</v>
      </c>
      <c r="E1160" s="43" t="s">
        <v>1972</v>
      </c>
      <c r="F1160" s="37" t="s">
        <v>2030</v>
      </c>
      <c r="G1160" s="44">
        <v>74100</v>
      </c>
      <c r="H1160" s="44">
        <v>741</v>
      </c>
    </row>
    <row r="1161" spans="1:8">
      <c r="A1161" s="90">
        <v>127241451265</v>
      </c>
      <c r="B1161" s="1" t="s">
        <v>8</v>
      </c>
      <c r="C1161" s="43" t="s">
        <v>1972</v>
      </c>
      <c r="D1161" s="1" t="s">
        <v>2029</v>
      </c>
      <c r="E1161" s="43" t="s">
        <v>1972</v>
      </c>
      <c r="F1161" s="37" t="s">
        <v>2030</v>
      </c>
      <c r="G1161" s="44">
        <v>14800</v>
      </c>
      <c r="H1161" s="44">
        <v>148</v>
      </c>
    </row>
    <row r="1162" spans="1:8">
      <c r="A1162" s="90">
        <v>127803525440</v>
      </c>
      <c r="B1162" s="1" t="s">
        <v>8</v>
      </c>
      <c r="C1162" s="43" t="s">
        <v>1972</v>
      </c>
      <c r="D1162" s="1" t="s">
        <v>2029</v>
      </c>
      <c r="E1162" s="43" t="s">
        <v>1972</v>
      </c>
      <c r="F1162" s="37" t="s">
        <v>2030</v>
      </c>
      <c r="G1162" s="44">
        <v>8500</v>
      </c>
      <c r="H1162" s="44">
        <v>85</v>
      </c>
    </row>
    <row r="1163" spans="1:8">
      <c r="A1163" s="90">
        <v>127794377100</v>
      </c>
      <c r="B1163" s="1" t="s">
        <v>8</v>
      </c>
      <c r="C1163" s="43" t="s">
        <v>1972</v>
      </c>
      <c r="D1163" s="1" t="s">
        <v>2029</v>
      </c>
      <c r="E1163" s="43" t="s">
        <v>1972</v>
      </c>
      <c r="F1163" s="37" t="s">
        <v>2030</v>
      </c>
      <c r="G1163" s="44">
        <v>31600</v>
      </c>
      <c r="H1163" s="44">
        <v>316</v>
      </c>
    </row>
    <row r="1164" spans="1:8">
      <c r="A1164" s="90">
        <v>127233151759</v>
      </c>
      <c r="B1164" s="1" t="s">
        <v>8</v>
      </c>
      <c r="C1164" s="43" t="s">
        <v>1972</v>
      </c>
      <c r="D1164" s="1" t="s">
        <v>2029</v>
      </c>
      <c r="E1164" s="43" t="s">
        <v>1972</v>
      </c>
      <c r="F1164" s="37" t="s">
        <v>2030</v>
      </c>
      <c r="G1164" s="44">
        <v>5500</v>
      </c>
      <c r="H1164" s="44">
        <v>55</v>
      </c>
    </row>
    <row r="1165" spans="1:8">
      <c r="A1165" s="90">
        <v>127242782269</v>
      </c>
      <c r="B1165" s="1" t="s">
        <v>1790</v>
      </c>
      <c r="C1165" s="43" t="s">
        <v>1972</v>
      </c>
      <c r="D1165" s="1" t="s">
        <v>2029</v>
      </c>
      <c r="E1165" s="43" t="s">
        <v>1972</v>
      </c>
      <c r="F1165" s="37" t="s">
        <v>2030</v>
      </c>
      <c r="G1165" s="44">
        <v>37800</v>
      </c>
      <c r="H1165" s="44">
        <v>378</v>
      </c>
    </row>
    <row r="1166" spans="1:8">
      <c r="A1166" s="90">
        <v>127243983795</v>
      </c>
      <c r="B1166" s="1" t="s">
        <v>1790</v>
      </c>
      <c r="C1166" s="43" t="s">
        <v>1972</v>
      </c>
      <c r="D1166" s="1" t="s">
        <v>2029</v>
      </c>
      <c r="E1166" s="43" t="s">
        <v>1972</v>
      </c>
      <c r="F1166" s="37" t="s">
        <v>2030</v>
      </c>
      <c r="G1166" s="44">
        <v>18500</v>
      </c>
      <c r="H1166" s="44">
        <v>185</v>
      </c>
    </row>
    <row r="1167" spans="1:8">
      <c r="A1167" s="90">
        <v>127234704203</v>
      </c>
      <c r="B1167" s="1" t="s">
        <v>8</v>
      </c>
      <c r="C1167" s="43" t="s">
        <v>1972</v>
      </c>
      <c r="D1167" s="1" t="s">
        <v>2029</v>
      </c>
      <c r="E1167" s="43" t="s">
        <v>1972</v>
      </c>
      <c r="F1167" s="37" t="s">
        <v>2030</v>
      </c>
      <c r="G1167" s="44">
        <v>27400</v>
      </c>
      <c r="H1167" s="44">
        <v>274</v>
      </c>
    </row>
    <row r="1168" spans="1:8">
      <c r="A1168" s="90">
        <v>127807055040</v>
      </c>
      <c r="B1168" s="1" t="s">
        <v>8</v>
      </c>
      <c r="C1168" s="43" t="s">
        <v>1972</v>
      </c>
      <c r="D1168" s="1" t="s">
        <v>2029</v>
      </c>
      <c r="E1168" s="43" t="s">
        <v>1972</v>
      </c>
      <c r="F1168" s="37" t="s">
        <v>2030</v>
      </c>
      <c r="G1168" s="44">
        <v>36800</v>
      </c>
      <c r="H1168" s="44">
        <v>368</v>
      </c>
    </row>
    <row r="1169" spans="1:8">
      <c r="A1169" s="90">
        <v>127807178114</v>
      </c>
      <c r="B1169" s="1" t="s">
        <v>8</v>
      </c>
      <c r="C1169" s="43" t="s">
        <v>1972</v>
      </c>
      <c r="D1169" s="1" t="s">
        <v>2029</v>
      </c>
      <c r="E1169" s="43" t="s">
        <v>1972</v>
      </c>
      <c r="F1169" s="37" t="s">
        <v>2030</v>
      </c>
      <c r="G1169" s="44">
        <v>125600</v>
      </c>
      <c r="H1169" s="44">
        <v>1256</v>
      </c>
    </row>
    <row r="1170" spans="1:8">
      <c r="A1170" s="90">
        <v>127807303014</v>
      </c>
      <c r="B1170" s="1" t="s">
        <v>1790</v>
      </c>
      <c r="C1170" s="43" t="s">
        <v>1972</v>
      </c>
      <c r="D1170" s="1" t="s">
        <v>2029</v>
      </c>
      <c r="E1170" s="43" t="s">
        <v>1972</v>
      </c>
      <c r="F1170" s="37" t="s">
        <v>2030</v>
      </c>
      <c r="G1170" s="44">
        <v>50100</v>
      </c>
      <c r="H1170" s="44">
        <v>501</v>
      </c>
    </row>
    <row r="1171" spans="1:8">
      <c r="A1171" s="90">
        <v>127807371108</v>
      </c>
      <c r="B1171" s="1" t="s">
        <v>1790</v>
      </c>
      <c r="C1171" s="43" t="s">
        <v>1972</v>
      </c>
      <c r="D1171" s="1" t="s">
        <v>2029</v>
      </c>
      <c r="E1171" s="43" t="s">
        <v>1972</v>
      </c>
      <c r="F1171" s="37" t="s">
        <v>2030</v>
      </c>
      <c r="G1171" s="44">
        <v>10600</v>
      </c>
      <c r="H1171" s="44">
        <v>106</v>
      </c>
    </row>
    <row r="1172" spans="1:8">
      <c r="A1172" s="90">
        <v>127245659321</v>
      </c>
      <c r="B1172" s="1" t="s">
        <v>8</v>
      </c>
      <c r="C1172" s="43" t="s">
        <v>1972</v>
      </c>
      <c r="D1172" s="1" t="s">
        <v>2029</v>
      </c>
      <c r="E1172" s="43" t="s">
        <v>1982</v>
      </c>
      <c r="F1172" s="37" t="s">
        <v>2030</v>
      </c>
      <c r="G1172" s="44">
        <v>11500</v>
      </c>
      <c r="H1172" s="44">
        <v>115</v>
      </c>
    </row>
    <row r="1173" spans="1:8">
      <c r="A1173" s="90">
        <v>127808394028</v>
      </c>
      <c r="B1173" s="1" t="s">
        <v>8</v>
      </c>
      <c r="C1173" s="43" t="s">
        <v>1972</v>
      </c>
      <c r="D1173" s="1" t="s">
        <v>2029</v>
      </c>
      <c r="E1173" s="43" t="s">
        <v>1982</v>
      </c>
      <c r="F1173" s="37" t="s">
        <v>2030</v>
      </c>
      <c r="G1173" s="44">
        <v>60800</v>
      </c>
      <c r="H1173" s="44">
        <v>608</v>
      </c>
    </row>
    <row r="1174" spans="1:8">
      <c r="A1174" s="90">
        <v>127799026568</v>
      </c>
      <c r="B1174" s="1" t="s">
        <v>8</v>
      </c>
      <c r="C1174" s="43" t="s">
        <v>1972</v>
      </c>
      <c r="D1174" s="1" t="s">
        <v>2029</v>
      </c>
      <c r="E1174" s="43" t="s">
        <v>1972</v>
      </c>
      <c r="F1174" s="37" t="s">
        <v>2030</v>
      </c>
      <c r="G1174" s="44">
        <v>8600</v>
      </c>
      <c r="H1174" s="44">
        <v>86</v>
      </c>
    </row>
    <row r="1175" spans="1:8">
      <c r="A1175" s="90">
        <v>127246949555</v>
      </c>
      <c r="B1175" s="1" t="s">
        <v>1790</v>
      </c>
      <c r="C1175" s="43" t="s">
        <v>1972</v>
      </c>
      <c r="D1175" s="1" t="s">
        <v>2029</v>
      </c>
      <c r="E1175" s="43" t="s">
        <v>1982</v>
      </c>
      <c r="F1175" s="37" t="s">
        <v>2030</v>
      </c>
      <c r="G1175" s="44">
        <v>74800</v>
      </c>
      <c r="H1175" s="44">
        <v>748</v>
      </c>
    </row>
    <row r="1176" spans="1:8">
      <c r="A1176" s="90">
        <v>127809109126</v>
      </c>
      <c r="B1176" s="1" t="s">
        <v>1790</v>
      </c>
      <c r="C1176" s="43" t="s">
        <v>1972</v>
      </c>
      <c r="D1176" s="1" t="s">
        <v>2029</v>
      </c>
      <c r="E1176" s="43" t="s">
        <v>1982</v>
      </c>
      <c r="F1176" s="37" t="s">
        <v>2030</v>
      </c>
      <c r="G1176" s="44">
        <v>46800</v>
      </c>
      <c r="H1176" s="44">
        <v>468</v>
      </c>
    </row>
    <row r="1177" spans="1:8">
      <c r="A1177" s="90">
        <v>127238466519</v>
      </c>
      <c r="B1177" s="1" t="s">
        <v>8</v>
      </c>
      <c r="C1177" s="43" t="s">
        <v>1972</v>
      </c>
      <c r="D1177" s="1" t="s">
        <v>2029</v>
      </c>
      <c r="E1177" s="43" t="s">
        <v>1972</v>
      </c>
      <c r="F1177" s="37" t="s">
        <v>2030</v>
      </c>
      <c r="G1177" s="44">
        <v>34000</v>
      </c>
      <c r="H1177" s="44">
        <v>340</v>
      </c>
    </row>
    <row r="1178" spans="1:8">
      <c r="A1178" s="90">
        <v>127248087839</v>
      </c>
      <c r="B1178" s="1" t="s">
        <v>8</v>
      </c>
      <c r="C1178" s="43" t="s">
        <v>1972</v>
      </c>
      <c r="D1178" s="1" t="s">
        <v>2029</v>
      </c>
      <c r="E1178" s="43" t="s">
        <v>1982</v>
      </c>
      <c r="F1178" s="37" t="s">
        <v>2030</v>
      </c>
      <c r="G1178" s="44">
        <v>10600</v>
      </c>
      <c r="H1178" s="44">
        <v>106</v>
      </c>
    </row>
    <row r="1179" spans="1:8">
      <c r="A1179" s="90">
        <v>127810283682</v>
      </c>
      <c r="B1179" s="1" t="s">
        <v>8</v>
      </c>
      <c r="C1179" s="43" t="s">
        <v>1972</v>
      </c>
      <c r="D1179" s="1" t="s">
        <v>2029</v>
      </c>
      <c r="E1179" s="43" t="s">
        <v>1982</v>
      </c>
      <c r="F1179" s="37" t="s">
        <v>2030</v>
      </c>
      <c r="G1179" s="44">
        <v>6900</v>
      </c>
      <c r="H1179" s="44">
        <v>69</v>
      </c>
    </row>
    <row r="1180" spans="1:8">
      <c r="A1180" s="90">
        <v>127800943318</v>
      </c>
      <c r="B1180" s="1" t="s">
        <v>8</v>
      </c>
      <c r="C1180" s="43" t="s">
        <v>1972</v>
      </c>
      <c r="D1180" s="1" t="s">
        <v>2029</v>
      </c>
      <c r="E1180" s="43" t="s">
        <v>1972</v>
      </c>
      <c r="F1180" s="37" t="s">
        <v>2030</v>
      </c>
      <c r="G1180" s="44">
        <v>37600</v>
      </c>
      <c r="H1180" s="44">
        <v>376</v>
      </c>
    </row>
    <row r="1181" spans="1:8">
      <c r="A1181" s="90">
        <v>127810601972</v>
      </c>
      <c r="B1181" s="1" t="s">
        <v>8</v>
      </c>
      <c r="C1181" s="43" t="s">
        <v>1982</v>
      </c>
      <c r="D1181" s="1" t="s">
        <v>2029</v>
      </c>
      <c r="E1181" s="43" t="s">
        <v>1982</v>
      </c>
      <c r="F1181" s="37" t="s">
        <v>2030</v>
      </c>
      <c r="G1181" s="44">
        <v>18000</v>
      </c>
      <c r="H1181" s="44">
        <v>180</v>
      </c>
    </row>
    <row r="1182" spans="1:8">
      <c r="A1182" s="90">
        <v>127248792915</v>
      </c>
      <c r="B1182" s="1" t="s">
        <v>1790</v>
      </c>
      <c r="C1182" s="43" t="s">
        <v>1982</v>
      </c>
      <c r="D1182" s="1" t="s">
        <v>2029</v>
      </c>
      <c r="E1182" s="43" t="s">
        <v>1982</v>
      </c>
      <c r="F1182" s="37" t="s">
        <v>2030</v>
      </c>
      <c r="G1182" s="44">
        <v>13900</v>
      </c>
      <c r="H1182" s="44">
        <v>139</v>
      </c>
    </row>
    <row r="1183" spans="1:8">
      <c r="A1183" s="90">
        <v>127810724012</v>
      </c>
      <c r="B1183" s="1" t="s">
        <v>1790</v>
      </c>
      <c r="C1183" s="43" t="s">
        <v>1982</v>
      </c>
      <c r="D1183" s="1" t="s">
        <v>2029</v>
      </c>
      <c r="E1183" s="43" t="s">
        <v>1982</v>
      </c>
      <c r="F1183" s="37" t="s">
        <v>2030</v>
      </c>
      <c r="G1183" s="44">
        <v>9500</v>
      </c>
      <c r="H1183" s="44">
        <v>95</v>
      </c>
    </row>
    <row r="1184" spans="1:8">
      <c r="A1184" s="90">
        <v>127239518551</v>
      </c>
      <c r="B1184" s="1" t="s">
        <v>1790</v>
      </c>
      <c r="C1184" s="43" t="s">
        <v>1972</v>
      </c>
      <c r="D1184" s="1" t="s">
        <v>2029</v>
      </c>
      <c r="E1184" s="43" t="s">
        <v>1972</v>
      </c>
      <c r="F1184" s="37" t="s">
        <v>2030</v>
      </c>
      <c r="G1184" s="44">
        <v>25100</v>
      </c>
      <c r="H1184" s="44">
        <v>251</v>
      </c>
    </row>
    <row r="1185" spans="1:8">
      <c r="A1185" s="90">
        <v>127811111728</v>
      </c>
      <c r="B1185" s="1" t="s">
        <v>1790</v>
      </c>
      <c r="C1185" s="43" t="s">
        <v>1982</v>
      </c>
      <c r="D1185" s="1" t="s">
        <v>2029</v>
      </c>
      <c r="E1185" s="43" t="s">
        <v>1982</v>
      </c>
      <c r="F1185" s="37" t="s">
        <v>2030</v>
      </c>
      <c r="G1185" s="44">
        <v>9500</v>
      </c>
      <c r="H1185" s="44">
        <v>95</v>
      </c>
    </row>
    <row r="1186" spans="1:8">
      <c r="A1186" s="90">
        <v>127802564664</v>
      </c>
      <c r="B1186" s="1" t="s">
        <v>1790</v>
      </c>
      <c r="C1186" s="43" t="s">
        <v>1972</v>
      </c>
      <c r="D1186" s="1" t="s">
        <v>2029</v>
      </c>
      <c r="E1186" s="43" t="s">
        <v>1972</v>
      </c>
      <c r="F1186" s="37" t="s">
        <v>2030</v>
      </c>
      <c r="G1186" s="44">
        <v>7900</v>
      </c>
      <c r="H1186" s="44">
        <v>79</v>
      </c>
    </row>
    <row r="1187" spans="1:8">
      <c r="A1187" s="90">
        <v>127812138404</v>
      </c>
      <c r="B1187" s="1" t="s">
        <v>8</v>
      </c>
      <c r="C1187" s="43" t="s">
        <v>1982</v>
      </c>
      <c r="D1187" s="1" t="s">
        <v>2029</v>
      </c>
      <c r="E1187" s="43" t="s">
        <v>1982</v>
      </c>
      <c r="F1187" s="37" t="s">
        <v>2030</v>
      </c>
      <c r="G1187" s="44">
        <v>23100</v>
      </c>
      <c r="H1187" s="44">
        <v>231</v>
      </c>
    </row>
    <row r="1188" spans="1:8">
      <c r="A1188" s="90">
        <v>127250308065</v>
      </c>
      <c r="B1188" s="1" t="s">
        <v>1790</v>
      </c>
      <c r="C1188" s="43" t="s">
        <v>1982</v>
      </c>
      <c r="D1188" s="1" t="s">
        <v>2029</v>
      </c>
      <c r="E1188" s="43" t="s">
        <v>1982</v>
      </c>
      <c r="F1188" s="37" t="s">
        <v>2030</v>
      </c>
      <c r="G1188" s="44">
        <v>17100</v>
      </c>
      <c r="H1188" s="44">
        <v>171</v>
      </c>
    </row>
    <row r="1189" spans="1:8">
      <c r="A1189" s="90">
        <v>127812707210</v>
      </c>
      <c r="B1189" s="1" t="s">
        <v>8</v>
      </c>
      <c r="C1189" s="43" t="s">
        <v>1982</v>
      </c>
      <c r="D1189" s="1" t="s">
        <v>2029</v>
      </c>
      <c r="E1189" s="43" t="s">
        <v>1982</v>
      </c>
      <c r="F1189" s="37" t="s">
        <v>2030</v>
      </c>
      <c r="G1189" s="44">
        <v>20000</v>
      </c>
      <c r="H1189" s="44">
        <v>200</v>
      </c>
    </row>
    <row r="1190" spans="1:8">
      <c r="A1190" s="90">
        <v>127812796320</v>
      </c>
      <c r="B1190" s="1" t="s">
        <v>8</v>
      </c>
      <c r="C1190" s="43" t="s">
        <v>1982</v>
      </c>
      <c r="D1190" s="1" t="s">
        <v>2029</v>
      </c>
      <c r="E1190" s="43" t="s">
        <v>1982</v>
      </c>
      <c r="F1190" s="37" t="s">
        <v>2030</v>
      </c>
      <c r="G1190" s="44">
        <v>5300</v>
      </c>
      <c r="H1190" s="44">
        <v>53</v>
      </c>
    </row>
    <row r="1191" spans="1:8">
      <c r="A1191" s="90">
        <v>127251212637</v>
      </c>
      <c r="B1191" s="1" t="s">
        <v>8</v>
      </c>
      <c r="C1191" s="43" t="s">
        <v>1982</v>
      </c>
      <c r="D1191" s="1" t="s">
        <v>2029</v>
      </c>
      <c r="E1191" s="43" t="s">
        <v>1982</v>
      </c>
      <c r="F1191" s="37" t="s">
        <v>2030</v>
      </c>
      <c r="G1191" s="44">
        <v>4700</v>
      </c>
      <c r="H1191" s="44">
        <v>47</v>
      </c>
    </row>
    <row r="1192" spans="1:8">
      <c r="A1192" s="90">
        <v>127813946890</v>
      </c>
      <c r="B1192" s="1" t="s">
        <v>8</v>
      </c>
      <c r="C1192" s="43" t="s">
        <v>1982</v>
      </c>
      <c r="D1192" s="1" t="s">
        <v>2029</v>
      </c>
      <c r="E1192" s="43" t="s">
        <v>1982</v>
      </c>
      <c r="F1192" s="37" t="s">
        <v>2030</v>
      </c>
      <c r="G1192" s="44">
        <v>123500</v>
      </c>
      <c r="H1192" s="44">
        <v>1235</v>
      </c>
    </row>
    <row r="1193" spans="1:8">
      <c r="A1193" s="90">
        <v>127813968884</v>
      </c>
      <c r="B1193" s="1" t="s">
        <v>8</v>
      </c>
      <c r="C1193" s="43" t="s">
        <v>1982</v>
      </c>
      <c r="D1193" s="1" t="s">
        <v>2029</v>
      </c>
      <c r="E1193" s="43" t="s">
        <v>1982</v>
      </c>
      <c r="F1193" s="37" t="s">
        <v>2030</v>
      </c>
      <c r="G1193" s="44">
        <v>18600</v>
      </c>
      <c r="H1193" s="44">
        <v>186</v>
      </c>
    </row>
    <row r="1194" spans="1:8">
      <c r="A1194" s="90">
        <v>127242722135</v>
      </c>
      <c r="B1194" s="1" t="s">
        <v>8</v>
      </c>
      <c r="C1194" s="43" t="s">
        <v>1972</v>
      </c>
      <c r="D1194" s="1" t="s">
        <v>2029</v>
      </c>
      <c r="E1194" s="43" t="s">
        <v>1972</v>
      </c>
      <c r="F1194" s="37" t="s">
        <v>2030</v>
      </c>
      <c r="G1194" s="44">
        <v>13700</v>
      </c>
      <c r="H1194" s="44">
        <v>137</v>
      </c>
    </row>
    <row r="1195" spans="1:8">
      <c r="A1195" s="90">
        <v>127804919688</v>
      </c>
      <c r="B1195" s="1" t="s">
        <v>8</v>
      </c>
      <c r="C1195" s="43" t="s">
        <v>1972</v>
      </c>
      <c r="D1195" s="1" t="s">
        <v>2029</v>
      </c>
      <c r="E1195" s="43" t="s">
        <v>1972</v>
      </c>
      <c r="F1195" s="37" t="s">
        <v>2030</v>
      </c>
      <c r="G1195" s="44">
        <v>4500</v>
      </c>
      <c r="H1195" s="44">
        <v>45</v>
      </c>
    </row>
    <row r="1196" spans="1:8">
      <c r="A1196" s="90">
        <v>127814176098</v>
      </c>
      <c r="B1196" s="1" t="s">
        <v>8</v>
      </c>
      <c r="C1196" s="43" t="s">
        <v>1982</v>
      </c>
      <c r="D1196" s="1" t="s">
        <v>2029</v>
      </c>
      <c r="E1196" s="43" t="s">
        <v>1982</v>
      </c>
      <c r="F1196" s="37" t="s">
        <v>2030</v>
      </c>
      <c r="G1196" s="44">
        <v>20200</v>
      </c>
      <c r="H1196" s="44">
        <v>202</v>
      </c>
    </row>
    <row r="1197" spans="1:8">
      <c r="A1197" s="90">
        <v>127242950363</v>
      </c>
      <c r="B1197" s="1" t="s">
        <v>8</v>
      </c>
      <c r="C1197" s="43" t="s">
        <v>1972</v>
      </c>
      <c r="D1197" s="1" t="s">
        <v>2029</v>
      </c>
      <c r="E1197" s="43" t="s">
        <v>1972</v>
      </c>
      <c r="F1197" s="37" t="s">
        <v>2030</v>
      </c>
      <c r="G1197" s="44">
        <v>36900</v>
      </c>
      <c r="H1197" s="44">
        <v>369</v>
      </c>
    </row>
    <row r="1198" spans="1:8">
      <c r="A1198" s="90">
        <v>127243294621</v>
      </c>
      <c r="B1198" s="1" t="s">
        <v>8</v>
      </c>
      <c r="C1198" s="43" t="s">
        <v>1972</v>
      </c>
      <c r="D1198" s="1" t="s">
        <v>2029</v>
      </c>
      <c r="E1198" s="43" t="s">
        <v>1972</v>
      </c>
      <c r="F1198" s="37" t="s">
        <v>2030</v>
      </c>
      <c r="G1198" s="44">
        <v>51800</v>
      </c>
      <c r="H1198" s="44">
        <v>518</v>
      </c>
    </row>
    <row r="1199" spans="1:8">
      <c r="A1199" s="90">
        <v>127806240328</v>
      </c>
      <c r="B1199" s="1" t="s">
        <v>1790</v>
      </c>
      <c r="C1199" s="43" t="s">
        <v>1972</v>
      </c>
      <c r="D1199" s="1" t="s">
        <v>2029</v>
      </c>
      <c r="E1199" s="43" t="s">
        <v>1972</v>
      </c>
      <c r="F1199" s="37" t="s">
        <v>2030</v>
      </c>
      <c r="G1199" s="44">
        <v>7900</v>
      </c>
      <c r="H1199" s="44">
        <v>79</v>
      </c>
    </row>
    <row r="1200" spans="1:8">
      <c r="A1200" s="90">
        <v>127806286920</v>
      </c>
      <c r="B1200" s="1" t="s">
        <v>8</v>
      </c>
      <c r="C1200" s="43" t="s">
        <v>1972</v>
      </c>
      <c r="D1200" s="1" t="s">
        <v>2029</v>
      </c>
      <c r="E1200" s="43" t="s">
        <v>1972</v>
      </c>
      <c r="F1200" s="37" t="s">
        <v>2030</v>
      </c>
      <c r="G1200" s="44">
        <v>10600</v>
      </c>
      <c r="H1200" s="44">
        <v>106</v>
      </c>
    </row>
    <row r="1201" spans="1:8">
      <c r="A1201" s="90">
        <v>127806313302</v>
      </c>
      <c r="B1201" s="1" t="s">
        <v>1790</v>
      </c>
      <c r="C1201" s="43" t="s">
        <v>1972</v>
      </c>
      <c r="D1201" s="1" t="s">
        <v>2029</v>
      </c>
      <c r="E1201" s="43" t="s">
        <v>1972</v>
      </c>
      <c r="F1201" s="37" t="s">
        <v>2030</v>
      </c>
      <c r="G1201" s="44">
        <v>29400</v>
      </c>
      <c r="H1201" s="44">
        <v>294</v>
      </c>
    </row>
    <row r="1202" spans="1:8">
      <c r="A1202" s="90">
        <v>127244912805</v>
      </c>
      <c r="B1202" s="1" t="s">
        <v>8</v>
      </c>
      <c r="C1202" s="43" t="s">
        <v>1972</v>
      </c>
      <c r="D1202" s="1" t="s">
        <v>2029</v>
      </c>
      <c r="E1202" s="43" t="s">
        <v>1972</v>
      </c>
      <c r="F1202" s="37" t="s">
        <v>2030</v>
      </c>
      <c r="G1202" s="44">
        <v>9500</v>
      </c>
      <c r="H1202" s="44">
        <v>95</v>
      </c>
    </row>
    <row r="1203" spans="1:8">
      <c r="A1203" s="90">
        <v>127245029875</v>
      </c>
      <c r="B1203" s="1" t="s">
        <v>8</v>
      </c>
      <c r="C1203" s="43" t="s">
        <v>1972</v>
      </c>
      <c r="D1203" s="1" t="s">
        <v>2029</v>
      </c>
      <c r="E1203" s="43" t="s">
        <v>1972</v>
      </c>
      <c r="F1203" s="37" t="s">
        <v>2030</v>
      </c>
      <c r="G1203" s="44">
        <v>10800</v>
      </c>
      <c r="H1203" s="44">
        <v>108</v>
      </c>
    </row>
    <row r="1204" spans="1:8">
      <c r="A1204" s="90">
        <v>127807611922</v>
      </c>
      <c r="B1204" s="1" t="s">
        <v>8</v>
      </c>
      <c r="C1204" s="43" t="s">
        <v>1972</v>
      </c>
      <c r="D1204" s="1" t="s">
        <v>2029</v>
      </c>
      <c r="E1204" s="43" t="s">
        <v>1982</v>
      </c>
      <c r="F1204" s="37" t="s">
        <v>2030</v>
      </c>
      <c r="G1204" s="44">
        <v>39800</v>
      </c>
      <c r="H1204" s="44">
        <v>398</v>
      </c>
    </row>
    <row r="1205" spans="1:8">
      <c r="A1205" s="90">
        <v>127246033175</v>
      </c>
      <c r="B1205" s="1" t="s">
        <v>1790</v>
      </c>
      <c r="C1205" s="43" t="s">
        <v>1972</v>
      </c>
      <c r="D1205" s="1" t="s">
        <v>2029</v>
      </c>
      <c r="E1205" s="43" t="s">
        <v>1982</v>
      </c>
      <c r="F1205" s="37" t="s">
        <v>2030</v>
      </c>
      <c r="G1205" s="44">
        <v>8600</v>
      </c>
      <c r="H1205" s="44">
        <v>86</v>
      </c>
    </row>
    <row r="1206" spans="1:8">
      <c r="A1206" s="90">
        <v>127246970897</v>
      </c>
      <c r="B1206" s="1" t="s">
        <v>1790</v>
      </c>
      <c r="C1206" s="43" t="s">
        <v>1972</v>
      </c>
      <c r="D1206" s="1" t="s">
        <v>2029</v>
      </c>
      <c r="E1206" s="43" t="s">
        <v>1982</v>
      </c>
      <c r="F1206" s="37" t="s">
        <v>2030</v>
      </c>
      <c r="G1206" s="44">
        <v>61200</v>
      </c>
      <c r="H1206" s="44">
        <v>612</v>
      </c>
    </row>
    <row r="1207" spans="1:8">
      <c r="A1207" s="90">
        <v>127247017257</v>
      </c>
      <c r="B1207" s="1" t="s">
        <v>1790</v>
      </c>
      <c r="C1207" s="43" t="s">
        <v>1972</v>
      </c>
      <c r="D1207" s="1" t="s">
        <v>2029</v>
      </c>
      <c r="E1207" s="43" t="s">
        <v>1982</v>
      </c>
      <c r="F1207" s="37" t="s">
        <v>2030</v>
      </c>
      <c r="G1207" s="44">
        <v>12600</v>
      </c>
      <c r="H1207" s="44">
        <v>126</v>
      </c>
    </row>
    <row r="1208" spans="1:8">
      <c r="A1208" s="90">
        <v>127247172953</v>
      </c>
      <c r="B1208" s="1" t="s">
        <v>8</v>
      </c>
      <c r="C1208" s="43" t="s">
        <v>1972</v>
      </c>
      <c r="D1208" s="1" t="s">
        <v>2029</v>
      </c>
      <c r="E1208" s="43" t="s">
        <v>1982</v>
      </c>
      <c r="F1208" s="37" t="s">
        <v>2030</v>
      </c>
      <c r="G1208" s="44">
        <v>5000</v>
      </c>
      <c r="H1208" s="44">
        <v>50</v>
      </c>
    </row>
    <row r="1209" spans="1:8">
      <c r="A1209" s="90">
        <v>127809918652</v>
      </c>
      <c r="B1209" s="1" t="s">
        <v>1790</v>
      </c>
      <c r="C1209" s="43" t="s">
        <v>1972</v>
      </c>
      <c r="D1209" s="1" t="s">
        <v>2029</v>
      </c>
      <c r="E1209" s="43" t="s">
        <v>1982</v>
      </c>
      <c r="F1209" s="37" t="s">
        <v>2030</v>
      </c>
      <c r="G1209" s="44">
        <v>69700</v>
      </c>
      <c r="H1209" s="44">
        <v>697</v>
      </c>
    </row>
    <row r="1210" spans="1:8">
      <c r="A1210" s="90">
        <v>127810129960</v>
      </c>
      <c r="B1210" s="1" t="s">
        <v>8</v>
      </c>
      <c r="C1210" s="43" t="s">
        <v>1972</v>
      </c>
      <c r="D1210" s="1" t="s">
        <v>2029</v>
      </c>
      <c r="E1210" s="43" t="s">
        <v>1982</v>
      </c>
      <c r="F1210" s="37" t="s">
        <v>2030</v>
      </c>
      <c r="G1210" s="44">
        <v>4500</v>
      </c>
      <c r="H1210" s="44">
        <v>45</v>
      </c>
    </row>
    <row r="1211" spans="1:8">
      <c r="A1211" s="90">
        <v>127248587365</v>
      </c>
      <c r="B1211" s="1" t="s">
        <v>1790</v>
      </c>
      <c r="C1211" s="43" t="s">
        <v>1972</v>
      </c>
      <c r="D1211" s="1" t="s">
        <v>2029</v>
      </c>
      <c r="E1211" s="43" t="s">
        <v>1982</v>
      </c>
      <c r="F1211" s="37" t="s">
        <v>2030</v>
      </c>
      <c r="G1211" s="44">
        <v>22600</v>
      </c>
      <c r="H1211" s="44">
        <v>226</v>
      </c>
    </row>
    <row r="1212" spans="1:8">
      <c r="A1212" s="90">
        <v>127810531122</v>
      </c>
      <c r="B1212" s="1" t="s">
        <v>8</v>
      </c>
      <c r="C1212" s="43" t="s">
        <v>1972</v>
      </c>
      <c r="D1212" s="1" t="s">
        <v>2029</v>
      </c>
      <c r="E1212" s="43" t="s">
        <v>1982</v>
      </c>
      <c r="F1212" s="37" t="s">
        <v>2030</v>
      </c>
      <c r="G1212" s="44">
        <v>7000</v>
      </c>
      <c r="H1212" s="44">
        <v>70</v>
      </c>
    </row>
    <row r="1213" spans="1:8">
      <c r="A1213" s="90">
        <v>127810660446</v>
      </c>
      <c r="B1213" s="1" t="s">
        <v>8</v>
      </c>
      <c r="C1213" s="43" t="s">
        <v>1982</v>
      </c>
      <c r="D1213" s="1" t="s">
        <v>2029</v>
      </c>
      <c r="E1213" s="43" t="s">
        <v>1982</v>
      </c>
      <c r="F1213" s="37" t="s">
        <v>2030</v>
      </c>
      <c r="G1213" s="44">
        <v>11300</v>
      </c>
      <c r="H1213" s="44">
        <v>113</v>
      </c>
    </row>
    <row r="1214" spans="1:8">
      <c r="A1214" s="90">
        <v>127248897113</v>
      </c>
      <c r="B1214" s="1" t="s">
        <v>1790</v>
      </c>
      <c r="C1214" s="43" t="s">
        <v>1982</v>
      </c>
      <c r="D1214" s="1" t="s">
        <v>2029</v>
      </c>
      <c r="E1214" s="43" t="s">
        <v>1982</v>
      </c>
      <c r="F1214" s="37" t="s">
        <v>2030</v>
      </c>
      <c r="G1214" s="44">
        <v>38900</v>
      </c>
      <c r="H1214" s="44">
        <v>389</v>
      </c>
    </row>
    <row r="1215" spans="1:8">
      <c r="A1215" s="90">
        <v>127248937077</v>
      </c>
      <c r="B1215" s="1" t="s">
        <v>8</v>
      </c>
      <c r="C1215" s="43" t="s">
        <v>1982</v>
      </c>
      <c r="D1215" s="1" t="s">
        <v>2029</v>
      </c>
      <c r="E1215" s="43" t="s">
        <v>1982</v>
      </c>
      <c r="F1215" s="37" t="s">
        <v>2030</v>
      </c>
      <c r="G1215" s="44">
        <v>115400</v>
      </c>
      <c r="H1215" s="44">
        <v>1154</v>
      </c>
    </row>
    <row r="1216" spans="1:8">
      <c r="A1216" s="90">
        <v>127811071464</v>
      </c>
      <c r="B1216" s="1" t="s">
        <v>8</v>
      </c>
      <c r="C1216" s="43" t="s">
        <v>1982</v>
      </c>
      <c r="D1216" s="1" t="s">
        <v>2029</v>
      </c>
      <c r="E1216" s="43" t="s">
        <v>1982</v>
      </c>
      <c r="F1216" s="37" t="s">
        <v>2030</v>
      </c>
      <c r="G1216" s="44">
        <v>23800</v>
      </c>
      <c r="H1216" s="44">
        <v>238</v>
      </c>
    </row>
    <row r="1217" spans="1:8">
      <c r="A1217" s="90">
        <v>127811226742</v>
      </c>
      <c r="B1217" s="1" t="s">
        <v>8</v>
      </c>
      <c r="C1217" s="43" t="s">
        <v>1982</v>
      </c>
      <c r="D1217" s="1" t="s">
        <v>2029</v>
      </c>
      <c r="E1217" s="43" t="s">
        <v>1982</v>
      </c>
      <c r="F1217" s="37" t="s">
        <v>2030</v>
      </c>
      <c r="G1217" s="44">
        <v>9500</v>
      </c>
      <c r="H1217" s="44">
        <v>95</v>
      </c>
    </row>
    <row r="1218" spans="1:8">
      <c r="A1218" s="90">
        <v>127811499056</v>
      </c>
      <c r="B1218" s="1" t="s">
        <v>8</v>
      </c>
      <c r="C1218" s="43" t="s">
        <v>1982</v>
      </c>
      <c r="D1218" s="1" t="s">
        <v>2029</v>
      </c>
      <c r="E1218" s="43" t="s">
        <v>1982</v>
      </c>
      <c r="F1218" s="37" t="s">
        <v>2030</v>
      </c>
      <c r="G1218" s="44">
        <v>10000</v>
      </c>
      <c r="H1218" s="44">
        <v>100</v>
      </c>
    </row>
    <row r="1219" spans="1:8">
      <c r="A1219" s="90">
        <v>127250134163</v>
      </c>
      <c r="B1219" s="1" t="s">
        <v>8</v>
      </c>
      <c r="C1219" s="43" t="s">
        <v>1982</v>
      </c>
      <c r="D1219" s="1" t="s">
        <v>2029</v>
      </c>
      <c r="E1219" s="43" t="s">
        <v>1982</v>
      </c>
      <c r="F1219" s="37" t="s">
        <v>2030</v>
      </c>
      <c r="G1219" s="44">
        <v>223700</v>
      </c>
      <c r="H1219" s="44">
        <v>2237</v>
      </c>
    </row>
    <row r="1220" spans="1:8">
      <c r="A1220" s="90">
        <v>127812503352</v>
      </c>
      <c r="B1220" s="1" t="s">
        <v>1790</v>
      </c>
      <c r="C1220" s="43" t="s">
        <v>1982</v>
      </c>
      <c r="D1220" s="1" t="s">
        <v>2029</v>
      </c>
      <c r="E1220" s="43" t="s">
        <v>1982</v>
      </c>
      <c r="F1220" s="37" t="s">
        <v>2030</v>
      </c>
      <c r="G1220" s="44">
        <v>4700</v>
      </c>
      <c r="H1220" s="44">
        <v>47</v>
      </c>
    </row>
    <row r="1221" spans="1:8">
      <c r="A1221" s="90">
        <v>127813504204</v>
      </c>
      <c r="B1221" s="1" t="s">
        <v>8</v>
      </c>
      <c r="C1221" s="43" t="s">
        <v>1982</v>
      </c>
      <c r="D1221" s="1" t="s">
        <v>2029</v>
      </c>
      <c r="E1221" s="43" t="s">
        <v>1982</v>
      </c>
      <c r="F1221" s="37" t="s">
        <v>2030</v>
      </c>
      <c r="G1221" s="44">
        <v>20300</v>
      </c>
      <c r="H1221" s="44">
        <v>203</v>
      </c>
    </row>
    <row r="1222" spans="1:8">
      <c r="A1222" s="90">
        <v>127813395904</v>
      </c>
      <c r="B1222" s="1" t="s">
        <v>8</v>
      </c>
      <c r="C1222" s="43" t="s">
        <v>1982</v>
      </c>
      <c r="D1222" s="1" t="s">
        <v>2029</v>
      </c>
      <c r="E1222" s="43" t="s">
        <v>1982</v>
      </c>
      <c r="F1222" s="37" t="s">
        <v>2030</v>
      </c>
      <c r="G1222" s="44">
        <v>8500</v>
      </c>
      <c r="H1222" s="44">
        <v>85</v>
      </c>
    </row>
    <row r="1223" spans="1:8">
      <c r="A1223" s="90">
        <v>127251614945</v>
      </c>
      <c r="B1223" s="1" t="s">
        <v>8</v>
      </c>
      <c r="C1223" s="43" t="s">
        <v>1982</v>
      </c>
      <c r="D1223" s="1" t="s">
        <v>2029</v>
      </c>
      <c r="E1223" s="43" t="s">
        <v>1982</v>
      </c>
      <c r="F1223" s="37" t="s">
        <v>2030</v>
      </c>
      <c r="G1223" s="44">
        <v>21400</v>
      </c>
      <c r="H1223" s="44">
        <v>214</v>
      </c>
    </row>
    <row r="1224" spans="1:8">
      <c r="A1224" s="90">
        <v>127251757799</v>
      </c>
      <c r="B1224" s="1" t="s">
        <v>8</v>
      </c>
      <c r="C1224" s="43" t="s">
        <v>1982</v>
      </c>
      <c r="D1224" s="1" t="s">
        <v>2029</v>
      </c>
      <c r="E1224" s="43" t="s">
        <v>1982</v>
      </c>
      <c r="F1224" s="37" t="s">
        <v>2030</v>
      </c>
      <c r="G1224" s="44">
        <v>14500</v>
      </c>
      <c r="H1224" s="44">
        <v>145</v>
      </c>
    </row>
    <row r="1225" spans="1:8">
      <c r="A1225" s="90">
        <v>127813895138</v>
      </c>
      <c r="B1225" s="1" t="s">
        <v>8</v>
      </c>
      <c r="C1225" s="43" t="s">
        <v>1982</v>
      </c>
      <c r="D1225" s="1" t="s">
        <v>2029</v>
      </c>
      <c r="E1225" s="43" t="s">
        <v>1982</v>
      </c>
      <c r="F1225" s="37" t="s">
        <v>2030</v>
      </c>
      <c r="G1225" s="44">
        <v>22800</v>
      </c>
      <c r="H1225" s="44">
        <v>228</v>
      </c>
    </row>
    <row r="1226" spans="1:8">
      <c r="A1226" s="90">
        <v>127252116403</v>
      </c>
      <c r="B1226" s="1" t="s">
        <v>8</v>
      </c>
      <c r="C1226" s="43" t="s">
        <v>1982</v>
      </c>
      <c r="D1226" s="1" t="s">
        <v>2029</v>
      </c>
      <c r="E1226" s="43" t="s">
        <v>1982</v>
      </c>
      <c r="F1226" s="37" t="s">
        <v>2030</v>
      </c>
      <c r="G1226" s="44">
        <v>4700</v>
      </c>
      <c r="H1226" s="44">
        <v>47</v>
      </c>
    </row>
    <row r="1227" spans="1:8">
      <c r="A1227" s="90">
        <v>127814011646</v>
      </c>
      <c r="B1227" s="1" t="s">
        <v>8</v>
      </c>
      <c r="C1227" s="43" t="s">
        <v>1982</v>
      </c>
      <c r="D1227" s="1" t="s">
        <v>2029</v>
      </c>
      <c r="E1227" s="43" t="s">
        <v>1982</v>
      </c>
      <c r="F1227" s="37" t="s">
        <v>2030</v>
      </c>
      <c r="G1227" s="44">
        <v>11200</v>
      </c>
      <c r="H1227" s="44">
        <v>112</v>
      </c>
    </row>
    <row r="1228" spans="1:8">
      <c r="A1228" s="90">
        <v>127814092122</v>
      </c>
      <c r="B1228" s="1" t="s">
        <v>8</v>
      </c>
      <c r="C1228" s="43" t="s">
        <v>1982</v>
      </c>
      <c r="D1228" s="1" t="s">
        <v>2029</v>
      </c>
      <c r="E1228" s="43" t="s">
        <v>1982</v>
      </c>
      <c r="F1228" s="37" t="s">
        <v>2030</v>
      </c>
      <c r="G1228" s="44">
        <v>13300</v>
      </c>
      <c r="H1228" s="44">
        <v>133</v>
      </c>
    </row>
    <row r="1229" spans="1:8">
      <c r="A1229" s="90">
        <v>127252236479</v>
      </c>
      <c r="B1229" s="1" t="s">
        <v>1790</v>
      </c>
      <c r="C1229" s="43" t="s">
        <v>1982</v>
      </c>
      <c r="D1229" s="1" t="s">
        <v>2029</v>
      </c>
      <c r="E1229" s="43" t="s">
        <v>1982</v>
      </c>
      <c r="F1229" s="37" t="s">
        <v>2030</v>
      </c>
      <c r="G1229" s="44">
        <v>25200</v>
      </c>
      <c r="H1229" s="44">
        <v>252</v>
      </c>
    </row>
    <row r="1230" spans="1:8">
      <c r="A1230" s="90">
        <v>127814289146</v>
      </c>
      <c r="B1230" s="1" t="s">
        <v>8</v>
      </c>
      <c r="C1230" s="43" t="s">
        <v>1982</v>
      </c>
      <c r="D1230" s="1" t="s">
        <v>2029</v>
      </c>
      <c r="E1230" s="43" t="s">
        <v>1982</v>
      </c>
      <c r="F1230" s="37" t="s">
        <v>2030</v>
      </c>
      <c r="G1230" s="44">
        <v>16000</v>
      </c>
      <c r="H1230" s="44">
        <v>160</v>
      </c>
    </row>
    <row r="1231" spans="1:8">
      <c r="A1231" s="90">
        <v>127876039514</v>
      </c>
      <c r="B1231" s="1" t="s">
        <v>8</v>
      </c>
      <c r="C1231" s="43" t="s">
        <v>1982</v>
      </c>
      <c r="D1231" s="1" t="s">
        <v>2029</v>
      </c>
      <c r="E1231" s="43" t="s">
        <v>1982</v>
      </c>
      <c r="F1231" s="37" t="s">
        <v>2030</v>
      </c>
      <c r="G1231" s="44">
        <v>7600</v>
      </c>
      <c r="H1231" s="44">
        <v>76</v>
      </c>
    </row>
    <row r="1232" spans="1:8">
      <c r="A1232" s="90">
        <v>127870626052</v>
      </c>
      <c r="B1232" s="1" t="s">
        <v>8</v>
      </c>
      <c r="C1232" s="43" t="s">
        <v>1982</v>
      </c>
      <c r="D1232" s="1" t="s">
        <v>2029</v>
      </c>
      <c r="E1232" s="43" t="s">
        <v>1982</v>
      </c>
      <c r="F1232" s="37" t="s">
        <v>2030</v>
      </c>
      <c r="G1232" s="44">
        <v>9400</v>
      </c>
      <c r="H1232" s="44">
        <v>94</v>
      </c>
    </row>
    <row r="1233" spans="1:8">
      <c r="A1233" s="90">
        <v>127880854096</v>
      </c>
      <c r="B1233" s="1" t="s">
        <v>8</v>
      </c>
      <c r="C1233" s="43" t="s">
        <v>1982</v>
      </c>
      <c r="D1233" s="1" t="s">
        <v>2029</v>
      </c>
      <c r="E1233" s="43" t="s">
        <v>1982</v>
      </c>
      <c r="F1233" s="37" t="s">
        <v>2030</v>
      </c>
      <c r="G1233" s="44">
        <v>41500</v>
      </c>
      <c r="H1233" s="44">
        <v>415</v>
      </c>
    </row>
    <row r="1234" spans="1:8">
      <c r="A1234" s="90">
        <v>127881631044</v>
      </c>
      <c r="B1234" s="1" t="s">
        <v>8</v>
      </c>
      <c r="C1234" s="43" t="s">
        <v>1982</v>
      </c>
      <c r="D1234" s="1" t="s">
        <v>2029</v>
      </c>
      <c r="E1234" s="43" t="s">
        <v>1982</v>
      </c>
      <c r="F1234" s="37" t="s">
        <v>2030</v>
      </c>
      <c r="G1234" s="44">
        <v>7200</v>
      </c>
      <c r="H1234" s="44">
        <v>72</v>
      </c>
    </row>
    <row r="1235" spans="1:8">
      <c r="A1235" s="90">
        <v>127319553663</v>
      </c>
      <c r="B1235" s="1" t="s">
        <v>1790</v>
      </c>
      <c r="C1235" s="43" t="s">
        <v>1982</v>
      </c>
      <c r="D1235" s="1" t="s">
        <v>2029</v>
      </c>
      <c r="E1235" s="43" t="s">
        <v>1982</v>
      </c>
      <c r="F1235" s="37" t="s">
        <v>2030</v>
      </c>
      <c r="G1235" s="44">
        <v>34700</v>
      </c>
      <c r="H1235" s="44">
        <v>347</v>
      </c>
    </row>
    <row r="1236" spans="1:8">
      <c r="A1236" s="90">
        <v>127319914109</v>
      </c>
      <c r="B1236" s="1" t="s">
        <v>1790</v>
      </c>
      <c r="C1236" s="43" t="s">
        <v>1982</v>
      </c>
      <c r="D1236" s="1" t="s">
        <v>2029</v>
      </c>
      <c r="E1236" s="43" t="s">
        <v>1982</v>
      </c>
      <c r="F1236" s="37" t="s">
        <v>2030</v>
      </c>
      <c r="G1236" s="44">
        <v>47500</v>
      </c>
      <c r="H1236" s="44">
        <v>475</v>
      </c>
    </row>
    <row r="1237" spans="1:8">
      <c r="A1237" s="90">
        <v>127873552906</v>
      </c>
      <c r="B1237" s="1" t="s">
        <v>8</v>
      </c>
      <c r="C1237" s="43" t="s">
        <v>1982</v>
      </c>
      <c r="D1237" s="1" t="s">
        <v>2029</v>
      </c>
      <c r="E1237" s="43" t="s">
        <v>1982</v>
      </c>
      <c r="F1237" s="37" t="s">
        <v>2030</v>
      </c>
      <c r="G1237" s="44">
        <v>9400</v>
      </c>
      <c r="H1237" s="44">
        <v>94</v>
      </c>
    </row>
    <row r="1238" spans="1:8">
      <c r="A1238" s="90">
        <v>127321523307</v>
      </c>
      <c r="B1238" s="1" t="s">
        <v>1790</v>
      </c>
      <c r="C1238" s="43" t="s">
        <v>1982</v>
      </c>
      <c r="D1238" s="1" t="s">
        <v>2029</v>
      </c>
      <c r="E1238" s="43" t="s">
        <v>1982</v>
      </c>
      <c r="F1238" s="37" t="s">
        <v>2030</v>
      </c>
      <c r="G1238" s="44">
        <v>64000</v>
      </c>
      <c r="H1238" s="44">
        <v>640</v>
      </c>
    </row>
    <row r="1239" spans="1:8">
      <c r="A1239" s="90">
        <v>127886300768</v>
      </c>
      <c r="B1239" s="1" t="s">
        <v>8</v>
      </c>
      <c r="C1239" s="43" t="s">
        <v>1982</v>
      </c>
      <c r="D1239" s="1" t="s">
        <v>2029</v>
      </c>
      <c r="E1239" s="43" t="s">
        <v>1982</v>
      </c>
      <c r="F1239" s="37" t="s">
        <v>2030</v>
      </c>
      <c r="G1239" s="44">
        <v>5300</v>
      </c>
      <c r="H1239" s="44">
        <v>53</v>
      </c>
    </row>
    <row r="1240" spans="1:8">
      <c r="A1240" s="90">
        <v>127886596694</v>
      </c>
      <c r="B1240" s="1" t="s">
        <v>8</v>
      </c>
      <c r="C1240" s="43" t="s">
        <v>1982</v>
      </c>
      <c r="D1240" s="1" t="s">
        <v>2029</v>
      </c>
      <c r="E1240" s="43" t="s">
        <v>1982</v>
      </c>
      <c r="F1240" s="37" t="s">
        <v>2030</v>
      </c>
      <c r="G1240" s="44">
        <v>17600</v>
      </c>
      <c r="H1240" s="44">
        <v>176</v>
      </c>
    </row>
    <row r="1241" spans="1:8">
      <c r="A1241" s="90">
        <v>127887369754</v>
      </c>
      <c r="B1241" s="1" t="s">
        <v>1790</v>
      </c>
      <c r="C1241" s="43" t="s">
        <v>1982</v>
      </c>
      <c r="D1241" s="1" t="s">
        <v>2029</v>
      </c>
      <c r="E1241" s="43" t="s">
        <v>1982</v>
      </c>
      <c r="F1241" s="37" t="s">
        <v>2030</v>
      </c>
      <c r="G1241" s="44">
        <v>24900</v>
      </c>
      <c r="H1241" s="44">
        <v>249</v>
      </c>
    </row>
    <row r="1242" spans="1:8">
      <c r="A1242" s="90">
        <v>127315514443</v>
      </c>
      <c r="B1242" s="1" t="s">
        <v>1790</v>
      </c>
      <c r="C1242" s="43" t="s">
        <v>1982</v>
      </c>
      <c r="D1242" s="1" t="s">
        <v>2029</v>
      </c>
      <c r="E1242" s="43" t="s">
        <v>1982</v>
      </c>
      <c r="F1242" s="37" t="s">
        <v>2030</v>
      </c>
      <c r="G1242" s="44">
        <v>7200</v>
      </c>
      <c r="H1242" s="44">
        <v>72</v>
      </c>
    </row>
    <row r="1243" spans="1:8">
      <c r="A1243" s="90">
        <v>127878828956</v>
      </c>
      <c r="B1243" s="1" t="s">
        <v>8</v>
      </c>
      <c r="C1243" s="43" t="s">
        <v>1982</v>
      </c>
      <c r="D1243" s="1" t="s">
        <v>2029</v>
      </c>
      <c r="E1243" s="43" t="s">
        <v>1982</v>
      </c>
      <c r="F1243" s="37" t="s">
        <v>2030</v>
      </c>
      <c r="G1243" s="44">
        <v>4000</v>
      </c>
      <c r="H1243" s="44">
        <v>40</v>
      </c>
    </row>
    <row r="1244" spans="1:8">
      <c r="A1244" s="90">
        <v>127317375181</v>
      </c>
      <c r="B1244" s="1" t="s">
        <v>8</v>
      </c>
      <c r="C1244" s="43" t="s">
        <v>1982</v>
      </c>
      <c r="D1244" s="1" t="s">
        <v>2029</v>
      </c>
      <c r="E1244" s="43" t="s">
        <v>1982</v>
      </c>
      <c r="F1244" s="37" t="s">
        <v>2030</v>
      </c>
      <c r="G1244" s="44">
        <v>2200</v>
      </c>
      <c r="H1244" s="44">
        <v>22</v>
      </c>
    </row>
    <row r="1245" spans="1:8">
      <c r="A1245" s="90">
        <v>127327134359</v>
      </c>
      <c r="B1245" s="1" t="s">
        <v>8</v>
      </c>
      <c r="C1245" s="43" t="s">
        <v>1982</v>
      </c>
      <c r="D1245" s="1" t="s">
        <v>2029</v>
      </c>
      <c r="E1245" s="43" t="s">
        <v>1982</v>
      </c>
      <c r="F1245" s="37" t="s">
        <v>2030</v>
      </c>
      <c r="G1245" s="44">
        <v>4700</v>
      </c>
      <c r="H1245" s="44">
        <v>47</v>
      </c>
    </row>
    <row r="1246" spans="1:8">
      <c r="A1246" s="90">
        <v>127880430416</v>
      </c>
      <c r="B1246" s="1" t="s">
        <v>1790</v>
      </c>
      <c r="C1246" s="43" t="s">
        <v>1982</v>
      </c>
      <c r="D1246" s="1" t="s">
        <v>2029</v>
      </c>
      <c r="E1246" s="43" t="s">
        <v>1982</v>
      </c>
      <c r="F1246" s="37" t="s">
        <v>2030</v>
      </c>
      <c r="G1246" s="44">
        <v>14500</v>
      </c>
      <c r="H1246" s="44">
        <v>145</v>
      </c>
    </row>
    <row r="1247" spans="1:8">
      <c r="A1247" s="90">
        <v>127317995411</v>
      </c>
      <c r="B1247" s="1" t="s">
        <v>1790</v>
      </c>
      <c r="C1247" s="43" t="s">
        <v>1982</v>
      </c>
      <c r="D1247" s="1" t="s">
        <v>2029</v>
      </c>
      <c r="E1247" s="43" t="s">
        <v>1982</v>
      </c>
      <c r="F1247" s="37" t="s">
        <v>2030</v>
      </c>
      <c r="G1247" s="44">
        <v>13700</v>
      </c>
      <c r="H1247" s="44">
        <v>137</v>
      </c>
    </row>
    <row r="1248" spans="1:8">
      <c r="A1248" s="90">
        <v>127890550192</v>
      </c>
      <c r="B1248" s="1" t="s">
        <v>8</v>
      </c>
      <c r="C1248" s="43" t="s">
        <v>1982</v>
      </c>
      <c r="D1248" s="1" t="s">
        <v>2029</v>
      </c>
      <c r="E1248" s="43" t="s">
        <v>1982</v>
      </c>
      <c r="F1248" s="37" t="s">
        <v>2030</v>
      </c>
      <c r="G1248" s="44">
        <v>5500</v>
      </c>
      <c r="H1248" s="44">
        <v>55</v>
      </c>
    </row>
    <row r="1249" spans="1:8">
      <c r="A1249" s="90">
        <v>127329293865</v>
      </c>
      <c r="B1249" s="1" t="s">
        <v>1790</v>
      </c>
      <c r="C1249" s="43" t="s">
        <v>1982</v>
      </c>
      <c r="D1249" s="1" t="s">
        <v>2029</v>
      </c>
      <c r="E1249" s="43" t="s">
        <v>1982</v>
      </c>
      <c r="F1249" s="37" t="s">
        <v>2030</v>
      </c>
      <c r="G1249" s="44">
        <v>37300</v>
      </c>
      <c r="H1249" s="44">
        <v>373</v>
      </c>
    </row>
    <row r="1250" spans="1:8">
      <c r="A1250" s="90">
        <v>127891727240</v>
      </c>
      <c r="B1250" s="1" t="s">
        <v>8</v>
      </c>
      <c r="C1250" s="43" t="s">
        <v>1982</v>
      </c>
      <c r="D1250" s="1" t="s">
        <v>2029</v>
      </c>
      <c r="E1250" s="43" t="s">
        <v>1982</v>
      </c>
      <c r="F1250" s="37" t="s">
        <v>2030</v>
      </c>
      <c r="G1250" s="44">
        <v>34200</v>
      </c>
      <c r="H1250" s="44">
        <v>342</v>
      </c>
    </row>
    <row r="1251" spans="1:8">
      <c r="A1251" s="90">
        <v>127329483271</v>
      </c>
      <c r="B1251" s="1" t="s">
        <v>1790</v>
      </c>
      <c r="C1251" s="43" t="s">
        <v>1982</v>
      </c>
      <c r="D1251" s="1" t="s">
        <v>2029</v>
      </c>
      <c r="E1251" s="43" t="s">
        <v>1982</v>
      </c>
      <c r="F1251" s="37" t="s">
        <v>2030</v>
      </c>
      <c r="G1251" s="44">
        <v>42000</v>
      </c>
      <c r="H1251" s="44">
        <v>420</v>
      </c>
    </row>
    <row r="1252" spans="1:8">
      <c r="A1252" s="90">
        <v>127891938390</v>
      </c>
      <c r="B1252" s="1" t="s">
        <v>8</v>
      </c>
      <c r="C1252" s="43" t="s">
        <v>1982</v>
      </c>
      <c r="D1252" s="1" t="s">
        <v>2029</v>
      </c>
      <c r="E1252" s="43" t="s">
        <v>1982</v>
      </c>
      <c r="F1252" s="37" t="s">
        <v>2030</v>
      </c>
      <c r="G1252" s="44">
        <v>33100</v>
      </c>
      <c r="H1252" s="44">
        <v>331</v>
      </c>
    </row>
    <row r="1253" spans="1:8">
      <c r="A1253" s="90">
        <v>127331234613</v>
      </c>
      <c r="B1253" s="1" t="s">
        <v>8</v>
      </c>
      <c r="C1253" s="43" t="s">
        <v>1982</v>
      </c>
      <c r="D1253" s="1" t="s">
        <v>2029</v>
      </c>
      <c r="E1253" s="43" t="s">
        <v>1982</v>
      </c>
      <c r="F1253" s="37" t="s">
        <v>2030</v>
      </c>
      <c r="G1253" s="44">
        <v>36000</v>
      </c>
      <c r="H1253" s="44">
        <v>360</v>
      </c>
    </row>
    <row r="1254" spans="1:8">
      <c r="A1254" s="90">
        <v>127331361971</v>
      </c>
      <c r="B1254" s="1" t="s">
        <v>8</v>
      </c>
      <c r="C1254" s="43" t="s">
        <v>1982</v>
      </c>
      <c r="D1254" s="1" t="s">
        <v>2029</v>
      </c>
      <c r="E1254" s="43" t="s">
        <v>1982</v>
      </c>
      <c r="F1254" s="37" t="s">
        <v>2030</v>
      </c>
      <c r="G1254" s="44">
        <v>34600</v>
      </c>
      <c r="H1254" s="44">
        <v>346</v>
      </c>
    </row>
    <row r="1255" spans="1:8">
      <c r="A1255" s="90">
        <v>127321838171</v>
      </c>
      <c r="B1255" s="1" t="s">
        <v>8</v>
      </c>
      <c r="C1255" s="43" t="s">
        <v>1982</v>
      </c>
      <c r="D1255" s="1" t="s">
        <v>2029</v>
      </c>
      <c r="E1255" s="43" t="s">
        <v>1982</v>
      </c>
      <c r="F1255" s="37" t="s">
        <v>2030</v>
      </c>
      <c r="G1255" s="44">
        <v>9000</v>
      </c>
      <c r="H1255" s="44">
        <v>90</v>
      </c>
    </row>
    <row r="1256" spans="1:8">
      <c r="A1256" s="90">
        <v>127894050264</v>
      </c>
      <c r="B1256" s="1" t="s">
        <v>8</v>
      </c>
      <c r="C1256" s="43" t="s">
        <v>1982</v>
      </c>
      <c r="D1256" s="1" t="s">
        <v>2029</v>
      </c>
      <c r="E1256" s="43" t="s">
        <v>1982</v>
      </c>
      <c r="F1256" s="37" t="s">
        <v>2030</v>
      </c>
      <c r="G1256" s="44">
        <v>52800</v>
      </c>
      <c r="H1256" s="44">
        <v>528</v>
      </c>
    </row>
    <row r="1257" spans="1:8">
      <c r="A1257" s="90">
        <v>127894447792</v>
      </c>
      <c r="B1257" s="1" t="s">
        <v>1790</v>
      </c>
      <c r="C1257" s="43" t="s">
        <v>1982</v>
      </c>
      <c r="D1257" s="1" t="s">
        <v>2029</v>
      </c>
      <c r="E1257" s="43" t="s">
        <v>1993</v>
      </c>
      <c r="F1257" s="37" t="s">
        <v>2030</v>
      </c>
      <c r="G1257" s="44">
        <v>8500</v>
      </c>
      <c r="H1257" s="44">
        <v>85</v>
      </c>
    </row>
    <row r="1258" spans="1:8">
      <c r="A1258" s="90">
        <v>127332392351</v>
      </c>
      <c r="B1258" s="1" t="s">
        <v>1790</v>
      </c>
      <c r="C1258" s="43" t="s">
        <v>1982</v>
      </c>
      <c r="D1258" s="1" t="s">
        <v>2029</v>
      </c>
      <c r="E1258" s="43" t="s">
        <v>1993</v>
      </c>
      <c r="F1258" s="37" t="s">
        <v>2030</v>
      </c>
      <c r="G1258" s="44">
        <v>101100</v>
      </c>
      <c r="H1258" s="44">
        <v>1011</v>
      </c>
    </row>
    <row r="1259" spans="1:8">
      <c r="A1259" s="90">
        <v>127894737706</v>
      </c>
      <c r="B1259" s="1" t="s">
        <v>8</v>
      </c>
      <c r="C1259" s="43" t="s">
        <v>1982</v>
      </c>
      <c r="D1259" s="1" t="s">
        <v>2029</v>
      </c>
      <c r="E1259" s="43" t="s">
        <v>1993</v>
      </c>
      <c r="F1259" s="37" t="s">
        <v>2030</v>
      </c>
      <c r="G1259" s="44">
        <v>24200</v>
      </c>
      <c r="H1259" s="44">
        <v>242</v>
      </c>
    </row>
    <row r="1260" spans="1:8">
      <c r="A1260" s="90">
        <v>127894879810</v>
      </c>
      <c r="B1260" s="1" t="s">
        <v>8</v>
      </c>
      <c r="C1260" s="43" t="s">
        <v>1982</v>
      </c>
      <c r="D1260" s="1" t="s">
        <v>2029</v>
      </c>
      <c r="E1260" s="43" t="s">
        <v>1993</v>
      </c>
      <c r="F1260" s="37" t="s">
        <v>2030</v>
      </c>
      <c r="G1260" s="44">
        <v>49600</v>
      </c>
      <c r="H1260" s="44">
        <v>496</v>
      </c>
    </row>
    <row r="1261" spans="1:8">
      <c r="A1261" s="90">
        <v>127333073127</v>
      </c>
      <c r="B1261" s="1" t="s">
        <v>8</v>
      </c>
      <c r="C1261" s="43" t="s">
        <v>1982</v>
      </c>
      <c r="D1261" s="1" t="s">
        <v>2029</v>
      </c>
      <c r="E1261" s="43" t="s">
        <v>1993</v>
      </c>
      <c r="F1261" s="37" t="s">
        <v>2030</v>
      </c>
      <c r="G1261" s="44">
        <v>28500</v>
      </c>
      <c r="H1261" s="44">
        <v>285</v>
      </c>
    </row>
    <row r="1262" spans="1:8">
      <c r="A1262" s="90">
        <v>127886777148</v>
      </c>
      <c r="B1262" s="1" t="s">
        <v>8</v>
      </c>
      <c r="C1262" s="43" t="s">
        <v>1982</v>
      </c>
      <c r="D1262" s="1" t="s">
        <v>2029</v>
      </c>
      <c r="E1262" s="43" t="s">
        <v>1982</v>
      </c>
      <c r="F1262" s="37" t="s">
        <v>2030</v>
      </c>
      <c r="G1262" s="44">
        <v>74700</v>
      </c>
      <c r="H1262" s="44">
        <v>747</v>
      </c>
    </row>
    <row r="1263" spans="1:8">
      <c r="A1263" s="90">
        <v>127334214297</v>
      </c>
      <c r="B1263" s="1" t="s">
        <v>8</v>
      </c>
      <c r="C1263" s="43" t="s">
        <v>1982</v>
      </c>
      <c r="D1263" s="1" t="s">
        <v>2029</v>
      </c>
      <c r="E1263" s="43" t="s">
        <v>1993</v>
      </c>
      <c r="F1263" s="37" t="s">
        <v>2030</v>
      </c>
      <c r="G1263" s="44">
        <v>38700</v>
      </c>
      <c r="H1263" s="44">
        <v>387</v>
      </c>
    </row>
    <row r="1264" spans="1:8">
      <c r="A1264" s="90">
        <v>127324806483</v>
      </c>
      <c r="B1264" s="1" t="s">
        <v>8</v>
      </c>
      <c r="C1264" s="43" t="s">
        <v>1982</v>
      </c>
      <c r="D1264" s="1" t="s">
        <v>2029</v>
      </c>
      <c r="E1264" s="43" t="s">
        <v>1982</v>
      </c>
      <c r="F1264" s="37" t="s">
        <v>2030</v>
      </c>
      <c r="G1264" s="44">
        <v>26700</v>
      </c>
      <c r="H1264" s="44">
        <v>267</v>
      </c>
    </row>
    <row r="1265" spans="1:8">
      <c r="A1265" s="90">
        <v>127334292265</v>
      </c>
      <c r="B1265" s="1" t="s">
        <v>8</v>
      </c>
      <c r="C1265" s="43" t="s">
        <v>1982</v>
      </c>
      <c r="D1265" s="1" t="s">
        <v>2029</v>
      </c>
      <c r="E1265" s="43" t="s">
        <v>1993</v>
      </c>
      <c r="F1265" s="37" t="s">
        <v>2030</v>
      </c>
      <c r="G1265" s="44">
        <v>49300</v>
      </c>
      <c r="H1265" s="44">
        <v>493</v>
      </c>
    </row>
    <row r="1266" spans="1:8">
      <c r="A1266" s="90">
        <v>127887531604</v>
      </c>
      <c r="B1266" s="1" t="s">
        <v>8</v>
      </c>
      <c r="C1266" s="43" t="s">
        <v>1982</v>
      </c>
      <c r="D1266" s="1" t="s">
        <v>2029</v>
      </c>
      <c r="E1266" s="43" t="s">
        <v>1982</v>
      </c>
      <c r="F1266" s="37" t="s">
        <v>2030</v>
      </c>
      <c r="G1266" s="44">
        <v>46900</v>
      </c>
      <c r="H1266" s="44">
        <v>469</v>
      </c>
    </row>
    <row r="1267" spans="1:8">
      <c r="A1267" s="90">
        <v>127334832777</v>
      </c>
      <c r="B1267" s="1" t="s">
        <v>1790</v>
      </c>
      <c r="C1267" s="43" t="s">
        <v>1993</v>
      </c>
      <c r="D1267" s="1" t="s">
        <v>2029</v>
      </c>
      <c r="E1267" s="43" t="s">
        <v>1993</v>
      </c>
      <c r="F1267" s="37" t="s">
        <v>2030</v>
      </c>
      <c r="G1267" s="44">
        <v>21100</v>
      </c>
      <c r="H1267" s="44">
        <v>211</v>
      </c>
    </row>
    <row r="1268" spans="1:8">
      <c r="A1268" s="90">
        <v>127898519072</v>
      </c>
      <c r="B1268" s="1" t="s">
        <v>8</v>
      </c>
      <c r="C1268" s="43" t="s">
        <v>1993</v>
      </c>
      <c r="D1268" s="1" t="s">
        <v>2029</v>
      </c>
      <c r="E1268" s="43" t="s">
        <v>1993</v>
      </c>
      <c r="F1268" s="37" t="s">
        <v>2030</v>
      </c>
      <c r="G1268" s="44">
        <v>23500</v>
      </c>
      <c r="H1268" s="44">
        <v>235</v>
      </c>
    </row>
    <row r="1269" spans="1:8">
      <c r="A1269" s="90">
        <v>127328690661</v>
      </c>
      <c r="B1269" s="1" t="s">
        <v>8</v>
      </c>
      <c r="C1269" s="43" t="s">
        <v>1982</v>
      </c>
      <c r="D1269" s="1" t="s">
        <v>2029</v>
      </c>
      <c r="E1269" s="43" t="s">
        <v>1982</v>
      </c>
      <c r="F1269" s="37" t="s">
        <v>2030</v>
      </c>
      <c r="G1269" s="44">
        <v>25800</v>
      </c>
      <c r="H1269" s="44">
        <v>258</v>
      </c>
    </row>
    <row r="1270" spans="1:8">
      <c r="A1270" s="90">
        <v>127891287160</v>
      </c>
      <c r="B1270" s="1" t="s">
        <v>1790</v>
      </c>
      <c r="C1270" s="43" t="s">
        <v>1982</v>
      </c>
      <c r="D1270" s="1" t="s">
        <v>2029</v>
      </c>
      <c r="E1270" s="43" t="s">
        <v>1982</v>
      </c>
      <c r="F1270" s="37" t="s">
        <v>2030</v>
      </c>
      <c r="G1270" s="44">
        <v>31500</v>
      </c>
      <c r="H1270" s="44">
        <v>315</v>
      </c>
    </row>
    <row r="1271" spans="1:8">
      <c r="A1271" s="90">
        <v>127328855521</v>
      </c>
      <c r="B1271" s="1" t="s">
        <v>8</v>
      </c>
      <c r="C1271" s="43" t="s">
        <v>1982</v>
      </c>
      <c r="D1271" s="1" t="s">
        <v>2029</v>
      </c>
      <c r="E1271" s="43" t="s">
        <v>1982</v>
      </c>
      <c r="F1271" s="37" t="s">
        <v>2030</v>
      </c>
      <c r="G1271" s="44">
        <v>34000</v>
      </c>
      <c r="H1271" s="44">
        <v>340</v>
      </c>
    </row>
    <row r="1272" spans="1:8">
      <c r="A1272" s="90">
        <v>127329669179</v>
      </c>
      <c r="B1272" s="1" t="s">
        <v>8</v>
      </c>
      <c r="C1272" s="43" t="s">
        <v>1982</v>
      </c>
      <c r="D1272" s="1" t="s">
        <v>2029</v>
      </c>
      <c r="E1272" s="43" t="s">
        <v>1982</v>
      </c>
      <c r="F1272" s="37" t="s">
        <v>2030</v>
      </c>
      <c r="G1272" s="44">
        <v>29500</v>
      </c>
      <c r="H1272" s="44">
        <v>295</v>
      </c>
    </row>
    <row r="1273" spans="1:8">
      <c r="A1273" s="90">
        <v>127330733001</v>
      </c>
      <c r="B1273" s="1" t="s">
        <v>8</v>
      </c>
      <c r="C1273" s="43" t="s">
        <v>1982</v>
      </c>
      <c r="D1273" s="1" t="s">
        <v>2029</v>
      </c>
      <c r="E1273" s="43" t="s">
        <v>1982</v>
      </c>
      <c r="F1273" s="37" t="s">
        <v>2030</v>
      </c>
      <c r="G1273" s="44">
        <v>36400</v>
      </c>
      <c r="H1273" s="44">
        <v>364</v>
      </c>
    </row>
    <row r="1274" spans="1:8">
      <c r="A1274" s="90">
        <v>127893248554</v>
      </c>
      <c r="B1274" s="1" t="s">
        <v>1790</v>
      </c>
      <c r="C1274" s="43" t="s">
        <v>1982</v>
      </c>
      <c r="D1274" s="1" t="s">
        <v>2029</v>
      </c>
      <c r="E1274" s="43" t="s">
        <v>1982</v>
      </c>
      <c r="F1274" s="37" t="s">
        <v>2030</v>
      </c>
      <c r="G1274" s="44">
        <v>23400</v>
      </c>
      <c r="H1274" s="44">
        <v>234</v>
      </c>
    </row>
    <row r="1275" spans="1:8">
      <c r="A1275" s="90">
        <v>127330998645</v>
      </c>
      <c r="B1275" s="1" t="s">
        <v>1790</v>
      </c>
      <c r="C1275" s="43" t="s">
        <v>1982</v>
      </c>
      <c r="D1275" s="1" t="s">
        <v>2029</v>
      </c>
      <c r="E1275" s="43" t="s">
        <v>1982</v>
      </c>
      <c r="F1275" s="37" t="s">
        <v>2030</v>
      </c>
      <c r="G1275" s="44">
        <v>39680</v>
      </c>
      <c r="H1275" s="44">
        <v>396.8</v>
      </c>
    </row>
    <row r="1276" spans="1:8">
      <c r="A1276" s="90">
        <v>127331380259</v>
      </c>
      <c r="B1276" s="1" t="s">
        <v>8</v>
      </c>
      <c r="C1276" s="43" t="s">
        <v>1982</v>
      </c>
      <c r="D1276" s="1" t="s">
        <v>2029</v>
      </c>
      <c r="E1276" s="43" t="s">
        <v>1982</v>
      </c>
      <c r="F1276" s="37" t="s">
        <v>2030</v>
      </c>
      <c r="G1276" s="44">
        <v>35100</v>
      </c>
      <c r="H1276" s="44">
        <v>351</v>
      </c>
    </row>
    <row r="1277" spans="1:8">
      <c r="A1277" s="90">
        <v>127331363373</v>
      </c>
      <c r="B1277" s="1" t="s">
        <v>8</v>
      </c>
      <c r="C1277" s="43" t="s">
        <v>1982</v>
      </c>
      <c r="D1277" s="1" t="s">
        <v>2029</v>
      </c>
      <c r="E1277" s="43" t="s">
        <v>1982</v>
      </c>
      <c r="F1277" s="37" t="s">
        <v>2030</v>
      </c>
      <c r="G1277" s="44">
        <v>75100</v>
      </c>
      <c r="H1277" s="44">
        <v>751</v>
      </c>
    </row>
    <row r="1278" spans="1:8">
      <c r="A1278" s="90">
        <v>127894055512</v>
      </c>
      <c r="B1278" s="1" t="s">
        <v>8</v>
      </c>
      <c r="C1278" s="43" t="s">
        <v>1982</v>
      </c>
      <c r="D1278" s="1" t="s">
        <v>2029</v>
      </c>
      <c r="E1278" s="43" t="s">
        <v>1993</v>
      </c>
      <c r="F1278" s="37" t="s">
        <v>2030</v>
      </c>
      <c r="G1278" s="44">
        <v>10000</v>
      </c>
      <c r="H1278" s="44">
        <v>100</v>
      </c>
    </row>
    <row r="1279" spans="1:8">
      <c r="A1279" s="90">
        <v>127894833394</v>
      </c>
      <c r="B1279" s="1" t="s">
        <v>8</v>
      </c>
      <c r="C1279" s="43" t="s">
        <v>1982</v>
      </c>
      <c r="D1279" s="1" t="s">
        <v>2029</v>
      </c>
      <c r="E1279" s="43" t="s">
        <v>1993</v>
      </c>
      <c r="F1279" s="37" t="s">
        <v>2030</v>
      </c>
      <c r="G1279" s="44">
        <v>27100</v>
      </c>
      <c r="H1279" s="44">
        <v>271</v>
      </c>
    </row>
    <row r="1280" spans="1:8">
      <c r="A1280" s="90">
        <v>127332484489</v>
      </c>
      <c r="B1280" s="1" t="s">
        <v>1790</v>
      </c>
      <c r="C1280" s="43" t="s">
        <v>1982</v>
      </c>
      <c r="D1280" s="1" t="s">
        <v>2029</v>
      </c>
      <c r="E1280" s="43" t="s">
        <v>1993</v>
      </c>
      <c r="F1280" s="37" t="s">
        <v>2030</v>
      </c>
      <c r="G1280" s="44">
        <v>26800</v>
      </c>
      <c r="H1280" s="44">
        <v>268</v>
      </c>
    </row>
    <row r="1281" spans="1:8">
      <c r="A1281" s="90">
        <v>127332445685</v>
      </c>
      <c r="B1281" s="1" t="s">
        <v>1790</v>
      </c>
      <c r="C1281" s="43" t="s">
        <v>1982</v>
      </c>
      <c r="D1281" s="1" t="s">
        <v>2029</v>
      </c>
      <c r="E1281" s="43" t="s">
        <v>1993</v>
      </c>
      <c r="F1281" s="37" t="s">
        <v>2030</v>
      </c>
      <c r="G1281" s="44">
        <v>66200</v>
      </c>
      <c r="H1281" s="44">
        <v>662</v>
      </c>
    </row>
    <row r="1282" spans="1:8">
      <c r="A1282" s="90">
        <v>127895243454</v>
      </c>
      <c r="B1282" s="1" t="s">
        <v>1790</v>
      </c>
      <c r="C1282" s="43" t="s">
        <v>1982</v>
      </c>
      <c r="D1282" s="1" t="s">
        <v>2029</v>
      </c>
      <c r="E1282" s="43" t="s">
        <v>1993</v>
      </c>
      <c r="F1282" s="37" t="s">
        <v>2030</v>
      </c>
      <c r="G1282" s="44">
        <v>10000</v>
      </c>
      <c r="H1282" s="44">
        <v>100</v>
      </c>
    </row>
    <row r="1283" spans="1:8">
      <c r="A1283" s="90">
        <v>127895360758</v>
      </c>
      <c r="B1283" s="1" t="s">
        <v>8</v>
      </c>
      <c r="C1283" s="43" t="s">
        <v>1982</v>
      </c>
      <c r="D1283" s="1" t="s">
        <v>2029</v>
      </c>
      <c r="E1283" s="43" t="s">
        <v>1993</v>
      </c>
      <c r="F1283" s="37" t="s">
        <v>2030</v>
      </c>
      <c r="G1283" s="44">
        <v>31400</v>
      </c>
      <c r="H1283" s="44">
        <v>314</v>
      </c>
    </row>
    <row r="1284" spans="1:8">
      <c r="A1284" s="90">
        <v>127895269884</v>
      </c>
      <c r="B1284" s="1" t="s">
        <v>1790</v>
      </c>
      <c r="C1284" s="43" t="s">
        <v>1982</v>
      </c>
      <c r="D1284" s="1" t="s">
        <v>2029</v>
      </c>
      <c r="E1284" s="43" t="s">
        <v>1993</v>
      </c>
      <c r="F1284" s="37" t="s">
        <v>2030</v>
      </c>
      <c r="G1284" s="44">
        <v>88300</v>
      </c>
      <c r="H1284" s="44">
        <v>883</v>
      </c>
    </row>
    <row r="1285" spans="1:8">
      <c r="A1285" s="90">
        <v>127895917768</v>
      </c>
      <c r="B1285" s="1" t="s">
        <v>8</v>
      </c>
      <c r="C1285" s="43" t="s">
        <v>1982</v>
      </c>
      <c r="D1285" s="1" t="s">
        <v>2029</v>
      </c>
      <c r="E1285" s="43" t="s">
        <v>1993</v>
      </c>
      <c r="F1285" s="37" t="s">
        <v>2030</v>
      </c>
      <c r="G1285" s="44">
        <v>10400</v>
      </c>
      <c r="H1285" s="44">
        <v>104</v>
      </c>
    </row>
    <row r="1286" spans="1:8">
      <c r="A1286" s="90">
        <v>127897506320</v>
      </c>
      <c r="B1286" s="1" t="s">
        <v>1790</v>
      </c>
      <c r="C1286" s="43" t="s">
        <v>1993</v>
      </c>
      <c r="D1286" s="1" t="s">
        <v>2029</v>
      </c>
      <c r="E1286" s="43" t="s">
        <v>1993</v>
      </c>
      <c r="F1286" s="37" t="s">
        <v>2030</v>
      </c>
      <c r="G1286" s="44">
        <v>10000</v>
      </c>
      <c r="H1286" s="44">
        <v>100</v>
      </c>
    </row>
    <row r="1287" spans="1:8">
      <c r="A1287" s="90">
        <v>127898260894</v>
      </c>
      <c r="B1287" s="1" t="s">
        <v>8</v>
      </c>
      <c r="C1287" s="43" t="s">
        <v>1993</v>
      </c>
      <c r="D1287" s="1" t="s">
        <v>2029</v>
      </c>
      <c r="E1287" s="43" t="s">
        <v>1993</v>
      </c>
      <c r="F1287" s="37" t="s">
        <v>2030</v>
      </c>
      <c r="G1287" s="44">
        <v>9000</v>
      </c>
      <c r="H1287" s="44">
        <v>90</v>
      </c>
    </row>
    <row r="1288" spans="1:8">
      <c r="A1288" s="90">
        <v>127898594082</v>
      </c>
      <c r="B1288" s="1" t="s">
        <v>8</v>
      </c>
      <c r="C1288" s="43" t="s">
        <v>1993</v>
      </c>
      <c r="D1288" s="1" t="s">
        <v>2029</v>
      </c>
      <c r="E1288" s="43" t="s">
        <v>1993</v>
      </c>
      <c r="F1288" s="37" t="s">
        <v>2030</v>
      </c>
      <c r="G1288" s="44">
        <v>37000</v>
      </c>
      <c r="H1288" s="44">
        <v>370</v>
      </c>
    </row>
    <row r="1290" spans="1:8">
      <c r="G1290" s="73">
        <f>SUM(G16:G1289)</f>
        <v>33096795.990000002</v>
      </c>
      <c r="H1290" s="73">
        <f>SUM(H16:H1289)</f>
        <v>330967.95999999996</v>
      </c>
    </row>
  </sheetData>
  <mergeCells count="3">
    <mergeCell ref="A1:H1"/>
    <mergeCell ref="A14:D14"/>
    <mergeCell ref="E14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543"/>
  <sheetViews>
    <sheetView tabSelected="1" zoomScale="85" zoomScaleNormal="85" workbookViewId="0">
      <pane xSplit="5" ySplit="8" topLeftCell="F1522" activePane="bottomRight" state="frozen"/>
      <selection activeCell="B1542" sqref="B1542"/>
      <selection pane="topRight" activeCell="B1542" sqref="B1542"/>
      <selection pane="bottomLeft" activeCell="B1542" sqref="B1542"/>
      <selection pane="bottomRight" activeCell="J1543" sqref="J1543"/>
    </sheetView>
  </sheetViews>
  <sheetFormatPr baseColWidth="10" defaultColWidth="9.140625" defaultRowHeight="15"/>
  <cols>
    <col min="1" max="3" width="15.85546875" style="1" customWidth="1"/>
    <col min="4" max="4" width="20.85546875" style="1" customWidth="1"/>
    <col min="5" max="5" width="50.85546875" style="1" customWidth="1"/>
    <col min="6" max="6" width="15.85546875" style="1" customWidth="1"/>
    <col min="7" max="7" width="20.85546875" style="1" customWidth="1"/>
    <col min="8" max="12" width="15.85546875" style="1" customWidth="1"/>
    <col min="13" max="13" width="15.85546875" style="1" hidden="1" customWidth="1"/>
    <col min="14" max="14" width="20.85546875" style="1" hidden="1" customWidth="1"/>
    <col min="15" max="15" width="15.85546875" style="1" hidden="1" customWidth="1"/>
    <col min="16" max="16" width="20.85546875" style="1" hidden="1" customWidth="1"/>
    <col min="17" max="19" width="15.85546875" style="1" customWidth="1"/>
    <col min="20" max="20" width="40.85546875" style="1" customWidth="1"/>
    <col min="21" max="16384" width="9.140625" style="1"/>
  </cols>
  <sheetData>
    <row r="1" spans="1:20">
      <c r="A1" s="148" t="s">
        <v>2031</v>
      </c>
      <c r="B1" s="143"/>
      <c r="C1" s="149">
        <v>46125.400435543983</v>
      </c>
      <c r="D1" s="143"/>
    </row>
    <row r="2" spans="1:20">
      <c r="A2" s="50" t="s">
        <v>8</v>
      </c>
    </row>
    <row r="3" spans="1:20" ht="75" customHeight="1">
      <c r="A3" s="150" t="s">
        <v>2032</v>
      </c>
      <c r="B3" s="143"/>
      <c r="C3" s="143"/>
      <c r="D3" s="143"/>
      <c r="E3" s="143"/>
    </row>
    <row r="4" spans="1:20">
      <c r="A4" s="148" t="s">
        <v>8</v>
      </c>
      <c r="B4" s="143"/>
      <c r="C4" s="143"/>
      <c r="D4" s="143"/>
      <c r="E4" s="143"/>
    </row>
    <row r="5" spans="1:20">
      <c r="A5" s="148" t="s">
        <v>8</v>
      </c>
      <c r="B5" s="143"/>
      <c r="C5" s="143"/>
      <c r="D5" s="143"/>
      <c r="E5" s="143"/>
    </row>
    <row r="7" spans="1:20" ht="30" customHeight="1">
      <c r="A7" s="147" t="s">
        <v>2033</v>
      </c>
      <c r="B7" s="143"/>
      <c r="C7" s="143"/>
      <c r="D7" s="143"/>
      <c r="E7" s="143"/>
      <c r="F7" s="143"/>
      <c r="G7" s="143"/>
      <c r="H7" s="143"/>
      <c r="I7" s="143"/>
      <c r="J7" s="151" t="s">
        <v>2034</v>
      </c>
      <c r="K7" s="143"/>
      <c r="L7" s="143"/>
      <c r="M7" s="143"/>
      <c r="N7" s="143"/>
      <c r="O7" s="143"/>
      <c r="P7" s="143"/>
      <c r="Q7" s="143"/>
      <c r="R7" s="147" t="s">
        <v>2035</v>
      </c>
      <c r="S7" s="143"/>
      <c r="T7" s="51" t="s">
        <v>2036</v>
      </c>
    </row>
    <row r="8" spans="1:20" ht="25.5">
      <c r="A8" s="52" t="s">
        <v>2047</v>
      </c>
      <c r="B8" s="52" t="s">
        <v>2037</v>
      </c>
      <c r="C8" s="52" t="s">
        <v>2038</v>
      </c>
      <c r="D8" s="52" t="s">
        <v>2039</v>
      </c>
      <c r="E8" s="52" t="s">
        <v>2040</v>
      </c>
      <c r="F8" s="52" t="s">
        <v>2041</v>
      </c>
      <c r="G8" s="52" t="s">
        <v>2042</v>
      </c>
      <c r="H8" s="52" t="s">
        <v>2043</v>
      </c>
      <c r="I8" s="52" t="s">
        <v>2044</v>
      </c>
      <c r="J8" s="52" t="s">
        <v>2045</v>
      </c>
      <c r="K8" s="52" t="s">
        <v>2046</v>
      </c>
      <c r="L8" s="52" t="s">
        <v>2048</v>
      </c>
      <c r="M8" s="52" t="s">
        <v>2049</v>
      </c>
      <c r="N8" s="52" t="s">
        <v>2050</v>
      </c>
      <c r="O8" s="52" t="s">
        <v>2051</v>
      </c>
      <c r="P8" s="52" t="s">
        <v>2052</v>
      </c>
      <c r="Q8" s="52" t="s">
        <v>2053</v>
      </c>
      <c r="R8" s="52" t="s">
        <v>1776</v>
      </c>
      <c r="S8" s="52" t="s">
        <v>1761</v>
      </c>
      <c r="T8" s="52" t="s">
        <v>2054</v>
      </c>
    </row>
    <row r="9" spans="1:20" s="59" customFormat="1">
      <c r="A9" s="94">
        <v>123864040285</v>
      </c>
      <c r="B9" s="95" t="s">
        <v>2754</v>
      </c>
      <c r="C9" s="96">
        <v>45901</v>
      </c>
      <c r="D9" s="94">
        <v>49609389445</v>
      </c>
      <c r="E9" s="94">
        <v>2057966565954</v>
      </c>
      <c r="F9" s="97" t="s">
        <v>2056</v>
      </c>
      <c r="G9" s="97" t="s">
        <v>2057</v>
      </c>
      <c r="H9" s="97" t="s">
        <v>8</v>
      </c>
      <c r="I9" s="94" t="s">
        <v>8</v>
      </c>
      <c r="J9" s="98">
        <v>145.5</v>
      </c>
      <c r="K9" s="97" t="s">
        <v>2058</v>
      </c>
      <c r="L9" s="97" t="s">
        <v>2059</v>
      </c>
      <c r="M9" s="94" t="s">
        <v>2060</v>
      </c>
      <c r="N9" s="97" t="s">
        <v>2061</v>
      </c>
      <c r="O9" s="95" t="s">
        <v>8</v>
      </c>
      <c r="P9" s="97" t="s">
        <v>2755</v>
      </c>
      <c r="Q9" s="98">
        <v>15000</v>
      </c>
      <c r="R9" s="99" t="s">
        <v>8</v>
      </c>
      <c r="S9" s="98" t="s">
        <v>8</v>
      </c>
      <c r="T9" s="97" t="s">
        <v>2063</v>
      </c>
    </row>
    <row r="10" spans="1:20" s="59" customFormat="1">
      <c r="A10" s="94">
        <v>123864645949</v>
      </c>
      <c r="B10" s="95" t="s">
        <v>2754</v>
      </c>
      <c r="C10" s="96">
        <v>45901</v>
      </c>
      <c r="D10" s="94">
        <v>49609761273</v>
      </c>
      <c r="E10" s="94">
        <v>2057935812401</v>
      </c>
      <c r="F10" s="97" t="s">
        <v>2056</v>
      </c>
      <c r="G10" s="97" t="s">
        <v>2057</v>
      </c>
      <c r="H10" s="97" t="s">
        <v>8</v>
      </c>
      <c r="I10" s="94" t="s">
        <v>8</v>
      </c>
      <c r="J10" s="98">
        <v>169.75</v>
      </c>
      <c r="K10" s="97" t="s">
        <v>2058</v>
      </c>
      <c r="L10" s="97" t="s">
        <v>2059</v>
      </c>
      <c r="M10" s="94" t="s">
        <v>2060</v>
      </c>
      <c r="N10" s="97" t="s">
        <v>2061</v>
      </c>
      <c r="O10" s="95" t="s">
        <v>8</v>
      </c>
      <c r="P10" s="97" t="s">
        <v>2756</v>
      </c>
      <c r="Q10" s="98">
        <v>17500</v>
      </c>
      <c r="R10" s="99" t="s">
        <v>8</v>
      </c>
      <c r="S10" s="98" t="s">
        <v>8</v>
      </c>
      <c r="T10" s="97" t="s">
        <v>2063</v>
      </c>
    </row>
    <row r="11" spans="1:20" s="59" customFormat="1">
      <c r="A11" s="94">
        <v>124407346652</v>
      </c>
      <c r="B11" s="95" t="s">
        <v>2754</v>
      </c>
      <c r="C11" s="96">
        <v>45901</v>
      </c>
      <c r="D11" s="94">
        <v>49610079372</v>
      </c>
      <c r="E11" s="94">
        <v>2057975469254</v>
      </c>
      <c r="F11" s="97" t="s">
        <v>2056</v>
      </c>
      <c r="G11" s="97" t="s">
        <v>2057</v>
      </c>
      <c r="H11" s="97" t="s">
        <v>8</v>
      </c>
      <c r="I11" s="94" t="s">
        <v>8</v>
      </c>
      <c r="J11" s="98">
        <v>1004.52</v>
      </c>
      <c r="K11" s="97" t="s">
        <v>2058</v>
      </c>
      <c r="L11" s="97" t="s">
        <v>2059</v>
      </c>
      <c r="M11" s="94" t="s">
        <v>2060</v>
      </c>
      <c r="N11" s="97" t="s">
        <v>2061</v>
      </c>
      <c r="O11" s="95" t="s">
        <v>8</v>
      </c>
      <c r="P11" s="97" t="s">
        <v>2546</v>
      </c>
      <c r="Q11" s="98">
        <v>13200</v>
      </c>
      <c r="R11" s="99" t="s">
        <v>8</v>
      </c>
      <c r="S11" s="98" t="s">
        <v>8</v>
      </c>
      <c r="T11" s="97" t="s">
        <v>2063</v>
      </c>
    </row>
    <row r="12" spans="1:20" s="59" customFormat="1">
      <c r="A12" s="94">
        <v>124407749182</v>
      </c>
      <c r="B12" s="95" t="s">
        <v>2754</v>
      </c>
      <c r="C12" s="96">
        <v>45901</v>
      </c>
      <c r="D12" s="94">
        <v>49610393075</v>
      </c>
      <c r="E12" s="94">
        <v>2057943537155</v>
      </c>
      <c r="F12" s="97" t="s">
        <v>2056</v>
      </c>
      <c r="G12" s="97" t="s">
        <v>2057</v>
      </c>
      <c r="H12" s="97" t="s">
        <v>8</v>
      </c>
      <c r="I12" s="94" t="s">
        <v>8</v>
      </c>
      <c r="J12" s="98">
        <v>237.65</v>
      </c>
      <c r="K12" s="97" t="s">
        <v>2058</v>
      </c>
      <c r="L12" s="97" t="s">
        <v>2059</v>
      </c>
      <c r="M12" s="94" t="s">
        <v>2060</v>
      </c>
      <c r="N12" s="97" t="s">
        <v>2061</v>
      </c>
      <c r="O12" s="95" t="s">
        <v>8</v>
      </c>
      <c r="P12" s="97" t="s">
        <v>2757</v>
      </c>
      <c r="Q12" s="98">
        <v>24500</v>
      </c>
      <c r="R12" s="99" t="s">
        <v>8</v>
      </c>
      <c r="S12" s="98" t="s">
        <v>8</v>
      </c>
      <c r="T12" s="97" t="s">
        <v>2063</v>
      </c>
    </row>
    <row r="13" spans="1:20" s="59" customFormat="1">
      <c r="A13" s="94">
        <v>123868184561</v>
      </c>
      <c r="B13" s="95" t="s">
        <v>2754</v>
      </c>
      <c r="C13" s="96">
        <v>45901</v>
      </c>
      <c r="D13" s="94">
        <v>49612277820</v>
      </c>
      <c r="E13" s="94">
        <v>2058000895800</v>
      </c>
      <c r="F13" s="97" t="s">
        <v>2056</v>
      </c>
      <c r="G13" s="97" t="s">
        <v>2057</v>
      </c>
      <c r="H13" s="97" t="s">
        <v>8</v>
      </c>
      <c r="I13" s="94" t="s">
        <v>8</v>
      </c>
      <c r="J13" s="98">
        <v>97</v>
      </c>
      <c r="K13" s="97" t="s">
        <v>2058</v>
      </c>
      <c r="L13" s="97" t="s">
        <v>2059</v>
      </c>
      <c r="M13" s="94" t="s">
        <v>2060</v>
      </c>
      <c r="N13" s="97" t="s">
        <v>2061</v>
      </c>
      <c r="O13" s="95" t="s">
        <v>8</v>
      </c>
      <c r="P13" s="97" t="s">
        <v>2758</v>
      </c>
      <c r="Q13" s="98">
        <v>10000</v>
      </c>
      <c r="R13" s="99" t="s">
        <v>8</v>
      </c>
      <c r="S13" s="98" t="s">
        <v>8</v>
      </c>
      <c r="T13" s="97" t="s">
        <v>2063</v>
      </c>
    </row>
    <row r="14" spans="1:20" s="59" customFormat="1">
      <c r="A14" s="94">
        <v>123868170745</v>
      </c>
      <c r="B14" s="95" t="s">
        <v>2754</v>
      </c>
      <c r="C14" s="96">
        <v>45901</v>
      </c>
      <c r="D14" s="94">
        <v>49612282830</v>
      </c>
      <c r="E14" s="94">
        <v>2057965544941</v>
      </c>
      <c r="F14" s="97" t="s">
        <v>2056</v>
      </c>
      <c r="G14" s="97" t="s">
        <v>2057</v>
      </c>
      <c r="H14" s="97" t="s">
        <v>8</v>
      </c>
      <c r="I14" s="94" t="s">
        <v>8</v>
      </c>
      <c r="J14" s="98">
        <v>130.94999999999999</v>
      </c>
      <c r="K14" s="97" t="s">
        <v>2058</v>
      </c>
      <c r="L14" s="97" t="s">
        <v>2059</v>
      </c>
      <c r="M14" s="94" t="s">
        <v>2060</v>
      </c>
      <c r="N14" s="97" t="s">
        <v>2061</v>
      </c>
      <c r="O14" s="95" t="s">
        <v>8</v>
      </c>
      <c r="P14" s="97" t="s">
        <v>2759</v>
      </c>
      <c r="Q14" s="98">
        <v>13500</v>
      </c>
      <c r="R14" s="99" t="s">
        <v>8</v>
      </c>
      <c r="S14" s="98" t="s">
        <v>8</v>
      </c>
      <c r="T14" s="97" t="s">
        <v>2063</v>
      </c>
    </row>
    <row r="15" spans="1:20" s="59" customFormat="1">
      <c r="A15" s="94">
        <v>124234497707</v>
      </c>
      <c r="B15" s="95" t="s">
        <v>2754</v>
      </c>
      <c r="C15" s="96">
        <v>45903</v>
      </c>
      <c r="D15" s="94">
        <v>49740571037</v>
      </c>
      <c r="E15" s="94">
        <v>2060600202588</v>
      </c>
      <c r="F15" s="97" t="s">
        <v>2069</v>
      </c>
      <c r="G15" s="97" t="s">
        <v>2057</v>
      </c>
      <c r="H15" s="97" t="s">
        <v>8</v>
      </c>
      <c r="I15" s="94" t="s">
        <v>8</v>
      </c>
      <c r="J15" s="98">
        <v>47.53</v>
      </c>
      <c r="K15" s="97" t="s">
        <v>2058</v>
      </c>
      <c r="L15" s="97" t="s">
        <v>2059</v>
      </c>
      <c r="M15" s="94" t="s">
        <v>2060</v>
      </c>
      <c r="N15" s="97" t="s">
        <v>2061</v>
      </c>
      <c r="O15" s="95" t="s">
        <v>8</v>
      </c>
      <c r="P15" s="97" t="s">
        <v>2070</v>
      </c>
      <c r="Q15" s="98">
        <v>4900</v>
      </c>
      <c r="R15" s="99" t="s">
        <v>8</v>
      </c>
      <c r="S15" s="98" t="s">
        <v>8</v>
      </c>
      <c r="T15" s="97" t="s">
        <v>8</v>
      </c>
    </row>
    <row r="16" spans="1:20" s="59" customFormat="1">
      <c r="A16" s="94">
        <v>124236889607</v>
      </c>
      <c r="B16" s="95" t="s">
        <v>2754</v>
      </c>
      <c r="C16" s="96">
        <v>45903</v>
      </c>
      <c r="D16" s="94">
        <v>49741443221</v>
      </c>
      <c r="E16" s="94">
        <v>2060616169930</v>
      </c>
      <c r="F16" s="97" t="s">
        <v>2056</v>
      </c>
      <c r="G16" s="97" t="s">
        <v>2057</v>
      </c>
      <c r="H16" s="97" t="s">
        <v>8</v>
      </c>
      <c r="I16" s="94" t="s">
        <v>8</v>
      </c>
      <c r="J16" s="98">
        <v>284.20999999999998</v>
      </c>
      <c r="K16" s="97" t="s">
        <v>2058</v>
      </c>
      <c r="L16" s="97" t="s">
        <v>2059</v>
      </c>
      <c r="M16" s="94" t="s">
        <v>2060</v>
      </c>
      <c r="N16" s="97" t="s">
        <v>2061</v>
      </c>
      <c r="O16" s="95" t="s">
        <v>8</v>
      </c>
      <c r="P16" s="97" t="s">
        <v>2384</v>
      </c>
      <c r="Q16" s="98">
        <v>29300</v>
      </c>
      <c r="R16" s="99" t="s">
        <v>8</v>
      </c>
      <c r="S16" s="98" t="s">
        <v>8</v>
      </c>
      <c r="T16" s="97" t="s">
        <v>2063</v>
      </c>
    </row>
    <row r="17" spans="1:20" s="59" customFormat="1">
      <c r="A17" s="94">
        <v>124781182650</v>
      </c>
      <c r="B17" s="95" t="s">
        <v>2754</v>
      </c>
      <c r="C17" s="96">
        <v>45903</v>
      </c>
      <c r="D17" s="94">
        <v>49741444732</v>
      </c>
      <c r="E17" s="94">
        <v>2060577299951</v>
      </c>
      <c r="F17" s="97" t="s">
        <v>2066</v>
      </c>
      <c r="G17" s="97" t="s">
        <v>2057</v>
      </c>
      <c r="H17" s="97" t="s">
        <v>8</v>
      </c>
      <c r="I17" s="94" t="s">
        <v>8</v>
      </c>
      <c r="J17" s="98">
        <v>390.44</v>
      </c>
      <c r="K17" s="97" t="s">
        <v>2058</v>
      </c>
      <c r="L17" s="97" t="s">
        <v>2067</v>
      </c>
      <c r="M17" s="94" t="s">
        <v>2060</v>
      </c>
      <c r="N17" s="97" t="s">
        <v>2061</v>
      </c>
      <c r="O17" s="95" t="s">
        <v>1790</v>
      </c>
      <c r="P17" s="97" t="s">
        <v>2068</v>
      </c>
      <c r="Q17" s="98">
        <v>8600</v>
      </c>
      <c r="R17" s="99" t="s">
        <v>8</v>
      </c>
      <c r="S17" s="98" t="s">
        <v>8</v>
      </c>
      <c r="T17" s="97" t="s">
        <v>2063</v>
      </c>
    </row>
    <row r="18" spans="1:20" s="59" customFormat="1">
      <c r="A18" s="94">
        <v>124784681512</v>
      </c>
      <c r="B18" s="95" t="s">
        <v>2754</v>
      </c>
      <c r="C18" s="96">
        <v>45903</v>
      </c>
      <c r="D18" s="94">
        <v>49742712870</v>
      </c>
      <c r="E18" s="94">
        <v>2060601512097</v>
      </c>
      <c r="F18" s="97" t="s">
        <v>2066</v>
      </c>
      <c r="G18" s="97" t="s">
        <v>2057</v>
      </c>
      <c r="H18" s="97" t="s">
        <v>8</v>
      </c>
      <c r="I18" s="94" t="s">
        <v>8</v>
      </c>
      <c r="J18" s="98">
        <v>2359.1</v>
      </c>
      <c r="K18" s="97" t="s">
        <v>2058</v>
      </c>
      <c r="L18" s="97" t="s">
        <v>2067</v>
      </c>
      <c r="M18" s="94" t="s">
        <v>2060</v>
      </c>
      <c r="N18" s="97" t="s">
        <v>2061</v>
      </c>
      <c r="O18" s="95" t="s">
        <v>1790</v>
      </c>
      <c r="P18" s="97" t="s">
        <v>2068</v>
      </c>
      <c r="Q18" s="98">
        <v>31000</v>
      </c>
      <c r="R18" s="99" t="s">
        <v>8</v>
      </c>
      <c r="S18" s="98" t="s">
        <v>8</v>
      </c>
      <c r="T18" s="97" t="s">
        <v>2063</v>
      </c>
    </row>
    <row r="19" spans="1:20" s="59" customFormat="1">
      <c r="A19" s="94">
        <v>124788106000</v>
      </c>
      <c r="B19" s="95" t="s">
        <v>2754</v>
      </c>
      <c r="C19" s="96">
        <v>45903</v>
      </c>
      <c r="D19" s="94">
        <v>49743952761</v>
      </c>
      <c r="E19" s="94">
        <v>2060664054736</v>
      </c>
      <c r="F19" s="97" t="s">
        <v>2066</v>
      </c>
      <c r="G19" s="97" t="s">
        <v>2057</v>
      </c>
      <c r="H19" s="97" t="s">
        <v>8</v>
      </c>
      <c r="I19" s="94" t="s">
        <v>8</v>
      </c>
      <c r="J19" s="98">
        <v>208.29</v>
      </c>
      <c r="K19" s="97" t="s">
        <v>2058</v>
      </c>
      <c r="L19" s="97" t="s">
        <v>2067</v>
      </c>
      <c r="M19" s="94" t="s">
        <v>2060</v>
      </c>
      <c r="N19" s="97" t="s">
        <v>2061</v>
      </c>
      <c r="O19" s="95" t="s">
        <v>1790</v>
      </c>
      <c r="P19" s="97" t="s">
        <v>2068</v>
      </c>
      <c r="Q19" s="98">
        <v>5300</v>
      </c>
      <c r="R19" s="99" t="s">
        <v>8</v>
      </c>
      <c r="S19" s="98" t="s">
        <v>8</v>
      </c>
      <c r="T19" s="97" t="s">
        <v>2063</v>
      </c>
    </row>
    <row r="20" spans="1:20" s="59" customFormat="1">
      <c r="A20" s="94">
        <v>124245392201</v>
      </c>
      <c r="B20" s="95" t="s">
        <v>2754</v>
      </c>
      <c r="C20" s="96">
        <v>45903</v>
      </c>
      <c r="D20" s="94">
        <v>49744545380</v>
      </c>
      <c r="E20" s="94">
        <v>2060674851280</v>
      </c>
      <c r="F20" s="97" t="s">
        <v>2056</v>
      </c>
      <c r="G20" s="97" t="s">
        <v>2057</v>
      </c>
      <c r="H20" s="97" t="s">
        <v>8</v>
      </c>
      <c r="I20" s="94" t="s">
        <v>8</v>
      </c>
      <c r="J20" s="98">
        <v>330.77</v>
      </c>
      <c r="K20" s="97" t="s">
        <v>2058</v>
      </c>
      <c r="L20" s="97" t="s">
        <v>2059</v>
      </c>
      <c r="M20" s="94" t="s">
        <v>2060</v>
      </c>
      <c r="N20" s="97" t="s">
        <v>2061</v>
      </c>
      <c r="O20" s="95" t="s">
        <v>8</v>
      </c>
      <c r="P20" s="97" t="s">
        <v>2214</v>
      </c>
      <c r="Q20" s="98">
        <v>34100</v>
      </c>
      <c r="R20" s="99" t="s">
        <v>8</v>
      </c>
      <c r="S20" s="98" t="s">
        <v>8</v>
      </c>
      <c r="T20" s="97" t="s">
        <v>2063</v>
      </c>
    </row>
    <row r="21" spans="1:20" s="59" customFormat="1">
      <c r="A21" s="94">
        <v>124245389515</v>
      </c>
      <c r="B21" s="95" t="s">
        <v>2754</v>
      </c>
      <c r="C21" s="96">
        <v>45903</v>
      </c>
      <c r="D21" s="94">
        <v>49744572482</v>
      </c>
      <c r="E21" s="94">
        <v>2060675422532</v>
      </c>
      <c r="F21" s="97" t="s">
        <v>2056</v>
      </c>
      <c r="G21" s="97" t="s">
        <v>2057</v>
      </c>
      <c r="H21" s="97" t="s">
        <v>8</v>
      </c>
      <c r="I21" s="94" t="s">
        <v>8</v>
      </c>
      <c r="J21" s="98">
        <v>446.2</v>
      </c>
      <c r="K21" s="97" t="s">
        <v>2058</v>
      </c>
      <c r="L21" s="97" t="s">
        <v>2059</v>
      </c>
      <c r="M21" s="94" t="s">
        <v>2060</v>
      </c>
      <c r="N21" s="97" t="s">
        <v>2061</v>
      </c>
      <c r="O21" s="95" t="s">
        <v>8</v>
      </c>
      <c r="P21" s="97" t="s">
        <v>2760</v>
      </c>
      <c r="Q21" s="98">
        <v>46000</v>
      </c>
      <c r="R21" s="99" t="s">
        <v>8</v>
      </c>
      <c r="S21" s="98" t="s">
        <v>8</v>
      </c>
      <c r="T21" s="97" t="s">
        <v>2063</v>
      </c>
    </row>
    <row r="22" spans="1:20" s="59" customFormat="1">
      <c r="A22" s="94">
        <v>124247706111</v>
      </c>
      <c r="B22" s="95" t="s">
        <v>2754</v>
      </c>
      <c r="C22" s="96">
        <v>45903</v>
      </c>
      <c r="D22" s="94">
        <v>49745428791</v>
      </c>
      <c r="E22" s="94">
        <v>2060692441494</v>
      </c>
      <c r="F22" s="97" t="s">
        <v>2056</v>
      </c>
      <c r="G22" s="97" t="s">
        <v>2057</v>
      </c>
      <c r="H22" s="97" t="s">
        <v>8</v>
      </c>
      <c r="I22" s="94" t="s">
        <v>8</v>
      </c>
      <c r="J22" s="98">
        <v>119.31</v>
      </c>
      <c r="K22" s="97" t="s">
        <v>2058</v>
      </c>
      <c r="L22" s="97" t="s">
        <v>2059</v>
      </c>
      <c r="M22" s="94" t="s">
        <v>2060</v>
      </c>
      <c r="N22" s="97" t="s">
        <v>2061</v>
      </c>
      <c r="O22" s="95" t="s">
        <v>8</v>
      </c>
      <c r="P22" s="97" t="s">
        <v>2761</v>
      </c>
      <c r="Q22" s="98">
        <v>12300</v>
      </c>
      <c r="R22" s="99" t="s">
        <v>8</v>
      </c>
      <c r="S22" s="98" t="s">
        <v>8</v>
      </c>
      <c r="T22" s="97" t="s">
        <v>2063</v>
      </c>
    </row>
    <row r="23" spans="1:20" s="59" customFormat="1">
      <c r="A23" s="94">
        <v>124795296394</v>
      </c>
      <c r="B23" s="95" t="s">
        <v>2754</v>
      </c>
      <c r="C23" s="96">
        <v>45903</v>
      </c>
      <c r="D23" s="94">
        <v>49746784038</v>
      </c>
      <c r="E23" s="94">
        <v>2060680005899</v>
      </c>
      <c r="F23" s="97" t="s">
        <v>2069</v>
      </c>
      <c r="G23" s="97" t="s">
        <v>2057</v>
      </c>
      <c r="H23" s="97" t="s">
        <v>8</v>
      </c>
      <c r="I23" s="94" t="s">
        <v>8</v>
      </c>
      <c r="J23" s="98">
        <v>193.99</v>
      </c>
      <c r="K23" s="97" t="s">
        <v>2058</v>
      </c>
      <c r="L23" s="97" t="s">
        <v>2059</v>
      </c>
      <c r="M23" s="94" t="s">
        <v>2060</v>
      </c>
      <c r="N23" s="97" t="s">
        <v>2061</v>
      </c>
      <c r="O23" s="95" t="s">
        <v>8</v>
      </c>
      <c r="P23" s="97" t="s">
        <v>2070</v>
      </c>
      <c r="Q23" s="98">
        <v>19999</v>
      </c>
      <c r="R23" s="99" t="s">
        <v>8</v>
      </c>
      <c r="S23" s="98" t="s">
        <v>8</v>
      </c>
      <c r="T23" s="97" t="s">
        <v>8</v>
      </c>
    </row>
    <row r="24" spans="1:20" s="59" customFormat="1">
      <c r="A24" s="94">
        <v>124251168101</v>
      </c>
      <c r="B24" s="95" t="s">
        <v>2754</v>
      </c>
      <c r="C24" s="96">
        <v>45903</v>
      </c>
      <c r="D24" s="94">
        <v>49746835172</v>
      </c>
      <c r="E24" s="94">
        <v>2060719466438</v>
      </c>
      <c r="F24" s="97" t="s">
        <v>2069</v>
      </c>
      <c r="G24" s="97" t="s">
        <v>2057</v>
      </c>
      <c r="H24" s="97" t="s">
        <v>8</v>
      </c>
      <c r="I24" s="94" t="s">
        <v>8</v>
      </c>
      <c r="J24" s="98">
        <v>580.99</v>
      </c>
      <c r="K24" s="97" t="s">
        <v>2058</v>
      </c>
      <c r="L24" s="97" t="s">
        <v>2059</v>
      </c>
      <c r="M24" s="94" t="s">
        <v>2060</v>
      </c>
      <c r="N24" s="97" t="s">
        <v>2061</v>
      </c>
      <c r="O24" s="95" t="s">
        <v>8</v>
      </c>
      <c r="P24" s="97" t="s">
        <v>2070</v>
      </c>
      <c r="Q24" s="98">
        <v>59896</v>
      </c>
      <c r="R24" s="99" t="s">
        <v>8</v>
      </c>
      <c r="S24" s="98" t="s">
        <v>8</v>
      </c>
      <c r="T24" s="97" t="s">
        <v>8</v>
      </c>
    </row>
    <row r="25" spans="1:20" s="59" customFormat="1">
      <c r="A25" s="94">
        <v>124251556927</v>
      </c>
      <c r="B25" s="95" t="s">
        <v>2754</v>
      </c>
      <c r="C25" s="96">
        <v>45903</v>
      </c>
      <c r="D25" s="94">
        <v>49747029216</v>
      </c>
      <c r="E25" s="94">
        <v>2060723239488</v>
      </c>
      <c r="F25" s="97" t="s">
        <v>2056</v>
      </c>
      <c r="G25" s="97" t="s">
        <v>2057</v>
      </c>
      <c r="H25" s="97" t="s">
        <v>8</v>
      </c>
      <c r="I25" s="94" t="s">
        <v>8</v>
      </c>
      <c r="J25" s="98">
        <v>688.7</v>
      </c>
      <c r="K25" s="97" t="s">
        <v>2058</v>
      </c>
      <c r="L25" s="97" t="s">
        <v>2059</v>
      </c>
      <c r="M25" s="94" t="s">
        <v>2060</v>
      </c>
      <c r="N25" s="97" t="s">
        <v>2061</v>
      </c>
      <c r="O25" s="95" t="s">
        <v>8</v>
      </c>
      <c r="P25" s="97" t="s">
        <v>2762</v>
      </c>
      <c r="Q25" s="98">
        <v>71000</v>
      </c>
      <c r="R25" s="99" t="s">
        <v>8</v>
      </c>
      <c r="S25" s="98" t="s">
        <v>8</v>
      </c>
      <c r="T25" s="97" t="s">
        <v>2063</v>
      </c>
    </row>
    <row r="26" spans="1:20" s="59" customFormat="1">
      <c r="A26" s="94">
        <v>124797073790</v>
      </c>
      <c r="B26" s="95" t="s">
        <v>2754</v>
      </c>
      <c r="C26" s="96">
        <v>45904</v>
      </c>
      <c r="D26" s="94">
        <v>49747656688</v>
      </c>
      <c r="E26" s="94">
        <v>2060695417275</v>
      </c>
      <c r="F26" s="97" t="s">
        <v>2056</v>
      </c>
      <c r="G26" s="97" t="s">
        <v>2057</v>
      </c>
      <c r="H26" s="97" t="s">
        <v>8</v>
      </c>
      <c r="I26" s="94" t="s">
        <v>8</v>
      </c>
      <c r="J26" s="98">
        <v>554.84</v>
      </c>
      <c r="K26" s="97" t="s">
        <v>2058</v>
      </c>
      <c r="L26" s="97" t="s">
        <v>2059</v>
      </c>
      <c r="M26" s="94" t="s">
        <v>2060</v>
      </c>
      <c r="N26" s="97" t="s">
        <v>2061</v>
      </c>
      <c r="O26" s="95" t="s">
        <v>8</v>
      </c>
      <c r="P26" s="97" t="s">
        <v>2496</v>
      </c>
      <c r="Q26" s="98">
        <v>57200</v>
      </c>
      <c r="R26" s="99" t="s">
        <v>8</v>
      </c>
      <c r="S26" s="98" t="s">
        <v>8</v>
      </c>
      <c r="T26" s="97" t="s">
        <v>2063</v>
      </c>
    </row>
    <row r="27" spans="1:20" s="59" customFormat="1">
      <c r="A27" s="94">
        <v>124797394520</v>
      </c>
      <c r="B27" s="95" t="s">
        <v>2754</v>
      </c>
      <c r="C27" s="96">
        <v>45904</v>
      </c>
      <c r="D27" s="94">
        <v>49747760355</v>
      </c>
      <c r="E27" s="94">
        <v>2060735577924</v>
      </c>
      <c r="F27" s="97" t="s">
        <v>2056</v>
      </c>
      <c r="G27" s="97" t="s">
        <v>2057</v>
      </c>
      <c r="H27" s="97" t="s">
        <v>8</v>
      </c>
      <c r="I27" s="94" t="s">
        <v>8</v>
      </c>
      <c r="J27" s="98">
        <v>355.99</v>
      </c>
      <c r="K27" s="97" t="s">
        <v>2058</v>
      </c>
      <c r="L27" s="97" t="s">
        <v>2059</v>
      </c>
      <c r="M27" s="94" t="s">
        <v>2060</v>
      </c>
      <c r="N27" s="97" t="s">
        <v>2061</v>
      </c>
      <c r="O27" s="95" t="s">
        <v>8</v>
      </c>
      <c r="P27" s="97" t="s">
        <v>2763</v>
      </c>
      <c r="Q27" s="98">
        <v>36700</v>
      </c>
      <c r="R27" s="99" t="s">
        <v>8</v>
      </c>
      <c r="S27" s="98" t="s">
        <v>8</v>
      </c>
      <c r="T27" s="97" t="s">
        <v>2063</v>
      </c>
    </row>
    <row r="28" spans="1:20" s="59" customFormat="1">
      <c r="A28" s="94">
        <v>124797743380</v>
      </c>
      <c r="B28" s="95" t="s">
        <v>2754</v>
      </c>
      <c r="C28" s="96">
        <v>45904</v>
      </c>
      <c r="D28" s="94">
        <v>49747941888</v>
      </c>
      <c r="E28" s="94">
        <v>2060739120394</v>
      </c>
      <c r="F28" s="97" t="s">
        <v>2066</v>
      </c>
      <c r="G28" s="97" t="s">
        <v>2057</v>
      </c>
      <c r="H28" s="97" t="s">
        <v>8</v>
      </c>
      <c r="I28" s="94" t="s">
        <v>8</v>
      </c>
      <c r="J28" s="98">
        <v>11627.55</v>
      </c>
      <c r="K28" s="97" t="s">
        <v>2058</v>
      </c>
      <c r="L28" s="97" t="s">
        <v>2067</v>
      </c>
      <c r="M28" s="94" t="s">
        <v>2060</v>
      </c>
      <c r="N28" s="97" t="s">
        <v>2061</v>
      </c>
      <c r="O28" s="95" t="s">
        <v>1790</v>
      </c>
      <c r="P28" s="97" t="s">
        <v>2068</v>
      </c>
      <c r="Q28" s="98">
        <v>152793</v>
      </c>
      <c r="R28" s="99" t="s">
        <v>8</v>
      </c>
      <c r="S28" s="98" t="s">
        <v>8</v>
      </c>
      <c r="T28" s="97" t="s">
        <v>2063</v>
      </c>
    </row>
    <row r="29" spans="1:20" s="59" customFormat="1">
      <c r="A29" s="94">
        <v>124797908608</v>
      </c>
      <c r="B29" s="95" t="s">
        <v>2754</v>
      </c>
      <c r="C29" s="96">
        <v>45904</v>
      </c>
      <c r="D29" s="94">
        <v>49748001102</v>
      </c>
      <c r="E29" s="94">
        <v>2060701482483</v>
      </c>
      <c r="F29" s="97" t="s">
        <v>2056</v>
      </c>
      <c r="G29" s="97" t="s">
        <v>2057</v>
      </c>
      <c r="H29" s="97" t="s">
        <v>8</v>
      </c>
      <c r="I29" s="94" t="s">
        <v>8</v>
      </c>
      <c r="J29" s="98">
        <v>1179.55</v>
      </c>
      <c r="K29" s="97" t="s">
        <v>2058</v>
      </c>
      <c r="L29" s="97" t="s">
        <v>2059</v>
      </c>
      <c r="M29" s="94" t="s">
        <v>2060</v>
      </c>
      <c r="N29" s="97" t="s">
        <v>2061</v>
      </c>
      <c r="O29" s="95" t="s">
        <v>8</v>
      </c>
      <c r="P29" s="97" t="s">
        <v>2546</v>
      </c>
      <c r="Q29" s="98">
        <v>15500</v>
      </c>
      <c r="R29" s="99" t="s">
        <v>8</v>
      </c>
      <c r="S29" s="98" t="s">
        <v>8</v>
      </c>
      <c r="T29" s="97" t="s">
        <v>2063</v>
      </c>
    </row>
    <row r="30" spans="1:20" s="59" customFormat="1">
      <c r="A30" s="94">
        <v>124253989611</v>
      </c>
      <c r="B30" s="95" t="s">
        <v>2754</v>
      </c>
      <c r="C30" s="96">
        <v>45904</v>
      </c>
      <c r="D30" s="94">
        <v>49748216398</v>
      </c>
      <c r="E30" s="94">
        <v>2060706177051</v>
      </c>
      <c r="F30" s="97" t="s">
        <v>2056</v>
      </c>
      <c r="G30" s="97" t="s">
        <v>2057</v>
      </c>
      <c r="H30" s="97" t="s">
        <v>8</v>
      </c>
      <c r="I30" s="94" t="s">
        <v>8</v>
      </c>
      <c r="J30" s="98">
        <v>202.73</v>
      </c>
      <c r="K30" s="97" t="s">
        <v>2058</v>
      </c>
      <c r="L30" s="97" t="s">
        <v>2059</v>
      </c>
      <c r="M30" s="94" t="s">
        <v>2060</v>
      </c>
      <c r="N30" s="97" t="s">
        <v>2061</v>
      </c>
      <c r="O30" s="95" t="s">
        <v>8</v>
      </c>
      <c r="P30" s="97" t="s">
        <v>2764</v>
      </c>
      <c r="Q30" s="98">
        <v>20900</v>
      </c>
      <c r="R30" s="99" t="s">
        <v>8</v>
      </c>
      <c r="S30" s="98" t="s">
        <v>8</v>
      </c>
      <c r="T30" s="97" t="s">
        <v>2063</v>
      </c>
    </row>
    <row r="31" spans="1:20" s="59" customFormat="1">
      <c r="A31" s="94">
        <v>124798439032</v>
      </c>
      <c r="B31" s="95" t="s">
        <v>2754</v>
      </c>
      <c r="C31" s="96">
        <v>45904</v>
      </c>
      <c r="D31" s="94">
        <v>49748222229</v>
      </c>
      <c r="E31" s="94">
        <v>2060706427201</v>
      </c>
      <c r="F31" s="97" t="s">
        <v>2056</v>
      </c>
      <c r="G31" s="97" t="s">
        <v>2057</v>
      </c>
      <c r="H31" s="97" t="s">
        <v>8</v>
      </c>
      <c r="I31" s="94" t="s">
        <v>8</v>
      </c>
      <c r="J31" s="98">
        <v>273.54000000000002</v>
      </c>
      <c r="K31" s="97" t="s">
        <v>2058</v>
      </c>
      <c r="L31" s="97" t="s">
        <v>2059</v>
      </c>
      <c r="M31" s="94" t="s">
        <v>2060</v>
      </c>
      <c r="N31" s="97" t="s">
        <v>2061</v>
      </c>
      <c r="O31" s="95" t="s">
        <v>8</v>
      </c>
      <c r="P31" s="97" t="s">
        <v>2765</v>
      </c>
      <c r="Q31" s="98">
        <v>28200</v>
      </c>
      <c r="R31" s="99" t="s">
        <v>8</v>
      </c>
      <c r="S31" s="98" t="s">
        <v>8</v>
      </c>
      <c r="T31" s="97" t="s">
        <v>2063</v>
      </c>
    </row>
    <row r="32" spans="1:20" s="59" customFormat="1">
      <c r="A32" s="94">
        <v>124798706468</v>
      </c>
      <c r="B32" s="95" t="s">
        <v>2754</v>
      </c>
      <c r="C32" s="96">
        <v>45904</v>
      </c>
      <c r="D32" s="94">
        <v>49748310844</v>
      </c>
      <c r="E32" s="94">
        <v>2060708012861</v>
      </c>
      <c r="F32" s="97" t="s">
        <v>2056</v>
      </c>
      <c r="G32" s="97" t="s">
        <v>2057</v>
      </c>
      <c r="H32" s="97" t="s">
        <v>8</v>
      </c>
      <c r="I32" s="94" t="s">
        <v>8</v>
      </c>
      <c r="J32" s="98">
        <v>95.06</v>
      </c>
      <c r="K32" s="97" t="s">
        <v>2058</v>
      </c>
      <c r="L32" s="97" t="s">
        <v>2059</v>
      </c>
      <c r="M32" s="94" t="s">
        <v>2060</v>
      </c>
      <c r="N32" s="97" t="s">
        <v>2061</v>
      </c>
      <c r="O32" s="95" t="s">
        <v>8</v>
      </c>
      <c r="P32" s="97" t="s">
        <v>2766</v>
      </c>
      <c r="Q32" s="98">
        <v>9800</v>
      </c>
      <c r="R32" s="99" t="s">
        <v>8</v>
      </c>
      <c r="S32" s="98" t="s">
        <v>8</v>
      </c>
      <c r="T32" s="97" t="s">
        <v>2063</v>
      </c>
    </row>
    <row r="33" spans="1:20" s="59" customFormat="1">
      <c r="A33" s="94">
        <v>124800062204</v>
      </c>
      <c r="B33" s="95" t="s">
        <v>2754</v>
      </c>
      <c r="C33" s="96">
        <v>45904</v>
      </c>
      <c r="D33" s="94">
        <v>49748861631</v>
      </c>
      <c r="E33" s="94">
        <v>2060759086032</v>
      </c>
      <c r="F33" s="97" t="s">
        <v>2069</v>
      </c>
      <c r="G33" s="97" t="s">
        <v>2057</v>
      </c>
      <c r="H33" s="97" t="s">
        <v>8</v>
      </c>
      <c r="I33" s="94" t="s">
        <v>8</v>
      </c>
      <c r="J33" s="98">
        <v>457.81</v>
      </c>
      <c r="K33" s="97" t="s">
        <v>2058</v>
      </c>
      <c r="L33" s="97" t="s">
        <v>2059</v>
      </c>
      <c r="M33" s="94" t="s">
        <v>2060</v>
      </c>
      <c r="N33" s="97" t="s">
        <v>2061</v>
      </c>
      <c r="O33" s="95" t="s">
        <v>8</v>
      </c>
      <c r="P33" s="97" t="s">
        <v>2070</v>
      </c>
      <c r="Q33" s="98">
        <v>47197</v>
      </c>
      <c r="R33" s="99" t="s">
        <v>8</v>
      </c>
      <c r="S33" s="98" t="s">
        <v>8</v>
      </c>
      <c r="T33" s="97" t="s">
        <v>8</v>
      </c>
    </row>
    <row r="34" spans="1:20" s="59" customFormat="1">
      <c r="A34" s="94">
        <v>124256095479</v>
      </c>
      <c r="B34" s="95" t="s">
        <v>2754</v>
      </c>
      <c r="C34" s="96">
        <v>45904</v>
      </c>
      <c r="D34" s="94">
        <v>49749107436</v>
      </c>
      <c r="E34" s="94">
        <v>2060764045674</v>
      </c>
      <c r="F34" s="97" t="s">
        <v>2056</v>
      </c>
      <c r="G34" s="97" t="s">
        <v>2057</v>
      </c>
      <c r="H34" s="97" t="s">
        <v>8</v>
      </c>
      <c r="I34" s="94" t="s">
        <v>8</v>
      </c>
      <c r="J34" s="98">
        <v>193.98</v>
      </c>
      <c r="K34" s="97" t="s">
        <v>2058</v>
      </c>
      <c r="L34" s="97" t="s">
        <v>2059</v>
      </c>
      <c r="M34" s="94" t="s">
        <v>2060</v>
      </c>
      <c r="N34" s="97" t="s">
        <v>2061</v>
      </c>
      <c r="O34" s="95" t="s">
        <v>8</v>
      </c>
      <c r="P34" s="97" t="s">
        <v>2767</v>
      </c>
      <c r="Q34" s="98">
        <v>19998</v>
      </c>
      <c r="R34" s="99" t="s">
        <v>8</v>
      </c>
      <c r="S34" s="98" t="s">
        <v>8</v>
      </c>
      <c r="T34" s="97" t="s">
        <v>2063</v>
      </c>
    </row>
    <row r="35" spans="1:20" s="59" customFormat="1">
      <c r="A35" s="94">
        <v>124907529624</v>
      </c>
      <c r="B35" s="95" t="s">
        <v>2754</v>
      </c>
      <c r="C35" s="96">
        <v>45904</v>
      </c>
      <c r="D35" s="94">
        <v>49785711056</v>
      </c>
      <c r="E35" s="94">
        <v>2061474156915</v>
      </c>
      <c r="F35" s="97" t="s">
        <v>2056</v>
      </c>
      <c r="G35" s="97" t="s">
        <v>2057</v>
      </c>
      <c r="H35" s="97" t="s">
        <v>8</v>
      </c>
      <c r="I35" s="94" t="s">
        <v>8</v>
      </c>
      <c r="J35" s="98">
        <v>154.22999999999999</v>
      </c>
      <c r="K35" s="97" t="s">
        <v>2058</v>
      </c>
      <c r="L35" s="97" t="s">
        <v>2059</v>
      </c>
      <c r="M35" s="94" t="s">
        <v>2060</v>
      </c>
      <c r="N35" s="97" t="s">
        <v>2061</v>
      </c>
      <c r="O35" s="95" t="s">
        <v>8</v>
      </c>
      <c r="P35" s="97" t="s">
        <v>2768</v>
      </c>
      <c r="Q35" s="98">
        <v>15900</v>
      </c>
      <c r="R35" s="99" t="s">
        <v>8</v>
      </c>
      <c r="S35" s="98" t="s">
        <v>8</v>
      </c>
      <c r="T35" s="97" t="s">
        <v>2063</v>
      </c>
    </row>
    <row r="36" spans="1:20" s="59" customFormat="1">
      <c r="A36" s="94">
        <v>124362593953</v>
      </c>
      <c r="B36" s="95" t="s">
        <v>2754</v>
      </c>
      <c r="C36" s="96">
        <v>45904</v>
      </c>
      <c r="D36" s="94">
        <v>49785797411</v>
      </c>
      <c r="E36" s="94">
        <v>2061514639976</v>
      </c>
      <c r="F36" s="97" t="s">
        <v>2056</v>
      </c>
      <c r="G36" s="97" t="s">
        <v>2057</v>
      </c>
      <c r="H36" s="97" t="s">
        <v>8</v>
      </c>
      <c r="I36" s="94" t="s">
        <v>8</v>
      </c>
      <c r="J36" s="98">
        <v>41.71</v>
      </c>
      <c r="K36" s="97" t="s">
        <v>2058</v>
      </c>
      <c r="L36" s="97" t="s">
        <v>2059</v>
      </c>
      <c r="M36" s="94" t="s">
        <v>2060</v>
      </c>
      <c r="N36" s="97" t="s">
        <v>2061</v>
      </c>
      <c r="O36" s="95" t="s">
        <v>8</v>
      </c>
      <c r="P36" s="97" t="s">
        <v>2769</v>
      </c>
      <c r="Q36" s="98">
        <v>4300</v>
      </c>
      <c r="R36" s="99" t="s">
        <v>8</v>
      </c>
      <c r="S36" s="98" t="s">
        <v>8</v>
      </c>
      <c r="T36" s="97" t="s">
        <v>2063</v>
      </c>
    </row>
    <row r="37" spans="1:20" s="59" customFormat="1">
      <c r="A37" s="94">
        <v>124908939322</v>
      </c>
      <c r="B37" s="95" t="s">
        <v>2754</v>
      </c>
      <c r="C37" s="96">
        <v>45904</v>
      </c>
      <c r="D37" s="94">
        <v>49786204604</v>
      </c>
      <c r="E37" s="94">
        <v>2061482154635</v>
      </c>
      <c r="F37" s="97" t="s">
        <v>2069</v>
      </c>
      <c r="G37" s="97" t="s">
        <v>2057</v>
      </c>
      <c r="H37" s="97" t="s">
        <v>8</v>
      </c>
      <c r="I37" s="94" t="s">
        <v>8</v>
      </c>
      <c r="J37" s="98">
        <v>41.71</v>
      </c>
      <c r="K37" s="97" t="s">
        <v>2058</v>
      </c>
      <c r="L37" s="97" t="s">
        <v>2059</v>
      </c>
      <c r="M37" s="94" t="s">
        <v>2060</v>
      </c>
      <c r="N37" s="97" t="s">
        <v>2061</v>
      </c>
      <c r="O37" s="95" t="s">
        <v>8</v>
      </c>
      <c r="P37" s="97" t="s">
        <v>2070</v>
      </c>
      <c r="Q37" s="98">
        <v>4300</v>
      </c>
      <c r="R37" s="99" t="s">
        <v>8</v>
      </c>
      <c r="S37" s="98" t="s">
        <v>8</v>
      </c>
      <c r="T37" s="97" t="s">
        <v>8</v>
      </c>
    </row>
    <row r="38" spans="1:20" s="59" customFormat="1">
      <c r="A38" s="94">
        <v>124909134908</v>
      </c>
      <c r="B38" s="95" t="s">
        <v>2754</v>
      </c>
      <c r="C38" s="96">
        <v>45904</v>
      </c>
      <c r="D38" s="94">
        <v>49786243802</v>
      </c>
      <c r="E38" s="94">
        <v>2061483007505</v>
      </c>
      <c r="F38" s="97" t="s">
        <v>2056</v>
      </c>
      <c r="G38" s="97" t="s">
        <v>2057</v>
      </c>
      <c r="H38" s="97" t="s">
        <v>8</v>
      </c>
      <c r="I38" s="94" t="s">
        <v>8</v>
      </c>
      <c r="J38" s="98">
        <v>75.66</v>
      </c>
      <c r="K38" s="97" t="s">
        <v>2058</v>
      </c>
      <c r="L38" s="97" t="s">
        <v>2059</v>
      </c>
      <c r="M38" s="94" t="s">
        <v>2060</v>
      </c>
      <c r="N38" s="97" t="s">
        <v>2061</v>
      </c>
      <c r="O38" s="95" t="s">
        <v>8</v>
      </c>
      <c r="P38" s="97" t="s">
        <v>2770</v>
      </c>
      <c r="Q38" s="98">
        <v>7800</v>
      </c>
      <c r="R38" s="99" t="s">
        <v>8</v>
      </c>
      <c r="S38" s="98" t="s">
        <v>8</v>
      </c>
      <c r="T38" s="97" t="s">
        <v>2063</v>
      </c>
    </row>
    <row r="39" spans="1:20" s="59" customFormat="1">
      <c r="A39" s="94">
        <v>124912912486</v>
      </c>
      <c r="B39" s="95" t="s">
        <v>2754</v>
      </c>
      <c r="C39" s="96">
        <v>45904</v>
      </c>
      <c r="D39" s="94">
        <v>49787552619</v>
      </c>
      <c r="E39" s="94">
        <v>2061507024891</v>
      </c>
      <c r="F39" s="97" t="s">
        <v>2056</v>
      </c>
      <c r="G39" s="97" t="s">
        <v>2057</v>
      </c>
      <c r="H39" s="97" t="s">
        <v>8</v>
      </c>
      <c r="I39" s="94" t="s">
        <v>8</v>
      </c>
      <c r="J39" s="98">
        <v>291</v>
      </c>
      <c r="K39" s="97" t="s">
        <v>2058</v>
      </c>
      <c r="L39" s="97" t="s">
        <v>2059</v>
      </c>
      <c r="M39" s="94" t="s">
        <v>2060</v>
      </c>
      <c r="N39" s="97" t="s">
        <v>2061</v>
      </c>
      <c r="O39" s="95" t="s">
        <v>8</v>
      </c>
      <c r="P39" s="97" t="s">
        <v>2771</v>
      </c>
      <c r="Q39" s="98">
        <v>30000</v>
      </c>
      <c r="R39" s="99" t="s">
        <v>8</v>
      </c>
      <c r="S39" s="98" t="s">
        <v>8</v>
      </c>
      <c r="T39" s="97" t="s">
        <v>2063</v>
      </c>
    </row>
    <row r="40" spans="1:20" s="59" customFormat="1">
      <c r="A40" s="94">
        <v>124368294535</v>
      </c>
      <c r="B40" s="95" t="s">
        <v>2754</v>
      </c>
      <c r="C40" s="96">
        <v>45904</v>
      </c>
      <c r="D40" s="94">
        <v>49787756190</v>
      </c>
      <c r="E40" s="94">
        <v>2061549978588</v>
      </c>
      <c r="F40" s="97" t="s">
        <v>2066</v>
      </c>
      <c r="G40" s="97" t="s">
        <v>2057</v>
      </c>
      <c r="H40" s="97" t="s">
        <v>8</v>
      </c>
      <c r="I40" s="94" t="s">
        <v>8</v>
      </c>
      <c r="J40" s="98">
        <v>168.99</v>
      </c>
      <c r="K40" s="97" t="s">
        <v>2058</v>
      </c>
      <c r="L40" s="97" t="s">
        <v>2067</v>
      </c>
      <c r="M40" s="94" t="s">
        <v>2060</v>
      </c>
      <c r="N40" s="97" t="s">
        <v>2061</v>
      </c>
      <c r="O40" s="95" t="s">
        <v>1790</v>
      </c>
      <c r="P40" s="97" t="s">
        <v>2068</v>
      </c>
      <c r="Q40" s="98">
        <v>4300</v>
      </c>
      <c r="R40" s="99" t="s">
        <v>8</v>
      </c>
      <c r="S40" s="98" t="s">
        <v>8</v>
      </c>
      <c r="T40" s="97" t="s">
        <v>2063</v>
      </c>
    </row>
    <row r="41" spans="1:20" s="59" customFormat="1">
      <c r="A41" s="94">
        <v>124370030581</v>
      </c>
      <c r="B41" s="95" t="s">
        <v>2754</v>
      </c>
      <c r="C41" s="96">
        <v>45904</v>
      </c>
      <c r="D41" s="94">
        <v>49788389786</v>
      </c>
      <c r="E41" s="94">
        <v>2061522172415</v>
      </c>
      <c r="F41" s="97" t="s">
        <v>2056</v>
      </c>
      <c r="G41" s="97" t="s">
        <v>2057</v>
      </c>
      <c r="H41" s="97" t="s">
        <v>8</v>
      </c>
      <c r="I41" s="94" t="s">
        <v>8</v>
      </c>
      <c r="J41" s="98">
        <v>1056.33</v>
      </c>
      <c r="K41" s="97" t="s">
        <v>2058</v>
      </c>
      <c r="L41" s="97" t="s">
        <v>2059</v>
      </c>
      <c r="M41" s="94" t="s">
        <v>2060</v>
      </c>
      <c r="N41" s="97" t="s">
        <v>2061</v>
      </c>
      <c r="O41" s="95" t="s">
        <v>8</v>
      </c>
      <c r="P41" s="97" t="s">
        <v>2772</v>
      </c>
      <c r="Q41" s="98">
        <v>108900</v>
      </c>
      <c r="R41" s="99" t="s">
        <v>8</v>
      </c>
      <c r="S41" s="98" t="s">
        <v>8</v>
      </c>
      <c r="T41" s="97" t="s">
        <v>2063</v>
      </c>
    </row>
    <row r="42" spans="1:20" s="59" customFormat="1">
      <c r="A42" s="94">
        <v>124919880508</v>
      </c>
      <c r="B42" s="95" t="s">
        <v>2754</v>
      </c>
      <c r="C42" s="96">
        <v>45904</v>
      </c>
      <c r="D42" s="94">
        <v>49790136945</v>
      </c>
      <c r="E42" s="94">
        <v>2061593558782</v>
      </c>
      <c r="F42" s="97" t="s">
        <v>2056</v>
      </c>
      <c r="G42" s="97" t="s">
        <v>2057</v>
      </c>
      <c r="H42" s="97" t="s">
        <v>8</v>
      </c>
      <c r="I42" s="94" t="s">
        <v>8</v>
      </c>
      <c r="J42" s="98">
        <v>230.86</v>
      </c>
      <c r="K42" s="97" t="s">
        <v>2058</v>
      </c>
      <c r="L42" s="97" t="s">
        <v>2059</v>
      </c>
      <c r="M42" s="94" t="s">
        <v>2060</v>
      </c>
      <c r="N42" s="97" t="s">
        <v>2061</v>
      </c>
      <c r="O42" s="95" t="s">
        <v>8</v>
      </c>
      <c r="P42" s="97" t="s">
        <v>2773</v>
      </c>
      <c r="Q42" s="98">
        <v>23800</v>
      </c>
      <c r="R42" s="99" t="s">
        <v>8</v>
      </c>
      <c r="S42" s="98" t="s">
        <v>8</v>
      </c>
      <c r="T42" s="97" t="s">
        <v>2063</v>
      </c>
    </row>
    <row r="43" spans="1:20" s="59" customFormat="1">
      <c r="A43" s="94">
        <v>124375560999</v>
      </c>
      <c r="B43" s="95" t="s">
        <v>2754</v>
      </c>
      <c r="C43" s="96">
        <v>45904</v>
      </c>
      <c r="D43" s="94">
        <v>49790399712</v>
      </c>
      <c r="E43" s="94">
        <v>2061599120062</v>
      </c>
      <c r="F43" s="97" t="s">
        <v>2066</v>
      </c>
      <c r="G43" s="97" t="s">
        <v>2057</v>
      </c>
      <c r="H43" s="97" t="s">
        <v>8</v>
      </c>
      <c r="I43" s="94" t="s">
        <v>8</v>
      </c>
      <c r="J43" s="98">
        <v>168.99</v>
      </c>
      <c r="K43" s="97" t="s">
        <v>2058</v>
      </c>
      <c r="L43" s="97" t="s">
        <v>2067</v>
      </c>
      <c r="M43" s="94" t="s">
        <v>2060</v>
      </c>
      <c r="N43" s="97" t="s">
        <v>2061</v>
      </c>
      <c r="O43" s="95" t="s">
        <v>1790</v>
      </c>
      <c r="P43" s="97" t="s">
        <v>2068</v>
      </c>
      <c r="Q43" s="98">
        <v>4300</v>
      </c>
      <c r="R43" s="99" t="s">
        <v>8</v>
      </c>
      <c r="S43" s="98" t="s">
        <v>8</v>
      </c>
      <c r="T43" s="97" t="s">
        <v>2063</v>
      </c>
    </row>
    <row r="44" spans="1:20" s="59" customFormat="1">
      <c r="A44" s="94">
        <v>124921656040</v>
      </c>
      <c r="B44" s="95" t="s">
        <v>2754</v>
      </c>
      <c r="C44" s="96">
        <v>45904</v>
      </c>
      <c r="D44" s="94">
        <v>49790790742</v>
      </c>
      <c r="E44" s="94">
        <v>2061606864486</v>
      </c>
      <c r="F44" s="97" t="s">
        <v>2066</v>
      </c>
      <c r="G44" s="97" t="s">
        <v>2057</v>
      </c>
      <c r="H44" s="97" t="s">
        <v>8</v>
      </c>
      <c r="I44" s="94" t="s">
        <v>8</v>
      </c>
      <c r="J44" s="98">
        <v>1806.92</v>
      </c>
      <c r="K44" s="97" t="s">
        <v>2058</v>
      </c>
      <c r="L44" s="97" t="s">
        <v>2067</v>
      </c>
      <c r="M44" s="94" t="s">
        <v>2060</v>
      </c>
      <c r="N44" s="97" t="s">
        <v>2061</v>
      </c>
      <c r="O44" s="95" t="s">
        <v>1790</v>
      </c>
      <c r="P44" s="97" t="s">
        <v>2068</v>
      </c>
      <c r="Q44" s="98">
        <v>39800</v>
      </c>
      <c r="R44" s="99" t="s">
        <v>8</v>
      </c>
      <c r="S44" s="98" t="s">
        <v>8</v>
      </c>
      <c r="T44" s="97" t="s">
        <v>2063</v>
      </c>
    </row>
    <row r="45" spans="1:20" s="59" customFormat="1">
      <c r="A45" s="94">
        <v>124379045323</v>
      </c>
      <c r="B45" s="95" t="s">
        <v>2754</v>
      </c>
      <c r="C45" s="96">
        <v>45904</v>
      </c>
      <c r="D45" s="94">
        <v>49791732778</v>
      </c>
      <c r="E45" s="94">
        <v>2061624404602</v>
      </c>
      <c r="F45" s="97" t="s">
        <v>2056</v>
      </c>
      <c r="G45" s="97" t="s">
        <v>2057</v>
      </c>
      <c r="H45" s="97" t="s">
        <v>8</v>
      </c>
      <c r="I45" s="94" t="s">
        <v>8</v>
      </c>
      <c r="J45" s="98">
        <v>37.83</v>
      </c>
      <c r="K45" s="97" t="s">
        <v>2058</v>
      </c>
      <c r="L45" s="97" t="s">
        <v>2059</v>
      </c>
      <c r="M45" s="94" t="s">
        <v>2060</v>
      </c>
      <c r="N45" s="97" t="s">
        <v>2061</v>
      </c>
      <c r="O45" s="95" t="s">
        <v>8</v>
      </c>
      <c r="P45" s="97" t="s">
        <v>2330</v>
      </c>
      <c r="Q45" s="98">
        <v>3900</v>
      </c>
      <c r="R45" s="99" t="s">
        <v>8</v>
      </c>
      <c r="S45" s="98" t="s">
        <v>8</v>
      </c>
      <c r="T45" s="97" t="s">
        <v>2063</v>
      </c>
    </row>
    <row r="46" spans="1:20" s="59" customFormat="1">
      <c r="A46" s="94">
        <v>124924939738</v>
      </c>
      <c r="B46" s="95" t="s">
        <v>2754</v>
      </c>
      <c r="C46" s="96">
        <v>45904</v>
      </c>
      <c r="D46" s="94">
        <v>49792033523</v>
      </c>
      <c r="E46" s="94">
        <v>2061630610296</v>
      </c>
      <c r="F46" s="97" t="s">
        <v>2056</v>
      </c>
      <c r="G46" s="97" t="s">
        <v>2057</v>
      </c>
      <c r="H46" s="97" t="s">
        <v>8</v>
      </c>
      <c r="I46" s="94" t="s">
        <v>8</v>
      </c>
      <c r="J46" s="98">
        <v>83.42</v>
      </c>
      <c r="K46" s="97" t="s">
        <v>2058</v>
      </c>
      <c r="L46" s="97" t="s">
        <v>2059</v>
      </c>
      <c r="M46" s="94" t="s">
        <v>2060</v>
      </c>
      <c r="N46" s="97" t="s">
        <v>2061</v>
      </c>
      <c r="O46" s="95" t="s">
        <v>8</v>
      </c>
      <c r="P46" s="97" t="s">
        <v>2084</v>
      </c>
      <c r="Q46" s="98">
        <v>8600</v>
      </c>
      <c r="R46" s="99" t="s">
        <v>8</v>
      </c>
      <c r="S46" s="98" t="s">
        <v>8</v>
      </c>
      <c r="T46" s="97" t="s">
        <v>2063</v>
      </c>
    </row>
    <row r="47" spans="1:20" s="59" customFormat="1">
      <c r="A47" s="94">
        <v>124379914851</v>
      </c>
      <c r="B47" s="95" t="s">
        <v>2754</v>
      </c>
      <c r="C47" s="96">
        <v>45904</v>
      </c>
      <c r="D47" s="94">
        <v>49792081287</v>
      </c>
      <c r="E47" s="94">
        <v>2061592042197</v>
      </c>
      <c r="F47" s="97" t="s">
        <v>2056</v>
      </c>
      <c r="G47" s="97" t="s">
        <v>2057</v>
      </c>
      <c r="H47" s="97" t="s">
        <v>8</v>
      </c>
      <c r="I47" s="94" t="s">
        <v>8</v>
      </c>
      <c r="J47" s="98">
        <v>41.71</v>
      </c>
      <c r="K47" s="97" t="s">
        <v>2058</v>
      </c>
      <c r="L47" s="97" t="s">
        <v>2059</v>
      </c>
      <c r="M47" s="94" t="s">
        <v>2060</v>
      </c>
      <c r="N47" s="97" t="s">
        <v>2061</v>
      </c>
      <c r="O47" s="95" t="s">
        <v>8</v>
      </c>
      <c r="P47" s="97" t="s">
        <v>2774</v>
      </c>
      <c r="Q47" s="98">
        <v>4300</v>
      </c>
      <c r="R47" s="99" t="s">
        <v>8</v>
      </c>
      <c r="S47" s="98" t="s">
        <v>8</v>
      </c>
      <c r="T47" s="97" t="s">
        <v>2063</v>
      </c>
    </row>
    <row r="48" spans="1:20" s="59" customFormat="1">
      <c r="A48" s="94">
        <v>124926524640</v>
      </c>
      <c r="B48" s="95" t="s">
        <v>2754</v>
      </c>
      <c r="C48" s="96">
        <v>45904</v>
      </c>
      <c r="D48" s="94">
        <v>49792637855</v>
      </c>
      <c r="E48" s="94">
        <v>2061602453263</v>
      </c>
      <c r="F48" s="97" t="s">
        <v>2056</v>
      </c>
      <c r="G48" s="97" t="s">
        <v>2057</v>
      </c>
      <c r="H48" s="97" t="s">
        <v>8</v>
      </c>
      <c r="I48" s="94" t="s">
        <v>8</v>
      </c>
      <c r="J48" s="98">
        <v>794.43</v>
      </c>
      <c r="K48" s="97" t="s">
        <v>2058</v>
      </c>
      <c r="L48" s="97" t="s">
        <v>2059</v>
      </c>
      <c r="M48" s="94" t="s">
        <v>2060</v>
      </c>
      <c r="N48" s="97" t="s">
        <v>2061</v>
      </c>
      <c r="O48" s="95" t="s">
        <v>8</v>
      </c>
      <c r="P48" s="97" t="s">
        <v>2160</v>
      </c>
      <c r="Q48" s="98">
        <v>81900</v>
      </c>
      <c r="R48" s="99" t="s">
        <v>8</v>
      </c>
      <c r="S48" s="98" t="s">
        <v>8</v>
      </c>
      <c r="T48" s="97" t="s">
        <v>2063</v>
      </c>
    </row>
    <row r="49" spans="1:20" s="59" customFormat="1">
      <c r="A49" s="94">
        <v>124926603568</v>
      </c>
      <c r="B49" s="95" t="s">
        <v>2754</v>
      </c>
      <c r="C49" s="96">
        <v>45904</v>
      </c>
      <c r="D49" s="94">
        <v>49792700266</v>
      </c>
      <c r="E49" s="94">
        <v>2061603893533</v>
      </c>
      <c r="F49" s="97" t="s">
        <v>2056</v>
      </c>
      <c r="G49" s="97" t="s">
        <v>2057</v>
      </c>
      <c r="H49" s="97" t="s">
        <v>8</v>
      </c>
      <c r="I49" s="94" t="s">
        <v>8</v>
      </c>
      <c r="J49" s="98">
        <v>134.83000000000001</v>
      </c>
      <c r="K49" s="97" t="s">
        <v>2058</v>
      </c>
      <c r="L49" s="97" t="s">
        <v>2059</v>
      </c>
      <c r="M49" s="94" t="s">
        <v>2060</v>
      </c>
      <c r="N49" s="97" t="s">
        <v>2061</v>
      </c>
      <c r="O49" s="95" t="s">
        <v>8</v>
      </c>
      <c r="P49" s="97" t="s">
        <v>2775</v>
      </c>
      <c r="Q49" s="98">
        <v>13900</v>
      </c>
      <c r="R49" s="99" t="s">
        <v>8</v>
      </c>
      <c r="S49" s="98" t="s">
        <v>8</v>
      </c>
      <c r="T49" s="97" t="s">
        <v>2063</v>
      </c>
    </row>
    <row r="50" spans="1:20" s="59" customFormat="1">
      <c r="A50" s="94">
        <v>124926894128</v>
      </c>
      <c r="B50" s="95" t="s">
        <v>2754</v>
      </c>
      <c r="C50" s="96">
        <v>45904</v>
      </c>
      <c r="D50" s="94">
        <v>49792760846</v>
      </c>
      <c r="E50" s="94">
        <v>2061604892151</v>
      </c>
      <c r="F50" s="97" t="s">
        <v>2056</v>
      </c>
      <c r="G50" s="97" t="s">
        <v>2057</v>
      </c>
      <c r="H50" s="97" t="s">
        <v>8</v>
      </c>
      <c r="I50" s="94" t="s">
        <v>8</v>
      </c>
      <c r="J50" s="98">
        <v>33.950000000000003</v>
      </c>
      <c r="K50" s="97" t="s">
        <v>2058</v>
      </c>
      <c r="L50" s="97" t="s">
        <v>2059</v>
      </c>
      <c r="M50" s="94" t="s">
        <v>2060</v>
      </c>
      <c r="N50" s="97" t="s">
        <v>2061</v>
      </c>
      <c r="O50" s="95" t="s">
        <v>8</v>
      </c>
      <c r="P50" s="97" t="s">
        <v>2776</v>
      </c>
      <c r="Q50" s="98">
        <v>3500</v>
      </c>
      <c r="R50" s="99" t="s">
        <v>8</v>
      </c>
      <c r="S50" s="98" t="s">
        <v>8</v>
      </c>
      <c r="T50" s="97" t="s">
        <v>2063</v>
      </c>
    </row>
    <row r="51" spans="1:20" s="59" customFormat="1">
      <c r="A51" s="94">
        <v>124382131027</v>
      </c>
      <c r="B51" s="95" t="s">
        <v>2754</v>
      </c>
      <c r="C51" s="96">
        <v>45904</v>
      </c>
      <c r="D51" s="94">
        <v>49792917465</v>
      </c>
      <c r="E51" s="94">
        <v>2061607911975</v>
      </c>
      <c r="F51" s="97" t="s">
        <v>2056</v>
      </c>
      <c r="G51" s="97" t="s">
        <v>2057</v>
      </c>
      <c r="H51" s="97" t="s">
        <v>8</v>
      </c>
      <c r="I51" s="94" t="s">
        <v>8</v>
      </c>
      <c r="J51" s="98">
        <v>272.57</v>
      </c>
      <c r="K51" s="97" t="s">
        <v>2058</v>
      </c>
      <c r="L51" s="97" t="s">
        <v>2059</v>
      </c>
      <c r="M51" s="94" t="s">
        <v>2060</v>
      </c>
      <c r="N51" s="97" t="s">
        <v>2061</v>
      </c>
      <c r="O51" s="95" t="s">
        <v>8</v>
      </c>
      <c r="P51" s="97" t="s">
        <v>2777</v>
      </c>
      <c r="Q51" s="98">
        <v>28100</v>
      </c>
      <c r="R51" s="99" t="s">
        <v>8</v>
      </c>
      <c r="S51" s="98" t="s">
        <v>8</v>
      </c>
      <c r="T51" s="97" t="s">
        <v>2063</v>
      </c>
    </row>
    <row r="52" spans="1:20" s="59" customFormat="1">
      <c r="A52" s="94">
        <v>124382333979</v>
      </c>
      <c r="B52" s="95" t="s">
        <v>2754</v>
      </c>
      <c r="C52" s="96">
        <v>45904</v>
      </c>
      <c r="D52" s="94">
        <v>49793044524</v>
      </c>
      <c r="E52" s="94">
        <v>2061610463869</v>
      </c>
      <c r="F52" s="97" t="s">
        <v>2056</v>
      </c>
      <c r="G52" s="97" t="s">
        <v>2057</v>
      </c>
      <c r="H52" s="97" t="s">
        <v>8</v>
      </c>
      <c r="I52" s="94" t="s">
        <v>8</v>
      </c>
      <c r="J52" s="98">
        <v>125.13</v>
      </c>
      <c r="K52" s="97" t="s">
        <v>2058</v>
      </c>
      <c r="L52" s="97" t="s">
        <v>2059</v>
      </c>
      <c r="M52" s="94" t="s">
        <v>2060</v>
      </c>
      <c r="N52" s="97" t="s">
        <v>2061</v>
      </c>
      <c r="O52" s="95" t="s">
        <v>8</v>
      </c>
      <c r="P52" s="97" t="s">
        <v>2084</v>
      </c>
      <c r="Q52" s="98">
        <v>12900</v>
      </c>
      <c r="R52" s="99" t="s">
        <v>8</v>
      </c>
      <c r="S52" s="98" t="s">
        <v>8</v>
      </c>
      <c r="T52" s="97" t="s">
        <v>2063</v>
      </c>
    </row>
    <row r="53" spans="1:20" s="59" customFormat="1">
      <c r="A53" s="94">
        <v>124383268861</v>
      </c>
      <c r="B53" s="95" t="s">
        <v>2754</v>
      </c>
      <c r="C53" s="96">
        <v>45904</v>
      </c>
      <c r="D53" s="94">
        <v>49793375258</v>
      </c>
      <c r="E53" s="94">
        <v>2061616817383</v>
      </c>
      <c r="F53" s="97" t="s">
        <v>2056</v>
      </c>
      <c r="G53" s="97" t="s">
        <v>2057</v>
      </c>
      <c r="H53" s="97" t="s">
        <v>8</v>
      </c>
      <c r="I53" s="94" t="s">
        <v>8</v>
      </c>
      <c r="J53" s="98">
        <v>41.71</v>
      </c>
      <c r="K53" s="97" t="s">
        <v>2058</v>
      </c>
      <c r="L53" s="97" t="s">
        <v>2059</v>
      </c>
      <c r="M53" s="94" t="s">
        <v>2060</v>
      </c>
      <c r="N53" s="97" t="s">
        <v>2061</v>
      </c>
      <c r="O53" s="95" t="s">
        <v>8</v>
      </c>
      <c r="P53" s="97" t="s">
        <v>2775</v>
      </c>
      <c r="Q53" s="98">
        <v>4300</v>
      </c>
      <c r="R53" s="99" t="s">
        <v>8</v>
      </c>
      <c r="S53" s="98" t="s">
        <v>8</v>
      </c>
      <c r="T53" s="97" t="s">
        <v>2063</v>
      </c>
    </row>
    <row r="54" spans="1:20" s="59" customFormat="1">
      <c r="A54" s="94">
        <v>124383275693</v>
      </c>
      <c r="B54" s="95" t="s">
        <v>2754</v>
      </c>
      <c r="C54" s="96">
        <v>45904</v>
      </c>
      <c r="D54" s="94">
        <v>49793444127</v>
      </c>
      <c r="E54" s="94">
        <v>2061657642060</v>
      </c>
      <c r="F54" s="97" t="s">
        <v>2056</v>
      </c>
      <c r="G54" s="97" t="s">
        <v>2057</v>
      </c>
      <c r="H54" s="97" t="s">
        <v>8</v>
      </c>
      <c r="I54" s="94" t="s">
        <v>8</v>
      </c>
      <c r="J54" s="98">
        <v>90.21</v>
      </c>
      <c r="K54" s="97" t="s">
        <v>2058</v>
      </c>
      <c r="L54" s="97" t="s">
        <v>2059</v>
      </c>
      <c r="M54" s="94" t="s">
        <v>2060</v>
      </c>
      <c r="N54" s="97" t="s">
        <v>2061</v>
      </c>
      <c r="O54" s="95" t="s">
        <v>8</v>
      </c>
      <c r="P54" s="97" t="s">
        <v>2264</v>
      </c>
      <c r="Q54" s="98">
        <v>9300</v>
      </c>
      <c r="R54" s="99" t="s">
        <v>8</v>
      </c>
      <c r="S54" s="98" t="s">
        <v>8</v>
      </c>
      <c r="T54" s="97" t="s">
        <v>2063</v>
      </c>
    </row>
    <row r="55" spans="1:20" s="59" customFormat="1">
      <c r="A55" s="94">
        <v>124928647796</v>
      </c>
      <c r="B55" s="95" t="s">
        <v>2754</v>
      </c>
      <c r="C55" s="96">
        <v>45904</v>
      </c>
      <c r="D55" s="94">
        <v>49793470711</v>
      </c>
      <c r="E55" s="94">
        <v>2061619062465</v>
      </c>
      <c r="F55" s="97" t="s">
        <v>2069</v>
      </c>
      <c r="G55" s="97" t="s">
        <v>2057</v>
      </c>
      <c r="H55" s="97" t="s">
        <v>8</v>
      </c>
      <c r="I55" s="94" t="s">
        <v>8</v>
      </c>
      <c r="J55" s="98">
        <v>125.13</v>
      </c>
      <c r="K55" s="97" t="s">
        <v>2058</v>
      </c>
      <c r="L55" s="97" t="s">
        <v>2059</v>
      </c>
      <c r="M55" s="94" t="s">
        <v>2060</v>
      </c>
      <c r="N55" s="97" t="s">
        <v>2061</v>
      </c>
      <c r="O55" s="95" t="s">
        <v>8</v>
      </c>
      <c r="P55" s="97" t="s">
        <v>2070</v>
      </c>
      <c r="Q55" s="98">
        <v>12900</v>
      </c>
      <c r="R55" s="99" t="s">
        <v>8</v>
      </c>
      <c r="S55" s="98" t="s">
        <v>8</v>
      </c>
      <c r="T55" s="97" t="s">
        <v>8</v>
      </c>
    </row>
    <row r="56" spans="1:20" s="59" customFormat="1">
      <c r="A56" s="94">
        <v>124929160694</v>
      </c>
      <c r="B56" s="95" t="s">
        <v>2754</v>
      </c>
      <c r="C56" s="96">
        <v>45904</v>
      </c>
      <c r="D56" s="94">
        <v>49793609477</v>
      </c>
      <c r="E56" s="94">
        <v>2061621903175</v>
      </c>
      <c r="F56" s="97" t="s">
        <v>2066</v>
      </c>
      <c r="G56" s="97" t="s">
        <v>2057</v>
      </c>
      <c r="H56" s="97" t="s">
        <v>8</v>
      </c>
      <c r="I56" s="94" t="s">
        <v>8</v>
      </c>
      <c r="J56" s="98">
        <v>2693.94</v>
      </c>
      <c r="K56" s="97" t="s">
        <v>2058</v>
      </c>
      <c r="L56" s="97" t="s">
        <v>2067</v>
      </c>
      <c r="M56" s="94" t="s">
        <v>2060</v>
      </c>
      <c r="N56" s="97" t="s">
        <v>2061</v>
      </c>
      <c r="O56" s="95" t="s">
        <v>1790</v>
      </c>
      <c r="P56" s="97" t="s">
        <v>2068</v>
      </c>
      <c r="Q56" s="98">
        <v>35400</v>
      </c>
      <c r="R56" s="99" t="s">
        <v>8</v>
      </c>
      <c r="S56" s="98" t="s">
        <v>8</v>
      </c>
      <c r="T56" s="97" t="s">
        <v>2063</v>
      </c>
    </row>
    <row r="57" spans="1:20" s="59" customFormat="1">
      <c r="A57" s="94">
        <v>124929201672</v>
      </c>
      <c r="B57" s="95" t="s">
        <v>2754</v>
      </c>
      <c r="C57" s="96">
        <v>45904</v>
      </c>
      <c r="D57" s="94">
        <v>49793689456</v>
      </c>
      <c r="E57" s="94">
        <v>2061662653282</v>
      </c>
      <c r="F57" s="97" t="s">
        <v>2056</v>
      </c>
      <c r="G57" s="97" t="s">
        <v>2057</v>
      </c>
      <c r="H57" s="97" t="s">
        <v>8</v>
      </c>
      <c r="I57" s="94" t="s">
        <v>8</v>
      </c>
      <c r="J57" s="98">
        <v>125.13</v>
      </c>
      <c r="K57" s="97" t="s">
        <v>2058</v>
      </c>
      <c r="L57" s="97" t="s">
        <v>2059</v>
      </c>
      <c r="M57" s="94" t="s">
        <v>2060</v>
      </c>
      <c r="N57" s="97" t="s">
        <v>2061</v>
      </c>
      <c r="O57" s="95" t="s">
        <v>8</v>
      </c>
      <c r="P57" s="97" t="s">
        <v>2065</v>
      </c>
      <c r="Q57" s="98">
        <v>12900</v>
      </c>
      <c r="R57" s="99" t="s">
        <v>8</v>
      </c>
      <c r="S57" s="98" t="s">
        <v>8</v>
      </c>
      <c r="T57" s="97" t="s">
        <v>2063</v>
      </c>
    </row>
    <row r="58" spans="1:20" s="59" customFormat="1">
      <c r="A58" s="94">
        <v>124929525256</v>
      </c>
      <c r="B58" s="95" t="s">
        <v>2754</v>
      </c>
      <c r="C58" s="96">
        <v>45904</v>
      </c>
      <c r="D58" s="94">
        <v>49793799379</v>
      </c>
      <c r="E58" s="94">
        <v>2061665211084</v>
      </c>
      <c r="F58" s="97" t="s">
        <v>2056</v>
      </c>
      <c r="G58" s="97" t="s">
        <v>2057</v>
      </c>
      <c r="H58" s="97" t="s">
        <v>8</v>
      </c>
      <c r="I58" s="94" t="s">
        <v>8</v>
      </c>
      <c r="J58" s="98">
        <v>33.950000000000003</v>
      </c>
      <c r="K58" s="97" t="s">
        <v>2058</v>
      </c>
      <c r="L58" s="97" t="s">
        <v>2059</v>
      </c>
      <c r="M58" s="94" t="s">
        <v>2060</v>
      </c>
      <c r="N58" s="97" t="s">
        <v>2061</v>
      </c>
      <c r="O58" s="95" t="s">
        <v>8</v>
      </c>
      <c r="P58" s="97" t="s">
        <v>2778</v>
      </c>
      <c r="Q58" s="98">
        <v>3500</v>
      </c>
      <c r="R58" s="99" t="s">
        <v>8</v>
      </c>
      <c r="S58" s="98" t="s">
        <v>8</v>
      </c>
      <c r="T58" s="97" t="s">
        <v>2063</v>
      </c>
    </row>
    <row r="59" spans="1:20" s="59" customFormat="1">
      <c r="A59" s="94">
        <v>124929549560</v>
      </c>
      <c r="B59" s="95" t="s">
        <v>2754</v>
      </c>
      <c r="C59" s="96">
        <v>45904</v>
      </c>
      <c r="D59" s="94">
        <v>49793841462</v>
      </c>
      <c r="E59" s="94">
        <v>2061626378599</v>
      </c>
      <c r="F59" s="97" t="s">
        <v>2056</v>
      </c>
      <c r="G59" s="97" t="s">
        <v>2057</v>
      </c>
      <c r="H59" s="97" t="s">
        <v>8</v>
      </c>
      <c r="I59" s="94" t="s">
        <v>8</v>
      </c>
      <c r="J59" s="98">
        <v>131.91999999999999</v>
      </c>
      <c r="K59" s="97" t="s">
        <v>2058</v>
      </c>
      <c r="L59" s="97" t="s">
        <v>2059</v>
      </c>
      <c r="M59" s="94" t="s">
        <v>2060</v>
      </c>
      <c r="N59" s="97" t="s">
        <v>2061</v>
      </c>
      <c r="O59" s="95" t="s">
        <v>8</v>
      </c>
      <c r="P59" s="97" t="s">
        <v>2522</v>
      </c>
      <c r="Q59" s="98">
        <v>13600</v>
      </c>
      <c r="R59" s="99" t="s">
        <v>8</v>
      </c>
      <c r="S59" s="98" t="s">
        <v>8</v>
      </c>
      <c r="T59" s="97" t="s">
        <v>2063</v>
      </c>
    </row>
    <row r="60" spans="1:20" s="59" customFormat="1">
      <c r="A60" s="94">
        <v>124384575133</v>
      </c>
      <c r="B60" s="95" t="s">
        <v>2754</v>
      </c>
      <c r="C60" s="96">
        <v>45904</v>
      </c>
      <c r="D60" s="94">
        <v>49793859601</v>
      </c>
      <c r="E60" s="94">
        <v>2061666428428</v>
      </c>
      <c r="F60" s="97" t="s">
        <v>2056</v>
      </c>
      <c r="G60" s="97" t="s">
        <v>2057</v>
      </c>
      <c r="H60" s="97" t="s">
        <v>8</v>
      </c>
      <c r="I60" s="94" t="s">
        <v>8</v>
      </c>
      <c r="J60" s="98">
        <v>105.73</v>
      </c>
      <c r="K60" s="97" t="s">
        <v>2058</v>
      </c>
      <c r="L60" s="97" t="s">
        <v>2059</v>
      </c>
      <c r="M60" s="94" t="s">
        <v>2060</v>
      </c>
      <c r="N60" s="97" t="s">
        <v>2061</v>
      </c>
      <c r="O60" s="95" t="s">
        <v>8</v>
      </c>
      <c r="P60" s="97" t="s">
        <v>2779</v>
      </c>
      <c r="Q60" s="98">
        <v>10900</v>
      </c>
      <c r="R60" s="99" t="s">
        <v>8</v>
      </c>
      <c r="S60" s="98" t="s">
        <v>8</v>
      </c>
      <c r="T60" s="97" t="s">
        <v>2063</v>
      </c>
    </row>
    <row r="61" spans="1:20" s="59" customFormat="1">
      <c r="A61" s="94">
        <v>124929877616</v>
      </c>
      <c r="B61" s="95" t="s">
        <v>2754</v>
      </c>
      <c r="C61" s="96">
        <v>45904</v>
      </c>
      <c r="D61" s="94">
        <v>49793991063</v>
      </c>
      <c r="E61" s="94">
        <v>2061668644620</v>
      </c>
      <c r="F61" s="97" t="s">
        <v>2056</v>
      </c>
      <c r="G61" s="97" t="s">
        <v>2057</v>
      </c>
      <c r="H61" s="97" t="s">
        <v>8</v>
      </c>
      <c r="I61" s="94" t="s">
        <v>8</v>
      </c>
      <c r="J61" s="98">
        <v>37.83</v>
      </c>
      <c r="K61" s="97" t="s">
        <v>2058</v>
      </c>
      <c r="L61" s="97" t="s">
        <v>2059</v>
      </c>
      <c r="M61" s="94" t="s">
        <v>2060</v>
      </c>
      <c r="N61" s="97" t="s">
        <v>2061</v>
      </c>
      <c r="O61" s="95" t="s">
        <v>8</v>
      </c>
      <c r="P61" s="97" t="s">
        <v>2780</v>
      </c>
      <c r="Q61" s="98">
        <v>3900</v>
      </c>
      <c r="R61" s="99" t="s">
        <v>8</v>
      </c>
      <c r="S61" s="98" t="s">
        <v>8</v>
      </c>
      <c r="T61" s="97" t="s">
        <v>2063</v>
      </c>
    </row>
    <row r="62" spans="1:20" s="59" customFormat="1">
      <c r="A62" s="94">
        <v>124929957960</v>
      </c>
      <c r="B62" s="95" t="s">
        <v>2754</v>
      </c>
      <c r="C62" s="96">
        <v>45904</v>
      </c>
      <c r="D62" s="94">
        <v>49794040978</v>
      </c>
      <c r="E62" s="94">
        <v>2061630112565</v>
      </c>
      <c r="F62" s="97" t="s">
        <v>2056</v>
      </c>
      <c r="G62" s="97" t="s">
        <v>2057</v>
      </c>
      <c r="H62" s="97" t="s">
        <v>8</v>
      </c>
      <c r="I62" s="94" t="s">
        <v>8</v>
      </c>
      <c r="J62" s="98">
        <v>41.71</v>
      </c>
      <c r="K62" s="97" t="s">
        <v>2058</v>
      </c>
      <c r="L62" s="97" t="s">
        <v>2059</v>
      </c>
      <c r="M62" s="94" t="s">
        <v>2060</v>
      </c>
      <c r="N62" s="97" t="s">
        <v>2061</v>
      </c>
      <c r="O62" s="95" t="s">
        <v>8</v>
      </c>
      <c r="P62" s="97" t="s">
        <v>2078</v>
      </c>
      <c r="Q62" s="98">
        <v>4300</v>
      </c>
      <c r="R62" s="99" t="s">
        <v>8</v>
      </c>
      <c r="S62" s="98" t="s">
        <v>8</v>
      </c>
      <c r="T62" s="97" t="s">
        <v>2063</v>
      </c>
    </row>
    <row r="63" spans="1:20" s="59" customFormat="1">
      <c r="A63" s="94">
        <v>124385248819</v>
      </c>
      <c r="B63" s="95" t="s">
        <v>2754</v>
      </c>
      <c r="C63" s="96">
        <v>45904</v>
      </c>
      <c r="D63" s="94">
        <v>49794116789</v>
      </c>
      <c r="E63" s="94">
        <v>2061671104490</v>
      </c>
      <c r="F63" s="97" t="s">
        <v>2056</v>
      </c>
      <c r="G63" s="97" t="s">
        <v>2057</v>
      </c>
      <c r="H63" s="97" t="s">
        <v>8</v>
      </c>
      <c r="I63" s="94" t="s">
        <v>8</v>
      </c>
      <c r="J63" s="98">
        <v>37.83</v>
      </c>
      <c r="K63" s="97" t="s">
        <v>2058</v>
      </c>
      <c r="L63" s="97" t="s">
        <v>2059</v>
      </c>
      <c r="M63" s="94" t="s">
        <v>2060</v>
      </c>
      <c r="N63" s="97" t="s">
        <v>2061</v>
      </c>
      <c r="O63" s="95" t="s">
        <v>8</v>
      </c>
      <c r="P63" s="97" t="s">
        <v>2781</v>
      </c>
      <c r="Q63" s="98">
        <v>3900</v>
      </c>
      <c r="R63" s="99" t="s">
        <v>8</v>
      </c>
      <c r="S63" s="98" t="s">
        <v>8</v>
      </c>
      <c r="T63" s="97" t="s">
        <v>2063</v>
      </c>
    </row>
    <row r="64" spans="1:20" s="59" customFormat="1">
      <c r="A64" s="94">
        <v>124930281670</v>
      </c>
      <c r="B64" s="95" t="s">
        <v>2754</v>
      </c>
      <c r="C64" s="96">
        <v>45904</v>
      </c>
      <c r="D64" s="94">
        <v>49794139898</v>
      </c>
      <c r="E64" s="94">
        <v>2061632297205</v>
      </c>
      <c r="F64" s="97" t="s">
        <v>2066</v>
      </c>
      <c r="G64" s="97" t="s">
        <v>2057</v>
      </c>
      <c r="H64" s="97" t="s">
        <v>8</v>
      </c>
      <c r="I64" s="94" t="s">
        <v>8</v>
      </c>
      <c r="J64" s="98">
        <v>390.44</v>
      </c>
      <c r="K64" s="97" t="s">
        <v>2058</v>
      </c>
      <c r="L64" s="97" t="s">
        <v>2067</v>
      </c>
      <c r="M64" s="94" t="s">
        <v>2060</v>
      </c>
      <c r="N64" s="97" t="s">
        <v>2061</v>
      </c>
      <c r="O64" s="95" t="s">
        <v>1790</v>
      </c>
      <c r="P64" s="97" t="s">
        <v>2068</v>
      </c>
      <c r="Q64" s="98">
        <v>8600</v>
      </c>
      <c r="R64" s="99" t="s">
        <v>8</v>
      </c>
      <c r="S64" s="98" t="s">
        <v>8</v>
      </c>
      <c r="T64" s="97" t="s">
        <v>2063</v>
      </c>
    </row>
    <row r="65" spans="1:20" s="59" customFormat="1">
      <c r="A65" s="94">
        <v>124385652341</v>
      </c>
      <c r="B65" s="95" t="s">
        <v>2754</v>
      </c>
      <c r="C65" s="96">
        <v>45904</v>
      </c>
      <c r="D65" s="94">
        <v>49794283775</v>
      </c>
      <c r="E65" s="94">
        <v>2061634555225</v>
      </c>
      <c r="F65" s="97" t="s">
        <v>2056</v>
      </c>
      <c r="G65" s="97" t="s">
        <v>2057</v>
      </c>
      <c r="H65" s="97" t="s">
        <v>8</v>
      </c>
      <c r="I65" s="94" t="s">
        <v>8</v>
      </c>
      <c r="J65" s="98">
        <v>138.71</v>
      </c>
      <c r="K65" s="97" t="s">
        <v>2058</v>
      </c>
      <c r="L65" s="97" t="s">
        <v>2059</v>
      </c>
      <c r="M65" s="94" t="s">
        <v>2060</v>
      </c>
      <c r="N65" s="97" t="s">
        <v>2061</v>
      </c>
      <c r="O65" s="95" t="s">
        <v>8</v>
      </c>
      <c r="P65" s="97" t="s">
        <v>2782</v>
      </c>
      <c r="Q65" s="98">
        <v>14300</v>
      </c>
      <c r="R65" s="99" t="s">
        <v>8</v>
      </c>
      <c r="S65" s="98" t="s">
        <v>8</v>
      </c>
      <c r="T65" s="97" t="s">
        <v>2063</v>
      </c>
    </row>
    <row r="66" spans="1:20" s="59" customFormat="1">
      <c r="A66" s="94">
        <v>124930920538</v>
      </c>
      <c r="B66" s="95" t="s">
        <v>2754</v>
      </c>
      <c r="C66" s="96">
        <v>45904</v>
      </c>
      <c r="D66" s="94">
        <v>49794316920</v>
      </c>
      <c r="E66" s="94">
        <v>2061635353667</v>
      </c>
      <c r="F66" s="97" t="s">
        <v>2066</v>
      </c>
      <c r="G66" s="97" t="s">
        <v>2057</v>
      </c>
      <c r="H66" s="97" t="s">
        <v>8</v>
      </c>
      <c r="I66" s="94" t="s">
        <v>8</v>
      </c>
      <c r="J66" s="98">
        <v>844.95</v>
      </c>
      <c r="K66" s="97" t="s">
        <v>2058</v>
      </c>
      <c r="L66" s="97" t="s">
        <v>2067</v>
      </c>
      <c r="M66" s="94" t="s">
        <v>2060</v>
      </c>
      <c r="N66" s="97" t="s">
        <v>2061</v>
      </c>
      <c r="O66" s="95" t="s">
        <v>1790</v>
      </c>
      <c r="P66" s="97" t="s">
        <v>2068</v>
      </c>
      <c r="Q66" s="98">
        <v>21500</v>
      </c>
      <c r="R66" s="99" t="s">
        <v>8</v>
      </c>
      <c r="S66" s="98" t="s">
        <v>8</v>
      </c>
      <c r="T66" s="97" t="s">
        <v>2063</v>
      </c>
    </row>
    <row r="67" spans="1:20" s="59" customFormat="1">
      <c r="A67" s="94">
        <v>124385743585</v>
      </c>
      <c r="B67" s="95" t="s">
        <v>2754</v>
      </c>
      <c r="C67" s="96">
        <v>45904</v>
      </c>
      <c r="D67" s="94">
        <v>49794395679</v>
      </c>
      <c r="E67" s="94">
        <v>2061676280606</v>
      </c>
      <c r="F67" s="97" t="s">
        <v>2069</v>
      </c>
      <c r="G67" s="97" t="s">
        <v>2057</v>
      </c>
      <c r="H67" s="97" t="s">
        <v>8</v>
      </c>
      <c r="I67" s="94" t="s">
        <v>8</v>
      </c>
      <c r="J67" s="98">
        <v>37.83</v>
      </c>
      <c r="K67" s="97" t="s">
        <v>2058</v>
      </c>
      <c r="L67" s="97" t="s">
        <v>2059</v>
      </c>
      <c r="M67" s="94" t="s">
        <v>2060</v>
      </c>
      <c r="N67" s="97" t="s">
        <v>2061</v>
      </c>
      <c r="O67" s="95" t="s">
        <v>8</v>
      </c>
      <c r="P67" s="97" t="s">
        <v>2070</v>
      </c>
      <c r="Q67" s="98">
        <v>3900</v>
      </c>
      <c r="R67" s="99" t="s">
        <v>8</v>
      </c>
      <c r="S67" s="98" t="s">
        <v>8</v>
      </c>
      <c r="T67" s="97" t="s">
        <v>8</v>
      </c>
    </row>
    <row r="68" spans="1:20" s="59" customFormat="1">
      <c r="A68" s="94">
        <v>124386234575</v>
      </c>
      <c r="B68" s="95" t="s">
        <v>2754</v>
      </c>
      <c r="C68" s="96">
        <v>45904</v>
      </c>
      <c r="D68" s="94">
        <v>49794552129</v>
      </c>
      <c r="E68" s="94">
        <v>2061639832319</v>
      </c>
      <c r="F68" s="97" t="s">
        <v>2066</v>
      </c>
      <c r="G68" s="97" t="s">
        <v>2057</v>
      </c>
      <c r="H68" s="97" t="s">
        <v>8</v>
      </c>
      <c r="I68" s="94" t="s">
        <v>8</v>
      </c>
      <c r="J68" s="98">
        <v>518.76</v>
      </c>
      <c r="K68" s="97" t="s">
        <v>2058</v>
      </c>
      <c r="L68" s="97" t="s">
        <v>2067</v>
      </c>
      <c r="M68" s="94" t="s">
        <v>2060</v>
      </c>
      <c r="N68" s="97" t="s">
        <v>2061</v>
      </c>
      <c r="O68" s="95" t="s">
        <v>1790</v>
      </c>
      <c r="P68" s="97" t="s">
        <v>2068</v>
      </c>
      <c r="Q68" s="98">
        <v>13200</v>
      </c>
      <c r="R68" s="99" t="s">
        <v>8</v>
      </c>
      <c r="S68" s="98" t="s">
        <v>8</v>
      </c>
      <c r="T68" s="97" t="s">
        <v>2063</v>
      </c>
    </row>
    <row r="69" spans="1:20" s="59" customFormat="1">
      <c r="A69" s="94">
        <v>124386117715</v>
      </c>
      <c r="B69" s="95" t="s">
        <v>2754</v>
      </c>
      <c r="C69" s="96">
        <v>45904</v>
      </c>
      <c r="D69" s="94">
        <v>49794581546</v>
      </c>
      <c r="E69" s="94">
        <v>2061680142672</v>
      </c>
      <c r="F69" s="97" t="s">
        <v>2069</v>
      </c>
      <c r="G69" s="97" t="s">
        <v>2057</v>
      </c>
      <c r="H69" s="97" t="s">
        <v>8</v>
      </c>
      <c r="I69" s="94" t="s">
        <v>8</v>
      </c>
      <c r="J69" s="98">
        <v>183.33</v>
      </c>
      <c r="K69" s="97" t="s">
        <v>2058</v>
      </c>
      <c r="L69" s="97" t="s">
        <v>2059</v>
      </c>
      <c r="M69" s="94" t="s">
        <v>2060</v>
      </c>
      <c r="N69" s="97" t="s">
        <v>2061</v>
      </c>
      <c r="O69" s="95" t="s">
        <v>8</v>
      </c>
      <c r="P69" s="97" t="s">
        <v>2070</v>
      </c>
      <c r="Q69" s="98">
        <v>18900</v>
      </c>
      <c r="R69" s="99" t="s">
        <v>8</v>
      </c>
      <c r="S69" s="98" t="s">
        <v>8</v>
      </c>
      <c r="T69" s="97" t="s">
        <v>8</v>
      </c>
    </row>
    <row r="70" spans="1:20" s="59" customFormat="1">
      <c r="A70" s="94">
        <v>124931688378</v>
      </c>
      <c r="B70" s="95" t="s">
        <v>2754</v>
      </c>
      <c r="C70" s="96">
        <v>45904</v>
      </c>
      <c r="D70" s="94">
        <v>49794617036</v>
      </c>
      <c r="E70" s="94">
        <v>2061641348221</v>
      </c>
      <c r="F70" s="97" t="s">
        <v>2056</v>
      </c>
      <c r="G70" s="97" t="s">
        <v>2057</v>
      </c>
      <c r="H70" s="97" t="s">
        <v>8</v>
      </c>
      <c r="I70" s="94" t="s">
        <v>8</v>
      </c>
      <c r="J70" s="98">
        <v>93.12</v>
      </c>
      <c r="K70" s="97" t="s">
        <v>2058</v>
      </c>
      <c r="L70" s="97" t="s">
        <v>2059</v>
      </c>
      <c r="M70" s="94" t="s">
        <v>2060</v>
      </c>
      <c r="N70" s="97" t="s">
        <v>2061</v>
      </c>
      <c r="O70" s="95" t="s">
        <v>8</v>
      </c>
      <c r="P70" s="97" t="s">
        <v>2615</v>
      </c>
      <c r="Q70" s="98">
        <v>9600</v>
      </c>
      <c r="R70" s="99" t="s">
        <v>8</v>
      </c>
      <c r="S70" s="98" t="s">
        <v>8</v>
      </c>
      <c r="T70" s="97" t="s">
        <v>2063</v>
      </c>
    </row>
    <row r="71" spans="1:20" s="59" customFormat="1">
      <c r="A71" s="94">
        <v>124931738646</v>
      </c>
      <c r="B71" s="95" t="s">
        <v>2754</v>
      </c>
      <c r="C71" s="96">
        <v>45904</v>
      </c>
      <c r="D71" s="94">
        <v>49794659850</v>
      </c>
      <c r="E71" s="94">
        <v>2061642096377</v>
      </c>
      <c r="F71" s="97" t="s">
        <v>2056</v>
      </c>
      <c r="G71" s="97" t="s">
        <v>2057</v>
      </c>
      <c r="H71" s="97" t="s">
        <v>8</v>
      </c>
      <c r="I71" s="94" t="s">
        <v>8</v>
      </c>
      <c r="J71" s="98">
        <v>37.83</v>
      </c>
      <c r="K71" s="97" t="s">
        <v>2058</v>
      </c>
      <c r="L71" s="97" t="s">
        <v>2059</v>
      </c>
      <c r="M71" s="94" t="s">
        <v>2060</v>
      </c>
      <c r="N71" s="97" t="s">
        <v>2061</v>
      </c>
      <c r="O71" s="95" t="s">
        <v>8</v>
      </c>
      <c r="P71" s="97" t="s">
        <v>2267</v>
      </c>
      <c r="Q71" s="98">
        <v>3900</v>
      </c>
      <c r="R71" s="99" t="s">
        <v>8</v>
      </c>
      <c r="S71" s="98" t="s">
        <v>8</v>
      </c>
      <c r="T71" s="97" t="s">
        <v>2063</v>
      </c>
    </row>
    <row r="72" spans="1:20">
      <c r="A72" s="55">
        <v>124931811338</v>
      </c>
      <c r="B72" s="53" t="s">
        <v>2055</v>
      </c>
      <c r="C72" s="54">
        <v>45905</v>
      </c>
      <c r="D72" s="55">
        <v>49794885923</v>
      </c>
      <c r="E72" s="55">
        <v>2061643191205</v>
      </c>
      <c r="F72" s="56" t="s">
        <v>2056</v>
      </c>
      <c r="G72" s="56" t="s">
        <v>2057</v>
      </c>
      <c r="H72" s="56" t="s">
        <v>8</v>
      </c>
      <c r="I72" s="55" t="s">
        <v>8</v>
      </c>
      <c r="J72" s="57">
        <v>18.43</v>
      </c>
      <c r="K72" s="56" t="s">
        <v>2058</v>
      </c>
      <c r="L72" s="56" t="s">
        <v>2059</v>
      </c>
      <c r="M72" s="55" t="s">
        <v>2060</v>
      </c>
      <c r="N72" s="56" t="s">
        <v>2061</v>
      </c>
      <c r="O72" s="53" t="s">
        <v>8</v>
      </c>
      <c r="P72" s="56" t="s">
        <v>2062</v>
      </c>
      <c r="Q72" s="57">
        <v>1900</v>
      </c>
      <c r="R72" s="58" t="s">
        <v>8</v>
      </c>
      <c r="S72" s="57" t="s">
        <v>8</v>
      </c>
      <c r="T72" s="56" t="s">
        <v>2063</v>
      </c>
    </row>
    <row r="73" spans="1:20">
      <c r="A73" s="55">
        <v>124386853415</v>
      </c>
      <c r="B73" s="53" t="s">
        <v>2055</v>
      </c>
      <c r="C73" s="54">
        <v>45905</v>
      </c>
      <c r="D73" s="55">
        <v>49794893171</v>
      </c>
      <c r="E73" s="55">
        <v>2061645541077</v>
      </c>
      <c r="F73" s="56" t="s">
        <v>2056</v>
      </c>
      <c r="G73" s="56" t="s">
        <v>2057</v>
      </c>
      <c r="H73" s="56" t="s">
        <v>8</v>
      </c>
      <c r="I73" s="55" t="s">
        <v>8</v>
      </c>
      <c r="J73" s="57">
        <v>37.83</v>
      </c>
      <c r="K73" s="56" t="s">
        <v>2058</v>
      </c>
      <c r="L73" s="56" t="s">
        <v>2059</v>
      </c>
      <c r="M73" s="55" t="s">
        <v>2060</v>
      </c>
      <c r="N73" s="56" t="s">
        <v>2061</v>
      </c>
      <c r="O73" s="53" t="s">
        <v>8</v>
      </c>
      <c r="P73" s="56" t="s">
        <v>2064</v>
      </c>
      <c r="Q73" s="57">
        <v>3900</v>
      </c>
      <c r="R73" s="58" t="s">
        <v>8</v>
      </c>
      <c r="S73" s="57" t="s">
        <v>8</v>
      </c>
      <c r="T73" s="56" t="s">
        <v>2063</v>
      </c>
    </row>
    <row r="74" spans="1:20">
      <c r="A74" s="55">
        <v>124387202427</v>
      </c>
      <c r="B74" s="53" t="s">
        <v>2055</v>
      </c>
      <c r="C74" s="54">
        <v>45905</v>
      </c>
      <c r="D74" s="55">
        <v>49794920915</v>
      </c>
      <c r="E74" s="55">
        <v>2061646999929</v>
      </c>
      <c r="F74" s="56" t="s">
        <v>2056</v>
      </c>
      <c r="G74" s="56" t="s">
        <v>2057</v>
      </c>
      <c r="H74" s="56" t="s">
        <v>8</v>
      </c>
      <c r="I74" s="55" t="s">
        <v>8</v>
      </c>
      <c r="J74" s="57">
        <v>79.540000000000006</v>
      </c>
      <c r="K74" s="56" t="s">
        <v>2058</v>
      </c>
      <c r="L74" s="56" t="s">
        <v>2059</v>
      </c>
      <c r="M74" s="55" t="s">
        <v>2060</v>
      </c>
      <c r="N74" s="56" t="s">
        <v>2061</v>
      </c>
      <c r="O74" s="53" t="s">
        <v>8</v>
      </c>
      <c r="P74" s="56" t="s">
        <v>2065</v>
      </c>
      <c r="Q74" s="57">
        <v>8200</v>
      </c>
      <c r="R74" s="58" t="s">
        <v>8</v>
      </c>
      <c r="S74" s="57" t="s">
        <v>8</v>
      </c>
      <c r="T74" s="56" t="s">
        <v>2063</v>
      </c>
    </row>
    <row r="75" spans="1:20">
      <c r="A75" s="55">
        <v>124932013860</v>
      </c>
      <c r="B75" s="53" t="s">
        <v>2055</v>
      </c>
      <c r="C75" s="54">
        <v>45905</v>
      </c>
      <c r="D75" s="55">
        <v>49795072667</v>
      </c>
      <c r="E75" s="55">
        <v>2061685408208</v>
      </c>
      <c r="F75" s="56" t="s">
        <v>2066</v>
      </c>
      <c r="G75" s="56" t="s">
        <v>2057</v>
      </c>
      <c r="H75" s="56" t="s">
        <v>8</v>
      </c>
      <c r="I75" s="55" t="s">
        <v>8</v>
      </c>
      <c r="J75" s="57">
        <v>2869.28</v>
      </c>
      <c r="K75" s="56" t="s">
        <v>2058</v>
      </c>
      <c r="L75" s="56" t="s">
        <v>2067</v>
      </c>
      <c r="M75" s="55" t="s">
        <v>2060</v>
      </c>
      <c r="N75" s="56" t="s">
        <v>2061</v>
      </c>
      <c r="O75" s="53" t="s">
        <v>1790</v>
      </c>
      <c r="P75" s="56" t="s">
        <v>2068</v>
      </c>
      <c r="Q75" s="57">
        <v>63200</v>
      </c>
      <c r="R75" s="58" t="s">
        <v>8</v>
      </c>
      <c r="S75" s="57" t="s">
        <v>8</v>
      </c>
      <c r="T75" s="56" t="s">
        <v>2063</v>
      </c>
    </row>
    <row r="76" spans="1:20">
      <c r="A76" s="55">
        <v>124387169897</v>
      </c>
      <c r="B76" s="53" t="s">
        <v>2055</v>
      </c>
      <c r="C76" s="54">
        <v>45905</v>
      </c>
      <c r="D76" s="55">
        <v>49795140539</v>
      </c>
      <c r="E76" s="55">
        <v>2061648494567</v>
      </c>
      <c r="F76" s="56" t="s">
        <v>2069</v>
      </c>
      <c r="G76" s="56" t="s">
        <v>2057</v>
      </c>
      <c r="H76" s="56" t="s">
        <v>8</v>
      </c>
      <c r="I76" s="55" t="s">
        <v>8</v>
      </c>
      <c r="J76" s="57">
        <v>90.21</v>
      </c>
      <c r="K76" s="56" t="s">
        <v>2058</v>
      </c>
      <c r="L76" s="56" t="s">
        <v>2059</v>
      </c>
      <c r="M76" s="55" t="s">
        <v>2060</v>
      </c>
      <c r="N76" s="56" t="s">
        <v>2061</v>
      </c>
      <c r="O76" s="53" t="s">
        <v>8</v>
      </c>
      <c r="P76" s="56" t="s">
        <v>2070</v>
      </c>
      <c r="Q76" s="57">
        <v>9300</v>
      </c>
      <c r="R76" s="58" t="s">
        <v>8</v>
      </c>
      <c r="S76" s="57" t="s">
        <v>8</v>
      </c>
      <c r="T76" s="56" t="s">
        <v>8</v>
      </c>
    </row>
    <row r="77" spans="1:20">
      <c r="A77" s="55">
        <v>124387263837</v>
      </c>
      <c r="B77" s="53" t="s">
        <v>2055</v>
      </c>
      <c r="C77" s="54">
        <v>45905</v>
      </c>
      <c r="D77" s="55">
        <v>49795171840</v>
      </c>
      <c r="E77" s="55">
        <v>2061689088790</v>
      </c>
      <c r="F77" s="56" t="s">
        <v>2069</v>
      </c>
      <c r="G77" s="56" t="s">
        <v>2057</v>
      </c>
      <c r="H77" s="56" t="s">
        <v>8</v>
      </c>
      <c r="I77" s="55" t="s">
        <v>8</v>
      </c>
      <c r="J77" s="57">
        <v>154.22999999999999</v>
      </c>
      <c r="K77" s="56" t="s">
        <v>2058</v>
      </c>
      <c r="L77" s="56" t="s">
        <v>2059</v>
      </c>
      <c r="M77" s="55" t="s">
        <v>2060</v>
      </c>
      <c r="N77" s="56" t="s">
        <v>2061</v>
      </c>
      <c r="O77" s="53" t="s">
        <v>8</v>
      </c>
      <c r="P77" s="56" t="s">
        <v>2070</v>
      </c>
      <c r="Q77" s="57">
        <v>15900</v>
      </c>
      <c r="R77" s="58" t="s">
        <v>8</v>
      </c>
      <c r="S77" s="57" t="s">
        <v>8</v>
      </c>
      <c r="T77" s="56" t="s">
        <v>8</v>
      </c>
    </row>
    <row r="78" spans="1:20">
      <c r="A78" s="55">
        <v>124388358883</v>
      </c>
      <c r="B78" s="53" t="s">
        <v>2055</v>
      </c>
      <c r="C78" s="54">
        <v>45905</v>
      </c>
      <c r="D78" s="55">
        <v>49795204416</v>
      </c>
      <c r="E78" s="55">
        <v>2061696860136</v>
      </c>
      <c r="F78" s="56" t="s">
        <v>2066</v>
      </c>
      <c r="G78" s="56" t="s">
        <v>2057</v>
      </c>
      <c r="H78" s="56" t="s">
        <v>8</v>
      </c>
      <c r="I78" s="55" t="s">
        <v>8</v>
      </c>
      <c r="J78" s="57">
        <v>168.99</v>
      </c>
      <c r="K78" s="56" t="s">
        <v>2058</v>
      </c>
      <c r="L78" s="56" t="s">
        <v>2067</v>
      </c>
      <c r="M78" s="55" t="s">
        <v>2060</v>
      </c>
      <c r="N78" s="56" t="s">
        <v>2061</v>
      </c>
      <c r="O78" s="53" t="s">
        <v>1790</v>
      </c>
      <c r="P78" s="56" t="s">
        <v>2068</v>
      </c>
      <c r="Q78" s="57">
        <v>4300</v>
      </c>
      <c r="R78" s="58" t="s">
        <v>8</v>
      </c>
      <c r="S78" s="57" t="s">
        <v>8</v>
      </c>
      <c r="T78" s="56" t="s">
        <v>2063</v>
      </c>
    </row>
    <row r="79" spans="1:20">
      <c r="A79" s="55">
        <v>124933214738</v>
      </c>
      <c r="B79" s="53" t="s">
        <v>2055</v>
      </c>
      <c r="C79" s="54">
        <v>45905</v>
      </c>
      <c r="D79" s="55">
        <v>49795343672</v>
      </c>
      <c r="E79" s="55">
        <v>2061654856339</v>
      </c>
      <c r="F79" s="56" t="s">
        <v>2056</v>
      </c>
      <c r="G79" s="56" t="s">
        <v>2057</v>
      </c>
      <c r="H79" s="56" t="s">
        <v>8</v>
      </c>
      <c r="I79" s="55" t="s">
        <v>8</v>
      </c>
      <c r="J79" s="57">
        <v>41.71</v>
      </c>
      <c r="K79" s="56" t="s">
        <v>2058</v>
      </c>
      <c r="L79" s="56" t="s">
        <v>2059</v>
      </c>
      <c r="M79" s="55" t="s">
        <v>2060</v>
      </c>
      <c r="N79" s="56" t="s">
        <v>2061</v>
      </c>
      <c r="O79" s="53" t="s">
        <v>8</v>
      </c>
      <c r="P79" s="56" t="s">
        <v>2071</v>
      </c>
      <c r="Q79" s="57">
        <v>4300</v>
      </c>
      <c r="R79" s="58" t="s">
        <v>8</v>
      </c>
      <c r="S79" s="57" t="s">
        <v>8</v>
      </c>
      <c r="T79" s="56" t="s">
        <v>2063</v>
      </c>
    </row>
    <row r="80" spans="1:20">
      <c r="A80" s="55">
        <v>124933398996</v>
      </c>
      <c r="B80" s="53" t="s">
        <v>2055</v>
      </c>
      <c r="C80" s="54">
        <v>45905</v>
      </c>
      <c r="D80" s="55">
        <v>49795516517</v>
      </c>
      <c r="E80" s="55">
        <v>2061656422631</v>
      </c>
      <c r="F80" s="56" t="s">
        <v>2069</v>
      </c>
      <c r="G80" s="56" t="s">
        <v>2057</v>
      </c>
      <c r="H80" s="56" t="s">
        <v>8</v>
      </c>
      <c r="I80" s="55" t="s">
        <v>8</v>
      </c>
      <c r="J80" s="57">
        <v>41.71</v>
      </c>
      <c r="K80" s="56" t="s">
        <v>2058</v>
      </c>
      <c r="L80" s="56" t="s">
        <v>2059</v>
      </c>
      <c r="M80" s="55" t="s">
        <v>2060</v>
      </c>
      <c r="N80" s="56" t="s">
        <v>2061</v>
      </c>
      <c r="O80" s="53" t="s">
        <v>8</v>
      </c>
      <c r="P80" s="56" t="s">
        <v>2070</v>
      </c>
      <c r="Q80" s="57">
        <v>4300</v>
      </c>
      <c r="R80" s="58" t="s">
        <v>8</v>
      </c>
      <c r="S80" s="57" t="s">
        <v>8</v>
      </c>
      <c r="T80" s="56" t="s">
        <v>8</v>
      </c>
    </row>
    <row r="81" spans="1:20">
      <c r="A81" s="55">
        <v>124388466105</v>
      </c>
      <c r="B81" s="53" t="s">
        <v>2055</v>
      </c>
      <c r="C81" s="54">
        <v>45905</v>
      </c>
      <c r="D81" s="55">
        <v>49795561390</v>
      </c>
      <c r="E81" s="55">
        <v>2061697436492</v>
      </c>
      <c r="F81" s="56" t="s">
        <v>2056</v>
      </c>
      <c r="G81" s="56" t="s">
        <v>2057</v>
      </c>
      <c r="H81" s="56" t="s">
        <v>8</v>
      </c>
      <c r="I81" s="55" t="s">
        <v>8</v>
      </c>
      <c r="J81" s="57">
        <v>1806.14</v>
      </c>
      <c r="K81" s="56" t="s">
        <v>2058</v>
      </c>
      <c r="L81" s="56" t="s">
        <v>2059</v>
      </c>
      <c r="M81" s="55" t="s">
        <v>2060</v>
      </c>
      <c r="N81" s="56" t="s">
        <v>2061</v>
      </c>
      <c r="O81" s="53" t="s">
        <v>8</v>
      </c>
      <c r="P81" s="56" t="s">
        <v>2072</v>
      </c>
      <c r="Q81" s="57">
        <v>186200</v>
      </c>
      <c r="R81" s="58" t="s">
        <v>8</v>
      </c>
      <c r="S81" s="57" t="s">
        <v>8</v>
      </c>
      <c r="T81" s="56" t="s">
        <v>2063</v>
      </c>
    </row>
    <row r="82" spans="1:20">
      <c r="A82" s="55">
        <v>124932672660</v>
      </c>
      <c r="B82" s="53" t="s">
        <v>2055</v>
      </c>
      <c r="C82" s="54">
        <v>45905</v>
      </c>
      <c r="D82" s="55">
        <v>49795804083</v>
      </c>
      <c r="E82" s="55">
        <v>2061690326872</v>
      </c>
      <c r="F82" s="56" t="s">
        <v>2056</v>
      </c>
      <c r="G82" s="56" t="s">
        <v>2057</v>
      </c>
      <c r="H82" s="56" t="s">
        <v>8</v>
      </c>
      <c r="I82" s="55" t="s">
        <v>8</v>
      </c>
      <c r="J82" s="57">
        <v>48.5</v>
      </c>
      <c r="K82" s="56" t="s">
        <v>2058</v>
      </c>
      <c r="L82" s="56" t="s">
        <v>2059</v>
      </c>
      <c r="M82" s="55" t="s">
        <v>2060</v>
      </c>
      <c r="N82" s="56" t="s">
        <v>2061</v>
      </c>
      <c r="O82" s="53" t="s">
        <v>8</v>
      </c>
      <c r="P82" s="56" t="s">
        <v>2073</v>
      </c>
      <c r="Q82" s="57">
        <v>5000</v>
      </c>
      <c r="R82" s="58" t="s">
        <v>8</v>
      </c>
      <c r="S82" s="57" t="s">
        <v>8</v>
      </c>
      <c r="T82" s="56" t="s">
        <v>2063</v>
      </c>
    </row>
    <row r="83" spans="1:20">
      <c r="A83" s="55">
        <v>124934432228</v>
      </c>
      <c r="B83" s="53" t="s">
        <v>2055</v>
      </c>
      <c r="C83" s="54">
        <v>45905</v>
      </c>
      <c r="D83" s="55">
        <v>49795806680</v>
      </c>
      <c r="E83" s="55">
        <v>2061704561998</v>
      </c>
      <c r="F83" s="56" t="s">
        <v>2056</v>
      </c>
      <c r="G83" s="56" t="s">
        <v>2057</v>
      </c>
      <c r="H83" s="56" t="s">
        <v>8</v>
      </c>
      <c r="I83" s="55" t="s">
        <v>8</v>
      </c>
      <c r="J83" s="57">
        <v>41.71</v>
      </c>
      <c r="K83" s="56" t="s">
        <v>2058</v>
      </c>
      <c r="L83" s="56" t="s">
        <v>2059</v>
      </c>
      <c r="M83" s="55" t="s">
        <v>2060</v>
      </c>
      <c r="N83" s="56" t="s">
        <v>2061</v>
      </c>
      <c r="O83" s="53" t="s">
        <v>8</v>
      </c>
      <c r="P83" s="56" t="s">
        <v>2074</v>
      </c>
      <c r="Q83" s="57">
        <v>4300</v>
      </c>
      <c r="R83" s="58" t="s">
        <v>8</v>
      </c>
      <c r="S83" s="57" t="s">
        <v>8</v>
      </c>
      <c r="T83" s="56" t="s">
        <v>2063</v>
      </c>
    </row>
    <row r="84" spans="1:20">
      <c r="A84" s="55">
        <v>124932574010</v>
      </c>
      <c r="B84" s="53" t="s">
        <v>2055</v>
      </c>
      <c r="C84" s="54">
        <v>45905</v>
      </c>
      <c r="D84" s="55">
        <v>49795823203</v>
      </c>
      <c r="E84" s="55">
        <v>2061650878053</v>
      </c>
      <c r="F84" s="56" t="s">
        <v>2066</v>
      </c>
      <c r="G84" s="56" t="s">
        <v>2057</v>
      </c>
      <c r="H84" s="56" t="s">
        <v>8</v>
      </c>
      <c r="I84" s="55" t="s">
        <v>8</v>
      </c>
      <c r="J84" s="57">
        <v>380.5</v>
      </c>
      <c r="K84" s="56" t="s">
        <v>2058</v>
      </c>
      <c r="L84" s="56" t="s">
        <v>2067</v>
      </c>
      <c r="M84" s="55" t="s">
        <v>2060</v>
      </c>
      <c r="N84" s="56" t="s">
        <v>2061</v>
      </c>
      <c r="O84" s="53" t="s">
        <v>1790</v>
      </c>
      <c r="P84" s="56" t="s">
        <v>2068</v>
      </c>
      <c r="Q84" s="57">
        <v>5000</v>
      </c>
      <c r="R84" s="58" t="s">
        <v>8</v>
      </c>
      <c r="S84" s="57" t="s">
        <v>8</v>
      </c>
      <c r="T84" s="56" t="s">
        <v>2063</v>
      </c>
    </row>
    <row r="85" spans="1:20">
      <c r="A85" s="55">
        <v>124387491809</v>
      </c>
      <c r="B85" s="53" t="s">
        <v>2055</v>
      </c>
      <c r="C85" s="54">
        <v>45905</v>
      </c>
      <c r="D85" s="55">
        <v>49795865712</v>
      </c>
      <c r="E85" s="55">
        <v>2061651352159</v>
      </c>
      <c r="F85" s="56" t="s">
        <v>2069</v>
      </c>
      <c r="G85" s="56" t="s">
        <v>2057</v>
      </c>
      <c r="H85" s="56" t="s">
        <v>8</v>
      </c>
      <c r="I85" s="55" t="s">
        <v>8</v>
      </c>
      <c r="J85" s="57">
        <v>686.76</v>
      </c>
      <c r="K85" s="56" t="s">
        <v>2058</v>
      </c>
      <c r="L85" s="56" t="s">
        <v>2059</v>
      </c>
      <c r="M85" s="55" t="s">
        <v>2060</v>
      </c>
      <c r="N85" s="56" t="s">
        <v>2061</v>
      </c>
      <c r="O85" s="53" t="s">
        <v>8</v>
      </c>
      <c r="P85" s="56" t="s">
        <v>2070</v>
      </c>
      <c r="Q85" s="57">
        <v>70800</v>
      </c>
      <c r="R85" s="58" t="s">
        <v>8</v>
      </c>
      <c r="S85" s="57" t="s">
        <v>8</v>
      </c>
      <c r="T85" s="56" t="s">
        <v>8</v>
      </c>
    </row>
    <row r="86" spans="1:20">
      <c r="A86" s="55">
        <v>124932738810</v>
      </c>
      <c r="B86" s="53" t="s">
        <v>2055</v>
      </c>
      <c r="C86" s="54">
        <v>45905</v>
      </c>
      <c r="D86" s="55">
        <v>49795926945</v>
      </c>
      <c r="E86" s="55">
        <v>2061651362337</v>
      </c>
      <c r="F86" s="56" t="s">
        <v>2056</v>
      </c>
      <c r="G86" s="56" t="s">
        <v>2057</v>
      </c>
      <c r="H86" s="56" t="s">
        <v>8</v>
      </c>
      <c r="I86" s="55" t="s">
        <v>8</v>
      </c>
      <c r="J86" s="57">
        <v>21.34</v>
      </c>
      <c r="K86" s="56" t="s">
        <v>2058</v>
      </c>
      <c r="L86" s="56" t="s">
        <v>2059</v>
      </c>
      <c r="M86" s="55" t="s">
        <v>2060</v>
      </c>
      <c r="N86" s="56" t="s">
        <v>2061</v>
      </c>
      <c r="O86" s="53" t="s">
        <v>8</v>
      </c>
      <c r="P86" s="56" t="s">
        <v>2075</v>
      </c>
      <c r="Q86" s="57">
        <v>2200</v>
      </c>
      <c r="R86" s="58" t="s">
        <v>8</v>
      </c>
      <c r="S86" s="57" t="s">
        <v>8</v>
      </c>
      <c r="T86" s="56" t="s">
        <v>2063</v>
      </c>
    </row>
    <row r="87" spans="1:20">
      <c r="A87" s="55">
        <v>124933058374</v>
      </c>
      <c r="B87" s="53" t="s">
        <v>2055</v>
      </c>
      <c r="C87" s="54">
        <v>45905</v>
      </c>
      <c r="D87" s="55">
        <v>49796021886</v>
      </c>
      <c r="E87" s="55">
        <v>2061653127277</v>
      </c>
      <c r="F87" s="56" t="s">
        <v>2056</v>
      </c>
      <c r="G87" s="56" t="s">
        <v>2057</v>
      </c>
      <c r="H87" s="56" t="s">
        <v>8</v>
      </c>
      <c r="I87" s="55" t="s">
        <v>8</v>
      </c>
      <c r="J87" s="57">
        <v>156.16999999999999</v>
      </c>
      <c r="K87" s="56" t="s">
        <v>2058</v>
      </c>
      <c r="L87" s="56" t="s">
        <v>2059</v>
      </c>
      <c r="M87" s="55" t="s">
        <v>2060</v>
      </c>
      <c r="N87" s="56" t="s">
        <v>2061</v>
      </c>
      <c r="O87" s="53" t="s">
        <v>8</v>
      </c>
      <c r="P87" s="56" t="s">
        <v>2076</v>
      </c>
      <c r="Q87" s="57">
        <v>16100</v>
      </c>
      <c r="R87" s="58" t="s">
        <v>8</v>
      </c>
      <c r="S87" s="57" t="s">
        <v>8</v>
      </c>
      <c r="T87" s="56" t="s">
        <v>2063</v>
      </c>
    </row>
    <row r="88" spans="1:20">
      <c r="A88" s="55">
        <v>124389389493</v>
      </c>
      <c r="B88" s="53" t="s">
        <v>2055</v>
      </c>
      <c r="C88" s="54">
        <v>45905</v>
      </c>
      <c r="D88" s="55">
        <v>49796024358</v>
      </c>
      <c r="E88" s="55">
        <v>2061666694317</v>
      </c>
      <c r="F88" s="56" t="s">
        <v>2056</v>
      </c>
      <c r="G88" s="56" t="s">
        <v>2057</v>
      </c>
      <c r="H88" s="56" t="s">
        <v>8</v>
      </c>
      <c r="I88" s="55" t="s">
        <v>8</v>
      </c>
      <c r="J88" s="57">
        <v>41.71</v>
      </c>
      <c r="K88" s="56" t="s">
        <v>2058</v>
      </c>
      <c r="L88" s="56" t="s">
        <v>2059</v>
      </c>
      <c r="M88" s="55" t="s">
        <v>2060</v>
      </c>
      <c r="N88" s="56" t="s">
        <v>2061</v>
      </c>
      <c r="O88" s="53" t="s">
        <v>8</v>
      </c>
      <c r="P88" s="56" t="s">
        <v>2077</v>
      </c>
      <c r="Q88" s="57">
        <v>4300</v>
      </c>
      <c r="R88" s="58" t="s">
        <v>8</v>
      </c>
      <c r="S88" s="57" t="s">
        <v>8</v>
      </c>
      <c r="T88" s="56" t="s">
        <v>2063</v>
      </c>
    </row>
    <row r="89" spans="1:20">
      <c r="A89" s="55">
        <v>124388057649</v>
      </c>
      <c r="B89" s="53" t="s">
        <v>2055</v>
      </c>
      <c r="C89" s="54">
        <v>45905</v>
      </c>
      <c r="D89" s="55">
        <v>49796082117</v>
      </c>
      <c r="E89" s="55">
        <v>2061655308027</v>
      </c>
      <c r="F89" s="56" t="s">
        <v>2056</v>
      </c>
      <c r="G89" s="56" t="s">
        <v>2057</v>
      </c>
      <c r="H89" s="56" t="s">
        <v>8</v>
      </c>
      <c r="I89" s="55" t="s">
        <v>8</v>
      </c>
      <c r="J89" s="57">
        <v>41.71</v>
      </c>
      <c r="K89" s="56" t="s">
        <v>2058</v>
      </c>
      <c r="L89" s="56" t="s">
        <v>2059</v>
      </c>
      <c r="M89" s="55" t="s">
        <v>2060</v>
      </c>
      <c r="N89" s="56" t="s">
        <v>2061</v>
      </c>
      <c r="O89" s="53" t="s">
        <v>8</v>
      </c>
      <c r="P89" s="56" t="s">
        <v>2078</v>
      </c>
      <c r="Q89" s="57">
        <v>4300</v>
      </c>
      <c r="R89" s="58" t="s">
        <v>8</v>
      </c>
      <c r="S89" s="57" t="s">
        <v>8</v>
      </c>
      <c r="T89" s="56" t="s">
        <v>2063</v>
      </c>
    </row>
    <row r="90" spans="1:20">
      <c r="A90" s="55">
        <v>124388706943</v>
      </c>
      <c r="B90" s="53" t="s">
        <v>2055</v>
      </c>
      <c r="C90" s="54">
        <v>45905</v>
      </c>
      <c r="D90" s="55">
        <v>49796236955</v>
      </c>
      <c r="E90" s="55">
        <v>2061661235031</v>
      </c>
      <c r="F90" s="56" t="s">
        <v>2056</v>
      </c>
      <c r="G90" s="56" t="s">
        <v>2057</v>
      </c>
      <c r="H90" s="56" t="s">
        <v>8</v>
      </c>
      <c r="I90" s="55" t="s">
        <v>8</v>
      </c>
      <c r="J90" s="57">
        <v>37.83</v>
      </c>
      <c r="K90" s="56" t="s">
        <v>2058</v>
      </c>
      <c r="L90" s="56" t="s">
        <v>2059</v>
      </c>
      <c r="M90" s="55" t="s">
        <v>2060</v>
      </c>
      <c r="N90" s="56" t="s">
        <v>2061</v>
      </c>
      <c r="O90" s="53" t="s">
        <v>8</v>
      </c>
      <c r="P90" s="56" t="s">
        <v>2064</v>
      </c>
      <c r="Q90" s="57">
        <v>3900</v>
      </c>
      <c r="R90" s="58" t="s">
        <v>8</v>
      </c>
      <c r="S90" s="57" t="s">
        <v>8</v>
      </c>
      <c r="T90" s="56" t="s">
        <v>2063</v>
      </c>
    </row>
    <row r="91" spans="1:20">
      <c r="A91" s="55">
        <v>124389182075</v>
      </c>
      <c r="B91" s="53" t="s">
        <v>2055</v>
      </c>
      <c r="C91" s="54">
        <v>45905</v>
      </c>
      <c r="D91" s="55">
        <v>49796311721</v>
      </c>
      <c r="E91" s="55">
        <v>2061665794163</v>
      </c>
      <c r="F91" s="56" t="s">
        <v>2069</v>
      </c>
      <c r="G91" s="56" t="s">
        <v>2057</v>
      </c>
      <c r="H91" s="56" t="s">
        <v>8</v>
      </c>
      <c r="I91" s="55" t="s">
        <v>8</v>
      </c>
      <c r="J91" s="57">
        <v>41.71</v>
      </c>
      <c r="K91" s="56" t="s">
        <v>2058</v>
      </c>
      <c r="L91" s="56" t="s">
        <v>2059</v>
      </c>
      <c r="M91" s="55" t="s">
        <v>2060</v>
      </c>
      <c r="N91" s="56" t="s">
        <v>2061</v>
      </c>
      <c r="O91" s="53" t="s">
        <v>8</v>
      </c>
      <c r="P91" s="56" t="s">
        <v>2070</v>
      </c>
      <c r="Q91" s="57">
        <v>4300</v>
      </c>
      <c r="R91" s="58" t="s">
        <v>8</v>
      </c>
      <c r="S91" s="57" t="s">
        <v>8</v>
      </c>
      <c r="T91" s="56" t="s">
        <v>8</v>
      </c>
    </row>
    <row r="92" spans="1:20">
      <c r="A92" s="55">
        <v>124389369351</v>
      </c>
      <c r="B92" s="53" t="s">
        <v>2055</v>
      </c>
      <c r="C92" s="54">
        <v>45905</v>
      </c>
      <c r="D92" s="55">
        <v>49796347465</v>
      </c>
      <c r="E92" s="55">
        <v>2061666137237</v>
      </c>
      <c r="F92" s="56" t="s">
        <v>2056</v>
      </c>
      <c r="G92" s="56" t="s">
        <v>2057</v>
      </c>
      <c r="H92" s="56" t="s">
        <v>8</v>
      </c>
      <c r="I92" s="55" t="s">
        <v>8</v>
      </c>
      <c r="J92" s="57">
        <v>582.97</v>
      </c>
      <c r="K92" s="56" t="s">
        <v>2058</v>
      </c>
      <c r="L92" s="56" t="s">
        <v>2059</v>
      </c>
      <c r="M92" s="55" t="s">
        <v>2060</v>
      </c>
      <c r="N92" s="56" t="s">
        <v>2061</v>
      </c>
      <c r="O92" s="53" t="s">
        <v>8</v>
      </c>
      <c r="P92" s="56" t="s">
        <v>2079</v>
      </c>
      <c r="Q92" s="57">
        <v>60100</v>
      </c>
      <c r="R92" s="58" t="s">
        <v>8</v>
      </c>
      <c r="S92" s="57" t="s">
        <v>8</v>
      </c>
      <c r="T92" s="56" t="s">
        <v>2063</v>
      </c>
    </row>
    <row r="93" spans="1:20">
      <c r="A93" s="55">
        <v>124389390021</v>
      </c>
      <c r="B93" s="53" t="s">
        <v>2055</v>
      </c>
      <c r="C93" s="54">
        <v>45905</v>
      </c>
      <c r="D93" s="55">
        <v>49796386856</v>
      </c>
      <c r="E93" s="55">
        <v>2061706592168</v>
      </c>
      <c r="F93" s="56" t="s">
        <v>2066</v>
      </c>
      <c r="G93" s="56" t="s">
        <v>2057</v>
      </c>
      <c r="H93" s="56" t="s">
        <v>8</v>
      </c>
      <c r="I93" s="55" t="s">
        <v>8</v>
      </c>
      <c r="J93" s="57">
        <v>334.05</v>
      </c>
      <c r="K93" s="56" t="s">
        <v>2058</v>
      </c>
      <c r="L93" s="56" t="s">
        <v>2067</v>
      </c>
      <c r="M93" s="55" t="s">
        <v>2060</v>
      </c>
      <c r="N93" s="56" t="s">
        <v>2061</v>
      </c>
      <c r="O93" s="53" t="s">
        <v>1790</v>
      </c>
      <c r="P93" s="56" t="s">
        <v>2068</v>
      </c>
      <c r="Q93" s="57">
        <v>8500</v>
      </c>
      <c r="R93" s="58" t="s">
        <v>8</v>
      </c>
      <c r="S93" s="57" t="s">
        <v>8</v>
      </c>
      <c r="T93" s="56" t="s">
        <v>2063</v>
      </c>
    </row>
    <row r="94" spans="1:20">
      <c r="A94" s="55">
        <v>124935015006</v>
      </c>
      <c r="B94" s="53" t="s">
        <v>2055</v>
      </c>
      <c r="C94" s="54">
        <v>45905</v>
      </c>
      <c r="D94" s="55">
        <v>49796439850</v>
      </c>
      <c r="E94" s="55">
        <v>2061709987112</v>
      </c>
      <c r="F94" s="56" t="s">
        <v>2056</v>
      </c>
      <c r="G94" s="56" t="s">
        <v>2057</v>
      </c>
      <c r="H94" s="56" t="s">
        <v>8</v>
      </c>
      <c r="I94" s="55" t="s">
        <v>8</v>
      </c>
      <c r="J94" s="57">
        <v>41.71</v>
      </c>
      <c r="K94" s="56" t="s">
        <v>2058</v>
      </c>
      <c r="L94" s="56" t="s">
        <v>2059</v>
      </c>
      <c r="M94" s="55" t="s">
        <v>2060</v>
      </c>
      <c r="N94" s="56" t="s">
        <v>2061</v>
      </c>
      <c r="O94" s="53" t="s">
        <v>8</v>
      </c>
      <c r="P94" s="56" t="s">
        <v>2078</v>
      </c>
      <c r="Q94" s="57">
        <v>4300</v>
      </c>
      <c r="R94" s="58" t="s">
        <v>8</v>
      </c>
      <c r="S94" s="57" t="s">
        <v>8</v>
      </c>
      <c r="T94" s="56" t="s">
        <v>2063</v>
      </c>
    </row>
    <row r="95" spans="1:20">
      <c r="A95" s="55">
        <v>124390277545</v>
      </c>
      <c r="B95" s="53" t="s">
        <v>2055</v>
      </c>
      <c r="C95" s="54">
        <v>45905</v>
      </c>
      <c r="D95" s="55">
        <v>49796620694</v>
      </c>
      <c r="E95" s="55">
        <v>2061675549333</v>
      </c>
      <c r="F95" s="56" t="s">
        <v>2056</v>
      </c>
      <c r="G95" s="56" t="s">
        <v>2057</v>
      </c>
      <c r="H95" s="56" t="s">
        <v>8</v>
      </c>
      <c r="I95" s="55" t="s">
        <v>8</v>
      </c>
      <c r="J95" s="57">
        <v>41.71</v>
      </c>
      <c r="K95" s="56" t="s">
        <v>2058</v>
      </c>
      <c r="L95" s="56" t="s">
        <v>2059</v>
      </c>
      <c r="M95" s="55" t="s">
        <v>2060</v>
      </c>
      <c r="N95" s="56" t="s">
        <v>2061</v>
      </c>
      <c r="O95" s="53" t="s">
        <v>8</v>
      </c>
      <c r="P95" s="56" t="s">
        <v>2080</v>
      </c>
      <c r="Q95" s="57">
        <v>4300</v>
      </c>
      <c r="R95" s="58" t="s">
        <v>8</v>
      </c>
      <c r="S95" s="57" t="s">
        <v>8</v>
      </c>
      <c r="T95" s="56" t="s">
        <v>2063</v>
      </c>
    </row>
    <row r="96" spans="1:20">
      <c r="A96" s="55">
        <v>124390468955</v>
      </c>
      <c r="B96" s="53" t="s">
        <v>2055</v>
      </c>
      <c r="C96" s="54">
        <v>45905</v>
      </c>
      <c r="D96" s="55">
        <v>49796683596</v>
      </c>
      <c r="E96" s="55">
        <v>2061676996727</v>
      </c>
      <c r="F96" s="56" t="s">
        <v>2056</v>
      </c>
      <c r="G96" s="56" t="s">
        <v>2057</v>
      </c>
      <c r="H96" s="56" t="s">
        <v>8</v>
      </c>
      <c r="I96" s="55" t="s">
        <v>8</v>
      </c>
      <c r="J96" s="57">
        <v>138.71</v>
      </c>
      <c r="K96" s="56" t="s">
        <v>2058</v>
      </c>
      <c r="L96" s="56" t="s">
        <v>2059</v>
      </c>
      <c r="M96" s="55" t="s">
        <v>2060</v>
      </c>
      <c r="N96" s="56" t="s">
        <v>2061</v>
      </c>
      <c r="O96" s="53" t="s">
        <v>8</v>
      </c>
      <c r="P96" s="56" t="s">
        <v>2081</v>
      </c>
      <c r="Q96" s="57">
        <v>14300</v>
      </c>
      <c r="R96" s="58" t="s">
        <v>8</v>
      </c>
      <c r="S96" s="57" t="s">
        <v>8</v>
      </c>
      <c r="T96" s="56" t="s">
        <v>2063</v>
      </c>
    </row>
    <row r="97" spans="1:20">
      <c r="A97" s="55">
        <v>124390658789</v>
      </c>
      <c r="B97" s="53" t="s">
        <v>2055</v>
      </c>
      <c r="C97" s="54">
        <v>45905</v>
      </c>
      <c r="D97" s="55">
        <v>49796750176</v>
      </c>
      <c r="E97" s="55">
        <v>2061718145760</v>
      </c>
      <c r="F97" s="56" t="s">
        <v>2066</v>
      </c>
      <c r="G97" s="56" t="s">
        <v>2057</v>
      </c>
      <c r="H97" s="56" t="s">
        <v>8</v>
      </c>
      <c r="I97" s="55" t="s">
        <v>8</v>
      </c>
      <c r="J97" s="57">
        <v>1852.32</v>
      </c>
      <c r="K97" s="56" t="s">
        <v>2058</v>
      </c>
      <c r="L97" s="56" t="s">
        <v>2067</v>
      </c>
      <c r="M97" s="55" t="s">
        <v>2060</v>
      </c>
      <c r="N97" s="56" t="s">
        <v>2061</v>
      </c>
      <c r="O97" s="53" t="s">
        <v>1790</v>
      </c>
      <c r="P97" s="56" t="s">
        <v>2068</v>
      </c>
      <c r="Q97" s="57">
        <v>40800</v>
      </c>
      <c r="R97" s="58" t="s">
        <v>8</v>
      </c>
      <c r="S97" s="57" t="s">
        <v>8</v>
      </c>
      <c r="T97" s="56" t="s">
        <v>2063</v>
      </c>
    </row>
    <row r="98" spans="1:20">
      <c r="A98" s="55">
        <v>124936306000</v>
      </c>
      <c r="B98" s="53" t="s">
        <v>2055</v>
      </c>
      <c r="C98" s="54">
        <v>45905</v>
      </c>
      <c r="D98" s="55">
        <v>49797055646</v>
      </c>
      <c r="E98" s="55">
        <v>2061723855152</v>
      </c>
      <c r="F98" s="56" t="s">
        <v>2056</v>
      </c>
      <c r="G98" s="56" t="s">
        <v>2057</v>
      </c>
      <c r="H98" s="56" t="s">
        <v>8</v>
      </c>
      <c r="I98" s="55" t="s">
        <v>8</v>
      </c>
      <c r="J98" s="57">
        <v>83.42</v>
      </c>
      <c r="K98" s="56" t="s">
        <v>2058</v>
      </c>
      <c r="L98" s="56" t="s">
        <v>2059</v>
      </c>
      <c r="M98" s="55" t="s">
        <v>2060</v>
      </c>
      <c r="N98" s="56" t="s">
        <v>2061</v>
      </c>
      <c r="O98" s="53" t="s">
        <v>8</v>
      </c>
      <c r="P98" s="56" t="s">
        <v>2082</v>
      </c>
      <c r="Q98" s="57">
        <v>8600</v>
      </c>
      <c r="R98" s="58" t="s">
        <v>8</v>
      </c>
      <c r="S98" s="57" t="s">
        <v>8</v>
      </c>
      <c r="T98" s="56" t="s">
        <v>2063</v>
      </c>
    </row>
    <row r="99" spans="1:20">
      <c r="A99" s="55">
        <v>124936593136</v>
      </c>
      <c r="B99" s="53" t="s">
        <v>2055</v>
      </c>
      <c r="C99" s="54">
        <v>45905</v>
      </c>
      <c r="D99" s="55">
        <v>49797105852</v>
      </c>
      <c r="E99" s="55">
        <v>2061685435451</v>
      </c>
      <c r="F99" s="56" t="s">
        <v>2056</v>
      </c>
      <c r="G99" s="56" t="s">
        <v>2057</v>
      </c>
      <c r="H99" s="56" t="s">
        <v>8</v>
      </c>
      <c r="I99" s="55" t="s">
        <v>8</v>
      </c>
      <c r="J99" s="57">
        <v>214.37</v>
      </c>
      <c r="K99" s="56" t="s">
        <v>2058</v>
      </c>
      <c r="L99" s="56" t="s">
        <v>2059</v>
      </c>
      <c r="M99" s="55" t="s">
        <v>2060</v>
      </c>
      <c r="N99" s="56" t="s">
        <v>2061</v>
      </c>
      <c r="O99" s="53" t="s">
        <v>8</v>
      </c>
      <c r="P99" s="56" t="s">
        <v>2083</v>
      </c>
      <c r="Q99" s="57">
        <v>22100</v>
      </c>
      <c r="R99" s="58" t="s">
        <v>8</v>
      </c>
      <c r="S99" s="57" t="s">
        <v>8</v>
      </c>
      <c r="T99" s="56" t="s">
        <v>2063</v>
      </c>
    </row>
    <row r="100" spans="1:20">
      <c r="A100" s="55">
        <v>124391343749</v>
      </c>
      <c r="B100" s="53" t="s">
        <v>2055</v>
      </c>
      <c r="C100" s="54">
        <v>45905</v>
      </c>
      <c r="D100" s="55">
        <v>49797123812</v>
      </c>
      <c r="E100" s="55">
        <v>2061686464417</v>
      </c>
      <c r="F100" s="56" t="s">
        <v>2069</v>
      </c>
      <c r="G100" s="56" t="s">
        <v>2057</v>
      </c>
      <c r="H100" s="56" t="s">
        <v>8</v>
      </c>
      <c r="I100" s="55" t="s">
        <v>8</v>
      </c>
      <c r="J100" s="57">
        <v>90.21</v>
      </c>
      <c r="K100" s="56" t="s">
        <v>2058</v>
      </c>
      <c r="L100" s="56" t="s">
        <v>2059</v>
      </c>
      <c r="M100" s="55" t="s">
        <v>2060</v>
      </c>
      <c r="N100" s="56" t="s">
        <v>2061</v>
      </c>
      <c r="O100" s="53" t="s">
        <v>8</v>
      </c>
      <c r="P100" s="56" t="s">
        <v>2070</v>
      </c>
      <c r="Q100" s="57">
        <v>9300</v>
      </c>
      <c r="R100" s="58" t="s">
        <v>8</v>
      </c>
      <c r="S100" s="57" t="s">
        <v>8</v>
      </c>
      <c r="T100" s="56" t="s">
        <v>8</v>
      </c>
    </row>
    <row r="101" spans="1:20">
      <c r="A101" s="55">
        <v>124391696277</v>
      </c>
      <c r="B101" s="53" t="s">
        <v>2055</v>
      </c>
      <c r="C101" s="54">
        <v>45905</v>
      </c>
      <c r="D101" s="55">
        <v>49797196010</v>
      </c>
      <c r="E101" s="55">
        <v>2061687444727</v>
      </c>
      <c r="F101" s="56" t="s">
        <v>2069</v>
      </c>
      <c r="G101" s="56" t="s">
        <v>2057</v>
      </c>
      <c r="H101" s="56" t="s">
        <v>8</v>
      </c>
      <c r="I101" s="55" t="s">
        <v>8</v>
      </c>
      <c r="J101" s="57">
        <v>41.71</v>
      </c>
      <c r="K101" s="56" t="s">
        <v>2058</v>
      </c>
      <c r="L101" s="56" t="s">
        <v>2059</v>
      </c>
      <c r="M101" s="55" t="s">
        <v>2060</v>
      </c>
      <c r="N101" s="56" t="s">
        <v>2061</v>
      </c>
      <c r="O101" s="53" t="s">
        <v>8</v>
      </c>
      <c r="P101" s="56" t="s">
        <v>2070</v>
      </c>
      <c r="Q101" s="57">
        <v>4300</v>
      </c>
      <c r="R101" s="58" t="s">
        <v>8</v>
      </c>
      <c r="S101" s="57" t="s">
        <v>8</v>
      </c>
      <c r="T101" s="56" t="s">
        <v>8</v>
      </c>
    </row>
    <row r="102" spans="1:20">
      <c r="A102" s="55">
        <v>124391850585</v>
      </c>
      <c r="B102" s="53" t="s">
        <v>2055</v>
      </c>
      <c r="C102" s="54">
        <v>45905</v>
      </c>
      <c r="D102" s="55">
        <v>49797290210</v>
      </c>
      <c r="E102" s="55">
        <v>2061729250290</v>
      </c>
      <c r="F102" s="56" t="s">
        <v>2056</v>
      </c>
      <c r="G102" s="56" t="s">
        <v>2057</v>
      </c>
      <c r="H102" s="56" t="s">
        <v>8</v>
      </c>
      <c r="I102" s="55" t="s">
        <v>8</v>
      </c>
      <c r="J102" s="57">
        <v>945.75</v>
      </c>
      <c r="K102" s="56" t="s">
        <v>2058</v>
      </c>
      <c r="L102" s="56" t="s">
        <v>2059</v>
      </c>
      <c r="M102" s="55" t="s">
        <v>2060</v>
      </c>
      <c r="N102" s="56" t="s">
        <v>2061</v>
      </c>
      <c r="O102" s="53" t="s">
        <v>8</v>
      </c>
      <c r="P102" s="56" t="s">
        <v>2084</v>
      </c>
      <c r="Q102" s="57">
        <v>97500</v>
      </c>
      <c r="R102" s="58" t="s">
        <v>8</v>
      </c>
      <c r="S102" s="57" t="s">
        <v>8</v>
      </c>
      <c r="T102" s="56" t="s">
        <v>2063</v>
      </c>
    </row>
    <row r="103" spans="1:20">
      <c r="A103" s="55">
        <v>124391938119</v>
      </c>
      <c r="B103" s="53" t="s">
        <v>2055</v>
      </c>
      <c r="C103" s="54">
        <v>45905</v>
      </c>
      <c r="D103" s="55">
        <v>49797292898</v>
      </c>
      <c r="E103" s="55">
        <v>2061729395074</v>
      </c>
      <c r="F103" s="56" t="s">
        <v>2056</v>
      </c>
      <c r="G103" s="56" t="s">
        <v>2057</v>
      </c>
      <c r="H103" s="56" t="s">
        <v>8</v>
      </c>
      <c r="I103" s="55" t="s">
        <v>8</v>
      </c>
      <c r="J103" s="57">
        <v>41.71</v>
      </c>
      <c r="K103" s="56" t="s">
        <v>2058</v>
      </c>
      <c r="L103" s="56" t="s">
        <v>2059</v>
      </c>
      <c r="M103" s="55" t="s">
        <v>2060</v>
      </c>
      <c r="N103" s="56" t="s">
        <v>2061</v>
      </c>
      <c r="O103" s="53" t="s">
        <v>8</v>
      </c>
      <c r="P103" s="56" t="s">
        <v>2080</v>
      </c>
      <c r="Q103" s="57">
        <v>4300</v>
      </c>
      <c r="R103" s="58" t="s">
        <v>8</v>
      </c>
      <c r="S103" s="57" t="s">
        <v>8</v>
      </c>
      <c r="T103" s="56" t="s">
        <v>2063</v>
      </c>
    </row>
    <row r="104" spans="1:20">
      <c r="A104" s="55">
        <v>124937292950</v>
      </c>
      <c r="B104" s="53" t="s">
        <v>2055</v>
      </c>
      <c r="C104" s="54">
        <v>45905</v>
      </c>
      <c r="D104" s="55">
        <v>49797404505</v>
      </c>
      <c r="E104" s="55">
        <v>2061731887100</v>
      </c>
      <c r="F104" s="56" t="s">
        <v>2056</v>
      </c>
      <c r="G104" s="56" t="s">
        <v>2057</v>
      </c>
      <c r="H104" s="56" t="s">
        <v>8</v>
      </c>
      <c r="I104" s="55" t="s">
        <v>8</v>
      </c>
      <c r="J104" s="57">
        <v>347.26</v>
      </c>
      <c r="K104" s="56" t="s">
        <v>2058</v>
      </c>
      <c r="L104" s="56" t="s">
        <v>2059</v>
      </c>
      <c r="M104" s="55" t="s">
        <v>2060</v>
      </c>
      <c r="N104" s="56" t="s">
        <v>2061</v>
      </c>
      <c r="O104" s="53" t="s">
        <v>8</v>
      </c>
      <c r="P104" s="56" t="s">
        <v>2085</v>
      </c>
      <c r="Q104" s="57">
        <v>35800</v>
      </c>
      <c r="R104" s="58" t="s">
        <v>8</v>
      </c>
      <c r="S104" s="57" t="s">
        <v>8</v>
      </c>
      <c r="T104" s="56" t="s">
        <v>2063</v>
      </c>
    </row>
    <row r="105" spans="1:20">
      <c r="A105" s="55">
        <v>124392231153</v>
      </c>
      <c r="B105" s="53" t="s">
        <v>2055</v>
      </c>
      <c r="C105" s="54">
        <v>45905</v>
      </c>
      <c r="D105" s="55">
        <v>49797438203</v>
      </c>
      <c r="E105" s="55">
        <v>2061693338607</v>
      </c>
      <c r="F105" s="56" t="s">
        <v>2056</v>
      </c>
      <c r="G105" s="56" t="s">
        <v>2057</v>
      </c>
      <c r="H105" s="56" t="s">
        <v>8</v>
      </c>
      <c r="I105" s="55" t="s">
        <v>8</v>
      </c>
      <c r="J105" s="57">
        <v>97</v>
      </c>
      <c r="K105" s="56" t="s">
        <v>2058</v>
      </c>
      <c r="L105" s="56" t="s">
        <v>2059</v>
      </c>
      <c r="M105" s="55" t="s">
        <v>2060</v>
      </c>
      <c r="N105" s="56" t="s">
        <v>2061</v>
      </c>
      <c r="O105" s="53" t="s">
        <v>8</v>
      </c>
      <c r="P105" s="56" t="s">
        <v>2086</v>
      </c>
      <c r="Q105" s="57">
        <v>10000</v>
      </c>
      <c r="R105" s="58" t="s">
        <v>8</v>
      </c>
      <c r="S105" s="57" t="s">
        <v>8</v>
      </c>
      <c r="T105" s="56" t="s">
        <v>2063</v>
      </c>
    </row>
    <row r="106" spans="1:20">
      <c r="A106" s="55">
        <v>124392245583</v>
      </c>
      <c r="B106" s="53" t="s">
        <v>2055</v>
      </c>
      <c r="C106" s="54">
        <v>45905</v>
      </c>
      <c r="D106" s="55">
        <v>49797457846</v>
      </c>
      <c r="E106" s="55">
        <v>2061733814868</v>
      </c>
      <c r="F106" s="56" t="s">
        <v>2066</v>
      </c>
      <c r="G106" s="56" t="s">
        <v>2057</v>
      </c>
      <c r="H106" s="56" t="s">
        <v>8</v>
      </c>
      <c r="I106" s="55" t="s">
        <v>8</v>
      </c>
      <c r="J106" s="57">
        <v>1629.86</v>
      </c>
      <c r="K106" s="56" t="s">
        <v>2058</v>
      </c>
      <c r="L106" s="56" t="s">
        <v>2067</v>
      </c>
      <c r="M106" s="55" t="s">
        <v>2060</v>
      </c>
      <c r="N106" s="56" t="s">
        <v>2061</v>
      </c>
      <c r="O106" s="53" t="s">
        <v>1790</v>
      </c>
      <c r="P106" s="56" t="s">
        <v>2068</v>
      </c>
      <c r="Q106" s="57">
        <v>35900</v>
      </c>
      <c r="R106" s="58" t="s">
        <v>8</v>
      </c>
      <c r="S106" s="57" t="s">
        <v>8</v>
      </c>
      <c r="T106" s="56" t="s">
        <v>2063</v>
      </c>
    </row>
    <row r="107" spans="1:20">
      <c r="A107" s="55">
        <v>124392595503</v>
      </c>
      <c r="B107" s="53" t="s">
        <v>2055</v>
      </c>
      <c r="C107" s="54">
        <v>45905</v>
      </c>
      <c r="D107" s="55">
        <v>49797605975</v>
      </c>
      <c r="E107" s="55">
        <v>2061736960802</v>
      </c>
      <c r="F107" s="56" t="s">
        <v>2066</v>
      </c>
      <c r="G107" s="56" t="s">
        <v>2057</v>
      </c>
      <c r="H107" s="56" t="s">
        <v>8</v>
      </c>
      <c r="I107" s="55" t="s">
        <v>8</v>
      </c>
      <c r="J107" s="57">
        <v>168.99</v>
      </c>
      <c r="K107" s="56" t="s">
        <v>2058</v>
      </c>
      <c r="L107" s="56" t="s">
        <v>2067</v>
      </c>
      <c r="M107" s="55" t="s">
        <v>2060</v>
      </c>
      <c r="N107" s="56" t="s">
        <v>2061</v>
      </c>
      <c r="O107" s="53" t="s">
        <v>1790</v>
      </c>
      <c r="P107" s="56" t="s">
        <v>2068</v>
      </c>
      <c r="Q107" s="57">
        <v>4300</v>
      </c>
      <c r="R107" s="58" t="s">
        <v>8</v>
      </c>
      <c r="S107" s="57" t="s">
        <v>8</v>
      </c>
      <c r="T107" s="56" t="s">
        <v>2063</v>
      </c>
    </row>
    <row r="108" spans="1:20">
      <c r="A108" s="55">
        <v>124937954288</v>
      </c>
      <c r="B108" s="53" t="s">
        <v>2055</v>
      </c>
      <c r="C108" s="54">
        <v>45905</v>
      </c>
      <c r="D108" s="55">
        <v>49797617263</v>
      </c>
      <c r="E108" s="55">
        <v>2061737420550</v>
      </c>
      <c r="F108" s="56" t="s">
        <v>2056</v>
      </c>
      <c r="G108" s="56" t="s">
        <v>2057</v>
      </c>
      <c r="H108" s="56" t="s">
        <v>8</v>
      </c>
      <c r="I108" s="55" t="s">
        <v>8</v>
      </c>
      <c r="J108" s="57">
        <v>67.900000000000006</v>
      </c>
      <c r="K108" s="56" t="s">
        <v>2058</v>
      </c>
      <c r="L108" s="56" t="s">
        <v>2059</v>
      </c>
      <c r="M108" s="55" t="s">
        <v>2060</v>
      </c>
      <c r="N108" s="56" t="s">
        <v>2061</v>
      </c>
      <c r="O108" s="53" t="s">
        <v>8</v>
      </c>
      <c r="P108" s="56" t="s">
        <v>2087</v>
      </c>
      <c r="Q108" s="57">
        <v>7000</v>
      </c>
      <c r="R108" s="58" t="s">
        <v>8</v>
      </c>
      <c r="S108" s="57" t="s">
        <v>8</v>
      </c>
      <c r="T108" s="56" t="s">
        <v>2063</v>
      </c>
    </row>
    <row r="109" spans="1:20">
      <c r="A109" s="55">
        <v>124938008312</v>
      </c>
      <c r="B109" s="53" t="s">
        <v>2055</v>
      </c>
      <c r="C109" s="54">
        <v>45905</v>
      </c>
      <c r="D109" s="55">
        <v>49797627400</v>
      </c>
      <c r="E109" s="55">
        <v>2061737942226</v>
      </c>
      <c r="F109" s="56" t="s">
        <v>2056</v>
      </c>
      <c r="G109" s="56" t="s">
        <v>2057</v>
      </c>
      <c r="H109" s="56" t="s">
        <v>8</v>
      </c>
      <c r="I109" s="55" t="s">
        <v>8</v>
      </c>
      <c r="J109" s="57">
        <v>125.13</v>
      </c>
      <c r="K109" s="56" t="s">
        <v>2058</v>
      </c>
      <c r="L109" s="56" t="s">
        <v>2059</v>
      </c>
      <c r="M109" s="55" t="s">
        <v>2060</v>
      </c>
      <c r="N109" s="56" t="s">
        <v>2061</v>
      </c>
      <c r="O109" s="53" t="s">
        <v>8</v>
      </c>
      <c r="P109" s="56" t="s">
        <v>2088</v>
      </c>
      <c r="Q109" s="57">
        <v>12900</v>
      </c>
      <c r="R109" s="58" t="s">
        <v>8</v>
      </c>
      <c r="S109" s="57" t="s">
        <v>8</v>
      </c>
      <c r="T109" s="56" t="s">
        <v>2063</v>
      </c>
    </row>
    <row r="110" spans="1:20">
      <c r="A110" s="55">
        <v>124392818757</v>
      </c>
      <c r="B110" s="53" t="s">
        <v>2055</v>
      </c>
      <c r="C110" s="54">
        <v>45905</v>
      </c>
      <c r="D110" s="55">
        <v>49797633318</v>
      </c>
      <c r="E110" s="55">
        <v>2061698533835</v>
      </c>
      <c r="F110" s="56" t="s">
        <v>2056</v>
      </c>
      <c r="G110" s="56" t="s">
        <v>2057</v>
      </c>
      <c r="H110" s="56" t="s">
        <v>8</v>
      </c>
      <c r="I110" s="55" t="s">
        <v>8</v>
      </c>
      <c r="J110" s="57">
        <v>200.79</v>
      </c>
      <c r="K110" s="56" t="s">
        <v>2058</v>
      </c>
      <c r="L110" s="56" t="s">
        <v>2059</v>
      </c>
      <c r="M110" s="55" t="s">
        <v>2060</v>
      </c>
      <c r="N110" s="56" t="s">
        <v>2061</v>
      </c>
      <c r="O110" s="53" t="s">
        <v>8</v>
      </c>
      <c r="P110" s="56" t="s">
        <v>2089</v>
      </c>
      <c r="Q110" s="57">
        <v>20700</v>
      </c>
      <c r="R110" s="58" t="s">
        <v>8</v>
      </c>
      <c r="S110" s="57" t="s">
        <v>8</v>
      </c>
      <c r="T110" s="56" t="s">
        <v>2063</v>
      </c>
    </row>
    <row r="111" spans="1:20">
      <c r="A111" s="55">
        <v>124392888675</v>
      </c>
      <c r="B111" s="53" t="s">
        <v>2055</v>
      </c>
      <c r="C111" s="54">
        <v>45905</v>
      </c>
      <c r="D111" s="55">
        <v>49797685666</v>
      </c>
      <c r="E111" s="55">
        <v>2061699151385</v>
      </c>
      <c r="F111" s="56" t="s">
        <v>2069</v>
      </c>
      <c r="G111" s="56" t="s">
        <v>2057</v>
      </c>
      <c r="H111" s="56" t="s">
        <v>8</v>
      </c>
      <c r="I111" s="55" t="s">
        <v>8</v>
      </c>
      <c r="J111" s="57">
        <v>840.02</v>
      </c>
      <c r="K111" s="56" t="s">
        <v>2058</v>
      </c>
      <c r="L111" s="56" t="s">
        <v>2059</v>
      </c>
      <c r="M111" s="55" t="s">
        <v>2060</v>
      </c>
      <c r="N111" s="56" t="s">
        <v>2061</v>
      </c>
      <c r="O111" s="53" t="s">
        <v>8</v>
      </c>
      <c r="P111" s="56" t="s">
        <v>2070</v>
      </c>
      <c r="Q111" s="57">
        <v>86600</v>
      </c>
      <c r="R111" s="58" t="s">
        <v>8</v>
      </c>
      <c r="S111" s="57" t="s">
        <v>8</v>
      </c>
      <c r="T111" s="56" t="s">
        <v>8</v>
      </c>
    </row>
    <row r="112" spans="1:20">
      <c r="A112" s="55">
        <v>124938162788</v>
      </c>
      <c r="B112" s="53" t="s">
        <v>2055</v>
      </c>
      <c r="C112" s="54">
        <v>45905</v>
      </c>
      <c r="D112" s="55">
        <v>49797693011</v>
      </c>
      <c r="E112" s="55">
        <v>2061739925304</v>
      </c>
      <c r="F112" s="56" t="s">
        <v>2056</v>
      </c>
      <c r="G112" s="56" t="s">
        <v>2057</v>
      </c>
      <c r="H112" s="56" t="s">
        <v>8</v>
      </c>
      <c r="I112" s="55" t="s">
        <v>8</v>
      </c>
      <c r="J112" s="57">
        <v>284.20999999999998</v>
      </c>
      <c r="K112" s="56" t="s">
        <v>2058</v>
      </c>
      <c r="L112" s="56" t="s">
        <v>2059</v>
      </c>
      <c r="M112" s="55" t="s">
        <v>2060</v>
      </c>
      <c r="N112" s="56" t="s">
        <v>2061</v>
      </c>
      <c r="O112" s="53" t="s">
        <v>8</v>
      </c>
      <c r="P112" s="56" t="s">
        <v>2090</v>
      </c>
      <c r="Q112" s="57">
        <v>29300</v>
      </c>
      <c r="R112" s="58" t="s">
        <v>8</v>
      </c>
      <c r="S112" s="57" t="s">
        <v>8</v>
      </c>
      <c r="T112" s="56" t="s">
        <v>2063</v>
      </c>
    </row>
    <row r="113" spans="1:20">
      <c r="A113" s="55">
        <v>124392988273</v>
      </c>
      <c r="B113" s="53" t="s">
        <v>2055</v>
      </c>
      <c r="C113" s="54">
        <v>45905</v>
      </c>
      <c r="D113" s="55">
        <v>49797696374</v>
      </c>
      <c r="E113" s="55">
        <v>2061739592802</v>
      </c>
      <c r="F113" s="56" t="s">
        <v>2056</v>
      </c>
      <c r="G113" s="56" t="s">
        <v>2057</v>
      </c>
      <c r="H113" s="56" t="s">
        <v>8</v>
      </c>
      <c r="I113" s="55" t="s">
        <v>8</v>
      </c>
      <c r="J113" s="57">
        <v>84.39</v>
      </c>
      <c r="K113" s="56" t="s">
        <v>2058</v>
      </c>
      <c r="L113" s="56" t="s">
        <v>2059</v>
      </c>
      <c r="M113" s="55" t="s">
        <v>2060</v>
      </c>
      <c r="N113" s="56" t="s">
        <v>2061</v>
      </c>
      <c r="O113" s="53" t="s">
        <v>8</v>
      </c>
      <c r="P113" s="56" t="s">
        <v>2064</v>
      </c>
      <c r="Q113" s="57">
        <v>8700</v>
      </c>
      <c r="R113" s="58" t="s">
        <v>8</v>
      </c>
      <c r="S113" s="57" t="s">
        <v>8</v>
      </c>
      <c r="T113" s="56" t="s">
        <v>2063</v>
      </c>
    </row>
    <row r="114" spans="1:20">
      <c r="A114" s="55">
        <v>124938249624</v>
      </c>
      <c r="B114" s="53" t="s">
        <v>2055</v>
      </c>
      <c r="C114" s="54">
        <v>45905</v>
      </c>
      <c r="D114" s="55">
        <v>49797749246</v>
      </c>
      <c r="E114" s="55">
        <v>2061701984201</v>
      </c>
      <c r="F114" s="56" t="s">
        <v>2056</v>
      </c>
      <c r="G114" s="56" t="s">
        <v>2057</v>
      </c>
      <c r="H114" s="56" t="s">
        <v>8</v>
      </c>
      <c r="I114" s="55" t="s">
        <v>8</v>
      </c>
      <c r="J114" s="57">
        <v>41.71</v>
      </c>
      <c r="K114" s="56" t="s">
        <v>2058</v>
      </c>
      <c r="L114" s="56" t="s">
        <v>2059</v>
      </c>
      <c r="M114" s="55" t="s">
        <v>2060</v>
      </c>
      <c r="N114" s="56" t="s">
        <v>2061</v>
      </c>
      <c r="O114" s="53" t="s">
        <v>8</v>
      </c>
      <c r="P114" s="56" t="s">
        <v>2091</v>
      </c>
      <c r="Q114" s="57">
        <v>4300</v>
      </c>
      <c r="R114" s="58" t="s">
        <v>8</v>
      </c>
      <c r="S114" s="57" t="s">
        <v>8</v>
      </c>
      <c r="T114" s="56" t="s">
        <v>2063</v>
      </c>
    </row>
    <row r="115" spans="1:20">
      <c r="A115" s="55">
        <v>125049940460</v>
      </c>
      <c r="B115" s="53" t="s">
        <v>2055</v>
      </c>
      <c r="C115" s="54">
        <v>45905</v>
      </c>
      <c r="D115" s="55">
        <v>49833943702</v>
      </c>
      <c r="E115" s="55">
        <v>2062448276749</v>
      </c>
      <c r="F115" s="56" t="s">
        <v>2056</v>
      </c>
      <c r="G115" s="56" t="s">
        <v>2057</v>
      </c>
      <c r="H115" s="56" t="s">
        <v>8</v>
      </c>
      <c r="I115" s="55" t="s">
        <v>8</v>
      </c>
      <c r="J115" s="57">
        <v>776.22</v>
      </c>
      <c r="K115" s="56" t="s">
        <v>2058</v>
      </c>
      <c r="L115" s="56" t="s">
        <v>2059</v>
      </c>
      <c r="M115" s="55" t="s">
        <v>2060</v>
      </c>
      <c r="N115" s="56" t="s">
        <v>2061</v>
      </c>
      <c r="O115" s="53" t="s">
        <v>8</v>
      </c>
      <c r="P115" s="56" t="s">
        <v>2092</v>
      </c>
      <c r="Q115" s="57">
        <v>10200</v>
      </c>
      <c r="R115" s="58" t="s">
        <v>8</v>
      </c>
      <c r="S115" s="57" t="s">
        <v>8</v>
      </c>
      <c r="T115" s="56" t="s">
        <v>2063</v>
      </c>
    </row>
    <row r="116" spans="1:20">
      <c r="A116" s="55">
        <v>124506917889</v>
      </c>
      <c r="B116" s="53" t="s">
        <v>2055</v>
      </c>
      <c r="C116" s="54">
        <v>45905</v>
      </c>
      <c r="D116" s="55">
        <v>49835004514</v>
      </c>
      <c r="E116" s="55">
        <v>2062507358586</v>
      </c>
      <c r="F116" s="56" t="s">
        <v>2069</v>
      </c>
      <c r="G116" s="56" t="s">
        <v>2057</v>
      </c>
      <c r="H116" s="56" t="s">
        <v>8</v>
      </c>
      <c r="I116" s="55" t="s">
        <v>8</v>
      </c>
      <c r="J116" s="57">
        <v>160.05000000000001</v>
      </c>
      <c r="K116" s="56" t="s">
        <v>2058</v>
      </c>
      <c r="L116" s="56" t="s">
        <v>2059</v>
      </c>
      <c r="M116" s="55" t="s">
        <v>2060</v>
      </c>
      <c r="N116" s="56" t="s">
        <v>2061</v>
      </c>
      <c r="O116" s="53" t="s">
        <v>8</v>
      </c>
      <c r="P116" s="56" t="s">
        <v>2070</v>
      </c>
      <c r="Q116" s="57">
        <v>16500</v>
      </c>
      <c r="R116" s="58" t="s">
        <v>8</v>
      </c>
      <c r="S116" s="57" t="s">
        <v>8</v>
      </c>
      <c r="T116" s="56" t="s">
        <v>8</v>
      </c>
    </row>
    <row r="117" spans="1:20">
      <c r="A117" s="55">
        <v>124512339921</v>
      </c>
      <c r="B117" s="53" t="s">
        <v>2055</v>
      </c>
      <c r="C117" s="54">
        <v>45905</v>
      </c>
      <c r="D117" s="55">
        <v>49836765214</v>
      </c>
      <c r="E117" s="55">
        <v>2062499725141</v>
      </c>
      <c r="F117" s="56" t="s">
        <v>2066</v>
      </c>
      <c r="G117" s="56" t="s">
        <v>2057</v>
      </c>
      <c r="H117" s="56" t="s">
        <v>8</v>
      </c>
      <c r="I117" s="55" t="s">
        <v>8</v>
      </c>
      <c r="J117" s="57">
        <v>306.54000000000002</v>
      </c>
      <c r="K117" s="56" t="s">
        <v>2058</v>
      </c>
      <c r="L117" s="56" t="s">
        <v>2067</v>
      </c>
      <c r="M117" s="55" t="s">
        <v>2060</v>
      </c>
      <c r="N117" s="56" t="s">
        <v>2061</v>
      </c>
      <c r="O117" s="53" t="s">
        <v>1790</v>
      </c>
      <c r="P117" s="56" t="s">
        <v>2068</v>
      </c>
      <c r="Q117" s="57">
        <v>7800</v>
      </c>
      <c r="R117" s="58" t="s">
        <v>8</v>
      </c>
      <c r="S117" s="57" t="s">
        <v>8</v>
      </c>
      <c r="T117" s="56" t="s">
        <v>2063</v>
      </c>
    </row>
    <row r="118" spans="1:20">
      <c r="A118" s="55">
        <v>124513068303</v>
      </c>
      <c r="B118" s="53" t="s">
        <v>2055</v>
      </c>
      <c r="C118" s="54">
        <v>45905</v>
      </c>
      <c r="D118" s="55">
        <v>49836977186</v>
      </c>
      <c r="E118" s="55">
        <v>2062503440033</v>
      </c>
      <c r="F118" s="56" t="s">
        <v>2066</v>
      </c>
      <c r="G118" s="56" t="s">
        <v>2057</v>
      </c>
      <c r="H118" s="56" t="s">
        <v>8</v>
      </c>
      <c r="I118" s="55" t="s">
        <v>8</v>
      </c>
      <c r="J118" s="57">
        <v>168.99</v>
      </c>
      <c r="K118" s="56" t="s">
        <v>2058</v>
      </c>
      <c r="L118" s="56" t="s">
        <v>2067</v>
      </c>
      <c r="M118" s="55" t="s">
        <v>2060</v>
      </c>
      <c r="N118" s="56" t="s">
        <v>2061</v>
      </c>
      <c r="O118" s="53" t="s">
        <v>1790</v>
      </c>
      <c r="P118" s="56" t="s">
        <v>2068</v>
      </c>
      <c r="Q118" s="57">
        <v>4300</v>
      </c>
      <c r="R118" s="58" t="s">
        <v>8</v>
      </c>
      <c r="S118" s="57" t="s">
        <v>8</v>
      </c>
      <c r="T118" s="56" t="s">
        <v>2063</v>
      </c>
    </row>
    <row r="119" spans="1:20">
      <c r="A119" s="55">
        <v>125063411054</v>
      </c>
      <c r="B119" s="53" t="s">
        <v>2055</v>
      </c>
      <c r="C119" s="54">
        <v>45905</v>
      </c>
      <c r="D119" s="55">
        <v>49838547071</v>
      </c>
      <c r="E119" s="55">
        <v>2062571385634</v>
      </c>
      <c r="F119" s="56" t="s">
        <v>2056</v>
      </c>
      <c r="G119" s="56" t="s">
        <v>2057</v>
      </c>
      <c r="H119" s="56" t="s">
        <v>8</v>
      </c>
      <c r="I119" s="55" t="s">
        <v>8</v>
      </c>
      <c r="J119" s="57">
        <v>83.42</v>
      </c>
      <c r="K119" s="56" t="s">
        <v>2058</v>
      </c>
      <c r="L119" s="56" t="s">
        <v>2059</v>
      </c>
      <c r="M119" s="55" t="s">
        <v>2060</v>
      </c>
      <c r="N119" s="56" t="s">
        <v>2061</v>
      </c>
      <c r="O119" s="53" t="s">
        <v>8</v>
      </c>
      <c r="P119" s="56" t="s">
        <v>2093</v>
      </c>
      <c r="Q119" s="57">
        <v>8600</v>
      </c>
      <c r="R119" s="58" t="s">
        <v>8</v>
      </c>
      <c r="S119" s="57" t="s">
        <v>8</v>
      </c>
      <c r="T119" s="56" t="s">
        <v>2063</v>
      </c>
    </row>
    <row r="120" spans="1:20">
      <c r="A120" s="55">
        <v>125066792780</v>
      </c>
      <c r="B120" s="53" t="s">
        <v>2055</v>
      </c>
      <c r="C120" s="54">
        <v>45905</v>
      </c>
      <c r="D120" s="55">
        <v>49839668596</v>
      </c>
      <c r="E120" s="55">
        <v>2062592135238</v>
      </c>
      <c r="F120" s="56" t="s">
        <v>2069</v>
      </c>
      <c r="G120" s="56" t="s">
        <v>2057</v>
      </c>
      <c r="H120" s="56" t="s">
        <v>8</v>
      </c>
      <c r="I120" s="55" t="s">
        <v>8</v>
      </c>
      <c r="J120" s="57">
        <v>105.73</v>
      </c>
      <c r="K120" s="56" t="s">
        <v>2058</v>
      </c>
      <c r="L120" s="56" t="s">
        <v>2059</v>
      </c>
      <c r="M120" s="55" t="s">
        <v>2060</v>
      </c>
      <c r="N120" s="56" t="s">
        <v>2061</v>
      </c>
      <c r="O120" s="53" t="s">
        <v>8</v>
      </c>
      <c r="P120" s="56" t="s">
        <v>2070</v>
      </c>
      <c r="Q120" s="57">
        <v>10900</v>
      </c>
      <c r="R120" s="58" t="s">
        <v>8</v>
      </c>
      <c r="S120" s="57" t="s">
        <v>8</v>
      </c>
      <c r="T120" s="56" t="s">
        <v>8</v>
      </c>
    </row>
    <row r="121" spans="1:20">
      <c r="A121" s="55">
        <v>124521851915</v>
      </c>
      <c r="B121" s="53" t="s">
        <v>2055</v>
      </c>
      <c r="C121" s="54">
        <v>45905</v>
      </c>
      <c r="D121" s="55">
        <v>49840048271</v>
      </c>
      <c r="E121" s="55">
        <v>2062558632381</v>
      </c>
      <c r="F121" s="56" t="s">
        <v>2066</v>
      </c>
      <c r="G121" s="56" t="s">
        <v>2057</v>
      </c>
      <c r="H121" s="56" t="s">
        <v>8</v>
      </c>
      <c r="I121" s="55" t="s">
        <v>8</v>
      </c>
      <c r="J121" s="57">
        <v>475.53</v>
      </c>
      <c r="K121" s="56" t="s">
        <v>2058</v>
      </c>
      <c r="L121" s="56" t="s">
        <v>2067</v>
      </c>
      <c r="M121" s="55" t="s">
        <v>2060</v>
      </c>
      <c r="N121" s="56" t="s">
        <v>2061</v>
      </c>
      <c r="O121" s="53" t="s">
        <v>1790</v>
      </c>
      <c r="P121" s="56" t="s">
        <v>2068</v>
      </c>
      <c r="Q121" s="57">
        <v>12100</v>
      </c>
      <c r="R121" s="58" t="s">
        <v>8</v>
      </c>
      <c r="S121" s="57" t="s">
        <v>8</v>
      </c>
      <c r="T121" s="56" t="s">
        <v>2063</v>
      </c>
    </row>
    <row r="122" spans="1:20">
      <c r="A122" s="55">
        <v>125070585706</v>
      </c>
      <c r="B122" s="53" t="s">
        <v>2055</v>
      </c>
      <c r="C122" s="54">
        <v>45905</v>
      </c>
      <c r="D122" s="55">
        <v>49840995571</v>
      </c>
      <c r="E122" s="55">
        <v>2062615943692</v>
      </c>
      <c r="F122" s="56" t="s">
        <v>2066</v>
      </c>
      <c r="G122" s="56" t="s">
        <v>2057</v>
      </c>
      <c r="H122" s="56" t="s">
        <v>8</v>
      </c>
      <c r="I122" s="55" t="s">
        <v>8</v>
      </c>
      <c r="J122" s="57">
        <v>306.54000000000002</v>
      </c>
      <c r="K122" s="56" t="s">
        <v>2058</v>
      </c>
      <c r="L122" s="56" t="s">
        <v>2067</v>
      </c>
      <c r="M122" s="55" t="s">
        <v>2060</v>
      </c>
      <c r="N122" s="56" t="s">
        <v>2061</v>
      </c>
      <c r="O122" s="53" t="s">
        <v>1790</v>
      </c>
      <c r="P122" s="56" t="s">
        <v>2068</v>
      </c>
      <c r="Q122" s="57">
        <v>7800</v>
      </c>
      <c r="R122" s="58" t="s">
        <v>8</v>
      </c>
      <c r="S122" s="57" t="s">
        <v>8</v>
      </c>
      <c r="T122" s="56" t="s">
        <v>2063</v>
      </c>
    </row>
    <row r="123" spans="1:20">
      <c r="A123" s="55">
        <v>124525967241</v>
      </c>
      <c r="B123" s="53" t="s">
        <v>2055</v>
      </c>
      <c r="C123" s="54">
        <v>45905</v>
      </c>
      <c r="D123" s="55">
        <v>49841416398</v>
      </c>
      <c r="E123" s="55">
        <v>2062623976316</v>
      </c>
      <c r="F123" s="56" t="s">
        <v>2066</v>
      </c>
      <c r="G123" s="56" t="s">
        <v>2057</v>
      </c>
      <c r="H123" s="56" t="s">
        <v>8</v>
      </c>
      <c r="I123" s="55" t="s">
        <v>8</v>
      </c>
      <c r="J123" s="57">
        <v>168.99</v>
      </c>
      <c r="K123" s="56" t="s">
        <v>2058</v>
      </c>
      <c r="L123" s="56" t="s">
        <v>2067</v>
      </c>
      <c r="M123" s="55" t="s">
        <v>2060</v>
      </c>
      <c r="N123" s="56" t="s">
        <v>2061</v>
      </c>
      <c r="O123" s="53" t="s">
        <v>1790</v>
      </c>
      <c r="P123" s="56" t="s">
        <v>2068</v>
      </c>
      <c r="Q123" s="57">
        <v>4300</v>
      </c>
      <c r="R123" s="58" t="s">
        <v>8</v>
      </c>
      <c r="S123" s="57" t="s">
        <v>8</v>
      </c>
      <c r="T123" s="56" t="s">
        <v>2063</v>
      </c>
    </row>
    <row r="124" spans="1:20">
      <c r="A124" s="55">
        <v>124526350425</v>
      </c>
      <c r="B124" s="53" t="s">
        <v>2055</v>
      </c>
      <c r="C124" s="54">
        <v>45905</v>
      </c>
      <c r="D124" s="55">
        <v>49841488902</v>
      </c>
      <c r="E124" s="55">
        <v>2062625451344</v>
      </c>
      <c r="F124" s="56" t="s">
        <v>2056</v>
      </c>
      <c r="G124" s="56" t="s">
        <v>2057</v>
      </c>
      <c r="H124" s="56" t="s">
        <v>8</v>
      </c>
      <c r="I124" s="55" t="s">
        <v>8</v>
      </c>
      <c r="J124" s="57">
        <v>41.71</v>
      </c>
      <c r="K124" s="56" t="s">
        <v>2058</v>
      </c>
      <c r="L124" s="56" t="s">
        <v>2059</v>
      </c>
      <c r="M124" s="55" t="s">
        <v>2060</v>
      </c>
      <c r="N124" s="56" t="s">
        <v>2061</v>
      </c>
      <c r="O124" s="53" t="s">
        <v>8</v>
      </c>
      <c r="P124" s="56" t="s">
        <v>2094</v>
      </c>
      <c r="Q124" s="57">
        <v>4300</v>
      </c>
      <c r="R124" s="58" t="s">
        <v>8</v>
      </c>
      <c r="S124" s="57" t="s">
        <v>8</v>
      </c>
      <c r="T124" s="56" t="s">
        <v>2063</v>
      </c>
    </row>
    <row r="125" spans="1:20">
      <c r="A125" s="55">
        <v>125072280684</v>
      </c>
      <c r="B125" s="53" t="s">
        <v>2055</v>
      </c>
      <c r="C125" s="54">
        <v>45905</v>
      </c>
      <c r="D125" s="55">
        <v>49841568167</v>
      </c>
      <c r="E125" s="55">
        <v>2062586702479</v>
      </c>
      <c r="F125" s="56" t="s">
        <v>2069</v>
      </c>
      <c r="G125" s="56" t="s">
        <v>2057</v>
      </c>
      <c r="H125" s="56" t="s">
        <v>8</v>
      </c>
      <c r="I125" s="55" t="s">
        <v>8</v>
      </c>
      <c r="J125" s="57">
        <v>87.3</v>
      </c>
      <c r="K125" s="56" t="s">
        <v>2058</v>
      </c>
      <c r="L125" s="56" t="s">
        <v>2059</v>
      </c>
      <c r="M125" s="55" t="s">
        <v>2060</v>
      </c>
      <c r="N125" s="56" t="s">
        <v>2061</v>
      </c>
      <c r="O125" s="53" t="s">
        <v>8</v>
      </c>
      <c r="P125" s="56" t="s">
        <v>2070</v>
      </c>
      <c r="Q125" s="57">
        <v>9000</v>
      </c>
      <c r="R125" s="58" t="s">
        <v>8</v>
      </c>
      <c r="S125" s="57" t="s">
        <v>8</v>
      </c>
      <c r="T125" s="56" t="s">
        <v>8</v>
      </c>
    </row>
    <row r="126" spans="1:20">
      <c r="A126" s="55">
        <v>125072870242</v>
      </c>
      <c r="B126" s="53" t="s">
        <v>2055</v>
      </c>
      <c r="C126" s="54">
        <v>45905</v>
      </c>
      <c r="D126" s="55">
        <v>49841719788</v>
      </c>
      <c r="E126" s="55">
        <v>2062630339052</v>
      </c>
      <c r="F126" s="56" t="s">
        <v>2066</v>
      </c>
      <c r="G126" s="56" t="s">
        <v>2057</v>
      </c>
      <c r="H126" s="56" t="s">
        <v>8</v>
      </c>
      <c r="I126" s="55" t="s">
        <v>8</v>
      </c>
      <c r="J126" s="57">
        <v>353.7</v>
      </c>
      <c r="K126" s="56" t="s">
        <v>2058</v>
      </c>
      <c r="L126" s="56" t="s">
        <v>2067</v>
      </c>
      <c r="M126" s="55" t="s">
        <v>2060</v>
      </c>
      <c r="N126" s="56" t="s">
        <v>2061</v>
      </c>
      <c r="O126" s="53" t="s">
        <v>1790</v>
      </c>
      <c r="P126" s="56" t="s">
        <v>2068</v>
      </c>
      <c r="Q126" s="57">
        <v>9000</v>
      </c>
      <c r="R126" s="58" t="s">
        <v>8</v>
      </c>
      <c r="S126" s="57" t="s">
        <v>8</v>
      </c>
      <c r="T126" s="56" t="s">
        <v>2063</v>
      </c>
    </row>
    <row r="127" spans="1:20">
      <c r="A127" s="55">
        <v>125074007976</v>
      </c>
      <c r="B127" s="53" t="s">
        <v>2055</v>
      </c>
      <c r="C127" s="54">
        <v>45905</v>
      </c>
      <c r="D127" s="55">
        <v>49842178869</v>
      </c>
      <c r="E127" s="55">
        <v>2062598605267</v>
      </c>
      <c r="F127" s="56" t="s">
        <v>2066</v>
      </c>
      <c r="G127" s="56" t="s">
        <v>2057</v>
      </c>
      <c r="H127" s="56" t="s">
        <v>8</v>
      </c>
      <c r="I127" s="55" t="s">
        <v>8</v>
      </c>
      <c r="J127" s="57">
        <v>266.35000000000002</v>
      </c>
      <c r="K127" s="56" t="s">
        <v>2058</v>
      </c>
      <c r="L127" s="56" t="s">
        <v>2067</v>
      </c>
      <c r="M127" s="55" t="s">
        <v>2060</v>
      </c>
      <c r="N127" s="56" t="s">
        <v>2061</v>
      </c>
      <c r="O127" s="53" t="s">
        <v>1790</v>
      </c>
      <c r="P127" s="56" t="s">
        <v>2068</v>
      </c>
      <c r="Q127" s="57">
        <v>3500</v>
      </c>
      <c r="R127" s="58" t="s">
        <v>8</v>
      </c>
      <c r="S127" s="57" t="s">
        <v>8</v>
      </c>
      <c r="T127" s="56" t="s">
        <v>2063</v>
      </c>
    </row>
    <row r="128" spans="1:20">
      <c r="A128" s="55">
        <v>124528936881</v>
      </c>
      <c r="B128" s="53" t="s">
        <v>2055</v>
      </c>
      <c r="C128" s="54">
        <v>45905</v>
      </c>
      <c r="D128" s="55">
        <v>49842410705</v>
      </c>
      <c r="E128" s="55">
        <v>2062602744371</v>
      </c>
      <c r="F128" s="56" t="s">
        <v>2066</v>
      </c>
      <c r="G128" s="56" t="s">
        <v>2057</v>
      </c>
      <c r="H128" s="56" t="s">
        <v>8</v>
      </c>
      <c r="I128" s="55" t="s">
        <v>8</v>
      </c>
      <c r="J128" s="57">
        <v>3805</v>
      </c>
      <c r="K128" s="56" t="s">
        <v>2058</v>
      </c>
      <c r="L128" s="56" t="s">
        <v>2067</v>
      </c>
      <c r="M128" s="55" t="s">
        <v>2060</v>
      </c>
      <c r="N128" s="56" t="s">
        <v>2061</v>
      </c>
      <c r="O128" s="53" t="s">
        <v>1790</v>
      </c>
      <c r="P128" s="56" t="s">
        <v>2068</v>
      </c>
      <c r="Q128" s="57">
        <v>50000</v>
      </c>
      <c r="R128" s="58" t="s">
        <v>8</v>
      </c>
      <c r="S128" s="57" t="s">
        <v>8</v>
      </c>
      <c r="T128" s="56" t="s">
        <v>2063</v>
      </c>
    </row>
    <row r="129" spans="1:20">
      <c r="A129" s="55">
        <v>125074730376</v>
      </c>
      <c r="B129" s="53" t="s">
        <v>2055</v>
      </c>
      <c r="C129" s="54">
        <v>45905</v>
      </c>
      <c r="D129" s="55">
        <v>49842418140</v>
      </c>
      <c r="E129" s="55">
        <v>2062602790209</v>
      </c>
      <c r="F129" s="56" t="s">
        <v>2056</v>
      </c>
      <c r="G129" s="56" t="s">
        <v>2057</v>
      </c>
      <c r="H129" s="56" t="s">
        <v>8</v>
      </c>
      <c r="I129" s="55" t="s">
        <v>8</v>
      </c>
      <c r="J129" s="57">
        <v>67.900000000000006</v>
      </c>
      <c r="K129" s="56" t="s">
        <v>2058</v>
      </c>
      <c r="L129" s="56" t="s">
        <v>2059</v>
      </c>
      <c r="M129" s="55" t="s">
        <v>2060</v>
      </c>
      <c r="N129" s="56" t="s">
        <v>2061</v>
      </c>
      <c r="O129" s="53" t="s">
        <v>8</v>
      </c>
      <c r="P129" s="56" t="s">
        <v>2095</v>
      </c>
      <c r="Q129" s="57">
        <v>7000</v>
      </c>
      <c r="R129" s="58" t="s">
        <v>8</v>
      </c>
      <c r="S129" s="57" t="s">
        <v>8</v>
      </c>
      <c r="T129" s="56" t="s">
        <v>2063</v>
      </c>
    </row>
    <row r="130" spans="1:20">
      <c r="A130" s="55">
        <v>125074877368</v>
      </c>
      <c r="B130" s="53" t="s">
        <v>2055</v>
      </c>
      <c r="C130" s="54">
        <v>45905</v>
      </c>
      <c r="D130" s="55">
        <v>49842481746</v>
      </c>
      <c r="E130" s="55">
        <v>2062644565100</v>
      </c>
      <c r="F130" s="56" t="s">
        <v>2056</v>
      </c>
      <c r="G130" s="56" t="s">
        <v>2057</v>
      </c>
      <c r="H130" s="56" t="s">
        <v>8</v>
      </c>
      <c r="I130" s="55" t="s">
        <v>8</v>
      </c>
      <c r="J130" s="57">
        <v>3698.46</v>
      </c>
      <c r="K130" s="56" t="s">
        <v>2058</v>
      </c>
      <c r="L130" s="56" t="s">
        <v>2059</v>
      </c>
      <c r="M130" s="55" t="s">
        <v>2060</v>
      </c>
      <c r="N130" s="56" t="s">
        <v>2061</v>
      </c>
      <c r="O130" s="53" t="s">
        <v>8</v>
      </c>
      <c r="P130" s="56" t="s">
        <v>2096</v>
      </c>
      <c r="Q130" s="57">
        <v>48600</v>
      </c>
      <c r="R130" s="58" t="s">
        <v>8</v>
      </c>
      <c r="S130" s="57" t="s">
        <v>8</v>
      </c>
      <c r="T130" s="56" t="s">
        <v>2063</v>
      </c>
    </row>
    <row r="131" spans="1:20">
      <c r="A131" s="55">
        <v>125075109170</v>
      </c>
      <c r="B131" s="53" t="s">
        <v>2055</v>
      </c>
      <c r="C131" s="54">
        <v>45905</v>
      </c>
      <c r="D131" s="55">
        <v>49842554449</v>
      </c>
      <c r="E131" s="55">
        <v>2062605355887</v>
      </c>
      <c r="F131" s="56" t="s">
        <v>2056</v>
      </c>
      <c r="G131" s="56" t="s">
        <v>2057</v>
      </c>
      <c r="H131" s="56" t="s">
        <v>8</v>
      </c>
      <c r="I131" s="55" t="s">
        <v>8</v>
      </c>
      <c r="J131" s="57">
        <v>41.71</v>
      </c>
      <c r="K131" s="56" t="s">
        <v>2058</v>
      </c>
      <c r="L131" s="56" t="s">
        <v>2059</v>
      </c>
      <c r="M131" s="55" t="s">
        <v>2060</v>
      </c>
      <c r="N131" s="56" t="s">
        <v>2061</v>
      </c>
      <c r="O131" s="53" t="s">
        <v>8</v>
      </c>
      <c r="P131" s="56" t="s">
        <v>2097</v>
      </c>
      <c r="Q131" s="57">
        <v>4300</v>
      </c>
      <c r="R131" s="58" t="s">
        <v>8</v>
      </c>
      <c r="S131" s="57" t="s">
        <v>8</v>
      </c>
      <c r="T131" s="56" t="s">
        <v>2063</v>
      </c>
    </row>
    <row r="132" spans="1:20">
      <c r="A132" s="55">
        <v>125075403750</v>
      </c>
      <c r="B132" s="53" t="s">
        <v>2055</v>
      </c>
      <c r="C132" s="54">
        <v>45905</v>
      </c>
      <c r="D132" s="55">
        <v>49842686145</v>
      </c>
      <c r="E132" s="55">
        <v>2062607668277</v>
      </c>
      <c r="F132" s="56" t="s">
        <v>2066</v>
      </c>
      <c r="G132" s="56" t="s">
        <v>2057</v>
      </c>
      <c r="H132" s="56" t="s">
        <v>8</v>
      </c>
      <c r="I132" s="55" t="s">
        <v>8</v>
      </c>
      <c r="J132" s="57">
        <v>3264.69</v>
      </c>
      <c r="K132" s="56" t="s">
        <v>2058</v>
      </c>
      <c r="L132" s="56" t="s">
        <v>2067</v>
      </c>
      <c r="M132" s="55" t="s">
        <v>2060</v>
      </c>
      <c r="N132" s="56" t="s">
        <v>2061</v>
      </c>
      <c r="O132" s="53" t="s">
        <v>1790</v>
      </c>
      <c r="P132" s="56" t="s">
        <v>2068</v>
      </c>
      <c r="Q132" s="57">
        <v>42900</v>
      </c>
      <c r="R132" s="58" t="s">
        <v>8</v>
      </c>
      <c r="S132" s="57" t="s">
        <v>8</v>
      </c>
      <c r="T132" s="56" t="s">
        <v>2063</v>
      </c>
    </row>
    <row r="133" spans="1:20">
      <c r="A133" s="55">
        <v>124529807091</v>
      </c>
      <c r="B133" s="53" t="s">
        <v>2055</v>
      </c>
      <c r="C133" s="54">
        <v>45905</v>
      </c>
      <c r="D133" s="55">
        <v>49842754168</v>
      </c>
      <c r="E133" s="55">
        <v>2062609601523</v>
      </c>
      <c r="F133" s="56" t="s">
        <v>2056</v>
      </c>
      <c r="G133" s="56" t="s">
        <v>2057</v>
      </c>
      <c r="H133" s="56" t="s">
        <v>8</v>
      </c>
      <c r="I133" s="55" t="s">
        <v>8</v>
      </c>
      <c r="J133" s="57">
        <v>127.14</v>
      </c>
      <c r="K133" s="56" t="s">
        <v>2058</v>
      </c>
      <c r="L133" s="56" t="s">
        <v>2059</v>
      </c>
      <c r="M133" s="55" t="s">
        <v>2060</v>
      </c>
      <c r="N133" s="56" t="s">
        <v>2061</v>
      </c>
      <c r="O133" s="53" t="s">
        <v>8</v>
      </c>
      <c r="P133" s="56" t="s">
        <v>2098</v>
      </c>
      <c r="Q133" s="57">
        <v>7800</v>
      </c>
      <c r="R133" s="58" t="s">
        <v>8</v>
      </c>
      <c r="S133" s="57" t="s">
        <v>8</v>
      </c>
      <c r="T133" s="56" t="s">
        <v>2063</v>
      </c>
    </row>
    <row r="134" spans="1:20">
      <c r="A134" s="55">
        <v>125076566722</v>
      </c>
      <c r="B134" s="53" t="s">
        <v>2055</v>
      </c>
      <c r="C134" s="54">
        <v>45905</v>
      </c>
      <c r="D134" s="55">
        <v>49843022734</v>
      </c>
      <c r="E134" s="55">
        <v>2062655063406</v>
      </c>
      <c r="F134" s="56" t="s">
        <v>2066</v>
      </c>
      <c r="G134" s="56" t="s">
        <v>2057</v>
      </c>
      <c r="H134" s="56" t="s">
        <v>8</v>
      </c>
      <c r="I134" s="55" t="s">
        <v>8</v>
      </c>
      <c r="J134" s="57">
        <v>585.57000000000005</v>
      </c>
      <c r="K134" s="56" t="s">
        <v>2058</v>
      </c>
      <c r="L134" s="56" t="s">
        <v>2067</v>
      </c>
      <c r="M134" s="55" t="s">
        <v>2060</v>
      </c>
      <c r="N134" s="56" t="s">
        <v>2061</v>
      </c>
      <c r="O134" s="53" t="s">
        <v>1790</v>
      </c>
      <c r="P134" s="56" t="s">
        <v>2068</v>
      </c>
      <c r="Q134" s="57">
        <v>14900</v>
      </c>
      <c r="R134" s="58" t="s">
        <v>8</v>
      </c>
      <c r="S134" s="57" t="s">
        <v>8</v>
      </c>
      <c r="T134" s="56" t="s">
        <v>2063</v>
      </c>
    </row>
    <row r="135" spans="1:20">
      <c r="A135" s="55">
        <v>124531770681</v>
      </c>
      <c r="B135" s="53" t="s">
        <v>2055</v>
      </c>
      <c r="C135" s="54">
        <v>45905</v>
      </c>
      <c r="D135" s="55">
        <v>49843455243</v>
      </c>
      <c r="E135" s="55">
        <v>2062662165258</v>
      </c>
      <c r="F135" s="56" t="s">
        <v>2056</v>
      </c>
      <c r="G135" s="56" t="s">
        <v>2057</v>
      </c>
      <c r="H135" s="56" t="s">
        <v>8</v>
      </c>
      <c r="I135" s="55" t="s">
        <v>8</v>
      </c>
      <c r="J135" s="57">
        <v>400.61</v>
      </c>
      <c r="K135" s="56" t="s">
        <v>2058</v>
      </c>
      <c r="L135" s="56" t="s">
        <v>2059</v>
      </c>
      <c r="M135" s="55" t="s">
        <v>2060</v>
      </c>
      <c r="N135" s="56" t="s">
        <v>2061</v>
      </c>
      <c r="O135" s="53" t="s">
        <v>8</v>
      </c>
      <c r="P135" s="56" t="s">
        <v>2099</v>
      </c>
      <c r="Q135" s="57">
        <v>41300</v>
      </c>
      <c r="R135" s="58" t="s">
        <v>8</v>
      </c>
      <c r="S135" s="57" t="s">
        <v>8</v>
      </c>
      <c r="T135" s="56" t="s">
        <v>2063</v>
      </c>
    </row>
    <row r="136" spans="1:20">
      <c r="A136" s="55">
        <v>125077701916</v>
      </c>
      <c r="B136" s="53" t="s">
        <v>2055</v>
      </c>
      <c r="C136" s="54">
        <v>45905</v>
      </c>
      <c r="D136" s="55">
        <v>49843520018</v>
      </c>
      <c r="E136" s="55">
        <v>2062663766502</v>
      </c>
      <c r="F136" s="56" t="s">
        <v>2066</v>
      </c>
      <c r="G136" s="56" t="s">
        <v>2057</v>
      </c>
      <c r="H136" s="56" t="s">
        <v>8</v>
      </c>
      <c r="I136" s="55" t="s">
        <v>8</v>
      </c>
      <c r="J136" s="57">
        <v>4150.08</v>
      </c>
      <c r="K136" s="56" t="s">
        <v>2058</v>
      </c>
      <c r="L136" s="56" t="s">
        <v>2067</v>
      </c>
      <c r="M136" s="55" t="s">
        <v>2060</v>
      </c>
      <c r="N136" s="56" t="s">
        <v>2061</v>
      </c>
      <c r="O136" s="53" t="s">
        <v>1790</v>
      </c>
      <c r="P136" s="56" t="s">
        <v>2068</v>
      </c>
      <c r="Q136" s="57">
        <v>105600</v>
      </c>
      <c r="R136" s="58" t="s">
        <v>8</v>
      </c>
      <c r="S136" s="57" t="s">
        <v>8</v>
      </c>
      <c r="T136" s="56" t="s">
        <v>2063</v>
      </c>
    </row>
    <row r="137" spans="1:20">
      <c r="A137" s="55">
        <v>124533578613</v>
      </c>
      <c r="B137" s="53" t="s">
        <v>2055</v>
      </c>
      <c r="C137" s="54">
        <v>45905</v>
      </c>
      <c r="D137" s="55">
        <v>49844074171</v>
      </c>
      <c r="E137" s="55">
        <v>2062674916004</v>
      </c>
      <c r="F137" s="56" t="s">
        <v>2056</v>
      </c>
      <c r="G137" s="56" t="s">
        <v>2057</v>
      </c>
      <c r="H137" s="56" t="s">
        <v>8</v>
      </c>
      <c r="I137" s="55" t="s">
        <v>8</v>
      </c>
      <c r="J137" s="57">
        <v>305.55</v>
      </c>
      <c r="K137" s="56" t="s">
        <v>2058</v>
      </c>
      <c r="L137" s="56" t="s">
        <v>2059</v>
      </c>
      <c r="M137" s="55" t="s">
        <v>2060</v>
      </c>
      <c r="N137" s="56" t="s">
        <v>2061</v>
      </c>
      <c r="O137" s="53" t="s">
        <v>8</v>
      </c>
      <c r="P137" s="56" t="s">
        <v>2100</v>
      </c>
      <c r="Q137" s="57">
        <v>31500</v>
      </c>
      <c r="R137" s="58" t="s">
        <v>8</v>
      </c>
      <c r="S137" s="57" t="s">
        <v>8</v>
      </c>
      <c r="T137" s="56" t="s">
        <v>2063</v>
      </c>
    </row>
    <row r="138" spans="1:20">
      <c r="A138" s="55">
        <v>125080148776</v>
      </c>
      <c r="B138" s="53" t="s">
        <v>2055</v>
      </c>
      <c r="C138" s="54">
        <v>45905</v>
      </c>
      <c r="D138" s="55">
        <v>49844364577</v>
      </c>
      <c r="E138" s="55">
        <v>2062639840629</v>
      </c>
      <c r="F138" s="56" t="s">
        <v>2066</v>
      </c>
      <c r="G138" s="56" t="s">
        <v>2057</v>
      </c>
      <c r="H138" s="56" t="s">
        <v>8</v>
      </c>
      <c r="I138" s="55" t="s">
        <v>8</v>
      </c>
      <c r="J138" s="57">
        <v>1643.76</v>
      </c>
      <c r="K138" s="56" t="s">
        <v>2058</v>
      </c>
      <c r="L138" s="56" t="s">
        <v>2067</v>
      </c>
      <c r="M138" s="55" t="s">
        <v>2060</v>
      </c>
      <c r="N138" s="56" t="s">
        <v>2061</v>
      </c>
      <c r="O138" s="53" t="s">
        <v>1790</v>
      </c>
      <c r="P138" s="56" t="s">
        <v>2068</v>
      </c>
      <c r="Q138" s="57">
        <v>21600</v>
      </c>
      <c r="R138" s="58" t="s">
        <v>8</v>
      </c>
      <c r="S138" s="57" t="s">
        <v>8</v>
      </c>
      <c r="T138" s="56" t="s">
        <v>2063</v>
      </c>
    </row>
    <row r="139" spans="1:20">
      <c r="A139" s="55">
        <v>124534512559</v>
      </c>
      <c r="B139" s="53" t="s">
        <v>2055</v>
      </c>
      <c r="C139" s="54">
        <v>45905</v>
      </c>
      <c r="D139" s="55">
        <v>49844418444</v>
      </c>
      <c r="E139" s="55">
        <v>2062681500874</v>
      </c>
      <c r="F139" s="56" t="s">
        <v>2056</v>
      </c>
      <c r="G139" s="56" t="s">
        <v>2057</v>
      </c>
      <c r="H139" s="56" t="s">
        <v>8</v>
      </c>
      <c r="I139" s="55" t="s">
        <v>8</v>
      </c>
      <c r="J139" s="57">
        <v>588.79</v>
      </c>
      <c r="K139" s="56" t="s">
        <v>2058</v>
      </c>
      <c r="L139" s="56" t="s">
        <v>2059</v>
      </c>
      <c r="M139" s="55" t="s">
        <v>2060</v>
      </c>
      <c r="N139" s="56" t="s">
        <v>2061</v>
      </c>
      <c r="O139" s="53" t="s">
        <v>8</v>
      </c>
      <c r="P139" s="56" t="s">
        <v>2101</v>
      </c>
      <c r="Q139" s="57">
        <v>60700</v>
      </c>
      <c r="R139" s="58" t="s">
        <v>8</v>
      </c>
      <c r="S139" s="57" t="s">
        <v>8</v>
      </c>
      <c r="T139" s="56" t="s">
        <v>2063</v>
      </c>
    </row>
    <row r="140" spans="1:20">
      <c r="A140" s="55">
        <v>125080564580</v>
      </c>
      <c r="B140" s="53" t="s">
        <v>2055</v>
      </c>
      <c r="C140" s="54">
        <v>45905</v>
      </c>
      <c r="D140" s="55">
        <v>49844474121</v>
      </c>
      <c r="E140" s="55">
        <v>2062682804126</v>
      </c>
      <c r="F140" s="56" t="s">
        <v>2066</v>
      </c>
      <c r="G140" s="56" t="s">
        <v>2057</v>
      </c>
      <c r="H140" s="56" t="s">
        <v>8</v>
      </c>
      <c r="I140" s="55" t="s">
        <v>8</v>
      </c>
      <c r="J140" s="57">
        <v>679.89</v>
      </c>
      <c r="K140" s="56" t="s">
        <v>2058</v>
      </c>
      <c r="L140" s="56" t="s">
        <v>2067</v>
      </c>
      <c r="M140" s="55" t="s">
        <v>2060</v>
      </c>
      <c r="N140" s="56" t="s">
        <v>2061</v>
      </c>
      <c r="O140" s="53" t="s">
        <v>1790</v>
      </c>
      <c r="P140" s="56" t="s">
        <v>2068</v>
      </c>
      <c r="Q140" s="57">
        <v>17300</v>
      </c>
      <c r="R140" s="58" t="s">
        <v>8</v>
      </c>
      <c r="S140" s="57" t="s">
        <v>8</v>
      </c>
      <c r="T140" s="56" t="s">
        <v>2063</v>
      </c>
    </row>
    <row r="141" spans="1:20">
      <c r="A141" s="55">
        <v>125081323764</v>
      </c>
      <c r="B141" s="53" t="s">
        <v>2055</v>
      </c>
      <c r="C141" s="54">
        <v>45905</v>
      </c>
      <c r="D141" s="55">
        <v>49844778088</v>
      </c>
      <c r="E141" s="55">
        <v>2062688176956</v>
      </c>
      <c r="F141" s="56" t="s">
        <v>2066</v>
      </c>
      <c r="G141" s="56" t="s">
        <v>2057</v>
      </c>
      <c r="H141" s="56" t="s">
        <v>8</v>
      </c>
      <c r="I141" s="55" t="s">
        <v>8</v>
      </c>
      <c r="J141" s="57">
        <v>365.49</v>
      </c>
      <c r="K141" s="56" t="s">
        <v>2058</v>
      </c>
      <c r="L141" s="56" t="s">
        <v>2067</v>
      </c>
      <c r="M141" s="55" t="s">
        <v>2060</v>
      </c>
      <c r="N141" s="56" t="s">
        <v>2061</v>
      </c>
      <c r="O141" s="53" t="s">
        <v>1790</v>
      </c>
      <c r="P141" s="56" t="s">
        <v>2068</v>
      </c>
      <c r="Q141" s="57">
        <v>9300</v>
      </c>
      <c r="R141" s="58" t="s">
        <v>8</v>
      </c>
      <c r="S141" s="57" t="s">
        <v>8</v>
      </c>
      <c r="T141" s="56" t="s">
        <v>2063</v>
      </c>
    </row>
    <row r="142" spans="1:20">
      <c r="A142" s="55">
        <v>125082018504</v>
      </c>
      <c r="B142" s="53" t="s">
        <v>2055</v>
      </c>
      <c r="C142" s="54">
        <v>45905</v>
      </c>
      <c r="D142" s="55">
        <v>49845044690</v>
      </c>
      <c r="E142" s="55">
        <v>2062693264252</v>
      </c>
      <c r="F142" s="56" t="s">
        <v>2056</v>
      </c>
      <c r="G142" s="56" t="s">
        <v>2057</v>
      </c>
      <c r="H142" s="56" t="s">
        <v>8</v>
      </c>
      <c r="I142" s="55" t="s">
        <v>8</v>
      </c>
      <c r="J142" s="57">
        <v>356.96</v>
      </c>
      <c r="K142" s="56" t="s">
        <v>2058</v>
      </c>
      <c r="L142" s="56" t="s">
        <v>2059</v>
      </c>
      <c r="M142" s="55" t="s">
        <v>2060</v>
      </c>
      <c r="N142" s="56" t="s">
        <v>2061</v>
      </c>
      <c r="O142" s="53" t="s">
        <v>8</v>
      </c>
      <c r="P142" s="56" t="s">
        <v>2102</v>
      </c>
      <c r="Q142" s="57">
        <v>36800</v>
      </c>
      <c r="R142" s="58" t="s">
        <v>8</v>
      </c>
      <c r="S142" s="57" t="s">
        <v>8</v>
      </c>
      <c r="T142" s="56" t="s">
        <v>2063</v>
      </c>
    </row>
    <row r="143" spans="1:20">
      <c r="A143" s="55">
        <v>125083042824</v>
      </c>
      <c r="B143" s="53" t="s">
        <v>2055</v>
      </c>
      <c r="C143" s="54">
        <v>45905</v>
      </c>
      <c r="D143" s="55">
        <v>49845415536</v>
      </c>
      <c r="E143" s="55">
        <v>2062660083947</v>
      </c>
      <c r="F143" s="56" t="s">
        <v>2056</v>
      </c>
      <c r="G143" s="56" t="s">
        <v>2057</v>
      </c>
      <c r="H143" s="56" t="s">
        <v>8</v>
      </c>
      <c r="I143" s="55" t="s">
        <v>8</v>
      </c>
      <c r="J143" s="57">
        <v>113.49</v>
      </c>
      <c r="K143" s="56" t="s">
        <v>2058</v>
      </c>
      <c r="L143" s="56" t="s">
        <v>2059</v>
      </c>
      <c r="M143" s="55" t="s">
        <v>2060</v>
      </c>
      <c r="N143" s="56" t="s">
        <v>2061</v>
      </c>
      <c r="O143" s="53" t="s">
        <v>8</v>
      </c>
      <c r="P143" s="56" t="s">
        <v>2103</v>
      </c>
      <c r="Q143" s="57">
        <v>11700</v>
      </c>
      <c r="R143" s="58" t="s">
        <v>8</v>
      </c>
      <c r="S143" s="57" t="s">
        <v>8</v>
      </c>
      <c r="T143" s="56" t="s">
        <v>2063</v>
      </c>
    </row>
    <row r="144" spans="1:20">
      <c r="A144" s="55">
        <v>124538079727</v>
      </c>
      <c r="B144" s="53" t="s">
        <v>2055</v>
      </c>
      <c r="C144" s="54">
        <v>45905</v>
      </c>
      <c r="D144" s="55">
        <v>49845731915</v>
      </c>
      <c r="E144" s="55">
        <v>2062667277687</v>
      </c>
      <c r="F144" s="56" t="s">
        <v>2066</v>
      </c>
      <c r="G144" s="56" t="s">
        <v>2057</v>
      </c>
      <c r="H144" s="56" t="s">
        <v>8</v>
      </c>
      <c r="I144" s="55" t="s">
        <v>8</v>
      </c>
      <c r="J144" s="57">
        <v>153.27000000000001</v>
      </c>
      <c r="K144" s="56" t="s">
        <v>2058</v>
      </c>
      <c r="L144" s="56" t="s">
        <v>2067</v>
      </c>
      <c r="M144" s="55" t="s">
        <v>2060</v>
      </c>
      <c r="N144" s="56" t="s">
        <v>2061</v>
      </c>
      <c r="O144" s="53" t="s">
        <v>1790</v>
      </c>
      <c r="P144" s="56" t="s">
        <v>2068</v>
      </c>
      <c r="Q144" s="57">
        <v>3900</v>
      </c>
      <c r="R144" s="58" t="s">
        <v>8</v>
      </c>
      <c r="S144" s="57" t="s">
        <v>8</v>
      </c>
      <c r="T144" s="56" t="s">
        <v>2063</v>
      </c>
    </row>
    <row r="145" spans="1:20">
      <c r="A145" s="55">
        <v>124538330471</v>
      </c>
      <c r="B145" s="53" t="s">
        <v>2055</v>
      </c>
      <c r="C145" s="54">
        <v>45905</v>
      </c>
      <c r="D145" s="55">
        <v>49845790724</v>
      </c>
      <c r="E145" s="55">
        <v>2062708601774</v>
      </c>
      <c r="F145" s="56" t="s">
        <v>2056</v>
      </c>
      <c r="G145" s="56" t="s">
        <v>2057</v>
      </c>
      <c r="H145" s="56" t="s">
        <v>8</v>
      </c>
      <c r="I145" s="55" t="s">
        <v>8</v>
      </c>
      <c r="J145" s="57">
        <v>67.900000000000006</v>
      </c>
      <c r="K145" s="56" t="s">
        <v>2058</v>
      </c>
      <c r="L145" s="56" t="s">
        <v>2059</v>
      </c>
      <c r="M145" s="55" t="s">
        <v>2060</v>
      </c>
      <c r="N145" s="56" t="s">
        <v>2061</v>
      </c>
      <c r="O145" s="53" t="s">
        <v>8</v>
      </c>
      <c r="P145" s="56" t="s">
        <v>2104</v>
      </c>
      <c r="Q145" s="57">
        <v>7000</v>
      </c>
      <c r="R145" s="58" t="s">
        <v>8</v>
      </c>
      <c r="S145" s="57" t="s">
        <v>8</v>
      </c>
      <c r="T145" s="56" t="s">
        <v>2063</v>
      </c>
    </row>
    <row r="146" spans="1:20">
      <c r="A146" s="55">
        <v>125084267116</v>
      </c>
      <c r="B146" s="53" t="s">
        <v>2055</v>
      </c>
      <c r="C146" s="54">
        <v>45905</v>
      </c>
      <c r="D146" s="55">
        <v>49845852744</v>
      </c>
      <c r="E146" s="55">
        <v>2062669446937</v>
      </c>
      <c r="F146" s="56" t="s">
        <v>2066</v>
      </c>
      <c r="G146" s="56" t="s">
        <v>2057</v>
      </c>
      <c r="H146" s="56" t="s">
        <v>8</v>
      </c>
      <c r="I146" s="55" t="s">
        <v>8</v>
      </c>
      <c r="J146" s="57">
        <v>609.15</v>
      </c>
      <c r="K146" s="56" t="s">
        <v>2058</v>
      </c>
      <c r="L146" s="56" t="s">
        <v>2067</v>
      </c>
      <c r="M146" s="55" t="s">
        <v>2060</v>
      </c>
      <c r="N146" s="56" t="s">
        <v>2061</v>
      </c>
      <c r="O146" s="53" t="s">
        <v>1790</v>
      </c>
      <c r="P146" s="56" t="s">
        <v>2068</v>
      </c>
      <c r="Q146" s="57">
        <v>15500</v>
      </c>
      <c r="R146" s="58" t="s">
        <v>8</v>
      </c>
      <c r="S146" s="57" t="s">
        <v>8</v>
      </c>
      <c r="T146" s="56" t="s">
        <v>2063</v>
      </c>
    </row>
    <row r="147" spans="1:20">
      <c r="A147" s="55">
        <v>124538747357</v>
      </c>
      <c r="B147" s="53" t="s">
        <v>2055</v>
      </c>
      <c r="C147" s="54">
        <v>45905</v>
      </c>
      <c r="D147" s="55">
        <v>49845951211</v>
      </c>
      <c r="E147" s="55">
        <v>2062671498327</v>
      </c>
      <c r="F147" s="56" t="s">
        <v>2066</v>
      </c>
      <c r="G147" s="56" t="s">
        <v>2057</v>
      </c>
      <c r="H147" s="56" t="s">
        <v>8</v>
      </c>
      <c r="I147" s="55" t="s">
        <v>8</v>
      </c>
      <c r="J147" s="57">
        <v>1367.64</v>
      </c>
      <c r="K147" s="56" t="s">
        <v>2058</v>
      </c>
      <c r="L147" s="56" t="s">
        <v>2067</v>
      </c>
      <c r="M147" s="55" t="s">
        <v>2060</v>
      </c>
      <c r="N147" s="56" t="s">
        <v>2061</v>
      </c>
      <c r="O147" s="53" t="s">
        <v>1790</v>
      </c>
      <c r="P147" s="56" t="s">
        <v>2068</v>
      </c>
      <c r="Q147" s="57">
        <v>34800</v>
      </c>
      <c r="R147" s="58" t="s">
        <v>8</v>
      </c>
      <c r="S147" s="57" t="s">
        <v>8</v>
      </c>
      <c r="T147" s="56" t="s">
        <v>2063</v>
      </c>
    </row>
    <row r="148" spans="1:20">
      <c r="A148" s="55">
        <v>125084844014</v>
      </c>
      <c r="B148" s="53" t="s">
        <v>2055</v>
      </c>
      <c r="C148" s="54">
        <v>45905</v>
      </c>
      <c r="D148" s="55">
        <v>49846077996</v>
      </c>
      <c r="E148" s="55">
        <v>2062714245948</v>
      </c>
      <c r="F148" s="56" t="s">
        <v>2056</v>
      </c>
      <c r="G148" s="56" t="s">
        <v>2057</v>
      </c>
      <c r="H148" s="56" t="s">
        <v>8</v>
      </c>
      <c r="I148" s="55" t="s">
        <v>8</v>
      </c>
      <c r="J148" s="57">
        <v>41.71</v>
      </c>
      <c r="K148" s="56" t="s">
        <v>2058</v>
      </c>
      <c r="L148" s="56" t="s">
        <v>2059</v>
      </c>
      <c r="M148" s="55" t="s">
        <v>2060</v>
      </c>
      <c r="N148" s="56" t="s">
        <v>2061</v>
      </c>
      <c r="O148" s="53" t="s">
        <v>8</v>
      </c>
      <c r="P148" s="56" t="s">
        <v>2105</v>
      </c>
      <c r="Q148" s="57">
        <v>4300</v>
      </c>
      <c r="R148" s="58" t="s">
        <v>8</v>
      </c>
      <c r="S148" s="57" t="s">
        <v>8</v>
      </c>
      <c r="T148" s="56" t="s">
        <v>2063</v>
      </c>
    </row>
    <row r="149" spans="1:20">
      <c r="A149" s="55">
        <v>125085549984</v>
      </c>
      <c r="B149" s="53" t="s">
        <v>2055</v>
      </c>
      <c r="C149" s="54">
        <v>45905</v>
      </c>
      <c r="D149" s="55">
        <v>49846297717</v>
      </c>
      <c r="E149" s="55">
        <v>2062678977145</v>
      </c>
      <c r="F149" s="56" t="s">
        <v>2066</v>
      </c>
      <c r="G149" s="56" t="s">
        <v>2057</v>
      </c>
      <c r="H149" s="56" t="s">
        <v>8</v>
      </c>
      <c r="I149" s="55" t="s">
        <v>8</v>
      </c>
      <c r="J149" s="57">
        <v>1634.88</v>
      </c>
      <c r="K149" s="56" t="s">
        <v>2058</v>
      </c>
      <c r="L149" s="56" t="s">
        <v>2067</v>
      </c>
      <c r="M149" s="55" t="s">
        <v>2060</v>
      </c>
      <c r="N149" s="56" t="s">
        <v>2061</v>
      </c>
      <c r="O149" s="53" t="s">
        <v>1790</v>
      </c>
      <c r="P149" s="56" t="s">
        <v>2068</v>
      </c>
      <c r="Q149" s="57">
        <v>41600</v>
      </c>
      <c r="R149" s="58" t="s">
        <v>8</v>
      </c>
      <c r="S149" s="57" t="s">
        <v>8</v>
      </c>
      <c r="T149" s="56" t="s">
        <v>2063</v>
      </c>
    </row>
    <row r="150" spans="1:20">
      <c r="A150" s="55">
        <v>125085738014</v>
      </c>
      <c r="B150" s="53" t="s">
        <v>2055</v>
      </c>
      <c r="C150" s="54">
        <v>45905</v>
      </c>
      <c r="D150" s="55">
        <v>49846367719</v>
      </c>
      <c r="E150" s="55">
        <v>2062680295349</v>
      </c>
      <c r="F150" s="56" t="s">
        <v>2056</v>
      </c>
      <c r="G150" s="56" t="s">
        <v>2057</v>
      </c>
      <c r="H150" s="56" t="s">
        <v>8</v>
      </c>
      <c r="I150" s="55" t="s">
        <v>8</v>
      </c>
      <c r="J150" s="57">
        <v>270.63</v>
      </c>
      <c r="K150" s="56" t="s">
        <v>2058</v>
      </c>
      <c r="L150" s="56" t="s">
        <v>2059</v>
      </c>
      <c r="M150" s="55" t="s">
        <v>2060</v>
      </c>
      <c r="N150" s="56" t="s">
        <v>2061</v>
      </c>
      <c r="O150" s="53" t="s">
        <v>8</v>
      </c>
      <c r="P150" s="56" t="s">
        <v>2106</v>
      </c>
      <c r="Q150" s="57">
        <v>27900</v>
      </c>
      <c r="R150" s="58" t="s">
        <v>8</v>
      </c>
      <c r="S150" s="57" t="s">
        <v>8</v>
      </c>
      <c r="T150" s="56" t="s">
        <v>2063</v>
      </c>
    </row>
    <row r="151" spans="1:20">
      <c r="A151" s="55">
        <v>124540015625</v>
      </c>
      <c r="B151" s="53" t="s">
        <v>2055</v>
      </c>
      <c r="C151" s="54">
        <v>45905</v>
      </c>
      <c r="D151" s="55">
        <v>49846422962</v>
      </c>
      <c r="E151" s="55">
        <v>2062681797047</v>
      </c>
      <c r="F151" s="56" t="s">
        <v>2107</v>
      </c>
      <c r="G151" s="56" t="s">
        <v>2057</v>
      </c>
      <c r="H151" s="56" t="s">
        <v>8</v>
      </c>
      <c r="I151" s="55" t="s">
        <v>8</v>
      </c>
      <c r="J151" s="57">
        <v>1932.94</v>
      </c>
      <c r="K151" s="56" t="s">
        <v>2058</v>
      </c>
      <c r="L151" s="56" t="s">
        <v>2059</v>
      </c>
      <c r="M151" s="55" t="s">
        <v>2060</v>
      </c>
      <c r="N151" s="56" t="s">
        <v>2061</v>
      </c>
      <c r="O151" s="53" t="s">
        <v>8</v>
      </c>
      <c r="P151" s="56" t="s">
        <v>2108</v>
      </c>
      <c r="Q151" s="57">
        <v>25400</v>
      </c>
      <c r="R151" s="58" t="s">
        <v>8</v>
      </c>
      <c r="S151" s="57" t="s">
        <v>8</v>
      </c>
      <c r="T151" s="56" t="s">
        <v>2063</v>
      </c>
    </row>
    <row r="152" spans="1:20">
      <c r="A152" s="55">
        <v>124540352665</v>
      </c>
      <c r="B152" s="53" t="s">
        <v>2055</v>
      </c>
      <c r="C152" s="54">
        <v>45905</v>
      </c>
      <c r="D152" s="55">
        <v>49846544940</v>
      </c>
      <c r="E152" s="55">
        <v>2062723943806</v>
      </c>
      <c r="F152" s="56" t="s">
        <v>2066</v>
      </c>
      <c r="G152" s="56" t="s">
        <v>2057</v>
      </c>
      <c r="H152" s="56" t="s">
        <v>8</v>
      </c>
      <c r="I152" s="55" t="s">
        <v>8</v>
      </c>
      <c r="J152" s="57">
        <v>1477.68</v>
      </c>
      <c r="K152" s="56" t="s">
        <v>2058</v>
      </c>
      <c r="L152" s="56" t="s">
        <v>2067</v>
      </c>
      <c r="M152" s="55" t="s">
        <v>2060</v>
      </c>
      <c r="N152" s="56" t="s">
        <v>2061</v>
      </c>
      <c r="O152" s="53" t="s">
        <v>1790</v>
      </c>
      <c r="P152" s="56" t="s">
        <v>2068</v>
      </c>
      <c r="Q152" s="57">
        <v>37600</v>
      </c>
      <c r="R152" s="58" t="s">
        <v>8</v>
      </c>
      <c r="S152" s="57" t="s">
        <v>8</v>
      </c>
      <c r="T152" s="56" t="s">
        <v>2063</v>
      </c>
    </row>
    <row r="153" spans="1:20">
      <c r="A153" s="55">
        <v>124540445571</v>
      </c>
      <c r="B153" s="53" t="s">
        <v>2055</v>
      </c>
      <c r="C153" s="54">
        <v>45905</v>
      </c>
      <c r="D153" s="55">
        <v>49846590300</v>
      </c>
      <c r="E153" s="55">
        <v>2062684989105</v>
      </c>
      <c r="F153" s="56" t="s">
        <v>2056</v>
      </c>
      <c r="G153" s="56" t="s">
        <v>2057</v>
      </c>
      <c r="H153" s="56" t="s">
        <v>8</v>
      </c>
      <c r="I153" s="55" t="s">
        <v>8</v>
      </c>
      <c r="J153" s="57">
        <v>476.27</v>
      </c>
      <c r="K153" s="56" t="s">
        <v>2058</v>
      </c>
      <c r="L153" s="56" t="s">
        <v>2059</v>
      </c>
      <c r="M153" s="55" t="s">
        <v>2060</v>
      </c>
      <c r="N153" s="56" t="s">
        <v>2061</v>
      </c>
      <c r="O153" s="53" t="s">
        <v>8</v>
      </c>
      <c r="P153" s="56" t="s">
        <v>2109</v>
      </c>
      <c r="Q153" s="57">
        <v>49100</v>
      </c>
      <c r="R153" s="58" t="s">
        <v>8</v>
      </c>
      <c r="S153" s="57" t="s">
        <v>8</v>
      </c>
      <c r="T153" s="56" t="s">
        <v>2063</v>
      </c>
    </row>
    <row r="154" spans="1:20">
      <c r="A154" s="55">
        <v>124541219739</v>
      </c>
      <c r="B154" s="53" t="s">
        <v>2055</v>
      </c>
      <c r="C154" s="54">
        <v>45905</v>
      </c>
      <c r="D154" s="55">
        <v>49846898442</v>
      </c>
      <c r="E154" s="55">
        <v>2062691219039</v>
      </c>
      <c r="F154" s="56" t="s">
        <v>2066</v>
      </c>
      <c r="G154" s="56" t="s">
        <v>2057</v>
      </c>
      <c r="H154" s="56" t="s">
        <v>8</v>
      </c>
      <c r="I154" s="55" t="s">
        <v>8</v>
      </c>
      <c r="J154" s="57">
        <v>703.47</v>
      </c>
      <c r="K154" s="56" t="s">
        <v>2058</v>
      </c>
      <c r="L154" s="56" t="s">
        <v>2067</v>
      </c>
      <c r="M154" s="55" t="s">
        <v>2060</v>
      </c>
      <c r="N154" s="56" t="s">
        <v>2061</v>
      </c>
      <c r="O154" s="53" t="s">
        <v>1790</v>
      </c>
      <c r="P154" s="56" t="s">
        <v>2068</v>
      </c>
      <c r="Q154" s="57">
        <v>17900</v>
      </c>
      <c r="R154" s="58" t="s">
        <v>8</v>
      </c>
      <c r="S154" s="57" t="s">
        <v>8</v>
      </c>
      <c r="T154" s="56" t="s">
        <v>2063</v>
      </c>
    </row>
    <row r="155" spans="1:20">
      <c r="A155" s="55">
        <v>124541482575</v>
      </c>
      <c r="B155" s="53" t="s">
        <v>2055</v>
      </c>
      <c r="C155" s="54">
        <v>45905</v>
      </c>
      <c r="D155" s="55">
        <v>49846964703</v>
      </c>
      <c r="E155" s="55">
        <v>2062692699255</v>
      </c>
      <c r="F155" s="56" t="s">
        <v>2066</v>
      </c>
      <c r="G155" s="56" t="s">
        <v>2057</v>
      </c>
      <c r="H155" s="56" t="s">
        <v>8</v>
      </c>
      <c r="I155" s="55" t="s">
        <v>8</v>
      </c>
      <c r="J155" s="57">
        <v>1214.3699999999999</v>
      </c>
      <c r="K155" s="56" t="s">
        <v>2058</v>
      </c>
      <c r="L155" s="56" t="s">
        <v>2067</v>
      </c>
      <c r="M155" s="55" t="s">
        <v>2060</v>
      </c>
      <c r="N155" s="56" t="s">
        <v>2061</v>
      </c>
      <c r="O155" s="53" t="s">
        <v>1790</v>
      </c>
      <c r="P155" s="56" t="s">
        <v>2068</v>
      </c>
      <c r="Q155" s="57">
        <v>30900</v>
      </c>
      <c r="R155" s="58" t="s">
        <v>8</v>
      </c>
      <c r="S155" s="57" t="s">
        <v>8</v>
      </c>
      <c r="T155" s="56" t="s">
        <v>2063</v>
      </c>
    </row>
    <row r="156" spans="1:20">
      <c r="A156" s="55">
        <v>124541581193</v>
      </c>
      <c r="B156" s="53" t="s">
        <v>2055</v>
      </c>
      <c r="C156" s="54">
        <v>45905</v>
      </c>
      <c r="D156" s="55">
        <v>49847014711</v>
      </c>
      <c r="E156" s="55">
        <v>2062733850342</v>
      </c>
      <c r="F156" s="56" t="s">
        <v>2066</v>
      </c>
      <c r="G156" s="56" t="s">
        <v>2057</v>
      </c>
      <c r="H156" s="56" t="s">
        <v>8</v>
      </c>
      <c r="I156" s="55" t="s">
        <v>8</v>
      </c>
      <c r="J156" s="57">
        <v>1675.26</v>
      </c>
      <c r="K156" s="56" t="s">
        <v>2058</v>
      </c>
      <c r="L156" s="56" t="s">
        <v>2067</v>
      </c>
      <c r="M156" s="55" t="s">
        <v>2060</v>
      </c>
      <c r="N156" s="56" t="s">
        <v>2061</v>
      </c>
      <c r="O156" s="53" t="s">
        <v>1790</v>
      </c>
      <c r="P156" s="56" t="s">
        <v>2068</v>
      </c>
      <c r="Q156" s="57">
        <v>36900</v>
      </c>
      <c r="R156" s="58" t="s">
        <v>8</v>
      </c>
      <c r="S156" s="57" t="s">
        <v>8</v>
      </c>
      <c r="T156" s="56" t="s">
        <v>2063</v>
      </c>
    </row>
    <row r="157" spans="1:20">
      <c r="A157" s="55">
        <v>125087841682</v>
      </c>
      <c r="B157" s="53" t="s">
        <v>2055</v>
      </c>
      <c r="C157" s="54">
        <v>45905</v>
      </c>
      <c r="D157" s="55">
        <v>49847122305</v>
      </c>
      <c r="E157" s="55">
        <v>2062696287469</v>
      </c>
      <c r="F157" s="56" t="s">
        <v>2056</v>
      </c>
      <c r="G157" s="56" t="s">
        <v>2057</v>
      </c>
      <c r="H157" s="56" t="s">
        <v>8</v>
      </c>
      <c r="I157" s="55" t="s">
        <v>8</v>
      </c>
      <c r="J157" s="57">
        <v>356.96</v>
      </c>
      <c r="K157" s="56" t="s">
        <v>2058</v>
      </c>
      <c r="L157" s="56" t="s">
        <v>2059</v>
      </c>
      <c r="M157" s="55" t="s">
        <v>2060</v>
      </c>
      <c r="N157" s="56" t="s">
        <v>2061</v>
      </c>
      <c r="O157" s="53" t="s">
        <v>8</v>
      </c>
      <c r="P157" s="56" t="s">
        <v>2110</v>
      </c>
      <c r="Q157" s="57">
        <v>36800</v>
      </c>
      <c r="R157" s="58" t="s">
        <v>8</v>
      </c>
      <c r="S157" s="57" t="s">
        <v>8</v>
      </c>
      <c r="T157" s="56" t="s">
        <v>2063</v>
      </c>
    </row>
    <row r="158" spans="1:20">
      <c r="A158" s="55">
        <v>124542531059</v>
      </c>
      <c r="B158" s="53" t="s">
        <v>2055</v>
      </c>
      <c r="C158" s="54">
        <v>45905</v>
      </c>
      <c r="D158" s="55">
        <v>49847310857</v>
      </c>
      <c r="E158" s="55">
        <v>2062700438201</v>
      </c>
      <c r="F158" s="56" t="s">
        <v>2056</v>
      </c>
      <c r="G158" s="56" t="s">
        <v>2057</v>
      </c>
      <c r="H158" s="56" t="s">
        <v>8</v>
      </c>
      <c r="I158" s="55" t="s">
        <v>8</v>
      </c>
      <c r="J158" s="57">
        <v>256.08</v>
      </c>
      <c r="K158" s="56" t="s">
        <v>2058</v>
      </c>
      <c r="L158" s="56" t="s">
        <v>2059</v>
      </c>
      <c r="M158" s="55" t="s">
        <v>2060</v>
      </c>
      <c r="N158" s="56" t="s">
        <v>2061</v>
      </c>
      <c r="O158" s="53" t="s">
        <v>8</v>
      </c>
      <c r="P158" s="56" t="s">
        <v>2111</v>
      </c>
      <c r="Q158" s="57">
        <v>26400</v>
      </c>
      <c r="R158" s="58" t="s">
        <v>8</v>
      </c>
      <c r="S158" s="57" t="s">
        <v>8</v>
      </c>
      <c r="T158" s="56" t="s">
        <v>2063</v>
      </c>
    </row>
    <row r="159" spans="1:20">
      <c r="A159" s="55">
        <v>125088844362</v>
      </c>
      <c r="B159" s="53" t="s">
        <v>2055</v>
      </c>
      <c r="C159" s="54">
        <v>45906</v>
      </c>
      <c r="D159" s="55">
        <v>49847493080</v>
      </c>
      <c r="E159" s="55">
        <v>2062703555341</v>
      </c>
      <c r="F159" s="56" t="s">
        <v>2056</v>
      </c>
      <c r="G159" s="56" t="s">
        <v>2057</v>
      </c>
      <c r="H159" s="56" t="s">
        <v>8</v>
      </c>
      <c r="I159" s="55" t="s">
        <v>8</v>
      </c>
      <c r="J159" s="57">
        <v>83.42</v>
      </c>
      <c r="K159" s="56" t="s">
        <v>2058</v>
      </c>
      <c r="L159" s="56" t="s">
        <v>2059</v>
      </c>
      <c r="M159" s="55" t="s">
        <v>2060</v>
      </c>
      <c r="N159" s="56" t="s">
        <v>2061</v>
      </c>
      <c r="O159" s="53" t="s">
        <v>8</v>
      </c>
      <c r="P159" s="56" t="s">
        <v>2112</v>
      </c>
      <c r="Q159" s="57">
        <v>8600</v>
      </c>
      <c r="R159" s="58" t="s">
        <v>8</v>
      </c>
      <c r="S159" s="57" t="s">
        <v>8</v>
      </c>
      <c r="T159" s="56" t="s">
        <v>2063</v>
      </c>
    </row>
    <row r="160" spans="1:20">
      <c r="A160" s="55">
        <v>125088894738</v>
      </c>
      <c r="B160" s="53" t="s">
        <v>2055</v>
      </c>
      <c r="C160" s="54">
        <v>45906</v>
      </c>
      <c r="D160" s="55">
        <v>49847531948</v>
      </c>
      <c r="E160" s="55">
        <v>2062704232295</v>
      </c>
      <c r="F160" s="56" t="s">
        <v>2056</v>
      </c>
      <c r="G160" s="56" t="s">
        <v>2057</v>
      </c>
      <c r="H160" s="56" t="s">
        <v>8</v>
      </c>
      <c r="I160" s="55" t="s">
        <v>8</v>
      </c>
      <c r="J160" s="57">
        <v>122.22</v>
      </c>
      <c r="K160" s="56" t="s">
        <v>2058</v>
      </c>
      <c r="L160" s="56" t="s">
        <v>2059</v>
      </c>
      <c r="M160" s="55" t="s">
        <v>2060</v>
      </c>
      <c r="N160" s="56" t="s">
        <v>2061</v>
      </c>
      <c r="O160" s="53" t="s">
        <v>8</v>
      </c>
      <c r="P160" s="56" t="s">
        <v>2095</v>
      </c>
      <c r="Q160" s="57">
        <v>12600</v>
      </c>
      <c r="R160" s="58" t="s">
        <v>8</v>
      </c>
      <c r="S160" s="57" t="s">
        <v>8</v>
      </c>
      <c r="T160" s="56" t="s">
        <v>2063</v>
      </c>
    </row>
    <row r="161" spans="1:20">
      <c r="A161" s="55">
        <v>125088923310</v>
      </c>
      <c r="B161" s="53" t="s">
        <v>2055</v>
      </c>
      <c r="C161" s="54">
        <v>45906</v>
      </c>
      <c r="D161" s="55">
        <v>49847552631</v>
      </c>
      <c r="E161" s="55">
        <v>2062704942675</v>
      </c>
      <c r="F161" s="56" t="s">
        <v>2056</v>
      </c>
      <c r="G161" s="56" t="s">
        <v>2057</v>
      </c>
      <c r="H161" s="56" t="s">
        <v>8</v>
      </c>
      <c r="I161" s="55" t="s">
        <v>8</v>
      </c>
      <c r="J161" s="57">
        <v>318.16000000000003</v>
      </c>
      <c r="K161" s="56" t="s">
        <v>2058</v>
      </c>
      <c r="L161" s="56" t="s">
        <v>2059</v>
      </c>
      <c r="M161" s="55" t="s">
        <v>2060</v>
      </c>
      <c r="N161" s="56" t="s">
        <v>2061</v>
      </c>
      <c r="O161" s="53" t="s">
        <v>8</v>
      </c>
      <c r="P161" s="56" t="s">
        <v>2113</v>
      </c>
      <c r="Q161" s="57">
        <v>32800</v>
      </c>
      <c r="R161" s="58" t="s">
        <v>8</v>
      </c>
      <c r="S161" s="57" t="s">
        <v>8</v>
      </c>
      <c r="T161" s="56" t="s">
        <v>2063</v>
      </c>
    </row>
    <row r="162" spans="1:20">
      <c r="A162" s="55">
        <v>125088899534</v>
      </c>
      <c r="B162" s="53" t="s">
        <v>2055</v>
      </c>
      <c r="C162" s="54">
        <v>45906</v>
      </c>
      <c r="D162" s="55">
        <v>49847559003</v>
      </c>
      <c r="E162" s="55">
        <v>2062704541557</v>
      </c>
      <c r="F162" s="56" t="s">
        <v>2066</v>
      </c>
      <c r="G162" s="56" t="s">
        <v>2057</v>
      </c>
      <c r="H162" s="56" t="s">
        <v>8</v>
      </c>
      <c r="I162" s="55" t="s">
        <v>8</v>
      </c>
      <c r="J162" s="57">
        <v>1379.43</v>
      </c>
      <c r="K162" s="56" t="s">
        <v>2058</v>
      </c>
      <c r="L162" s="56" t="s">
        <v>2067</v>
      </c>
      <c r="M162" s="55" t="s">
        <v>2060</v>
      </c>
      <c r="N162" s="56" t="s">
        <v>2061</v>
      </c>
      <c r="O162" s="53" t="s">
        <v>1790</v>
      </c>
      <c r="P162" s="56" t="s">
        <v>2068</v>
      </c>
      <c r="Q162" s="57">
        <v>35100</v>
      </c>
      <c r="R162" s="58" t="s">
        <v>8</v>
      </c>
      <c r="S162" s="57" t="s">
        <v>8</v>
      </c>
      <c r="T162" s="56" t="s">
        <v>2063</v>
      </c>
    </row>
    <row r="163" spans="1:20">
      <c r="A163" s="55">
        <v>125089015400</v>
      </c>
      <c r="B163" s="53" t="s">
        <v>2055</v>
      </c>
      <c r="C163" s="54">
        <v>45906</v>
      </c>
      <c r="D163" s="55">
        <v>49847602968</v>
      </c>
      <c r="E163" s="55">
        <v>2062705649339</v>
      </c>
      <c r="F163" s="56" t="s">
        <v>2056</v>
      </c>
      <c r="G163" s="56" t="s">
        <v>2057</v>
      </c>
      <c r="H163" s="56" t="s">
        <v>8</v>
      </c>
      <c r="I163" s="55" t="s">
        <v>8</v>
      </c>
      <c r="J163" s="57">
        <v>70.09</v>
      </c>
      <c r="K163" s="56" t="s">
        <v>2058</v>
      </c>
      <c r="L163" s="56" t="s">
        <v>2059</v>
      </c>
      <c r="M163" s="55" t="s">
        <v>2060</v>
      </c>
      <c r="N163" s="56" t="s">
        <v>2061</v>
      </c>
      <c r="O163" s="53" t="s">
        <v>8</v>
      </c>
      <c r="P163" s="56" t="s">
        <v>2114</v>
      </c>
      <c r="Q163" s="57">
        <v>4300</v>
      </c>
      <c r="R163" s="58" t="s">
        <v>8</v>
      </c>
      <c r="S163" s="57" t="s">
        <v>8</v>
      </c>
      <c r="T163" s="56" t="s">
        <v>2063</v>
      </c>
    </row>
    <row r="164" spans="1:20">
      <c r="A164" s="55">
        <v>124543378311</v>
      </c>
      <c r="B164" s="53" t="s">
        <v>2055</v>
      </c>
      <c r="C164" s="54">
        <v>45906</v>
      </c>
      <c r="D164" s="55">
        <v>49847690566</v>
      </c>
      <c r="E164" s="55">
        <v>2062746873078</v>
      </c>
      <c r="F164" s="56" t="s">
        <v>2107</v>
      </c>
      <c r="G164" s="56" t="s">
        <v>2057</v>
      </c>
      <c r="H164" s="56" t="s">
        <v>8</v>
      </c>
      <c r="I164" s="55" t="s">
        <v>8</v>
      </c>
      <c r="J164" s="57">
        <v>567.24</v>
      </c>
      <c r="K164" s="56" t="s">
        <v>2058</v>
      </c>
      <c r="L164" s="56" t="s">
        <v>2059</v>
      </c>
      <c r="M164" s="55" t="s">
        <v>2060</v>
      </c>
      <c r="N164" s="56" t="s">
        <v>2061</v>
      </c>
      <c r="O164" s="53" t="s">
        <v>8</v>
      </c>
      <c r="P164" s="56" t="s">
        <v>2115</v>
      </c>
      <c r="Q164" s="57">
        <v>34800</v>
      </c>
      <c r="R164" s="58" t="s">
        <v>8</v>
      </c>
      <c r="S164" s="57" t="s">
        <v>8</v>
      </c>
      <c r="T164" s="56" t="s">
        <v>2063</v>
      </c>
    </row>
    <row r="165" spans="1:20">
      <c r="A165" s="55">
        <v>125089355560</v>
      </c>
      <c r="B165" s="53" t="s">
        <v>2055</v>
      </c>
      <c r="C165" s="54">
        <v>45906</v>
      </c>
      <c r="D165" s="55">
        <v>49847755260</v>
      </c>
      <c r="E165" s="55">
        <v>2062707674253</v>
      </c>
      <c r="F165" s="56" t="s">
        <v>2056</v>
      </c>
      <c r="G165" s="56" t="s">
        <v>2057</v>
      </c>
      <c r="H165" s="56" t="s">
        <v>8</v>
      </c>
      <c r="I165" s="55" t="s">
        <v>8</v>
      </c>
      <c r="J165" s="57">
        <v>90.21</v>
      </c>
      <c r="K165" s="56" t="s">
        <v>2058</v>
      </c>
      <c r="L165" s="56" t="s">
        <v>2059</v>
      </c>
      <c r="M165" s="55" t="s">
        <v>2060</v>
      </c>
      <c r="N165" s="56" t="s">
        <v>2061</v>
      </c>
      <c r="O165" s="53" t="s">
        <v>8</v>
      </c>
      <c r="P165" s="56" t="s">
        <v>2116</v>
      </c>
      <c r="Q165" s="57">
        <v>9300</v>
      </c>
      <c r="R165" s="58" t="s">
        <v>8</v>
      </c>
      <c r="S165" s="57" t="s">
        <v>8</v>
      </c>
      <c r="T165" s="56" t="s">
        <v>2063</v>
      </c>
    </row>
    <row r="166" spans="1:20">
      <c r="A166" s="55">
        <v>124543543841</v>
      </c>
      <c r="B166" s="53" t="s">
        <v>2055</v>
      </c>
      <c r="C166" s="54">
        <v>45906</v>
      </c>
      <c r="D166" s="55">
        <v>49847806709</v>
      </c>
      <c r="E166" s="55">
        <v>2062748991066</v>
      </c>
      <c r="F166" s="56" t="s">
        <v>2066</v>
      </c>
      <c r="G166" s="56" t="s">
        <v>2057</v>
      </c>
      <c r="H166" s="56" t="s">
        <v>8</v>
      </c>
      <c r="I166" s="55" t="s">
        <v>8</v>
      </c>
      <c r="J166" s="57">
        <v>2233.6799999999998</v>
      </c>
      <c r="K166" s="56" t="s">
        <v>2058</v>
      </c>
      <c r="L166" s="56" t="s">
        <v>2067</v>
      </c>
      <c r="M166" s="55" t="s">
        <v>2060</v>
      </c>
      <c r="N166" s="56" t="s">
        <v>2061</v>
      </c>
      <c r="O166" s="53" t="s">
        <v>1790</v>
      </c>
      <c r="P166" s="56" t="s">
        <v>2068</v>
      </c>
      <c r="Q166" s="57">
        <v>49200</v>
      </c>
      <c r="R166" s="58" t="s">
        <v>8</v>
      </c>
      <c r="S166" s="57" t="s">
        <v>8</v>
      </c>
      <c r="T166" s="56" t="s">
        <v>2063</v>
      </c>
    </row>
    <row r="167" spans="1:20">
      <c r="A167" s="55">
        <v>125089683168</v>
      </c>
      <c r="B167" s="53" t="s">
        <v>2055</v>
      </c>
      <c r="C167" s="54">
        <v>45906</v>
      </c>
      <c r="D167" s="55">
        <v>49847873539</v>
      </c>
      <c r="E167" s="55">
        <v>2062750519928</v>
      </c>
      <c r="F167" s="56" t="s">
        <v>2066</v>
      </c>
      <c r="G167" s="56" t="s">
        <v>2057</v>
      </c>
      <c r="H167" s="56" t="s">
        <v>8</v>
      </c>
      <c r="I167" s="55" t="s">
        <v>8</v>
      </c>
      <c r="J167" s="57">
        <v>1858.89</v>
      </c>
      <c r="K167" s="56" t="s">
        <v>2058</v>
      </c>
      <c r="L167" s="56" t="s">
        <v>2067</v>
      </c>
      <c r="M167" s="55" t="s">
        <v>2060</v>
      </c>
      <c r="N167" s="56" t="s">
        <v>2061</v>
      </c>
      <c r="O167" s="53" t="s">
        <v>1790</v>
      </c>
      <c r="P167" s="56" t="s">
        <v>2068</v>
      </c>
      <c r="Q167" s="57">
        <v>47300</v>
      </c>
      <c r="R167" s="58" t="s">
        <v>8</v>
      </c>
      <c r="S167" s="57" t="s">
        <v>8</v>
      </c>
      <c r="T167" s="56" t="s">
        <v>2063</v>
      </c>
    </row>
    <row r="168" spans="1:20">
      <c r="A168" s="55">
        <v>125089938206</v>
      </c>
      <c r="B168" s="53" t="s">
        <v>2055</v>
      </c>
      <c r="C168" s="54">
        <v>45906</v>
      </c>
      <c r="D168" s="55">
        <v>49847988059</v>
      </c>
      <c r="E168" s="55">
        <v>2062752316702</v>
      </c>
      <c r="F168" s="56" t="s">
        <v>2069</v>
      </c>
      <c r="G168" s="56" t="s">
        <v>2057</v>
      </c>
      <c r="H168" s="56" t="s">
        <v>8</v>
      </c>
      <c r="I168" s="55" t="s">
        <v>8</v>
      </c>
      <c r="J168" s="57">
        <v>245.41</v>
      </c>
      <c r="K168" s="56" t="s">
        <v>2058</v>
      </c>
      <c r="L168" s="56" t="s">
        <v>2059</v>
      </c>
      <c r="M168" s="55" t="s">
        <v>2060</v>
      </c>
      <c r="N168" s="56" t="s">
        <v>2061</v>
      </c>
      <c r="O168" s="53" t="s">
        <v>8</v>
      </c>
      <c r="P168" s="56" t="s">
        <v>2070</v>
      </c>
      <c r="Q168" s="57">
        <v>25300</v>
      </c>
      <c r="R168" s="58" t="s">
        <v>8</v>
      </c>
      <c r="S168" s="57" t="s">
        <v>8</v>
      </c>
      <c r="T168" s="56" t="s">
        <v>8</v>
      </c>
    </row>
    <row r="169" spans="1:20">
      <c r="A169" s="55">
        <v>124544646101</v>
      </c>
      <c r="B169" s="53" t="s">
        <v>2055</v>
      </c>
      <c r="C169" s="54">
        <v>45906</v>
      </c>
      <c r="D169" s="55">
        <v>49848232240</v>
      </c>
      <c r="E169" s="55">
        <v>2062756332458</v>
      </c>
      <c r="F169" s="56" t="s">
        <v>2069</v>
      </c>
      <c r="G169" s="56" t="s">
        <v>2057</v>
      </c>
      <c r="H169" s="56" t="s">
        <v>8</v>
      </c>
      <c r="I169" s="55" t="s">
        <v>8</v>
      </c>
      <c r="J169" s="57">
        <v>121.25</v>
      </c>
      <c r="K169" s="56" t="s">
        <v>2058</v>
      </c>
      <c r="L169" s="56" t="s">
        <v>2059</v>
      </c>
      <c r="M169" s="55" t="s">
        <v>2060</v>
      </c>
      <c r="N169" s="56" t="s">
        <v>2061</v>
      </c>
      <c r="O169" s="53" t="s">
        <v>8</v>
      </c>
      <c r="P169" s="56" t="s">
        <v>2070</v>
      </c>
      <c r="Q169" s="57">
        <v>12500</v>
      </c>
      <c r="R169" s="58" t="s">
        <v>8</v>
      </c>
      <c r="S169" s="57" t="s">
        <v>8</v>
      </c>
      <c r="T169" s="56" t="s">
        <v>8</v>
      </c>
    </row>
    <row r="170" spans="1:20">
      <c r="A170" s="55">
        <v>124544677873</v>
      </c>
      <c r="B170" s="53" t="s">
        <v>2055</v>
      </c>
      <c r="C170" s="54">
        <v>45906</v>
      </c>
      <c r="D170" s="55">
        <v>49848316730</v>
      </c>
      <c r="E170" s="55">
        <v>2062717633499</v>
      </c>
      <c r="F170" s="56" t="s">
        <v>2069</v>
      </c>
      <c r="G170" s="56" t="s">
        <v>2057</v>
      </c>
      <c r="H170" s="56" t="s">
        <v>8</v>
      </c>
      <c r="I170" s="55" t="s">
        <v>8</v>
      </c>
      <c r="J170" s="57">
        <v>661.54</v>
      </c>
      <c r="K170" s="56" t="s">
        <v>2058</v>
      </c>
      <c r="L170" s="56" t="s">
        <v>2059</v>
      </c>
      <c r="M170" s="55" t="s">
        <v>2060</v>
      </c>
      <c r="N170" s="56" t="s">
        <v>2061</v>
      </c>
      <c r="O170" s="53" t="s">
        <v>8</v>
      </c>
      <c r="P170" s="56" t="s">
        <v>2070</v>
      </c>
      <c r="Q170" s="57">
        <v>68200</v>
      </c>
      <c r="R170" s="58" t="s">
        <v>8</v>
      </c>
      <c r="S170" s="57" t="s">
        <v>8</v>
      </c>
      <c r="T170" s="56" t="s">
        <v>8</v>
      </c>
    </row>
    <row r="171" spans="1:20">
      <c r="A171" s="55">
        <v>124545246125</v>
      </c>
      <c r="B171" s="53" t="s">
        <v>2055</v>
      </c>
      <c r="C171" s="54">
        <v>45906</v>
      </c>
      <c r="D171" s="55">
        <v>49848556707</v>
      </c>
      <c r="E171" s="55">
        <v>2062721296675</v>
      </c>
      <c r="F171" s="56" t="s">
        <v>2069</v>
      </c>
      <c r="G171" s="56" t="s">
        <v>2057</v>
      </c>
      <c r="H171" s="56" t="s">
        <v>8</v>
      </c>
      <c r="I171" s="55" t="s">
        <v>8</v>
      </c>
      <c r="J171" s="57">
        <v>51.41</v>
      </c>
      <c r="K171" s="56" t="s">
        <v>2058</v>
      </c>
      <c r="L171" s="56" t="s">
        <v>2059</v>
      </c>
      <c r="M171" s="55" t="s">
        <v>2060</v>
      </c>
      <c r="N171" s="56" t="s">
        <v>2061</v>
      </c>
      <c r="O171" s="53" t="s">
        <v>8</v>
      </c>
      <c r="P171" s="56" t="s">
        <v>2070</v>
      </c>
      <c r="Q171" s="57">
        <v>5300</v>
      </c>
      <c r="R171" s="58" t="s">
        <v>8</v>
      </c>
      <c r="S171" s="57" t="s">
        <v>8</v>
      </c>
      <c r="T171" s="56" t="s">
        <v>8</v>
      </c>
    </row>
    <row r="172" spans="1:20">
      <c r="A172" s="55">
        <v>125091085756</v>
      </c>
      <c r="B172" s="53" t="s">
        <v>2055</v>
      </c>
      <c r="C172" s="54">
        <v>45906</v>
      </c>
      <c r="D172" s="55">
        <v>49848596542</v>
      </c>
      <c r="E172" s="55">
        <v>2062721731563</v>
      </c>
      <c r="F172" s="56" t="s">
        <v>2066</v>
      </c>
      <c r="G172" s="56" t="s">
        <v>2057</v>
      </c>
      <c r="H172" s="56" t="s">
        <v>8</v>
      </c>
      <c r="I172" s="55" t="s">
        <v>8</v>
      </c>
      <c r="J172" s="57">
        <v>306.54000000000002</v>
      </c>
      <c r="K172" s="56" t="s">
        <v>2058</v>
      </c>
      <c r="L172" s="56" t="s">
        <v>2067</v>
      </c>
      <c r="M172" s="55" t="s">
        <v>2060</v>
      </c>
      <c r="N172" s="56" t="s">
        <v>2061</v>
      </c>
      <c r="O172" s="53" t="s">
        <v>1790</v>
      </c>
      <c r="P172" s="56" t="s">
        <v>2068</v>
      </c>
      <c r="Q172" s="57">
        <v>7800</v>
      </c>
      <c r="R172" s="58" t="s">
        <v>8</v>
      </c>
      <c r="S172" s="57" t="s">
        <v>8</v>
      </c>
      <c r="T172" s="56" t="s">
        <v>2063</v>
      </c>
    </row>
    <row r="173" spans="1:20">
      <c r="A173" s="55">
        <v>124545331721</v>
      </c>
      <c r="B173" s="53" t="s">
        <v>2055</v>
      </c>
      <c r="C173" s="54">
        <v>45906</v>
      </c>
      <c r="D173" s="55">
        <v>49848685789</v>
      </c>
      <c r="E173" s="55">
        <v>2062762851820</v>
      </c>
      <c r="F173" s="56" t="s">
        <v>2066</v>
      </c>
      <c r="G173" s="56" t="s">
        <v>2057</v>
      </c>
      <c r="H173" s="56" t="s">
        <v>8</v>
      </c>
      <c r="I173" s="55" t="s">
        <v>8</v>
      </c>
      <c r="J173" s="57">
        <v>1544.49</v>
      </c>
      <c r="K173" s="56" t="s">
        <v>2058</v>
      </c>
      <c r="L173" s="56" t="s">
        <v>2067</v>
      </c>
      <c r="M173" s="55" t="s">
        <v>2060</v>
      </c>
      <c r="N173" s="56" t="s">
        <v>2061</v>
      </c>
      <c r="O173" s="53" t="s">
        <v>1790</v>
      </c>
      <c r="P173" s="56" t="s">
        <v>2068</v>
      </c>
      <c r="Q173" s="57">
        <v>39300</v>
      </c>
      <c r="R173" s="58" t="s">
        <v>8</v>
      </c>
      <c r="S173" s="57" t="s">
        <v>8</v>
      </c>
      <c r="T173" s="56" t="s">
        <v>2063</v>
      </c>
    </row>
    <row r="174" spans="1:20">
      <c r="A174" s="55">
        <v>124545411795</v>
      </c>
      <c r="B174" s="53" t="s">
        <v>2055</v>
      </c>
      <c r="C174" s="54">
        <v>45906</v>
      </c>
      <c r="D174" s="55">
        <v>49848727645</v>
      </c>
      <c r="E174" s="55">
        <v>2062763612860</v>
      </c>
      <c r="F174" s="56" t="s">
        <v>2056</v>
      </c>
      <c r="G174" s="56" t="s">
        <v>2057</v>
      </c>
      <c r="H174" s="56" t="s">
        <v>8</v>
      </c>
      <c r="I174" s="55" t="s">
        <v>8</v>
      </c>
      <c r="J174" s="57">
        <v>30.97</v>
      </c>
      <c r="K174" s="56" t="s">
        <v>2058</v>
      </c>
      <c r="L174" s="56" t="s">
        <v>2059</v>
      </c>
      <c r="M174" s="55" t="s">
        <v>2060</v>
      </c>
      <c r="N174" s="56" t="s">
        <v>2061</v>
      </c>
      <c r="O174" s="53" t="s">
        <v>8</v>
      </c>
      <c r="P174" s="56" t="s">
        <v>2117</v>
      </c>
      <c r="Q174" s="57">
        <v>1900</v>
      </c>
      <c r="R174" s="58" t="s">
        <v>8</v>
      </c>
      <c r="S174" s="57" t="s">
        <v>8</v>
      </c>
      <c r="T174" s="56" t="s">
        <v>2063</v>
      </c>
    </row>
    <row r="175" spans="1:20">
      <c r="A175" s="55">
        <v>125091553012</v>
      </c>
      <c r="B175" s="53" t="s">
        <v>2055</v>
      </c>
      <c r="C175" s="54">
        <v>45906</v>
      </c>
      <c r="D175" s="55">
        <v>49848860026</v>
      </c>
      <c r="E175" s="55">
        <v>2062725001921</v>
      </c>
      <c r="F175" s="56" t="s">
        <v>2056</v>
      </c>
      <c r="G175" s="56" t="s">
        <v>2057</v>
      </c>
      <c r="H175" s="56" t="s">
        <v>8</v>
      </c>
      <c r="I175" s="55" t="s">
        <v>8</v>
      </c>
      <c r="J175" s="57">
        <v>70.09</v>
      </c>
      <c r="K175" s="56" t="s">
        <v>2058</v>
      </c>
      <c r="L175" s="56" t="s">
        <v>2059</v>
      </c>
      <c r="M175" s="55" t="s">
        <v>2060</v>
      </c>
      <c r="N175" s="56" t="s">
        <v>2061</v>
      </c>
      <c r="O175" s="53" t="s">
        <v>8</v>
      </c>
      <c r="P175" s="56" t="s">
        <v>2118</v>
      </c>
      <c r="Q175" s="57">
        <v>4300</v>
      </c>
      <c r="R175" s="58" t="s">
        <v>8</v>
      </c>
      <c r="S175" s="57" t="s">
        <v>8</v>
      </c>
      <c r="T175" s="56" t="s">
        <v>2063</v>
      </c>
    </row>
    <row r="176" spans="1:20">
      <c r="A176" s="55">
        <v>125091762262</v>
      </c>
      <c r="B176" s="53" t="s">
        <v>2055</v>
      </c>
      <c r="C176" s="54">
        <v>45906</v>
      </c>
      <c r="D176" s="55">
        <v>49848929993</v>
      </c>
      <c r="E176" s="55">
        <v>2062766338056</v>
      </c>
      <c r="F176" s="56" t="s">
        <v>2056</v>
      </c>
      <c r="G176" s="56" t="s">
        <v>2057</v>
      </c>
      <c r="H176" s="56" t="s">
        <v>8</v>
      </c>
      <c r="I176" s="55" t="s">
        <v>8</v>
      </c>
      <c r="J176" s="57">
        <v>375.39</v>
      </c>
      <c r="K176" s="56" t="s">
        <v>2058</v>
      </c>
      <c r="L176" s="56" t="s">
        <v>2059</v>
      </c>
      <c r="M176" s="55" t="s">
        <v>2060</v>
      </c>
      <c r="N176" s="56" t="s">
        <v>2061</v>
      </c>
      <c r="O176" s="53" t="s">
        <v>8</v>
      </c>
      <c r="P176" s="56" t="s">
        <v>2119</v>
      </c>
      <c r="Q176" s="57">
        <v>38700</v>
      </c>
      <c r="R176" s="58" t="s">
        <v>8</v>
      </c>
      <c r="S176" s="57" t="s">
        <v>8</v>
      </c>
      <c r="T176" s="56" t="s">
        <v>2063</v>
      </c>
    </row>
    <row r="177" spans="1:20">
      <c r="A177" s="55">
        <v>125091637502</v>
      </c>
      <c r="B177" s="53" t="s">
        <v>2055</v>
      </c>
      <c r="C177" s="54">
        <v>45906</v>
      </c>
      <c r="D177" s="55">
        <v>49848941544</v>
      </c>
      <c r="E177" s="55">
        <v>2062766331984</v>
      </c>
      <c r="F177" s="56" t="s">
        <v>2056</v>
      </c>
      <c r="G177" s="56" t="s">
        <v>2057</v>
      </c>
      <c r="H177" s="56" t="s">
        <v>8</v>
      </c>
      <c r="I177" s="55" t="s">
        <v>8</v>
      </c>
      <c r="J177" s="57">
        <v>102.82</v>
      </c>
      <c r="K177" s="56" t="s">
        <v>2058</v>
      </c>
      <c r="L177" s="56" t="s">
        <v>2059</v>
      </c>
      <c r="M177" s="55" t="s">
        <v>2060</v>
      </c>
      <c r="N177" s="56" t="s">
        <v>2061</v>
      </c>
      <c r="O177" s="53" t="s">
        <v>8</v>
      </c>
      <c r="P177" s="56" t="s">
        <v>2120</v>
      </c>
      <c r="Q177" s="57">
        <v>10600</v>
      </c>
      <c r="R177" s="58" t="s">
        <v>8</v>
      </c>
      <c r="S177" s="57" t="s">
        <v>8</v>
      </c>
      <c r="T177" s="56" t="s">
        <v>2063</v>
      </c>
    </row>
    <row r="178" spans="1:20">
      <c r="A178" s="55">
        <v>124545895951</v>
      </c>
      <c r="B178" s="53" t="s">
        <v>2055</v>
      </c>
      <c r="C178" s="54">
        <v>45906</v>
      </c>
      <c r="D178" s="55">
        <v>49849014306</v>
      </c>
      <c r="E178" s="55">
        <v>2062766993534</v>
      </c>
      <c r="F178" s="56" t="s">
        <v>2056</v>
      </c>
      <c r="G178" s="56" t="s">
        <v>2057</v>
      </c>
      <c r="H178" s="56" t="s">
        <v>8</v>
      </c>
      <c r="I178" s="55" t="s">
        <v>8</v>
      </c>
      <c r="J178" s="57">
        <v>37.83</v>
      </c>
      <c r="K178" s="56" t="s">
        <v>2058</v>
      </c>
      <c r="L178" s="56" t="s">
        <v>2059</v>
      </c>
      <c r="M178" s="55" t="s">
        <v>2060</v>
      </c>
      <c r="N178" s="56" t="s">
        <v>2061</v>
      </c>
      <c r="O178" s="53" t="s">
        <v>8</v>
      </c>
      <c r="P178" s="56" t="s">
        <v>2121</v>
      </c>
      <c r="Q178" s="57">
        <v>3900</v>
      </c>
      <c r="R178" s="58" t="s">
        <v>8</v>
      </c>
      <c r="S178" s="57" t="s">
        <v>8</v>
      </c>
      <c r="T178" s="56" t="s">
        <v>2063</v>
      </c>
    </row>
    <row r="179" spans="1:20">
      <c r="A179" s="55">
        <v>125091877596</v>
      </c>
      <c r="B179" s="53" t="s">
        <v>2055</v>
      </c>
      <c r="C179" s="54">
        <v>45906</v>
      </c>
      <c r="D179" s="55">
        <v>49849096333</v>
      </c>
      <c r="E179" s="55">
        <v>2062727591305</v>
      </c>
      <c r="F179" s="56" t="s">
        <v>2056</v>
      </c>
      <c r="G179" s="56" t="s">
        <v>2057</v>
      </c>
      <c r="H179" s="56" t="s">
        <v>8</v>
      </c>
      <c r="I179" s="55" t="s">
        <v>8</v>
      </c>
      <c r="J179" s="57">
        <v>33.950000000000003</v>
      </c>
      <c r="K179" s="56" t="s">
        <v>2058</v>
      </c>
      <c r="L179" s="56" t="s">
        <v>2059</v>
      </c>
      <c r="M179" s="55" t="s">
        <v>2060</v>
      </c>
      <c r="N179" s="56" t="s">
        <v>2061</v>
      </c>
      <c r="O179" s="53" t="s">
        <v>8</v>
      </c>
      <c r="P179" s="56" t="s">
        <v>2095</v>
      </c>
      <c r="Q179" s="57">
        <v>3500</v>
      </c>
      <c r="R179" s="58" t="s">
        <v>8</v>
      </c>
      <c r="S179" s="57" t="s">
        <v>8</v>
      </c>
      <c r="T179" s="56" t="s">
        <v>2063</v>
      </c>
    </row>
    <row r="180" spans="1:20">
      <c r="A180" s="55">
        <v>124546230277</v>
      </c>
      <c r="B180" s="53" t="s">
        <v>2055</v>
      </c>
      <c r="C180" s="54">
        <v>45906</v>
      </c>
      <c r="D180" s="55">
        <v>49849179810</v>
      </c>
      <c r="E180" s="55">
        <v>2062768708138</v>
      </c>
      <c r="F180" s="56" t="s">
        <v>2056</v>
      </c>
      <c r="G180" s="56" t="s">
        <v>2057</v>
      </c>
      <c r="H180" s="56" t="s">
        <v>8</v>
      </c>
      <c r="I180" s="55" t="s">
        <v>8</v>
      </c>
      <c r="J180" s="57">
        <v>461.72</v>
      </c>
      <c r="K180" s="56" t="s">
        <v>2058</v>
      </c>
      <c r="L180" s="56" t="s">
        <v>2059</v>
      </c>
      <c r="M180" s="55" t="s">
        <v>2060</v>
      </c>
      <c r="N180" s="56" t="s">
        <v>2061</v>
      </c>
      <c r="O180" s="53" t="s">
        <v>8</v>
      </c>
      <c r="P180" s="56" t="s">
        <v>2122</v>
      </c>
      <c r="Q180" s="57">
        <v>47600</v>
      </c>
      <c r="R180" s="58" t="s">
        <v>8</v>
      </c>
      <c r="S180" s="57" t="s">
        <v>8</v>
      </c>
      <c r="T180" s="56" t="s">
        <v>2063</v>
      </c>
    </row>
    <row r="181" spans="1:20">
      <c r="A181" s="55">
        <v>125092001900</v>
      </c>
      <c r="B181" s="53" t="s">
        <v>2055</v>
      </c>
      <c r="C181" s="54">
        <v>45906</v>
      </c>
      <c r="D181" s="55">
        <v>49849198202</v>
      </c>
      <c r="E181" s="55">
        <v>2062769192020</v>
      </c>
      <c r="F181" s="56" t="s">
        <v>2069</v>
      </c>
      <c r="G181" s="56" t="s">
        <v>2057</v>
      </c>
      <c r="H181" s="56" t="s">
        <v>8</v>
      </c>
      <c r="I181" s="55" t="s">
        <v>8</v>
      </c>
      <c r="J181" s="57">
        <v>43.65</v>
      </c>
      <c r="K181" s="56" t="s">
        <v>2058</v>
      </c>
      <c r="L181" s="56" t="s">
        <v>2059</v>
      </c>
      <c r="M181" s="55" t="s">
        <v>2060</v>
      </c>
      <c r="N181" s="56" t="s">
        <v>2061</v>
      </c>
      <c r="O181" s="53" t="s">
        <v>8</v>
      </c>
      <c r="P181" s="56" t="s">
        <v>2070</v>
      </c>
      <c r="Q181" s="57">
        <v>4500</v>
      </c>
      <c r="R181" s="58" t="s">
        <v>8</v>
      </c>
      <c r="S181" s="57" t="s">
        <v>8</v>
      </c>
      <c r="T181" s="56" t="s">
        <v>8</v>
      </c>
    </row>
    <row r="182" spans="1:20">
      <c r="A182" s="55">
        <v>125092236130</v>
      </c>
      <c r="B182" s="53" t="s">
        <v>2055</v>
      </c>
      <c r="C182" s="54">
        <v>45906</v>
      </c>
      <c r="D182" s="55">
        <v>49849260114</v>
      </c>
      <c r="E182" s="55">
        <v>2062769969492</v>
      </c>
      <c r="F182" s="56" t="s">
        <v>2056</v>
      </c>
      <c r="G182" s="56" t="s">
        <v>2057</v>
      </c>
      <c r="H182" s="56" t="s">
        <v>8</v>
      </c>
      <c r="I182" s="55" t="s">
        <v>8</v>
      </c>
      <c r="J182" s="57">
        <v>85.36</v>
      </c>
      <c r="K182" s="56" t="s">
        <v>2058</v>
      </c>
      <c r="L182" s="56" t="s">
        <v>2059</v>
      </c>
      <c r="M182" s="55" t="s">
        <v>2060</v>
      </c>
      <c r="N182" s="56" t="s">
        <v>2061</v>
      </c>
      <c r="O182" s="53" t="s">
        <v>8</v>
      </c>
      <c r="P182" s="56" t="s">
        <v>2123</v>
      </c>
      <c r="Q182" s="57">
        <v>8800</v>
      </c>
      <c r="R182" s="58" t="s">
        <v>8</v>
      </c>
      <c r="S182" s="57" t="s">
        <v>8</v>
      </c>
      <c r="T182" s="56" t="s">
        <v>2063</v>
      </c>
    </row>
    <row r="183" spans="1:20">
      <c r="A183" s="55">
        <v>124546385021</v>
      </c>
      <c r="B183" s="53" t="s">
        <v>2055</v>
      </c>
      <c r="C183" s="54">
        <v>45906</v>
      </c>
      <c r="D183" s="55">
        <v>49849290187</v>
      </c>
      <c r="E183" s="55">
        <v>2062730396849</v>
      </c>
      <c r="F183" s="56" t="s">
        <v>2056</v>
      </c>
      <c r="G183" s="56" t="s">
        <v>2057</v>
      </c>
      <c r="H183" s="56" t="s">
        <v>8</v>
      </c>
      <c r="I183" s="55" t="s">
        <v>8</v>
      </c>
      <c r="J183" s="57">
        <v>51.41</v>
      </c>
      <c r="K183" s="56" t="s">
        <v>2058</v>
      </c>
      <c r="L183" s="56" t="s">
        <v>2059</v>
      </c>
      <c r="M183" s="55" t="s">
        <v>2060</v>
      </c>
      <c r="N183" s="56" t="s">
        <v>2061</v>
      </c>
      <c r="O183" s="53" t="s">
        <v>8</v>
      </c>
      <c r="P183" s="56" t="s">
        <v>2124</v>
      </c>
      <c r="Q183" s="57">
        <v>5300</v>
      </c>
      <c r="R183" s="58" t="s">
        <v>8</v>
      </c>
      <c r="S183" s="57" t="s">
        <v>8</v>
      </c>
      <c r="T183" s="56" t="s">
        <v>2063</v>
      </c>
    </row>
    <row r="184" spans="1:20">
      <c r="A184" s="55">
        <v>125092458496</v>
      </c>
      <c r="B184" s="53" t="s">
        <v>2055</v>
      </c>
      <c r="C184" s="54">
        <v>45906</v>
      </c>
      <c r="D184" s="55">
        <v>49849378827</v>
      </c>
      <c r="E184" s="55">
        <v>2062731552743</v>
      </c>
      <c r="F184" s="56" t="s">
        <v>2066</v>
      </c>
      <c r="G184" s="56" t="s">
        <v>2057</v>
      </c>
      <c r="H184" s="56" t="s">
        <v>8</v>
      </c>
      <c r="I184" s="55" t="s">
        <v>8</v>
      </c>
      <c r="J184" s="57">
        <v>4130.43</v>
      </c>
      <c r="K184" s="56" t="s">
        <v>2058</v>
      </c>
      <c r="L184" s="56" t="s">
        <v>2067</v>
      </c>
      <c r="M184" s="55" t="s">
        <v>2060</v>
      </c>
      <c r="N184" s="56" t="s">
        <v>2061</v>
      </c>
      <c r="O184" s="53" t="s">
        <v>1790</v>
      </c>
      <c r="P184" s="56" t="s">
        <v>2068</v>
      </c>
      <c r="Q184" s="57">
        <v>105100</v>
      </c>
      <c r="R184" s="58" t="s">
        <v>8</v>
      </c>
      <c r="S184" s="57" t="s">
        <v>8</v>
      </c>
      <c r="T184" s="56" t="s">
        <v>2063</v>
      </c>
    </row>
    <row r="185" spans="1:20">
      <c r="A185" s="55">
        <v>125092611780</v>
      </c>
      <c r="B185" s="53" t="s">
        <v>2055</v>
      </c>
      <c r="C185" s="54">
        <v>45906</v>
      </c>
      <c r="D185" s="55">
        <v>49849522987</v>
      </c>
      <c r="E185" s="55">
        <v>2062733115283</v>
      </c>
      <c r="F185" s="56" t="s">
        <v>2056</v>
      </c>
      <c r="G185" s="56" t="s">
        <v>2057</v>
      </c>
      <c r="H185" s="56" t="s">
        <v>8</v>
      </c>
      <c r="I185" s="55" t="s">
        <v>8</v>
      </c>
      <c r="J185" s="57">
        <v>125.13</v>
      </c>
      <c r="K185" s="56" t="s">
        <v>2058</v>
      </c>
      <c r="L185" s="56" t="s">
        <v>2059</v>
      </c>
      <c r="M185" s="55" t="s">
        <v>2060</v>
      </c>
      <c r="N185" s="56" t="s">
        <v>2061</v>
      </c>
      <c r="O185" s="53" t="s">
        <v>8</v>
      </c>
      <c r="P185" s="56" t="s">
        <v>2125</v>
      </c>
      <c r="Q185" s="57">
        <v>12900</v>
      </c>
      <c r="R185" s="58" t="s">
        <v>8</v>
      </c>
      <c r="S185" s="57" t="s">
        <v>8</v>
      </c>
      <c r="T185" s="56" t="s">
        <v>2063</v>
      </c>
    </row>
    <row r="186" spans="1:20">
      <c r="A186" s="55">
        <v>125092695218</v>
      </c>
      <c r="B186" s="53" t="s">
        <v>2055</v>
      </c>
      <c r="C186" s="54">
        <v>45906</v>
      </c>
      <c r="D186" s="55">
        <v>49849575996</v>
      </c>
      <c r="E186" s="55">
        <v>2062733267505</v>
      </c>
      <c r="F186" s="56" t="s">
        <v>2066</v>
      </c>
      <c r="G186" s="56" t="s">
        <v>2057</v>
      </c>
      <c r="H186" s="56" t="s">
        <v>8</v>
      </c>
      <c r="I186" s="55" t="s">
        <v>8</v>
      </c>
      <c r="J186" s="57">
        <v>1084.68</v>
      </c>
      <c r="K186" s="56" t="s">
        <v>2058</v>
      </c>
      <c r="L186" s="56" t="s">
        <v>2067</v>
      </c>
      <c r="M186" s="55" t="s">
        <v>2060</v>
      </c>
      <c r="N186" s="56" t="s">
        <v>2061</v>
      </c>
      <c r="O186" s="53" t="s">
        <v>1790</v>
      </c>
      <c r="P186" s="56" t="s">
        <v>2068</v>
      </c>
      <c r="Q186" s="57">
        <v>27600</v>
      </c>
      <c r="R186" s="58" t="s">
        <v>8</v>
      </c>
      <c r="S186" s="57" t="s">
        <v>8</v>
      </c>
      <c r="T186" s="56" t="s">
        <v>2063</v>
      </c>
    </row>
    <row r="187" spans="1:20">
      <c r="A187" s="55">
        <v>125092821398</v>
      </c>
      <c r="B187" s="53" t="s">
        <v>2055</v>
      </c>
      <c r="C187" s="54">
        <v>45906</v>
      </c>
      <c r="D187" s="55">
        <v>49849648013</v>
      </c>
      <c r="E187" s="55">
        <v>2062734359387</v>
      </c>
      <c r="F187" s="56" t="s">
        <v>2066</v>
      </c>
      <c r="G187" s="56" t="s">
        <v>2057</v>
      </c>
      <c r="H187" s="56" t="s">
        <v>8</v>
      </c>
      <c r="I187" s="55" t="s">
        <v>8</v>
      </c>
      <c r="J187" s="57">
        <v>1293.9000000000001</v>
      </c>
      <c r="K187" s="56" t="s">
        <v>2058</v>
      </c>
      <c r="L187" s="56" t="s">
        <v>2067</v>
      </c>
      <c r="M187" s="55" t="s">
        <v>2060</v>
      </c>
      <c r="N187" s="56" t="s">
        <v>2061</v>
      </c>
      <c r="O187" s="53" t="s">
        <v>1790</v>
      </c>
      <c r="P187" s="56" t="s">
        <v>2068</v>
      </c>
      <c r="Q187" s="57">
        <v>28500</v>
      </c>
      <c r="R187" s="58" t="s">
        <v>8</v>
      </c>
      <c r="S187" s="57" t="s">
        <v>8</v>
      </c>
      <c r="T187" s="56" t="s">
        <v>2063</v>
      </c>
    </row>
    <row r="188" spans="1:20">
      <c r="A188" s="55">
        <v>124547012843</v>
      </c>
      <c r="B188" s="53" t="s">
        <v>2055</v>
      </c>
      <c r="C188" s="54">
        <v>45906</v>
      </c>
      <c r="D188" s="55">
        <v>49849700260</v>
      </c>
      <c r="E188" s="55">
        <v>2062775063366</v>
      </c>
      <c r="F188" s="56" t="s">
        <v>2066</v>
      </c>
      <c r="G188" s="56" t="s">
        <v>2057</v>
      </c>
      <c r="H188" s="56" t="s">
        <v>8</v>
      </c>
      <c r="I188" s="55" t="s">
        <v>8</v>
      </c>
      <c r="J188" s="57">
        <v>1543.6</v>
      </c>
      <c r="K188" s="56" t="s">
        <v>2058</v>
      </c>
      <c r="L188" s="56" t="s">
        <v>2067</v>
      </c>
      <c r="M188" s="55" t="s">
        <v>2060</v>
      </c>
      <c r="N188" s="56" t="s">
        <v>2061</v>
      </c>
      <c r="O188" s="53" t="s">
        <v>1790</v>
      </c>
      <c r="P188" s="56" t="s">
        <v>2068</v>
      </c>
      <c r="Q188" s="57">
        <v>34000</v>
      </c>
      <c r="R188" s="58" t="s">
        <v>8</v>
      </c>
      <c r="S188" s="57" t="s">
        <v>8</v>
      </c>
      <c r="T188" s="56" t="s">
        <v>2063</v>
      </c>
    </row>
    <row r="189" spans="1:20">
      <c r="A189" s="55">
        <v>124546985255</v>
      </c>
      <c r="B189" s="53" t="s">
        <v>2055</v>
      </c>
      <c r="C189" s="54">
        <v>45906</v>
      </c>
      <c r="D189" s="55">
        <v>49849706829</v>
      </c>
      <c r="E189" s="55">
        <v>2062734707663</v>
      </c>
      <c r="F189" s="56" t="s">
        <v>2066</v>
      </c>
      <c r="G189" s="56" t="s">
        <v>2057</v>
      </c>
      <c r="H189" s="56" t="s">
        <v>8</v>
      </c>
      <c r="I189" s="55" t="s">
        <v>8</v>
      </c>
      <c r="J189" s="57">
        <v>27.24</v>
      </c>
      <c r="K189" s="56" t="s">
        <v>2058</v>
      </c>
      <c r="L189" s="56" t="s">
        <v>2067</v>
      </c>
      <c r="M189" s="55" t="s">
        <v>2060</v>
      </c>
      <c r="N189" s="56" t="s">
        <v>2061</v>
      </c>
      <c r="O189" s="53" t="s">
        <v>1790</v>
      </c>
      <c r="P189" s="56" t="s">
        <v>2068</v>
      </c>
      <c r="Q189" s="57">
        <v>600</v>
      </c>
      <c r="R189" s="58" t="s">
        <v>8</v>
      </c>
      <c r="S189" s="57" t="s">
        <v>8</v>
      </c>
      <c r="T189" s="56" t="s">
        <v>2063</v>
      </c>
    </row>
    <row r="190" spans="1:20">
      <c r="A190" s="55">
        <v>125093009032</v>
      </c>
      <c r="B190" s="53" t="s">
        <v>2055</v>
      </c>
      <c r="C190" s="54">
        <v>45906</v>
      </c>
      <c r="D190" s="55">
        <v>49849779323</v>
      </c>
      <c r="E190" s="55">
        <v>2062735441539</v>
      </c>
      <c r="F190" s="56" t="s">
        <v>2069</v>
      </c>
      <c r="G190" s="56" t="s">
        <v>2057</v>
      </c>
      <c r="H190" s="56" t="s">
        <v>8</v>
      </c>
      <c r="I190" s="55" t="s">
        <v>8</v>
      </c>
      <c r="J190" s="57">
        <v>153.26</v>
      </c>
      <c r="K190" s="56" t="s">
        <v>2058</v>
      </c>
      <c r="L190" s="56" t="s">
        <v>2059</v>
      </c>
      <c r="M190" s="55" t="s">
        <v>2060</v>
      </c>
      <c r="N190" s="56" t="s">
        <v>2061</v>
      </c>
      <c r="O190" s="53" t="s">
        <v>8</v>
      </c>
      <c r="P190" s="56" t="s">
        <v>2070</v>
      </c>
      <c r="Q190" s="57">
        <v>15800</v>
      </c>
      <c r="R190" s="58" t="s">
        <v>8</v>
      </c>
      <c r="S190" s="57" t="s">
        <v>8</v>
      </c>
      <c r="T190" s="56" t="s">
        <v>8</v>
      </c>
    </row>
    <row r="191" spans="1:20">
      <c r="A191" s="55">
        <v>125093118136</v>
      </c>
      <c r="B191" s="53" t="s">
        <v>2055</v>
      </c>
      <c r="C191" s="54">
        <v>45906</v>
      </c>
      <c r="D191" s="55">
        <v>49849807622</v>
      </c>
      <c r="E191" s="55">
        <v>2062735938293</v>
      </c>
      <c r="F191" s="56" t="s">
        <v>2056</v>
      </c>
      <c r="G191" s="56" t="s">
        <v>2057</v>
      </c>
      <c r="H191" s="56" t="s">
        <v>8</v>
      </c>
      <c r="I191" s="55" t="s">
        <v>8</v>
      </c>
      <c r="J191" s="57">
        <v>145.5</v>
      </c>
      <c r="K191" s="56" t="s">
        <v>2058</v>
      </c>
      <c r="L191" s="56" t="s">
        <v>2059</v>
      </c>
      <c r="M191" s="55" t="s">
        <v>2060</v>
      </c>
      <c r="N191" s="56" t="s">
        <v>2061</v>
      </c>
      <c r="O191" s="53" t="s">
        <v>8</v>
      </c>
      <c r="P191" s="56" t="s">
        <v>2126</v>
      </c>
      <c r="Q191" s="57">
        <v>15000</v>
      </c>
      <c r="R191" s="58" t="s">
        <v>8</v>
      </c>
      <c r="S191" s="57" t="s">
        <v>8</v>
      </c>
      <c r="T191" s="56" t="s">
        <v>2063</v>
      </c>
    </row>
    <row r="192" spans="1:20">
      <c r="A192" s="55">
        <v>125093285044</v>
      </c>
      <c r="B192" s="53" t="s">
        <v>2055</v>
      </c>
      <c r="C192" s="54">
        <v>45906</v>
      </c>
      <c r="D192" s="55">
        <v>49849930588</v>
      </c>
      <c r="E192" s="55">
        <v>2062737250981</v>
      </c>
      <c r="F192" s="56" t="s">
        <v>2066</v>
      </c>
      <c r="G192" s="56" t="s">
        <v>2057</v>
      </c>
      <c r="H192" s="56" t="s">
        <v>8</v>
      </c>
      <c r="I192" s="55" t="s">
        <v>8</v>
      </c>
      <c r="J192" s="57">
        <v>337.98</v>
      </c>
      <c r="K192" s="56" t="s">
        <v>2058</v>
      </c>
      <c r="L192" s="56" t="s">
        <v>2067</v>
      </c>
      <c r="M192" s="55" t="s">
        <v>2060</v>
      </c>
      <c r="N192" s="56" t="s">
        <v>2061</v>
      </c>
      <c r="O192" s="53" t="s">
        <v>1790</v>
      </c>
      <c r="P192" s="56" t="s">
        <v>2068</v>
      </c>
      <c r="Q192" s="57">
        <v>8600</v>
      </c>
      <c r="R192" s="58" t="s">
        <v>8</v>
      </c>
      <c r="S192" s="57" t="s">
        <v>8</v>
      </c>
      <c r="T192" s="56" t="s">
        <v>2063</v>
      </c>
    </row>
    <row r="193" spans="1:20">
      <c r="A193" s="55">
        <v>124547549785</v>
      </c>
      <c r="B193" s="53" t="s">
        <v>2055</v>
      </c>
      <c r="C193" s="54">
        <v>45906</v>
      </c>
      <c r="D193" s="55">
        <v>49850057242</v>
      </c>
      <c r="E193" s="55">
        <v>2062778874794</v>
      </c>
      <c r="F193" s="56" t="s">
        <v>2066</v>
      </c>
      <c r="G193" s="56" t="s">
        <v>2057</v>
      </c>
      <c r="H193" s="56" t="s">
        <v>8</v>
      </c>
      <c r="I193" s="55" t="s">
        <v>8</v>
      </c>
      <c r="J193" s="57">
        <v>2440.5300000000002</v>
      </c>
      <c r="K193" s="56" t="s">
        <v>2058</v>
      </c>
      <c r="L193" s="56" t="s">
        <v>2067</v>
      </c>
      <c r="M193" s="55" t="s">
        <v>2060</v>
      </c>
      <c r="N193" s="56" t="s">
        <v>2061</v>
      </c>
      <c r="O193" s="53" t="s">
        <v>1790</v>
      </c>
      <c r="P193" s="56" t="s">
        <v>2068</v>
      </c>
      <c r="Q193" s="57">
        <v>62100</v>
      </c>
      <c r="R193" s="58" t="s">
        <v>8</v>
      </c>
      <c r="S193" s="57" t="s">
        <v>8</v>
      </c>
      <c r="T193" s="56" t="s">
        <v>2063</v>
      </c>
    </row>
    <row r="194" spans="1:20">
      <c r="A194" s="55">
        <v>124547797645</v>
      </c>
      <c r="B194" s="53" t="s">
        <v>2055</v>
      </c>
      <c r="C194" s="54">
        <v>45906</v>
      </c>
      <c r="D194" s="55">
        <v>49850191158</v>
      </c>
      <c r="E194" s="55">
        <v>2062739971935</v>
      </c>
      <c r="F194" s="56" t="s">
        <v>2056</v>
      </c>
      <c r="G194" s="56" t="s">
        <v>2057</v>
      </c>
      <c r="H194" s="56" t="s">
        <v>8</v>
      </c>
      <c r="I194" s="55" t="s">
        <v>8</v>
      </c>
      <c r="J194" s="57">
        <v>463.66</v>
      </c>
      <c r="K194" s="56" t="s">
        <v>2058</v>
      </c>
      <c r="L194" s="56" t="s">
        <v>2059</v>
      </c>
      <c r="M194" s="55" t="s">
        <v>2060</v>
      </c>
      <c r="N194" s="56" t="s">
        <v>2061</v>
      </c>
      <c r="O194" s="53" t="s">
        <v>8</v>
      </c>
      <c r="P194" s="56" t="s">
        <v>2127</v>
      </c>
      <c r="Q194" s="57">
        <v>47800</v>
      </c>
      <c r="R194" s="58" t="s">
        <v>8</v>
      </c>
      <c r="S194" s="57" t="s">
        <v>8</v>
      </c>
      <c r="T194" s="56" t="s">
        <v>2063</v>
      </c>
    </row>
    <row r="195" spans="1:20">
      <c r="A195" s="55">
        <v>125093625960</v>
      </c>
      <c r="B195" s="53" t="s">
        <v>2055</v>
      </c>
      <c r="C195" s="54">
        <v>45906</v>
      </c>
      <c r="D195" s="55">
        <v>49850206724</v>
      </c>
      <c r="E195" s="55">
        <v>2062780385738</v>
      </c>
      <c r="F195" s="56" t="s">
        <v>2056</v>
      </c>
      <c r="G195" s="56" t="s">
        <v>2057</v>
      </c>
      <c r="H195" s="56" t="s">
        <v>8</v>
      </c>
      <c r="I195" s="55" t="s">
        <v>8</v>
      </c>
      <c r="J195" s="57">
        <v>256.08</v>
      </c>
      <c r="K195" s="56" t="s">
        <v>2058</v>
      </c>
      <c r="L195" s="56" t="s">
        <v>2059</v>
      </c>
      <c r="M195" s="55" t="s">
        <v>2060</v>
      </c>
      <c r="N195" s="56" t="s">
        <v>2061</v>
      </c>
      <c r="O195" s="53" t="s">
        <v>8</v>
      </c>
      <c r="P195" s="56" t="s">
        <v>2128</v>
      </c>
      <c r="Q195" s="57">
        <v>26400</v>
      </c>
      <c r="R195" s="58" t="s">
        <v>8</v>
      </c>
      <c r="S195" s="57" t="s">
        <v>8</v>
      </c>
      <c r="T195" s="56" t="s">
        <v>2063</v>
      </c>
    </row>
    <row r="196" spans="1:20">
      <c r="A196" s="55">
        <v>125093790872</v>
      </c>
      <c r="B196" s="53" t="s">
        <v>2055</v>
      </c>
      <c r="C196" s="54">
        <v>45906</v>
      </c>
      <c r="D196" s="55">
        <v>49850240653</v>
      </c>
      <c r="E196" s="55">
        <v>2062780682182</v>
      </c>
      <c r="F196" s="56" t="s">
        <v>2056</v>
      </c>
      <c r="G196" s="56" t="s">
        <v>2057</v>
      </c>
      <c r="H196" s="56" t="s">
        <v>8</v>
      </c>
      <c r="I196" s="55" t="s">
        <v>8</v>
      </c>
      <c r="J196" s="57">
        <v>117.37</v>
      </c>
      <c r="K196" s="56" t="s">
        <v>2058</v>
      </c>
      <c r="L196" s="56" t="s">
        <v>2059</v>
      </c>
      <c r="M196" s="55" t="s">
        <v>2060</v>
      </c>
      <c r="N196" s="56" t="s">
        <v>2061</v>
      </c>
      <c r="O196" s="53" t="s">
        <v>8</v>
      </c>
      <c r="P196" s="56" t="s">
        <v>2129</v>
      </c>
      <c r="Q196" s="57">
        <v>12100</v>
      </c>
      <c r="R196" s="58" t="s">
        <v>8</v>
      </c>
      <c r="S196" s="57" t="s">
        <v>8</v>
      </c>
      <c r="T196" s="56" t="s">
        <v>2063</v>
      </c>
    </row>
    <row r="197" spans="1:20">
      <c r="A197" s="55">
        <v>124548093551</v>
      </c>
      <c r="B197" s="53" t="s">
        <v>2055</v>
      </c>
      <c r="C197" s="54">
        <v>45906</v>
      </c>
      <c r="D197" s="55">
        <v>49850365454</v>
      </c>
      <c r="E197" s="55">
        <v>2062741661707</v>
      </c>
      <c r="F197" s="56" t="s">
        <v>2056</v>
      </c>
      <c r="G197" s="56" t="s">
        <v>2057</v>
      </c>
      <c r="H197" s="56" t="s">
        <v>8</v>
      </c>
      <c r="I197" s="55" t="s">
        <v>8</v>
      </c>
      <c r="J197" s="57">
        <v>151.59</v>
      </c>
      <c r="K197" s="56" t="s">
        <v>2058</v>
      </c>
      <c r="L197" s="56" t="s">
        <v>2059</v>
      </c>
      <c r="M197" s="55" t="s">
        <v>2060</v>
      </c>
      <c r="N197" s="56" t="s">
        <v>2061</v>
      </c>
      <c r="O197" s="53" t="s">
        <v>8</v>
      </c>
      <c r="P197" s="56" t="s">
        <v>2114</v>
      </c>
      <c r="Q197" s="57">
        <v>9300</v>
      </c>
      <c r="R197" s="58" t="s">
        <v>8</v>
      </c>
      <c r="S197" s="57" t="s">
        <v>8</v>
      </c>
      <c r="T197" s="56" t="s">
        <v>2063</v>
      </c>
    </row>
    <row r="198" spans="1:20">
      <c r="A198" s="55">
        <v>125093963730</v>
      </c>
      <c r="B198" s="53" t="s">
        <v>2055</v>
      </c>
      <c r="C198" s="54">
        <v>45906</v>
      </c>
      <c r="D198" s="55">
        <v>49850369941</v>
      </c>
      <c r="E198" s="55">
        <v>2062741985031</v>
      </c>
      <c r="F198" s="56" t="s">
        <v>2056</v>
      </c>
      <c r="G198" s="56" t="s">
        <v>2057</v>
      </c>
      <c r="H198" s="56" t="s">
        <v>8</v>
      </c>
      <c r="I198" s="55" t="s">
        <v>8</v>
      </c>
      <c r="J198" s="57">
        <v>93.12</v>
      </c>
      <c r="K198" s="56" t="s">
        <v>2058</v>
      </c>
      <c r="L198" s="56" t="s">
        <v>2059</v>
      </c>
      <c r="M198" s="55" t="s">
        <v>2060</v>
      </c>
      <c r="N198" s="56" t="s">
        <v>2061</v>
      </c>
      <c r="O198" s="53" t="s">
        <v>8</v>
      </c>
      <c r="P198" s="56" t="s">
        <v>2130</v>
      </c>
      <c r="Q198" s="57">
        <v>9600</v>
      </c>
      <c r="R198" s="58" t="s">
        <v>8</v>
      </c>
      <c r="S198" s="57" t="s">
        <v>8</v>
      </c>
      <c r="T198" s="56" t="s">
        <v>2063</v>
      </c>
    </row>
    <row r="199" spans="1:20">
      <c r="A199" s="55">
        <v>125094162494</v>
      </c>
      <c r="B199" s="53" t="s">
        <v>2055</v>
      </c>
      <c r="C199" s="54">
        <v>45906</v>
      </c>
      <c r="D199" s="55">
        <v>49850413623</v>
      </c>
      <c r="E199" s="55">
        <v>2062782889036</v>
      </c>
      <c r="F199" s="56" t="s">
        <v>2056</v>
      </c>
      <c r="G199" s="56" t="s">
        <v>2057</v>
      </c>
      <c r="H199" s="56" t="s">
        <v>8</v>
      </c>
      <c r="I199" s="55" t="s">
        <v>8</v>
      </c>
      <c r="J199" s="57">
        <v>83.42</v>
      </c>
      <c r="K199" s="56" t="s">
        <v>2058</v>
      </c>
      <c r="L199" s="56" t="s">
        <v>2059</v>
      </c>
      <c r="M199" s="55" t="s">
        <v>2060</v>
      </c>
      <c r="N199" s="56" t="s">
        <v>2061</v>
      </c>
      <c r="O199" s="53" t="s">
        <v>8</v>
      </c>
      <c r="P199" s="56" t="s">
        <v>2131</v>
      </c>
      <c r="Q199" s="57">
        <v>8600</v>
      </c>
      <c r="R199" s="58" t="s">
        <v>8</v>
      </c>
      <c r="S199" s="57" t="s">
        <v>8</v>
      </c>
      <c r="T199" s="56" t="s">
        <v>2063</v>
      </c>
    </row>
    <row r="200" spans="1:20">
      <c r="A200" s="55">
        <v>124548293337</v>
      </c>
      <c r="B200" s="53" t="s">
        <v>2055</v>
      </c>
      <c r="C200" s="54">
        <v>45906</v>
      </c>
      <c r="D200" s="55">
        <v>49850423047</v>
      </c>
      <c r="E200" s="55">
        <v>2062783200416</v>
      </c>
      <c r="F200" s="56" t="s">
        <v>2066</v>
      </c>
      <c r="G200" s="56" t="s">
        <v>2057</v>
      </c>
      <c r="H200" s="56" t="s">
        <v>8</v>
      </c>
      <c r="I200" s="55" t="s">
        <v>8</v>
      </c>
      <c r="J200" s="57">
        <v>2288.16</v>
      </c>
      <c r="K200" s="56" t="s">
        <v>2058</v>
      </c>
      <c r="L200" s="56" t="s">
        <v>2067</v>
      </c>
      <c r="M200" s="55" t="s">
        <v>2060</v>
      </c>
      <c r="N200" s="56" t="s">
        <v>2061</v>
      </c>
      <c r="O200" s="53" t="s">
        <v>1790</v>
      </c>
      <c r="P200" s="56" t="s">
        <v>2068</v>
      </c>
      <c r="Q200" s="57">
        <v>50400</v>
      </c>
      <c r="R200" s="58" t="s">
        <v>8</v>
      </c>
      <c r="S200" s="57" t="s">
        <v>8</v>
      </c>
      <c r="T200" s="56" t="s">
        <v>2063</v>
      </c>
    </row>
    <row r="201" spans="1:20">
      <c r="A201" s="55">
        <v>125094219266</v>
      </c>
      <c r="B201" s="53" t="s">
        <v>2055</v>
      </c>
      <c r="C201" s="54">
        <v>45906</v>
      </c>
      <c r="D201" s="55">
        <v>49850505374</v>
      </c>
      <c r="E201" s="55">
        <v>2062783798234</v>
      </c>
      <c r="F201" s="56" t="s">
        <v>2056</v>
      </c>
      <c r="G201" s="56" t="s">
        <v>2057</v>
      </c>
      <c r="H201" s="56" t="s">
        <v>8</v>
      </c>
      <c r="I201" s="55" t="s">
        <v>8</v>
      </c>
      <c r="J201" s="57">
        <v>208.55</v>
      </c>
      <c r="K201" s="56" t="s">
        <v>2058</v>
      </c>
      <c r="L201" s="56" t="s">
        <v>2059</v>
      </c>
      <c r="M201" s="55" t="s">
        <v>2060</v>
      </c>
      <c r="N201" s="56" t="s">
        <v>2061</v>
      </c>
      <c r="O201" s="53" t="s">
        <v>8</v>
      </c>
      <c r="P201" s="56" t="s">
        <v>2112</v>
      </c>
      <c r="Q201" s="57">
        <v>21500</v>
      </c>
      <c r="R201" s="58" t="s">
        <v>8</v>
      </c>
      <c r="S201" s="57" t="s">
        <v>8</v>
      </c>
      <c r="T201" s="56" t="s">
        <v>2063</v>
      </c>
    </row>
    <row r="202" spans="1:20">
      <c r="A202" s="55">
        <v>124548516339</v>
      </c>
      <c r="B202" s="53" t="s">
        <v>2055</v>
      </c>
      <c r="C202" s="54">
        <v>45906</v>
      </c>
      <c r="D202" s="55">
        <v>49850516195</v>
      </c>
      <c r="E202" s="55">
        <v>2062784101516</v>
      </c>
      <c r="F202" s="56" t="s">
        <v>2056</v>
      </c>
      <c r="G202" s="56" t="s">
        <v>2057</v>
      </c>
      <c r="H202" s="56" t="s">
        <v>8</v>
      </c>
      <c r="I202" s="55" t="s">
        <v>8</v>
      </c>
      <c r="J202" s="57">
        <v>1086.4000000000001</v>
      </c>
      <c r="K202" s="56" t="s">
        <v>2058</v>
      </c>
      <c r="L202" s="56" t="s">
        <v>2059</v>
      </c>
      <c r="M202" s="55" t="s">
        <v>2060</v>
      </c>
      <c r="N202" s="56" t="s">
        <v>2061</v>
      </c>
      <c r="O202" s="53" t="s">
        <v>8</v>
      </c>
      <c r="P202" s="56" t="s">
        <v>2132</v>
      </c>
      <c r="Q202" s="57">
        <v>112000</v>
      </c>
      <c r="R202" s="58" t="s">
        <v>8</v>
      </c>
      <c r="S202" s="57" t="s">
        <v>8</v>
      </c>
      <c r="T202" s="56" t="s">
        <v>2063</v>
      </c>
    </row>
    <row r="203" spans="1:20">
      <c r="A203" s="55">
        <v>124548420083</v>
      </c>
      <c r="B203" s="53" t="s">
        <v>2055</v>
      </c>
      <c r="C203" s="54">
        <v>45906</v>
      </c>
      <c r="D203" s="55">
        <v>49850531623</v>
      </c>
      <c r="E203" s="55">
        <v>2062784231618</v>
      </c>
      <c r="F203" s="56" t="s">
        <v>2056</v>
      </c>
      <c r="G203" s="56" t="s">
        <v>2057</v>
      </c>
      <c r="H203" s="56" t="s">
        <v>8</v>
      </c>
      <c r="I203" s="55" t="s">
        <v>8</v>
      </c>
      <c r="J203" s="57">
        <v>181.39</v>
      </c>
      <c r="K203" s="56" t="s">
        <v>2058</v>
      </c>
      <c r="L203" s="56" t="s">
        <v>2059</v>
      </c>
      <c r="M203" s="55" t="s">
        <v>2060</v>
      </c>
      <c r="N203" s="56" t="s">
        <v>2061</v>
      </c>
      <c r="O203" s="53" t="s">
        <v>8</v>
      </c>
      <c r="P203" s="56" t="s">
        <v>2133</v>
      </c>
      <c r="Q203" s="57">
        <v>18700</v>
      </c>
      <c r="R203" s="58" t="s">
        <v>8</v>
      </c>
      <c r="S203" s="57" t="s">
        <v>8</v>
      </c>
      <c r="T203" s="56" t="s">
        <v>2063</v>
      </c>
    </row>
    <row r="204" spans="1:20">
      <c r="A204" s="55">
        <v>125094837668</v>
      </c>
      <c r="B204" s="53" t="s">
        <v>2055</v>
      </c>
      <c r="C204" s="54">
        <v>45906</v>
      </c>
      <c r="D204" s="55">
        <v>49850806682</v>
      </c>
      <c r="E204" s="55">
        <v>2062787764138</v>
      </c>
      <c r="F204" s="56" t="s">
        <v>2066</v>
      </c>
      <c r="G204" s="56" t="s">
        <v>2057</v>
      </c>
      <c r="H204" s="56" t="s">
        <v>8</v>
      </c>
      <c r="I204" s="55" t="s">
        <v>8</v>
      </c>
      <c r="J204" s="57">
        <v>1943.12</v>
      </c>
      <c r="K204" s="56" t="s">
        <v>2058</v>
      </c>
      <c r="L204" s="56" t="s">
        <v>2067</v>
      </c>
      <c r="M204" s="55" t="s">
        <v>2060</v>
      </c>
      <c r="N204" s="56" t="s">
        <v>2061</v>
      </c>
      <c r="O204" s="53" t="s">
        <v>1790</v>
      </c>
      <c r="P204" s="56" t="s">
        <v>2068</v>
      </c>
      <c r="Q204" s="57">
        <v>42800</v>
      </c>
      <c r="R204" s="58" t="s">
        <v>8</v>
      </c>
      <c r="S204" s="57" t="s">
        <v>8</v>
      </c>
      <c r="T204" s="56" t="s">
        <v>2063</v>
      </c>
    </row>
    <row r="205" spans="1:20">
      <c r="A205" s="55">
        <v>125094899458</v>
      </c>
      <c r="B205" s="53" t="s">
        <v>2055</v>
      </c>
      <c r="C205" s="54">
        <v>45906</v>
      </c>
      <c r="D205" s="55">
        <v>49850833260</v>
      </c>
      <c r="E205" s="55">
        <v>2062748163581</v>
      </c>
      <c r="F205" s="56" t="s">
        <v>2056</v>
      </c>
      <c r="G205" s="56" t="s">
        <v>2057</v>
      </c>
      <c r="H205" s="56" t="s">
        <v>8</v>
      </c>
      <c r="I205" s="55" t="s">
        <v>8</v>
      </c>
      <c r="J205" s="57">
        <v>33.950000000000003</v>
      </c>
      <c r="K205" s="56" t="s">
        <v>2058</v>
      </c>
      <c r="L205" s="56" t="s">
        <v>2059</v>
      </c>
      <c r="M205" s="55" t="s">
        <v>2060</v>
      </c>
      <c r="N205" s="56" t="s">
        <v>2061</v>
      </c>
      <c r="O205" s="53" t="s">
        <v>8</v>
      </c>
      <c r="P205" s="56" t="s">
        <v>2134</v>
      </c>
      <c r="Q205" s="57">
        <v>3500</v>
      </c>
      <c r="R205" s="58" t="s">
        <v>8</v>
      </c>
      <c r="S205" s="57" t="s">
        <v>8</v>
      </c>
      <c r="T205" s="56" t="s">
        <v>2063</v>
      </c>
    </row>
    <row r="206" spans="1:20">
      <c r="A206" s="55">
        <v>125095026648</v>
      </c>
      <c r="B206" s="53" t="s">
        <v>2055</v>
      </c>
      <c r="C206" s="54">
        <v>45906</v>
      </c>
      <c r="D206" s="55">
        <v>49850868815</v>
      </c>
      <c r="E206" s="55">
        <v>2062788311606</v>
      </c>
      <c r="F206" s="56" t="s">
        <v>2056</v>
      </c>
      <c r="G206" s="56" t="s">
        <v>2057</v>
      </c>
      <c r="H206" s="56" t="s">
        <v>8</v>
      </c>
      <c r="I206" s="55" t="s">
        <v>8</v>
      </c>
      <c r="J206" s="57">
        <v>51.41</v>
      </c>
      <c r="K206" s="56" t="s">
        <v>2058</v>
      </c>
      <c r="L206" s="56" t="s">
        <v>2059</v>
      </c>
      <c r="M206" s="55" t="s">
        <v>2060</v>
      </c>
      <c r="N206" s="56" t="s">
        <v>2061</v>
      </c>
      <c r="O206" s="53" t="s">
        <v>8</v>
      </c>
      <c r="P206" s="56" t="s">
        <v>2120</v>
      </c>
      <c r="Q206" s="57">
        <v>5300</v>
      </c>
      <c r="R206" s="58" t="s">
        <v>8</v>
      </c>
      <c r="S206" s="57" t="s">
        <v>8</v>
      </c>
      <c r="T206" s="56" t="s">
        <v>2063</v>
      </c>
    </row>
    <row r="207" spans="1:20">
      <c r="A207" s="55">
        <v>124549303705</v>
      </c>
      <c r="B207" s="53" t="s">
        <v>2055</v>
      </c>
      <c r="C207" s="54">
        <v>45906</v>
      </c>
      <c r="D207" s="55">
        <v>49850979831</v>
      </c>
      <c r="E207" s="55">
        <v>2062749301763</v>
      </c>
      <c r="F207" s="56" t="s">
        <v>2056</v>
      </c>
      <c r="G207" s="56" t="s">
        <v>2057</v>
      </c>
      <c r="H207" s="56" t="s">
        <v>8</v>
      </c>
      <c r="I207" s="55" t="s">
        <v>8</v>
      </c>
      <c r="J207" s="57">
        <v>102.82</v>
      </c>
      <c r="K207" s="56" t="s">
        <v>2058</v>
      </c>
      <c r="L207" s="56" t="s">
        <v>2059</v>
      </c>
      <c r="M207" s="55" t="s">
        <v>2060</v>
      </c>
      <c r="N207" s="56" t="s">
        <v>2061</v>
      </c>
      <c r="O207" s="53" t="s">
        <v>8</v>
      </c>
      <c r="P207" s="56" t="s">
        <v>2135</v>
      </c>
      <c r="Q207" s="57">
        <v>10600</v>
      </c>
      <c r="R207" s="58" t="s">
        <v>8</v>
      </c>
      <c r="S207" s="57" t="s">
        <v>8</v>
      </c>
      <c r="T207" s="56" t="s">
        <v>2063</v>
      </c>
    </row>
    <row r="208" spans="1:20">
      <c r="A208" s="55">
        <v>124549540369</v>
      </c>
      <c r="B208" s="53" t="s">
        <v>2055</v>
      </c>
      <c r="C208" s="54">
        <v>45906</v>
      </c>
      <c r="D208" s="55">
        <v>49851053821</v>
      </c>
      <c r="E208" s="55">
        <v>2062750366007</v>
      </c>
      <c r="F208" s="56" t="s">
        <v>2069</v>
      </c>
      <c r="G208" s="56" t="s">
        <v>2057</v>
      </c>
      <c r="H208" s="56" t="s">
        <v>8</v>
      </c>
      <c r="I208" s="55" t="s">
        <v>8</v>
      </c>
      <c r="J208" s="57">
        <v>135.80000000000001</v>
      </c>
      <c r="K208" s="56" t="s">
        <v>2058</v>
      </c>
      <c r="L208" s="56" t="s">
        <v>2059</v>
      </c>
      <c r="M208" s="55" t="s">
        <v>2060</v>
      </c>
      <c r="N208" s="56" t="s">
        <v>2061</v>
      </c>
      <c r="O208" s="53" t="s">
        <v>8</v>
      </c>
      <c r="P208" s="56" t="s">
        <v>2070</v>
      </c>
      <c r="Q208" s="57">
        <v>14000</v>
      </c>
      <c r="R208" s="58" t="s">
        <v>8</v>
      </c>
      <c r="S208" s="57" t="s">
        <v>8</v>
      </c>
      <c r="T208" s="56" t="s">
        <v>8</v>
      </c>
    </row>
    <row r="209" spans="1:20">
      <c r="A209" s="55">
        <v>125095467130</v>
      </c>
      <c r="B209" s="53" t="s">
        <v>2055</v>
      </c>
      <c r="C209" s="54">
        <v>45906</v>
      </c>
      <c r="D209" s="55">
        <v>49851178072</v>
      </c>
      <c r="E209" s="55">
        <v>2062791601728</v>
      </c>
      <c r="F209" s="56" t="s">
        <v>2056</v>
      </c>
      <c r="G209" s="56" t="s">
        <v>2136</v>
      </c>
      <c r="H209" s="56" t="s">
        <v>2137</v>
      </c>
      <c r="I209" s="55" t="s">
        <v>8</v>
      </c>
      <c r="J209" s="57">
        <v>776</v>
      </c>
      <c r="K209" s="56" t="s">
        <v>2058</v>
      </c>
      <c r="L209" s="56" t="s">
        <v>2059</v>
      </c>
      <c r="M209" s="55" t="s">
        <v>2060</v>
      </c>
      <c r="N209" s="56" t="s">
        <v>2061</v>
      </c>
      <c r="O209" s="53" t="s">
        <v>8</v>
      </c>
      <c r="P209" s="56" t="s">
        <v>2138</v>
      </c>
      <c r="Q209" s="57">
        <v>80000</v>
      </c>
      <c r="R209" s="58" t="s">
        <v>8</v>
      </c>
      <c r="S209" s="57" t="s">
        <v>8</v>
      </c>
      <c r="T209" s="56" t="s">
        <v>2063</v>
      </c>
    </row>
    <row r="210" spans="1:20">
      <c r="A210" s="55">
        <v>125095467130</v>
      </c>
      <c r="B210" s="53" t="s">
        <v>2055</v>
      </c>
      <c r="C210" s="54">
        <v>45906</v>
      </c>
      <c r="D210" s="55">
        <v>49851380732</v>
      </c>
      <c r="E210" s="55">
        <v>2062753624595</v>
      </c>
      <c r="F210" s="56" t="s">
        <v>2139</v>
      </c>
      <c r="G210" s="56" t="s">
        <v>2136</v>
      </c>
      <c r="H210" s="56" t="s">
        <v>8</v>
      </c>
      <c r="I210" s="55">
        <v>49851178072</v>
      </c>
      <c r="J210" s="57">
        <v>-776</v>
      </c>
      <c r="K210" s="56" t="s">
        <v>2058</v>
      </c>
      <c r="L210" s="56" t="s">
        <v>2059</v>
      </c>
      <c r="M210" s="55" t="s">
        <v>2060</v>
      </c>
      <c r="N210" s="56" t="s">
        <v>2061</v>
      </c>
      <c r="O210" s="53" t="s">
        <v>8</v>
      </c>
      <c r="P210" s="56" t="s">
        <v>2138</v>
      </c>
      <c r="Q210" s="57">
        <v>80000</v>
      </c>
      <c r="R210" s="58" t="s">
        <v>8</v>
      </c>
      <c r="S210" s="57" t="s">
        <v>8</v>
      </c>
      <c r="T210" s="56" t="s">
        <v>8</v>
      </c>
    </row>
    <row r="211" spans="1:20">
      <c r="A211" s="55">
        <v>125095831262</v>
      </c>
      <c r="B211" s="53" t="s">
        <v>2055</v>
      </c>
      <c r="C211" s="54">
        <v>45906</v>
      </c>
      <c r="D211" s="55">
        <v>49851409560</v>
      </c>
      <c r="E211" s="55">
        <v>2062793649408</v>
      </c>
      <c r="F211" s="56" t="s">
        <v>2056</v>
      </c>
      <c r="G211" s="56" t="s">
        <v>2057</v>
      </c>
      <c r="H211" s="56" t="s">
        <v>8</v>
      </c>
      <c r="I211" s="55" t="s">
        <v>8</v>
      </c>
      <c r="J211" s="57">
        <v>699.37</v>
      </c>
      <c r="K211" s="56" t="s">
        <v>2058</v>
      </c>
      <c r="L211" s="56" t="s">
        <v>2059</v>
      </c>
      <c r="M211" s="55" t="s">
        <v>2060</v>
      </c>
      <c r="N211" s="56" t="s">
        <v>2061</v>
      </c>
      <c r="O211" s="53" t="s">
        <v>8</v>
      </c>
      <c r="P211" s="56" t="s">
        <v>2138</v>
      </c>
      <c r="Q211" s="57">
        <v>72100</v>
      </c>
      <c r="R211" s="58" t="s">
        <v>8</v>
      </c>
      <c r="S211" s="57" t="s">
        <v>8</v>
      </c>
      <c r="T211" s="56" t="s">
        <v>2063</v>
      </c>
    </row>
    <row r="212" spans="1:20">
      <c r="A212" s="55">
        <v>124550095401</v>
      </c>
      <c r="B212" s="53" t="s">
        <v>2055</v>
      </c>
      <c r="C212" s="54">
        <v>45906</v>
      </c>
      <c r="D212" s="55">
        <v>49851471205</v>
      </c>
      <c r="E212" s="55">
        <v>2062794748128</v>
      </c>
      <c r="F212" s="56" t="s">
        <v>2056</v>
      </c>
      <c r="G212" s="56" t="s">
        <v>2057</v>
      </c>
      <c r="H212" s="56" t="s">
        <v>8</v>
      </c>
      <c r="I212" s="55" t="s">
        <v>8</v>
      </c>
      <c r="J212" s="57">
        <v>214.37</v>
      </c>
      <c r="K212" s="56" t="s">
        <v>2058</v>
      </c>
      <c r="L212" s="56" t="s">
        <v>2059</v>
      </c>
      <c r="M212" s="55" t="s">
        <v>2060</v>
      </c>
      <c r="N212" s="56" t="s">
        <v>2061</v>
      </c>
      <c r="O212" s="53" t="s">
        <v>8</v>
      </c>
      <c r="P212" s="56" t="s">
        <v>2140</v>
      </c>
      <c r="Q212" s="57">
        <v>22100</v>
      </c>
      <c r="R212" s="58" t="s">
        <v>8</v>
      </c>
      <c r="S212" s="57" t="s">
        <v>8</v>
      </c>
      <c r="T212" s="56" t="s">
        <v>2063</v>
      </c>
    </row>
    <row r="213" spans="1:20">
      <c r="A213" s="55">
        <v>125096002932</v>
      </c>
      <c r="B213" s="53" t="s">
        <v>2055</v>
      </c>
      <c r="C213" s="54">
        <v>45906</v>
      </c>
      <c r="D213" s="55">
        <v>49851504964</v>
      </c>
      <c r="E213" s="55">
        <v>2062754454187</v>
      </c>
      <c r="F213" s="56" t="s">
        <v>2056</v>
      </c>
      <c r="G213" s="56" t="s">
        <v>2057</v>
      </c>
      <c r="H213" s="56" t="s">
        <v>8</v>
      </c>
      <c r="I213" s="55" t="s">
        <v>8</v>
      </c>
      <c r="J213" s="57">
        <v>176.54</v>
      </c>
      <c r="K213" s="56" t="s">
        <v>2058</v>
      </c>
      <c r="L213" s="56" t="s">
        <v>2059</v>
      </c>
      <c r="M213" s="55" t="s">
        <v>2060</v>
      </c>
      <c r="N213" s="56" t="s">
        <v>2061</v>
      </c>
      <c r="O213" s="53" t="s">
        <v>8</v>
      </c>
      <c r="P213" s="56" t="s">
        <v>2141</v>
      </c>
      <c r="Q213" s="57">
        <v>18200</v>
      </c>
      <c r="R213" s="58" t="s">
        <v>8</v>
      </c>
      <c r="S213" s="57" t="s">
        <v>8</v>
      </c>
      <c r="T213" s="56" t="s">
        <v>2063</v>
      </c>
    </row>
    <row r="214" spans="1:20">
      <c r="A214" s="55">
        <v>124550195285</v>
      </c>
      <c r="B214" s="53" t="s">
        <v>2055</v>
      </c>
      <c r="C214" s="54">
        <v>45906</v>
      </c>
      <c r="D214" s="55">
        <v>49851534514</v>
      </c>
      <c r="E214" s="55">
        <v>2062755143919</v>
      </c>
      <c r="F214" s="56" t="s">
        <v>2069</v>
      </c>
      <c r="G214" s="56" t="s">
        <v>2057</v>
      </c>
      <c r="H214" s="56" t="s">
        <v>8</v>
      </c>
      <c r="I214" s="55" t="s">
        <v>8</v>
      </c>
      <c r="J214" s="57">
        <v>128.04</v>
      </c>
      <c r="K214" s="56" t="s">
        <v>2058</v>
      </c>
      <c r="L214" s="56" t="s">
        <v>2059</v>
      </c>
      <c r="M214" s="55" t="s">
        <v>2060</v>
      </c>
      <c r="N214" s="56" t="s">
        <v>2061</v>
      </c>
      <c r="O214" s="53" t="s">
        <v>8</v>
      </c>
      <c r="P214" s="56" t="s">
        <v>2070</v>
      </c>
      <c r="Q214" s="57">
        <v>13200</v>
      </c>
      <c r="R214" s="58" t="s">
        <v>8</v>
      </c>
      <c r="S214" s="57" t="s">
        <v>8</v>
      </c>
      <c r="T214" s="56" t="s">
        <v>8</v>
      </c>
    </row>
    <row r="215" spans="1:20">
      <c r="A215" s="55">
        <v>125096109694</v>
      </c>
      <c r="B215" s="53" t="s">
        <v>2055</v>
      </c>
      <c r="C215" s="54">
        <v>45906</v>
      </c>
      <c r="D215" s="55">
        <v>49851618166</v>
      </c>
      <c r="E215" s="55">
        <v>2062755813253</v>
      </c>
      <c r="F215" s="56" t="s">
        <v>2056</v>
      </c>
      <c r="G215" s="56" t="s">
        <v>2057</v>
      </c>
      <c r="H215" s="56" t="s">
        <v>8</v>
      </c>
      <c r="I215" s="55" t="s">
        <v>8</v>
      </c>
      <c r="J215" s="57">
        <v>331.74</v>
      </c>
      <c r="K215" s="56" t="s">
        <v>2058</v>
      </c>
      <c r="L215" s="56" t="s">
        <v>2059</v>
      </c>
      <c r="M215" s="55" t="s">
        <v>2060</v>
      </c>
      <c r="N215" s="56" t="s">
        <v>2061</v>
      </c>
      <c r="O215" s="53" t="s">
        <v>8</v>
      </c>
      <c r="P215" s="56" t="s">
        <v>2142</v>
      </c>
      <c r="Q215" s="57">
        <v>34200</v>
      </c>
      <c r="R215" s="58" t="s">
        <v>8</v>
      </c>
      <c r="S215" s="57" t="s">
        <v>8</v>
      </c>
      <c r="T215" s="56" t="s">
        <v>2063</v>
      </c>
    </row>
    <row r="216" spans="1:20">
      <c r="A216" s="55">
        <v>124550395343</v>
      </c>
      <c r="B216" s="53" t="s">
        <v>2055</v>
      </c>
      <c r="C216" s="54">
        <v>45906</v>
      </c>
      <c r="D216" s="55">
        <v>49851633803</v>
      </c>
      <c r="E216" s="55">
        <v>2062756310041</v>
      </c>
      <c r="F216" s="56" t="s">
        <v>2056</v>
      </c>
      <c r="G216" s="56" t="s">
        <v>2057</v>
      </c>
      <c r="H216" s="56" t="s">
        <v>8</v>
      </c>
      <c r="I216" s="55" t="s">
        <v>8</v>
      </c>
      <c r="J216" s="57">
        <v>41.71</v>
      </c>
      <c r="K216" s="56" t="s">
        <v>2058</v>
      </c>
      <c r="L216" s="56" t="s">
        <v>2059</v>
      </c>
      <c r="M216" s="55" t="s">
        <v>2060</v>
      </c>
      <c r="N216" s="56" t="s">
        <v>2061</v>
      </c>
      <c r="O216" s="53" t="s">
        <v>8</v>
      </c>
      <c r="P216" s="56" t="s">
        <v>2143</v>
      </c>
      <c r="Q216" s="57">
        <v>4300</v>
      </c>
      <c r="R216" s="58" t="s">
        <v>8</v>
      </c>
      <c r="S216" s="57" t="s">
        <v>8</v>
      </c>
      <c r="T216" s="56" t="s">
        <v>2063</v>
      </c>
    </row>
    <row r="217" spans="1:20">
      <c r="A217" s="55">
        <v>125185741106</v>
      </c>
      <c r="B217" s="53" t="s">
        <v>2055</v>
      </c>
      <c r="C217" s="54">
        <v>45906</v>
      </c>
      <c r="D217" s="55">
        <v>49886003859</v>
      </c>
      <c r="E217" s="55">
        <v>2063292772261</v>
      </c>
      <c r="F217" s="56" t="s">
        <v>2066</v>
      </c>
      <c r="G217" s="56" t="s">
        <v>2057</v>
      </c>
      <c r="H217" s="56" t="s">
        <v>8</v>
      </c>
      <c r="I217" s="55" t="s">
        <v>8</v>
      </c>
      <c r="J217" s="57">
        <v>176.85</v>
      </c>
      <c r="K217" s="56" t="s">
        <v>2058</v>
      </c>
      <c r="L217" s="56" t="s">
        <v>2067</v>
      </c>
      <c r="M217" s="55" t="s">
        <v>2060</v>
      </c>
      <c r="N217" s="56" t="s">
        <v>2061</v>
      </c>
      <c r="O217" s="53" t="s">
        <v>1790</v>
      </c>
      <c r="P217" s="56" t="s">
        <v>2068</v>
      </c>
      <c r="Q217" s="57">
        <v>4500</v>
      </c>
      <c r="R217" s="58" t="s">
        <v>8</v>
      </c>
      <c r="S217" s="57" t="s">
        <v>8</v>
      </c>
      <c r="T217" s="56" t="s">
        <v>2063</v>
      </c>
    </row>
    <row r="218" spans="1:20">
      <c r="A218" s="55">
        <v>125192805316</v>
      </c>
      <c r="B218" s="53" t="s">
        <v>2055</v>
      </c>
      <c r="C218" s="54">
        <v>45906</v>
      </c>
      <c r="D218" s="55">
        <v>49888518478</v>
      </c>
      <c r="E218" s="55">
        <v>2063377729274</v>
      </c>
      <c r="F218" s="56" t="s">
        <v>2066</v>
      </c>
      <c r="G218" s="56" t="s">
        <v>2057</v>
      </c>
      <c r="H218" s="56" t="s">
        <v>8</v>
      </c>
      <c r="I218" s="55" t="s">
        <v>8</v>
      </c>
      <c r="J218" s="57">
        <v>593.42999999999995</v>
      </c>
      <c r="K218" s="56" t="s">
        <v>2058</v>
      </c>
      <c r="L218" s="56" t="s">
        <v>2067</v>
      </c>
      <c r="M218" s="55" t="s">
        <v>2060</v>
      </c>
      <c r="N218" s="56" t="s">
        <v>2061</v>
      </c>
      <c r="O218" s="53" t="s">
        <v>1790</v>
      </c>
      <c r="P218" s="56" t="s">
        <v>2068</v>
      </c>
      <c r="Q218" s="57">
        <v>15100</v>
      </c>
      <c r="R218" s="58" t="s">
        <v>8</v>
      </c>
      <c r="S218" s="57" t="s">
        <v>8</v>
      </c>
      <c r="T218" s="56" t="s">
        <v>2063</v>
      </c>
    </row>
    <row r="219" spans="1:20">
      <c r="A219" s="55">
        <v>125195880866</v>
      </c>
      <c r="B219" s="53" t="s">
        <v>2055</v>
      </c>
      <c r="C219" s="54">
        <v>45906</v>
      </c>
      <c r="D219" s="55">
        <v>49889576078</v>
      </c>
      <c r="E219" s="55">
        <v>2063396549700</v>
      </c>
      <c r="F219" s="56" t="s">
        <v>2069</v>
      </c>
      <c r="G219" s="56" t="s">
        <v>2057</v>
      </c>
      <c r="H219" s="56" t="s">
        <v>8</v>
      </c>
      <c r="I219" s="55" t="s">
        <v>8</v>
      </c>
      <c r="J219" s="57">
        <v>272.57</v>
      </c>
      <c r="K219" s="56" t="s">
        <v>2058</v>
      </c>
      <c r="L219" s="56" t="s">
        <v>2059</v>
      </c>
      <c r="M219" s="55" t="s">
        <v>2060</v>
      </c>
      <c r="N219" s="56" t="s">
        <v>2061</v>
      </c>
      <c r="O219" s="53" t="s">
        <v>8</v>
      </c>
      <c r="P219" s="56" t="s">
        <v>2070</v>
      </c>
      <c r="Q219" s="57">
        <v>28100</v>
      </c>
      <c r="R219" s="58" t="s">
        <v>8</v>
      </c>
      <c r="S219" s="57" t="s">
        <v>8</v>
      </c>
      <c r="T219" s="56" t="s">
        <v>8</v>
      </c>
    </row>
    <row r="220" spans="1:20">
      <c r="A220" s="55">
        <v>125196765748</v>
      </c>
      <c r="B220" s="53" t="s">
        <v>2055</v>
      </c>
      <c r="C220" s="54">
        <v>45906</v>
      </c>
      <c r="D220" s="55">
        <v>49889847997</v>
      </c>
      <c r="E220" s="55">
        <v>2063361116693</v>
      </c>
      <c r="F220" s="56" t="s">
        <v>2056</v>
      </c>
      <c r="G220" s="56" t="s">
        <v>2057</v>
      </c>
      <c r="H220" s="56" t="s">
        <v>8</v>
      </c>
      <c r="I220" s="55" t="s">
        <v>8</v>
      </c>
      <c r="J220" s="57">
        <v>3964.81</v>
      </c>
      <c r="K220" s="56" t="s">
        <v>2058</v>
      </c>
      <c r="L220" s="56" t="s">
        <v>2059</v>
      </c>
      <c r="M220" s="55" t="s">
        <v>2060</v>
      </c>
      <c r="N220" s="56" t="s">
        <v>2061</v>
      </c>
      <c r="O220" s="53" t="s">
        <v>8</v>
      </c>
      <c r="P220" s="56" t="s">
        <v>2144</v>
      </c>
      <c r="Q220" s="57">
        <v>52100</v>
      </c>
      <c r="R220" s="58" t="s">
        <v>8</v>
      </c>
      <c r="S220" s="57" t="s">
        <v>8</v>
      </c>
      <c r="T220" s="56" t="s">
        <v>2063</v>
      </c>
    </row>
    <row r="221" spans="1:20">
      <c r="A221" s="55">
        <v>125198391082</v>
      </c>
      <c r="B221" s="53" t="s">
        <v>2055</v>
      </c>
      <c r="C221" s="54">
        <v>45906</v>
      </c>
      <c r="D221" s="55">
        <v>49890411938</v>
      </c>
      <c r="E221" s="55">
        <v>2063412078892</v>
      </c>
      <c r="F221" s="56" t="s">
        <v>2056</v>
      </c>
      <c r="G221" s="56" t="s">
        <v>2057</v>
      </c>
      <c r="H221" s="56" t="s">
        <v>8</v>
      </c>
      <c r="I221" s="55" t="s">
        <v>8</v>
      </c>
      <c r="J221" s="57">
        <v>83.42</v>
      </c>
      <c r="K221" s="56" t="s">
        <v>2058</v>
      </c>
      <c r="L221" s="56" t="s">
        <v>2059</v>
      </c>
      <c r="M221" s="55" t="s">
        <v>2060</v>
      </c>
      <c r="N221" s="56" t="s">
        <v>2061</v>
      </c>
      <c r="O221" s="53" t="s">
        <v>8</v>
      </c>
      <c r="P221" s="56" t="s">
        <v>2145</v>
      </c>
      <c r="Q221" s="57">
        <v>8600</v>
      </c>
      <c r="R221" s="58" t="s">
        <v>8</v>
      </c>
      <c r="S221" s="57" t="s">
        <v>8</v>
      </c>
      <c r="T221" s="56" t="s">
        <v>2063</v>
      </c>
    </row>
    <row r="222" spans="1:20">
      <c r="A222" s="55">
        <v>125199712170</v>
      </c>
      <c r="B222" s="53" t="s">
        <v>2055</v>
      </c>
      <c r="C222" s="54">
        <v>45906</v>
      </c>
      <c r="D222" s="55">
        <v>49890803630</v>
      </c>
      <c r="E222" s="55">
        <v>2063378534385</v>
      </c>
      <c r="F222" s="56" t="s">
        <v>2066</v>
      </c>
      <c r="G222" s="56" t="s">
        <v>2057</v>
      </c>
      <c r="H222" s="56" t="s">
        <v>8</v>
      </c>
      <c r="I222" s="55" t="s">
        <v>8</v>
      </c>
      <c r="J222" s="57">
        <v>1929.63</v>
      </c>
      <c r="K222" s="56" t="s">
        <v>2058</v>
      </c>
      <c r="L222" s="56" t="s">
        <v>2067</v>
      </c>
      <c r="M222" s="55" t="s">
        <v>2060</v>
      </c>
      <c r="N222" s="56" t="s">
        <v>2061</v>
      </c>
      <c r="O222" s="53" t="s">
        <v>1790</v>
      </c>
      <c r="P222" s="56" t="s">
        <v>2068</v>
      </c>
      <c r="Q222" s="57">
        <v>49100</v>
      </c>
      <c r="R222" s="58" t="s">
        <v>8</v>
      </c>
      <c r="S222" s="57" t="s">
        <v>8</v>
      </c>
      <c r="T222" s="56" t="s">
        <v>2063</v>
      </c>
    </row>
    <row r="223" spans="1:20">
      <c r="A223" s="55">
        <v>124653835763</v>
      </c>
      <c r="B223" s="53" t="s">
        <v>2055</v>
      </c>
      <c r="C223" s="54">
        <v>45906</v>
      </c>
      <c r="D223" s="55">
        <v>49891073143</v>
      </c>
      <c r="E223" s="55">
        <v>2063383340997</v>
      </c>
      <c r="F223" s="56" t="s">
        <v>2056</v>
      </c>
      <c r="G223" s="56" t="s">
        <v>2057</v>
      </c>
      <c r="H223" s="56" t="s">
        <v>8</v>
      </c>
      <c r="I223" s="55" t="s">
        <v>8</v>
      </c>
      <c r="J223" s="57">
        <v>123.19</v>
      </c>
      <c r="K223" s="56" t="s">
        <v>2058</v>
      </c>
      <c r="L223" s="56" t="s">
        <v>2059</v>
      </c>
      <c r="M223" s="55" t="s">
        <v>2060</v>
      </c>
      <c r="N223" s="56" t="s">
        <v>2061</v>
      </c>
      <c r="O223" s="53" t="s">
        <v>8</v>
      </c>
      <c r="P223" s="56" t="s">
        <v>2146</v>
      </c>
      <c r="Q223" s="57">
        <v>12700</v>
      </c>
      <c r="R223" s="58" t="s">
        <v>8</v>
      </c>
      <c r="S223" s="57" t="s">
        <v>8</v>
      </c>
      <c r="T223" s="56" t="s">
        <v>2063</v>
      </c>
    </row>
    <row r="224" spans="1:20">
      <c r="A224" s="55">
        <v>124654285441</v>
      </c>
      <c r="B224" s="53" t="s">
        <v>2055</v>
      </c>
      <c r="C224" s="54">
        <v>45906</v>
      </c>
      <c r="D224" s="55">
        <v>49891225626</v>
      </c>
      <c r="E224" s="55">
        <v>2063425884712</v>
      </c>
      <c r="F224" s="56" t="s">
        <v>2066</v>
      </c>
      <c r="G224" s="56" t="s">
        <v>2057</v>
      </c>
      <c r="H224" s="56" t="s">
        <v>8</v>
      </c>
      <c r="I224" s="55" t="s">
        <v>8</v>
      </c>
      <c r="J224" s="57">
        <v>656.31</v>
      </c>
      <c r="K224" s="56" t="s">
        <v>2058</v>
      </c>
      <c r="L224" s="56" t="s">
        <v>2067</v>
      </c>
      <c r="M224" s="55" t="s">
        <v>2060</v>
      </c>
      <c r="N224" s="56" t="s">
        <v>2061</v>
      </c>
      <c r="O224" s="53" t="s">
        <v>1790</v>
      </c>
      <c r="P224" s="56" t="s">
        <v>2068</v>
      </c>
      <c r="Q224" s="57">
        <v>16700</v>
      </c>
      <c r="R224" s="58" t="s">
        <v>8</v>
      </c>
      <c r="S224" s="57" t="s">
        <v>8</v>
      </c>
      <c r="T224" s="56" t="s">
        <v>2063</v>
      </c>
    </row>
    <row r="225" spans="1:20">
      <c r="A225" s="55">
        <v>124657393069</v>
      </c>
      <c r="B225" s="53" t="s">
        <v>2055</v>
      </c>
      <c r="C225" s="54">
        <v>45906</v>
      </c>
      <c r="D225" s="55">
        <v>49892250652</v>
      </c>
      <c r="E225" s="55">
        <v>2063444426152</v>
      </c>
      <c r="F225" s="56" t="s">
        <v>2056</v>
      </c>
      <c r="G225" s="56" t="s">
        <v>2057</v>
      </c>
      <c r="H225" s="56" t="s">
        <v>8</v>
      </c>
      <c r="I225" s="55" t="s">
        <v>8</v>
      </c>
      <c r="J225" s="57">
        <v>555.83000000000004</v>
      </c>
      <c r="K225" s="56" t="s">
        <v>2058</v>
      </c>
      <c r="L225" s="56" t="s">
        <v>2059</v>
      </c>
      <c r="M225" s="55" t="s">
        <v>2060</v>
      </c>
      <c r="N225" s="56" t="s">
        <v>2061</v>
      </c>
      <c r="O225" s="53" t="s">
        <v>8</v>
      </c>
      <c r="P225" s="56" t="s">
        <v>2147</v>
      </c>
      <c r="Q225" s="57">
        <v>34100</v>
      </c>
      <c r="R225" s="58" t="s">
        <v>8</v>
      </c>
      <c r="S225" s="57" t="s">
        <v>8</v>
      </c>
      <c r="T225" s="56" t="s">
        <v>2063</v>
      </c>
    </row>
    <row r="226" spans="1:20">
      <c r="A226" s="55">
        <v>124657418835</v>
      </c>
      <c r="B226" s="53" t="s">
        <v>2055</v>
      </c>
      <c r="C226" s="54">
        <v>45906</v>
      </c>
      <c r="D226" s="55">
        <v>49892260267</v>
      </c>
      <c r="E226" s="55">
        <v>2063444436574</v>
      </c>
      <c r="F226" s="56" t="s">
        <v>2069</v>
      </c>
      <c r="G226" s="56" t="s">
        <v>2057</v>
      </c>
      <c r="H226" s="56" t="s">
        <v>8</v>
      </c>
      <c r="I226" s="55" t="s">
        <v>8</v>
      </c>
      <c r="J226" s="57">
        <v>151.32</v>
      </c>
      <c r="K226" s="56" t="s">
        <v>2058</v>
      </c>
      <c r="L226" s="56" t="s">
        <v>2059</v>
      </c>
      <c r="M226" s="55" t="s">
        <v>2060</v>
      </c>
      <c r="N226" s="56" t="s">
        <v>2061</v>
      </c>
      <c r="O226" s="53" t="s">
        <v>8</v>
      </c>
      <c r="P226" s="56" t="s">
        <v>2070</v>
      </c>
      <c r="Q226" s="57">
        <v>15600</v>
      </c>
      <c r="R226" s="58" t="s">
        <v>8</v>
      </c>
      <c r="S226" s="57" t="s">
        <v>8</v>
      </c>
      <c r="T226" s="56" t="s">
        <v>8</v>
      </c>
    </row>
    <row r="227" spans="1:20">
      <c r="A227" s="55">
        <v>125205657088</v>
      </c>
      <c r="B227" s="53" t="s">
        <v>2055</v>
      </c>
      <c r="C227" s="54">
        <v>45906</v>
      </c>
      <c r="D227" s="55">
        <v>49892900646</v>
      </c>
      <c r="E227" s="55">
        <v>2063456026550</v>
      </c>
      <c r="F227" s="56" t="s">
        <v>2056</v>
      </c>
      <c r="G227" s="56" t="s">
        <v>2057</v>
      </c>
      <c r="H227" s="56" t="s">
        <v>8</v>
      </c>
      <c r="I227" s="55" t="s">
        <v>8</v>
      </c>
      <c r="J227" s="57">
        <v>320.10000000000002</v>
      </c>
      <c r="K227" s="56" t="s">
        <v>2058</v>
      </c>
      <c r="L227" s="56" t="s">
        <v>2059</v>
      </c>
      <c r="M227" s="55" t="s">
        <v>2060</v>
      </c>
      <c r="N227" s="56" t="s">
        <v>2061</v>
      </c>
      <c r="O227" s="53" t="s">
        <v>8</v>
      </c>
      <c r="P227" s="56" t="s">
        <v>2148</v>
      </c>
      <c r="Q227" s="57">
        <v>33000</v>
      </c>
      <c r="R227" s="58" t="s">
        <v>8</v>
      </c>
      <c r="S227" s="57" t="s">
        <v>8</v>
      </c>
      <c r="T227" s="56" t="s">
        <v>2063</v>
      </c>
    </row>
    <row r="228" spans="1:20">
      <c r="A228" s="55">
        <v>125205858756</v>
      </c>
      <c r="B228" s="53" t="s">
        <v>2055</v>
      </c>
      <c r="C228" s="54">
        <v>45906</v>
      </c>
      <c r="D228" s="55">
        <v>49892964014</v>
      </c>
      <c r="E228" s="55">
        <v>2063457278512</v>
      </c>
      <c r="F228" s="56" t="s">
        <v>2056</v>
      </c>
      <c r="G228" s="56" t="s">
        <v>2057</v>
      </c>
      <c r="H228" s="56" t="s">
        <v>8</v>
      </c>
      <c r="I228" s="55" t="s">
        <v>8</v>
      </c>
      <c r="J228" s="57">
        <v>83.42</v>
      </c>
      <c r="K228" s="56" t="s">
        <v>2058</v>
      </c>
      <c r="L228" s="56" t="s">
        <v>2059</v>
      </c>
      <c r="M228" s="55" t="s">
        <v>2060</v>
      </c>
      <c r="N228" s="56" t="s">
        <v>2061</v>
      </c>
      <c r="O228" s="53" t="s">
        <v>8</v>
      </c>
      <c r="P228" s="56" t="s">
        <v>2145</v>
      </c>
      <c r="Q228" s="57">
        <v>8600</v>
      </c>
      <c r="R228" s="58" t="s">
        <v>8</v>
      </c>
      <c r="S228" s="57" t="s">
        <v>8</v>
      </c>
      <c r="T228" s="56" t="s">
        <v>2063</v>
      </c>
    </row>
    <row r="229" spans="1:20">
      <c r="A229" s="55">
        <v>125206345154</v>
      </c>
      <c r="B229" s="53" t="s">
        <v>2055</v>
      </c>
      <c r="C229" s="54">
        <v>45906</v>
      </c>
      <c r="D229" s="55">
        <v>49893191419</v>
      </c>
      <c r="E229" s="55">
        <v>2063420388091</v>
      </c>
      <c r="F229" s="56" t="s">
        <v>2069</v>
      </c>
      <c r="G229" s="56" t="s">
        <v>2057</v>
      </c>
      <c r="H229" s="56" t="s">
        <v>8</v>
      </c>
      <c r="I229" s="55" t="s">
        <v>8</v>
      </c>
      <c r="J229" s="57">
        <v>261.89999999999998</v>
      </c>
      <c r="K229" s="56" t="s">
        <v>2058</v>
      </c>
      <c r="L229" s="56" t="s">
        <v>2059</v>
      </c>
      <c r="M229" s="55" t="s">
        <v>2060</v>
      </c>
      <c r="N229" s="56" t="s">
        <v>2061</v>
      </c>
      <c r="O229" s="53" t="s">
        <v>8</v>
      </c>
      <c r="P229" s="56" t="s">
        <v>2070</v>
      </c>
      <c r="Q229" s="57">
        <v>27000</v>
      </c>
      <c r="R229" s="58" t="s">
        <v>8</v>
      </c>
      <c r="S229" s="57" t="s">
        <v>8</v>
      </c>
      <c r="T229" s="56" t="s">
        <v>8</v>
      </c>
    </row>
    <row r="230" spans="1:20">
      <c r="A230" s="55">
        <v>124660239475</v>
      </c>
      <c r="B230" s="53" t="s">
        <v>2055</v>
      </c>
      <c r="C230" s="54">
        <v>45906</v>
      </c>
      <c r="D230" s="55">
        <v>49893284546</v>
      </c>
      <c r="E230" s="55">
        <v>2063461929996</v>
      </c>
      <c r="F230" s="56" t="s">
        <v>2056</v>
      </c>
      <c r="G230" s="56" t="s">
        <v>2057</v>
      </c>
      <c r="H230" s="56" t="s">
        <v>8</v>
      </c>
      <c r="I230" s="55" t="s">
        <v>8</v>
      </c>
      <c r="J230" s="57">
        <v>75.66</v>
      </c>
      <c r="K230" s="56" t="s">
        <v>2058</v>
      </c>
      <c r="L230" s="56" t="s">
        <v>2059</v>
      </c>
      <c r="M230" s="55" t="s">
        <v>2060</v>
      </c>
      <c r="N230" s="56" t="s">
        <v>2061</v>
      </c>
      <c r="O230" s="53" t="s">
        <v>8</v>
      </c>
      <c r="P230" s="56" t="s">
        <v>2149</v>
      </c>
      <c r="Q230" s="57">
        <v>7800</v>
      </c>
      <c r="R230" s="58" t="s">
        <v>8</v>
      </c>
      <c r="S230" s="57" t="s">
        <v>8</v>
      </c>
      <c r="T230" s="56" t="s">
        <v>2063</v>
      </c>
    </row>
    <row r="231" spans="1:20">
      <c r="A231" s="55">
        <v>124660482969</v>
      </c>
      <c r="B231" s="53" t="s">
        <v>2055</v>
      </c>
      <c r="C231" s="54">
        <v>45906</v>
      </c>
      <c r="D231" s="55">
        <v>49893345075</v>
      </c>
      <c r="E231" s="55">
        <v>2063463267112</v>
      </c>
      <c r="F231" s="56" t="s">
        <v>2056</v>
      </c>
      <c r="G231" s="56" t="s">
        <v>2057</v>
      </c>
      <c r="H231" s="56" t="s">
        <v>8</v>
      </c>
      <c r="I231" s="55" t="s">
        <v>8</v>
      </c>
      <c r="J231" s="57">
        <v>5.82</v>
      </c>
      <c r="K231" s="56" t="s">
        <v>2058</v>
      </c>
      <c r="L231" s="56" t="s">
        <v>2059</v>
      </c>
      <c r="M231" s="55" t="s">
        <v>2060</v>
      </c>
      <c r="N231" s="56" t="s">
        <v>2061</v>
      </c>
      <c r="O231" s="53" t="s">
        <v>8</v>
      </c>
      <c r="P231" s="56" t="s">
        <v>2150</v>
      </c>
      <c r="Q231" s="57">
        <v>600</v>
      </c>
      <c r="R231" s="58" t="s">
        <v>8</v>
      </c>
      <c r="S231" s="57" t="s">
        <v>8</v>
      </c>
      <c r="T231" s="56" t="s">
        <v>2063</v>
      </c>
    </row>
    <row r="232" spans="1:20">
      <c r="A232" s="55">
        <v>124660671863</v>
      </c>
      <c r="B232" s="53" t="s">
        <v>2055</v>
      </c>
      <c r="C232" s="54">
        <v>45906</v>
      </c>
      <c r="D232" s="55">
        <v>49893428573</v>
      </c>
      <c r="E232" s="55">
        <v>2063424793639</v>
      </c>
      <c r="F232" s="56" t="s">
        <v>2056</v>
      </c>
      <c r="G232" s="56" t="s">
        <v>2057</v>
      </c>
      <c r="H232" s="56" t="s">
        <v>8</v>
      </c>
      <c r="I232" s="55" t="s">
        <v>8</v>
      </c>
      <c r="J232" s="57">
        <v>83.42</v>
      </c>
      <c r="K232" s="56" t="s">
        <v>2058</v>
      </c>
      <c r="L232" s="56" t="s">
        <v>2059</v>
      </c>
      <c r="M232" s="55" t="s">
        <v>2060</v>
      </c>
      <c r="N232" s="56" t="s">
        <v>2061</v>
      </c>
      <c r="O232" s="53" t="s">
        <v>8</v>
      </c>
      <c r="P232" s="56" t="s">
        <v>2151</v>
      </c>
      <c r="Q232" s="57">
        <v>8600</v>
      </c>
      <c r="R232" s="58" t="s">
        <v>8</v>
      </c>
      <c r="S232" s="57" t="s">
        <v>8</v>
      </c>
      <c r="T232" s="56" t="s">
        <v>2063</v>
      </c>
    </row>
    <row r="233" spans="1:20">
      <c r="A233" s="55">
        <v>125208294382</v>
      </c>
      <c r="B233" s="53" t="s">
        <v>2055</v>
      </c>
      <c r="C233" s="54">
        <v>45906</v>
      </c>
      <c r="D233" s="55">
        <v>49893800980</v>
      </c>
      <c r="E233" s="55">
        <v>2063471562386</v>
      </c>
      <c r="F233" s="56" t="s">
        <v>2056</v>
      </c>
      <c r="G233" s="56" t="s">
        <v>2057</v>
      </c>
      <c r="H233" s="56" t="s">
        <v>8</v>
      </c>
      <c r="I233" s="55" t="s">
        <v>8</v>
      </c>
      <c r="J233" s="57">
        <v>374.42</v>
      </c>
      <c r="K233" s="56" t="s">
        <v>2058</v>
      </c>
      <c r="L233" s="56" t="s">
        <v>2059</v>
      </c>
      <c r="M233" s="55" t="s">
        <v>2060</v>
      </c>
      <c r="N233" s="56" t="s">
        <v>2061</v>
      </c>
      <c r="O233" s="53" t="s">
        <v>8</v>
      </c>
      <c r="P233" s="56" t="s">
        <v>2152</v>
      </c>
      <c r="Q233" s="57">
        <v>38600</v>
      </c>
      <c r="R233" s="58" t="s">
        <v>8</v>
      </c>
      <c r="S233" s="57" t="s">
        <v>8</v>
      </c>
      <c r="T233" s="56" t="s">
        <v>2063</v>
      </c>
    </row>
    <row r="234" spans="1:20">
      <c r="A234" s="55">
        <v>124662242795</v>
      </c>
      <c r="B234" s="53" t="s">
        <v>2055</v>
      </c>
      <c r="C234" s="54">
        <v>45906</v>
      </c>
      <c r="D234" s="55">
        <v>49893927473</v>
      </c>
      <c r="E234" s="55">
        <v>2063433308901</v>
      </c>
      <c r="F234" s="56" t="s">
        <v>2056</v>
      </c>
      <c r="G234" s="56" t="s">
        <v>2057</v>
      </c>
      <c r="H234" s="56" t="s">
        <v>8</v>
      </c>
      <c r="I234" s="55" t="s">
        <v>8</v>
      </c>
      <c r="J234" s="57">
        <v>378.3</v>
      </c>
      <c r="K234" s="56" t="s">
        <v>2058</v>
      </c>
      <c r="L234" s="56" t="s">
        <v>2059</v>
      </c>
      <c r="M234" s="55" t="s">
        <v>2060</v>
      </c>
      <c r="N234" s="56" t="s">
        <v>2061</v>
      </c>
      <c r="O234" s="53" t="s">
        <v>8</v>
      </c>
      <c r="P234" s="56" t="s">
        <v>2153</v>
      </c>
      <c r="Q234" s="57">
        <v>39000</v>
      </c>
      <c r="R234" s="58" t="s">
        <v>8</v>
      </c>
      <c r="S234" s="57" t="s">
        <v>8</v>
      </c>
      <c r="T234" s="56" t="s">
        <v>2063</v>
      </c>
    </row>
    <row r="235" spans="1:20">
      <c r="A235" s="55">
        <v>124662948695</v>
      </c>
      <c r="B235" s="53" t="s">
        <v>2055</v>
      </c>
      <c r="C235" s="54">
        <v>45906</v>
      </c>
      <c r="D235" s="55">
        <v>49894187355</v>
      </c>
      <c r="E235" s="55">
        <v>2063438278937</v>
      </c>
      <c r="F235" s="56" t="s">
        <v>2066</v>
      </c>
      <c r="G235" s="56" t="s">
        <v>2057</v>
      </c>
      <c r="H235" s="56" t="s">
        <v>8</v>
      </c>
      <c r="I235" s="55" t="s">
        <v>8</v>
      </c>
      <c r="J235" s="57">
        <v>1100.4000000000001</v>
      </c>
      <c r="K235" s="56" t="s">
        <v>2058</v>
      </c>
      <c r="L235" s="56" t="s">
        <v>2067</v>
      </c>
      <c r="M235" s="55" t="s">
        <v>2060</v>
      </c>
      <c r="N235" s="56" t="s">
        <v>2061</v>
      </c>
      <c r="O235" s="53" t="s">
        <v>1790</v>
      </c>
      <c r="P235" s="56" t="s">
        <v>2068</v>
      </c>
      <c r="Q235" s="57">
        <v>28000</v>
      </c>
      <c r="R235" s="58" t="s">
        <v>8</v>
      </c>
      <c r="S235" s="57" t="s">
        <v>8</v>
      </c>
      <c r="T235" s="56" t="s">
        <v>2063</v>
      </c>
    </row>
    <row r="236" spans="1:20">
      <c r="A236" s="55">
        <v>124663516767</v>
      </c>
      <c r="B236" s="53" t="s">
        <v>2055</v>
      </c>
      <c r="C236" s="54">
        <v>45906</v>
      </c>
      <c r="D236" s="55">
        <v>49894406162</v>
      </c>
      <c r="E236" s="55">
        <v>2063441679333</v>
      </c>
      <c r="F236" s="56" t="s">
        <v>2056</v>
      </c>
      <c r="G236" s="56" t="s">
        <v>2057</v>
      </c>
      <c r="H236" s="56" t="s">
        <v>8</v>
      </c>
      <c r="I236" s="55" t="s">
        <v>8</v>
      </c>
      <c r="J236" s="57">
        <v>333.68</v>
      </c>
      <c r="K236" s="56" t="s">
        <v>2058</v>
      </c>
      <c r="L236" s="56" t="s">
        <v>2059</v>
      </c>
      <c r="M236" s="55" t="s">
        <v>2060</v>
      </c>
      <c r="N236" s="56" t="s">
        <v>2061</v>
      </c>
      <c r="O236" s="53" t="s">
        <v>8</v>
      </c>
      <c r="P236" s="56" t="s">
        <v>2154</v>
      </c>
      <c r="Q236" s="57">
        <v>34400</v>
      </c>
      <c r="R236" s="58" t="s">
        <v>8</v>
      </c>
      <c r="S236" s="57" t="s">
        <v>8</v>
      </c>
      <c r="T236" s="56" t="s">
        <v>2063</v>
      </c>
    </row>
    <row r="237" spans="1:20">
      <c r="A237" s="55">
        <v>125210313878</v>
      </c>
      <c r="B237" s="53" t="s">
        <v>2055</v>
      </c>
      <c r="C237" s="54">
        <v>45906</v>
      </c>
      <c r="D237" s="55">
        <v>49894520493</v>
      </c>
      <c r="E237" s="55">
        <v>2063443775055</v>
      </c>
      <c r="F237" s="56" t="s">
        <v>2056</v>
      </c>
      <c r="G237" s="56" t="s">
        <v>2057</v>
      </c>
      <c r="H237" s="56" t="s">
        <v>8</v>
      </c>
      <c r="I237" s="55" t="s">
        <v>8</v>
      </c>
      <c r="J237" s="57">
        <v>83.42</v>
      </c>
      <c r="K237" s="56" t="s">
        <v>2058</v>
      </c>
      <c r="L237" s="56" t="s">
        <v>2059</v>
      </c>
      <c r="M237" s="55" t="s">
        <v>2060</v>
      </c>
      <c r="N237" s="56" t="s">
        <v>2061</v>
      </c>
      <c r="O237" s="53" t="s">
        <v>8</v>
      </c>
      <c r="P237" s="56" t="s">
        <v>2155</v>
      </c>
      <c r="Q237" s="57">
        <v>8600</v>
      </c>
      <c r="R237" s="58" t="s">
        <v>8</v>
      </c>
      <c r="S237" s="57" t="s">
        <v>8</v>
      </c>
      <c r="T237" s="56" t="s">
        <v>2063</v>
      </c>
    </row>
    <row r="238" spans="1:20">
      <c r="A238" s="55">
        <v>125210580296</v>
      </c>
      <c r="B238" s="53" t="s">
        <v>2055</v>
      </c>
      <c r="C238" s="54">
        <v>45906</v>
      </c>
      <c r="D238" s="55">
        <v>49894596587</v>
      </c>
      <c r="E238" s="55">
        <v>2063444863611</v>
      </c>
      <c r="F238" s="56" t="s">
        <v>2056</v>
      </c>
      <c r="G238" s="56" t="s">
        <v>2057</v>
      </c>
      <c r="H238" s="56" t="s">
        <v>8</v>
      </c>
      <c r="I238" s="55" t="s">
        <v>8</v>
      </c>
      <c r="J238" s="57">
        <v>102.82</v>
      </c>
      <c r="K238" s="56" t="s">
        <v>2058</v>
      </c>
      <c r="L238" s="56" t="s">
        <v>2059</v>
      </c>
      <c r="M238" s="55" t="s">
        <v>2060</v>
      </c>
      <c r="N238" s="56" t="s">
        <v>2061</v>
      </c>
      <c r="O238" s="53" t="s">
        <v>8</v>
      </c>
      <c r="P238" s="56" t="s">
        <v>2156</v>
      </c>
      <c r="Q238" s="57">
        <v>10600</v>
      </c>
      <c r="R238" s="58" t="s">
        <v>8</v>
      </c>
      <c r="S238" s="57" t="s">
        <v>8</v>
      </c>
      <c r="T238" s="56" t="s">
        <v>2063</v>
      </c>
    </row>
    <row r="239" spans="1:20">
      <c r="A239" s="55">
        <v>125210591466</v>
      </c>
      <c r="B239" s="53" t="s">
        <v>2055</v>
      </c>
      <c r="C239" s="54">
        <v>45906</v>
      </c>
      <c r="D239" s="55">
        <v>49894630521</v>
      </c>
      <c r="E239" s="55">
        <v>2063486044510</v>
      </c>
      <c r="F239" s="56" t="s">
        <v>2056</v>
      </c>
      <c r="G239" s="56" t="s">
        <v>2057</v>
      </c>
      <c r="H239" s="56" t="s">
        <v>8</v>
      </c>
      <c r="I239" s="55" t="s">
        <v>8</v>
      </c>
      <c r="J239" s="57">
        <v>437.47</v>
      </c>
      <c r="K239" s="56" t="s">
        <v>2058</v>
      </c>
      <c r="L239" s="56" t="s">
        <v>2059</v>
      </c>
      <c r="M239" s="55" t="s">
        <v>2060</v>
      </c>
      <c r="N239" s="56" t="s">
        <v>2061</v>
      </c>
      <c r="O239" s="53" t="s">
        <v>8</v>
      </c>
      <c r="P239" s="56" t="s">
        <v>2157</v>
      </c>
      <c r="Q239" s="57">
        <v>45100</v>
      </c>
      <c r="R239" s="58" t="s">
        <v>8</v>
      </c>
      <c r="S239" s="57" t="s">
        <v>8</v>
      </c>
      <c r="T239" s="56" t="s">
        <v>2063</v>
      </c>
    </row>
    <row r="240" spans="1:20">
      <c r="A240" s="55">
        <v>124664329219</v>
      </c>
      <c r="B240" s="53" t="s">
        <v>2055</v>
      </c>
      <c r="C240" s="54">
        <v>45906</v>
      </c>
      <c r="D240" s="55">
        <v>49894662121</v>
      </c>
      <c r="E240" s="55">
        <v>2063446099865</v>
      </c>
      <c r="F240" s="56" t="s">
        <v>2056</v>
      </c>
      <c r="G240" s="56" t="s">
        <v>2057</v>
      </c>
      <c r="H240" s="56" t="s">
        <v>8</v>
      </c>
      <c r="I240" s="55" t="s">
        <v>8</v>
      </c>
      <c r="J240" s="57">
        <v>279.36</v>
      </c>
      <c r="K240" s="56" t="s">
        <v>2058</v>
      </c>
      <c r="L240" s="56" t="s">
        <v>2059</v>
      </c>
      <c r="M240" s="55" t="s">
        <v>2060</v>
      </c>
      <c r="N240" s="56" t="s">
        <v>2061</v>
      </c>
      <c r="O240" s="53" t="s">
        <v>8</v>
      </c>
      <c r="P240" s="56" t="s">
        <v>2158</v>
      </c>
      <c r="Q240" s="57">
        <v>28800</v>
      </c>
      <c r="R240" s="58" t="s">
        <v>8</v>
      </c>
      <c r="S240" s="57" t="s">
        <v>8</v>
      </c>
      <c r="T240" s="56" t="s">
        <v>2063</v>
      </c>
    </row>
    <row r="241" spans="1:20">
      <c r="A241" s="55">
        <v>124664940299</v>
      </c>
      <c r="B241" s="53" t="s">
        <v>2055</v>
      </c>
      <c r="C241" s="54">
        <v>45906</v>
      </c>
      <c r="D241" s="55">
        <v>49894830954</v>
      </c>
      <c r="E241" s="55">
        <v>2063489489602</v>
      </c>
      <c r="F241" s="56" t="s">
        <v>2056</v>
      </c>
      <c r="G241" s="56" t="s">
        <v>2057</v>
      </c>
      <c r="H241" s="56" t="s">
        <v>8</v>
      </c>
      <c r="I241" s="55" t="s">
        <v>8</v>
      </c>
      <c r="J241" s="57">
        <v>82.45</v>
      </c>
      <c r="K241" s="56" t="s">
        <v>2058</v>
      </c>
      <c r="L241" s="56" t="s">
        <v>2059</v>
      </c>
      <c r="M241" s="55" t="s">
        <v>2060</v>
      </c>
      <c r="N241" s="56" t="s">
        <v>2061</v>
      </c>
      <c r="O241" s="53" t="s">
        <v>8</v>
      </c>
      <c r="P241" s="56" t="s">
        <v>2159</v>
      </c>
      <c r="Q241" s="57">
        <v>8500</v>
      </c>
      <c r="R241" s="58" t="s">
        <v>8</v>
      </c>
      <c r="S241" s="57" t="s">
        <v>8</v>
      </c>
      <c r="T241" s="56" t="s">
        <v>2063</v>
      </c>
    </row>
    <row r="242" spans="1:20">
      <c r="A242" s="55">
        <v>124664971085</v>
      </c>
      <c r="B242" s="53" t="s">
        <v>2055</v>
      </c>
      <c r="C242" s="54">
        <v>45906</v>
      </c>
      <c r="D242" s="55">
        <v>49894869720</v>
      </c>
      <c r="E242" s="55">
        <v>2063449934539</v>
      </c>
      <c r="F242" s="56" t="s">
        <v>2056</v>
      </c>
      <c r="G242" s="56" t="s">
        <v>2057</v>
      </c>
      <c r="H242" s="56" t="s">
        <v>8</v>
      </c>
      <c r="I242" s="55" t="s">
        <v>8</v>
      </c>
      <c r="J242" s="57">
        <v>531.55999999999995</v>
      </c>
      <c r="K242" s="56" t="s">
        <v>2058</v>
      </c>
      <c r="L242" s="56" t="s">
        <v>2059</v>
      </c>
      <c r="M242" s="55" t="s">
        <v>2060</v>
      </c>
      <c r="N242" s="56" t="s">
        <v>2061</v>
      </c>
      <c r="O242" s="53" t="s">
        <v>8</v>
      </c>
      <c r="P242" s="56" t="s">
        <v>2160</v>
      </c>
      <c r="Q242" s="57">
        <v>54800</v>
      </c>
      <c r="R242" s="58" t="s">
        <v>8</v>
      </c>
      <c r="S242" s="57" t="s">
        <v>8</v>
      </c>
      <c r="T242" s="56" t="s">
        <v>2063</v>
      </c>
    </row>
    <row r="243" spans="1:20">
      <c r="A243" s="55">
        <v>124665395075</v>
      </c>
      <c r="B243" s="53" t="s">
        <v>2055</v>
      </c>
      <c r="C243" s="54">
        <v>45906</v>
      </c>
      <c r="D243" s="55">
        <v>49895032680</v>
      </c>
      <c r="E243" s="55">
        <v>2063453036843</v>
      </c>
      <c r="F243" s="56" t="s">
        <v>2066</v>
      </c>
      <c r="G243" s="56" t="s">
        <v>2057</v>
      </c>
      <c r="H243" s="56" t="s">
        <v>8</v>
      </c>
      <c r="I243" s="55" t="s">
        <v>8</v>
      </c>
      <c r="J243" s="57">
        <v>1076.82</v>
      </c>
      <c r="K243" s="56" t="s">
        <v>2058</v>
      </c>
      <c r="L243" s="56" t="s">
        <v>2067</v>
      </c>
      <c r="M243" s="55" t="s">
        <v>2060</v>
      </c>
      <c r="N243" s="56" t="s">
        <v>2061</v>
      </c>
      <c r="O243" s="53" t="s">
        <v>1790</v>
      </c>
      <c r="P243" s="56" t="s">
        <v>2068</v>
      </c>
      <c r="Q243" s="57">
        <v>27400</v>
      </c>
      <c r="R243" s="58" t="s">
        <v>8</v>
      </c>
      <c r="S243" s="57" t="s">
        <v>8</v>
      </c>
      <c r="T243" s="56" t="s">
        <v>2063</v>
      </c>
    </row>
    <row r="244" spans="1:20">
      <c r="A244" s="55">
        <v>124665509203</v>
      </c>
      <c r="B244" s="53" t="s">
        <v>2055</v>
      </c>
      <c r="C244" s="54">
        <v>45906</v>
      </c>
      <c r="D244" s="55">
        <v>49895081324</v>
      </c>
      <c r="E244" s="55">
        <v>2063453625223</v>
      </c>
      <c r="F244" s="56" t="s">
        <v>2056</v>
      </c>
      <c r="G244" s="56" t="s">
        <v>2057</v>
      </c>
      <c r="H244" s="56" t="s">
        <v>8</v>
      </c>
      <c r="I244" s="55" t="s">
        <v>8</v>
      </c>
      <c r="J244" s="57">
        <v>430.68</v>
      </c>
      <c r="K244" s="56" t="s">
        <v>2058</v>
      </c>
      <c r="L244" s="56" t="s">
        <v>2059</v>
      </c>
      <c r="M244" s="55" t="s">
        <v>2060</v>
      </c>
      <c r="N244" s="56" t="s">
        <v>2061</v>
      </c>
      <c r="O244" s="53" t="s">
        <v>8</v>
      </c>
      <c r="P244" s="56" t="s">
        <v>2161</v>
      </c>
      <c r="Q244" s="57">
        <v>44400</v>
      </c>
      <c r="R244" s="58" t="s">
        <v>8</v>
      </c>
      <c r="S244" s="57" t="s">
        <v>8</v>
      </c>
      <c r="T244" s="56" t="s">
        <v>2063</v>
      </c>
    </row>
    <row r="245" spans="1:20">
      <c r="A245" s="55">
        <v>125212296296</v>
      </c>
      <c r="B245" s="53" t="s">
        <v>2055</v>
      </c>
      <c r="C245" s="54">
        <v>45906</v>
      </c>
      <c r="D245" s="55">
        <v>49895161368</v>
      </c>
      <c r="E245" s="55">
        <v>2063455014199</v>
      </c>
      <c r="F245" s="56" t="s">
        <v>2056</v>
      </c>
      <c r="G245" s="56" t="s">
        <v>2057</v>
      </c>
      <c r="H245" s="56" t="s">
        <v>8</v>
      </c>
      <c r="I245" s="55" t="s">
        <v>8</v>
      </c>
      <c r="J245" s="57">
        <v>75.66</v>
      </c>
      <c r="K245" s="56" t="s">
        <v>2058</v>
      </c>
      <c r="L245" s="56" t="s">
        <v>2059</v>
      </c>
      <c r="M245" s="55" t="s">
        <v>2060</v>
      </c>
      <c r="N245" s="56" t="s">
        <v>2061</v>
      </c>
      <c r="O245" s="53" t="s">
        <v>8</v>
      </c>
      <c r="P245" s="56" t="s">
        <v>2162</v>
      </c>
      <c r="Q245" s="57">
        <v>7800</v>
      </c>
      <c r="R245" s="58" t="s">
        <v>8</v>
      </c>
      <c r="S245" s="57" t="s">
        <v>8</v>
      </c>
      <c r="T245" s="56" t="s">
        <v>2063</v>
      </c>
    </row>
    <row r="246" spans="1:20">
      <c r="A246" s="55">
        <v>125212279366</v>
      </c>
      <c r="B246" s="53" t="s">
        <v>2055</v>
      </c>
      <c r="C246" s="54">
        <v>45906</v>
      </c>
      <c r="D246" s="55">
        <v>49895181470</v>
      </c>
      <c r="E246" s="55">
        <v>2063455144759</v>
      </c>
      <c r="F246" s="56" t="s">
        <v>2056</v>
      </c>
      <c r="G246" s="56" t="s">
        <v>2057</v>
      </c>
      <c r="H246" s="56" t="s">
        <v>8</v>
      </c>
      <c r="I246" s="55" t="s">
        <v>8</v>
      </c>
      <c r="J246" s="57">
        <v>82.45</v>
      </c>
      <c r="K246" s="56" t="s">
        <v>2058</v>
      </c>
      <c r="L246" s="56" t="s">
        <v>2059</v>
      </c>
      <c r="M246" s="55" t="s">
        <v>2060</v>
      </c>
      <c r="N246" s="56" t="s">
        <v>2061</v>
      </c>
      <c r="O246" s="53" t="s">
        <v>8</v>
      </c>
      <c r="P246" s="56" t="s">
        <v>2163</v>
      </c>
      <c r="Q246" s="57">
        <v>8500</v>
      </c>
      <c r="R246" s="58" t="s">
        <v>8</v>
      </c>
      <c r="S246" s="57" t="s">
        <v>8</v>
      </c>
      <c r="T246" s="56" t="s">
        <v>2063</v>
      </c>
    </row>
    <row r="247" spans="1:20">
      <c r="A247" s="55">
        <v>124665912009</v>
      </c>
      <c r="B247" s="53" t="s">
        <v>2055</v>
      </c>
      <c r="C247" s="54">
        <v>45906</v>
      </c>
      <c r="D247" s="55">
        <v>49895257613</v>
      </c>
      <c r="E247" s="55">
        <v>2063456380993</v>
      </c>
      <c r="F247" s="56" t="s">
        <v>2056</v>
      </c>
      <c r="G247" s="56" t="s">
        <v>2057</v>
      </c>
      <c r="H247" s="56" t="s">
        <v>8</v>
      </c>
      <c r="I247" s="55" t="s">
        <v>8</v>
      </c>
      <c r="J247" s="57">
        <v>420.98</v>
      </c>
      <c r="K247" s="56" t="s">
        <v>2058</v>
      </c>
      <c r="L247" s="56" t="s">
        <v>2059</v>
      </c>
      <c r="M247" s="55" t="s">
        <v>2060</v>
      </c>
      <c r="N247" s="56" t="s">
        <v>2061</v>
      </c>
      <c r="O247" s="53" t="s">
        <v>8</v>
      </c>
      <c r="P247" s="56" t="s">
        <v>2164</v>
      </c>
      <c r="Q247" s="57">
        <v>43400</v>
      </c>
      <c r="R247" s="58" t="s">
        <v>8</v>
      </c>
      <c r="S247" s="57" t="s">
        <v>8</v>
      </c>
      <c r="T247" s="56" t="s">
        <v>2063</v>
      </c>
    </row>
    <row r="248" spans="1:20">
      <c r="A248" s="55">
        <v>124666058581</v>
      </c>
      <c r="B248" s="53" t="s">
        <v>2055</v>
      </c>
      <c r="C248" s="54">
        <v>45906</v>
      </c>
      <c r="D248" s="55">
        <v>49895266079</v>
      </c>
      <c r="E248" s="55">
        <v>2063456675075</v>
      </c>
      <c r="F248" s="56" t="s">
        <v>2066</v>
      </c>
      <c r="G248" s="56" t="s">
        <v>2057</v>
      </c>
      <c r="H248" s="56" t="s">
        <v>8</v>
      </c>
      <c r="I248" s="55" t="s">
        <v>8</v>
      </c>
      <c r="J248" s="57">
        <v>1406.94</v>
      </c>
      <c r="K248" s="56" t="s">
        <v>2058</v>
      </c>
      <c r="L248" s="56" t="s">
        <v>2067</v>
      </c>
      <c r="M248" s="55" t="s">
        <v>2060</v>
      </c>
      <c r="N248" s="56" t="s">
        <v>2061</v>
      </c>
      <c r="O248" s="53" t="s">
        <v>1790</v>
      </c>
      <c r="P248" s="56" t="s">
        <v>2068</v>
      </c>
      <c r="Q248" s="57">
        <v>35800</v>
      </c>
      <c r="R248" s="58" t="s">
        <v>8</v>
      </c>
      <c r="S248" s="57" t="s">
        <v>8</v>
      </c>
      <c r="T248" s="56" t="s">
        <v>2063</v>
      </c>
    </row>
    <row r="249" spans="1:20">
      <c r="A249" s="55">
        <v>125212465982</v>
      </c>
      <c r="B249" s="53" t="s">
        <v>2055</v>
      </c>
      <c r="C249" s="54">
        <v>45906</v>
      </c>
      <c r="D249" s="55">
        <v>49895299461</v>
      </c>
      <c r="E249" s="55">
        <v>2063497521130</v>
      </c>
      <c r="F249" s="56" t="s">
        <v>2056</v>
      </c>
      <c r="G249" s="56" t="s">
        <v>2057</v>
      </c>
      <c r="H249" s="56" t="s">
        <v>8</v>
      </c>
      <c r="I249" s="55" t="s">
        <v>8</v>
      </c>
      <c r="J249" s="57">
        <v>41.71</v>
      </c>
      <c r="K249" s="56" t="s">
        <v>2058</v>
      </c>
      <c r="L249" s="56" t="s">
        <v>2059</v>
      </c>
      <c r="M249" s="55" t="s">
        <v>2060</v>
      </c>
      <c r="N249" s="56" t="s">
        <v>2061</v>
      </c>
      <c r="O249" s="53" t="s">
        <v>8</v>
      </c>
      <c r="P249" s="56" t="s">
        <v>2165</v>
      </c>
      <c r="Q249" s="57">
        <v>4300</v>
      </c>
      <c r="R249" s="58" t="s">
        <v>8</v>
      </c>
      <c r="S249" s="57" t="s">
        <v>8</v>
      </c>
      <c r="T249" s="56" t="s">
        <v>2063</v>
      </c>
    </row>
    <row r="250" spans="1:20">
      <c r="A250" s="55">
        <v>125212652108</v>
      </c>
      <c r="B250" s="53" t="s">
        <v>2055</v>
      </c>
      <c r="C250" s="54">
        <v>45906</v>
      </c>
      <c r="D250" s="55">
        <v>49895309161</v>
      </c>
      <c r="E250" s="55">
        <v>2063457619613</v>
      </c>
      <c r="F250" s="56" t="s">
        <v>2066</v>
      </c>
      <c r="G250" s="56" t="s">
        <v>2057</v>
      </c>
      <c r="H250" s="56" t="s">
        <v>8</v>
      </c>
      <c r="I250" s="55" t="s">
        <v>8</v>
      </c>
      <c r="J250" s="57">
        <v>4979.32</v>
      </c>
      <c r="K250" s="56" t="s">
        <v>2058</v>
      </c>
      <c r="L250" s="56" t="s">
        <v>2067</v>
      </c>
      <c r="M250" s="55" t="s">
        <v>2060</v>
      </c>
      <c r="N250" s="56" t="s">
        <v>2061</v>
      </c>
      <c r="O250" s="53" t="s">
        <v>1790</v>
      </c>
      <c r="P250" s="56" t="s">
        <v>2068</v>
      </c>
      <c r="Q250" s="57">
        <v>44300</v>
      </c>
      <c r="R250" s="58" t="s">
        <v>8</v>
      </c>
      <c r="S250" s="57" t="s">
        <v>8</v>
      </c>
      <c r="T250" s="56" t="s">
        <v>2063</v>
      </c>
    </row>
    <row r="251" spans="1:20">
      <c r="A251" s="55">
        <v>125213185822</v>
      </c>
      <c r="B251" s="53" t="s">
        <v>2055</v>
      </c>
      <c r="C251" s="54">
        <v>45906</v>
      </c>
      <c r="D251" s="55">
        <v>49895550426</v>
      </c>
      <c r="E251" s="55">
        <v>2063501713738</v>
      </c>
      <c r="F251" s="56" t="s">
        <v>2056</v>
      </c>
      <c r="G251" s="56" t="s">
        <v>2057</v>
      </c>
      <c r="H251" s="56" t="s">
        <v>8</v>
      </c>
      <c r="I251" s="55" t="s">
        <v>8</v>
      </c>
      <c r="J251" s="57">
        <v>148.41</v>
      </c>
      <c r="K251" s="56" t="s">
        <v>2058</v>
      </c>
      <c r="L251" s="56" t="s">
        <v>2059</v>
      </c>
      <c r="M251" s="55" t="s">
        <v>2060</v>
      </c>
      <c r="N251" s="56" t="s">
        <v>2061</v>
      </c>
      <c r="O251" s="53" t="s">
        <v>8</v>
      </c>
      <c r="P251" s="56" t="s">
        <v>2166</v>
      </c>
      <c r="Q251" s="57">
        <v>15300</v>
      </c>
      <c r="R251" s="58" t="s">
        <v>8</v>
      </c>
      <c r="S251" s="57" t="s">
        <v>8</v>
      </c>
      <c r="T251" s="56" t="s">
        <v>2063</v>
      </c>
    </row>
    <row r="252" spans="1:20">
      <c r="A252" s="55">
        <v>124666970071</v>
      </c>
      <c r="B252" s="53" t="s">
        <v>2055</v>
      </c>
      <c r="C252" s="54">
        <v>45906</v>
      </c>
      <c r="D252" s="55">
        <v>49895613567</v>
      </c>
      <c r="E252" s="55">
        <v>2063462749517</v>
      </c>
      <c r="F252" s="56" t="s">
        <v>2056</v>
      </c>
      <c r="G252" s="56" t="s">
        <v>2057</v>
      </c>
      <c r="H252" s="56" t="s">
        <v>8</v>
      </c>
      <c r="I252" s="55" t="s">
        <v>8</v>
      </c>
      <c r="J252" s="57">
        <v>202.73</v>
      </c>
      <c r="K252" s="56" t="s">
        <v>2058</v>
      </c>
      <c r="L252" s="56" t="s">
        <v>2059</v>
      </c>
      <c r="M252" s="55" t="s">
        <v>2060</v>
      </c>
      <c r="N252" s="56" t="s">
        <v>2061</v>
      </c>
      <c r="O252" s="53" t="s">
        <v>8</v>
      </c>
      <c r="P252" s="56" t="s">
        <v>2167</v>
      </c>
      <c r="Q252" s="57">
        <v>20900</v>
      </c>
      <c r="R252" s="58" t="s">
        <v>8</v>
      </c>
      <c r="S252" s="57" t="s">
        <v>8</v>
      </c>
      <c r="T252" s="56" t="s">
        <v>2063</v>
      </c>
    </row>
    <row r="253" spans="1:20">
      <c r="A253" s="55">
        <v>125213846894</v>
      </c>
      <c r="B253" s="53" t="s">
        <v>2055</v>
      </c>
      <c r="C253" s="54">
        <v>45906</v>
      </c>
      <c r="D253" s="55">
        <v>49895745285</v>
      </c>
      <c r="E253" s="55">
        <v>2063464714087</v>
      </c>
      <c r="F253" s="56" t="s">
        <v>2066</v>
      </c>
      <c r="G253" s="56" t="s">
        <v>2057</v>
      </c>
      <c r="H253" s="56" t="s">
        <v>8</v>
      </c>
      <c r="I253" s="55" t="s">
        <v>8</v>
      </c>
      <c r="J253" s="57">
        <v>459.81</v>
      </c>
      <c r="K253" s="56" t="s">
        <v>2058</v>
      </c>
      <c r="L253" s="56" t="s">
        <v>2067</v>
      </c>
      <c r="M253" s="55" t="s">
        <v>2060</v>
      </c>
      <c r="N253" s="56" t="s">
        <v>2061</v>
      </c>
      <c r="O253" s="53" t="s">
        <v>1790</v>
      </c>
      <c r="P253" s="56" t="s">
        <v>2068</v>
      </c>
      <c r="Q253" s="57">
        <v>11700</v>
      </c>
      <c r="R253" s="58" t="s">
        <v>8</v>
      </c>
      <c r="S253" s="57" t="s">
        <v>8</v>
      </c>
      <c r="T253" s="56" t="s">
        <v>2063</v>
      </c>
    </row>
    <row r="254" spans="1:20">
      <c r="A254" s="55">
        <v>125213889984</v>
      </c>
      <c r="B254" s="53" t="s">
        <v>2055</v>
      </c>
      <c r="C254" s="54">
        <v>45906</v>
      </c>
      <c r="D254" s="55">
        <v>49895777268</v>
      </c>
      <c r="E254" s="55">
        <v>2063465345363</v>
      </c>
      <c r="F254" s="56" t="s">
        <v>2069</v>
      </c>
      <c r="G254" s="56" t="s">
        <v>2057</v>
      </c>
      <c r="H254" s="56" t="s">
        <v>8</v>
      </c>
      <c r="I254" s="55" t="s">
        <v>8</v>
      </c>
      <c r="J254" s="57">
        <v>67.900000000000006</v>
      </c>
      <c r="K254" s="56" t="s">
        <v>2058</v>
      </c>
      <c r="L254" s="56" t="s">
        <v>2059</v>
      </c>
      <c r="M254" s="55" t="s">
        <v>2060</v>
      </c>
      <c r="N254" s="56" t="s">
        <v>2061</v>
      </c>
      <c r="O254" s="53" t="s">
        <v>8</v>
      </c>
      <c r="P254" s="56" t="s">
        <v>2070</v>
      </c>
      <c r="Q254" s="57">
        <v>7000</v>
      </c>
      <c r="R254" s="58" t="s">
        <v>8</v>
      </c>
      <c r="S254" s="57" t="s">
        <v>8</v>
      </c>
      <c r="T254" s="56" t="s">
        <v>8</v>
      </c>
    </row>
    <row r="255" spans="1:20">
      <c r="A255" s="55">
        <v>125214339204</v>
      </c>
      <c r="B255" s="53" t="s">
        <v>2055</v>
      </c>
      <c r="C255" s="54">
        <v>45906</v>
      </c>
      <c r="D255" s="55">
        <v>49895930652</v>
      </c>
      <c r="E255" s="55">
        <v>2063508246536</v>
      </c>
      <c r="F255" s="56" t="s">
        <v>2056</v>
      </c>
      <c r="G255" s="56" t="s">
        <v>2057</v>
      </c>
      <c r="H255" s="56" t="s">
        <v>8</v>
      </c>
      <c r="I255" s="55" t="s">
        <v>8</v>
      </c>
      <c r="J255" s="57">
        <v>333.68</v>
      </c>
      <c r="K255" s="56" t="s">
        <v>2058</v>
      </c>
      <c r="L255" s="56" t="s">
        <v>2059</v>
      </c>
      <c r="M255" s="55" t="s">
        <v>2060</v>
      </c>
      <c r="N255" s="56" t="s">
        <v>2061</v>
      </c>
      <c r="O255" s="53" t="s">
        <v>8</v>
      </c>
      <c r="P255" s="56" t="s">
        <v>2168</v>
      </c>
      <c r="Q255" s="57">
        <v>34400</v>
      </c>
      <c r="R255" s="58" t="s">
        <v>8</v>
      </c>
      <c r="S255" s="57" t="s">
        <v>8</v>
      </c>
      <c r="T255" s="56" t="s">
        <v>2063</v>
      </c>
    </row>
    <row r="256" spans="1:20">
      <c r="A256" s="55">
        <v>124667883929</v>
      </c>
      <c r="B256" s="53" t="s">
        <v>2055</v>
      </c>
      <c r="C256" s="54">
        <v>45906</v>
      </c>
      <c r="D256" s="55">
        <v>49895960691</v>
      </c>
      <c r="E256" s="55">
        <v>2063468308305</v>
      </c>
      <c r="F256" s="56" t="s">
        <v>2056</v>
      </c>
      <c r="G256" s="56" t="s">
        <v>2057</v>
      </c>
      <c r="H256" s="56" t="s">
        <v>8</v>
      </c>
      <c r="I256" s="55" t="s">
        <v>8</v>
      </c>
      <c r="J256" s="57">
        <v>787.64</v>
      </c>
      <c r="K256" s="56" t="s">
        <v>2058</v>
      </c>
      <c r="L256" s="56" t="s">
        <v>2059</v>
      </c>
      <c r="M256" s="55" t="s">
        <v>2060</v>
      </c>
      <c r="N256" s="56" t="s">
        <v>2061</v>
      </c>
      <c r="O256" s="53" t="s">
        <v>8</v>
      </c>
      <c r="P256" s="56" t="s">
        <v>2169</v>
      </c>
      <c r="Q256" s="57">
        <v>81200</v>
      </c>
      <c r="R256" s="58" t="s">
        <v>8</v>
      </c>
      <c r="S256" s="57" t="s">
        <v>8</v>
      </c>
      <c r="T256" s="56" t="s">
        <v>2063</v>
      </c>
    </row>
    <row r="257" spans="1:20">
      <c r="A257" s="55">
        <v>125214441310</v>
      </c>
      <c r="B257" s="53" t="s">
        <v>2055</v>
      </c>
      <c r="C257" s="54">
        <v>45906</v>
      </c>
      <c r="D257" s="55">
        <v>49895994573</v>
      </c>
      <c r="E257" s="55">
        <v>2063468642837</v>
      </c>
      <c r="F257" s="56" t="s">
        <v>2056</v>
      </c>
      <c r="G257" s="56" t="s">
        <v>2057</v>
      </c>
      <c r="H257" s="56" t="s">
        <v>8</v>
      </c>
      <c r="I257" s="55" t="s">
        <v>8</v>
      </c>
      <c r="J257" s="57">
        <v>324.95</v>
      </c>
      <c r="K257" s="56" t="s">
        <v>2058</v>
      </c>
      <c r="L257" s="56" t="s">
        <v>2059</v>
      </c>
      <c r="M257" s="55" t="s">
        <v>2060</v>
      </c>
      <c r="N257" s="56" t="s">
        <v>2061</v>
      </c>
      <c r="O257" s="53" t="s">
        <v>8</v>
      </c>
      <c r="P257" s="56" t="s">
        <v>2170</v>
      </c>
      <c r="Q257" s="57">
        <v>33500</v>
      </c>
      <c r="R257" s="58" t="s">
        <v>8</v>
      </c>
      <c r="S257" s="57" t="s">
        <v>8</v>
      </c>
      <c r="T257" s="56" t="s">
        <v>2063</v>
      </c>
    </row>
    <row r="258" spans="1:20">
      <c r="A258" s="55">
        <v>124668378655</v>
      </c>
      <c r="B258" s="53" t="s">
        <v>2055</v>
      </c>
      <c r="C258" s="54">
        <v>45906</v>
      </c>
      <c r="D258" s="55">
        <v>49896096853</v>
      </c>
      <c r="E258" s="55">
        <v>2063470536115</v>
      </c>
      <c r="F258" s="56" t="s">
        <v>2066</v>
      </c>
      <c r="G258" s="56" t="s">
        <v>2057</v>
      </c>
      <c r="H258" s="56" t="s">
        <v>8</v>
      </c>
      <c r="I258" s="55" t="s">
        <v>8</v>
      </c>
      <c r="J258" s="57">
        <v>306.54000000000002</v>
      </c>
      <c r="K258" s="56" t="s">
        <v>2058</v>
      </c>
      <c r="L258" s="56" t="s">
        <v>2067</v>
      </c>
      <c r="M258" s="55" t="s">
        <v>2060</v>
      </c>
      <c r="N258" s="56" t="s">
        <v>2061</v>
      </c>
      <c r="O258" s="53" t="s">
        <v>1790</v>
      </c>
      <c r="P258" s="56" t="s">
        <v>2068</v>
      </c>
      <c r="Q258" s="57">
        <v>7800</v>
      </c>
      <c r="R258" s="58" t="s">
        <v>8</v>
      </c>
      <c r="S258" s="57" t="s">
        <v>8</v>
      </c>
      <c r="T258" s="56" t="s">
        <v>2063</v>
      </c>
    </row>
    <row r="259" spans="1:20">
      <c r="A259" s="55">
        <v>125215046740</v>
      </c>
      <c r="B259" s="53" t="s">
        <v>2055</v>
      </c>
      <c r="C259" s="54">
        <v>45906</v>
      </c>
      <c r="D259" s="55">
        <v>49896219864</v>
      </c>
      <c r="E259" s="55">
        <v>2063512780484</v>
      </c>
      <c r="F259" s="56" t="s">
        <v>2069</v>
      </c>
      <c r="G259" s="56" t="s">
        <v>2057</v>
      </c>
      <c r="H259" s="56" t="s">
        <v>8</v>
      </c>
      <c r="I259" s="55" t="s">
        <v>8</v>
      </c>
      <c r="J259" s="57">
        <v>82.45</v>
      </c>
      <c r="K259" s="56" t="s">
        <v>2058</v>
      </c>
      <c r="L259" s="56" t="s">
        <v>2059</v>
      </c>
      <c r="M259" s="55" t="s">
        <v>2060</v>
      </c>
      <c r="N259" s="56" t="s">
        <v>2061</v>
      </c>
      <c r="O259" s="53" t="s">
        <v>8</v>
      </c>
      <c r="P259" s="56" t="s">
        <v>2070</v>
      </c>
      <c r="Q259" s="57">
        <v>8500</v>
      </c>
      <c r="R259" s="58" t="s">
        <v>8</v>
      </c>
      <c r="S259" s="57" t="s">
        <v>8</v>
      </c>
      <c r="T259" s="56" t="s">
        <v>8</v>
      </c>
    </row>
    <row r="260" spans="1:20">
      <c r="A260" s="55">
        <v>125215388296</v>
      </c>
      <c r="B260" s="53" t="s">
        <v>2055</v>
      </c>
      <c r="C260" s="54">
        <v>45906</v>
      </c>
      <c r="D260" s="55">
        <v>49896314529</v>
      </c>
      <c r="E260" s="55">
        <v>2063514296778</v>
      </c>
      <c r="F260" s="56" t="s">
        <v>2056</v>
      </c>
      <c r="G260" s="56" t="s">
        <v>2057</v>
      </c>
      <c r="H260" s="56" t="s">
        <v>8</v>
      </c>
      <c r="I260" s="55" t="s">
        <v>8</v>
      </c>
      <c r="J260" s="57">
        <v>356.96</v>
      </c>
      <c r="K260" s="56" t="s">
        <v>2058</v>
      </c>
      <c r="L260" s="56" t="s">
        <v>2059</v>
      </c>
      <c r="M260" s="55" t="s">
        <v>2060</v>
      </c>
      <c r="N260" s="56" t="s">
        <v>2061</v>
      </c>
      <c r="O260" s="53" t="s">
        <v>8</v>
      </c>
      <c r="P260" s="56" t="s">
        <v>2171</v>
      </c>
      <c r="Q260" s="57">
        <v>36800</v>
      </c>
      <c r="R260" s="58" t="s">
        <v>8</v>
      </c>
      <c r="S260" s="57" t="s">
        <v>8</v>
      </c>
      <c r="T260" s="56" t="s">
        <v>2063</v>
      </c>
    </row>
    <row r="261" spans="1:20">
      <c r="A261" s="55">
        <v>124668982491</v>
      </c>
      <c r="B261" s="53" t="s">
        <v>2055</v>
      </c>
      <c r="C261" s="54">
        <v>45906</v>
      </c>
      <c r="D261" s="55">
        <v>49896321589</v>
      </c>
      <c r="E261" s="55">
        <v>2063515047980</v>
      </c>
      <c r="F261" s="56" t="s">
        <v>2066</v>
      </c>
      <c r="G261" s="56" t="s">
        <v>2057</v>
      </c>
      <c r="H261" s="56" t="s">
        <v>8</v>
      </c>
      <c r="I261" s="55" t="s">
        <v>8</v>
      </c>
      <c r="J261" s="57">
        <v>2027.88</v>
      </c>
      <c r="K261" s="56" t="s">
        <v>2058</v>
      </c>
      <c r="L261" s="56" t="s">
        <v>2067</v>
      </c>
      <c r="M261" s="55" t="s">
        <v>2060</v>
      </c>
      <c r="N261" s="56" t="s">
        <v>2061</v>
      </c>
      <c r="O261" s="53" t="s">
        <v>1790</v>
      </c>
      <c r="P261" s="56" t="s">
        <v>2068</v>
      </c>
      <c r="Q261" s="57">
        <v>51600</v>
      </c>
      <c r="R261" s="58" t="s">
        <v>8</v>
      </c>
      <c r="S261" s="57" t="s">
        <v>8</v>
      </c>
      <c r="T261" s="56" t="s">
        <v>2063</v>
      </c>
    </row>
    <row r="262" spans="1:20">
      <c r="A262" s="55">
        <v>124669082353</v>
      </c>
      <c r="B262" s="53" t="s">
        <v>2055</v>
      </c>
      <c r="C262" s="54">
        <v>45906</v>
      </c>
      <c r="D262" s="55">
        <v>49896369718</v>
      </c>
      <c r="E262" s="55">
        <v>2063515517732</v>
      </c>
      <c r="F262" s="56" t="s">
        <v>2066</v>
      </c>
      <c r="G262" s="56" t="s">
        <v>2057</v>
      </c>
      <c r="H262" s="56" t="s">
        <v>8</v>
      </c>
      <c r="I262" s="55" t="s">
        <v>8</v>
      </c>
      <c r="J262" s="57">
        <v>1666.32</v>
      </c>
      <c r="K262" s="56" t="s">
        <v>2058</v>
      </c>
      <c r="L262" s="56" t="s">
        <v>2067</v>
      </c>
      <c r="M262" s="55" t="s">
        <v>2060</v>
      </c>
      <c r="N262" s="56" t="s">
        <v>2061</v>
      </c>
      <c r="O262" s="53" t="s">
        <v>1790</v>
      </c>
      <c r="P262" s="56" t="s">
        <v>2068</v>
      </c>
      <c r="Q262" s="57">
        <v>42400</v>
      </c>
      <c r="R262" s="58" t="s">
        <v>8</v>
      </c>
      <c r="S262" s="57" t="s">
        <v>8</v>
      </c>
      <c r="T262" s="56" t="s">
        <v>2063</v>
      </c>
    </row>
    <row r="263" spans="1:20">
      <c r="A263" s="55">
        <v>124669045807</v>
      </c>
      <c r="B263" s="53" t="s">
        <v>2055</v>
      </c>
      <c r="C263" s="54">
        <v>45906</v>
      </c>
      <c r="D263" s="55">
        <v>49896397913</v>
      </c>
      <c r="E263" s="55">
        <v>2063475527561</v>
      </c>
      <c r="F263" s="56" t="s">
        <v>2069</v>
      </c>
      <c r="G263" s="56" t="s">
        <v>2057</v>
      </c>
      <c r="H263" s="56" t="s">
        <v>8</v>
      </c>
      <c r="I263" s="55" t="s">
        <v>8</v>
      </c>
      <c r="J263" s="57">
        <v>75.66</v>
      </c>
      <c r="K263" s="56" t="s">
        <v>2058</v>
      </c>
      <c r="L263" s="56" t="s">
        <v>2059</v>
      </c>
      <c r="M263" s="55" t="s">
        <v>2060</v>
      </c>
      <c r="N263" s="56" t="s">
        <v>2061</v>
      </c>
      <c r="O263" s="53" t="s">
        <v>8</v>
      </c>
      <c r="P263" s="56" t="s">
        <v>2070</v>
      </c>
      <c r="Q263" s="57">
        <v>7800</v>
      </c>
      <c r="R263" s="58" t="s">
        <v>8</v>
      </c>
      <c r="S263" s="57" t="s">
        <v>8</v>
      </c>
      <c r="T263" s="56" t="s">
        <v>8</v>
      </c>
    </row>
    <row r="264" spans="1:20">
      <c r="A264" s="55">
        <v>124669236361</v>
      </c>
      <c r="B264" s="53" t="s">
        <v>2055</v>
      </c>
      <c r="C264" s="54">
        <v>45906</v>
      </c>
      <c r="D264" s="55">
        <v>49896428418</v>
      </c>
      <c r="E264" s="55">
        <v>2063516571566</v>
      </c>
      <c r="F264" s="56" t="s">
        <v>2056</v>
      </c>
      <c r="G264" s="56" t="s">
        <v>2057</v>
      </c>
      <c r="H264" s="56" t="s">
        <v>8</v>
      </c>
      <c r="I264" s="55" t="s">
        <v>8</v>
      </c>
      <c r="J264" s="57">
        <v>21.34</v>
      </c>
      <c r="K264" s="56" t="s">
        <v>2058</v>
      </c>
      <c r="L264" s="56" t="s">
        <v>2059</v>
      </c>
      <c r="M264" s="55" t="s">
        <v>2060</v>
      </c>
      <c r="N264" s="56" t="s">
        <v>2061</v>
      </c>
      <c r="O264" s="53" t="s">
        <v>8</v>
      </c>
      <c r="P264" s="56" t="s">
        <v>2172</v>
      </c>
      <c r="Q264" s="57">
        <v>2200</v>
      </c>
      <c r="R264" s="58" t="s">
        <v>8</v>
      </c>
      <c r="S264" s="57" t="s">
        <v>8</v>
      </c>
      <c r="T264" s="56" t="s">
        <v>2063</v>
      </c>
    </row>
    <row r="265" spans="1:20">
      <c r="A265" s="55">
        <v>125215868728</v>
      </c>
      <c r="B265" s="53" t="s">
        <v>2055</v>
      </c>
      <c r="C265" s="54">
        <v>45907</v>
      </c>
      <c r="D265" s="55">
        <v>49896478960</v>
      </c>
      <c r="E265" s="55">
        <v>2063477037101</v>
      </c>
      <c r="F265" s="56" t="s">
        <v>2066</v>
      </c>
      <c r="G265" s="56" t="s">
        <v>2057</v>
      </c>
      <c r="H265" s="56" t="s">
        <v>8</v>
      </c>
      <c r="I265" s="55" t="s">
        <v>8</v>
      </c>
      <c r="J265" s="57">
        <v>585.66</v>
      </c>
      <c r="K265" s="56" t="s">
        <v>2058</v>
      </c>
      <c r="L265" s="56" t="s">
        <v>2067</v>
      </c>
      <c r="M265" s="55" t="s">
        <v>2060</v>
      </c>
      <c r="N265" s="56" t="s">
        <v>2061</v>
      </c>
      <c r="O265" s="53" t="s">
        <v>1790</v>
      </c>
      <c r="P265" s="56" t="s">
        <v>2068</v>
      </c>
      <c r="Q265" s="57">
        <v>12900</v>
      </c>
      <c r="R265" s="58" t="s">
        <v>8</v>
      </c>
      <c r="S265" s="57" t="s">
        <v>8</v>
      </c>
      <c r="T265" s="56" t="s">
        <v>2063</v>
      </c>
    </row>
    <row r="266" spans="1:20">
      <c r="A266" s="55">
        <v>124669482349</v>
      </c>
      <c r="B266" s="53" t="s">
        <v>2055</v>
      </c>
      <c r="C266" s="54">
        <v>45907</v>
      </c>
      <c r="D266" s="55">
        <v>49896511820</v>
      </c>
      <c r="E266" s="55">
        <v>2063477473473</v>
      </c>
      <c r="F266" s="56" t="s">
        <v>2056</v>
      </c>
      <c r="G266" s="56" t="s">
        <v>2057</v>
      </c>
      <c r="H266" s="56" t="s">
        <v>8</v>
      </c>
      <c r="I266" s="55" t="s">
        <v>8</v>
      </c>
      <c r="J266" s="57">
        <v>83.42</v>
      </c>
      <c r="K266" s="56" t="s">
        <v>2058</v>
      </c>
      <c r="L266" s="56" t="s">
        <v>2059</v>
      </c>
      <c r="M266" s="55" t="s">
        <v>2060</v>
      </c>
      <c r="N266" s="56" t="s">
        <v>2061</v>
      </c>
      <c r="O266" s="53" t="s">
        <v>8</v>
      </c>
      <c r="P266" s="56" t="s">
        <v>2173</v>
      </c>
      <c r="Q266" s="57">
        <v>8600</v>
      </c>
      <c r="R266" s="58" t="s">
        <v>8</v>
      </c>
      <c r="S266" s="57" t="s">
        <v>8</v>
      </c>
      <c r="T266" s="56" t="s">
        <v>2063</v>
      </c>
    </row>
    <row r="267" spans="1:20">
      <c r="A267" s="55">
        <v>125216045810</v>
      </c>
      <c r="B267" s="53" t="s">
        <v>2055</v>
      </c>
      <c r="C267" s="54">
        <v>45907</v>
      </c>
      <c r="D267" s="55">
        <v>49896598761</v>
      </c>
      <c r="E267" s="55">
        <v>2063519012506</v>
      </c>
      <c r="F267" s="56" t="s">
        <v>2066</v>
      </c>
      <c r="G267" s="56" t="s">
        <v>2057</v>
      </c>
      <c r="H267" s="56" t="s">
        <v>8</v>
      </c>
      <c r="I267" s="55" t="s">
        <v>8</v>
      </c>
      <c r="J267" s="57">
        <v>4000.74</v>
      </c>
      <c r="K267" s="56" t="s">
        <v>2058</v>
      </c>
      <c r="L267" s="56" t="s">
        <v>2067</v>
      </c>
      <c r="M267" s="55" t="s">
        <v>2060</v>
      </c>
      <c r="N267" s="56" t="s">
        <v>2061</v>
      </c>
      <c r="O267" s="53" t="s">
        <v>1790</v>
      </c>
      <c r="P267" s="56" t="s">
        <v>2068</v>
      </c>
      <c r="Q267" s="57">
        <v>101800</v>
      </c>
      <c r="R267" s="58" t="s">
        <v>8</v>
      </c>
      <c r="S267" s="57" t="s">
        <v>8</v>
      </c>
      <c r="T267" s="56" t="s">
        <v>2063</v>
      </c>
    </row>
    <row r="268" spans="1:20">
      <c r="A268" s="55">
        <v>125216200412</v>
      </c>
      <c r="B268" s="53" t="s">
        <v>2055</v>
      </c>
      <c r="C268" s="54">
        <v>45907</v>
      </c>
      <c r="D268" s="55">
        <v>49896613611</v>
      </c>
      <c r="E268" s="55">
        <v>2063519318148</v>
      </c>
      <c r="F268" s="56" t="s">
        <v>2056</v>
      </c>
      <c r="G268" s="56" t="s">
        <v>2057</v>
      </c>
      <c r="H268" s="56" t="s">
        <v>8</v>
      </c>
      <c r="I268" s="55" t="s">
        <v>8</v>
      </c>
      <c r="J268" s="57">
        <v>82.45</v>
      </c>
      <c r="K268" s="56" t="s">
        <v>2058</v>
      </c>
      <c r="L268" s="56" t="s">
        <v>2059</v>
      </c>
      <c r="M268" s="55" t="s">
        <v>2060</v>
      </c>
      <c r="N268" s="56" t="s">
        <v>2061</v>
      </c>
      <c r="O268" s="53" t="s">
        <v>8</v>
      </c>
      <c r="P268" s="56" t="s">
        <v>2174</v>
      </c>
      <c r="Q268" s="57">
        <v>8500</v>
      </c>
      <c r="R268" s="58" t="s">
        <v>8</v>
      </c>
      <c r="S268" s="57" t="s">
        <v>8</v>
      </c>
      <c r="T268" s="56" t="s">
        <v>2063</v>
      </c>
    </row>
    <row r="269" spans="1:20">
      <c r="A269" s="55">
        <v>124669988837</v>
      </c>
      <c r="B269" s="53" t="s">
        <v>2055</v>
      </c>
      <c r="C269" s="54">
        <v>45907</v>
      </c>
      <c r="D269" s="55">
        <v>49896715895</v>
      </c>
      <c r="E269" s="55">
        <v>2063520765808</v>
      </c>
      <c r="F269" s="56" t="s">
        <v>2056</v>
      </c>
      <c r="G269" s="56" t="s">
        <v>2057</v>
      </c>
      <c r="H269" s="56" t="s">
        <v>8</v>
      </c>
      <c r="I269" s="55" t="s">
        <v>8</v>
      </c>
      <c r="J269" s="57">
        <v>102.82</v>
      </c>
      <c r="K269" s="56" t="s">
        <v>2058</v>
      </c>
      <c r="L269" s="56" t="s">
        <v>2059</v>
      </c>
      <c r="M269" s="55" t="s">
        <v>2060</v>
      </c>
      <c r="N269" s="56" t="s">
        <v>2061</v>
      </c>
      <c r="O269" s="53" t="s">
        <v>8</v>
      </c>
      <c r="P269" s="56" t="s">
        <v>2175</v>
      </c>
      <c r="Q269" s="57">
        <v>10600</v>
      </c>
      <c r="R269" s="58" t="s">
        <v>8</v>
      </c>
      <c r="S269" s="57" t="s">
        <v>8</v>
      </c>
      <c r="T269" s="56" t="s">
        <v>2063</v>
      </c>
    </row>
    <row r="270" spans="1:20">
      <c r="A270" s="55">
        <v>124670059343</v>
      </c>
      <c r="B270" s="53" t="s">
        <v>2055</v>
      </c>
      <c r="C270" s="54">
        <v>45907</v>
      </c>
      <c r="D270" s="55">
        <v>49896756582</v>
      </c>
      <c r="E270" s="55">
        <v>2063521498916</v>
      </c>
      <c r="F270" s="56" t="s">
        <v>2056</v>
      </c>
      <c r="G270" s="56" t="s">
        <v>2057</v>
      </c>
      <c r="H270" s="56" t="s">
        <v>8</v>
      </c>
      <c r="I270" s="55" t="s">
        <v>8</v>
      </c>
      <c r="J270" s="57">
        <v>368.6</v>
      </c>
      <c r="K270" s="56" t="s">
        <v>2058</v>
      </c>
      <c r="L270" s="56" t="s">
        <v>2059</v>
      </c>
      <c r="M270" s="55" t="s">
        <v>2060</v>
      </c>
      <c r="N270" s="56" t="s">
        <v>2061</v>
      </c>
      <c r="O270" s="53" t="s">
        <v>8</v>
      </c>
      <c r="P270" s="56" t="s">
        <v>2176</v>
      </c>
      <c r="Q270" s="57">
        <v>38000</v>
      </c>
      <c r="R270" s="58" t="s">
        <v>8</v>
      </c>
      <c r="S270" s="57" t="s">
        <v>8</v>
      </c>
      <c r="T270" s="56" t="s">
        <v>2063</v>
      </c>
    </row>
    <row r="271" spans="1:20">
      <c r="A271" s="55">
        <v>124670247087</v>
      </c>
      <c r="B271" s="53" t="s">
        <v>2055</v>
      </c>
      <c r="C271" s="54">
        <v>45907</v>
      </c>
      <c r="D271" s="55">
        <v>49896810984</v>
      </c>
      <c r="E271" s="55">
        <v>2063482185309</v>
      </c>
      <c r="F271" s="56" t="s">
        <v>2056</v>
      </c>
      <c r="G271" s="56" t="s">
        <v>2057</v>
      </c>
      <c r="H271" s="56" t="s">
        <v>8</v>
      </c>
      <c r="I271" s="55" t="s">
        <v>8</v>
      </c>
      <c r="J271" s="57">
        <v>817.71</v>
      </c>
      <c r="K271" s="56" t="s">
        <v>2058</v>
      </c>
      <c r="L271" s="56" t="s">
        <v>2059</v>
      </c>
      <c r="M271" s="55" t="s">
        <v>2060</v>
      </c>
      <c r="N271" s="56" t="s">
        <v>2061</v>
      </c>
      <c r="O271" s="53" t="s">
        <v>8</v>
      </c>
      <c r="P271" s="56" t="s">
        <v>2177</v>
      </c>
      <c r="Q271" s="57">
        <v>84300</v>
      </c>
      <c r="R271" s="58" t="s">
        <v>8</v>
      </c>
      <c r="S271" s="57" t="s">
        <v>8</v>
      </c>
      <c r="T271" s="56" t="s">
        <v>2063</v>
      </c>
    </row>
    <row r="272" spans="1:20">
      <c r="A272" s="55">
        <v>125216661736</v>
      </c>
      <c r="B272" s="53" t="s">
        <v>2055</v>
      </c>
      <c r="C272" s="54">
        <v>45907</v>
      </c>
      <c r="D272" s="55">
        <v>49896848304</v>
      </c>
      <c r="E272" s="55">
        <v>2063482441673</v>
      </c>
      <c r="F272" s="56" t="s">
        <v>2066</v>
      </c>
      <c r="G272" s="56" t="s">
        <v>2057</v>
      </c>
      <c r="H272" s="56" t="s">
        <v>8</v>
      </c>
      <c r="I272" s="55" t="s">
        <v>8</v>
      </c>
      <c r="J272" s="57">
        <v>2342.2800000000002</v>
      </c>
      <c r="K272" s="56" t="s">
        <v>2058</v>
      </c>
      <c r="L272" s="56" t="s">
        <v>2067</v>
      </c>
      <c r="M272" s="55" t="s">
        <v>2060</v>
      </c>
      <c r="N272" s="56" t="s">
        <v>2061</v>
      </c>
      <c r="O272" s="53" t="s">
        <v>1790</v>
      </c>
      <c r="P272" s="56" t="s">
        <v>2068</v>
      </c>
      <c r="Q272" s="57">
        <v>59600</v>
      </c>
      <c r="R272" s="58" t="s">
        <v>8</v>
      </c>
      <c r="S272" s="57" t="s">
        <v>8</v>
      </c>
      <c r="T272" s="56" t="s">
        <v>2063</v>
      </c>
    </row>
    <row r="273" spans="1:20">
      <c r="A273" s="55">
        <v>124670291781</v>
      </c>
      <c r="B273" s="53" t="s">
        <v>2055</v>
      </c>
      <c r="C273" s="54">
        <v>45907</v>
      </c>
      <c r="D273" s="55">
        <v>49896857129</v>
      </c>
      <c r="E273" s="55">
        <v>2063482695583</v>
      </c>
      <c r="F273" s="56" t="s">
        <v>2056</v>
      </c>
      <c r="G273" s="56" t="s">
        <v>2057</v>
      </c>
      <c r="H273" s="56" t="s">
        <v>8</v>
      </c>
      <c r="I273" s="55" t="s">
        <v>8</v>
      </c>
      <c r="J273" s="57">
        <v>41.71</v>
      </c>
      <c r="K273" s="56" t="s">
        <v>2058</v>
      </c>
      <c r="L273" s="56" t="s">
        <v>2059</v>
      </c>
      <c r="M273" s="55" t="s">
        <v>2060</v>
      </c>
      <c r="N273" s="56" t="s">
        <v>2061</v>
      </c>
      <c r="O273" s="53" t="s">
        <v>8</v>
      </c>
      <c r="P273" s="56" t="s">
        <v>2165</v>
      </c>
      <c r="Q273" s="57">
        <v>4300</v>
      </c>
      <c r="R273" s="58" t="s">
        <v>8</v>
      </c>
      <c r="S273" s="57" t="s">
        <v>8</v>
      </c>
      <c r="T273" s="56" t="s">
        <v>2063</v>
      </c>
    </row>
    <row r="274" spans="1:20">
      <c r="A274" s="55">
        <v>125216777826</v>
      </c>
      <c r="B274" s="53" t="s">
        <v>2055</v>
      </c>
      <c r="C274" s="54">
        <v>45907</v>
      </c>
      <c r="D274" s="55">
        <v>49896905625</v>
      </c>
      <c r="E274" s="55">
        <v>2063523607724</v>
      </c>
      <c r="F274" s="56" t="s">
        <v>2066</v>
      </c>
      <c r="G274" s="56" t="s">
        <v>2057</v>
      </c>
      <c r="H274" s="56" t="s">
        <v>8</v>
      </c>
      <c r="I274" s="55" t="s">
        <v>8</v>
      </c>
      <c r="J274" s="57">
        <v>4712.07</v>
      </c>
      <c r="K274" s="56" t="s">
        <v>2058</v>
      </c>
      <c r="L274" s="56" t="s">
        <v>2067</v>
      </c>
      <c r="M274" s="55" t="s">
        <v>2060</v>
      </c>
      <c r="N274" s="56" t="s">
        <v>2061</v>
      </c>
      <c r="O274" s="53" t="s">
        <v>1790</v>
      </c>
      <c r="P274" s="56" t="s">
        <v>2068</v>
      </c>
      <c r="Q274" s="57">
        <v>119900</v>
      </c>
      <c r="R274" s="58" t="s">
        <v>8</v>
      </c>
      <c r="S274" s="57" t="s">
        <v>8</v>
      </c>
      <c r="T274" s="56" t="s">
        <v>2063</v>
      </c>
    </row>
    <row r="275" spans="1:20">
      <c r="A275" s="55">
        <v>125217154744</v>
      </c>
      <c r="B275" s="53" t="s">
        <v>2055</v>
      </c>
      <c r="C275" s="54">
        <v>45907</v>
      </c>
      <c r="D275" s="55">
        <v>49896973685</v>
      </c>
      <c r="E275" s="55">
        <v>2063525160064</v>
      </c>
      <c r="F275" s="56" t="s">
        <v>2069</v>
      </c>
      <c r="G275" s="56" t="s">
        <v>2057</v>
      </c>
      <c r="H275" s="56" t="s">
        <v>8</v>
      </c>
      <c r="I275" s="55" t="s">
        <v>8</v>
      </c>
      <c r="J275" s="57">
        <v>83.42</v>
      </c>
      <c r="K275" s="56" t="s">
        <v>2058</v>
      </c>
      <c r="L275" s="56" t="s">
        <v>2059</v>
      </c>
      <c r="M275" s="55" t="s">
        <v>2060</v>
      </c>
      <c r="N275" s="56" t="s">
        <v>2061</v>
      </c>
      <c r="O275" s="53" t="s">
        <v>8</v>
      </c>
      <c r="P275" s="56" t="s">
        <v>2070</v>
      </c>
      <c r="Q275" s="57">
        <v>8600</v>
      </c>
      <c r="R275" s="58" t="s">
        <v>8</v>
      </c>
      <c r="S275" s="57" t="s">
        <v>8</v>
      </c>
      <c r="T275" s="56" t="s">
        <v>8</v>
      </c>
    </row>
    <row r="276" spans="1:20">
      <c r="A276" s="55">
        <v>124670696413</v>
      </c>
      <c r="B276" s="53" t="s">
        <v>2055</v>
      </c>
      <c r="C276" s="54">
        <v>45907</v>
      </c>
      <c r="D276" s="55">
        <v>49896979768</v>
      </c>
      <c r="E276" s="55">
        <v>2063525163468</v>
      </c>
      <c r="F276" s="56" t="s">
        <v>2056</v>
      </c>
      <c r="G276" s="56" t="s">
        <v>2057</v>
      </c>
      <c r="H276" s="56" t="s">
        <v>8</v>
      </c>
      <c r="I276" s="55" t="s">
        <v>8</v>
      </c>
      <c r="J276" s="57">
        <v>82.45</v>
      </c>
      <c r="K276" s="56" t="s">
        <v>2058</v>
      </c>
      <c r="L276" s="56" t="s">
        <v>2059</v>
      </c>
      <c r="M276" s="55" t="s">
        <v>2060</v>
      </c>
      <c r="N276" s="56" t="s">
        <v>2061</v>
      </c>
      <c r="O276" s="53" t="s">
        <v>8</v>
      </c>
      <c r="P276" s="56" t="s">
        <v>2178</v>
      </c>
      <c r="Q276" s="57">
        <v>8500</v>
      </c>
      <c r="R276" s="58" t="s">
        <v>8</v>
      </c>
      <c r="S276" s="57" t="s">
        <v>8</v>
      </c>
      <c r="T276" s="56" t="s">
        <v>2063</v>
      </c>
    </row>
    <row r="277" spans="1:20">
      <c r="A277" s="55">
        <v>124670726623</v>
      </c>
      <c r="B277" s="53" t="s">
        <v>2055</v>
      </c>
      <c r="C277" s="54">
        <v>45907</v>
      </c>
      <c r="D277" s="55">
        <v>49897019109</v>
      </c>
      <c r="E277" s="55">
        <v>2063525746390</v>
      </c>
      <c r="F277" s="56" t="s">
        <v>2056</v>
      </c>
      <c r="G277" s="56" t="s">
        <v>2057</v>
      </c>
      <c r="H277" s="56" t="s">
        <v>8</v>
      </c>
      <c r="I277" s="55" t="s">
        <v>8</v>
      </c>
      <c r="J277" s="57">
        <v>41.71</v>
      </c>
      <c r="K277" s="56" t="s">
        <v>2058</v>
      </c>
      <c r="L277" s="56" t="s">
        <v>2059</v>
      </c>
      <c r="M277" s="55" t="s">
        <v>2060</v>
      </c>
      <c r="N277" s="56" t="s">
        <v>2061</v>
      </c>
      <c r="O277" s="53" t="s">
        <v>8</v>
      </c>
      <c r="P277" s="56" t="s">
        <v>2084</v>
      </c>
      <c r="Q277" s="57">
        <v>4300</v>
      </c>
      <c r="R277" s="58" t="s">
        <v>8</v>
      </c>
      <c r="S277" s="57" t="s">
        <v>8</v>
      </c>
      <c r="T277" s="56" t="s">
        <v>2063</v>
      </c>
    </row>
    <row r="278" spans="1:20">
      <c r="A278" s="55">
        <v>125217693384</v>
      </c>
      <c r="B278" s="53" t="s">
        <v>2055</v>
      </c>
      <c r="C278" s="54">
        <v>45907</v>
      </c>
      <c r="D278" s="55">
        <v>49897234549</v>
      </c>
      <c r="E278" s="55">
        <v>2063528755946</v>
      </c>
      <c r="F278" s="56" t="s">
        <v>2056</v>
      </c>
      <c r="G278" s="56" t="s">
        <v>2057</v>
      </c>
      <c r="H278" s="56" t="s">
        <v>8</v>
      </c>
      <c r="I278" s="55" t="s">
        <v>8</v>
      </c>
      <c r="J278" s="57">
        <v>145.5</v>
      </c>
      <c r="K278" s="56" t="s">
        <v>2058</v>
      </c>
      <c r="L278" s="56" t="s">
        <v>2059</v>
      </c>
      <c r="M278" s="55" t="s">
        <v>2060</v>
      </c>
      <c r="N278" s="56" t="s">
        <v>2061</v>
      </c>
      <c r="O278" s="53" t="s">
        <v>8</v>
      </c>
      <c r="P278" s="56" t="s">
        <v>2179</v>
      </c>
      <c r="Q278" s="57">
        <v>15000</v>
      </c>
      <c r="R278" s="58" t="s">
        <v>8</v>
      </c>
      <c r="S278" s="57" t="s">
        <v>8</v>
      </c>
      <c r="T278" s="56" t="s">
        <v>2063</v>
      </c>
    </row>
    <row r="279" spans="1:20">
      <c r="A279" s="55">
        <v>124671275577</v>
      </c>
      <c r="B279" s="53" t="s">
        <v>2055</v>
      </c>
      <c r="C279" s="54">
        <v>45907</v>
      </c>
      <c r="D279" s="55">
        <v>49897248604</v>
      </c>
      <c r="E279" s="55">
        <v>2063529391318</v>
      </c>
      <c r="F279" s="56" t="s">
        <v>2066</v>
      </c>
      <c r="G279" s="56" t="s">
        <v>2057</v>
      </c>
      <c r="H279" s="56" t="s">
        <v>8</v>
      </c>
      <c r="I279" s="55" t="s">
        <v>8</v>
      </c>
      <c r="J279" s="57">
        <v>1616.24</v>
      </c>
      <c r="K279" s="56" t="s">
        <v>2058</v>
      </c>
      <c r="L279" s="56" t="s">
        <v>2067</v>
      </c>
      <c r="M279" s="55" t="s">
        <v>2060</v>
      </c>
      <c r="N279" s="56" t="s">
        <v>2061</v>
      </c>
      <c r="O279" s="53" t="s">
        <v>1790</v>
      </c>
      <c r="P279" s="56" t="s">
        <v>2068</v>
      </c>
      <c r="Q279" s="57">
        <v>35600</v>
      </c>
      <c r="R279" s="58" t="s">
        <v>8</v>
      </c>
      <c r="S279" s="57" t="s">
        <v>8</v>
      </c>
      <c r="T279" s="56" t="s">
        <v>2063</v>
      </c>
    </row>
    <row r="280" spans="1:20">
      <c r="A280" s="55">
        <v>124671527545</v>
      </c>
      <c r="B280" s="53" t="s">
        <v>2055</v>
      </c>
      <c r="C280" s="54">
        <v>45907</v>
      </c>
      <c r="D280" s="55">
        <v>49897337641</v>
      </c>
      <c r="E280" s="55">
        <v>2063530568414</v>
      </c>
      <c r="F280" s="56" t="s">
        <v>2056</v>
      </c>
      <c r="G280" s="56" t="s">
        <v>2057</v>
      </c>
      <c r="H280" s="56" t="s">
        <v>8</v>
      </c>
      <c r="I280" s="55" t="s">
        <v>8</v>
      </c>
      <c r="J280" s="57">
        <v>415.16</v>
      </c>
      <c r="K280" s="56" t="s">
        <v>2058</v>
      </c>
      <c r="L280" s="56" t="s">
        <v>2059</v>
      </c>
      <c r="M280" s="55" t="s">
        <v>2060</v>
      </c>
      <c r="N280" s="56" t="s">
        <v>2061</v>
      </c>
      <c r="O280" s="53" t="s">
        <v>8</v>
      </c>
      <c r="P280" s="56" t="s">
        <v>2180</v>
      </c>
      <c r="Q280" s="57">
        <v>42800</v>
      </c>
      <c r="R280" s="58" t="s">
        <v>8</v>
      </c>
      <c r="S280" s="57" t="s">
        <v>8</v>
      </c>
      <c r="T280" s="56" t="s">
        <v>2063</v>
      </c>
    </row>
    <row r="281" spans="1:20">
      <c r="A281" s="55">
        <v>124671860837</v>
      </c>
      <c r="B281" s="53" t="s">
        <v>2055</v>
      </c>
      <c r="C281" s="54">
        <v>45907</v>
      </c>
      <c r="D281" s="55">
        <v>49897442072</v>
      </c>
      <c r="E281" s="55">
        <v>2063532319176</v>
      </c>
      <c r="F281" s="56" t="s">
        <v>2056</v>
      </c>
      <c r="G281" s="56" t="s">
        <v>2057</v>
      </c>
      <c r="H281" s="56" t="s">
        <v>8</v>
      </c>
      <c r="I281" s="55" t="s">
        <v>8</v>
      </c>
      <c r="J281" s="57">
        <v>316.22000000000003</v>
      </c>
      <c r="K281" s="56" t="s">
        <v>2058</v>
      </c>
      <c r="L281" s="56" t="s">
        <v>2059</v>
      </c>
      <c r="M281" s="55" t="s">
        <v>2060</v>
      </c>
      <c r="N281" s="56" t="s">
        <v>2061</v>
      </c>
      <c r="O281" s="53" t="s">
        <v>8</v>
      </c>
      <c r="P281" s="56" t="s">
        <v>2181</v>
      </c>
      <c r="Q281" s="57">
        <v>32600</v>
      </c>
      <c r="R281" s="58" t="s">
        <v>8</v>
      </c>
      <c r="S281" s="57" t="s">
        <v>8</v>
      </c>
      <c r="T281" s="56" t="s">
        <v>2063</v>
      </c>
    </row>
    <row r="282" spans="1:20">
      <c r="A282" s="55">
        <v>125218410126</v>
      </c>
      <c r="B282" s="53" t="s">
        <v>2055</v>
      </c>
      <c r="C282" s="54">
        <v>45907</v>
      </c>
      <c r="D282" s="55">
        <v>49897478233</v>
      </c>
      <c r="E282" s="55">
        <v>2063492242445</v>
      </c>
      <c r="F282" s="56" t="s">
        <v>2056</v>
      </c>
      <c r="G282" s="56" t="s">
        <v>2057</v>
      </c>
      <c r="H282" s="56" t="s">
        <v>8</v>
      </c>
      <c r="I282" s="55" t="s">
        <v>8</v>
      </c>
      <c r="J282" s="57">
        <v>104.76</v>
      </c>
      <c r="K282" s="56" t="s">
        <v>2058</v>
      </c>
      <c r="L282" s="56" t="s">
        <v>2059</v>
      </c>
      <c r="M282" s="55" t="s">
        <v>2060</v>
      </c>
      <c r="N282" s="56" t="s">
        <v>2061</v>
      </c>
      <c r="O282" s="53" t="s">
        <v>8</v>
      </c>
      <c r="P282" s="56" t="s">
        <v>2182</v>
      </c>
      <c r="Q282" s="57">
        <v>10800</v>
      </c>
      <c r="R282" s="58" t="s">
        <v>8</v>
      </c>
      <c r="S282" s="57" t="s">
        <v>8</v>
      </c>
      <c r="T282" s="56" t="s">
        <v>2063</v>
      </c>
    </row>
    <row r="283" spans="1:20">
      <c r="A283" s="55">
        <v>125218795632</v>
      </c>
      <c r="B283" s="53" t="s">
        <v>2055</v>
      </c>
      <c r="C283" s="54">
        <v>45907</v>
      </c>
      <c r="D283" s="55">
        <v>49897665405</v>
      </c>
      <c r="E283" s="55">
        <v>2063495225631</v>
      </c>
      <c r="F283" s="56" t="s">
        <v>2066</v>
      </c>
      <c r="G283" s="56" t="s">
        <v>2057</v>
      </c>
      <c r="H283" s="56" t="s">
        <v>8</v>
      </c>
      <c r="I283" s="55" t="s">
        <v>8</v>
      </c>
      <c r="J283" s="57">
        <v>345.84</v>
      </c>
      <c r="K283" s="56" t="s">
        <v>2058</v>
      </c>
      <c r="L283" s="56" t="s">
        <v>2067</v>
      </c>
      <c r="M283" s="55" t="s">
        <v>2060</v>
      </c>
      <c r="N283" s="56" t="s">
        <v>2061</v>
      </c>
      <c r="O283" s="53" t="s">
        <v>1790</v>
      </c>
      <c r="P283" s="56" t="s">
        <v>2068</v>
      </c>
      <c r="Q283" s="57">
        <v>8800</v>
      </c>
      <c r="R283" s="58" t="s">
        <v>8</v>
      </c>
      <c r="S283" s="57" t="s">
        <v>8</v>
      </c>
      <c r="T283" s="56" t="s">
        <v>2063</v>
      </c>
    </row>
    <row r="284" spans="1:20">
      <c r="A284" s="55">
        <v>124672504175</v>
      </c>
      <c r="B284" s="53" t="s">
        <v>2055</v>
      </c>
      <c r="C284" s="54">
        <v>45907</v>
      </c>
      <c r="D284" s="55">
        <v>49897691289</v>
      </c>
      <c r="E284" s="55">
        <v>2063536461138</v>
      </c>
      <c r="F284" s="56" t="s">
        <v>2069</v>
      </c>
      <c r="G284" s="56" t="s">
        <v>2057</v>
      </c>
      <c r="H284" s="56" t="s">
        <v>8</v>
      </c>
      <c r="I284" s="55" t="s">
        <v>8</v>
      </c>
      <c r="J284" s="57">
        <v>85.36</v>
      </c>
      <c r="K284" s="56" t="s">
        <v>2058</v>
      </c>
      <c r="L284" s="56" t="s">
        <v>2059</v>
      </c>
      <c r="M284" s="55" t="s">
        <v>2060</v>
      </c>
      <c r="N284" s="56" t="s">
        <v>2061</v>
      </c>
      <c r="O284" s="53" t="s">
        <v>8</v>
      </c>
      <c r="P284" s="56" t="s">
        <v>2070</v>
      </c>
      <c r="Q284" s="57">
        <v>8800</v>
      </c>
      <c r="R284" s="58" t="s">
        <v>8</v>
      </c>
      <c r="S284" s="57" t="s">
        <v>8</v>
      </c>
      <c r="T284" s="56" t="s">
        <v>8</v>
      </c>
    </row>
    <row r="285" spans="1:20">
      <c r="A285" s="55">
        <v>124672534433</v>
      </c>
      <c r="B285" s="53" t="s">
        <v>2055</v>
      </c>
      <c r="C285" s="54">
        <v>45907</v>
      </c>
      <c r="D285" s="55">
        <v>49897717345</v>
      </c>
      <c r="E285" s="55">
        <v>2063496016507</v>
      </c>
      <c r="F285" s="56" t="s">
        <v>2056</v>
      </c>
      <c r="G285" s="56" t="s">
        <v>2057</v>
      </c>
      <c r="H285" s="56" t="s">
        <v>8</v>
      </c>
      <c r="I285" s="55" t="s">
        <v>8</v>
      </c>
      <c r="J285" s="57">
        <v>75.66</v>
      </c>
      <c r="K285" s="56" t="s">
        <v>2058</v>
      </c>
      <c r="L285" s="56" t="s">
        <v>2059</v>
      </c>
      <c r="M285" s="55" t="s">
        <v>2060</v>
      </c>
      <c r="N285" s="56" t="s">
        <v>2061</v>
      </c>
      <c r="O285" s="53" t="s">
        <v>8</v>
      </c>
      <c r="P285" s="56" t="s">
        <v>2183</v>
      </c>
      <c r="Q285" s="57">
        <v>7800</v>
      </c>
      <c r="R285" s="58" t="s">
        <v>8</v>
      </c>
      <c r="S285" s="57" t="s">
        <v>8</v>
      </c>
      <c r="T285" s="56" t="s">
        <v>2063</v>
      </c>
    </row>
    <row r="286" spans="1:20">
      <c r="A286" s="55">
        <v>125219129574</v>
      </c>
      <c r="B286" s="53" t="s">
        <v>2055</v>
      </c>
      <c r="C286" s="54">
        <v>45907</v>
      </c>
      <c r="D286" s="55">
        <v>49897806760</v>
      </c>
      <c r="E286" s="55">
        <v>2063537639030</v>
      </c>
      <c r="F286" s="56" t="s">
        <v>2056</v>
      </c>
      <c r="G286" s="56" t="s">
        <v>2057</v>
      </c>
      <c r="H286" s="56" t="s">
        <v>8</v>
      </c>
      <c r="I286" s="55" t="s">
        <v>8</v>
      </c>
      <c r="J286" s="57">
        <v>444.26</v>
      </c>
      <c r="K286" s="56" t="s">
        <v>2058</v>
      </c>
      <c r="L286" s="56" t="s">
        <v>2059</v>
      </c>
      <c r="M286" s="55" t="s">
        <v>2060</v>
      </c>
      <c r="N286" s="56" t="s">
        <v>2061</v>
      </c>
      <c r="O286" s="53" t="s">
        <v>8</v>
      </c>
      <c r="P286" s="56" t="s">
        <v>2184</v>
      </c>
      <c r="Q286" s="57">
        <v>45800</v>
      </c>
      <c r="R286" s="58" t="s">
        <v>8</v>
      </c>
      <c r="S286" s="57" t="s">
        <v>8</v>
      </c>
      <c r="T286" s="56" t="s">
        <v>2063</v>
      </c>
    </row>
    <row r="287" spans="1:20">
      <c r="A287" s="55">
        <v>125219203876</v>
      </c>
      <c r="B287" s="53" t="s">
        <v>2055</v>
      </c>
      <c r="C287" s="54">
        <v>45907</v>
      </c>
      <c r="D287" s="55">
        <v>49897826060</v>
      </c>
      <c r="E287" s="55">
        <v>2063497856537</v>
      </c>
      <c r="F287" s="56" t="s">
        <v>2056</v>
      </c>
      <c r="G287" s="56" t="s">
        <v>2057</v>
      </c>
      <c r="H287" s="56" t="s">
        <v>8</v>
      </c>
      <c r="I287" s="55" t="s">
        <v>8</v>
      </c>
      <c r="J287" s="57">
        <v>83.42</v>
      </c>
      <c r="K287" s="56" t="s">
        <v>2058</v>
      </c>
      <c r="L287" s="56" t="s">
        <v>2059</v>
      </c>
      <c r="M287" s="55" t="s">
        <v>2060</v>
      </c>
      <c r="N287" s="56" t="s">
        <v>2061</v>
      </c>
      <c r="O287" s="53" t="s">
        <v>8</v>
      </c>
      <c r="P287" s="56" t="s">
        <v>2185</v>
      </c>
      <c r="Q287" s="57">
        <v>8600</v>
      </c>
      <c r="R287" s="58" t="s">
        <v>8</v>
      </c>
      <c r="S287" s="57" t="s">
        <v>8</v>
      </c>
      <c r="T287" s="56" t="s">
        <v>2063</v>
      </c>
    </row>
    <row r="288" spans="1:20">
      <c r="A288" s="55">
        <v>125219233532</v>
      </c>
      <c r="B288" s="53" t="s">
        <v>2055</v>
      </c>
      <c r="C288" s="54">
        <v>45907</v>
      </c>
      <c r="D288" s="55">
        <v>49897837292</v>
      </c>
      <c r="E288" s="55">
        <v>2063497882731</v>
      </c>
      <c r="F288" s="56" t="s">
        <v>2056</v>
      </c>
      <c r="G288" s="56" t="s">
        <v>2057</v>
      </c>
      <c r="H288" s="56" t="s">
        <v>8</v>
      </c>
      <c r="I288" s="55" t="s">
        <v>8</v>
      </c>
      <c r="J288" s="57">
        <v>55.29</v>
      </c>
      <c r="K288" s="56" t="s">
        <v>2058</v>
      </c>
      <c r="L288" s="56" t="s">
        <v>2059</v>
      </c>
      <c r="M288" s="55" t="s">
        <v>2060</v>
      </c>
      <c r="N288" s="56" t="s">
        <v>2061</v>
      </c>
      <c r="O288" s="53" t="s">
        <v>8</v>
      </c>
      <c r="P288" s="56" t="s">
        <v>2186</v>
      </c>
      <c r="Q288" s="57">
        <v>5700</v>
      </c>
      <c r="R288" s="58" t="s">
        <v>8</v>
      </c>
      <c r="S288" s="57" t="s">
        <v>8</v>
      </c>
      <c r="T288" s="56" t="s">
        <v>2063</v>
      </c>
    </row>
    <row r="289" spans="1:20">
      <c r="A289" s="55">
        <v>125219899446</v>
      </c>
      <c r="B289" s="53" t="s">
        <v>2055</v>
      </c>
      <c r="C289" s="54">
        <v>45907</v>
      </c>
      <c r="D289" s="55">
        <v>49898089438</v>
      </c>
      <c r="E289" s="55">
        <v>2063501847937</v>
      </c>
      <c r="F289" s="56" t="s">
        <v>2069</v>
      </c>
      <c r="G289" s="56" t="s">
        <v>2057</v>
      </c>
      <c r="H289" s="56" t="s">
        <v>8</v>
      </c>
      <c r="I289" s="55" t="s">
        <v>8</v>
      </c>
      <c r="J289" s="57">
        <v>67.900000000000006</v>
      </c>
      <c r="K289" s="56" t="s">
        <v>2058</v>
      </c>
      <c r="L289" s="56" t="s">
        <v>2059</v>
      </c>
      <c r="M289" s="55" t="s">
        <v>2060</v>
      </c>
      <c r="N289" s="56" t="s">
        <v>2061</v>
      </c>
      <c r="O289" s="53" t="s">
        <v>8</v>
      </c>
      <c r="P289" s="56" t="s">
        <v>2070</v>
      </c>
      <c r="Q289" s="57">
        <v>7000</v>
      </c>
      <c r="R289" s="58" t="s">
        <v>8</v>
      </c>
      <c r="S289" s="57" t="s">
        <v>8</v>
      </c>
      <c r="T289" s="56" t="s">
        <v>8</v>
      </c>
    </row>
    <row r="290" spans="1:20">
      <c r="A290" s="55">
        <v>125219980312</v>
      </c>
      <c r="B290" s="53" t="s">
        <v>2055</v>
      </c>
      <c r="C290" s="54">
        <v>45907</v>
      </c>
      <c r="D290" s="55">
        <v>49898095541</v>
      </c>
      <c r="E290" s="55">
        <v>2063501918209</v>
      </c>
      <c r="F290" s="56" t="s">
        <v>2056</v>
      </c>
      <c r="G290" s="56" t="s">
        <v>2057</v>
      </c>
      <c r="H290" s="56" t="s">
        <v>8</v>
      </c>
      <c r="I290" s="55" t="s">
        <v>8</v>
      </c>
      <c r="J290" s="57">
        <v>529.62</v>
      </c>
      <c r="K290" s="56" t="s">
        <v>2058</v>
      </c>
      <c r="L290" s="56" t="s">
        <v>2059</v>
      </c>
      <c r="M290" s="55" t="s">
        <v>2060</v>
      </c>
      <c r="N290" s="56" t="s">
        <v>2061</v>
      </c>
      <c r="O290" s="53" t="s">
        <v>8</v>
      </c>
      <c r="P290" s="56" t="s">
        <v>2187</v>
      </c>
      <c r="Q290" s="57">
        <v>54600</v>
      </c>
      <c r="R290" s="58" t="s">
        <v>8</v>
      </c>
      <c r="S290" s="57" t="s">
        <v>8</v>
      </c>
      <c r="T290" s="56" t="s">
        <v>2063</v>
      </c>
    </row>
    <row r="291" spans="1:20">
      <c r="A291" s="55">
        <v>125220021668</v>
      </c>
      <c r="B291" s="53" t="s">
        <v>2055</v>
      </c>
      <c r="C291" s="54">
        <v>45907</v>
      </c>
      <c r="D291" s="55">
        <v>49898144499</v>
      </c>
      <c r="E291" s="55">
        <v>2063543275794</v>
      </c>
      <c r="F291" s="56" t="s">
        <v>2056</v>
      </c>
      <c r="G291" s="56" t="s">
        <v>2057</v>
      </c>
      <c r="H291" s="56" t="s">
        <v>8</v>
      </c>
      <c r="I291" s="55" t="s">
        <v>8</v>
      </c>
      <c r="J291" s="57">
        <v>83.42</v>
      </c>
      <c r="K291" s="56" t="s">
        <v>2058</v>
      </c>
      <c r="L291" s="56" t="s">
        <v>2059</v>
      </c>
      <c r="M291" s="55" t="s">
        <v>2060</v>
      </c>
      <c r="N291" s="56" t="s">
        <v>2061</v>
      </c>
      <c r="O291" s="53" t="s">
        <v>8</v>
      </c>
      <c r="P291" s="56" t="s">
        <v>2188</v>
      </c>
      <c r="Q291" s="57">
        <v>8600</v>
      </c>
      <c r="R291" s="58" t="s">
        <v>8</v>
      </c>
      <c r="S291" s="57" t="s">
        <v>8</v>
      </c>
      <c r="T291" s="56" t="s">
        <v>2063</v>
      </c>
    </row>
    <row r="292" spans="1:20">
      <c r="A292" s="55">
        <v>124673710401</v>
      </c>
      <c r="B292" s="53" t="s">
        <v>2055</v>
      </c>
      <c r="C292" s="54">
        <v>45907</v>
      </c>
      <c r="D292" s="55">
        <v>49898186582</v>
      </c>
      <c r="E292" s="55">
        <v>2063543534986</v>
      </c>
      <c r="F292" s="56" t="s">
        <v>2066</v>
      </c>
      <c r="G292" s="56" t="s">
        <v>2057</v>
      </c>
      <c r="H292" s="56" t="s">
        <v>8</v>
      </c>
      <c r="I292" s="55" t="s">
        <v>8</v>
      </c>
      <c r="J292" s="57">
        <v>2572.1799999999998</v>
      </c>
      <c r="K292" s="56" t="s">
        <v>2058</v>
      </c>
      <c r="L292" s="56" t="s">
        <v>2067</v>
      </c>
      <c r="M292" s="55" t="s">
        <v>2060</v>
      </c>
      <c r="N292" s="56" t="s">
        <v>2061</v>
      </c>
      <c r="O292" s="53" t="s">
        <v>1790</v>
      </c>
      <c r="P292" s="56" t="s">
        <v>2068</v>
      </c>
      <c r="Q292" s="57">
        <v>33800</v>
      </c>
      <c r="R292" s="58" t="s">
        <v>8</v>
      </c>
      <c r="S292" s="57" t="s">
        <v>8</v>
      </c>
      <c r="T292" s="56" t="s">
        <v>2063</v>
      </c>
    </row>
    <row r="293" spans="1:20">
      <c r="A293" s="55">
        <v>125220339680</v>
      </c>
      <c r="B293" s="53" t="s">
        <v>2055</v>
      </c>
      <c r="C293" s="54">
        <v>45907</v>
      </c>
      <c r="D293" s="55">
        <v>49898259075</v>
      </c>
      <c r="E293" s="55">
        <v>2063545258592</v>
      </c>
      <c r="F293" s="56" t="s">
        <v>2069</v>
      </c>
      <c r="G293" s="56" t="s">
        <v>2057</v>
      </c>
      <c r="H293" s="56" t="s">
        <v>8</v>
      </c>
      <c r="I293" s="55" t="s">
        <v>8</v>
      </c>
      <c r="J293" s="57">
        <v>67.900000000000006</v>
      </c>
      <c r="K293" s="56" t="s">
        <v>2058</v>
      </c>
      <c r="L293" s="56" t="s">
        <v>2059</v>
      </c>
      <c r="M293" s="55" t="s">
        <v>2060</v>
      </c>
      <c r="N293" s="56" t="s">
        <v>2061</v>
      </c>
      <c r="O293" s="53" t="s">
        <v>8</v>
      </c>
      <c r="P293" s="56" t="s">
        <v>2070</v>
      </c>
      <c r="Q293" s="57">
        <v>7000</v>
      </c>
      <c r="R293" s="58" t="s">
        <v>8</v>
      </c>
      <c r="S293" s="57" t="s">
        <v>8</v>
      </c>
      <c r="T293" s="56" t="s">
        <v>8</v>
      </c>
    </row>
    <row r="294" spans="1:20">
      <c r="A294" s="55">
        <v>124673905673</v>
      </c>
      <c r="B294" s="53" t="s">
        <v>2055</v>
      </c>
      <c r="C294" s="54">
        <v>45907</v>
      </c>
      <c r="D294" s="55">
        <v>49898294371</v>
      </c>
      <c r="E294" s="55">
        <v>2063545208958</v>
      </c>
      <c r="F294" s="56" t="s">
        <v>2056</v>
      </c>
      <c r="G294" s="56" t="s">
        <v>2057</v>
      </c>
      <c r="H294" s="56" t="s">
        <v>8</v>
      </c>
      <c r="I294" s="55" t="s">
        <v>8</v>
      </c>
      <c r="J294" s="57">
        <v>48.5</v>
      </c>
      <c r="K294" s="56" t="s">
        <v>2058</v>
      </c>
      <c r="L294" s="56" t="s">
        <v>2059</v>
      </c>
      <c r="M294" s="55" t="s">
        <v>2060</v>
      </c>
      <c r="N294" s="56" t="s">
        <v>2061</v>
      </c>
      <c r="O294" s="53" t="s">
        <v>8</v>
      </c>
      <c r="P294" s="56" t="s">
        <v>2189</v>
      </c>
      <c r="Q294" s="57">
        <v>5000</v>
      </c>
      <c r="R294" s="58" t="s">
        <v>8</v>
      </c>
      <c r="S294" s="57" t="s">
        <v>8</v>
      </c>
      <c r="T294" s="56" t="s">
        <v>2063</v>
      </c>
    </row>
    <row r="295" spans="1:20">
      <c r="A295" s="55">
        <v>124673995833</v>
      </c>
      <c r="B295" s="53" t="s">
        <v>2055</v>
      </c>
      <c r="C295" s="54">
        <v>45907</v>
      </c>
      <c r="D295" s="55">
        <v>49898333648</v>
      </c>
      <c r="E295" s="55">
        <v>2063505631277</v>
      </c>
      <c r="F295" s="56" t="s">
        <v>2056</v>
      </c>
      <c r="G295" s="56" t="s">
        <v>2057</v>
      </c>
      <c r="H295" s="56" t="s">
        <v>8</v>
      </c>
      <c r="I295" s="55" t="s">
        <v>8</v>
      </c>
      <c r="J295" s="57">
        <v>249.29</v>
      </c>
      <c r="K295" s="56" t="s">
        <v>2058</v>
      </c>
      <c r="L295" s="56" t="s">
        <v>2059</v>
      </c>
      <c r="M295" s="55" t="s">
        <v>2060</v>
      </c>
      <c r="N295" s="56" t="s">
        <v>2061</v>
      </c>
      <c r="O295" s="53" t="s">
        <v>8</v>
      </c>
      <c r="P295" s="56" t="s">
        <v>2167</v>
      </c>
      <c r="Q295" s="57">
        <v>25700</v>
      </c>
      <c r="R295" s="58" t="s">
        <v>8</v>
      </c>
      <c r="S295" s="57" t="s">
        <v>8</v>
      </c>
      <c r="T295" s="56" t="s">
        <v>2063</v>
      </c>
    </row>
    <row r="296" spans="1:20">
      <c r="A296" s="55">
        <v>124674256535</v>
      </c>
      <c r="B296" s="53" t="s">
        <v>2055</v>
      </c>
      <c r="C296" s="54">
        <v>45907</v>
      </c>
      <c r="D296" s="55">
        <v>49898367851</v>
      </c>
      <c r="E296" s="55">
        <v>2063506431675</v>
      </c>
      <c r="F296" s="56" t="s">
        <v>2056</v>
      </c>
      <c r="G296" s="56" t="s">
        <v>2057</v>
      </c>
      <c r="H296" s="56" t="s">
        <v>8</v>
      </c>
      <c r="I296" s="55" t="s">
        <v>8</v>
      </c>
      <c r="J296" s="57">
        <v>48.5</v>
      </c>
      <c r="K296" s="56" t="s">
        <v>2058</v>
      </c>
      <c r="L296" s="56" t="s">
        <v>2059</v>
      </c>
      <c r="M296" s="55" t="s">
        <v>2060</v>
      </c>
      <c r="N296" s="56" t="s">
        <v>2061</v>
      </c>
      <c r="O296" s="53" t="s">
        <v>8</v>
      </c>
      <c r="P296" s="56" t="s">
        <v>2190</v>
      </c>
      <c r="Q296" s="57">
        <v>5000</v>
      </c>
      <c r="R296" s="58" t="s">
        <v>8</v>
      </c>
      <c r="S296" s="57" t="s">
        <v>8</v>
      </c>
      <c r="T296" s="56" t="s">
        <v>2063</v>
      </c>
    </row>
    <row r="297" spans="1:20">
      <c r="A297" s="55">
        <v>124675042795</v>
      </c>
      <c r="B297" s="53" t="s">
        <v>2055</v>
      </c>
      <c r="C297" s="54">
        <v>45907</v>
      </c>
      <c r="D297" s="55">
        <v>49898692135</v>
      </c>
      <c r="E297" s="55">
        <v>2063551781368</v>
      </c>
      <c r="F297" s="56" t="s">
        <v>2056</v>
      </c>
      <c r="G297" s="56" t="s">
        <v>2057</v>
      </c>
      <c r="H297" s="56" t="s">
        <v>8</v>
      </c>
      <c r="I297" s="55" t="s">
        <v>8</v>
      </c>
      <c r="J297" s="57">
        <v>484.03</v>
      </c>
      <c r="K297" s="56" t="s">
        <v>2058</v>
      </c>
      <c r="L297" s="56" t="s">
        <v>2059</v>
      </c>
      <c r="M297" s="55" t="s">
        <v>2060</v>
      </c>
      <c r="N297" s="56" t="s">
        <v>2061</v>
      </c>
      <c r="O297" s="53" t="s">
        <v>8</v>
      </c>
      <c r="P297" s="56" t="s">
        <v>2191</v>
      </c>
      <c r="Q297" s="57">
        <v>49900</v>
      </c>
      <c r="R297" s="58" t="s">
        <v>8</v>
      </c>
      <c r="S297" s="57" t="s">
        <v>8</v>
      </c>
      <c r="T297" s="56" t="s">
        <v>2063</v>
      </c>
    </row>
    <row r="298" spans="1:20">
      <c r="A298" s="55">
        <v>124675009187</v>
      </c>
      <c r="B298" s="53" t="s">
        <v>2055</v>
      </c>
      <c r="C298" s="54">
        <v>45907</v>
      </c>
      <c r="D298" s="55">
        <v>49898711005</v>
      </c>
      <c r="E298" s="55">
        <v>2063552084270</v>
      </c>
      <c r="F298" s="56" t="s">
        <v>2056</v>
      </c>
      <c r="G298" s="56" t="s">
        <v>2057</v>
      </c>
      <c r="H298" s="56" t="s">
        <v>8</v>
      </c>
      <c r="I298" s="55" t="s">
        <v>8</v>
      </c>
      <c r="J298" s="57">
        <v>178.48</v>
      </c>
      <c r="K298" s="56" t="s">
        <v>2058</v>
      </c>
      <c r="L298" s="56" t="s">
        <v>2059</v>
      </c>
      <c r="M298" s="55" t="s">
        <v>2060</v>
      </c>
      <c r="N298" s="56" t="s">
        <v>2061</v>
      </c>
      <c r="O298" s="53" t="s">
        <v>8</v>
      </c>
      <c r="P298" s="56" t="s">
        <v>2192</v>
      </c>
      <c r="Q298" s="57">
        <v>18400</v>
      </c>
      <c r="R298" s="58" t="s">
        <v>8</v>
      </c>
      <c r="S298" s="57" t="s">
        <v>8</v>
      </c>
      <c r="T298" s="56" t="s">
        <v>2063</v>
      </c>
    </row>
    <row r="299" spans="1:20">
      <c r="A299" s="55">
        <v>124675558175</v>
      </c>
      <c r="B299" s="53" t="s">
        <v>2055</v>
      </c>
      <c r="C299" s="54">
        <v>45907</v>
      </c>
      <c r="D299" s="55">
        <v>49898908672</v>
      </c>
      <c r="E299" s="55">
        <v>2063514393495</v>
      </c>
      <c r="F299" s="56" t="s">
        <v>2056</v>
      </c>
      <c r="G299" s="56" t="s">
        <v>2057</v>
      </c>
      <c r="H299" s="56" t="s">
        <v>8</v>
      </c>
      <c r="I299" s="55" t="s">
        <v>8</v>
      </c>
      <c r="J299" s="57">
        <v>245.41</v>
      </c>
      <c r="K299" s="56" t="s">
        <v>2058</v>
      </c>
      <c r="L299" s="56" t="s">
        <v>2059</v>
      </c>
      <c r="M299" s="55" t="s">
        <v>2060</v>
      </c>
      <c r="N299" s="56" t="s">
        <v>2061</v>
      </c>
      <c r="O299" s="53" t="s">
        <v>8</v>
      </c>
      <c r="P299" s="56" t="s">
        <v>2166</v>
      </c>
      <c r="Q299" s="57">
        <v>25300</v>
      </c>
      <c r="R299" s="58" t="s">
        <v>8</v>
      </c>
      <c r="S299" s="57" t="s">
        <v>8</v>
      </c>
      <c r="T299" s="56" t="s">
        <v>2063</v>
      </c>
    </row>
    <row r="300" spans="1:20">
      <c r="A300" s="55">
        <v>124675646391</v>
      </c>
      <c r="B300" s="53" t="s">
        <v>2055</v>
      </c>
      <c r="C300" s="54">
        <v>45907</v>
      </c>
      <c r="D300" s="55">
        <v>49898941827</v>
      </c>
      <c r="E300" s="55">
        <v>2063514888743</v>
      </c>
      <c r="F300" s="56" t="s">
        <v>2056</v>
      </c>
      <c r="G300" s="56" t="s">
        <v>2057</v>
      </c>
      <c r="H300" s="56" t="s">
        <v>8</v>
      </c>
      <c r="I300" s="55" t="s">
        <v>8</v>
      </c>
      <c r="J300" s="57">
        <v>48.5</v>
      </c>
      <c r="K300" s="56" t="s">
        <v>2058</v>
      </c>
      <c r="L300" s="56" t="s">
        <v>2059</v>
      </c>
      <c r="M300" s="55" t="s">
        <v>2060</v>
      </c>
      <c r="N300" s="56" t="s">
        <v>2061</v>
      </c>
      <c r="O300" s="53" t="s">
        <v>8</v>
      </c>
      <c r="P300" s="56" t="s">
        <v>2193</v>
      </c>
      <c r="Q300" s="57">
        <v>5000</v>
      </c>
      <c r="R300" s="58" t="s">
        <v>8</v>
      </c>
      <c r="S300" s="57" t="s">
        <v>8</v>
      </c>
      <c r="T300" s="56" t="s">
        <v>2063</v>
      </c>
    </row>
    <row r="301" spans="1:20">
      <c r="A301" s="55">
        <v>124675934201</v>
      </c>
      <c r="B301" s="53" t="s">
        <v>2055</v>
      </c>
      <c r="C301" s="54">
        <v>45907</v>
      </c>
      <c r="D301" s="55">
        <v>49899053776</v>
      </c>
      <c r="E301" s="55">
        <v>2063557186288</v>
      </c>
      <c r="F301" s="56" t="s">
        <v>2056</v>
      </c>
      <c r="G301" s="56" t="s">
        <v>2057</v>
      </c>
      <c r="H301" s="56" t="s">
        <v>8</v>
      </c>
      <c r="I301" s="55" t="s">
        <v>8</v>
      </c>
      <c r="J301" s="57">
        <v>89.24</v>
      </c>
      <c r="K301" s="56" t="s">
        <v>2058</v>
      </c>
      <c r="L301" s="56" t="s">
        <v>2059</v>
      </c>
      <c r="M301" s="55" t="s">
        <v>2060</v>
      </c>
      <c r="N301" s="56" t="s">
        <v>2061</v>
      </c>
      <c r="O301" s="53" t="s">
        <v>8</v>
      </c>
      <c r="P301" s="56" t="s">
        <v>2194</v>
      </c>
      <c r="Q301" s="57">
        <v>9200</v>
      </c>
      <c r="R301" s="58" t="s">
        <v>8</v>
      </c>
      <c r="S301" s="57" t="s">
        <v>8</v>
      </c>
      <c r="T301" s="56" t="s">
        <v>2063</v>
      </c>
    </row>
    <row r="302" spans="1:20">
      <c r="A302" s="55">
        <v>125222462618</v>
      </c>
      <c r="B302" s="53" t="s">
        <v>2055</v>
      </c>
      <c r="C302" s="54">
        <v>45907</v>
      </c>
      <c r="D302" s="55">
        <v>49899096349</v>
      </c>
      <c r="E302" s="55">
        <v>2063517311473</v>
      </c>
      <c r="F302" s="56" t="s">
        <v>2056</v>
      </c>
      <c r="G302" s="56" t="s">
        <v>2057</v>
      </c>
      <c r="H302" s="56" t="s">
        <v>8</v>
      </c>
      <c r="I302" s="55" t="s">
        <v>8</v>
      </c>
      <c r="J302" s="57">
        <v>67.900000000000006</v>
      </c>
      <c r="K302" s="56" t="s">
        <v>2058</v>
      </c>
      <c r="L302" s="56" t="s">
        <v>2059</v>
      </c>
      <c r="M302" s="55" t="s">
        <v>2060</v>
      </c>
      <c r="N302" s="56" t="s">
        <v>2061</v>
      </c>
      <c r="O302" s="53" t="s">
        <v>8</v>
      </c>
      <c r="P302" s="56" t="s">
        <v>2195</v>
      </c>
      <c r="Q302" s="57">
        <v>7000</v>
      </c>
      <c r="R302" s="58" t="s">
        <v>8</v>
      </c>
      <c r="S302" s="57" t="s">
        <v>8</v>
      </c>
      <c r="T302" s="56" t="s">
        <v>2063</v>
      </c>
    </row>
    <row r="303" spans="1:20">
      <c r="A303" s="55">
        <v>125222388040</v>
      </c>
      <c r="B303" s="53" t="s">
        <v>2055</v>
      </c>
      <c r="C303" s="54">
        <v>45907</v>
      </c>
      <c r="D303" s="55">
        <v>49899121092</v>
      </c>
      <c r="E303" s="55">
        <v>2063557939380</v>
      </c>
      <c r="F303" s="56" t="s">
        <v>2066</v>
      </c>
      <c r="G303" s="56" t="s">
        <v>2057</v>
      </c>
      <c r="H303" s="56" t="s">
        <v>8</v>
      </c>
      <c r="I303" s="55" t="s">
        <v>8</v>
      </c>
      <c r="J303" s="57">
        <v>2283.33</v>
      </c>
      <c r="K303" s="56" t="s">
        <v>2058</v>
      </c>
      <c r="L303" s="56" t="s">
        <v>2067</v>
      </c>
      <c r="M303" s="55" t="s">
        <v>2060</v>
      </c>
      <c r="N303" s="56" t="s">
        <v>2061</v>
      </c>
      <c r="O303" s="53" t="s">
        <v>1790</v>
      </c>
      <c r="P303" s="56" t="s">
        <v>2068</v>
      </c>
      <c r="Q303" s="57">
        <v>58100</v>
      </c>
      <c r="R303" s="58" t="s">
        <v>8</v>
      </c>
      <c r="S303" s="57" t="s">
        <v>8</v>
      </c>
      <c r="T303" s="56" t="s">
        <v>2063</v>
      </c>
    </row>
    <row r="304" spans="1:20">
      <c r="A304" s="55">
        <v>125222877250</v>
      </c>
      <c r="B304" s="53" t="s">
        <v>2055</v>
      </c>
      <c r="C304" s="54">
        <v>45907</v>
      </c>
      <c r="D304" s="55">
        <v>49899272437</v>
      </c>
      <c r="E304" s="55">
        <v>2063520259781</v>
      </c>
      <c r="F304" s="56" t="s">
        <v>2069</v>
      </c>
      <c r="G304" s="56" t="s">
        <v>2057</v>
      </c>
      <c r="H304" s="56" t="s">
        <v>8</v>
      </c>
      <c r="I304" s="55" t="s">
        <v>8</v>
      </c>
      <c r="J304" s="57">
        <v>102.82</v>
      </c>
      <c r="K304" s="56" t="s">
        <v>2058</v>
      </c>
      <c r="L304" s="56" t="s">
        <v>2059</v>
      </c>
      <c r="M304" s="55" t="s">
        <v>2060</v>
      </c>
      <c r="N304" s="56" t="s">
        <v>2061</v>
      </c>
      <c r="O304" s="53" t="s">
        <v>8</v>
      </c>
      <c r="P304" s="56" t="s">
        <v>2070</v>
      </c>
      <c r="Q304" s="57">
        <v>10600</v>
      </c>
      <c r="R304" s="58" t="s">
        <v>8</v>
      </c>
      <c r="S304" s="57" t="s">
        <v>8</v>
      </c>
      <c r="T304" s="56" t="s">
        <v>8</v>
      </c>
    </row>
    <row r="305" spans="1:20">
      <c r="A305" s="55">
        <v>124676648481</v>
      </c>
      <c r="B305" s="53" t="s">
        <v>2055</v>
      </c>
      <c r="C305" s="54">
        <v>45907</v>
      </c>
      <c r="D305" s="55">
        <v>49899375022</v>
      </c>
      <c r="E305" s="55">
        <v>2063521404495</v>
      </c>
      <c r="F305" s="56" t="s">
        <v>2066</v>
      </c>
      <c r="G305" s="56" t="s">
        <v>2057</v>
      </c>
      <c r="H305" s="56" t="s">
        <v>8</v>
      </c>
      <c r="I305" s="55" t="s">
        <v>8</v>
      </c>
      <c r="J305" s="57">
        <v>2928.3</v>
      </c>
      <c r="K305" s="56" t="s">
        <v>2058</v>
      </c>
      <c r="L305" s="56" t="s">
        <v>2067</v>
      </c>
      <c r="M305" s="55" t="s">
        <v>2060</v>
      </c>
      <c r="N305" s="56" t="s">
        <v>2061</v>
      </c>
      <c r="O305" s="53" t="s">
        <v>1790</v>
      </c>
      <c r="P305" s="56" t="s">
        <v>2068</v>
      </c>
      <c r="Q305" s="57">
        <v>64500</v>
      </c>
      <c r="R305" s="58" t="s">
        <v>8</v>
      </c>
      <c r="S305" s="57" t="s">
        <v>8</v>
      </c>
      <c r="T305" s="56" t="s">
        <v>2063</v>
      </c>
    </row>
    <row r="306" spans="1:20">
      <c r="A306" s="55">
        <v>125223266490</v>
      </c>
      <c r="B306" s="53" t="s">
        <v>2055</v>
      </c>
      <c r="C306" s="54">
        <v>45907</v>
      </c>
      <c r="D306" s="55">
        <v>49899448552</v>
      </c>
      <c r="E306" s="55">
        <v>2063563274812</v>
      </c>
      <c r="F306" s="56" t="s">
        <v>2066</v>
      </c>
      <c r="G306" s="56" t="s">
        <v>2057</v>
      </c>
      <c r="H306" s="56" t="s">
        <v>8</v>
      </c>
      <c r="I306" s="55" t="s">
        <v>8</v>
      </c>
      <c r="J306" s="57">
        <v>373.35</v>
      </c>
      <c r="K306" s="56" t="s">
        <v>2058</v>
      </c>
      <c r="L306" s="56" t="s">
        <v>2067</v>
      </c>
      <c r="M306" s="55" t="s">
        <v>2060</v>
      </c>
      <c r="N306" s="56" t="s">
        <v>2061</v>
      </c>
      <c r="O306" s="53" t="s">
        <v>1790</v>
      </c>
      <c r="P306" s="56" t="s">
        <v>2068</v>
      </c>
      <c r="Q306" s="57">
        <v>9500</v>
      </c>
      <c r="R306" s="58" t="s">
        <v>8</v>
      </c>
      <c r="S306" s="57" t="s">
        <v>8</v>
      </c>
      <c r="T306" s="56" t="s">
        <v>2063</v>
      </c>
    </row>
    <row r="307" spans="1:20">
      <c r="A307" s="55">
        <v>125223208832</v>
      </c>
      <c r="B307" s="53" t="s">
        <v>2055</v>
      </c>
      <c r="C307" s="54">
        <v>45907</v>
      </c>
      <c r="D307" s="55">
        <v>49899454425</v>
      </c>
      <c r="E307" s="55">
        <v>2063522335473</v>
      </c>
      <c r="F307" s="56" t="s">
        <v>2056</v>
      </c>
      <c r="G307" s="56" t="s">
        <v>2057</v>
      </c>
      <c r="H307" s="56" t="s">
        <v>8</v>
      </c>
      <c r="I307" s="55" t="s">
        <v>8</v>
      </c>
      <c r="J307" s="57">
        <v>145.5</v>
      </c>
      <c r="K307" s="56" t="s">
        <v>2058</v>
      </c>
      <c r="L307" s="56" t="s">
        <v>2059</v>
      </c>
      <c r="M307" s="55" t="s">
        <v>2060</v>
      </c>
      <c r="N307" s="56" t="s">
        <v>2061</v>
      </c>
      <c r="O307" s="53" t="s">
        <v>8</v>
      </c>
      <c r="P307" s="56" t="s">
        <v>2196</v>
      </c>
      <c r="Q307" s="57">
        <v>15000</v>
      </c>
      <c r="R307" s="58" t="s">
        <v>8</v>
      </c>
      <c r="S307" s="57" t="s">
        <v>8</v>
      </c>
      <c r="T307" s="56" t="s">
        <v>2063</v>
      </c>
    </row>
    <row r="308" spans="1:20">
      <c r="A308" s="55">
        <v>125223478166</v>
      </c>
      <c r="B308" s="53" t="s">
        <v>2055</v>
      </c>
      <c r="C308" s="54">
        <v>45907</v>
      </c>
      <c r="D308" s="55">
        <v>49899554862</v>
      </c>
      <c r="E308" s="55">
        <v>2063564130112</v>
      </c>
      <c r="F308" s="56" t="s">
        <v>2066</v>
      </c>
      <c r="G308" s="56" t="s">
        <v>2057</v>
      </c>
      <c r="H308" s="56" t="s">
        <v>8</v>
      </c>
      <c r="I308" s="55" t="s">
        <v>8</v>
      </c>
      <c r="J308" s="57">
        <v>994.26</v>
      </c>
      <c r="K308" s="56" t="s">
        <v>2058</v>
      </c>
      <c r="L308" s="56" t="s">
        <v>2067</v>
      </c>
      <c r="M308" s="55" t="s">
        <v>2060</v>
      </c>
      <c r="N308" s="56" t="s">
        <v>2061</v>
      </c>
      <c r="O308" s="53" t="s">
        <v>1790</v>
      </c>
      <c r="P308" s="56" t="s">
        <v>2068</v>
      </c>
      <c r="Q308" s="57">
        <v>21900</v>
      </c>
      <c r="R308" s="58" t="s">
        <v>8</v>
      </c>
      <c r="S308" s="57" t="s">
        <v>8</v>
      </c>
      <c r="T308" s="56" t="s">
        <v>2063</v>
      </c>
    </row>
    <row r="309" spans="1:20">
      <c r="A309" s="55">
        <v>124677058353</v>
      </c>
      <c r="B309" s="53" t="s">
        <v>2055</v>
      </c>
      <c r="C309" s="54">
        <v>45907</v>
      </c>
      <c r="D309" s="55">
        <v>49899597716</v>
      </c>
      <c r="E309" s="55">
        <v>2063524408391</v>
      </c>
      <c r="F309" s="56" t="s">
        <v>2066</v>
      </c>
      <c r="G309" s="56" t="s">
        <v>2057</v>
      </c>
      <c r="H309" s="56" t="s">
        <v>8</v>
      </c>
      <c r="I309" s="55" t="s">
        <v>8</v>
      </c>
      <c r="J309" s="57">
        <v>1866.75</v>
      </c>
      <c r="K309" s="56" t="s">
        <v>2058</v>
      </c>
      <c r="L309" s="56" t="s">
        <v>2067</v>
      </c>
      <c r="M309" s="55" t="s">
        <v>2060</v>
      </c>
      <c r="N309" s="56" t="s">
        <v>2061</v>
      </c>
      <c r="O309" s="53" t="s">
        <v>1790</v>
      </c>
      <c r="P309" s="56" t="s">
        <v>2068</v>
      </c>
      <c r="Q309" s="57">
        <v>47500</v>
      </c>
      <c r="R309" s="58" t="s">
        <v>8</v>
      </c>
      <c r="S309" s="57" t="s">
        <v>8</v>
      </c>
      <c r="T309" s="56" t="s">
        <v>2063</v>
      </c>
    </row>
    <row r="310" spans="1:20">
      <c r="A310" s="55">
        <v>125223493470</v>
      </c>
      <c r="B310" s="53" t="s">
        <v>2055</v>
      </c>
      <c r="C310" s="54">
        <v>45907</v>
      </c>
      <c r="D310" s="55">
        <v>49899607461</v>
      </c>
      <c r="E310" s="55">
        <v>2063524623179</v>
      </c>
      <c r="F310" s="56" t="s">
        <v>2056</v>
      </c>
      <c r="G310" s="56" t="s">
        <v>2057</v>
      </c>
      <c r="H310" s="56" t="s">
        <v>8</v>
      </c>
      <c r="I310" s="55" t="s">
        <v>8</v>
      </c>
      <c r="J310" s="57">
        <v>83.42</v>
      </c>
      <c r="K310" s="56" t="s">
        <v>2058</v>
      </c>
      <c r="L310" s="56" t="s">
        <v>2059</v>
      </c>
      <c r="M310" s="55" t="s">
        <v>2060</v>
      </c>
      <c r="N310" s="56" t="s">
        <v>2061</v>
      </c>
      <c r="O310" s="53" t="s">
        <v>8</v>
      </c>
      <c r="P310" s="56" t="s">
        <v>2182</v>
      </c>
      <c r="Q310" s="57">
        <v>8600</v>
      </c>
      <c r="R310" s="58" t="s">
        <v>8</v>
      </c>
      <c r="S310" s="57" t="s">
        <v>8</v>
      </c>
      <c r="T310" s="56" t="s">
        <v>2063</v>
      </c>
    </row>
    <row r="311" spans="1:20">
      <c r="A311" s="55">
        <v>125223606328</v>
      </c>
      <c r="B311" s="53" t="s">
        <v>2055</v>
      </c>
      <c r="C311" s="54">
        <v>45907</v>
      </c>
      <c r="D311" s="55">
        <v>49899628474</v>
      </c>
      <c r="E311" s="55">
        <v>2063565053914</v>
      </c>
      <c r="F311" s="56" t="s">
        <v>2107</v>
      </c>
      <c r="G311" s="56" t="s">
        <v>2057</v>
      </c>
      <c r="H311" s="56" t="s">
        <v>8</v>
      </c>
      <c r="I311" s="55" t="s">
        <v>8</v>
      </c>
      <c r="J311" s="57">
        <v>2422.1799999999998</v>
      </c>
      <c r="K311" s="56" t="s">
        <v>2058</v>
      </c>
      <c r="L311" s="56" t="s">
        <v>2059</v>
      </c>
      <c r="M311" s="55" t="s">
        <v>2060</v>
      </c>
      <c r="N311" s="56" t="s">
        <v>2061</v>
      </c>
      <c r="O311" s="53" t="s">
        <v>8</v>
      </c>
      <c r="P311" s="56" t="s">
        <v>2197</v>
      </c>
      <c r="Q311" s="57">
        <v>148600</v>
      </c>
      <c r="R311" s="58" t="s">
        <v>8</v>
      </c>
      <c r="S311" s="57" t="s">
        <v>8</v>
      </c>
      <c r="T311" s="56" t="s">
        <v>2063</v>
      </c>
    </row>
    <row r="312" spans="1:20">
      <c r="A312" s="55">
        <v>124677107387</v>
      </c>
      <c r="B312" s="53" t="s">
        <v>2055</v>
      </c>
      <c r="C312" s="54">
        <v>45907</v>
      </c>
      <c r="D312" s="55">
        <v>49899660875</v>
      </c>
      <c r="E312" s="55">
        <v>2063525028687</v>
      </c>
      <c r="F312" s="56" t="s">
        <v>2056</v>
      </c>
      <c r="G312" s="56" t="s">
        <v>2057</v>
      </c>
      <c r="H312" s="56" t="s">
        <v>8</v>
      </c>
      <c r="I312" s="55" t="s">
        <v>8</v>
      </c>
      <c r="J312" s="57">
        <v>214.37</v>
      </c>
      <c r="K312" s="56" t="s">
        <v>2058</v>
      </c>
      <c r="L312" s="56" t="s">
        <v>2059</v>
      </c>
      <c r="M312" s="55" t="s">
        <v>2060</v>
      </c>
      <c r="N312" s="56" t="s">
        <v>2061</v>
      </c>
      <c r="O312" s="53" t="s">
        <v>8</v>
      </c>
      <c r="P312" s="56" t="s">
        <v>2192</v>
      </c>
      <c r="Q312" s="57">
        <v>22100</v>
      </c>
      <c r="R312" s="58" t="s">
        <v>8</v>
      </c>
      <c r="S312" s="57" t="s">
        <v>8</v>
      </c>
      <c r="T312" s="56" t="s">
        <v>2063</v>
      </c>
    </row>
    <row r="313" spans="1:20">
      <c r="A313" s="55">
        <v>124677103773</v>
      </c>
      <c r="B313" s="53" t="s">
        <v>2055</v>
      </c>
      <c r="C313" s="54">
        <v>45907</v>
      </c>
      <c r="D313" s="55">
        <v>49899673969</v>
      </c>
      <c r="E313" s="55">
        <v>2063565553208</v>
      </c>
      <c r="F313" s="56" t="s">
        <v>2056</v>
      </c>
      <c r="G313" s="56" t="s">
        <v>2057</v>
      </c>
      <c r="H313" s="56" t="s">
        <v>8</v>
      </c>
      <c r="I313" s="55" t="s">
        <v>8</v>
      </c>
      <c r="J313" s="57">
        <v>69.84</v>
      </c>
      <c r="K313" s="56" t="s">
        <v>2058</v>
      </c>
      <c r="L313" s="56" t="s">
        <v>2059</v>
      </c>
      <c r="M313" s="55" t="s">
        <v>2060</v>
      </c>
      <c r="N313" s="56" t="s">
        <v>2061</v>
      </c>
      <c r="O313" s="53" t="s">
        <v>8</v>
      </c>
      <c r="P313" s="56" t="s">
        <v>2198</v>
      </c>
      <c r="Q313" s="57">
        <v>7200</v>
      </c>
      <c r="R313" s="58" t="s">
        <v>8</v>
      </c>
      <c r="S313" s="57" t="s">
        <v>8</v>
      </c>
      <c r="T313" s="56" t="s">
        <v>2063</v>
      </c>
    </row>
    <row r="314" spans="1:20">
      <c r="A314" s="55">
        <v>124677077767</v>
      </c>
      <c r="B314" s="53" t="s">
        <v>2055</v>
      </c>
      <c r="C314" s="54">
        <v>45907</v>
      </c>
      <c r="D314" s="55">
        <v>49899675401</v>
      </c>
      <c r="E314" s="55">
        <v>2063525031939</v>
      </c>
      <c r="F314" s="56" t="s">
        <v>2066</v>
      </c>
      <c r="G314" s="56" t="s">
        <v>2057</v>
      </c>
      <c r="H314" s="56" t="s">
        <v>8</v>
      </c>
      <c r="I314" s="55" t="s">
        <v>8</v>
      </c>
      <c r="J314" s="57">
        <v>503.04</v>
      </c>
      <c r="K314" s="56" t="s">
        <v>2058</v>
      </c>
      <c r="L314" s="56" t="s">
        <v>2067</v>
      </c>
      <c r="M314" s="55" t="s">
        <v>2060</v>
      </c>
      <c r="N314" s="56" t="s">
        <v>2061</v>
      </c>
      <c r="O314" s="53" t="s">
        <v>1790</v>
      </c>
      <c r="P314" s="56" t="s">
        <v>2068</v>
      </c>
      <c r="Q314" s="57">
        <v>12800</v>
      </c>
      <c r="R314" s="58" t="s">
        <v>8</v>
      </c>
      <c r="S314" s="57" t="s">
        <v>8</v>
      </c>
      <c r="T314" s="56" t="s">
        <v>2063</v>
      </c>
    </row>
    <row r="315" spans="1:20">
      <c r="A315" s="55">
        <v>124749410821</v>
      </c>
      <c r="B315" s="53" t="s">
        <v>2055</v>
      </c>
      <c r="C315" s="54">
        <v>45907</v>
      </c>
      <c r="D315" s="55">
        <v>49929417247</v>
      </c>
      <c r="E315" s="55">
        <v>2063970101137</v>
      </c>
      <c r="F315" s="56" t="s">
        <v>2056</v>
      </c>
      <c r="G315" s="56" t="s">
        <v>2057</v>
      </c>
      <c r="H315" s="56" t="s">
        <v>8</v>
      </c>
      <c r="I315" s="55" t="s">
        <v>8</v>
      </c>
      <c r="J315" s="57">
        <v>83.42</v>
      </c>
      <c r="K315" s="56" t="s">
        <v>2058</v>
      </c>
      <c r="L315" s="56" t="s">
        <v>2059</v>
      </c>
      <c r="M315" s="55" t="s">
        <v>2060</v>
      </c>
      <c r="N315" s="56" t="s">
        <v>2061</v>
      </c>
      <c r="O315" s="53" t="s">
        <v>8</v>
      </c>
      <c r="P315" s="56" t="s">
        <v>2199</v>
      </c>
      <c r="Q315" s="57">
        <v>8600</v>
      </c>
      <c r="R315" s="58" t="s">
        <v>8</v>
      </c>
      <c r="S315" s="57" t="s">
        <v>8</v>
      </c>
      <c r="T315" s="56" t="s">
        <v>2063</v>
      </c>
    </row>
    <row r="316" spans="1:20">
      <c r="A316" s="55">
        <v>124751640007</v>
      </c>
      <c r="B316" s="53" t="s">
        <v>2055</v>
      </c>
      <c r="C316" s="54">
        <v>45907</v>
      </c>
      <c r="D316" s="55">
        <v>49930292124</v>
      </c>
      <c r="E316" s="55">
        <v>2063984267543</v>
      </c>
      <c r="F316" s="56" t="s">
        <v>2069</v>
      </c>
      <c r="G316" s="56" t="s">
        <v>2057</v>
      </c>
      <c r="H316" s="56" t="s">
        <v>8</v>
      </c>
      <c r="I316" s="55" t="s">
        <v>8</v>
      </c>
      <c r="J316" s="57">
        <v>440.38</v>
      </c>
      <c r="K316" s="56" t="s">
        <v>2058</v>
      </c>
      <c r="L316" s="56" t="s">
        <v>2059</v>
      </c>
      <c r="M316" s="55" t="s">
        <v>2060</v>
      </c>
      <c r="N316" s="56" t="s">
        <v>2061</v>
      </c>
      <c r="O316" s="53" t="s">
        <v>8</v>
      </c>
      <c r="P316" s="56" t="s">
        <v>2070</v>
      </c>
      <c r="Q316" s="57">
        <v>45400</v>
      </c>
      <c r="R316" s="58" t="s">
        <v>8</v>
      </c>
      <c r="S316" s="57" t="s">
        <v>8</v>
      </c>
      <c r="T316" s="56" t="s">
        <v>8</v>
      </c>
    </row>
    <row r="317" spans="1:20">
      <c r="A317" s="55">
        <v>125298883468</v>
      </c>
      <c r="B317" s="53" t="s">
        <v>2055</v>
      </c>
      <c r="C317" s="54">
        <v>45907</v>
      </c>
      <c r="D317" s="55">
        <v>49930476909</v>
      </c>
      <c r="E317" s="55">
        <v>2064027372986</v>
      </c>
      <c r="F317" s="56" t="s">
        <v>2056</v>
      </c>
      <c r="G317" s="56" t="s">
        <v>2057</v>
      </c>
      <c r="H317" s="56" t="s">
        <v>8</v>
      </c>
      <c r="I317" s="55" t="s">
        <v>8</v>
      </c>
      <c r="J317" s="57">
        <v>106.7</v>
      </c>
      <c r="K317" s="56" t="s">
        <v>2058</v>
      </c>
      <c r="L317" s="56" t="s">
        <v>2059</v>
      </c>
      <c r="M317" s="55" t="s">
        <v>2060</v>
      </c>
      <c r="N317" s="56" t="s">
        <v>2061</v>
      </c>
      <c r="O317" s="53" t="s">
        <v>8</v>
      </c>
      <c r="P317" s="56" t="s">
        <v>2200</v>
      </c>
      <c r="Q317" s="57">
        <v>11000</v>
      </c>
      <c r="R317" s="58" t="s">
        <v>8</v>
      </c>
      <c r="S317" s="57" t="s">
        <v>8</v>
      </c>
      <c r="T317" s="56" t="s">
        <v>2063</v>
      </c>
    </row>
    <row r="318" spans="1:20">
      <c r="A318" s="55">
        <v>124752111709</v>
      </c>
      <c r="B318" s="53" t="s">
        <v>2055</v>
      </c>
      <c r="C318" s="54">
        <v>45907</v>
      </c>
      <c r="D318" s="55">
        <v>49930514928</v>
      </c>
      <c r="E318" s="55">
        <v>2064027776874</v>
      </c>
      <c r="F318" s="56" t="s">
        <v>2069</v>
      </c>
      <c r="G318" s="56" t="s">
        <v>2057</v>
      </c>
      <c r="H318" s="56" t="s">
        <v>8</v>
      </c>
      <c r="I318" s="55" t="s">
        <v>8</v>
      </c>
      <c r="J318" s="57">
        <v>83.42</v>
      </c>
      <c r="K318" s="56" t="s">
        <v>2058</v>
      </c>
      <c r="L318" s="56" t="s">
        <v>2059</v>
      </c>
      <c r="M318" s="55" t="s">
        <v>2060</v>
      </c>
      <c r="N318" s="56" t="s">
        <v>2061</v>
      </c>
      <c r="O318" s="53" t="s">
        <v>8</v>
      </c>
      <c r="P318" s="56" t="s">
        <v>2070</v>
      </c>
      <c r="Q318" s="57">
        <v>8600</v>
      </c>
      <c r="R318" s="58" t="s">
        <v>8</v>
      </c>
      <c r="S318" s="57" t="s">
        <v>8</v>
      </c>
      <c r="T318" s="56" t="s">
        <v>8</v>
      </c>
    </row>
    <row r="319" spans="1:20">
      <c r="A319" s="55">
        <v>125300953476</v>
      </c>
      <c r="B319" s="53" t="s">
        <v>2055</v>
      </c>
      <c r="C319" s="54">
        <v>45907</v>
      </c>
      <c r="D319" s="55">
        <v>49931230529</v>
      </c>
      <c r="E319" s="55">
        <v>2064040417828</v>
      </c>
      <c r="F319" s="56" t="s">
        <v>2066</v>
      </c>
      <c r="G319" s="56" t="s">
        <v>2057</v>
      </c>
      <c r="H319" s="56" t="s">
        <v>8</v>
      </c>
      <c r="I319" s="55" t="s">
        <v>8</v>
      </c>
      <c r="J319" s="57">
        <v>1214.3699999999999</v>
      </c>
      <c r="K319" s="56" t="s">
        <v>2058</v>
      </c>
      <c r="L319" s="56" t="s">
        <v>2067</v>
      </c>
      <c r="M319" s="55" t="s">
        <v>2060</v>
      </c>
      <c r="N319" s="56" t="s">
        <v>2061</v>
      </c>
      <c r="O319" s="53" t="s">
        <v>1790</v>
      </c>
      <c r="P319" s="56" t="s">
        <v>2068</v>
      </c>
      <c r="Q319" s="57">
        <v>30900</v>
      </c>
      <c r="R319" s="58" t="s">
        <v>8</v>
      </c>
      <c r="S319" s="57" t="s">
        <v>8</v>
      </c>
      <c r="T319" s="56" t="s">
        <v>2063</v>
      </c>
    </row>
    <row r="320" spans="1:20">
      <c r="A320" s="55">
        <v>124754527205</v>
      </c>
      <c r="B320" s="53" t="s">
        <v>2055</v>
      </c>
      <c r="C320" s="54">
        <v>45907</v>
      </c>
      <c r="D320" s="55">
        <v>49931393319</v>
      </c>
      <c r="E320" s="55">
        <v>2064002401649</v>
      </c>
      <c r="F320" s="56" t="s">
        <v>2056</v>
      </c>
      <c r="G320" s="56" t="s">
        <v>2057</v>
      </c>
      <c r="H320" s="56" t="s">
        <v>8</v>
      </c>
      <c r="I320" s="55" t="s">
        <v>8</v>
      </c>
      <c r="J320" s="57">
        <v>465.6</v>
      </c>
      <c r="K320" s="56" t="s">
        <v>2058</v>
      </c>
      <c r="L320" s="56" t="s">
        <v>2059</v>
      </c>
      <c r="M320" s="55" t="s">
        <v>2060</v>
      </c>
      <c r="N320" s="56" t="s">
        <v>2061</v>
      </c>
      <c r="O320" s="53" t="s">
        <v>8</v>
      </c>
      <c r="P320" s="56" t="s">
        <v>2157</v>
      </c>
      <c r="Q320" s="57">
        <v>48000</v>
      </c>
      <c r="R320" s="58" t="s">
        <v>8</v>
      </c>
      <c r="S320" s="57" t="s">
        <v>8</v>
      </c>
      <c r="T320" s="56" t="s">
        <v>2063</v>
      </c>
    </row>
    <row r="321" spans="1:20">
      <c r="A321" s="55">
        <v>124755105423</v>
      </c>
      <c r="B321" s="53" t="s">
        <v>2055</v>
      </c>
      <c r="C321" s="54">
        <v>45907</v>
      </c>
      <c r="D321" s="55">
        <v>49931581661</v>
      </c>
      <c r="E321" s="55">
        <v>2064005271335</v>
      </c>
      <c r="F321" s="56" t="s">
        <v>2069</v>
      </c>
      <c r="G321" s="56" t="s">
        <v>2057</v>
      </c>
      <c r="H321" s="56" t="s">
        <v>8</v>
      </c>
      <c r="I321" s="55" t="s">
        <v>8</v>
      </c>
      <c r="J321" s="57">
        <v>166.84</v>
      </c>
      <c r="K321" s="56" t="s">
        <v>2058</v>
      </c>
      <c r="L321" s="56" t="s">
        <v>2059</v>
      </c>
      <c r="M321" s="55" t="s">
        <v>2060</v>
      </c>
      <c r="N321" s="56" t="s">
        <v>2061</v>
      </c>
      <c r="O321" s="53" t="s">
        <v>8</v>
      </c>
      <c r="P321" s="56" t="s">
        <v>2070</v>
      </c>
      <c r="Q321" s="57">
        <v>17200</v>
      </c>
      <c r="R321" s="58" t="s">
        <v>8</v>
      </c>
      <c r="S321" s="57" t="s">
        <v>8</v>
      </c>
      <c r="T321" s="56" t="s">
        <v>8</v>
      </c>
    </row>
    <row r="322" spans="1:20">
      <c r="A322" s="55">
        <v>124756307845</v>
      </c>
      <c r="B322" s="53" t="s">
        <v>2055</v>
      </c>
      <c r="C322" s="54">
        <v>45907</v>
      </c>
      <c r="D322" s="55">
        <v>49932082018</v>
      </c>
      <c r="E322" s="55">
        <v>2064013460277</v>
      </c>
      <c r="F322" s="56" t="s">
        <v>2056</v>
      </c>
      <c r="G322" s="56" t="s">
        <v>2057</v>
      </c>
      <c r="H322" s="56" t="s">
        <v>8</v>
      </c>
      <c r="I322" s="55" t="s">
        <v>8</v>
      </c>
      <c r="J322" s="57">
        <v>207.58</v>
      </c>
      <c r="K322" s="56" t="s">
        <v>2058</v>
      </c>
      <c r="L322" s="56" t="s">
        <v>2059</v>
      </c>
      <c r="M322" s="55" t="s">
        <v>2060</v>
      </c>
      <c r="N322" s="56" t="s">
        <v>2061</v>
      </c>
      <c r="O322" s="53" t="s">
        <v>8</v>
      </c>
      <c r="P322" s="56" t="s">
        <v>2201</v>
      </c>
      <c r="Q322" s="57">
        <v>21400</v>
      </c>
      <c r="R322" s="58" t="s">
        <v>8</v>
      </c>
      <c r="S322" s="57" t="s">
        <v>8</v>
      </c>
      <c r="T322" s="56" t="s">
        <v>2063</v>
      </c>
    </row>
    <row r="323" spans="1:20">
      <c r="A323" s="55">
        <v>124756676035</v>
      </c>
      <c r="B323" s="53" t="s">
        <v>2055</v>
      </c>
      <c r="C323" s="54">
        <v>45907</v>
      </c>
      <c r="D323" s="55">
        <v>49932277880</v>
      </c>
      <c r="E323" s="55">
        <v>2064016309223</v>
      </c>
      <c r="F323" s="56" t="s">
        <v>2069</v>
      </c>
      <c r="G323" s="56" t="s">
        <v>2057</v>
      </c>
      <c r="H323" s="56" t="s">
        <v>8</v>
      </c>
      <c r="I323" s="55" t="s">
        <v>8</v>
      </c>
      <c r="J323" s="57">
        <v>317.19</v>
      </c>
      <c r="K323" s="56" t="s">
        <v>2058</v>
      </c>
      <c r="L323" s="56" t="s">
        <v>2059</v>
      </c>
      <c r="M323" s="55" t="s">
        <v>2060</v>
      </c>
      <c r="N323" s="56" t="s">
        <v>2061</v>
      </c>
      <c r="O323" s="53" t="s">
        <v>8</v>
      </c>
      <c r="P323" s="56" t="s">
        <v>2070</v>
      </c>
      <c r="Q323" s="57">
        <v>32700</v>
      </c>
      <c r="R323" s="58" t="s">
        <v>8</v>
      </c>
      <c r="S323" s="57" t="s">
        <v>8</v>
      </c>
      <c r="T323" s="56" t="s">
        <v>8</v>
      </c>
    </row>
    <row r="324" spans="1:20">
      <c r="A324" s="55">
        <v>125304841170</v>
      </c>
      <c r="B324" s="53" t="s">
        <v>2055</v>
      </c>
      <c r="C324" s="54">
        <v>45907</v>
      </c>
      <c r="D324" s="55">
        <v>49932782845</v>
      </c>
      <c r="E324" s="55">
        <v>2064024040549</v>
      </c>
      <c r="F324" s="56" t="s">
        <v>2056</v>
      </c>
      <c r="G324" s="56" t="s">
        <v>2057</v>
      </c>
      <c r="H324" s="56" t="s">
        <v>8</v>
      </c>
      <c r="I324" s="55" t="s">
        <v>8</v>
      </c>
      <c r="J324" s="57">
        <v>744.96</v>
      </c>
      <c r="K324" s="56" t="s">
        <v>2058</v>
      </c>
      <c r="L324" s="56" t="s">
        <v>2059</v>
      </c>
      <c r="M324" s="55" t="s">
        <v>2060</v>
      </c>
      <c r="N324" s="56" t="s">
        <v>2061</v>
      </c>
      <c r="O324" s="53" t="s">
        <v>8</v>
      </c>
      <c r="P324" s="56" t="s">
        <v>2202</v>
      </c>
      <c r="Q324" s="57">
        <v>76800</v>
      </c>
      <c r="R324" s="58" t="s">
        <v>8</v>
      </c>
      <c r="S324" s="57" t="s">
        <v>8</v>
      </c>
      <c r="T324" s="56" t="s">
        <v>2063</v>
      </c>
    </row>
    <row r="325" spans="1:20">
      <c r="A325" s="55">
        <v>125305682512</v>
      </c>
      <c r="B325" s="53" t="s">
        <v>2055</v>
      </c>
      <c r="C325" s="54">
        <v>45907</v>
      </c>
      <c r="D325" s="55">
        <v>49933072865</v>
      </c>
      <c r="E325" s="55">
        <v>2064069411820</v>
      </c>
      <c r="F325" s="56" t="s">
        <v>2056</v>
      </c>
      <c r="G325" s="56" t="s">
        <v>2057</v>
      </c>
      <c r="H325" s="56" t="s">
        <v>8</v>
      </c>
      <c r="I325" s="55" t="s">
        <v>8</v>
      </c>
      <c r="J325" s="57">
        <v>978.73</v>
      </c>
      <c r="K325" s="56" t="s">
        <v>2058</v>
      </c>
      <c r="L325" s="56" t="s">
        <v>2059</v>
      </c>
      <c r="M325" s="55" t="s">
        <v>2060</v>
      </c>
      <c r="N325" s="56" t="s">
        <v>2061</v>
      </c>
      <c r="O325" s="53" t="s">
        <v>8</v>
      </c>
      <c r="P325" s="56" t="s">
        <v>2203</v>
      </c>
      <c r="Q325" s="57">
        <v>100900</v>
      </c>
      <c r="R325" s="58" t="s">
        <v>8</v>
      </c>
      <c r="S325" s="57" t="s">
        <v>8</v>
      </c>
      <c r="T325" s="56" t="s">
        <v>2063</v>
      </c>
    </row>
    <row r="326" spans="1:20">
      <c r="A326" s="55">
        <v>124759575161</v>
      </c>
      <c r="B326" s="53" t="s">
        <v>2055</v>
      </c>
      <c r="C326" s="54">
        <v>45907</v>
      </c>
      <c r="D326" s="55">
        <v>49933310388</v>
      </c>
      <c r="E326" s="55">
        <v>2064032605509</v>
      </c>
      <c r="F326" s="56" t="s">
        <v>2056</v>
      </c>
      <c r="G326" s="56" t="s">
        <v>2057</v>
      </c>
      <c r="H326" s="56" t="s">
        <v>8</v>
      </c>
      <c r="I326" s="55" t="s">
        <v>8</v>
      </c>
      <c r="J326" s="57">
        <v>179.94</v>
      </c>
      <c r="K326" s="56" t="s">
        <v>2058</v>
      </c>
      <c r="L326" s="56" t="s">
        <v>2059</v>
      </c>
      <c r="M326" s="55" t="s">
        <v>2060</v>
      </c>
      <c r="N326" s="56" t="s">
        <v>2061</v>
      </c>
      <c r="O326" s="53" t="s">
        <v>8</v>
      </c>
      <c r="P326" s="56" t="s">
        <v>2204</v>
      </c>
      <c r="Q326" s="57">
        <v>18550</v>
      </c>
      <c r="R326" s="58" t="s">
        <v>8</v>
      </c>
      <c r="S326" s="57" t="s">
        <v>8</v>
      </c>
      <c r="T326" s="56" t="s">
        <v>2063</v>
      </c>
    </row>
    <row r="327" spans="1:20">
      <c r="A327" s="55">
        <v>124760077545</v>
      </c>
      <c r="B327" s="53" t="s">
        <v>2055</v>
      </c>
      <c r="C327" s="54">
        <v>45907</v>
      </c>
      <c r="D327" s="55">
        <v>49933550780</v>
      </c>
      <c r="E327" s="55">
        <v>2064036328445</v>
      </c>
      <c r="F327" s="56" t="s">
        <v>2066</v>
      </c>
      <c r="G327" s="56" t="s">
        <v>2057</v>
      </c>
      <c r="H327" s="56" t="s">
        <v>8</v>
      </c>
      <c r="I327" s="55" t="s">
        <v>8</v>
      </c>
      <c r="J327" s="57">
        <v>1426.59</v>
      </c>
      <c r="K327" s="56" t="s">
        <v>2058</v>
      </c>
      <c r="L327" s="56" t="s">
        <v>2067</v>
      </c>
      <c r="M327" s="55" t="s">
        <v>2060</v>
      </c>
      <c r="N327" s="56" t="s">
        <v>2061</v>
      </c>
      <c r="O327" s="53" t="s">
        <v>1790</v>
      </c>
      <c r="P327" s="56" t="s">
        <v>2068</v>
      </c>
      <c r="Q327" s="57">
        <v>36300</v>
      </c>
      <c r="R327" s="58" t="s">
        <v>8</v>
      </c>
      <c r="S327" s="57" t="s">
        <v>8</v>
      </c>
      <c r="T327" s="56" t="s">
        <v>2063</v>
      </c>
    </row>
    <row r="328" spans="1:20">
      <c r="A328" s="55">
        <v>124760717875</v>
      </c>
      <c r="B328" s="53" t="s">
        <v>2055</v>
      </c>
      <c r="C328" s="54">
        <v>45907</v>
      </c>
      <c r="D328" s="55">
        <v>49933836105</v>
      </c>
      <c r="E328" s="55">
        <v>2064081398398</v>
      </c>
      <c r="F328" s="56" t="s">
        <v>2056</v>
      </c>
      <c r="G328" s="56" t="s">
        <v>2057</v>
      </c>
      <c r="H328" s="56" t="s">
        <v>8</v>
      </c>
      <c r="I328" s="55" t="s">
        <v>8</v>
      </c>
      <c r="J328" s="57">
        <v>277.42</v>
      </c>
      <c r="K328" s="56" t="s">
        <v>2058</v>
      </c>
      <c r="L328" s="56" t="s">
        <v>2059</v>
      </c>
      <c r="M328" s="55" t="s">
        <v>2060</v>
      </c>
      <c r="N328" s="56" t="s">
        <v>2061</v>
      </c>
      <c r="O328" s="53" t="s">
        <v>8</v>
      </c>
      <c r="P328" s="56" t="s">
        <v>2205</v>
      </c>
      <c r="Q328" s="57">
        <v>28600</v>
      </c>
      <c r="R328" s="58" t="s">
        <v>8</v>
      </c>
      <c r="S328" s="57" t="s">
        <v>8</v>
      </c>
      <c r="T328" s="56" t="s">
        <v>2063</v>
      </c>
    </row>
    <row r="329" spans="1:20">
      <c r="A329" s="55">
        <v>125307583524</v>
      </c>
      <c r="B329" s="53" t="s">
        <v>2055</v>
      </c>
      <c r="C329" s="54">
        <v>45907</v>
      </c>
      <c r="D329" s="55">
        <v>49933848994</v>
      </c>
      <c r="E329" s="55">
        <v>2064040941321</v>
      </c>
      <c r="F329" s="56" t="s">
        <v>2056</v>
      </c>
      <c r="G329" s="56" t="s">
        <v>2057</v>
      </c>
      <c r="H329" s="56" t="s">
        <v>8</v>
      </c>
      <c r="I329" s="55" t="s">
        <v>8</v>
      </c>
      <c r="J329" s="57">
        <v>458.81</v>
      </c>
      <c r="K329" s="56" t="s">
        <v>2058</v>
      </c>
      <c r="L329" s="56" t="s">
        <v>2059</v>
      </c>
      <c r="M329" s="55" t="s">
        <v>2060</v>
      </c>
      <c r="N329" s="56" t="s">
        <v>2061</v>
      </c>
      <c r="O329" s="53" t="s">
        <v>8</v>
      </c>
      <c r="P329" s="56" t="s">
        <v>2206</v>
      </c>
      <c r="Q329" s="57">
        <v>47300</v>
      </c>
      <c r="R329" s="58" t="s">
        <v>8</v>
      </c>
      <c r="S329" s="57" t="s">
        <v>8</v>
      </c>
      <c r="T329" s="56" t="s">
        <v>2063</v>
      </c>
    </row>
    <row r="330" spans="1:20">
      <c r="A330" s="55">
        <v>125307924448</v>
      </c>
      <c r="B330" s="53" t="s">
        <v>2055</v>
      </c>
      <c r="C330" s="54">
        <v>45907</v>
      </c>
      <c r="D330" s="55">
        <v>49933956006</v>
      </c>
      <c r="E330" s="55">
        <v>2064083320316</v>
      </c>
      <c r="F330" s="56" t="s">
        <v>2056</v>
      </c>
      <c r="G330" s="56" t="s">
        <v>2057</v>
      </c>
      <c r="H330" s="56" t="s">
        <v>8</v>
      </c>
      <c r="I330" s="55" t="s">
        <v>8</v>
      </c>
      <c r="J330" s="57">
        <v>352.11</v>
      </c>
      <c r="K330" s="56" t="s">
        <v>2058</v>
      </c>
      <c r="L330" s="56" t="s">
        <v>2059</v>
      </c>
      <c r="M330" s="55" t="s">
        <v>2060</v>
      </c>
      <c r="N330" s="56" t="s">
        <v>2061</v>
      </c>
      <c r="O330" s="53" t="s">
        <v>8</v>
      </c>
      <c r="P330" s="56" t="s">
        <v>2207</v>
      </c>
      <c r="Q330" s="57">
        <v>36300</v>
      </c>
      <c r="R330" s="58" t="s">
        <v>8</v>
      </c>
      <c r="S330" s="57" t="s">
        <v>8</v>
      </c>
      <c r="T330" s="56" t="s">
        <v>2063</v>
      </c>
    </row>
    <row r="331" spans="1:20">
      <c r="A331" s="55">
        <v>124761305099</v>
      </c>
      <c r="B331" s="53" t="s">
        <v>2055</v>
      </c>
      <c r="C331" s="54">
        <v>45907</v>
      </c>
      <c r="D331" s="55">
        <v>49934009792</v>
      </c>
      <c r="E331" s="55">
        <v>2064043660401</v>
      </c>
      <c r="F331" s="56" t="s">
        <v>2056</v>
      </c>
      <c r="G331" s="56" t="s">
        <v>2057</v>
      </c>
      <c r="H331" s="56" t="s">
        <v>8</v>
      </c>
      <c r="I331" s="55" t="s">
        <v>8</v>
      </c>
      <c r="J331" s="57">
        <v>392.85</v>
      </c>
      <c r="K331" s="56" t="s">
        <v>2058</v>
      </c>
      <c r="L331" s="56" t="s">
        <v>2059</v>
      </c>
      <c r="M331" s="55" t="s">
        <v>2060</v>
      </c>
      <c r="N331" s="56" t="s">
        <v>2061</v>
      </c>
      <c r="O331" s="53" t="s">
        <v>8</v>
      </c>
      <c r="P331" s="56" t="s">
        <v>2208</v>
      </c>
      <c r="Q331" s="57">
        <v>40500</v>
      </c>
      <c r="R331" s="58" t="s">
        <v>8</v>
      </c>
      <c r="S331" s="57" t="s">
        <v>8</v>
      </c>
      <c r="T331" s="56" t="s">
        <v>2063</v>
      </c>
    </row>
    <row r="332" spans="1:20">
      <c r="A332" s="55">
        <v>124761974987</v>
      </c>
      <c r="B332" s="53" t="s">
        <v>2055</v>
      </c>
      <c r="C332" s="54">
        <v>45907</v>
      </c>
      <c r="D332" s="55">
        <v>49934264149</v>
      </c>
      <c r="E332" s="55">
        <v>2064047843959</v>
      </c>
      <c r="F332" s="56" t="s">
        <v>2107</v>
      </c>
      <c r="G332" s="56" t="s">
        <v>2057</v>
      </c>
      <c r="H332" s="56" t="s">
        <v>8</v>
      </c>
      <c r="I332" s="55" t="s">
        <v>8</v>
      </c>
      <c r="J332" s="57">
        <v>1124.7</v>
      </c>
      <c r="K332" s="56" t="s">
        <v>2058</v>
      </c>
      <c r="L332" s="56" t="s">
        <v>2059</v>
      </c>
      <c r="M332" s="55" t="s">
        <v>2060</v>
      </c>
      <c r="N332" s="56" t="s">
        <v>2061</v>
      </c>
      <c r="O332" s="53" t="s">
        <v>8</v>
      </c>
      <c r="P332" s="56" t="s">
        <v>2108</v>
      </c>
      <c r="Q332" s="57">
        <v>69000</v>
      </c>
      <c r="R332" s="58" t="s">
        <v>8</v>
      </c>
      <c r="S332" s="57" t="s">
        <v>8</v>
      </c>
      <c r="T332" s="56" t="s">
        <v>2063</v>
      </c>
    </row>
    <row r="333" spans="1:20">
      <c r="A333" s="55">
        <v>124762161923</v>
      </c>
      <c r="B333" s="53" t="s">
        <v>2055</v>
      </c>
      <c r="C333" s="54">
        <v>45907</v>
      </c>
      <c r="D333" s="55">
        <v>49934400194</v>
      </c>
      <c r="E333" s="55">
        <v>2064090519698</v>
      </c>
      <c r="F333" s="56" t="s">
        <v>2066</v>
      </c>
      <c r="G333" s="56" t="s">
        <v>2057</v>
      </c>
      <c r="H333" s="56" t="s">
        <v>8</v>
      </c>
      <c r="I333" s="55" t="s">
        <v>8</v>
      </c>
      <c r="J333" s="57">
        <v>1532.7</v>
      </c>
      <c r="K333" s="56" t="s">
        <v>2058</v>
      </c>
      <c r="L333" s="56" t="s">
        <v>2067</v>
      </c>
      <c r="M333" s="55" t="s">
        <v>2060</v>
      </c>
      <c r="N333" s="56" t="s">
        <v>2061</v>
      </c>
      <c r="O333" s="53" t="s">
        <v>1790</v>
      </c>
      <c r="P333" s="56" t="s">
        <v>2068</v>
      </c>
      <c r="Q333" s="57">
        <v>39000</v>
      </c>
      <c r="R333" s="58" t="s">
        <v>8</v>
      </c>
      <c r="S333" s="57" t="s">
        <v>8</v>
      </c>
      <c r="T333" s="56" t="s">
        <v>2063</v>
      </c>
    </row>
    <row r="334" spans="1:20">
      <c r="A334" s="55">
        <v>124762404115</v>
      </c>
      <c r="B334" s="53" t="s">
        <v>2055</v>
      </c>
      <c r="C334" s="54">
        <v>45907</v>
      </c>
      <c r="D334" s="55">
        <v>49934460793</v>
      </c>
      <c r="E334" s="55">
        <v>2064091511116</v>
      </c>
      <c r="F334" s="56" t="s">
        <v>2066</v>
      </c>
      <c r="G334" s="56" t="s">
        <v>2057</v>
      </c>
      <c r="H334" s="56" t="s">
        <v>8</v>
      </c>
      <c r="I334" s="55" t="s">
        <v>8</v>
      </c>
      <c r="J334" s="57">
        <v>396.93</v>
      </c>
      <c r="K334" s="56" t="s">
        <v>2058</v>
      </c>
      <c r="L334" s="56" t="s">
        <v>2067</v>
      </c>
      <c r="M334" s="55" t="s">
        <v>2060</v>
      </c>
      <c r="N334" s="56" t="s">
        <v>2061</v>
      </c>
      <c r="O334" s="53" t="s">
        <v>1790</v>
      </c>
      <c r="P334" s="56" t="s">
        <v>2068</v>
      </c>
      <c r="Q334" s="57">
        <v>10100</v>
      </c>
      <c r="R334" s="58" t="s">
        <v>8</v>
      </c>
      <c r="S334" s="57" t="s">
        <v>8</v>
      </c>
      <c r="T334" s="56" t="s">
        <v>2063</v>
      </c>
    </row>
    <row r="335" spans="1:20">
      <c r="A335" s="55">
        <v>125309426696</v>
      </c>
      <c r="B335" s="53" t="s">
        <v>2055</v>
      </c>
      <c r="C335" s="54">
        <v>45907</v>
      </c>
      <c r="D335" s="55">
        <v>49934556844</v>
      </c>
      <c r="E335" s="55">
        <v>2064051909663</v>
      </c>
      <c r="F335" s="56" t="s">
        <v>2056</v>
      </c>
      <c r="G335" s="56" t="s">
        <v>2057</v>
      </c>
      <c r="H335" s="56" t="s">
        <v>8</v>
      </c>
      <c r="I335" s="55" t="s">
        <v>8</v>
      </c>
      <c r="J335" s="57">
        <v>235.71</v>
      </c>
      <c r="K335" s="56" t="s">
        <v>2058</v>
      </c>
      <c r="L335" s="56" t="s">
        <v>2059</v>
      </c>
      <c r="M335" s="55" t="s">
        <v>2060</v>
      </c>
      <c r="N335" s="56" t="s">
        <v>2061</v>
      </c>
      <c r="O335" s="53" t="s">
        <v>8</v>
      </c>
      <c r="P335" s="56" t="s">
        <v>2209</v>
      </c>
      <c r="Q335" s="57">
        <v>24300</v>
      </c>
      <c r="R335" s="58" t="s">
        <v>8</v>
      </c>
      <c r="S335" s="57" t="s">
        <v>8</v>
      </c>
      <c r="T335" s="56" t="s">
        <v>2063</v>
      </c>
    </row>
    <row r="336" spans="1:20">
      <c r="A336" s="55">
        <v>124762545723</v>
      </c>
      <c r="B336" s="53" t="s">
        <v>2055</v>
      </c>
      <c r="C336" s="54">
        <v>45907</v>
      </c>
      <c r="D336" s="55">
        <v>49934584851</v>
      </c>
      <c r="E336" s="55">
        <v>2064052270069</v>
      </c>
      <c r="F336" s="56" t="s">
        <v>2107</v>
      </c>
      <c r="G336" s="56" t="s">
        <v>2057</v>
      </c>
      <c r="H336" s="56" t="s">
        <v>8</v>
      </c>
      <c r="I336" s="55" t="s">
        <v>8</v>
      </c>
      <c r="J336" s="57">
        <v>1947.85</v>
      </c>
      <c r="K336" s="56" t="s">
        <v>2058</v>
      </c>
      <c r="L336" s="56" t="s">
        <v>2059</v>
      </c>
      <c r="M336" s="55" t="s">
        <v>2060</v>
      </c>
      <c r="N336" s="56" t="s">
        <v>2061</v>
      </c>
      <c r="O336" s="53" t="s">
        <v>8</v>
      </c>
      <c r="P336" s="56" t="s">
        <v>2197</v>
      </c>
      <c r="Q336" s="57">
        <v>119500</v>
      </c>
      <c r="R336" s="58" t="s">
        <v>8</v>
      </c>
      <c r="S336" s="57" t="s">
        <v>8</v>
      </c>
      <c r="T336" s="56" t="s">
        <v>2063</v>
      </c>
    </row>
    <row r="337" spans="1:20">
      <c r="A337" s="55">
        <v>125311350634</v>
      </c>
      <c r="B337" s="53" t="s">
        <v>2055</v>
      </c>
      <c r="C337" s="54">
        <v>45907</v>
      </c>
      <c r="D337" s="55">
        <v>49935375045</v>
      </c>
      <c r="E337" s="55">
        <v>2064105332680</v>
      </c>
      <c r="F337" s="56" t="s">
        <v>2066</v>
      </c>
      <c r="G337" s="56" t="s">
        <v>2057</v>
      </c>
      <c r="H337" s="56" t="s">
        <v>8</v>
      </c>
      <c r="I337" s="55" t="s">
        <v>8</v>
      </c>
      <c r="J337" s="57">
        <v>1241.8800000000001</v>
      </c>
      <c r="K337" s="56" t="s">
        <v>2058</v>
      </c>
      <c r="L337" s="56" t="s">
        <v>2067</v>
      </c>
      <c r="M337" s="55" t="s">
        <v>2060</v>
      </c>
      <c r="N337" s="56" t="s">
        <v>2061</v>
      </c>
      <c r="O337" s="53" t="s">
        <v>1790</v>
      </c>
      <c r="P337" s="56" t="s">
        <v>2068</v>
      </c>
      <c r="Q337" s="57">
        <v>31600</v>
      </c>
      <c r="R337" s="58" t="s">
        <v>8</v>
      </c>
      <c r="S337" s="57" t="s">
        <v>8</v>
      </c>
      <c r="T337" s="56" t="s">
        <v>2063</v>
      </c>
    </row>
    <row r="338" spans="1:20">
      <c r="A338" s="55">
        <v>125311407008</v>
      </c>
      <c r="B338" s="53" t="s">
        <v>2055</v>
      </c>
      <c r="C338" s="54">
        <v>45907</v>
      </c>
      <c r="D338" s="55">
        <v>49935407556</v>
      </c>
      <c r="E338" s="55">
        <v>2064065454433</v>
      </c>
      <c r="F338" s="56" t="s">
        <v>2056</v>
      </c>
      <c r="G338" s="56" t="s">
        <v>2057</v>
      </c>
      <c r="H338" s="56" t="s">
        <v>8</v>
      </c>
      <c r="I338" s="55" t="s">
        <v>8</v>
      </c>
      <c r="J338" s="57">
        <v>55.29</v>
      </c>
      <c r="K338" s="56" t="s">
        <v>2058</v>
      </c>
      <c r="L338" s="56" t="s">
        <v>2059</v>
      </c>
      <c r="M338" s="55" t="s">
        <v>2060</v>
      </c>
      <c r="N338" s="56" t="s">
        <v>2061</v>
      </c>
      <c r="O338" s="53" t="s">
        <v>8</v>
      </c>
      <c r="P338" s="56" t="s">
        <v>2210</v>
      </c>
      <c r="Q338" s="57">
        <v>5700</v>
      </c>
      <c r="R338" s="58" t="s">
        <v>8</v>
      </c>
      <c r="S338" s="57" t="s">
        <v>8</v>
      </c>
      <c r="T338" s="56" t="s">
        <v>2063</v>
      </c>
    </row>
    <row r="339" spans="1:20">
      <c r="A339" s="55">
        <v>124767314759</v>
      </c>
      <c r="B339" s="53" t="s">
        <v>2055</v>
      </c>
      <c r="C339" s="54">
        <v>45908</v>
      </c>
      <c r="D339" s="55">
        <v>49936774392</v>
      </c>
      <c r="E339" s="55">
        <v>2064083920851</v>
      </c>
      <c r="F339" s="56" t="s">
        <v>2056</v>
      </c>
      <c r="G339" s="56" t="s">
        <v>2057</v>
      </c>
      <c r="H339" s="56" t="s">
        <v>8</v>
      </c>
      <c r="I339" s="55" t="s">
        <v>8</v>
      </c>
      <c r="J339" s="57">
        <v>326.89</v>
      </c>
      <c r="K339" s="56" t="s">
        <v>2058</v>
      </c>
      <c r="L339" s="56" t="s">
        <v>2059</v>
      </c>
      <c r="M339" s="55" t="s">
        <v>2060</v>
      </c>
      <c r="N339" s="56" t="s">
        <v>2061</v>
      </c>
      <c r="O339" s="53" t="s">
        <v>8</v>
      </c>
      <c r="P339" s="56" t="s">
        <v>2211</v>
      </c>
      <c r="Q339" s="57">
        <v>33700</v>
      </c>
      <c r="R339" s="58" t="s">
        <v>8</v>
      </c>
      <c r="S339" s="57" t="s">
        <v>8</v>
      </c>
      <c r="T339" s="56" t="s">
        <v>2063</v>
      </c>
    </row>
    <row r="340" spans="1:20">
      <c r="A340" s="55">
        <v>124767413713</v>
      </c>
      <c r="B340" s="53" t="s">
        <v>2055</v>
      </c>
      <c r="C340" s="54">
        <v>45908</v>
      </c>
      <c r="D340" s="55">
        <v>49936922424</v>
      </c>
      <c r="E340" s="55">
        <v>2064126700610</v>
      </c>
      <c r="F340" s="56" t="s">
        <v>2056</v>
      </c>
      <c r="G340" s="56" t="s">
        <v>2057</v>
      </c>
      <c r="H340" s="56" t="s">
        <v>8</v>
      </c>
      <c r="I340" s="55" t="s">
        <v>8</v>
      </c>
      <c r="J340" s="57">
        <v>97</v>
      </c>
      <c r="K340" s="56" t="s">
        <v>2058</v>
      </c>
      <c r="L340" s="56" t="s">
        <v>2059</v>
      </c>
      <c r="M340" s="55" t="s">
        <v>2060</v>
      </c>
      <c r="N340" s="56" t="s">
        <v>2061</v>
      </c>
      <c r="O340" s="53" t="s">
        <v>8</v>
      </c>
      <c r="P340" s="56" t="s">
        <v>2212</v>
      </c>
      <c r="Q340" s="57">
        <v>10000</v>
      </c>
      <c r="R340" s="58" t="s">
        <v>8</v>
      </c>
      <c r="S340" s="57" t="s">
        <v>8</v>
      </c>
      <c r="T340" s="56" t="s">
        <v>2063</v>
      </c>
    </row>
    <row r="341" spans="1:20">
      <c r="A341" s="55">
        <v>124767429929</v>
      </c>
      <c r="B341" s="53" t="s">
        <v>2055</v>
      </c>
      <c r="C341" s="54">
        <v>45908</v>
      </c>
      <c r="D341" s="55">
        <v>49936922497</v>
      </c>
      <c r="E341" s="55">
        <v>2064086494791</v>
      </c>
      <c r="F341" s="56" t="s">
        <v>2056</v>
      </c>
      <c r="G341" s="56" t="s">
        <v>2057</v>
      </c>
      <c r="H341" s="56" t="s">
        <v>8</v>
      </c>
      <c r="I341" s="55" t="s">
        <v>8</v>
      </c>
      <c r="J341" s="57">
        <v>689.67</v>
      </c>
      <c r="K341" s="56" t="s">
        <v>2058</v>
      </c>
      <c r="L341" s="56" t="s">
        <v>2059</v>
      </c>
      <c r="M341" s="55" t="s">
        <v>2060</v>
      </c>
      <c r="N341" s="56" t="s">
        <v>2061</v>
      </c>
      <c r="O341" s="53" t="s">
        <v>8</v>
      </c>
      <c r="P341" s="56" t="s">
        <v>2213</v>
      </c>
      <c r="Q341" s="57">
        <v>71100</v>
      </c>
      <c r="R341" s="58" t="s">
        <v>8</v>
      </c>
      <c r="S341" s="57" t="s">
        <v>8</v>
      </c>
      <c r="T341" s="56" t="s">
        <v>2063</v>
      </c>
    </row>
    <row r="342" spans="1:20">
      <c r="A342" s="55">
        <v>125314451784</v>
      </c>
      <c r="B342" s="53" t="s">
        <v>2055</v>
      </c>
      <c r="C342" s="54">
        <v>45908</v>
      </c>
      <c r="D342" s="55">
        <v>49937076849</v>
      </c>
      <c r="E342" s="55">
        <v>2064088911611</v>
      </c>
      <c r="F342" s="56" t="s">
        <v>2056</v>
      </c>
      <c r="G342" s="56" t="s">
        <v>2057</v>
      </c>
      <c r="H342" s="56" t="s">
        <v>8</v>
      </c>
      <c r="I342" s="55" t="s">
        <v>8</v>
      </c>
      <c r="J342" s="57">
        <v>140.65</v>
      </c>
      <c r="K342" s="56" t="s">
        <v>2058</v>
      </c>
      <c r="L342" s="56" t="s">
        <v>2059</v>
      </c>
      <c r="M342" s="55" t="s">
        <v>2060</v>
      </c>
      <c r="N342" s="56" t="s">
        <v>2061</v>
      </c>
      <c r="O342" s="53" t="s">
        <v>8</v>
      </c>
      <c r="P342" s="56" t="s">
        <v>2214</v>
      </c>
      <c r="Q342" s="57">
        <v>14500</v>
      </c>
      <c r="R342" s="58" t="s">
        <v>8</v>
      </c>
      <c r="S342" s="57" t="s">
        <v>8</v>
      </c>
      <c r="T342" s="56" t="s">
        <v>2063</v>
      </c>
    </row>
    <row r="343" spans="1:20">
      <c r="A343" s="55">
        <v>124768684947</v>
      </c>
      <c r="B343" s="53" t="s">
        <v>2055</v>
      </c>
      <c r="C343" s="54">
        <v>45908</v>
      </c>
      <c r="D343" s="55">
        <v>49937523080</v>
      </c>
      <c r="E343" s="55">
        <v>2064096736313</v>
      </c>
      <c r="F343" s="56" t="s">
        <v>2056</v>
      </c>
      <c r="G343" s="56" t="s">
        <v>2057</v>
      </c>
      <c r="H343" s="56" t="s">
        <v>8</v>
      </c>
      <c r="I343" s="55" t="s">
        <v>8</v>
      </c>
      <c r="J343" s="57">
        <v>189.15</v>
      </c>
      <c r="K343" s="56" t="s">
        <v>2058</v>
      </c>
      <c r="L343" s="56" t="s">
        <v>2059</v>
      </c>
      <c r="M343" s="55" t="s">
        <v>2060</v>
      </c>
      <c r="N343" s="56" t="s">
        <v>2061</v>
      </c>
      <c r="O343" s="53" t="s">
        <v>8</v>
      </c>
      <c r="P343" s="56" t="s">
        <v>2215</v>
      </c>
      <c r="Q343" s="57">
        <v>19500</v>
      </c>
      <c r="R343" s="58" t="s">
        <v>8</v>
      </c>
      <c r="S343" s="57" t="s">
        <v>8</v>
      </c>
      <c r="T343" s="56" t="s">
        <v>2063</v>
      </c>
    </row>
    <row r="344" spans="1:20">
      <c r="A344" s="55">
        <v>125315557302</v>
      </c>
      <c r="B344" s="53" t="s">
        <v>2055</v>
      </c>
      <c r="C344" s="54">
        <v>45908</v>
      </c>
      <c r="D344" s="55">
        <v>49937603430</v>
      </c>
      <c r="E344" s="55">
        <v>2064098095075</v>
      </c>
      <c r="F344" s="56" t="s">
        <v>2056</v>
      </c>
      <c r="G344" s="56" t="s">
        <v>2057</v>
      </c>
      <c r="H344" s="56" t="s">
        <v>8</v>
      </c>
      <c r="I344" s="55" t="s">
        <v>8</v>
      </c>
      <c r="J344" s="57">
        <v>75.66</v>
      </c>
      <c r="K344" s="56" t="s">
        <v>2058</v>
      </c>
      <c r="L344" s="56" t="s">
        <v>2059</v>
      </c>
      <c r="M344" s="55" t="s">
        <v>2060</v>
      </c>
      <c r="N344" s="56" t="s">
        <v>2061</v>
      </c>
      <c r="O344" s="53" t="s">
        <v>8</v>
      </c>
      <c r="P344" s="56" t="s">
        <v>2216</v>
      </c>
      <c r="Q344" s="57">
        <v>7800</v>
      </c>
      <c r="R344" s="58" t="s">
        <v>8</v>
      </c>
      <c r="S344" s="57" t="s">
        <v>8</v>
      </c>
      <c r="T344" s="56" t="s">
        <v>2063</v>
      </c>
    </row>
    <row r="345" spans="1:20">
      <c r="A345" s="55">
        <v>125152888873</v>
      </c>
      <c r="B345" s="53" t="s">
        <v>2055</v>
      </c>
      <c r="C345" s="54">
        <v>45910</v>
      </c>
      <c r="D345" s="55">
        <v>50072270989</v>
      </c>
      <c r="E345" s="55">
        <v>2066812179707</v>
      </c>
      <c r="F345" s="56" t="s">
        <v>2069</v>
      </c>
      <c r="G345" s="56" t="s">
        <v>2057</v>
      </c>
      <c r="H345" s="56" t="s">
        <v>8</v>
      </c>
      <c r="I345" s="55" t="s">
        <v>8</v>
      </c>
      <c r="J345" s="57">
        <v>67.900000000000006</v>
      </c>
      <c r="K345" s="56" t="s">
        <v>2058</v>
      </c>
      <c r="L345" s="56" t="s">
        <v>2059</v>
      </c>
      <c r="M345" s="55" t="s">
        <v>2060</v>
      </c>
      <c r="N345" s="56" t="s">
        <v>2061</v>
      </c>
      <c r="O345" s="53" t="s">
        <v>8</v>
      </c>
      <c r="P345" s="56" t="s">
        <v>2070</v>
      </c>
      <c r="Q345" s="57">
        <v>7000</v>
      </c>
      <c r="R345" s="58" t="s">
        <v>8</v>
      </c>
      <c r="S345" s="57" t="s">
        <v>8</v>
      </c>
      <c r="T345" s="56" t="s">
        <v>8</v>
      </c>
    </row>
    <row r="346" spans="1:20">
      <c r="A346" s="55">
        <v>125156581215</v>
      </c>
      <c r="B346" s="53" t="s">
        <v>2055</v>
      </c>
      <c r="C346" s="54">
        <v>45910</v>
      </c>
      <c r="D346" s="55">
        <v>50073594765</v>
      </c>
      <c r="E346" s="55">
        <v>2066835819203</v>
      </c>
      <c r="F346" s="56" t="s">
        <v>2056</v>
      </c>
      <c r="G346" s="56" t="s">
        <v>2057</v>
      </c>
      <c r="H346" s="56" t="s">
        <v>8</v>
      </c>
      <c r="I346" s="55" t="s">
        <v>8</v>
      </c>
      <c r="J346" s="57">
        <v>77.599999999999994</v>
      </c>
      <c r="K346" s="56" t="s">
        <v>2058</v>
      </c>
      <c r="L346" s="56" t="s">
        <v>2059</v>
      </c>
      <c r="M346" s="55" t="s">
        <v>2060</v>
      </c>
      <c r="N346" s="56" t="s">
        <v>2061</v>
      </c>
      <c r="O346" s="53" t="s">
        <v>8</v>
      </c>
      <c r="P346" s="56" t="s">
        <v>2147</v>
      </c>
      <c r="Q346" s="57">
        <v>8000</v>
      </c>
      <c r="R346" s="58" t="s">
        <v>8</v>
      </c>
      <c r="S346" s="57" t="s">
        <v>8</v>
      </c>
      <c r="T346" s="56" t="s">
        <v>2063</v>
      </c>
    </row>
    <row r="347" spans="1:20">
      <c r="A347" s="55">
        <v>125707492856</v>
      </c>
      <c r="B347" s="53" t="s">
        <v>2055</v>
      </c>
      <c r="C347" s="54">
        <v>45910</v>
      </c>
      <c r="D347" s="55">
        <v>50074231307</v>
      </c>
      <c r="E347" s="55">
        <v>2066847378631</v>
      </c>
      <c r="F347" s="56" t="s">
        <v>2056</v>
      </c>
      <c r="G347" s="56" t="s">
        <v>2057</v>
      </c>
      <c r="H347" s="56" t="s">
        <v>8</v>
      </c>
      <c r="I347" s="55" t="s">
        <v>8</v>
      </c>
      <c r="J347" s="57">
        <v>139.68</v>
      </c>
      <c r="K347" s="56" t="s">
        <v>2058</v>
      </c>
      <c r="L347" s="56" t="s">
        <v>2059</v>
      </c>
      <c r="M347" s="55" t="s">
        <v>2060</v>
      </c>
      <c r="N347" s="56" t="s">
        <v>2061</v>
      </c>
      <c r="O347" s="53" t="s">
        <v>8</v>
      </c>
      <c r="P347" s="56" t="s">
        <v>2217</v>
      </c>
      <c r="Q347" s="57">
        <v>14400</v>
      </c>
      <c r="R347" s="58" t="s">
        <v>8</v>
      </c>
      <c r="S347" s="57" t="s">
        <v>8</v>
      </c>
      <c r="T347" s="56" t="s">
        <v>2063</v>
      </c>
    </row>
    <row r="348" spans="1:20">
      <c r="A348" s="55">
        <v>125709845758</v>
      </c>
      <c r="B348" s="53" t="s">
        <v>2055</v>
      </c>
      <c r="C348" s="54">
        <v>45910</v>
      </c>
      <c r="D348" s="55">
        <v>50075117438</v>
      </c>
      <c r="E348" s="55">
        <v>2066906549184</v>
      </c>
      <c r="F348" s="56" t="s">
        <v>2056</v>
      </c>
      <c r="G348" s="56" t="s">
        <v>2057</v>
      </c>
      <c r="H348" s="56" t="s">
        <v>8</v>
      </c>
      <c r="I348" s="55" t="s">
        <v>8</v>
      </c>
      <c r="J348" s="57">
        <v>159.08000000000001</v>
      </c>
      <c r="K348" s="56" t="s">
        <v>2058</v>
      </c>
      <c r="L348" s="56" t="s">
        <v>2059</v>
      </c>
      <c r="M348" s="55" t="s">
        <v>2060</v>
      </c>
      <c r="N348" s="56" t="s">
        <v>2061</v>
      </c>
      <c r="O348" s="53" t="s">
        <v>8</v>
      </c>
      <c r="P348" s="56" t="s">
        <v>2217</v>
      </c>
      <c r="Q348" s="57">
        <v>16400</v>
      </c>
      <c r="R348" s="58" t="s">
        <v>8</v>
      </c>
      <c r="S348" s="57" t="s">
        <v>8</v>
      </c>
      <c r="T348" s="56" t="s">
        <v>2063</v>
      </c>
    </row>
    <row r="349" spans="1:20">
      <c r="A349" s="55">
        <v>125161425019</v>
      </c>
      <c r="B349" s="53" t="s">
        <v>2055</v>
      </c>
      <c r="C349" s="54">
        <v>45910</v>
      </c>
      <c r="D349" s="55">
        <v>50075239767</v>
      </c>
      <c r="E349" s="55">
        <v>2066866117117</v>
      </c>
      <c r="F349" s="56" t="s">
        <v>2056</v>
      </c>
      <c r="G349" s="56" t="s">
        <v>2057</v>
      </c>
      <c r="H349" s="56" t="s">
        <v>8</v>
      </c>
      <c r="I349" s="55" t="s">
        <v>8</v>
      </c>
      <c r="J349" s="57">
        <v>169.75</v>
      </c>
      <c r="K349" s="56" t="s">
        <v>2058</v>
      </c>
      <c r="L349" s="56" t="s">
        <v>2059</v>
      </c>
      <c r="M349" s="55" t="s">
        <v>2060</v>
      </c>
      <c r="N349" s="56" t="s">
        <v>2061</v>
      </c>
      <c r="O349" s="53" t="s">
        <v>8</v>
      </c>
      <c r="P349" s="56" t="s">
        <v>2217</v>
      </c>
      <c r="Q349" s="57">
        <v>17500</v>
      </c>
      <c r="R349" s="58" t="s">
        <v>8</v>
      </c>
      <c r="S349" s="57" t="s">
        <v>8</v>
      </c>
      <c r="T349" s="56" t="s">
        <v>2063</v>
      </c>
    </row>
    <row r="350" spans="1:20">
      <c r="A350" s="55">
        <v>125712931478</v>
      </c>
      <c r="B350" s="53" t="s">
        <v>2055</v>
      </c>
      <c r="C350" s="54">
        <v>45910</v>
      </c>
      <c r="D350" s="55">
        <v>50076168552</v>
      </c>
      <c r="E350" s="55">
        <v>2066926684862</v>
      </c>
      <c r="F350" s="56" t="s">
        <v>2056</v>
      </c>
      <c r="G350" s="56" t="s">
        <v>2057</v>
      </c>
      <c r="H350" s="56" t="s">
        <v>8</v>
      </c>
      <c r="I350" s="55" t="s">
        <v>8</v>
      </c>
      <c r="J350" s="57">
        <v>51.41</v>
      </c>
      <c r="K350" s="56" t="s">
        <v>2058</v>
      </c>
      <c r="L350" s="56" t="s">
        <v>2059</v>
      </c>
      <c r="M350" s="55" t="s">
        <v>2060</v>
      </c>
      <c r="N350" s="56" t="s">
        <v>2061</v>
      </c>
      <c r="O350" s="53" t="s">
        <v>8</v>
      </c>
      <c r="P350" s="56" t="s">
        <v>2218</v>
      </c>
      <c r="Q350" s="57">
        <v>5300</v>
      </c>
      <c r="R350" s="58" t="s">
        <v>8</v>
      </c>
      <c r="S350" s="57" t="s">
        <v>8</v>
      </c>
      <c r="T350" s="56" t="s">
        <v>2063</v>
      </c>
    </row>
    <row r="351" spans="1:20">
      <c r="A351" s="55">
        <v>125167691185</v>
      </c>
      <c r="B351" s="53" t="s">
        <v>2055</v>
      </c>
      <c r="C351" s="54">
        <v>45910</v>
      </c>
      <c r="D351" s="55">
        <v>50077466196</v>
      </c>
      <c r="E351" s="55">
        <v>2066952829734</v>
      </c>
      <c r="F351" s="56" t="s">
        <v>2066</v>
      </c>
      <c r="G351" s="56" t="s">
        <v>2057</v>
      </c>
      <c r="H351" s="56" t="s">
        <v>8</v>
      </c>
      <c r="I351" s="55" t="s">
        <v>8</v>
      </c>
      <c r="J351" s="57">
        <v>597.36</v>
      </c>
      <c r="K351" s="56" t="s">
        <v>2058</v>
      </c>
      <c r="L351" s="56" t="s">
        <v>2067</v>
      </c>
      <c r="M351" s="55" t="s">
        <v>2060</v>
      </c>
      <c r="N351" s="56" t="s">
        <v>2061</v>
      </c>
      <c r="O351" s="53" t="s">
        <v>1790</v>
      </c>
      <c r="P351" s="56" t="s">
        <v>2068</v>
      </c>
      <c r="Q351" s="57">
        <v>15200</v>
      </c>
      <c r="R351" s="58" t="s">
        <v>8</v>
      </c>
      <c r="S351" s="57" t="s">
        <v>8</v>
      </c>
      <c r="T351" s="56" t="s">
        <v>2063</v>
      </c>
    </row>
    <row r="352" spans="1:20">
      <c r="A352" s="55">
        <v>125168194775</v>
      </c>
      <c r="B352" s="53" t="s">
        <v>2055</v>
      </c>
      <c r="C352" s="54">
        <v>45910</v>
      </c>
      <c r="D352" s="55">
        <v>50077591694</v>
      </c>
      <c r="E352" s="55">
        <v>2066912255151</v>
      </c>
      <c r="F352" s="56" t="s">
        <v>2056</v>
      </c>
      <c r="G352" s="56" t="s">
        <v>2057</v>
      </c>
      <c r="H352" s="56" t="s">
        <v>8</v>
      </c>
      <c r="I352" s="55" t="s">
        <v>8</v>
      </c>
      <c r="J352" s="57">
        <v>143.56</v>
      </c>
      <c r="K352" s="56" t="s">
        <v>2058</v>
      </c>
      <c r="L352" s="56" t="s">
        <v>2059</v>
      </c>
      <c r="M352" s="55" t="s">
        <v>2060</v>
      </c>
      <c r="N352" s="56" t="s">
        <v>2061</v>
      </c>
      <c r="O352" s="53" t="s">
        <v>8</v>
      </c>
      <c r="P352" s="56" t="s">
        <v>2219</v>
      </c>
      <c r="Q352" s="57">
        <v>14800</v>
      </c>
      <c r="R352" s="58" t="s">
        <v>8</v>
      </c>
      <c r="S352" s="57" t="s">
        <v>8</v>
      </c>
      <c r="T352" s="56" t="s">
        <v>2063</v>
      </c>
    </row>
    <row r="353" spans="1:20">
      <c r="A353" s="55">
        <v>125719555728</v>
      </c>
      <c r="B353" s="53" t="s">
        <v>2055</v>
      </c>
      <c r="C353" s="54">
        <v>45910</v>
      </c>
      <c r="D353" s="55">
        <v>50078449483</v>
      </c>
      <c r="E353" s="55">
        <v>2066930342035</v>
      </c>
      <c r="F353" s="56" t="s">
        <v>2056</v>
      </c>
      <c r="G353" s="56" t="s">
        <v>2057</v>
      </c>
      <c r="H353" s="56" t="s">
        <v>8</v>
      </c>
      <c r="I353" s="55" t="s">
        <v>8</v>
      </c>
      <c r="J353" s="57">
        <v>97</v>
      </c>
      <c r="K353" s="56" t="s">
        <v>2058</v>
      </c>
      <c r="L353" s="56" t="s">
        <v>2059</v>
      </c>
      <c r="M353" s="55" t="s">
        <v>2060</v>
      </c>
      <c r="N353" s="56" t="s">
        <v>2061</v>
      </c>
      <c r="O353" s="53" t="s">
        <v>8</v>
      </c>
      <c r="P353" s="56" t="s">
        <v>2220</v>
      </c>
      <c r="Q353" s="57">
        <v>9999.99</v>
      </c>
      <c r="R353" s="58" t="s">
        <v>8</v>
      </c>
      <c r="S353" s="57" t="s">
        <v>8</v>
      </c>
      <c r="T353" s="56" t="s">
        <v>2063</v>
      </c>
    </row>
    <row r="354" spans="1:20">
      <c r="A354" s="55">
        <v>125721391454</v>
      </c>
      <c r="B354" s="53" t="s">
        <v>2055</v>
      </c>
      <c r="C354" s="54">
        <v>45910</v>
      </c>
      <c r="D354" s="55">
        <v>50079099807</v>
      </c>
      <c r="E354" s="55">
        <v>2066942931503</v>
      </c>
      <c r="F354" s="56" t="s">
        <v>2069</v>
      </c>
      <c r="G354" s="56" t="s">
        <v>2057</v>
      </c>
      <c r="H354" s="56" t="s">
        <v>8</v>
      </c>
      <c r="I354" s="55" t="s">
        <v>8</v>
      </c>
      <c r="J354" s="57">
        <v>95.06</v>
      </c>
      <c r="K354" s="56" t="s">
        <v>2058</v>
      </c>
      <c r="L354" s="56" t="s">
        <v>2059</v>
      </c>
      <c r="M354" s="55" t="s">
        <v>2060</v>
      </c>
      <c r="N354" s="56" t="s">
        <v>2061</v>
      </c>
      <c r="O354" s="53" t="s">
        <v>8</v>
      </c>
      <c r="P354" s="56" t="s">
        <v>2070</v>
      </c>
      <c r="Q354" s="57">
        <v>9800</v>
      </c>
      <c r="R354" s="58" t="s">
        <v>8</v>
      </c>
      <c r="S354" s="57" t="s">
        <v>8</v>
      </c>
      <c r="T354" s="56" t="s">
        <v>8</v>
      </c>
    </row>
    <row r="355" spans="1:20">
      <c r="A355" s="55">
        <v>125173149657</v>
      </c>
      <c r="B355" s="53" t="s">
        <v>2055</v>
      </c>
      <c r="C355" s="54">
        <v>45910</v>
      </c>
      <c r="D355" s="55">
        <v>50079384164</v>
      </c>
      <c r="E355" s="55">
        <v>2066992143876</v>
      </c>
      <c r="F355" s="56" t="s">
        <v>2056</v>
      </c>
      <c r="G355" s="56" t="s">
        <v>2057</v>
      </c>
      <c r="H355" s="56" t="s">
        <v>8</v>
      </c>
      <c r="I355" s="55" t="s">
        <v>8</v>
      </c>
      <c r="J355" s="57">
        <v>420</v>
      </c>
      <c r="K355" s="56" t="s">
        <v>2058</v>
      </c>
      <c r="L355" s="56" t="s">
        <v>2059</v>
      </c>
      <c r="M355" s="55" t="s">
        <v>2060</v>
      </c>
      <c r="N355" s="56" t="s">
        <v>2061</v>
      </c>
      <c r="O355" s="53" t="s">
        <v>8</v>
      </c>
      <c r="P355" s="56" t="s">
        <v>2221</v>
      </c>
      <c r="Q355" s="57">
        <v>43299</v>
      </c>
      <c r="R355" s="58" t="s">
        <v>8</v>
      </c>
      <c r="S355" s="57" t="s">
        <v>8</v>
      </c>
      <c r="T355" s="56" t="s">
        <v>2063</v>
      </c>
    </row>
    <row r="356" spans="1:20">
      <c r="A356" s="55">
        <v>125174559711</v>
      </c>
      <c r="B356" s="53" t="s">
        <v>2055</v>
      </c>
      <c r="C356" s="54">
        <v>45910</v>
      </c>
      <c r="D356" s="55">
        <v>50079956572</v>
      </c>
      <c r="E356" s="55">
        <v>2066959769513</v>
      </c>
      <c r="F356" s="56" t="s">
        <v>2056</v>
      </c>
      <c r="G356" s="56" t="s">
        <v>2057</v>
      </c>
      <c r="H356" s="56" t="s">
        <v>8</v>
      </c>
      <c r="I356" s="55" t="s">
        <v>8</v>
      </c>
      <c r="J356" s="57">
        <v>285.18</v>
      </c>
      <c r="K356" s="56" t="s">
        <v>2058</v>
      </c>
      <c r="L356" s="56" t="s">
        <v>2059</v>
      </c>
      <c r="M356" s="55" t="s">
        <v>2060</v>
      </c>
      <c r="N356" s="56" t="s">
        <v>2061</v>
      </c>
      <c r="O356" s="53" t="s">
        <v>8</v>
      </c>
      <c r="P356" s="56" t="s">
        <v>2222</v>
      </c>
      <c r="Q356" s="57">
        <v>29400</v>
      </c>
      <c r="R356" s="58" t="s">
        <v>8</v>
      </c>
      <c r="S356" s="57" t="s">
        <v>8</v>
      </c>
      <c r="T356" s="56" t="s">
        <v>2063</v>
      </c>
    </row>
    <row r="357" spans="1:20">
      <c r="A357" s="55">
        <v>125723665590</v>
      </c>
      <c r="B357" s="53" t="s">
        <v>2055</v>
      </c>
      <c r="C357" s="54">
        <v>45910</v>
      </c>
      <c r="D357" s="55">
        <v>50079969315</v>
      </c>
      <c r="E357" s="55">
        <v>2067003740030</v>
      </c>
      <c r="F357" s="56" t="s">
        <v>2066</v>
      </c>
      <c r="G357" s="56" t="s">
        <v>2057</v>
      </c>
      <c r="H357" s="56" t="s">
        <v>8</v>
      </c>
      <c r="I357" s="55" t="s">
        <v>8</v>
      </c>
      <c r="J357" s="57">
        <v>1379.43</v>
      </c>
      <c r="K357" s="56" t="s">
        <v>2058</v>
      </c>
      <c r="L357" s="56" t="s">
        <v>2067</v>
      </c>
      <c r="M357" s="55" t="s">
        <v>2060</v>
      </c>
      <c r="N357" s="56" t="s">
        <v>2061</v>
      </c>
      <c r="O357" s="53" t="s">
        <v>1790</v>
      </c>
      <c r="P357" s="56" t="s">
        <v>2068</v>
      </c>
      <c r="Q357" s="57">
        <v>35100</v>
      </c>
      <c r="R357" s="58" t="s">
        <v>8</v>
      </c>
      <c r="S357" s="57" t="s">
        <v>8</v>
      </c>
      <c r="T357" s="56" t="s">
        <v>2063</v>
      </c>
    </row>
    <row r="358" spans="1:20">
      <c r="A358" s="55">
        <v>125174877007</v>
      </c>
      <c r="B358" s="53" t="s">
        <v>2055</v>
      </c>
      <c r="C358" s="54">
        <v>45910</v>
      </c>
      <c r="D358" s="55">
        <v>50080026508</v>
      </c>
      <c r="E358" s="55">
        <v>2067004502680</v>
      </c>
      <c r="F358" s="56" t="s">
        <v>2107</v>
      </c>
      <c r="G358" s="56" t="s">
        <v>2057</v>
      </c>
      <c r="H358" s="56" t="s">
        <v>8</v>
      </c>
      <c r="I358" s="55" t="s">
        <v>8</v>
      </c>
      <c r="J358" s="57">
        <v>842.66</v>
      </c>
      <c r="K358" s="56" t="s">
        <v>2058</v>
      </c>
      <c r="L358" s="56" t="s">
        <v>2059</v>
      </c>
      <c r="M358" s="55" t="s">
        <v>2060</v>
      </c>
      <c r="N358" s="56" t="s">
        <v>2061</v>
      </c>
      <c r="O358" s="53" t="s">
        <v>8</v>
      </c>
      <c r="P358" s="56" t="s">
        <v>2197</v>
      </c>
      <c r="Q358" s="57">
        <v>51697</v>
      </c>
      <c r="R358" s="58" t="s">
        <v>8</v>
      </c>
      <c r="S358" s="57" t="s">
        <v>8</v>
      </c>
      <c r="T358" s="56" t="s">
        <v>2063</v>
      </c>
    </row>
    <row r="359" spans="1:20">
      <c r="A359" s="55">
        <v>125726480542</v>
      </c>
      <c r="B359" s="53" t="s">
        <v>2055</v>
      </c>
      <c r="C359" s="54">
        <v>45910</v>
      </c>
      <c r="D359" s="55">
        <v>50081030178</v>
      </c>
      <c r="E359" s="55">
        <v>2066981248303</v>
      </c>
      <c r="F359" s="56" t="s">
        <v>2066</v>
      </c>
      <c r="G359" s="56" t="s">
        <v>2057</v>
      </c>
      <c r="H359" s="56" t="s">
        <v>8</v>
      </c>
      <c r="I359" s="55" t="s">
        <v>8</v>
      </c>
      <c r="J359" s="57">
        <v>192.57</v>
      </c>
      <c r="K359" s="56" t="s">
        <v>2058</v>
      </c>
      <c r="L359" s="56" t="s">
        <v>2067</v>
      </c>
      <c r="M359" s="55" t="s">
        <v>2060</v>
      </c>
      <c r="N359" s="56" t="s">
        <v>2061</v>
      </c>
      <c r="O359" s="53" t="s">
        <v>1790</v>
      </c>
      <c r="P359" s="56" t="s">
        <v>2068</v>
      </c>
      <c r="Q359" s="57">
        <v>4900</v>
      </c>
      <c r="R359" s="58" t="s">
        <v>8</v>
      </c>
      <c r="S359" s="57" t="s">
        <v>8</v>
      </c>
      <c r="T359" s="56" t="s">
        <v>2063</v>
      </c>
    </row>
    <row r="360" spans="1:20">
      <c r="A360" s="55">
        <v>125726680184</v>
      </c>
      <c r="B360" s="53" t="s">
        <v>2055</v>
      </c>
      <c r="C360" s="54">
        <v>45910</v>
      </c>
      <c r="D360" s="55">
        <v>50081117742</v>
      </c>
      <c r="E360" s="55">
        <v>2067026180300</v>
      </c>
      <c r="F360" s="56" t="s">
        <v>2056</v>
      </c>
      <c r="G360" s="56" t="s">
        <v>2057</v>
      </c>
      <c r="H360" s="56" t="s">
        <v>8</v>
      </c>
      <c r="I360" s="55" t="s">
        <v>8</v>
      </c>
      <c r="J360" s="57">
        <v>280.31</v>
      </c>
      <c r="K360" s="56" t="s">
        <v>2058</v>
      </c>
      <c r="L360" s="56" t="s">
        <v>2059</v>
      </c>
      <c r="M360" s="55" t="s">
        <v>2060</v>
      </c>
      <c r="N360" s="56" t="s">
        <v>2061</v>
      </c>
      <c r="O360" s="53" t="s">
        <v>8</v>
      </c>
      <c r="P360" s="56" t="s">
        <v>2223</v>
      </c>
      <c r="Q360" s="57">
        <v>28898</v>
      </c>
      <c r="R360" s="58" t="s">
        <v>8</v>
      </c>
      <c r="S360" s="57" t="s">
        <v>8</v>
      </c>
      <c r="T360" s="56" t="s">
        <v>2063</v>
      </c>
    </row>
    <row r="361" spans="1:20">
      <c r="A361" s="55">
        <v>125177806895</v>
      </c>
      <c r="B361" s="53" t="s">
        <v>2055</v>
      </c>
      <c r="C361" s="54">
        <v>45910</v>
      </c>
      <c r="D361" s="55">
        <v>50081127603</v>
      </c>
      <c r="E361" s="55">
        <v>2067026652244</v>
      </c>
      <c r="F361" s="56" t="s">
        <v>2056</v>
      </c>
      <c r="G361" s="56" t="s">
        <v>2057</v>
      </c>
      <c r="H361" s="56" t="s">
        <v>8</v>
      </c>
      <c r="I361" s="55" t="s">
        <v>8</v>
      </c>
      <c r="J361" s="57">
        <v>355.99</v>
      </c>
      <c r="K361" s="56" t="s">
        <v>2058</v>
      </c>
      <c r="L361" s="56" t="s">
        <v>2059</v>
      </c>
      <c r="M361" s="55" t="s">
        <v>2060</v>
      </c>
      <c r="N361" s="56" t="s">
        <v>2061</v>
      </c>
      <c r="O361" s="53" t="s">
        <v>8</v>
      </c>
      <c r="P361" s="56" t="s">
        <v>2224</v>
      </c>
      <c r="Q361" s="57">
        <v>36700</v>
      </c>
      <c r="R361" s="58" t="s">
        <v>8</v>
      </c>
      <c r="S361" s="57" t="s">
        <v>8</v>
      </c>
      <c r="T361" s="56" t="s">
        <v>2063</v>
      </c>
    </row>
    <row r="362" spans="1:20">
      <c r="A362" s="55">
        <v>125178836433</v>
      </c>
      <c r="B362" s="53" t="s">
        <v>2055</v>
      </c>
      <c r="C362" s="54">
        <v>45910</v>
      </c>
      <c r="D362" s="55">
        <v>50081528537</v>
      </c>
      <c r="E362" s="55">
        <v>2067034499466</v>
      </c>
      <c r="F362" s="56" t="s">
        <v>2056</v>
      </c>
      <c r="G362" s="56" t="s">
        <v>2057</v>
      </c>
      <c r="H362" s="56" t="s">
        <v>8</v>
      </c>
      <c r="I362" s="55" t="s">
        <v>8</v>
      </c>
      <c r="J362" s="57">
        <v>289.05</v>
      </c>
      <c r="K362" s="56" t="s">
        <v>2058</v>
      </c>
      <c r="L362" s="56" t="s">
        <v>2059</v>
      </c>
      <c r="M362" s="55" t="s">
        <v>2060</v>
      </c>
      <c r="N362" s="56" t="s">
        <v>2061</v>
      </c>
      <c r="O362" s="53" t="s">
        <v>8</v>
      </c>
      <c r="P362" s="56" t="s">
        <v>2225</v>
      </c>
      <c r="Q362" s="57">
        <v>29799</v>
      </c>
      <c r="R362" s="58" t="s">
        <v>8</v>
      </c>
      <c r="S362" s="57" t="s">
        <v>8</v>
      </c>
      <c r="T362" s="56" t="s">
        <v>2063</v>
      </c>
    </row>
    <row r="363" spans="1:20">
      <c r="A363" s="55">
        <v>125727987474</v>
      </c>
      <c r="B363" s="53" t="s">
        <v>2055</v>
      </c>
      <c r="C363" s="54">
        <v>45910</v>
      </c>
      <c r="D363" s="55">
        <v>50081656537</v>
      </c>
      <c r="E363" s="55">
        <v>2067036926026</v>
      </c>
      <c r="F363" s="56" t="s">
        <v>2056</v>
      </c>
      <c r="G363" s="56" t="s">
        <v>2057</v>
      </c>
      <c r="H363" s="56" t="s">
        <v>8</v>
      </c>
      <c r="I363" s="55" t="s">
        <v>8</v>
      </c>
      <c r="J363" s="57">
        <v>18.43</v>
      </c>
      <c r="K363" s="56" t="s">
        <v>2058</v>
      </c>
      <c r="L363" s="56" t="s">
        <v>2059</v>
      </c>
      <c r="M363" s="55" t="s">
        <v>2060</v>
      </c>
      <c r="N363" s="56" t="s">
        <v>2061</v>
      </c>
      <c r="O363" s="53" t="s">
        <v>8</v>
      </c>
      <c r="P363" s="56" t="s">
        <v>2222</v>
      </c>
      <c r="Q363" s="57">
        <v>1900</v>
      </c>
      <c r="R363" s="58" t="s">
        <v>8</v>
      </c>
      <c r="S363" s="57" t="s">
        <v>8</v>
      </c>
      <c r="T363" s="56" t="s">
        <v>2063</v>
      </c>
    </row>
    <row r="364" spans="1:20">
      <c r="A364" s="55">
        <v>125728029628</v>
      </c>
      <c r="B364" s="53" t="s">
        <v>2055</v>
      </c>
      <c r="C364" s="54">
        <v>45910</v>
      </c>
      <c r="D364" s="55">
        <v>50081677694</v>
      </c>
      <c r="E364" s="55">
        <v>2067037318324</v>
      </c>
      <c r="F364" s="56" t="s">
        <v>2056</v>
      </c>
      <c r="G364" s="56" t="s">
        <v>2057</v>
      </c>
      <c r="H364" s="56" t="s">
        <v>8</v>
      </c>
      <c r="I364" s="55" t="s">
        <v>8</v>
      </c>
      <c r="J364" s="57">
        <v>356.95</v>
      </c>
      <c r="K364" s="56" t="s">
        <v>2058</v>
      </c>
      <c r="L364" s="56" t="s">
        <v>2059</v>
      </c>
      <c r="M364" s="55" t="s">
        <v>2060</v>
      </c>
      <c r="N364" s="56" t="s">
        <v>2061</v>
      </c>
      <c r="O364" s="53" t="s">
        <v>8</v>
      </c>
      <c r="P364" s="56" t="s">
        <v>2226</v>
      </c>
      <c r="Q364" s="57">
        <v>36799</v>
      </c>
      <c r="R364" s="58" t="s">
        <v>8</v>
      </c>
      <c r="S364" s="57" t="s">
        <v>8</v>
      </c>
      <c r="T364" s="56" t="s">
        <v>2063</v>
      </c>
    </row>
    <row r="365" spans="1:20">
      <c r="A365" s="55">
        <v>125728164766</v>
      </c>
      <c r="B365" s="53" t="s">
        <v>2055</v>
      </c>
      <c r="C365" s="54">
        <v>45910</v>
      </c>
      <c r="D365" s="55">
        <v>50081712034</v>
      </c>
      <c r="E365" s="55">
        <v>2066994987343</v>
      </c>
      <c r="F365" s="56" t="s">
        <v>2056</v>
      </c>
      <c r="G365" s="56" t="s">
        <v>2057</v>
      </c>
      <c r="H365" s="56" t="s">
        <v>8</v>
      </c>
      <c r="I365" s="55" t="s">
        <v>8</v>
      </c>
      <c r="J365" s="57">
        <v>193.98</v>
      </c>
      <c r="K365" s="56" t="s">
        <v>2058</v>
      </c>
      <c r="L365" s="56" t="s">
        <v>2059</v>
      </c>
      <c r="M365" s="55" t="s">
        <v>2060</v>
      </c>
      <c r="N365" s="56" t="s">
        <v>2061</v>
      </c>
      <c r="O365" s="53" t="s">
        <v>8</v>
      </c>
      <c r="P365" s="56" t="s">
        <v>2227</v>
      </c>
      <c r="Q365" s="57">
        <v>19998</v>
      </c>
      <c r="R365" s="58" t="s">
        <v>8</v>
      </c>
      <c r="S365" s="57" t="s">
        <v>8</v>
      </c>
      <c r="T365" s="56" t="s">
        <v>2063</v>
      </c>
    </row>
    <row r="366" spans="1:20">
      <c r="A366" s="55">
        <v>125728223328</v>
      </c>
      <c r="B366" s="53" t="s">
        <v>2055</v>
      </c>
      <c r="C366" s="54">
        <v>45910</v>
      </c>
      <c r="D366" s="55">
        <v>50081744295</v>
      </c>
      <c r="E366" s="55">
        <v>2067039207474</v>
      </c>
      <c r="F366" s="56" t="s">
        <v>2056</v>
      </c>
      <c r="G366" s="56" t="s">
        <v>2057</v>
      </c>
      <c r="H366" s="56" t="s">
        <v>8</v>
      </c>
      <c r="I366" s="55" t="s">
        <v>8</v>
      </c>
      <c r="J366" s="57">
        <v>396.7</v>
      </c>
      <c r="K366" s="56" t="s">
        <v>2058</v>
      </c>
      <c r="L366" s="56" t="s">
        <v>2059</v>
      </c>
      <c r="M366" s="55" t="s">
        <v>2060</v>
      </c>
      <c r="N366" s="56" t="s">
        <v>2061</v>
      </c>
      <c r="O366" s="53" t="s">
        <v>8</v>
      </c>
      <c r="P366" s="56" t="s">
        <v>2228</v>
      </c>
      <c r="Q366" s="57">
        <v>40897</v>
      </c>
      <c r="R366" s="58" t="s">
        <v>8</v>
      </c>
      <c r="S366" s="57" t="s">
        <v>8</v>
      </c>
      <c r="T366" s="56" t="s">
        <v>2063</v>
      </c>
    </row>
    <row r="367" spans="1:20">
      <c r="A367" s="55">
        <v>125179482645</v>
      </c>
      <c r="B367" s="53" t="s">
        <v>2055</v>
      </c>
      <c r="C367" s="54">
        <v>45910</v>
      </c>
      <c r="D367" s="55">
        <v>50081783097</v>
      </c>
      <c r="E367" s="55">
        <v>2066996480185</v>
      </c>
      <c r="F367" s="56" t="s">
        <v>2056</v>
      </c>
      <c r="G367" s="56" t="s">
        <v>2057</v>
      </c>
      <c r="H367" s="56" t="s">
        <v>8</v>
      </c>
      <c r="I367" s="55" t="s">
        <v>8</v>
      </c>
      <c r="J367" s="57">
        <v>588.79</v>
      </c>
      <c r="K367" s="56" t="s">
        <v>2058</v>
      </c>
      <c r="L367" s="56" t="s">
        <v>2059</v>
      </c>
      <c r="M367" s="55" t="s">
        <v>2060</v>
      </c>
      <c r="N367" s="56" t="s">
        <v>2061</v>
      </c>
      <c r="O367" s="53" t="s">
        <v>8</v>
      </c>
      <c r="P367" s="56" t="s">
        <v>2206</v>
      </c>
      <c r="Q367" s="57">
        <v>60700</v>
      </c>
      <c r="R367" s="58" t="s">
        <v>8</v>
      </c>
      <c r="S367" s="57" t="s">
        <v>8</v>
      </c>
      <c r="T367" s="56" t="s">
        <v>2063</v>
      </c>
    </row>
    <row r="368" spans="1:20">
      <c r="A368" s="55">
        <v>125728703810</v>
      </c>
      <c r="B368" s="53" t="s">
        <v>2055</v>
      </c>
      <c r="C368" s="54">
        <v>45910</v>
      </c>
      <c r="D368" s="55">
        <v>50081901556</v>
      </c>
      <c r="E368" s="55">
        <v>2067042153326</v>
      </c>
      <c r="F368" s="56" t="s">
        <v>2056</v>
      </c>
      <c r="G368" s="56" t="s">
        <v>2057</v>
      </c>
      <c r="H368" s="56" t="s">
        <v>8</v>
      </c>
      <c r="I368" s="55" t="s">
        <v>8</v>
      </c>
      <c r="J368" s="57">
        <v>387.96</v>
      </c>
      <c r="K368" s="56" t="s">
        <v>2058</v>
      </c>
      <c r="L368" s="56" t="s">
        <v>2059</v>
      </c>
      <c r="M368" s="55" t="s">
        <v>2060</v>
      </c>
      <c r="N368" s="56" t="s">
        <v>2061</v>
      </c>
      <c r="O368" s="53" t="s">
        <v>8</v>
      </c>
      <c r="P368" s="56" t="s">
        <v>2229</v>
      </c>
      <c r="Q368" s="57">
        <v>39996</v>
      </c>
      <c r="R368" s="58" t="s">
        <v>8</v>
      </c>
      <c r="S368" s="57" t="s">
        <v>8</v>
      </c>
      <c r="T368" s="56" t="s">
        <v>2063</v>
      </c>
    </row>
    <row r="369" spans="1:20">
      <c r="A369" s="55">
        <v>125729220164</v>
      </c>
      <c r="B369" s="53" t="s">
        <v>2055</v>
      </c>
      <c r="C369" s="54">
        <v>45910</v>
      </c>
      <c r="D369" s="55">
        <v>50082087699</v>
      </c>
      <c r="E369" s="55">
        <v>2067002212975</v>
      </c>
      <c r="F369" s="56" t="s">
        <v>2056</v>
      </c>
      <c r="G369" s="56" t="s">
        <v>2057</v>
      </c>
      <c r="H369" s="56" t="s">
        <v>8</v>
      </c>
      <c r="I369" s="55" t="s">
        <v>8</v>
      </c>
      <c r="J369" s="57">
        <v>274.51</v>
      </c>
      <c r="K369" s="56" t="s">
        <v>2058</v>
      </c>
      <c r="L369" s="56" t="s">
        <v>2059</v>
      </c>
      <c r="M369" s="55" t="s">
        <v>2060</v>
      </c>
      <c r="N369" s="56" t="s">
        <v>2061</v>
      </c>
      <c r="O369" s="53" t="s">
        <v>8</v>
      </c>
      <c r="P369" s="56" t="s">
        <v>2230</v>
      </c>
      <c r="Q369" s="57">
        <v>28300</v>
      </c>
      <c r="R369" s="58" t="s">
        <v>8</v>
      </c>
      <c r="S369" s="57" t="s">
        <v>8</v>
      </c>
      <c r="T369" s="56" t="s">
        <v>2063</v>
      </c>
    </row>
    <row r="370" spans="1:20">
      <c r="A370" s="55">
        <v>125729208924</v>
      </c>
      <c r="B370" s="53" t="s">
        <v>2055</v>
      </c>
      <c r="C370" s="54">
        <v>45910</v>
      </c>
      <c r="D370" s="55">
        <v>50082114725</v>
      </c>
      <c r="E370" s="55">
        <v>2067045948946</v>
      </c>
      <c r="F370" s="56" t="s">
        <v>2066</v>
      </c>
      <c r="G370" s="56" t="s">
        <v>2057</v>
      </c>
      <c r="H370" s="56" t="s">
        <v>8</v>
      </c>
      <c r="I370" s="55" t="s">
        <v>8</v>
      </c>
      <c r="J370" s="57">
        <v>1780.29</v>
      </c>
      <c r="K370" s="56" t="s">
        <v>2058</v>
      </c>
      <c r="L370" s="56" t="s">
        <v>2067</v>
      </c>
      <c r="M370" s="55" t="s">
        <v>2060</v>
      </c>
      <c r="N370" s="56" t="s">
        <v>2061</v>
      </c>
      <c r="O370" s="53" t="s">
        <v>1790</v>
      </c>
      <c r="P370" s="56" t="s">
        <v>2068</v>
      </c>
      <c r="Q370" s="57">
        <v>45300</v>
      </c>
      <c r="R370" s="58" t="s">
        <v>8</v>
      </c>
      <c r="S370" s="57" t="s">
        <v>8</v>
      </c>
      <c r="T370" s="56" t="s">
        <v>2063</v>
      </c>
    </row>
    <row r="371" spans="1:20">
      <c r="A371" s="55">
        <v>125729858142</v>
      </c>
      <c r="B371" s="53" t="s">
        <v>2055</v>
      </c>
      <c r="C371" s="54">
        <v>45910</v>
      </c>
      <c r="D371" s="55">
        <v>50082367260</v>
      </c>
      <c r="E371" s="55">
        <v>2067051068832</v>
      </c>
      <c r="F371" s="56" t="s">
        <v>2056</v>
      </c>
      <c r="G371" s="56" t="s">
        <v>2057</v>
      </c>
      <c r="H371" s="56" t="s">
        <v>8</v>
      </c>
      <c r="I371" s="55" t="s">
        <v>8</v>
      </c>
      <c r="J371" s="57">
        <v>404.49</v>
      </c>
      <c r="K371" s="56" t="s">
        <v>2058</v>
      </c>
      <c r="L371" s="56" t="s">
        <v>2059</v>
      </c>
      <c r="M371" s="55" t="s">
        <v>2060</v>
      </c>
      <c r="N371" s="56" t="s">
        <v>2061</v>
      </c>
      <c r="O371" s="53" t="s">
        <v>8</v>
      </c>
      <c r="P371" s="56" t="s">
        <v>2231</v>
      </c>
      <c r="Q371" s="57">
        <v>41700</v>
      </c>
      <c r="R371" s="58" t="s">
        <v>8</v>
      </c>
      <c r="S371" s="57" t="s">
        <v>8</v>
      </c>
      <c r="T371" s="56" t="s">
        <v>2063</v>
      </c>
    </row>
    <row r="372" spans="1:20">
      <c r="A372" s="55">
        <v>125730284306</v>
      </c>
      <c r="B372" s="53" t="s">
        <v>2055</v>
      </c>
      <c r="C372" s="54">
        <v>45910</v>
      </c>
      <c r="D372" s="55">
        <v>50082519344</v>
      </c>
      <c r="E372" s="55">
        <v>2067010205973</v>
      </c>
      <c r="F372" s="56" t="s">
        <v>2056</v>
      </c>
      <c r="G372" s="56" t="s">
        <v>2057</v>
      </c>
      <c r="H372" s="56" t="s">
        <v>8</v>
      </c>
      <c r="I372" s="55" t="s">
        <v>8</v>
      </c>
      <c r="J372" s="57">
        <v>503.4</v>
      </c>
      <c r="K372" s="56" t="s">
        <v>2058</v>
      </c>
      <c r="L372" s="56" t="s">
        <v>2059</v>
      </c>
      <c r="M372" s="55" t="s">
        <v>2060</v>
      </c>
      <c r="N372" s="56" t="s">
        <v>2061</v>
      </c>
      <c r="O372" s="53" t="s">
        <v>8</v>
      </c>
      <c r="P372" s="56" t="s">
        <v>2232</v>
      </c>
      <c r="Q372" s="57">
        <v>51897</v>
      </c>
      <c r="R372" s="58" t="s">
        <v>8</v>
      </c>
      <c r="S372" s="57" t="s">
        <v>8</v>
      </c>
      <c r="T372" s="56" t="s">
        <v>2063</v>
      </c>
    </row>
    <row r="373" spans="1:20">
      <c r="A373" s="55">
        <v>125730630344</v>
      </c>
      <c r="B373" s="53" t="s">
        <v>2055</v>
      </c>
      <c r="C373" s="54">
        <v>45911</v>
      </c>
      <c r="D373" s="55">
        <v>50082661141</v>
      </c>
      <c r="E373" s="55">
        <v>2067012794647</v>
      </c>
      <c r="F373" s="56" t="s">
        <v>2056</v>
      </c>
      <c r="G373" s="56" t="s">
        <v>2057</v>
      </c>
      <c r="H373" s="56" t="s">
        <v>8</v>
      </c>
      <c r="I373" s="55" t="s">
        <v>8</v>
      </c>
      <c r="J373" s="57">
        <v>166.84</v>
      </c>
      <c r="K373" s="56" t="s">
        <v>2058</v>
      </c>
      <c r="L373" s="56" t="s">
        <v>2059</v>
      </c>
      <c r="M373" s="55" t="s">
        <v>2060</v>
      </c>
      <c r="N373" s="56" t="s">
        <v>2061</v>
      </c>
      <c r="O373" s="53" t="s">
        <v>8</v>
      </c>
      <c r="P373" s="56" t="s">
        <v>2233</v>
      </c>
      <c r="Q373" s="57">
        <v>17200</v>
      </c>
      <c r="R373" s="58" t="s">
        <v>8</v>
      </c>
      <c r="S373" s="57" t="s">
        <v>8</v>
      </c>
      <c r="T373" s="56" t="s">
        <v>2063</v>
      </c>
    </row>
    <row r="374" spans="1:20">
      <c r="A374" s="55">
        <v>125730938612</v>
      </c>
      <c r="B374" s="53" t="s">
        <v>2055</v>
      </c>
      <c r="C374" s="54">
        <v>45911</v>
      </c>
      <c r="D374" s="55">
        <v>50082874780</v>
      </c>
      <c r="E374" s="55">
        <v>2067015285761</v>
      </c>
      <c r="F374" s="56" t="s">
        <v>2056</v>
      </c>
      <c r="G374" s="56" t="s">
        <v>2057</v>
      </c>
      <c r="H374" s="56" t="s">
        <v>8</v>
      </c>
      <c r="I374" s="55" t="s">
        <v>8</v>
      </c>
      <c r="J374" s="57">
        <v>896.25</v>
      </c>
      <c r="K374" s="56" t="s">
        <v>2058</v>
      </c>
      <c r="L374" s="56" t="s">
        <v>2059</v>
      </c>
      <c r="M374" s="55" t="s">
        <v>2060</v>
      </c>
      <c r="N374" s="56" t="s">
        <v>2061</v>
      </c>
      <c r="O374" s="53" t="s">
        <v>8</v>
      </c>
      <c r="P374" s="56" t="s">
        <v>2234</v>
      </c>
      <c r="Q374" s="57">
        <v>92397</v>
      </c>
      <c r="R374" s="58" t="s">
        <v>8</v>
      </c>
      <c r="S374" s="57" t="s">
        <v>8</v>
      </c>
      <c r="T374" s="56" t="s">
        <v>2063</v>
      </c>
    </row>
    <row r="375" spans="1:20">
      <c r="A375" s="55">
        <v>125182282317</v>
      </c>
      <c r="B375" s="53" t="s">
        <v>2055</v>
      </c>
      <c r="C375" s="54">
        <v>45911</v>
      </c>
      <c r="D375" s="55">
        <v>50083055414</v>
      </c>
      <c r="E375" s="55">
        <v>2067017183241</v>
      </c>
      <c r="F375" s="56" t="s">
        <v>2056</v>
      </c>
      <c r="G375" s="56" t="s">
        <v>2057</v>
      </c>
      <c r="H375" s="56" t="s">
        <v>8</v>
      </c>
      <c r="I375" s="55" t="s">
        <v>8</v>
      </c>
      <c r="J375" s="57">
        <v>630.45000000000005</v>
      </c>
      <c r="K375" s="56" t="s">
        <v>2058</v>
      </c>
      <c r="L375" s="56" t="s">
        <v>2059</v>
      </c>
      <c r="M375" s="55" t="s">
        <v>2060</v>
      </c>
      <c r="N375" s="56" t="s">
        <v>2061</v>
      </c>
      <c r="O375" s="53" t="s">
        <v>8</v>
      </c>
      <c r="P375" s="56" t="s">
        <v>2235</v>
      </c>
      <c r="Q375" s="57">
        <v>64995</v>
      </c>
      <c r="R375" s="58" t="s">
        <v>8</v>
      </c>
      <c r="S375" s="57" t="s">
        <v>8</v>
      </c>
      <c r="T375" s="56" t="s">
        <v>2063</v>
      </c>
    </row>
    <row r="376" spans="1:20">
      <c r="A376" s="55">
        <v>125182469271</v>
      </c>
      <c r="B376" s="53" t="s">
        <v>2055</v>
      </c>
      <c r="C376" s="54">
        <v>45911</v>
      </c>
      <c r="D376" s="55">
        <v>50083207873</v>
      </c>
      <c r="E376" s="55">
        <v>2067062087204</v>
      </c>
      <c r="F376" s="56" t="s">
        <v>2066</v>
      </c>
      <c r="G376" s="56" t="s">
        <v>2057</v>
      </c>
      <c r="H376" s="56" t="s">
        <v>8</v>
      </c>
      <c r="I376" s="55" t="s">
        <v>8</v>
      </c>
      <c r="J376" s="57">
        <v>785.92</v>
      </c>
      <c r="K376" s="56" t="s">
        <v>2058</v>
      </c>
      <c r="L376" s="56" t="s">
        <v>2067</v>
      </c>
      <c r="M376" s="55" t="s">
        <v>2060</v>
      </c>
      <c r="N376" s="56" t="s">
        <v>2061</v>
      </c>
      <c r="O376" s="53" t="s">
        <v>1790</v>
      </c>
      <c r="P376" s="56" t="s">
        <v>2068</v>
      </c>
      <c r="Q376" s="57">
        <v>19998</v>
      </c>
      <c r="R376" s="58" t="s">
        <v>8</v>
      </c>
      <c r="S376" s="57" t="s">
        <v>8</v>
      </c>
      <c r="T376" s="56" t="s">
        <v>2063</v>
      </c>
    </row>
    <row r="377" spans="1:20">
      <c r="A377" s="55">
        <v>125731690258</v>
      </c>
      <c r="B377" s="53" t="s">
        <v>2055</v>
      </c>
      <c r="C377" s="54">
        <v>45911</v>
      </c>
      <c r="D377" s="55">
        <v>50083261917</v>
      </c>
      <c r="E377" s="55">
        <v>2067063241052</v>
      </c>
      <c r="F377" s="56" t="s">
        <v>2107</v>
      </c>
      <c r="G377" s="56" t="s">
        <v>2057</v>
      </c>
      <c r="H377" s="56" t="s">
        <v>8</v>
      </c>
      <c r="I377" s="55" t="s">
        <v>8</v>
      </c>
      <c r="J377" s="57">
        <v>689.44</v>
      </c>
      <c r="K377" s="56" t="s">
        <v>2058</v>
      </c>
      <c r="L377" s="56" t="s">
        <v>2059</v>
      </c>
      <c r="M377" s="55" t="s">
        <v>2060</v>
      </c>
      <c r="N377" s="56" t="s">
        <v>2061</v>
      </c>
      <c r="O377" s="53" t="s">
        <v>8</v>
      </c>
      <c r="P377" s="56" t="s">
        <v>2197</v>
      </c>
      <c r="Q377" s="57">
        <v>42297</v>
      </c>
      <c r="R377" s="58" t="s">
        <v>8</v>
      </c>
      <c r="S377" s="57" t="s">
        <v>8</v>
      </c>
      <c r="T377" s="56" t="s">
        <v>2063</v>
      </c>
    </row>
    <row r="378" spans="1:20">
      <c r="A378" s="55">
        <v>125182626663</v>
      </c>
      <c r="B378" s="53" t="s">
        <v>2055</v>
      </c>
      <c r="C378" s="54">
        <v>45911</v>
      </c>
      <c r="D378" s="55">
        <v>50083265764</v>
      </c>
      <c r="E378" s="55">
        <v>2067062861806</v>
      </c>
      <c r="F378" s="56" t="s">
        <v>2056</v>
      </c>
      <c r="G378" s="56" t="s">
        <v>2057</v>
      </c>
      <c r="H378" s="56" t="s">
        <v>8</v>
      </c>
      <c r="I378" s="55" t="s">
        <v>8</v>
      </c>
      <c r="J378" s="57">
        <v>333.66</v>
      </c>
      <c r="K378" s="56" t="s">
        <v>2058</v>
      </c>
      <c r="L378" s="56" t="s">
        <v>2059</v>
      </c>
      <c r="M378" s="55" t="s">
        <v>2060</v>
      </c>
      <c r="N378" s="56" t="s">
        <v>2061</v>
      </c>
      <c r="O378" s="53" t="s">
        <v>8</v>
      </c>
      <c r="P378" s="56" t="s">
        <v>2236</v>
      </c>
      <c r="Q378" s="57">
        <v>34398</v>
      </c>
      <c r="R378" s="58" t="s">
        <v>8</v>
      </c>
      <c r="S378" s="57" t="s">
        <v>8</v>
      </c>
      <c r="T378" s="56" t="s">
        <v>2063</v>
      </c>
    </row>
    <row r="379" spans="1:20">
      <c r="A379" s="55">
        <v>125732575486</v>
      </c>
      <c r="B379" s="53" t="s">
        <v>2055</v>
      </c>
      <c r="C379" s="54">
        <v>45911</v>
      </c>
      <c r="D379" s="55">
        <v>50083986446</v>
      </c>
      <c r="E379" s="55">
        <v>2067070253808</v>
      </c>
      <c r="F379" s="56" t="s">
        <v>2066</v>
      </c>
      <c r="G379" s="56" t="s">
        <v>2057</v>
      </c>
      <c r="H379" s="56" t="s">
        <v>8</v>
      </c>
      <c r="I379" s="55" t="s">
        <v>8</v>
      </c>
      <c r="J379" s="57">
        <v>1446.16</v>
      </c>
      <c r="K379" s="56" t="s">
        <v>2058</v>
      </c>
      <c r="L379" s="56" t="s">
        <v>2067</v>
      </c>
      <c r="M379" s="55" t="s">
        <v>2060</v>
      </c>
      <c r="N379" s="56" t="s">
        <v>2061</v>
      </c>
      <c r="O379" s="53" t="s">
        <v>1790</v>
      </c>
      <c r="P379" s="56" t="s">
        <v>2068</v>
      </c>
      <c r="Q379" s="57">
        <v>36798</v>
      </c>
      <c r="R379" s="58" t="s">
        <v>8</v>
      </c>
      <c r="S379" s="57" t="s">
        <v>8</v>
      </c>
      <c r="T379" s="56" t="s">
        <v>2063</v>
      </c>
    </row>
    <row r="380" spans="1:20">
      <c r="A380" s="55">
        <v>125732657942</v>
      </c>
      <c r="B380" s="53" t="s">
        <v>2055</v>
      </c>
      <c r="C380" s="54">
        <v>45911</v>
      </c>
      <c r="D380" s="55">
        <v>50084103087</v>
      </c>
      <c r="E380" s="55">
        <v>2067028062585</v>
      </c>
      <c r="F380" s="56" t="s">
        <v>2069</v>
      </c>
      <c r="G380" s="56" t="s">
        <v>2057</v>
      </c>
      <c r="H380" s="56" t="s">
        <v>8</v>
      </c>
      <c r="I380" s="55" t="s">
        <v>8</v>
      </c>
      <c r="J380" s="57">
        <v>609.14</v>
      </c>
      <c r="K380" s="56" t="s">
        <v>2058</v>
      </c>
      <c r="L380" s="56" t="s">
        <v>2059</v>
      </c>
      <c r="M380" s="55" t="s">
        <v>2060</v>
      </c>
      <c r="N380" s="56" t="s">
        <v>2061</v>
      </c>
      <c r="O380" s="53" t="s">
        <v>8</v>
      </c>
      <c r="P380" s="56" t="s">
        <v>2070</v>
      </c>
      <c r="Q380" s="57">
        <v>62798</v>
      </c>
      <c r="R380" s="58" t="s">
        <v>8</v>
      </c>
      <c r="S380" s="57" t="s">
        <v>8</v>
      </c>
      <c r="T380" s="56" t="s">
        <v>8</v>
      </c>
    </row>
    <row r="381" spans="1:20">
      <c r="A381" s="55">
        <v>125734498538</v>
      </c>
      <c r="B381" s="53" t="s">
        <v>2055</v>
      </c>
      <c r="C381" s="54">
        <v>45911</v>
      </c>
      <c r="D381" s="55">
        <v>50085312080</v>
      </c>
      <c r="E381" s="55">
        <v>2067043703641</v>
      </c>
      <c r="F381" s="56" t="s">
        <v>2056</v>
      </c>
      <c r="G381" s="56" t="s">
        <v>2057</v>
      </c>
      <c r="H381" s="56" t="s">
        <v>8</v>
      </c>
      <c r="I381" s="55" t="s">
        <v>8</v>
      </c>
      <c r="J381" s="57">
        <v>51.41</v>
      </c>
      <c r="K381" s="56" t="s">
        <v>2058</v>
      </c>
      <c r="L381" s="56" t="s">
        <v>2059</v>
      </c>
      <c r="M381" s="55" t="s">
        <v>2060</v>
      </c>
      <c r="N381" s="56" t="s">
        <v>2061</v>
      </c>
      <c r="O381" s="53" t="s">
        <v>8</v>
      </c>
      <c r="P381" s="56" t="s">
        <v>2237</v>
      </c>
      <c r="Q381" s="57">
        <v>5300</v>
      </c>
      <c r="R381" s="58" t="s">
        <v>8</v>
      </c>
      <c r="S381" s="57" t="s">
        <v>8</v>
      </c>
      <c r="T381" s="56" t="s">
        <v>2063</v>
      </c>
    </row>
    <row r="382" spans="1:20">
      <c r="A382" s="55">
        <v>125734695008</v>
      </c>
      <c r="B382" s="53" t="s">
        <v>2055</v>
      </c>
      <c r="C382" s="54">
        <v>45911</v>
      </c>
      <c r="D382" s="55">
        <v>50085476679</v>
      </c>
      <c r="E382" s="55">
        <v>2067089998068</v>
      </c>
      <c r="F382" s="56" t="s">
        <v>2066</v>
      </c>
      <c r="G382" s="56" t="s">
        <v>2057</v>
      </c>
      <c r="H382" s="56" t="s">
        <v>8</v>
      </c>
      <c r="I382" s="55" t="s">
        <v>8</v>
      </c>
      <c r="J382" s="57">
        <v>1116.1199999999999</v>
      </c>
      <c r="K382" s="56" t="s">
        <v>2058</v>
      </c>
      <c r="L382" s="56" t="s">
        <v>2067</v>
      </c>
      <c r="M382" s="55" t="s">
        <v>2060</v>
      </c>
      <c r="N382" s="56" t="s">
        <v>2061</v>
      </c>
      <c r="O382" s="53" t="s">
        <v>1790</v>
      </c>
      <c r="P382" s="56" t="s">
        <v>2068</v>
      </c>
      <c r="Q382" s="57">
        <v>28400</v>
      </c>
      <c r="R382" s="58" t="s">
        <v>8</v>
      </c>
      <c r="S382" s="57" t="s">
        <v>8</v>
      </c>
      <c r="T382" s="56" t="s">
        <v>2063</v>
      </c>
    </row>
    <row r="383" spans="1:20">
      <c r="A383" s="55">
        <v>125186162773</v>
      </c>
      <c r="B383" s="53" t="s">
        <v>2055</v>
      </c>
      <c r="C383" s="54">
        <v>45911</v>
      </c>
      <c r="D383" s="55">
        <v>50085695033</v>
      </c>
      <c r="E383" s="55">
        <v>2067095342388</v>
      </c>
      <c r="F383" s="56" t="s">
        <v>2056</v>
      </c>
      <c r="G383" s="56" t="s">
        <v>2057</v>
      </c>
      <c r="H383" s="56" t="s">
        <v>8</v>
      </c>
      <c r="I383" s="55" t="s">
        <v>8</v>
      </c>
      <c r="J383" s="57">
        <v>102.82</v>
      </c>
      <c r="K383" s="56" t="s">
        <v>2058</v>
      </c>
      <c r="L383" s="56" t="s">
        <v>2059</v>
      </c>
      <c r="M383" s="55" t="s">
        <v>2060</v>
      </c>
      <c r="N383" s="56" t="s">
        <v>2061</v>
      </c>
      <c r="O383" s="53" t="s">
        <v>8</v>
      </c>
      <c r="P383" s="56" t="s">
        <v>2238</v>
      </c>
      <c r="Q383" s="57">
        <v>10600</v>
      </c>
      <c r="R383" s="58" t="s">
        <v>8</v>
      </c>
      <c r="S383" s="57" t="s">
        <v>8</v>
      </c>
      <c r="T383" s="56" t="s">
        <v>2063</v>
      </c>
    </row>
    <row r="384" spans="1:20">
      <c r="A384" s="55">
        <v>125186206585</v>
      </c>
      <c r="B384" s="53" t="s">
        <v>2055</v>
      </c>
      <c r="C384" s="54">
        <v>45911</v>
      </c>
      <c r="D384" s="55">
        <v>50085721660</v>
      </c>
      <c r="E384" s="55">
        <v>2067052072373</v>
      </c>
      <c r="F384" s="56" t="s">
        <v>2056</v>
      </c>
      <c r="G384" s="56" t="s">
        <v>2057</v>
      </c>
      <c r="H384" s="56" t="s">
        <v>8</v>
      </c>
      <c r="I384" s="55" t="s">
        <v>8</v>
      </c>
      <c r="J384" s="57">
        <v>271.60000000000002</v>
      </c>
      <c r="K384" s="56" t="s">
        <v>2058</v>
      </c>
      <c r="L384" s="56" t="s">
        <v>2059</v>
      </c>
      <c r="M384" s="55" t="s">
        <v>2060</v>
      </c>
      <c r="N384" s="56" t="s">
        <v>2061</v>
      </c>
      <c r="O384" s="53" t="s">
        <v>8</v>
      </c>
      <c r="P384" s="56" t="s">
        <v>2239</v>
      </c>
      <c r="Q384" s="57">
        <v>28000</v>
      </c>
      <c r="R384" s="58" t="s">
        <v>8</v>
      </c>
      <c r="S384" s="57" t="s">
        <v>8</v>
      </c>
      <c r="T384" s="56" t="s">
        <v>2063</v>
      </c>
    </row>
    <row r="385" spans="1:20">
      <c r="A385" s="55">
        <v>125186249815</v>
      </c>
      <c r="B385" s="53" t="s">
        <v>2055</v>
      </c>
      <c r="C385" s="54">
        <v>45911</v>
      </c>
      <c r="D385" s="55">
        <v>50085830603</v>
      </c>
      <c r="E385" s="55">
        <v>2067055191179</v>
      </c>
      <c r="F385" s="56" t="s">
        <v>2056</v>
      </c>
      <c r="G385" s="56" t="s">
        <v>2057</v>
      </c>
      <c r="H385" s="56" t="s">
        <v>8</v>
      </c>
      <c r="I385" s="55" t="s">
        <v>8</v>
      </c>
      <c r="J385" s="57">
        <v>291</v>
      </c>
      <c r="K385" s="56" t="s">
        <v>2058</v>
      </c>
      <c r="L385" s="56" t="s">
        <v>2059</v>
      </c>
      <c r="M385" s="55" t="s">
        <v>2060</v>
      </c>
      <c r="N385" s="56" t="s">
        <v>2061</v>
      </c>
      <c r="O385" s="53" t="s">
        <v>8</v>
      </c>
      <c r="P385" s="56" t="s">
        <v>2240</v>
      </c>
      <c r="Q385" s="57">
        <v>30000</v>
      </c>
      <c r="R385" s="58" t="s">
        <v>8</v>
      </c>
      <c r="S385" s="57" t="s">
        <v>8</v>
      </c>
      <c r="T385" s="56" t="s">
        <v>2063</v>
      </c>
    </row>
    <row r="386" spans="1:20">
      <c r="A386" s="55">
        <v>125186455061</v>
      </c>
      <c r="B386" s="53" t="s">
        <v>2055</v>
      </c>
      <c r="C386" s="54">
        <v>45911</v>
      </c>
      <c r="D386" s="55">
        <v>50085843569</v>
      </c>
      <c r="E386" s="55">
        <v>2067098992154</v>
      </c>
      <c r="F386" s="56" t="s">
        <v>2069</v>
      </c>
      <c r="G386" s="56" t="s">
        <v>2057</v>
      </c>
      <c r="H386" s="56" t="s">
        <v>8</v>
      </c>
      <c r="I386" s="55" t="s">
        <v>8</v>
      </c>
      <c r="J386" s="57">
        <v>175.57</v>
      </c>
      <c r="K386" s="56" t="s">
        <v>2058</v>
      </c>
      <c r="L386" s="56" t="s">
        <v>2059</v>
      </c>
      <c r="M386" s="55" t="s">
        <v>2060</v>
      </c>
      <c r="N386" s="56" t="s">
        <v>2061</v>
      </c>
      <c r="O386" s="53" t="s">
        <v>8</v>
      </c>
      <c r="P386" s="56" t="s">
        <v>2070</v>
      </c>
      <c r="Q386" s="57">
        <v>18100</v>
      </c>
      <c r="R386" s="58" t="s">
        <v>8</v>
      </c>
      <c r="S386" s="57" t="s">
        <v>8</v>
      </c>
      <c r="T386" s="56" t="s">
        <v>8</v>
      </c>
    </row>
    <row r="387" spans="1:20">
      <c r="A387" s="55">
        <v>125735533144</v>
      </c>
      <c r="B387" s="53" t="s">
        <v>2055</v>
      </c>
      <c r="C387" s="54">
        <v>45911</v>
      </c>
      <c r="D387" s="55">
        <v>50085905987</v>
      </c>
      <c r="E387" s="55">
        <v>2067056067449</v>
      </c>
      <c r="F387" s="56" t="s">
        <v>2056</v>
      </c>
      <c r="G387" s="56" t="s">
        <v>2057</v>
      </c>
      <c r="H387" s="56" t="s">
        <v>8</v>
      </c>
      <c r="I387" s="55" t="s">
        <v>8</v>
      </c>
      <c r="J387" s="57">
        <v>151.32</v>
      </c>
      <c r="K387" s="56" t="s">
        <v>2058</v>
      </c>
      <c r="L387" s="56" t="s">
        <v>2059</v>
      </c>
      <c r="M387" s="55" t="s">
        <v>2060</v>
      </c>
      <c r="N387" s="56" t="s">
        <v>2061</v>
      </c>
      <c r="O387" s="53" t="s">
        <v>8</v>
      </c>
      <c r="P387" s="56" t="s">
        <v>2241</v>
      </c>
      <c r="Q387" s="57">
        <v>15600</v>
      </c>
      <c r="R387" s="58" t="s">
        <v>8</v>
      </c>
      <c r="S387" s="57" t="s">
        <v>8</v>
      </c>
      <c r="T387" s="56" t="s">
        <v>2063</v>
      </c>
    </row>
    <row r="388" spans="1:20">
      <c r="A388" s="55">
        <v>125735529498</v>
      </c>
      <c r="B388" s="53" t="s">
        <v>2055</v>
      </c>
      <c r="C388" s="54">
        <v>45911</v>
      </c>
      <c r="D388" s="55">
        <v>50085914306</v>
      </c>
      <c r="E388" s="55">
        <v>2067100571818</v>
      </c>
      <c r="F388" s="56" t="s">
        <v>2069</v>
      </c>
      <c r="G388" s="56" t="s">
        <v>2057</v>
      </c>
      <c r="H388" s="56" t="s">
        <v>8</v>
      </c>
      <c r="I388" s="55" t="s">
        <v>8</v>
      </c>
      <c r="J388" s="57">
        <v>77.599999999999994</v>
      </c>
      <c r="K388" s="56" t="s">
        <v>2058</v>
      </c>
      <c r="L388" s="56" t="s">
        <v>2059</v>
      </c>
      <c r="M388" s="55" t="s">
        <v>2060</v>
      </c>
      <c r="N388" s="56" t="s">
        <v>2061</v>
      </c>
      <c r="O388" s="53" t="s">
        <v>8</v>
      </c>
      <c r="P388" s="56" t="s">
        <v>2070</v>
      </c>
      <c r="Q388" s="57">
        <v>8000</v>
      </c>
      <c r="R388" s="58" t="s">
        <v>8</v>
      </c>
      <c r="S388" s="57" t="s">
        <v>8</v>
      </c>
      <c r="T388" s="56" t="s">
        <v>8</v>
      </c>
    </row>
    <row r="389" spans="1:20">
      <c r="A389" s="55">
        <v>125735896318</v>
      </c>
      <c r="B389" s="53" t="s">
        <v>2055</v>
      </c>
      <c r="C389" s="54">
        <v>45911</v>
      </c>
      <c r="D389" s="55">
        <v>50086005555</v>
      </c>
      <c r="E389" s="55">
        <v>2067058663269</v>
      </c>
      <c r="F389" s="56" t="s">
        <v>2056</v>
      </c>
      <c r="G389" s="56" t="s">
        <v>2057</v>
      </c>
      <c r="H389" s="56" t="s">
        <v>8</v>
      </c>
      <c r="I389" s="55" t="s">
        <v>8</v>
      </c>
      <c r="J389" s="57">
        <v>363.75</v>
      </c>
      <c r="K389" s="56" t="s">
        <v>2058</v>
      </c>
      <c r="L389" s="56" t="s">
        <v>2059</v>
      </c>
      <c r="M389" s="55" t="s">
        <v>2060</v>
      </c>
      <c r="N389" s="56" t="s">
        <v>2061</v>
      </c>
      <c r="O389" s="53" t="s">
        <v>8</v>
      </c>
      <c r="P389" s="56" t="s">
        <v>2242</v>
      </c>
      <c r="Q389" s="57">
        <v>37500</v>
      </c>
      <c r="R389" s="58" t="s">
        <v>8</v>
      </c>
      <c r="S389" s="57" t="s">
        <v>8</v>
      </c>
      <c r="T389" s="56" t="s">
        <v>2063</v>
      </c>
    </row>
    <row r="390" spans="1:20">
      <c r="A390" s="55">
        <v>125296798273</v>
      </c>
      <c r="B390" s="53" t="s">
        <v>2055</v>
      </c>
      <c r="C390" s="54">
        <v>45911</v>
      </c>
      <c r="D390" s="55">
        <v>50125751401</v>
      </c>
      <c r="E390" s="55">
        <v>2067817595389</v>
      </c>
      <c r="F390" s="56" t="s">
        <v>2069</v>
      </c>
      <c r="G390" s="56" t="s">
        <v>2057</v>
      </c>
      <c r="H390" s="56" t="s">
        <v>8</v>
      </c>
      <c r="I390" s="55" t="s">
        <v>8</v>
      </c>
      <c r="J390" s="57">
        <v>81.48</v>
      </c>
      <c r="K390" s="56" t="s">
        <v>2058</v>
      </c>
      <c r="L390" s="56" t="s">
        <v>2059</v>
      </c>
      <c r="M390" s="55" t="s">
        <v>2060</v>
      </c>
      <c r="N390" s="56" t="s">
        <v>2061</v>
      </c>
      <c r="O390" s="53" t="s">
        <v>8</v>
      </c>
      <c r="P390" s="56" t="s">
        <v>2070</v>
      </c>
      <c r="Q390" s="57">
        <v>8400</v>
      </c>
      <c r="R390" s="58" t="s">
        <v>8</v>
      </c>
      <c r="S390" s="57" t="s">
        <v>8</v>
      </c>
      <c r="T390" s="56" t="s">
        <v>8</v>
      </c>
    </row>
    <row r="391" spans="1:20">
      <c r="A391" s="55">
        <v>125846766732</v>
      </c>
      <c r="B391" s="53" t="s">
        <v>2055</v>
      </c>
      <c r="C391" s="54">
        <v>45911</v>
      </c>
      <c r="D391" s="55">
        <v>50125872524</v>
      </c>
      <c r="E391" s="55">
        <v>2067863707848</v>
      </c>
      <c r="F391" s="56" t="s">
        <v>2056</v>
      </c>
      <c r="G391" s="56" t="s">
        <v>2057</v>
      </c>
      <c r="H391" s="56" t="s">
        <v>8</v>
      </c>
      <c r="I391" s="55" t="s">
        <v>8</v>
      </c>
      <c r="J391" s="57">
        <v>106.7</v>
      </c>
      <c r="K391" s="56" t="s">
        <v>2058</v>
      </c>
      <c r="L391" s="56" t="s">
        <v>2059</v>
      </c>
      <c r="M391" s="55" t="s">
        <v>2060</v>
      </c>
      <c r="N391" s="56" t="s">
        <v>2061</v>
      </c>
      <c r="O391" s="53" t="s">
        <v>8</v>
      </c>
      <c r="P391" s="56" t="s">
        <v>2243</v>
      </c>
      <c r="Q391" s="57">
        <v>11000</v>
      </c>
      <c r="R391" s="58" t="s">
        <v>8</v>
      </c>
      <c r="S391" s="57" t="s">
        <v>8</v>
      </c>
      <c r="T391" s="56" t="s">
        <v>2063</v>
      </c>
    </row>
    <row r="392" spans="1:20">
      <c r="A392" s="55">
        <v>125847517582</v>
      </c>
      <c r="B392" s="53" t="s">
        <v>2055</v>
      </c>
      <c r="C392" s="54">
        <v>45911</v>
      </c>
      <c r="D392" s="55">
        <v>50126141239</v>
      </c>
      <c r="E392" s="55">
        <v>2067824629525</v>
      </c>
      <c r="F392" s="56" t="s">
        <v>2056</v>
      </c>
      <c r="G392" s="56" t="s">
        <v>2057</v>
      </c>
      <c r="H392" s="56" t="s">
        <v>8</v>
      </c>
      <c r="I392" s="55" t="s">
        <v>8</v>
      </c>
      <c r="J392" s="57">
        <v>223.1</v>
      </c>
      <c r="K392" s="56" t="s">
        <v>2058</v>
      </c>
      <c r="L392" s="56" t="s">
        <v>2059</v>
      </c>
      <c r="M392" s="55" t="s">
        <v>2060</v>
      </c>
      <c r="N392" s="56" t="s">
        <v>2061</v>
      </c>
      <c r="O392" s="53" t="s">
        <v>8</v>
      </c>
      <c r="P392" s="56" t="s">
        <v>2244</v>
      </c>
      <c r="Q392" s="57">
        <v>23000</v>
      </c>
      <c r="R392" s="58" t="s">
        <v>8</v>
      </c>
      <c r="S392" s="57" t="s">
        <v>8</v>
      </c>
      <c r="T392" s="56" t="s">
        <v>2063</v>
      </c>
    </row>
    <row r="393" spans="1:20">
      <c r="A393" s="55">
        <v>125298516019</v>
      </c>
      <c r="B393" s="53" t="s">
        <v>2055</v>
      </c>
      <c r="C393" s="54">
        <v>45911</v>
      </c>
      <c r="D393" s="55">
        <v>50126412281</v>
      </c>
      <c r="E393" s="55">
        <v>2067830005683</v>
      </c>
      <c r="F393" s="56" t="s">
        <v>2066</v>
      </c>
      <c r="G393" s="56" t="s">
        <v>2057</v>
      </c>
      <c r="H393" s="56" t="s">
        <v>8</v>
      </c>
      <c r="I393" s="55" t="s">
        <v>8</v>
      </c>
      <c r="J393" s="57">
        <v>1410.87</v>
      </c>
      <c r="K393" s="56" t="s">
        <v>2058</v>
      </c>
      <c r="L393" s="56" t="s">
        <v>2067</v>
      </c>
      <c r="M393" s="55" t="s">
        <v>2060</v>
      </c>
      <c r="N393" s="56" t="s">
        <v>2061</v>
      </c>
      <c r="O393" s="53" t="s">
        <v>1790</v>
      </c>
      <c r="P393" s="56" t="s">
        <v>2068</v>
      </c>
      <c r="Q393" s="57">
        <v>35900</v>
      </c>
      <c r="R393" s="58" t="s">
        <v>8</v>
      </c>
      <c r="S393" s="57" t="s">
        <v>8</v>
      </c>
      <c r="T393" s="56" t="s">
        <v>2063</v>
      </c>
    </row>
    <row r="394" spans="1:20">
      <c r="A394" s="55">
        <v>125851439308</v>
      </c>
      <c r="B394" s="53" t="s">
        <v>2055</v>
      </c>
      <c r="C394" s="54">
        <v>45911</v>
      </c>
      <c r="D394" s="55">
        <v>50127482825</v>
      </c>
      <c r="E394" s="55">
        <v>2067895228430</v>
      </c>
      <c r="F394" s="56" t="s">
        <v>2056</v>
      </c>
      <c r="G394" s="56" t="s">
        <v>2057</v>
      </c>
      <c r="H394" s="56" t="s">
        <v>8</v>
      </c>
      <c r="I394" s="55" t="s">
        <v>8</v>
      </c>
      <c r="J394" s="57">
        <v>83.42</v>
      </c>
      <c r="K394" s="56" t="s">
        <v>2058</v>
      </c>
      <c r="L394" s="56" t="s">
        <v>2059</v>
      </c>
      <c r="M394" s="55" t="s">
        <v>2060</v>
      </c>
      <c r="N394" s="56" t="s">
        <v>2061</v>
      </c>
      <c r="O394" s="53" t="s">
        <v>8</v>
      </c>
      <c r="P394" s="56" t="s">
        <v>2245</v>
      </c>
      <c r="Q394" s="57">
        <v>8600</v>
      </c>
      <c r="R394" s="58" t="s">
        <v>8</v>
      </c>
      <c r="S394" s="57" t="s">
        <v>8</v>
      </c>
      <c r="T394" s="56" t="s">
        <v>2063</v>
      </c>
    </row>
    <row r="395" spans="1:20">
      <c r="A395" s="55">
        <v>125851618468</v>
      </c>
      <c r="B395" s="53" t="s">
        <v>2055</v>
      </c>
      <c r="C395" s="54">
        <v>45911</v>
      </c>
      <c r="D395" s="55">
        <v>50127540131</v>
      </c>
      <c r="E395" s="55">
        <v>2067896112922</v>
      </c>
      <c r="F395" s="56" t="s">
        <v>2069</v>
      </c>
      <c r="G395" s="56" t="s">
        <v>2057</v>
      </c>
      <c r="H395" s="56" t="s">
        <v>8</v>
      </c>
      <c r="I395" s="55" t="s">
        <v>8</v>
      </c>
      <c r="J395" s="57">
        <v>41.71</v>
      </c>
      <c r="K395" s="56" t="s">
        <v>2058</v>
      </c>
      <c r="L395" s="56" t="s">
        <v>2059</v>
      </c>
      <c r="M395" s="55" t="s">
        <v>2060</v>
      </c>
      <c r="N395" s="56" t="s">
        <v>2061</v>
      </c>
      <c r="O395" s="53" t="s">
        <v>8</v>
      </c>
      <c r="P395" s="56" t="s">
        <v>2070</v>
      </c>
      <c r="Q395" s="57">
        <v>4300</v>
      </c>
      <c r="R395" s="58" t="s">
        <v>8</v>
      </c>
      <c r="S395" s="57" t="s">
        <v>8</v>
      </c>
      <c r="T395" s="56" t="s">
        <v>8</v>
      </c>
    </row>
    <row r="396" spans="1:20">
      <c r="A396" s="55">
        <v>125302111081</v>
      </c>
      <c r="B396" s="53" t="s">
        <v>2055</v>
      </c>
      <c r="C396" s="54">
        <v>45911</v>
      </c>
      <c r="D396" s="55">
        <v>50127646313</v>
      </c>
      <c r="E396" s="55">
        <v>2067897886384</v>
      </c>
      <c r="F396" s="56" t="s">
        <v>2056</v>
      </c>
      <c r="G396" s="56" t="s">
        <v>2057</v>
      </c>
      <c r="H396" s="56" t="s">
        <v>8</v>
      </c>
      <c r="I396" s="55" t="s">
        <v>8</v>
      </c>
      <c r="J396" s="57">
        <v>67.900000000000006</v>
      </c>
      <c r="K396" s="56" t="s">
        <v>2058</v>
      </c>
      <c r="L396" s="56" t="s">
        <v>2059</v>
      </c>
      <c r="M396" s="55" t="s">
        <v>2060</v>
      </c>
      <c r="N396" s="56" t="s">
        <v>2061</v>
      </c>
      <c r="O396" s="53" t="s">
        <v>8</v>
      </c>
      <c r="P396" s="56" t="s">
        <v>2246</v>
      </c>
      <c r="Q396" s="57">
        <v>7000</v>
      </c>
      <c r="R396" s="58" t="s">
        <v>8</v>
      </c>
      <c r="S396" s="57" t="s">
        <v>8</v>
      </c>
      <c r="T396" s="56" t="s">
        <v>2063</v>
      </c>
    </row>
    <row r="397" spans="1:20">
      <c r="A397" s="55">
        <v>125852041418</v>
      </c>
      <c r="B397" s="53" t="s">
        <v>2055</v>
      </c>
      <c r="C397" s="54">
        <v>45911</v>
      </c>
      <c r="D397" s="55">
        <v>50127700804</v>
      </c>
      <c r="E397" s="55">
        <v>2067855354039</v>
      </c>
      <c r="F397" s="56" t="s">
        <v>2066</v>
      </c>
      <c r="G397" s="56" t="s">
        <v>2057</v>
      </c>
      <c r="H397" s="56" t="s">
        <v>8</v>
      </c>
      <c r="I397" s="55" t="s">
        <v>8</v>
      </c>
      <c r="J397" s="57">
        <v>168.99</v>
      </c>
      <c r="K397" s="56" t="s">
        <v>2058</v>
      </c>
      <c r="L397" s="56" t="s">
        <v>2067</v>
      </c>
      <c r="M397" s="55" t="s">
        <v>2060</v>
      </c>
      <c r="N397" s="56" t="s">
        <v>2061</v>
      </c>
      <c r="O397" s="53" t="s">
        <v>1790</v>
      </c>
      <c r="P397" s="56" t="s">
        <v>2068</v>
      </c>
      <c r="Q397" s="57">
        <v>4300</v>
      </c>
      <c r="R397" s="58" t="s">
        <v>8</v>
      </c>
      <c r="S397" s="57" t="s">
        <v>8</v>
      </c>
      <c r="T397" s="56" t="s">
        <v>2063</v>
      </c>
    </row>
    <row r="398" spans="1:20">
      <c r="A398" s="55">
        <v>125852449818</v>
      </c>
      <c r="B398" s="53" t="s">
        <v>2055</v>
      </c>
      <c r="C398" s="54">
        <v>45911</v>
      </c>
      <c r="D398" s="55">
        <v>50127870388</v>
      </c>
      <c r="E398" s="55">
        <v>2067858912549</v>
      </c>
      <c r="F398" s="56" t="s">
        <v>2056</v>
      </c>
      <c r="G398" s="56" t="s">
        <v>2057</v>
      </c>
      <c r="H398" s="56" t="s">
        <v>8</v>
      </c>
      <c r="I398" s="55" t="s">
        <v>8</v>
      </c>
      <c r="J398" s="57">
        <v>33.950000000000003</v>
      </c>
      <c r="K398" s="56" t="s">
        <v>2058</v>
      </c>
      <c r="L398" s="56" t="s">
        <v>2059</v>
      </c>
      <c r="M398" s="55" t="s">
        <v>2060</v>
      </c>
      <c r="N398" s="56" t="s">
        <v>2061</v>
      </c>
      <c r="O398" s="53" t="s">
        <v>8</v>
      </c>
      <c r="P398" s="56" t="s">
        <v>2214</v>
      </c>
      <c r="Q398" s="57">
        <v>3500</v>
      </c>
      <c r="R398" s="58" t="s">
        <v>8</v>
      </c>
      <c r="S398" s="57" t="s">
        <v>8</v>
      </c>
      <c r="T398" s="56" t="s">
        <v>2063</v>
      </c>
    </row>
    <row r="399" spans="1:20">
      <c r="A399" s="55">
        <v>125852727536</v>
      </c>
      <c r="B399" s="53" t="s">
        <v>2055</v>
      </c>
      <c r="C399" s="54">
        <v>45911</v>
      </c>
      <c r="D399" s="55">
        <v>50127959976</v>
      </c>
      <c r="E399" s="55">
        <v>2067904707606</v>
      </c>
      <c r="F399" s="56" t="s">
        <v>2066</v>
      </c>
      <c r="G399" s="56" t="s">
        <v>2057</v>
      </c>
      <c r="H399" s="56" t="s">
        <v>8</v>
      </c>
      <c r="I399" s="55" t="s">
        <v>8</v>
      </c>
      <c r="J399" s="57">
        <v>1179</v>
      </c>
      <c r="K399" s="56" t="s">
        <v>2058</v>
      </c>
      <c r="L399" s="56" t="s">
        <v>2067</v>
      </c>
      <c r="M399" s="55" t="s">
        <v>2060</v>
      </c>
      <c r="N399" s="56" t="s">
        <v>2061</v>
      </c>
      <c r="O399" s="53" t="s">
        <v>1790</v>
      </c>
      <c r="P399" s="56" t="s">
        <v>2068</v>
      </c>
      <c r="Q399" s="57">
        <v>30000</v>
      </c>
      <c r="R399" s="58" t="s">
        <v>8</v>
      </c>
      <c r="S399" s="57" t="s">
        <v>8</v>
      </c>
      <c r="T399" s="56" t="s">
        <v>2063</v>
      </c>
    </row>
    <row r="400" spans="1:20">
      <c r="A400" s="55">
        <v>125853449760</v>
      </c>
      <c r="B400" s="53" t="s">
        <v>2055</v>
      </c>
      <c r="C400" s="54">
        <v>45911</v>
      </c>
      <c r="D400" s="55">
        <v>50128207508</v>
      </c>
      <c r="E400" s="55">
        <v>2067909374432</v>
      </c>
      <c r="F400" s="56" t="s">
        <v>2056</v>
      </c>
      <c r="G400" s="56" t="s">
        <v>2057</v>
      </c>
      <c r="H400" s="56" t="s">
        <v>8</v>
      </c>
      <c r="I400" s="55" t="s">
        <v>8</v>
      </c>
      <c r="J400" s="57">
        <v>140.18</v>
      </c>
      <c r="K400" s="56" t="s">
        <v>2058</v>
      </c>
      <c r="L400" s="56" t="s">
        <v>2059</v>
      </c>
      <c r="M400" s="55" t="s">
        <v>2060</v>
      </c>
      <c r="N400" s="56" t="s">
        <v>2061</v>
      </c>
      <c r="O400" s="53" t="s">
        <v>8</v>
      </c>
      <c r="P400" s="56" t="s">
        <v>2207</v>
      </c>
      <c r="Q400" s="57">
        <v>8600</v>
      </c>
      <c r="R400" s="58" t="s">
        <v>8</v>
      </c>
      <c r="S400" s="57" t="s">
        <v>8</v>
      </c>
      <c r="T400" s="56" t="s">
        <v>2063</v>
      </c>
    </row>
    <row r="401" spans="1:20">
      <c r="A401" s="55">
        <v>125304094253</v>
      </c>
      <c r="B401" s="53" t="s">
        <v>2055</v>
      </c>
      <c r="C401" s="54">
        <v>45911</v>
      </c>
      <c r="D401" s="55">
        <v>50128282066</v>
      </c>
      <c r="E401" s="55">
        <v>2067867873519</v>
      </c>
      <c r="F401" s="56" t="s">
        <v>2056</v>
      </c>
      <c r="G401" s="56" t="s">
        <v>2057</v>
      </c>
      <c r="H401" s="56" t="s">
        <v>8</v>
      </c>
      <c r="I401" s="55" t="s">
        <v>8</v>
      </c>
      <c r="J401" s="57">
        <v>37.83</v>
      </c>
      <c r="K401" s="56" t="s">
        <v>2058</v>
      </c>
      <c r="L401" s="56" t="s">
        <v>2059</v>
      </c>
      <c r="M401" s="55" t="s">
        <v>2060</v>
      </c>
      <c r="N401" s="56" t="s">
        <v>2061</v>
      </c>
      <c r="O401" s="53" t="s">
        <v>8</v>
      </c>
      <c r="P401" s="56" t="s">
        <v>2247</v>
      </c>
      <c r="Q401" s="57">
        <v>3900</v>
      </c>
      <c r="R401" s="58" t="s">
        <v>8</v>
      </c>
      <c r="S401" s="57" t="s">
        <v>8</v>
      </c>
      <c r="T401" s="56" t="s">
        <v>2063</v>
      </c>
    </row>
    <row r="402" spans="1:20">
      <c r="A402" s="55">
        <v>125304141263</v>
      </c>
      <c r="B402" s="53" t="s">
        <v>2055</v>
      </c>
      <c r="C402" s="54">
        <v>45911</v>
      </c>
      <c r="D402" s="55">
        <v>50128365786</v>
      </c>
      <c r="E402" s="55">
        <v>2067868447113</v>
      </c>
      <c r="F402" s="56" t="s">
        <v>2069</v>
      </c>
      <c r="G402" s="56" t="s">
        <v>2057</v>
      </c>
      <c r="H402" s="56" t="s">
        <v>8</v>
      </c>
      <c r="I402" s="55" t="s">
        <v>8</v>
      </c>
      <c r="J402" s="57">
        <v>212.43</v>
      </c>
      <c r="K402" s="56" t="s">
        <v>2058</v>
      </c>
      <c r="L402" s="56" t="s">
        <v>2059</v>
      </c>
      <c r="M402" s="55" t="s">
        <v>2060</v>
      </c>
      <c r="N402" s="56" t="s">
        <v>2061</v>
      </c>
      <c r="O402" s="53" t="s">
        <v>8</v>
      </c>
      <c r="P402" s="56" t="s">
        <v>2070</v>
      </c>
      <c r="Q402" s="57">
        <v>21900</v>
      </c>
      <c r="R402" s="58" t="s">
        <v>8</v>
      </c>
      <c r="S402" s="57" t="s">
        <v>8</v>
      </c>
      <c r="T402" s="56" t="s">
        <v>8</v>
      </c>
    </row>
    <row r="403" spans="1:20">
      <c r="A403" s="55">
        <v>125304398269</v>
      </c>
      <c r="B403" s="53" t="s">
        <v>2055</v>
      </c>
      <c r="C403" s="54">
        <v>45911</v>
      </c>
      <c r="D403" s="55">
        <v>50128399376</v>
      </c>
      <c r="E403" s="55">
        <v>2067869798133</v>
      </c>
      <c r="F403" s="56" t="s">
        <v>2066</v>
      </c>
      <c r="G403" s="56" t="s">
        <v>2057</v>
      </c>
      <c r="H403" s="56" t="s">
        <v>8</v>
      </c>
      <c r="I403" s="55" t="s">
        <v>8</v>
      </c>
      <c r="J403" s="57">
        <v>2260.17</v>
      </c>
      <c r="K403" s="56" t="s">
        <v>2058</v>
      </c>
      <c r="L403" s="56" t="s">
        <v>2067</v>
      </c>
      <c r="M403" s="55" t="s">
        <v>2060</v>
      </c>
      <c r="N403" s="56" t="s">
        <v>2061</v>
      </c>
      <c r="O403" s="53" t="s">
        <v>1790</v>
      </c>
      <c r="P403" s="56" t="s">
        <v>2068</v>
      </c>
      <c r="Q403" s="57">
        <v>29700</v>
      </c>
      <c r="R403" s="58" t="s">
        <v>8</v>
      </c>
      <c r="S403" s="57" t="s">
        <v>8</v>
      </c>
      <c r="T403" s="56" t="s">
        <v>2063</v>
      </c>
    </row>
    <row r="404" spans="1:20">
      <c r="A404" s="55">
        <v>125854396652</v>
      </c>
      <c r="B404" s="53" t="s">
        <v>2055</v>
      </c>
      <c r="C404" s="54">
        <v>45911</v>
      </c>
      <c r="D404" s="55">
        <v>50128504937</v>
      </c>
      <c r="E404" s="55">
        <v>2067871462957</v>
      </c>
      <c r="F404" s="56" t="s">
        <v>2066</v>
      </c>
      <c r="G404" s="56" t="s">
        <v>2057</v>
      </c>
      <c r="H404" s="56" t="s">
        <v>8</v>
      </c>
      <c r="I404" s="55" t="s">
        <v>8</v>
      </c>
      <c r="J404" s="57">
        <v>856.74</v>
      </c>
      <c r="K404" s="56" t="s">
        <v>2058</v>
      </c>
      <c r="L404" s="56" t="s">
        <v>2067</v>
      </c>
      <c r="M404" s="55" t="s">
        <v>2060</v>
      </c>
      <c r="N404" s="56" t="s">
        <v>2061</v>
      </c>
      <c r="O404" s="53" t="s">
        <v>1790</v>
      </c>
      <c r="P404" s="56" t="s">
        <v>2068</v>
      </c>
      <c r="Q404" s="57">
        <v>21800</v>
      </c>
      <c r="R404" s="58" t="s">
        <v>8</v>
      </c>
      <c r="S404" s="57" t="s">
        <v>8</v>
      </c>
      <c r="T404" s="56" t="s">
        <v>2063</v>
      </c>
    </row>
    <row r="405" spans="1:20">
      <c r="A405" s="55">
        <v>125305225765</v>
      </c>
      <c r="B405" s="53" t="s">
        <v>2055</v>
      </c>
      <c r="C405" s="54">
        <v>45911</v>
      </c>
      <c r="D405" s="55">
        <v>50128738792</v>
      </c>
      <c r="E405" s="55">
        <v>2067920496806</v>
      </c>
      <c r="F405" s="56" t="s">
        <v>2056</v>
      </c>
      <c r="G405" s="56" t="s">
        <v>2057</v>
      </c>
      <c r="H405" s="56" t="s">
        <v>8</v>
      </c>
      <c r="I405" s="55" t="s">
        <v>8</v>
      </c>
      <c r="J405" s="57">
        <v>21.34</v>
      </c>
      <c r="K405" s="56" t="s">
        <v>2058</v>
      </c>
      <c r="L405" s="56" t="s">
        <v>2059</v>
      </c>
      <c r="M405" s="55" t="s">
        <v>2060</v>
      </c>
      <c r="N405" s="56" t="s">
        <v>2061</v>
      </c>
      <c r="O405" s="53" t="s">
        <v>8</v>
      </c>
      <c r="P405" s="56" t="s">
        <v>2248</v>
      </c>
      <c r="Q405" s="57">
        <v>2200</v>
      </c>
      <c r="R405" s="58" t="s">
        <v>8</v>
      </c>
      <c r="S405" s="57" t="s">
        <v>8</v>
      </c>
      <c r="T405" s="56" t="s">
        <v>2063</v>
      </c>
    </row>
    <row r="406" spans="1:20">
      <c r="A406" s="55">
        <v>125855330618</v>
      </c>
      <c r="B406" s="53" t="s">
        <v>2055</v>
      </c>
      <c r="C406" s="54">
        <v>45911</v>
      </c>
      <c r="D406" s="55">
        <v>50128846810</v>
      </c>
      <c r="E406" s="55">
        <v>2067878565235</v>
      </c>
      <c r="F406" s="56" t="s">
        <v>2069</v>
      </c>
      <c r="G406" s="56" t="s">
        <v>2057</v>
      </c>
      <c r="H406" s="56" t="s">
        <v>8</v>
      </c>
      <c r="I406" s="55" t="s">
        <v>8</v>
      </c>
      <c r="J406" s="57">
        <v>532.53</v>
      </c>
      <c r="K406" s="56" t="s">
        <v>2058</v>
      </c>
      <c r="L406" s="56" t="s">
        <v>2059</v>
      </c>
      <c r="M406" s="55" t="s">
        <v>2060</v>
      </c>
      <c r="N406" s="56" t="s">
        <v>2061</v>
      </c>
      <c r="O406" s="53" t="s">
        <v>8</v>
      </c>
      <c r="P406" s="56" t="s">
        <v>2070</v>
      </c>
      <c r="Q406" s="57">
        <v>54900</v>
      </c>
      <c r="R406" s="58" t="s">
        <v>8</v>
      </c>
      <c r="S406" s="57" t="s">
        <v>8</v>
      </c>
      <c r="T406" s="56" t="s">
        <v>8</v>
      </c>
    </row>
    <row r="407" spans="1:20">
      <c r="A407" s="55">
        <v>125855413332</v>
      </c>
      <c r="B407" s="53" t="s">
        <v>2055</v>
      </c>
      <c r="C407" s="54">
        <v>45911</v>
      </c>
      <c r="D407" s="55">
        <v>50128900202</v>
      </c>
      <c r="E407" s="55">
        <v>2067879466999</v>
      </c>
      <c r="F407" s="56" t="s">
        <v>2066</v>
      </c>
      <c r="G407" s="56" t="s">
        <v>2057</v>
      </c>
      <c r="H407" s="56" t="s">
        <v>8</v>
      </c>
      <c r="I407" s="55" t="s">
        <v>8</v>
      </c>
      <c r="J407" s="57">
        <v>306.54000000000002</v>
      </c>
      <c r="K407" s="56" t="s">
        <v>2058</v>
      </c>
      <c r="L407" s="56" t="s">
        <v>2067</v>
      </c>
      <c r="M407" s="55" t="s">
        <v>2060</v>
      </c>
      <c r="N407" s="56" t="s">
        <v>2061</v>
      </c>
      <c r="O407" s="53" t="s">
        <v>1790</v>
      </c>
      <c r="P407" s="56" t="s">
        <v>2068</v>
      </c>
      <c r="Q407" s="57">
        <v>7800</v>
      </c>
      <c r="R407" s="58" t="s">
        <v>8</v>
      </c>
      <c r="S407" s="57" t="s">
        <v>8</v>
      </c>
      <c r="T407" s="56" t="s">
        <v>2063</v>
      </c>
    </row>
    <row r="408" spans="1:20">
      <c r="A408" s="55">
        <v>125306671969</v>
      </c>
      <c r="B408" s="53" t="s">
        <v>2055</v>
      </c>
      <c r="C408" s="54">
        <v>45911</v>
      </c>
      <c r="D408" s="55">
        <v>50129295618</v>
      </c>
      <c r="E408" s="55">
        <v>2067931229252</v>
      </c>
      <c r="F408" s="56" t="s">
        <v>2066</v>
      </c>
      <c r="G408" s="56" t="s">
        <v>2057</v>
      </c>
      <c r="H408" s="56" t="s">
        <v>8</v>
      </c>
      <c r="I408" s="55" t="s">
        <v>8</v>
      </c>
      <c r="J408" s="57">
        <v>848.98</v>
      </c>
      <c r="K408" s="56" t="s">
        <v>2058</v>
      </c>
      <c r="L408" s="56" t="s">
        <v>2067</v>
      </c>
      <c r="M408" s="55" t="s">
        <v>2060</v>
      </c>
      <c r="N408" s="56" t="s">
        <v>2061</v>
      </c>
      <c r="O408" s="53" t="s">
        <v>1790</v>
      </c>
      <c r="P408" s="56" t="s">
        <v>2068</v>
      </c>
      <c r="Q408" s="57">
        <v>18700</v>
      </c>
      <c r="R408" s="58" t="s">
        <v>8</v>
      </c>
      <c r="S408" s="57" t="s">
        <v>8</v>
      </c>
      <c r="T408" s="56" t="s">
        <v>2063</v>
      </c>
    </row>
    <row r="409" spans="1:20">
      <c r="A409" s="55">
        <v>125307224295</v>
      </c>
      <c r="B409" s="53" t="s">
        <v>2055</v>
      </c>
      <c r="C409" s="54">
        <v>45911</v>
      </c>
      <c r="D409" s="55">
        <v>50129421082</v>
      </c>
      <c r="E409" s="55">
        <v>2067934132720</v>
      </c>
      <c r="F409" s="56" t="s">
        <v>2069</v>
      </c>
      <c r="G409" s="56" t="s">
        <v>2057</v>
      </c>
      <c r="H409" s="56" t="s">
        <v>8</v>
      </c>
      <c r="I409" s="55" t="s">
        <v>8</v>
      </c>
      <c r="J409" s="57">
        <v>41.71</v>
      </c>
      <c r="K409" s="56" t="s">
        <v>2058</v>
      </c>
      <c r="L409" s="56" t="s">
        <v>2059</v>
      </c>
      <c r="M409" s="55" t="s">
        <v>2060</v>
      </c>
      <c r="N409" s="56" t="s">
        <v>2061</v>
      </c>
      <c r="O409" s="53" t="s">
        <v>8</v>
      </c>
      <c r="P409" s="56" t="s">
        <v>2070</v>
      </c>
      <c r="Q409" s="57">
        <v>4300</v>
      </c>
      <c r="R409" s="58" t="s">
        <v>8</v>
      </c>
      <c r="S409" s="57" t="s">
        <v>8</v>
      </c>
      <c r="T409" s="56" t="s">
        <v>8</v>
      </c>
    </row>
    <row r="410" spans="1:20">
      <c r="A410" s="55">
        <v>125307313189</v>
      </c>
      <c r="B410" s="53" t="s">
        <v>2055</v>
      </c>
      <c r="C410" s="54">
        <v>45911</v>
      </c>
      <c r="D410" s="55">
        <v>50129507104</v>
      </c>
      <c r="E410" s="55">
        <v>2067935523636</v>
      </c>
      <c r="F410" s="56" t="s">
        <v>2056</v>
      </c>
      <c r="G410" s="56" t="s">
        <v>2057</v>
      </c>
      <c r="H410" s="56" t="s">
        <v>8</v>
      </c>
      <c r="I410" s="55" t="s">
        <v>8</v>
      </c>
      <c r="J410" s="57">
        <v>41.71</v>
      </c>
      <c r="K410" s="56" t="s">
        <v>2058</v>
      </c>
      <c r="L410" s="56" t="s">
        <v>2059</v>
      </c>
      <c r="M410" s="55" t="s">
        <v>2060</v>
      </c>
      <c r="N410" s="56" t="s">
        <v>2061</v>
      </c>
      <c r="O410" s="53" t="s">
        <v>8</v>
      </c>
      <c r="P410" s="56" t="s">
        <v>2249</v>
      </c>
      <c r="Q410" s="57">
        <v>4300</v>
      </c>
      <c r="R410" s="58" t="s">
        <v>8</v>
      </c>
      <c r="S410" s="57" t="s">
        <v>8</v>
      </c>
      <c r="T410" s="56" t="s">
        <v>2063</v>
      </c>
    </row>
    <row r="411" spans="1:20">
      <c r="A411" s="55">
        <v>125307881689</v>
      </c>
      <c r="B411" s="53" t="s">
        <v>2055</v>
      </c>
      <c r="C411" s="54">
        <v>45911</v>
      </c>
      <c r="D411" s="55">
        <v>50129738980</v>
      </c>
      <c r="E411" s="55">
        <v>2067895681433</v>
      </c>
      <c r="F411" s="56" t="s">
        <v>2056</v>
      </c>
      <c r="G411" s="56" t="s">
        <v>2057</v>
      </c>
      <c r="H411" s="56" t="s">
        <v>8</v>
      </c>
      <c r="I411" s="55" t="s">
        <v>8</v>
      </c>
      <c r="J411" s="57">
        <v>41.71</v>
      </c>
      <c r="K411" s="56" t="s">
        <v>2058</v>
      </c>
      <c r="L411" s="56" t="s">
        <v>2059</v>
      </c>
      <c r="M411" s="55" t="s">
        <v>2060</v>
      </c>
      <c r="N411" s="56" t="s">
        <v>2061</v>
      </c>
      <c r="O411" s="53" t="s">
        <v>8</v>
      </c>
      <c r="P411" s="56" t="s">
        <v>2250</v>
      </c>
      <c r="Q411" s="57">
        <v>4300</v>
      </c>
      <c r="R411" s="58" t="s">
        <v>8</v>
      </c>
      <c r="S411" s="57" t="s">
        <v>8</v>
      </c>
      <c r="T411" s="56" t="s">
        <v>2063</v>
      </c>
    </row>
    <row r="412" spans="1:20">
      <c r="A412" s="55">
        <v>125858046938</v>
      </c>
      <c r="B412" s="53" t="s">
        <v>2055</v>
      </c>
      <c r="C412" s="54">
        <v>45911</v>
      </c>
      <c r="D412" s="55">
        <v>50129862397</v>
      </c>
      <c r="E412" s="55">
        <v>2067942393370</v>
      </c>
      <c r="F412" s="56" t="s">
        <v>2056</v>
      </c>
      <c r="G412" s="56" t="s">
        <v>2057</v>
      </c>
      <c r="H412" s="56" t="s">
        <v>8</v>
      </c>
      <c r="I412" s="55" t="s">
        <v>8</v>
      </c>
      <c r="J412" s="57">
        <v>83.42</v>
      </c>
      <c r="K412" s="56" t="s">
        <v>2058</v>
      </c>
      <c r="L412" s="56" t="s">
        <v>2059</v>
      </c>
      <c r="M412" s="55" t="s">
        <v>2060</v>
      </c>
      <c r="N412" s="56" t="s">
        <v>2061</v>
      </c>
      <c r="O412" s="53" t="s">
        <v>8</v>
      </c>
      <c r="P412" s="56" t="s">
        <v>2251</v>
      </c>
      <c r="Q412" s="57">
        <v>8600</v>
      </c>
      <c r="R412" s="58" t="s">
        <v>8</v>
      </c>
      <c r="S412" s="57" t="s">
        <v>8</v>
      </c>
      <c r="T412" s="56" t="s">
        <v>2063</v>
      </c>
    </row>
    <row r="413" spans="1:20">
      <c r="A413" s="55">
        <v>125858321940</v>
      </c>
      <c r="B413" s="53" t="s">
        <v>2055</v>
      </c>
      <c r="C413" s="54">
        <v>45911</v>
      </c>
      <c r="D413" s="55">
        <v>50130000963</v>
      </c>
      <c r="E413" s="55">
        <v>2067945277520</v>
      </c>
      <c r="F413" s="56" t="s">
        <v>2069</v>
      </c>
      <c r="G413" s="56" t="s">
        <v>2057</v>
      </c>
      <c r="H413" s="56" t="s">
        <v>8</v>
      </c>
      <c r="I413" s="55" t="s">
        <v>8</v>
      </c>
      <c r="J413" s="57">
        <v>85.36</v>
      </c>
      <c r="K413" s="56" t="s">
        <v>2058</v>
      </c>
      <c r="L413" s="56" t="s">
        <v>2059</v>
      </c>
      <c r="M413" s="55" t="s">
        <v>2060</v>
      </c>
      <c r="N413" s="56" t="s">
        <v>2061</v>
      </c>
      <c r="O413" s="53" t="s">
        <v>8</v>
      </c>
      <c r="P413" s="56" t="s">
        <v>2070</v>
      </c>
      <c r="Q413" s="57">
        <v>8800</v>
      </c>
      <c r="R413" s="58" t="s">
        <v>8</v>
      </c>
      <c r="S413" s="57" t="s">
        <v>8</v>
      </c>
      <c r="T413" s="56" t="s">
        <v>8</v>
      </c>
    </row>
    <row r="414" spans="1:20">
      <c r="A414" s="55">
        <v>125858862480</v>
      </c>
      <c r="B414" s="53" t="s">
        <v>2055</v>
      </c>
      <c r="C414" s="54">
        <v>45911</v>
      </c>
      <c r="D414" s="55">
        <v>50130162418</v>
      </c>
      <c r="E414" s="55">
        <v>2067948721174</v>
      </c>
      <c r="F414" s="56" t="s">
        <v>2056</v>
      </c>
      <c r="G414" s="56" t="s">
        <v>2057</v>
      </c>
      <c r="H414" s="56" t="s">
        <v>8</v>
      </c>
      <c r="I414" s="55" t="s">
        <v>8</v>
      </c>
      <c r="J414" s="57">
        <v>51.41</v>
      </c>
      <c r="K414" s="56" t="s">
        <v>2058</v>
      </c>
      <c r="L414" s="56" t="s">
        <v>2059</v>
      </c>
      <c r="M414" s="55" t="s">
        <v>2060</v>
      </c>
      <c r="N414" s="56" t="s">
        <v>2061</v>
      </c>
      <c r="O414" s="53" t="s">
        <v>8</v>
      </c>
      <c r="P414" s="56" t="s">
        <v>2252</v>
      </c>
      <c r="Q414" s="57">
        <v>5300</v>
      </c>
      <c r="R414" s="58" t="s">
        <v>8</v>
      </c>
      <c r="S414" s="57" t="s">
        <v>8</v>
      </c>
      <c r="T414" s="56" t="s">
        <v>2063</v>
      </c>
    </row>
    <row r="415" spans="1:20">
      <c r="A415" s="55">
        <v>125860218818</v>
      </c>
      <c r="B415" s="53" t="s">
        <v>2055</v>
      </c>
      <c r="C415" s="54">
        <v>45911</v>
      </c>
      <c r="D415" s="55">
        <v>50130691101</v>
      </c>
      <c r="E415" s="55">
        <v>2067914562775</v>
      </c>
      <c r="F415" s="56" t="s">
        <v>2056</v>
      </c>
      <c r="G415" s="56" t="s">
        <v>2057</v>
      </c>
      <c r="H415" s="56" t="s">
        <v>8</v>
      </c>
      <c r="I415" s="55" t="s">
        <v>8</v>
      </c>
      <c r="J415" s="57">
        <v>275.48</v>
      </c>
      <c r="K415" s="56" t="s">
        <v>2058</v>
      </c>
      <c r="L415" s="56" t="s">
        <v>2059</v>
      </c>
      <c r="M415" s="55" t="s">
        <v>2060</v>
      </c>
      <c r="N415" s="56" t="s">
        <v>2061</v>
      </c>
      <c r="O415" s="53" t="s">
        <v>8</v>
      </c>
      <c r="P415" s="56" t="s">
        <v>2253</v>
      </c>
      <c r="Q415" s="57">
        <v>28400</v>
      </c>
      <c r="R415" s="58" t="s">
        <v>8</v>
      </c>
      <c r="S415" s="57" t="s">
        <v>8</v>
      </c>
      <c r="T415" s="56" t="s">
        <v>2063</v>
      </c>
    </row>
    <row r="416" spans="1:20">
      <c r="A416" s="55">
        <v>125860330268</v>
      </c>
      <c r="B416" s="53" t="s">
        <v>2055</v>
      </c>
      <c r="C416" s="54">
        <v>45911</v>
      </c>
      <c r="D416" s="55">
        <v>50130722482</v>
      </c>
      <c r="E416" s="55">
        <v>2067959522532</v>
      </c>
      <c r="F416" s="56" t="s">
        <v>2056</v>
      </c>
      <c r="G416" s="56" t="s">
        <v>2057</v>
      </c>
      <c r="H416" s="56" t="s">
        <v>8</v>
      </c>
      <c r="I416" s="55" t="s">
        <v>8</v>
      </c>
      <c r="J416" s="57">
        <v>41.71</v>
      </c>
      <c r="K416" s="56" t="s">
        <v>2058</v>
      </c>
      <c r="L416" s="56" t="s">
        <v>2059</v>
      </c>
      <c r="M416" s="55" t="s">
        <v>2060</v>
      </c>
      <c r="N416" s="56" t="s">
        <v>2061</v>
      </c>
      <c r="O416" s="53" t="s">
        <v>8</v>
      </c>
      <c r="P416" s="56" t="s">
        <v>2254</v>
      </c>
      <c r="Q416" s="57">
        <v>4300</v>
      </c>
      <c r="R416" s="58" t="s">
        <v>8</v>
      </c>
      <c r="S416" s="57" t="s">
        <v>8</v>
      </c>
      <c r="T416" s="56" t="s">
        <v>2063</v>
      </c>
    </row>
    <row r="417" spans="1:20">
      <c r="A417" s="55">
        <v>125860494178</v>
      </c>
      <c r="B417" s="53" t="s">
        <v>2055</v>
      </c>
      <c r="C417" s="54">
        <v>45911</v>
      </c>
      <c r="D417" s="55">
        <v>50130796132</v>
      </c>
      <c r="E417" s="55">
        <v>2067960587386</v>
      </c>
      <c r="F417" s="56" t="s">
        <v>2056</v>
      </c>
      <c r="G417" s="56" t="s">
        <v>2057</v>
      </c>
      <c r="H417" s="56" t="s">
        <v>8</v>
      </c>
      <c r="I417" s="55" t="s">
        <v>8</v>
      </c>
      <c r="J417" s="57">
        <v>48.5</v>
      </c>
      <c r="K417" s="56" t="s">
        <v>2058</v>
      </c>
      <c r="L417" s="56" t="s">
        <v>2059</v>
      </c>
      <c r="M417" s="55" t="s">
        <v>2060</v>
      </c>
      <c r="N417" s="56" t="s">
        <v>2061</v>
      </c>
      <c r="O417" s="53" t="s">
        <v>8</v>
      </c>
      <c r="P417" s="56" t="s">
        <v>2255</v>
      </c>
      <c r="Q417" s="57">
        <v>5000</v>
      </c>
      <c r="R417" s="58" t="s">
        <v>8</v>
      </c>
      <c r="S417" s="57" t="s">
        <v>8</v>
      </c>
      <c r="T417" s="56" t="s">
        <v>2063</v>
      </c>
    </row>
    <row r="418" spans="1:20">
      <c r="A418" s="55">
        <v>125310911019</v>
      </c>
      <c r="B418" s="53" t="s">
        <v>2055</v>
      </c>
      <c r="C418" s="54">
        <v>45911</v>
      </c>
      <c r="D418" s="55">
        <v>50130841942</v>
      </c>
      <c r="E418" s="55">
        <v>2067917976479</v>
      </c>
      <c r="F418" s="56" t="s">
        <v>2056</v>
      </c>
      <c r="G418" s="56" t="s">
        <v>2057</v>
      </c>
      <c r="H418" s="56" t="s">
        <v>8</v>
      </c>
      <c r="I418" s="55" t="s">
        <v>8</v>
      </c>
      <c r="J418" s="57">
        <v>41.71</v>
      </c>
      <c r="K418" s="56" t="s">
        <v>2058</v>
      </c>
      <c r="L418" s="56" t="s">
        <v>2059</v>
      </c>
      <c r="M418" s="55" t="s">
        <v>2060</v>
      </c>
      <c r="N418" s="56" t="s">
        <v>2061</v>
      </c>
      <c r="O418" s="53" t="s">
        <v>8</v>
      </c>
      <c r="P418" s="56" t="s">
        <v>2256</v>
      </c>
      <c r="Q418" s="57">
        <v>4300</v>
      </c>
      <c r="R418" s="58" t="s">
        <v>8</v>
      </c>
      <c r="S418" s="57" t="s">
        <v>8</v>
      </c>
      <c r="T418" s="56" t="s">
        <v>2063</v>
      </c>
    </row>
    <row r="419" spans="1:20">
      <c r="A419" s="55">
        <v>125311241119</v>
      </c>
      <c r="B419" s="53" t="s">
        <v>2055</v>
      </c>
      <c r="C419" s="54">
        <v>45911</v>
      </c>
      <c r="D419" s="55">
        <v>50130994152</v>
      </c>
      <c r="E419" s="55">
        <v>2067964761524</v>
      </c>
      <c r="F419" s="56" t="s">
        <v>2056</v>
      </c>
      <c r="G419" s="56" t="s">
        <v>2057</v>
      </c>
      <c r="H419" s="56" t="s">
        <v>8</v>
      </c>
      <c r="I419" s="55" t="s">
        <v>8</v>
      </c>
      <c r="J419" s="57">
        <v>83.42</v>
      </c>
      <c r="K419" s="56" t="s">
        <v>2058</v>
      </c>
      <c r="L419" s="56" t="s">
        <v>2059</v>
      </c>
      <c r="M419" s="55" t="s">
        <v>2060</v>
      </c>
      <c r="N419" s="56" t="s">
        <v>2061</v>
      </c>
      <c r="O419" s="53" t="s">
        <v>8</v>
      </c>
      <c r="P419" s="56" t="s">
        <v>2257</v>
      </c>
      <c r="Q419" s="57">
        <v>8600</v>
      </c>
      <c r="R419" s="58" t="s">
        <v>8</v>
      </c>
      <c r="S419" s="57" t="s">
        <v>8</v>
      </c>
      <c r="T419" s="56" t="s">
        <v>2063</v>
      </c>
    </row>
    <row r="420" spans="1:20">
      <c r="A420" s="55">
        <v>125311773883</v>
      </c>
      <c r="B420" s="53" t="s">
        <v>2055</v>
      </c>
      <c r="C420" s="54">
        <v>45911</v>
      </c>
      <c r="D420" s="55">
        <v>50131222438</v>
      </c>
      <c r="E420" s="55">
        <v>2067925215633</v>
      </c>
      <c r="F420" s="56" t="s">
        <v>2056</v>
      </c>
      <c r="G420" s="56" t="s">
        <v>2057</v>
      </c>
      <c r="H420" s="56" t="s">
        <v>8</v>
      </c>
      <c r="I420" s="55" t="s">
        <v>8</v>
      </c>
      <c r="J420" s="57">
        <v>180.42</v>
      </c>
      <c r="K420" s="56" t="s">
        <v>2058</v>
      </c>
      <c r="L420" s="56" t="s">
        <v>2059</v>
      </c>
      <c r="M420" s="55" t="s">
        <v>2060</v>
      </c>
      <c r="N420" s="56" t="s">
        <v>2061</v>
      </c>
      <c r="O420" s="53" t="s">
        <v>8</v>
      </c>
      <c r="P420" s="56" t="s">
        <v>2258</v>
      </c>
      <c r="Q420" s="57">
        <v>18600</v>
      </c>
      <c r="R420" s="58" t="s">
        <v>8</v>
      </c>
      <c r="S420" s="57" t="s">
        <v>8</v>
      </c>
      <c r="T420" s="56" t="s">
        <v>2063</v>
      </c>
    </row>
    <row r="421" spans="1:20">
      <c r="A421" s="55">
        <v>125862584570</v>
      </c>
      <c r="B421" s="53" t="s">
        <v>2055</v>
      </c>
      <c r="C421" s="54">
        <v>45911</v>
      </c>
      <c r="D421" s="55">
        <v>50131645264</v>
      </c>
      <c r="E421" s="55">
        <v>2067976889948</v>
      </c>
      <c r="F421" s="56" t="s">
        <v>2069</v>
      </c>
      <c r="G421" s="56" t="s">
        <v>2057</v>
      </c>
      <c r="H421" s="56" t="s">
        <v>8</v>
      </c>
      <c r="I421" s="55" t="s">
        <v>8</v>
      </c>
      <c r="J421" s="57">
        <v>811.89</v>
      </c>
      <c r="K421" s="56" t="s">
        <v>2058</v>
      </c>
      <c r="L421" s="56" t="s">
        <v>2059</v>
      </c>
      <c r="M421" s="55" t="s">
        <v>2060</v>
      </c>
      <c r="N421" s="56" t="s">
        <v>2061</v>
      </c>
      <c r="O421" s="53" t="s">
        <v>8</v>
      </c>
      <c r="P421" s="56" t="s">
        <v>2070</v>
      </c>
      <c r="Q421" s="57">
        <v>83700</v>
      </c>
      <c r="R421" s="58" t="s">
        <v>8</v>
      </c>
      <c r="S421" s="57" t="s">
        <v>8</v>
      </c>
      <c r="T421" s="56" t="s">
        <v>8</v>
      </c>
    </row>
    <row r="422" spans="1:20">
      <c r="A422" s="55">
        <v>125312890421</v>
      </c>
      <c r="B422" s="53" t="s">
        <v>2055</v>
      </c>
      <c r="C422" s="54">
        <v>45911</v>
      </c>
      <c r="D422" s="55">
        <v>50131671330</v>
      </c>
      <c r="E422" s="55">
        <v>2067977574108</v>
      </c>
      <c r="F422" s="56" t="s">
        <v>2066</v>
      </c>
      <c r="G422" s="56" t="s">
        <v>2057</v>
      </c>
      <c r="H422" s="56" t="s">
        <v>8</v>
      </c>
      <c r="I422" s="55" t="s">
        <v>8</v>
      </c>
      <c r="J422" s="57">
        <v>750.63</v>
      </c>
      <c r="K422" s="56" t="s">
        <v>2058</v>
      </c>
      <c r="L422" s="56" t="s">
        <v>2067</v>
      </c>
      <c r="M422" s="55" t="s">
        <v>2060</v>
      </c>
      <c r="N422" s="56" t="s">
        <v>2061</v>
      </c>
      <c r="O422" s="53" t="s">
        <v>1790</v>
      </c>
      <c r="P422" s="56" t="s">
        <v>2068</v>
      </c>
      <c r="Q422" s="57">
        <v>19100</v>
      </c>
      <c r="R422" s="58" t="s">
        <v>8</v>
      </c>
      <c r="S422" s="57" t="s">
        <v>8</v>
      </c>
      <c r="T422" s="56" t="s">
        <v>2063</v>
      </c>
    </row>
    <row r="423" spans="1:20">
      <c r="A423" s="55">
        <v>125862675902</v>
      </c>
      <c r="B423" s="53" t="s">
        <v>2055</v>
      </c>
      <c r="C423" s="54">
        <v>45911</v>
      </c>
      <c r="D423" s="55">
        <v>50131703468</v>
      </c>
      <c r="E423" s="55">
        <v>2067978501048</v>
      </c>
      <c r="F423" s="56" t="s">
        <v>2056</v>
      </c>
      <c r="G423" s="56" t="s">
        <v>2057</v>
      </c>
      <c r="H423" s="56" t="s">
        <v>8</v>
      </c>
      <c r="I423" s="55" t="s">
        <v>8</v>
      </c>
      <c r="J423" s="57">
        <v>1065.4000000000001</v>
      </c>
      <c r="K423" s="56" t="s">
        <v>2058</v>
      </c>
      <c r="L423" s="56" t="s">
        <v>2059</v>
      </c>
      <c r="M423" s="55" t="s">
        <v>2060</v>
      </c>
      <c r="N423" s="56" t="s">
        <v>2061</v>
      </c>
      <c r="O423" s="53" t="s">
        <v>8</v>
      </c>
      <c r="P423" s="56" t="s">
        <v>2259</v>
      </c>
      <c r="Q423" s="57">
        <v>14000</v>
      </c>
      <c r="R423" s="58" t="s">
        <v>8</v>
      </c>
      <c r="S423" s="57" t="s">
        <v>8</v>
      </c>
      <c r="T423" s="56" t="s">
        <v>2063</v>
      </c>
    </row>
    <row r="424" spans="1:20">
      <c r="A424" s="55">
        <v>125863448486</v>
      </c>
      <c r="B424" s="53" t="s">
        <v>2055</v>
      </c>
      <c r="C424" s="54">
        <v>45911</v>
      </c>
      <c r="D424" s="55">
        <v>50132008272</v>
      </c>
      <c r="E424" s="55">
        <v>2067983810972</v>
      </c>
      <c r="F424" s="56" t="s">
        <v>2056</v>
      </c>
      <c r="G424" s="56" t="s">
        <v>2057</v>
      </c>
      <c r="H424" s="56" t="s">
        <v>8</v>
      </c>
      <c r="I424" s="55" t="s">
        <v>8</v>
      </c>
      <c r="J424" s="57">
        <v>233.77</v>
      </c>
      <c r="K424" s="56" t="s">
        <v>2058</v>
      </c>
      <c r="L424" s="56" t="s">
        <v>2059</v>
      </c>
      <c r="M424" s="55" t="s">
        <v>2060</v>
      </c>
      <c r="N424" s="56" t="s">
        <v>2061</v>
      </c>
      <c r="O424" s="53" t="s">
        <v>8</v>
      </c>
      <c r="P424" s="56" t="s">
        <v>2247</v>
      </c>
      <c r="Q424" s="57">
        <v>24100</v>
      </c>
      <c r="R424" s="58" t="s">
        <v>8</v>
      </c>
      <c r="S424" s="57" t="s">
        <v>8</v>
      </c>
      <c r="T424" s="56" t="s">
        <v>2063</v>
      </c>
    </row>
    <row r="425" spans="1:20">
      <c r="A425" s="55">
        <v>125314398803</v>
      </c>
      <c r="B425" s="53" t="s">
        <v>2055</v>
      </c>
      <c r="C425" s="54">
        <v>45911</v>
      </c>
      <c r="D425" s="55">
        <v>50132288773</v>
      </c>
      <c r="E425" s="55">
        <v>2067989496774</v>
      </c>
      <c r="F425" s="56" t="s">
        <v>2056</v>
      </c>
      <c r="G425" s="56" t="s">
        <v>2057</v>
      </c>
      <c r="H425" s="56" t="s">
        <v>8</v>
      </c>
      <c r="I425" s="55" t="s">
        <v>8</v>
      </c>
      <c r="J425" s="57">
        <v>308.45999999999998</v>
      </c>
      <c r="K425" s="56" t="s">
        <v>2058</v>
      </c>
      <c r="L425" s="56" t="s">
        <v>2059</v>
      </c>
      <c r="M425" s="55" t="s">
        <v>2060</v>
      </c>
      <c r="N425" s="56" t="s">
        <v>2061</v>
      </c>
      <c r="O425" s="53" t="s">
        <v>8</v>
      </c>
      <c r="P425" s="56" t="s">
        <v>2260</v>
      </c>
      <c r="Q425" s="57">
        <v>31800</v>
      </c>
      <c r="R425" s="58" t="s">
        <v>8</v>
      </c>
      <c r="S425" s="57" t="s">
        <v>8</v>
      </c>
      <c r="T425" s="56" t="s">
        <v>2063</v>
      </c>
    </row>
    <row r="426" spans="1:20">
      <c r="A426" s="55">
        <v>125864492262</v>
      </c>
      <c r="B426" s="53" t="s">
        <v>2055</v>
      </c>
      <c r="C426" s="54">
        <v>45911</v>
      </c>
      <c r="D426" s="55">
        <v>50132427769</v>
      </c>
      <c r="E426" s="55">
        <v>2067992034180</v>
      </c>
      <c r="F426" s="56" t="s">
        <v>2056</v>
      </c>
      <c r="G426" s="56" t="s">
        <v>2057</v>
      </c>
      <c r="H426" s="56" t="s">
        <v>8</v>
      </c>
      <c r="I426" s="55" t="s">
        <v>8</v>
      </c>
      <c r="J426" s="57">
        <v>138.71</v>
      </c>
      <c r="K426" s="56" t="s">
        <v>2058</v>
      </c>
      <c r="L426" s="56" t="s">
        <v>2059</v>
      </c>
      <c r="M426" s="55" t="s">
        <v>2060</v>
      </c>
      <c r="N426" s="56" t="s">
        <v>2061</v>
      </c>
      <c r="O426" s="53" t="s">
        <v>8</v>
      </c>
      <c r="P426" s="56" t="s">
        <v>2251</v>
      </c>
      <c r="Q426" s="57">
        <v>14300</v>
      </c>
      <c r="R426" s="58" t="s">
        <v>8</v>
      </c>
      <c r="S426" s="57" t="s">
        <v>8</v>
      </c>
      <c r="T426" s="56" t="s">
        <v>2063</v>
      </c>
    </row>
    <row r="427" spans="1:20">
      <c r="A427" s="55">
        <v>125864705876</v>
      </c>
      <c r="B427" s="53" t="s">
        <v>2055</v>
      </c>
      <c r="C427" s="54">
        <v>45911</v>
      </c>
      <c r="D427" s="55">
        <v>50132550742</v>
      </c>
      <c r="E427" s="55">
        <v>2067994729904</v>
      </c>
      <c r="F427" s="56" t="s">
        <v>2066</v>
      </c>
      <c r="G427" s="56" t="s">
        <v>2057</v>
      </c>
      <c r="H427" s="56" t="s">
        <v>8</v>
      </c>
      <c r="I427" s="55" t="s">
        <v>8</v>
      </c>
      <c r="J427" s="57">
        <v>337.98</v>
      </c>
      <c r="K427" s="56" t="s">
        <v>2058</v>
      </c>
      <c r="L427" s="56" t="s">
        <v>2067</v>
      </c>
      <c r="M427" s="55" t="s">
        <v>2060</v>
      </c>
      <c r="N427" s="56" t="s">
        <v>2061</v>
      </c>
      <c r="O427" s="53" t="s">
        <v>1790</v>
      </c>
      <c r="P427" s="56" t="s">
        <v>2068</v>
      </c>
      <c r="Q427" s="57">
        <v>8600</v>
      </c>
      <c r="R427" s="58" t="s">
        <v>8</v>
      </c>
      <c r="S427" s="57" t="s">
        <v>8</v>
      </c>
      <c r="T427" s="56" t="s">
        <v>2063</v>
      </c>
    </row>
    <row r="428" spans="1:20">
      <c r="A428" s="55">
        <v>125864911030</v>
      </c>
      <c r="B428" s="53" t="s">
        <v>2055</v>
      </c>
      <c r="C428" s="54">
        <v>45911</v>
      </c>
      <c r="D428" s="55">
        <v>50132624558</v>
      </c>
      <c r="E428" s="55">
        <v>2067995841814</v>
      </c>
      <c r="F428" s="56" t="s">
        <v>2056</v>
      </c>
      <c r="G428" s="56" t="s">
        <v>2057</v>
      </c>
      <c r="H428" s="56" t="s">
        <v>8</v>
      </c>
      <c r="I428" s="55" t="s">
        <v>8</v>
      </c>
      <c r="J428" s="57">
        <v>173.63</v>
      </c>
      <c r="K428" s="56" t="s">
        <v>2058</v>
      </c>
      <c r="L428" s="56" t="s">
        <v>2059</v>
      </c>
      <c r="M428" s="55" t="s">
        <v>2060</v>
      </c>
      <c r="N428" s="56" t="s">
        <v>2061</v>
      </c>
      <c r="O428" s="53" t="s">
        <v>8</v>
      </c>
      <c r="P428" s="56" t="s">
        <v>2261</v>
      </c>
      <c r="Q428" s="57">
        <v>17900</v>
      </c>
      <c r="R428" s="58" t="s">
        <v>8</v>
      </c>
      <c r="S428" s="57" t="s">
        <v>8</v>
      </c>
      <c r="T428" s="56" t="s">
        <v>2063</v>
      </c>
    </row>
    <row r="429" spans="1:20">
      <c r="A429" s="55">
        <v>125315241639</v>
      </c>
      <c r="B429" s="53" t="s">
        <v>2055</v>
      </c>
      <c r="C429" s="54">
        <v>45911</v>
      </c>
      <c r="D429" s="55">
        <v>50132665466</v>
      </c>
      <c r="E429" s="55">
        <v>2067996877766</v>
      </c>
      <c r="F429" s="56" t="s">
        <v>2056</v>
      </c>
      <c r="G429" s="56" t="s">
        <v>2057</v>
      </c>
      <c r="H429" s="56" t="s">
        <v>8</v>
      </c>
      <c r="I429" s="55" t="s">
        <v>8</v>
      </c>
      <c r="J429" s="57">
        <v>271.60000000000002</v>
      </c>
      <c r="K429" s="56" t="s">
        <v>2058</v>
      </c>
      <c r="L429" s="56" t="s">
        <v>2059</v>
      </c>
      <c r="M429" s="55" t="s">
        <v>2060</v>
      </c>
      <c r="N429" s="56" t="s">
        <v>2061</v>
      </c>
      <c r="O429" s="53" t="s">
        <v>8</v>
      </c>
      <c r="P429" s="56" t="s">
        <v>2262</v>
      </c>
      <c r="Q429" s="57">
        <v>28000</v>
      </c>
      <c r="R429" s="58" t="s">
        <v>8</v>
      </c>
      <c r="S429" s="57" t="s">
        <v>8</v>
      </c>
      <c r="T429" s="56" t="s">
        <v>2063</v>
      </c>
    </row>
    <row r="430" spans="1:20">
      <c r="A430" s="55">
        <v>125315415565</v>
      </c>
      <c r="B430" s="53" t="s">
        <v>2055</v>
      </c>
      <c r="C430" s="54">
        <v>45911</v>
      </c>
      <c r="D430" s="55">
        <v>50132718934</v>
      </c>
      <c r="E430" s="55">
        <v>2067953756317</v>
      </c>
      <c r="F430" s="56" t="s">
        <v>2056</v>
      </c>
      <c r="G430" s="56" t="s">
        <v>2057</v>
      </c>
      <c r="H430" s="56" t="s">
        <v>8</v>
      </c>
      <c r="I430" s="55" t="s">
        <v>8</v>
      </c>
      <c r="J430" s="57">
        <v>545.14</v>
      </c>
      <c r="K430" s="56" t="s">
        <v>2058</v>
      </c>
      <c r="L430" s="56" t="s">
        <v>2059</v>
      </c>
      <c r="M430" s="55" t="s">
        <v>2060</v>
      </c>
      <c r="N430" s="56" t="s">
        <v>2061</v>
      </c>
      <c r="O430" s="53" t="s">
        <v>8</v>
      </c>
      <c r="P430" s="56" t="s">
        <v>2263</v>
      </c>
      <c r="Q430" s="57">
        <v>56200</v>
      </c>
      <c r="R430" s="58" t="s">
        <v>8</v>
      </c>
      <c r="S430" s="57" t="s">
        <v>8</v>
      </c>
      <c r="T430" s="56" t="s">
        <v>2063</v>
      </c>
    </row>
    <row r="431" spans="1:20">
      <c r="A431" s="55">
        <v>125315401565</v>
      </c>
      <c r="B431" s="53" t="s">
        <v>2055</v>
      </c>
      <c r="C431" s="54">
        <v>45911</v>
      </c>
      <c r="D431" s="55">
        <v>50132745158</v>
      </c>
      <c r="E431" s="55">
        <v>2067998058820</v>
      </c>
      <c r="F431" s="56" t="s">
        <v>2066</v>
      </c>
      <c r="G431" s="56" t="s">
        <v>2057</v>
      </c>
      <c r="H431" s="56" t="s">
        <v>8</v>
      </c>
      <c r="I431" s="55" t="s">
        <v>8</v>
      </c>
      <c r="J431" s="57">
        <v>390.44</v>
      </c>
      <c r="K431" s="56" t="s">
        <v>2058</v>
      </c>
      <c r="L431" s="56" t="s">
        <v>2067</v>
      </c>
      <c r="M431" s="55" t="s">
        <v>2060</v>
      </c>
      <c r="N431" s="56" t="s">
        <v>2061</v>
      </c>
      <c r="O431" s="53" t="s">
        <v>1790</v>
      </c>
      <c r="P431" s="56" t="s">
        <v>2068</v>
      </c>
      <c r="Q431" s="57">
        <v>8600</v>
      </c>
      <c r="R431" s="58" t="s">
        <v>8</v>
      </c>
      <c r="S431" s="57" t="s">
        <v>8</v>
      </c>
      <c r="T431" s="56" t="s">
        <v>2063</v>
      </c>
    </row>
    <row r="432" spans="1:20">
      <c r="A432" s="55">
        <v>125315541627</v>
      </c>
      <c r="B432" s="53" t="s">
        <v>2055</v>
      </c>
      <c r="C432" s="54">
        <v>45911</v>
      </c>
      <c r="D432" s="55">
        <v>50132778314</v>
      </c>
      <c r="E432" s="55">
        <v>2067998856796</v>
      </c>
      <c r="F432" s="56" t="s">
        <v>2056</v>
      </c>
      <c r="G432" s="56" t="s">
        <v>2057</v>
      </c>
      <c r="H432" s="56" t="s">
        <v>8</v>
      </c>
      <c r="I432" s="55" t="s">
        <v>8</v>
      </c>
      <c r="J432" s="57">
        <v>124.16</v>
      </c>
      <c r="K432" s="56" t="s">
        <v>2058</v>
      </c>
      <c r="L432" s="56" t="s">
        <v>2059</v>
      </c>
      <c r="M432" s="55" t="s">
        <v>2060</v>
      </c>
      <c r="N432" s="56" t="s">
        <v>2061</v>
      </c>
      <c r="O432" s="53" t="s">
        <v>8</v>
      </c>
      <c r="P432" s="56" t="s">
        <v>2264</v>
      </c>
      <c r="Q432" s="57">
        <v>12800</v>
      </c>
      <c r="R432" s="58" t="s">
        <v>8</v>
      </c>
      <c r="S432" s="57" t="s">
        <v>8</v>
      </c>
      <c r="T432" s="56" t="s">
        <v>2063</v>
      </c>
    </row>
    <row r="433" spans="1:20">
      <c r="A433" s="55">
        <v>125865477358</v>
      </c>
      <c r="B433" s="53" t="s">
        <v>2055</v>
      </c>
      <c r="C433" s="54">
        <v>45911</v>
      </c>
      <c r="D433" s="55">
        <v>50132882596</v>
      </c>
      <c r="E433" s="55">
        <v>2067956162417</v>
      </c>
      <c r="F433" s="56" t="s">
        <v>2069</v>
      </c>
      <c r="G433" s="56" t="s">
        <v>2057</v>
      </c>
      <c r="H433" s="56" t="s">
        <v>8</v>
      </c>
      <c r="I433" s="55" t="s">
        <v>8</v>
      </c>
      <c r="J433" s="57">
        <v>151.32</v>
      </c>
      <c r="K433" s="56" t="s">
        <v>2058</v>
      </c>
      <c r="L433" s="56" t="s">
        <v>2059</v>
      </c>
      <c r="M433" s="55" t="s">
        <v>2060</v>
      </c>
      <c r="N433" s="56" t="s">
        <v>2061</v>
      </c>
      <c r="O433" s="53" t="s">
        <v>8</v>
      </c>
      <c r="P433" s="56" t="s">
        <v>2070</v>
      </c>
      <c r="Q433" s="57">
        <v>15600</v>
      </c>
      <c r="R433" s="58" t="s">
        <v>8</v>
      </c>
      <c r="S433" s="57" t="s">
        <v>8</v>
      </c>
      <c r="T433" s="56" t="s">
        <v>8</v>
      </c>
    </row>
    <row r="434" spans="1:20">
      <c r="A434" s="55">
        <v>125865630514</v>
      </c>
      <c r="B434" s="53" t="s">
        <v>2055</v>
      </c>
      <c r="C434" s="54">
        <v>45911</v>
      </c>
      <c r="D434" s="55">
        <v>50132935249</v>
      </c>
      <c r="E434" s="55">
        <v>2068000918126</v>
      </c>
      <c r="F434" s="56" t="s">
        <v>2056</v>
      </c>
      <c r="G434" s="56" t="s">
        <v>2057</v>
      </c>
      <c r="H434" s="56" t="s">
        <v>8</v>
      </c>
      <c r="I434" s="55" t="s">
        <v>8</v>
      </c>
      <c r="J434" s="57">
        <v>67.900000000000006</v>
      </c>
      <c r="K434" s="56" t="s">
        <v>2058</v>
      </c>
      <c r="L434" s="56" t="s">
        <v>2059</v>
      </c>
      <c r="M434" s="55" t="s">
        <v>2060</v>
      </c>
      <c r="N434" s="56" t="s">
        <v>2061</v>
      </c>
      <c r="O434" s="53" t="s">
        <v>8</v>
      </c>
      <c r="P434" s="56" t="s">
        <v>2265</v>
      </c>
      <c r="Q434" s="57">
        <v>7000</v>
      </c>
      <c r="R434" s="58" t="s">
        <v>8</v>
      </c>
      <c r="S434" s="57" t="s">
        <v>8</v>
      </c>
      <c r="T434" s="56" t="s">
        <v>2063</v>
      </c>
    </row>
    <row r="435" spans="1:20">
      <c r="A435" s="55">
        <v>125865890526</v>
      </c>
      <c r="B435" s="53" t="s">
        <v>2055</v>
      </c>
      <c r="C435" s="54">
        <v>45912</v>
      </c>
      <c r="D435" s="55">
        <v>50133075176</v>
      </c>
      <c r="E435" s="55">
        <v>2067958456419</v>
      </c>
      <c r="F435" s="56" t="s">
        <v>2069</v>
      </c>
      <c r="G435" s="56" t="s">
        <v>2057</v>
      </c>
      <c r="H435" s="56" t="s">
        <v>8</v>
      </c>
      <c r="I435" s="55" t="s">
        <v>8</v>
      </c>
      <c r="J435" s="57">
        <v>162.96</v>
      </c>
      <c r="K435" s="56" t="s">
        <v>2058</v>
      </c>
      <c r="L435" s="56" t="s">
        <v>2059</v>
      </c>
      <c r="M435" s="55" t="s">
        <v>2060</v>
      </c>
      <c r="N435" s="56" t="s">
        <v>2061</v>
      </c>
      <c r="O435" s="53" t="s">
        <v>8</v>
      </c>
      <c r="P435" s="56" t="s">
        <v>2070</v>
      </c>
      <c r="Q435" s="57">
        <v>16800</v>
      </c>
      <c r="R435" s="58" t="s">
        <v>8</v>
      </c>
      <c r="S435" s="57" t="s">
        <v>8</v>
      </c>
      <c r="T435" s="56" t="s">
        <v>8</v>
      </c>
    </row>
    <row r="436" spans="1:20">
      <c r="A436" s="55">
        <v>125866469482</v>
      </c>
      <c r="B436" s="53" t="s">
        <v>2055</v>
      </c>
      <c r="C436" s="54">
        <v>45912</v>
      </c>
      <c r="D436" s="55">
        <v>50133389348</v>
      </c>
      <c r="E436" s="55">
        <v>2068007065860</v>
      </c>
      <c r="F436" s="56" t="s">
        <v>2056</v>
      </c>
      <c r="G436" s="56" t="s">
        <v>2057</v>
      </c>
      <c r="H436" s="56" t="s">
        <v>8</v>
      </c>
      <c r="I436" s="55" t="s">
        <v>8</v>
      </c>
      <c r="J436" s="57">
        <v>134.83000000000001</v>
      </c>
      <c r="K436" s="56" t="s">
        <v>2058</v>
      </c>
      <c r="L436" s="56" t="s">
        <v>2059</v>
      </c>
      <c r="M436" s="55" t="s">
        <v>2060</v>
      </c>
      <c r="N436" s="56" t="s">
        <v>2061</v>
      </c>
      <c r="O436" s="53" t="s">
        <v>8</v>
      </c>
      <c r="P436" s="56" t="s">
        <v>2266</v>
      </c>
      <c r="Q436" s="57">
        <v>13900</v>
      </c>
      <c r="R436" s="58" t="s">
        <v>8</v>
      </c>
      <c r="S436" s="57" t="s">
        <v>8</v>
      </c>
      <c r="T436" s="56" t="s">
        <v>2063</v>
      </c>
    </row>
    <row r="437" spans="1:20">
      <c r="A437" s="55">
        <v>125316809887</v>
      </c>
      <c r="B437" s="53" t="s">
        <v>2055</v>
      </c>
      <c r="C437" s="54">
        <v>45912</v>
      </c>
      <c r="D437" s="55">
        <v>50133465589</v>
      </c>
      <c r="E437" s="55">
        <v>2067963707903</v>
      </c>
      <c r="F437" s="56" t="s">
        <v>2069</v>
      </c>
      <c r="G437" s="56" t="s">
        <v>2057</v>
      </c>
      <c r="H437" s="56" t="s">
        <v>8</v>
      </c>
      <c r="I437" s="55" t="s">
        <v>8</v>
      </c>
      <c r="J437" s="57">
        <v>83.42</v>
      </c>
      <c r="K437" s="56" t="s">
        <v>2058</v>
      </c>
      <c r="L437" s="56" t="s">
        <v>2059</v>
      </c>
      <c r="M437" s="55" t="s">
        <v>2060</v>
      </c>
      <c r="N437" s="56" t="s">
        <v>2061</v>
      </c>
      <c r="O437" s="53" t="s">
        <v>8</v>
      </c>
      <c r="P437" s="56" t="s">
        <v>2070</v>
      </c>
      <c r="Q437" s="57">
        <v>8600</v>
      </c>
      <c r="R437" s="58" t="s">
        <v>8</v>
      </c>
      <c r="S437" s="57" t="s">
        <v>8</v>
      </c>
      <c r="T437" s="56" t="s">
        <v>8</v>
      </c>
    </row>
    <row r="438" spans="1:20">
      <c r="A438" s="55">
        <v>125317118715</v>
      </c>
      <c r="B438" s="53" t="s">
        <v>2055</v>
      </c>
      <c r="C438" s="54">
        <v>45912</v>
      </c>
      <c r="D438" s="55">
        <v>50133575867</v>
      </c>
      <c r="E438" s="55">
        <v>2067965255085</v>
      </c>
      <c r="F438" s="56" t="s">
        <v>2056</v>
      </c>
      <c r="G438" s="56" t="s">
        <v>2057</v>
      </c>
      <c r="H438" s="56" t="s">
        <v>8</v>
      </c>
      <c r="I438" s="55" t="s">
        <v>8</v>
      </c>
      <c r="J438" s="57">
        <v>37.83</v>
      </c>
      <c r="K438" s="56" t="s">
        <v>2058</v>
      </c>
      <c r="L438" s="56" t="s">
        <v>2059</v>
      </c>
      <c r="M438" s="55" t="s">
        <v>2060</v>
      </c>
      <c r="N438" s="56" t="s">
        <v>2061</v>
      </c>
      <c r="O438" s="53" t="s">
        <v>8</v>
      </c>
      <c r="P438" s="56" t="s">
        <v>2267</v>
      </c>
      <c r="Q438" s="57">
        <v>3900</v>
      </c>
      <c r="R438" s="58" t="s">
        <v>8</v>
      </c>
      <c r="S438" s="57" t="s">
        <v>8</v>
      </c>
      <c r="T438" s="56" t="s">
        <v>2063</v>
      </c>
    </row>
    <row r="439" spans="1:20">
      <c r="A439" s="55">
        <v>125317119521</v>
      </c>
      <c r="B439" s="53" t="s">
        <v>2055</v>
      </c>
      <c r="C439" s="54">
        <v>45912</v>
      </c>
      <c r="D439" s="55">
        <v>50133581196</v>
      </c>
      <c r="E439" s="55">
        <v>2068009889738</v>
      </c>
      <c r="F439" s="56" t="s">
        <v>2056</v>
      </c>
      <c r="G439" s="56" t="s">
        <v>2057</v>
      </c>
      <c r="H439" s="56" t="s">
        <v>8</v>
      </c>
      <c r="I439" s="55" t="s">
        <v>8</v>
      </c>
      <c r="J439" s="57">
        <v>591.69000000000005</v>
      </c>
      <c r="K439" s="56" t="s">
        <v>2058</v>
      </c>
      <c r="L439" s="56" t="s">
        <v>2059</v>
      </c>
      <c r="M439" s="55" t="s">
        <v>2060</v>
      </c>
      <c r="N439" s="56" t="s">
        <v>2061</v>
      </c>
      <c r="O439" s="53" t="s">
        <v>8</v>
      </c>
      <c r="P439" s="56" t="s">
        <v>2207</v>
      </c>
      <c r="Q439" s="57">
        <v>36300</v>
      </c>
      <c r="R439" s="58" t="s">
        <v>8</v>
      </c>
      <c r="S439" s="57" t="s">
        <v>8</v>
      </c>
      <c r="T439" s="56" t="s">
        <v>2063</v>
      </c>
    </row>
    <row r="440" spans="1:20">
      <c r="A440" s="55">
        <v>125317739121</v>
      </c>
      <c r="B440" s="53" t="s">
        <v>2055</v>
      </c>
      <c r="C440" s="54">
        <v>45912</v>
      </c>
      <c r="D440" s="55">
        <v>50133832643</v>
      </c>
      <c r="E440" s="55">
        <v>2068014462910</v>
      </c>
      <c r="F440" s="56" t="s">
        <v>2069</v>
      </c>
      <c r="G440" s="56" t="s">
        <v>2057</v>
      </c>
      <c r="H440" s="56" t="s">
        <v>8</v>
      </c>
      <c r="I440" s="55" t="s">
        <v>8</v>
      </c>
      <c r="J440" s="57">
        <v>41.71</v>
      </c>
      <c r="K440" s="56" t="s">
        <v>2058</v>
      </c>
      <c r="L440" s="56" t="s">
        <v>2059</v>
      </c>
      <c r="M440" s="55" t="s">
        <v>2060</v>
      </c>
      <c r="N440" s="56" t="s">
        <v>2061</v>
      </c>
      <c r="O440" s="53" t="s">
        <v>8</v>
      </c>
      <c r="P440" s="56" t="s">
        <v>2070</v>
      </c>
      <c r="Q440" s="57">
        <v>4300</v>
      </c>
      <c r="R440" s="58" t="s">
        <v>8</v>
      </c>
      <c r="S440" s="57" t="s">
        <v>8</v>
      </c>
      <c r="T440" s="56" t="s">
        <v>8</v>
      </c>
    </row>
    <row r="441" spans="1:20">
      <c r="A441" s="55">
        <v>125867689614</v>
      </c>
      <c r="B441" s="53" t="s">
        <v>2055</v>
      </c>
      <c r="C441" s="54">
        <v>45912</v>
      </c>
      <c r="D441" s="55">
        <v>50133934074</v>
      </c>
      <c r="E441" s="55">
        <v>2068016471244</v>
      </c>
      <c r="F441" s="56" t="s">
        <v>2056</v>
      </c>
      <c r="G441" s="56" t="s">
        <v>2057</v>
      </c>
      <c r="H441" s="56" t="s">
        <v>8</v>
      </c>
      <c r="I441" s="55" t="s">
        <v>8</v>
      </c>
      <c r="J441" s="57">
        <v>285.18</v>
      </c>
      <c r="K441" s="56" t="s">
        <v>2058</v>
      </c>
      <c r="L441" s="56" t="s">
        <v>2059</v>
      </c>
      <c r="M441" s="55" t="s">
        <v>2060</v>
      </c>
      <c r="N441" s="56" t="s">
        <v>2061</v>
      </c>
      <c r="O441" s="53" t="s">
        <v>8</v>
      </c>
      <c r="P441" s="56" t="s">
        <v>2268</v>
      </c>
      <c r="Q441" s="57">
        <v>29400</v>
      </c>
      <c r="R441" s="58" t="s">
        <v>8</v>
      </c>
      <c r="S441" s="57" t="s">
        <v>8</v>
      </c>
      <c r="T441" s="56" t="s">
        <v>2063</v>
      </c>
    </row>
    <row r="442" spans="1:20">
      <c r="A442" s="55">
        <v>125318140511</v>
      </c>
      <c r="B442" s="53" t="s">
        <v>2055</v>
      </c>
      <c r="C442" s="54">
        <v>45912</v>
      </c>
      <c r="D442" s="55">
        <v>50133996260</v>
      </c>
      <c r="E442" s="55">
        <v>2068017509672</v>
      </c>
      <c r="F442" s="56" t="s">
        <v>2056</v>
      </c>
      <c r="G442" s="56" t="s">
        <v>2057</v>
      </c>
      <c r="H442" s="56" t="s">
        <v>8</v>
      </c>
      <c r="I442" s="55" t="s">
        <v>8</v>
      </c>
      <c r="J442" s="57">
        <v>145.5</v>
      </c>
      <c r="K442" s="56" t="s">
        <v>2058</v>
      </c>
      <c r="L442" s="56" t="s">
        <v>2059</v>
      </c>
      <c r="M442" s="55" t="s">
        <v>2060</v>
      </c>
      <c r="N442" s="56" t="s">
        <v>2061</v>
      </c>
      <c r="O442" s="53" t="s">
        <v>8</v>
      </c>
      <c r="P442" s="56" t="s">
        <v>2269</v>
      </c>
      <c r="Q442" s="57">
        <v>15000</v>
      </c>
      <c r="R442" s="58" t="s">
        <v>8</v>
      </c>
      <c r="S442" s="57" t="s">
        <v>8</v>
      </c>
      <c r="T442" s="56" t="s">
        <v>2063</v>
      </c>
    </row>
    <row r="443" spans="1:20">
      <c r="A443" s="55">
        <v>125318227505</v>
      </c>
      <c r="B443" s="53" t="s">
        <v>2055</v>
      </c>
      <c r="C443" s="54">
        <v>45912</v>
      </c>
      <c r="D443" s="55">
        <v>50134052012</v>
      </c>
      <c r="E443" s="55">
        <v>2067974918891</v>
      </c>
      <c r="F443" s="56" t="s">
        <v>2069</v>
      </c>
      <c r="G443" s="56" t="s">
        <v>2057</v>
      </c>
      <c r="H443" s="56" t="s">
        <v>8</v>
      </c>
      <c r="I443" s="55" t="s">
        <v>8</v>
      </c>
      <c r="J443" s="57">
        <v>83.42</v>
      </c>
      <c r="K443" s="56" t="s">
        <v>2058</v>
      </c>
      <c r="L443" s="56" t="s">
        <v>2059</v>
      </c>
      <c r="M443" s="55" t="s">
        <v>2060</v>
      </c>
      <c r="N443" s="56" t="s">
        <v>2061</v>
      </c>
      <c r="O443" s="53" t="s">
        <v>8</v>
      </c>
      <c r="P443" s="56" t="s">
        <v>2070</v>
      </c>
      <c r="Q443" s="57">
        <v>8600</v>
      </c>
      <c r="R443" s="58" t="s">
        <v>8</v>
      </c>
      <c r="S443" s="57" t="s">
        <v>8</v>
      </c>
      <c r="T443" s="56" t="s">
        <v>8</v>
      </c>
    </row>
    <row r="444" spans="1:20">
      <c r="A444" s="55">
        <v>125868254842</v>
      </c>
      <c r="B444" s="53" t="s">
        <v>2055</v>
      </c>
      <c r="C444" s="54">
        <v>45912</v>
      </c>
      <c r="D444" s="55">
        <v>50134123578</v>
      </c>
      <c r="E444" s="55">
        <v>2068020950724</v>
      </c>
      <c r="F444" s="56" t="s">
        <v>2056</v>
      </c>
      <c r="G444" s="56" t="s">
        <v>2057</v>
      </c>
      <c r="H444" s="56" t="s">
        <v>8</v>
      </c>
      <c r="I444" s="55" t="s">
        <v>8</v>
      </c>
      <c r="J444" s="57">
        <v>83.42</v>
      </c>
      <c r="K444" s="56" t="s">
        <v>2058</v>
      </c>
      <c r="L444" s="56" t="s">
        <v>2059</v>
      </c>
      <c r="M444" s="55" t="s">
        <v>2060</v>
      </c>
      <c r="N444" s="56" t="s">
        <v>2061</v>
      </c>
      <c r="O444" s="53" t="s">
        <v>8</v>
      </c>
      <c r="P444" s="56" t="s">
        <v>2270</v>
      </c>
      <c r="Q444" s="57">
        <v>8600</v>
      </c>
      <c r="R444" s="58" t="s">
        <v>8</v>
      </c>
      <c r="S444" s="57" t="s">
        <v>8</v>
      </c>
      <c r="T444" s="56" t="s">
        <v>2063</v>
      </c>
    </row>
    <row r="445" spans="1:20">
      <c r="A445" s="55">
        <v>125318560667</v>
      </c>
      <c r="B445" s="53" t="s">
        <v>2055</v>
      </c>
      <c r="C445" s="54">
        <v>45912</v>
      </c>
      <c r="D445" s="55">
        <v>50134167105</v>
      </c>
      <c r="E445" s="55">
        <v>2067977230905</v>
      </c>
      <c r="F445" s="56" t="s">
        <v>2069</v>
      </c>
      <c r="G445" s="56" t="s">
        <v>2057</v>
      </c>
      <c r="H445" s="56" t="s">
        <v>8</v>
      </c>
      <c r="I445" s="55" t="s">
        <v>8</v>
      </c>
      <c r="J445" s="57">
        <v>297.79000000000002</v>
      </c>
      <c r="K445" s="56" t="s">
        <v>2058</v>
      </c>
      <c r="L445" s="56" t="s">
        <v>2059</v>
      </c>
      <c r="M445" s="55" t="s">
        <v>2060</v>
      </c>
      <c r="N445" s="56" t="s">
        <v>2061</v>
      </c>
      <c r="O445" s="53" t="s">
        <v>8</v>
      </c>
      <c r="P445" s="56" t="s">
        <v>2070</v>
      </c>
      <c r="Q445" s="57">
        <v>30700</v>
      </c>
      <c r="R445" s="58" t="s">
        <v>8</v>
      </c>
      <c r="S445" s="57" t="s">
        <v>8</v>
      </c>
      <c r="T445" s="56" t="s">
        <v>8</v>
      </c>
    </row>
    <row r="446" spans="1:20">
      <c r="A446" s="55">
        <v>125868559084</v>
      </c>
      <c r="B446" s="53" t="s">
        <v>2055</v>
      </c>
      <c r="C446" s="54">
        <v>45912</v>
      </c>
      <c r="D446" s="55">
        <v>50134294457</v>
      </c>
      <c r="E446" s="55">
        <v>2068024045048</v>
      </c>
      <c r="F446" s="56" t="s">
        <v>2056</v>
      </c>
      <c r="G446" s="56" t="s">
        <v>2057</v>
      </c>
      <c r="H446" s="56" t="s">
        <v>8</v>
      </c>
      <c r="I446" s="55" t="s">
        <v>8</v>
      </c>
      <c r="J446" s="57">
        <v>372.48</v>
      </c>
      <c r="K446" s="56" t="s">
        <v>2058</v>
      </c>
      <c r="L446" s="56" t="s">
        <v>2059</v>
      </c>
      <c r="M446" s="55" t="s">
        <v>2060</v>
      </c>
      <c r="N446" s="56" t="s">
        <v>2061</v>
      </c>
      <c r="O446" s="53" t="s">
        <v>8</v>
      </c>
      <c r="P446" s="56" t="s">
        <v>2246</v>
      </c>
      <c r="Q446" s="57">
        <v>38400</v>
      </c>
      <c r="R446" s="58" t="s">
        <v>8</v>
      </c>
      <c r="S446" s="57" t="s">
        <v>8</v>
      </c>
      <c r="T446" s="56" t="s">
        <v>2063</v>
      </c>
    </row>
    <row r="447" spans="1:20">
      <c r="A447" s="55">
        <v>125318831565</v>
      </c>
      <c r="B447" s="53" t="s">
        <v>2055</v>
      </c>
      <c r="C447" s="54">
        <v>45912</v>
      </c>
      <c r="D447" s="55">
        <v>50134303667</v>
      </c>
      <c r="E447" s="55">
        <v>2068024985562</v>
      </c>
      <c r="F447" s="56" t="s">
        <v>2056</v>
      </c>
      <c r="G447" s="56" t="s">
        <v>2057</v>
      </c>
      <c r="H447" s="56" t="s">
        <v>8</v>
      </c>
      <c r="I447" s="55" t="s">
        <v>8</v>
      </c>
      <c r="J447" s="57">
        <v>165.87</v>
      </c>
      <c r="K447" s="56" t="s">
        <v>2058</v>
      </c>
      <c r="L447" s="56" t="s">
        <v>2059</v>
      </c>
      <c r="M447" s="55" t="s">
        <v>2060</v>
      </c>
      <c r="N447" s="56" t="s">
        <v>2061</v>
      </c>
      <c r="O447" s="53" t="s">
        <v>8</v>
      </c>
      <c r="P447" s="56" t="s">
        <v>2255</v>
      </c>
      <c r="Q447" s="57">
        <v>17100</v>
      </c>
      <c r="R447" s="58" t="s">
        <v>8</v>
      </c>
      <c r="S447" s="57" t="s">
        <v>8</v>
      </c>
      <c r="T447" s="56" t="s">
        <v>2063</v>
      </c>
    </row>
    <row r="448" spans="1:20">
      <c r="A448" s="55">
        <v>125319036607</v>
      </c>
      <c r="B448" s="53" t="s">
        <v>2055</v>
      </c>
      <c r="C448" s="54">
        <v>45912</v>
      </c>
      <c r="D448" s="55">
        <v>50134332223</v>
      </c>
      <c r="E448" s="55">
        <v>2068025525362</v>
      </c>
      <c r="F448" s="56" t="s">
        <v>2056</v>
      </c>
      <c r="G448" s="56" t="s">
        <v>2057</v>
      </c>
      <c r="H448" s="56" t="s">
        <v>8</v>
      </c>
      <c r="I448" s="55" t="s">
        <v>8</v>
      </c>
      <c r="J448" s="57">
        <v>125.13</v>
      </c>
      <c r="K448" s="56" t="s">
        <v>2058</v>
      </c>
      <c r="L448" s="56" t="s">
        <v>2059</v>
      </c>
      <c r="M448" s="55" t="s">
        <v>2060</v>
      </c>
      <c r="N448" s="56" t="s">
        <v>2061</v>
      </c>
      <c r="O448" s="53" t="s">
        <v>8</v>
      </c>
      <c r="P448" s="56" t="s">
        <v>2271</v>
      </c>
      <c r="Q448" s="57">
        <v>12900</v>
      </c>
      <c r="R448" s="58" t="s">
        <v>8</v>
      </c>
      <c r="S448" s="57" t="s">
        <v>8</v>
      </c>
      <c r="T448" s="56" t="s">
        <v>2063</v>
      </c>
    </row>
    <row r="449" spans="1:20">
      <c r="A449" s="55">
        <v>125319017341</v>
      </c>
      <c r="B449" s="53" t="s">
        <v>2055</v>
      </c>
      <c r="C449" s="54">
        <v>45912</v>
      </c>
      <c r="D449" s="55">
        <v>50134362528</v>
      </c>
      <c r="E449" s="55">
        <v>2068026426014</v>
      </c>
      <c r="F449" s="56" t="s">
        <v>2056</v>
      </c>
      <c r="G449" s="56" t="s">
        <v>2057</v>
      </c>
      <c r="H449" s="56" t="s">
        <v>8</v>
      </c>
      <c r="I449" s="55" t="s">
        <v>8</v>
      </c>
      <c r="J449" s="57">
        <v>179.45</v>
      </c>
      <c r="K449" s="56" t="s">
        <v>2058</v>
      </c>
      <c r="L449" s="56" t="s">
        <v>2059</v>
      </c>
      <c r="M449" s="55" t="s">
        <v>2060</v>
      </c>
      <c r="N449" s="56" t="s">
        <v>2061</v>
      </c>
      <c r="O449" s="53" t="s">
        <v>8</v>
      </c>
      <c r="P449" s="56" t="s">
        <v>2272</v>
      </c>
      <c r="Q449" s="57">
        <v>18500</v>
      </c>
      <c r="R449" s="58" t="s">
        <v>8</v>
      </c>
      <c r="S449" s="57" t="s">
        <v>8</v>
      </c>
      <c r="T449" s="56" t="s">
        <v>2063</v>
      </c>
    </row>
    <row r="450" spans="1:20">
      <c r="A450" s="55">
        <v>125869092878</v>
      </c>
      <c r="B450" s="53" t="s">
        <v>2055</v>
      </c>
      <c r="C450" s="54">
        <v>45912</v>
      </c>
      <c r="D450" s="55">
        <v>50134474605</v>
      </c>
      <c r="E450" s="55">
        <v>2068028930766</v>
      </c>
      <c r="F450" s="56" t="s">
        <v>2056</v>
      </c>
      <c r="G450" s="56" t="s">
        <v>2057</v>
      </c>
      <c r="H450" s="56" t="s">
        <v>8</v>
      </c>
      <c r="I450" s="55" t="s">
        <v>8</v>
      </c>
      <c r="J450" s="57">
        <v>654.46</v>
      </c>
      <c r="K450" s="56" t="s">
        <v>2058</v>
      </c>
      <c r="L450" s="56" t="s">
        <v>2059</v>
      </c>
      <c r="M450" s="55" t="s">
        <v>2060</v>
      </c>
      <c r="N450" s="56" t="s">
        <v>2061</v>
      </c>
      <c r="O450" s="53" t="s">
        <v>8</v>
      </c>
      <c r="P450" s="56" t="s">
        <v>2273</v>
      </c>
      <c r="Q450" s="57">
        <v>8600</v>
      </c>
      <c r="R450" s="58" t="s">
        <v>8</v>
      </c>
      <c r="S450" s="57" t="s">
        <v>8</v>
      </c>
      <c r="T450" s="56" t="s">
        <v>2063</v>
      </c>
    </row>
    <row r="451" spans="1:20">
      <c r="A451" s="55">
        <v>125869422198</v>
      </c>
      <c r="B451" s="53" t="s">
        <v>2055</v>
      </c>
      <c r="C451" s="54">
        <v>45912</v>
      </c>
      <c r="D451" s="55">
        <v>50134553562</v>
      </c>
      <c r="E451" s="55">
        <v>2068031680604</v>
      </c>
      <c r="F451" s="56" t="s">
        <v>2056</v>
      </c>
      <c r="G451" s="56" t="s">
        <v>2057</v>
      </c>
      <c r="H451" s="56" t="s">
        <v>8</v>
      </c>
      <c r="I451" s="55" t="s">
        <v>8</v>
      </c>
      <c r="J451" s="57">
        <v>788.61</v>
      </c>
      <c r="K451" s="56" t="s">
        <v>2058</v>
      </c>
      <c r="L451" s="56" t="s">
        <v>2059</v>
      </c>
      <c r="M451" s="55" t="s">
        <v>2060</v>
      </c>
      <c r="N451" s="56" t="s">
        <v>2061</v>
      </c>
      <c r="O451" s="53" t="s">
        <v>8</v>
      </c>
      <c r="P451" s="56" t="s">
        <v>2274</v>
      </c>
      <c r="Q451" s="57">
        <v>81300</v>
      </c>
      <c r="R451" s="58" t="s">
        <v>8</v>
      </c>
      <c r="S451" s="57" t="s">
        <v>8</v>
      </c>
      <c r="T451" s="56" t="s">
        <v>2063</v>
      </c>
    </row>
    <row r="452" spans="1:20">
      <c r="A452" s="55">
        <v>125869530502</v>
      </c>
      <c r="B452" s="53" t="s">
        <v>2055</v>
      </c>
      <c r="C452" s="54">
        <v>45912</v>
      </c>
      <c r="D452" s="55">
        <v>50134584142</v>
      </c>
      <c r="E452" s="55">
        <v>2067988867213</v>
      </c>
      <c r="F452" s="56" t="s">
        <v>2069</v>
      </c>
      <c r="G452" s="56" t="s">
        <v>2057</v>
      </c>
      <c r="H452" s="56" t="s">
        <v>8</v>
      </c>
      <c r="I452" s="55" t="s">
        <v>8</v>
      </c>
      <c r="J452" s="57">
        <v>907.92</v>
      </c>
      <c r="K452" s="56" t="s">
        <v>2058</v>
      </c>
      <c r="L452" s="56" t="s">
        <v>2059</v>
      </c>
      <c r="M452" s="55" t="s">
        <v>2060</v>
      </c>
      <c r="N452" s="56" t="s">
        <v>2061</v>
      </c>
      <c r="O452" s="53" t="s">
        <v>8</v>
      </c>
      <c r="P452" s="56" t="s">
        <v>2070</v>
      </c>
      <c r="Q452" s="57">
        <v>93600</v>
      </c>
      <c r="R452" s="58" t="s">
        <v>8</v>
      </c>
      <c r="S452" s="57" t="s">
        <v>8</v>
      </c>
      <c r="T452" s="56" t="s">
        <v>8</v>
      </c>
    </row>
    <row r="453" spans="1:20">
      <c r="A453" s="55">
        <v>125869507316</v>
      </c>
      <c r="B453" s="53" t="s">
        <v>2055</v>
      </c>
      <c r="C453" s="54">
        <v>45912</v>
      </c>
      <c r="D453" s="55">
        <v>50134621885</v>
      </c>
      <c r="E453" s="55">
        <v>2067989994805</v>
      </c>
      <c r="F453" s="56" t="s">
        <v>2069</v>
      </c>
      <c r="G453" s="56" t="s">
        <v>2057</v>
      </c>
      <c r="H453" s="56" t="s">
        <v>8</v>
      </c>
      <c r="I453" s="55" t="s">
        <v>8</v>
      </c>
      <c r="J453" s="57">
        <v>270.63</v>
      </c>
      <c r="K453" s="56" t="s">
        <v>2058</v>
      </c>
      <c r="L453" s="56" t="s">
        <v>2059</v>
      </c>
      <c r="M453" s="55" t="s">
        <v>2060</v>
      </c>
      <c r="N453" s="56" t="s">
        <v>2061</v>
      </c>
      <c r="O453" s="53" t="s">
        <v>8</v>
      </c>
      <c r="P453" s="56" t="s">
        <v>2070</v>
      </c>
      <c r="Q453" s="57">
        <v>27900</v>
      </c>
      <c r="R453" s="58" t="s">
        <v>8</v>
      </c>
      <c r="S453" s="57" t="s">
        <v>8</v>
      </c>
      <c r="T453" s="56" t="s">
        <v>8</v>
      </c>
    </row>
    <row r="454" spans="1:20">
      <c r="A454" s="55">
        <v>125869681610</v>
      </c>
      <c r="B454" s="53" t="s">
        <v>2055</v>
      </c>
      <c r="C454" s="54">
        <v>45912</v>
      </c>
      <c r="D454" s="55">
        <v>50134660787</v>
      </c>
      <c r="E454" s="55">
        <v>2068036180118</v>
      </c>
      <c r="F454" s="56" t="s">
        <v>2069</v>
      </c>
      <c r="G454" s="56" t="s">
        <v>2057</v>
      </c>
      <c r="H454" s="56" t="s">
        <v>8</v>
      </c>
      <c r="I454" s="55" t="s">
        <v>8</v>
      </c>
      <c r="J454" s="57">
        <v>83.42</v>
      </c>
      <c r="K454" s="56" t="s">
        <v>2058</v>
      </c>
      <c r="L454" s="56" t="s">
        <v>2059</v>
      </c>
      <c r="M454" s="55" t="s">
        <v>2060</v>
      </c>
      <c r="N454" s="56" t="s">
        <v>2061</v>
      </c>
      <c r="O454" s="53" t="s">
        <v>8</v>
      </c>
      <c r="P454" s="56" t="s">
        <v>2070</v>
      </c>
      <c r="Q454" s="57">
        <v>8600</v>
      </c>
      <c r="R454" s="58" t="s">
        <v>8</v>
      </c>
      <c r="S454" s="57" t="s">
        <v>8</v>
      </c>
      <c r="T454" s="56" t="s">
        <v>8</v>
      </c>
    </row>
    <row r="455" spans="1:20">
      <c r="A455" s="55">
        <v>125320055657</v>
      </c>
      <c r="B455" s="53" t="s">
        <v>2055</v>
      </c>
      <c r="C455" s="54">
        <v>45912</v>
      </c>
      <c r="D455" s="55">
        <v>50134719257</v>
      </c>
      <c r="E455" s="55">
        <v>2068037283840</v>
      </c>
      <c r="F455" s="56" t="s">
        <v>2066</v>
      </c>
      <c r="G455" s="56" t="s">
        <v>2057</v>
      </c>
      <c r="H455" s="56" t="s">
        <v>8</v>
      </c>
      <c r="I455" s="55" t="s">
        <v>8</v>
      </c>
      <c r="J455" s="57">
        <v>624.02</v>
      </c>
      <c r="K455" s="56" t="s">
        <v>2058</v>
      </c>
      <c r="L455" s="56" t="s">
        <v>2067</v>
      </c>
      <c r="M455" s="55" t="s">
        <v>2060</v>
      </c>
      <c r="N455" s="56" t="s">
        <v>2061</v>
      </c>
      <c r="O455" s="53" t="s">
        <v>1790</v>
      </c>
      <c r="P455" s="56" t="s">
        <v>2068</v>
      </c>
      <c r="Q455" s="57">
        <v>8200</v>
      </c>
      <c r="R455" s="58" t="s">
        <v>8</v>
      </c>
      <c r="S455" s="57" t="s">
        <v>8</v>
      </c>
      <c r="T455" s="56" t="s">
        <v>2063</v>
      </c>
    </row>
    <row r="456" spans="1:20">
      <c r="A456" s="55">
        <v>125320564485</v>
      </c>
      <c r="B456" s="53" t="s">
        <v>2055</v>
      </c>
      <c r="C456" s="54">
        <v>45912</v>
      </c>
      <c r="D456" s="55">
        <v>50134802932</v>
      </c>
      <c r="E456" s="55">
        <v>2067997161141</v>
      </c>
      <c r="F456" s="56" t="s">
        <v>2066</v>
      </c>
      <c r="G456" s="56" t="s">
        <v>2057</v>
      </c>
      <c r="H456" s="56" t="s">
        <v>8</v>
      </c>
      <c r="I456" s="55" t="s">
        <v>8</v>
      </c>
      <c r="J456" s="57">
        <v>380.5</v>
      </c>
      <c r="K456" s="56" t="s">
        <v>2058</v>
      </c>
      <c r="L456" s="56" t="s">
        <v>2067</v>
      </c>
      <c r="M456" s="55" t="s">
        <v>2060</v>
      </c>
      <c r="N456" s="56" t="s">
        <v>2061</v>
      </c>
      <c r="O456" s="53" t="s">
        <v>1790</v>
      </c>
      <c r="P456" s="56" t="s">
        <v>2068</v>
      </c>
      <c r="Q456" s="57">
        <v>5000</v>
      </c>
      <c r="R456" s="58" t="s">
        <v>8</v>
      </c>
      <c r="S456" s="57" t="s">
        <v>8</v>
      </c>
      <c r="T456" s="56" t="s">
        <v>2063</v>
      </c>
    </row>
    <row r="457" spans="1:20">
      <c r="A457" s="55">
        <v>125320457011</v>
      </c>
      <c r="B457" s="53" t="s">
        <v>2055</v>
      </c>
      <c r="C457" s="54">
        <v>45912</v>
      </c>
      <c r="D457" s="55">
        <v>50134806278</v>
      </c>
      <c r="E457" s="55">
        <v>2067996444649</v>
      </c>
      <c r="F457" s="56" t="s">
        <v>2066</v>
      </c>
      <c r="G457" s="56" t="s">
        <v>2057</v>
      </c>
      <c r="H457" s="56" t="s">
        <v>8</v>
      </c>
      <c r="I457" s="55" t="s">
        <v>8</v>
      </c>
      <c r="J457" s="57">
        <v>393</v>
      </c>
      <c r="K457" s="56" t="s">
        <v>2058</v>
      </c>
      <c r="L457" s="56" t="s">
        <v>2067</v>
      </c>
      <c r="M457" s="55" t="s">
        <v>2060</v>
      </c>
      <c r="N457" s="56" t="s">
        <v>2061</v>
      </c>
      <c r="O457" s="53" t="s">
        <v>1790</v>
      </c>
      <c r="P457" s="56" t="s">
        <v>2068</v>
      </c>
      <c r="Q457" s="57">
        <v>10000</v>
      </c>
      <c r="R457" s="58" t="s">
        <v>8</v>
      </c>
      <c r="S457" s="57" t="s">
        <v>8</v>
      </c>
      <c r="T457" s="56" t="s">
        <v>2063</v>
      </c>
    </row>
    <row r="458" spans="1:20">
      <c r="A458" s="55">
        <v>125870474672</v>
      </c>
      <c r="B458" s="53" t="s">
        <v>2055</v>
      </c>
      <c r="C458" s="54">
        <v>45912</v>
      </c>
      <c r="D458" s="55">
        <v>50134879492</v>
      </c>
      <c r="E458" s="55">
        <v>2067999571899</v>
      </c>
      <c r="F458" s="56" t="s">
        <v>2069</v>
      </c>
      <c r="G458" s="56" t="s">
        <v>2057</v>
      </c>
      <c r="H458" s="56" t="s">
        <v>8</v>
      </c>
      <c r="I458" s="55" t="s">
        <v>8</v>
      </c>
      <c r="J458" s="57">
        <v>431.65</v>
      </c>
      <c r="K458" s="56" t="s">
        <v>2058</v>
      </c>
      <c r="L458" s="56" t="s">
        <v>2059</v>
      </c>
      <c r="M458" s="55" t="s">
        <v>2060</v>
      </c>
      <c r="N458" s="56" t="s">
        <v>2061</v>
      </c>
      <c r="O458" s="53" t="s">
        <v>8</v>
      </c>
      <c r="P458" s="56" t="s">
        <v>2070</v>
      </c>
      <c r="Q458" s="57">
        <v>44500</v>
      </c>
      <c r="R458" s="58" t="s">
        <v>8</v>
      </c>
      <c r="S458" s="57" t="s">
        <v>8</v>
      </c>
      <c r="T458" s="56" t="s">
        <v>8</v>
      </c>
    </row>
    <row r="459" spans="1:20">
      <c r="A459" s="55">
        <v>125871368350</v>
      </c>
      <c r="B459" s="53" t="s">
        <v>2055</v>
      </c>
      <c r="C459" s="54">
        <v>45912</v>
      </c>
      <c r="D459" s="55">
        <v>50135069868</v>
      </c>
      <c r="E459" s="55">
        <v>2068008327409</v>
      </c>
      <c r="F459" s="56" t="s">
        <v>2056</v>
      </c>
      <c r="G459" s="56" t="s">
        <v>2057</v>
      </c>
      <c r="H459" s="56" t="s">
        <v>8</v>
      </c>
      <c r="I459" s="55" t="s">
        <v>8</v>
      </c>
      <c r="J459" s="57">
        <v>127.07</v>
      </c>
      <c r="K459" s="56" t="s">
        <v>2058</v>
      </c>
      <c r="L459" s="56" t="s">
        <v>2059</v>
      </c>
      <c r="M459" s="55" t="s">
        <v>2060</v>
      </c>
      <c r="N459" s="56" t="s">
        <v>2061</v>
      </c>
      <c r="O459" s="53" t="s">
        <v>8</v>
      </c>
      <c r="P459" s="56" t="s">
        <v>2090</v>
      </c>
      <c r="Q459" s="57">
        <v>13100</v>
      </c>
      <c r="R459" s="58" t="s">
        <v>8</v>
      </c>
      <c r="S459" s="57" t="s">
        <v>8</v>
      </c>
      <c r="T459" s="56" t="s">
        <v>2063</v>
      </c>
    </row>
    <row r="460" spans="1:20">
      <c r="A460" s="55">
        <v>125321324087</v>
      </c>
      <c r="B460" s="53" t="s">
        <v>2055</v>
      </c>
      <c r="C460" s="54">
        <v>45912</v>
      </c>
      <c r="D460" s="55">
        <v>50135086369</v>
      </c>
      <c r="E460" s="55">
        <v>2068052337324</v>
      </c>
      <c r="F460" s="56" t="s">
        <v>2066</v>
      </c>
      <c r="G460" s="56" t="s">
        <v>2057</v>
      </c>
      <c r="H460" s="56" t="s">
        <v>8</v>
      </c>
      <c r="I460" s="55" t="s">
        <v>8</v>
      </c>
      <c r="J460" s="57">
        <v>3232.48</v>
      </c>
      <c r="K460" s="56" t="s">
        <v>2058</v>
      </c>
      <c r="L460" s="56" t="s">
        <v>2067</v>
      </c>
      <c r="M460" s="55" t="s">
        <v>2060</v>
      </c>
      <c r="N460" s="56" t="s">
        <v>2061</v>
      </c>
      <c r="O460" s="53" t="s">
        <v>1790</v>
      </c>
      <c r="P460" s="56" t="s">
        <v>2068</v>
      </c>
      <c r="Q460" s="57">
        <v>71200</v>
      </c>
      <c r="R460" s="58" t="s">
        <v>8</v>
      </c>
      <c r="S460" s="57" t="s">
        <v>8</v>
      </c>
      <c r="T460" s="56" t="s">
        <v>2063</v>
      </c>
    </row>
    <row r="461" spans="1:20">
      <c r="A461" s="55">
        <v>125871494326</v>
      </c>
      <c r="B461" s="53" t="s">
        <v>2055</v>
      </c>
      <c r="C461" s="54">
        <v>45912</v>
      </c>
      <c r="D461" s="55">
        <v>50135116338</v>
      </c>
      <c r="E461" s="55">
        <v>2068053576398</v>
      </c>
      <c r="F461" s="56" t="s">
        <v>2069</v>
      </c>
      <c r="G461" s="56" t="s">
        <v>2057</v>
      </c>
      <c r="H461" s="56" t="s">
        <v>8</v>
      </c>
      <c r="I461" s="55" t="s">
        <v>8</v>
      </c>
      <c r="J461" s="57">
        <v>306.52</v>
      </c>
      <c r="K461" s="56" t="s">
        <v>2058</v>
      </c>
      <c r="L461" s="56" t="s">
        <v>2059</v>
      </c>
      <c r="M461" s="55" t="s">
        <v>2060</v>
      </c>
      <c r="N461" s="56" t="s">
        <v>2061</v>
      </c>
      <c r="O461" s="53" t="s">
        <v>8</v>
      </c>
      <c r="P461" s="56" t="s">
        <v>2070</v>
      </c>
      <c r="Q461" s="57">
        <v>31600</v>
      </c>
      <c r="R461" s="58" t="s">
        <v>8</v>
      </c>
      <c r="S461" s="57" t="s">
        <v>8</v>
      </c>
      <c r="T461" s="56" t="s">
        <v>8</v>
      </c>
    </row>
    <row r="462" spans="1:20">
      <c r="A462" s="55">
        <v>125871359326</v>
      </c>
      <c r="B462" s="53" t="s">
        <v>2055</v>
      </c>
      <c r="C462" s="54">
        <v>45912</v>
      </c>
      <c r="D462" s="55">
        <v>50135127283</v>
      </c>
      <c r="E462" s="55">
        <v>2068010205755</v>
      </c>
      <c r="F462" s="56" t="s">
        <v>2056</v>
      </c>
      <c r="G462" s="56" t="s">
        <v>2057</v>
      </c>
      <c r="H462" s="56" t="s">
        <v>8</v>
      </c>
      <c r="I462" s="55" t="s">
        <v>8</v>
      </c>
      <c r="J462" s="57">
        <v>222.13</v>
      </c>
      <c r="K462" s="56" t="s">
        <v>2058</v>
      </c>
      <c r="L462" s="56" t="s">
        <v>2059</v>
      </c>
      <c r="M462" s="55" t="s">
        <v>2060</v>
      </c>
      <c r="N462" s="56" t="s">
        <v>2061</v>
      </c>
      <c r="O462" s="53" t="s">
        <v>8</v>
      </c>
      <c r="P462" s="56" t="s">
        <v>2275</v>
      </c>
      <c r="Q462" s="57">
        <v>22900</v>
      </c>
      <c r="R462" s="58" t="s">
        <v>8</v>
      </c>
      <c r="S462" s="57" t="s">
        <v>8</v>
      </c>
      <c r="T462" s="56" t="s">
        <v>2063</v>
      </c>
    </row>
    <row r="463" spans="1:20">
      <c r="A463" s="55">
        <v>125322062757</v>
      </c>
      <c r="B463" s="53" t="s">
        <v>2055</v>
      </c>
      <c r="C463" s="54">
        <v>45912</v>
      </c>
      <c r="D463" s="55">
        <v>50135181090</v>
      </c>
      <c r="E463" s="55">
        <v>2068013214635</v>
      </c>
      <c r="F463" s="56" t="s">
        <v>2056</v>
      </c>
      <c r="G463" s="56" t="s">
        <v>2057</v>
      </c>
      <c r="H463" s="56" t="s">
        <v>8</v>
      </c>
      <c r="I463" s="55" t="s">
        <v>8</v>
      </c>
      <c r="J463" s="57">
        <v>143.56</v>
      </c>
      <c r="K463" s="56" t="s">
        <v>2058</v>
      </c>
      <c r="L463" s="56" t="s">
        <v>2059</v>
      </c>
      <c r="M463" s="55" t="s">
        <v>2060</v>
      </c>
      <c r="N463" s="56" t="s">
        <v>2061</v>
      </c>
      <c r="O463" s="53" t="s">
        <v>8</v>
      </c>
      <c r="P463" s="56" t="s">
        <v>2276</v>
      </c>
      <c r="Q463" s="57">
        <v>14800</v>
      </c>
      <c r="R463" s="58" t="s">
        <v>8</v>
      </c>
      <c r="S463" s="57" t="s">
        <v>8</v>
      </c>
      <c r="T463" s="56" t="s">
        <v>2063</v>
      </c>
    </row>
    <row r="464" spans="1:20">
      <c r="A464" s="55">
        <v>125871870980</v>
      </c>
      <c r="B464" s="53" t="s">
        <v>2055</v>
      </c>
      <c r="C464" s="54">
        <v>45912</v>
      </c>
      <c r="D464" s="55">
        <v>50135245674</v>
      </c>
      <c r="E464" s="55">
        <v>2068058916904</v>
      </c>
      <c r="F464" s="56" t="s">
        <v>2056</v>
      </c>
      <c r="G464" s="56" t="s">
        <v>2057</v>
      </c>
      <c r="H464" s="56" t="s">
        <v>8</v>
      </c>
      <c r="I464" s="55" t="s">
        <v>8</v>
      </c>
      <c r="J464" s="57">
        <v>228.92</v>
      </c>
      <c r="K464" s="56" t="s">
        <v>2058</v>
      </c>
      <c r="L464" s="56" t="s">
        <v>2059</v>
      </c>
      <c r="M464" s="55" t="s">
        <v>2060</v>
      </c>
      <c r="N464" s="56" t="s">
        <v>2061</v>
      </c>
      <c r="O464" s="53" t="s">
        <v>8</v>
      </c>
      <c r="P464" s="56" t="s">
        <v>2277</v>
      </c>
      <c r="Q464" s="57">
        <v>23600</v>
      </c>
      <c r="R464" s="58" t="s">
        <v>8</v>
      </c>
      <c r="S464" s="57" t="s">
        <v>8</v>
      </c>
      <c r="T464" s="56" t="s">
        <v>2063</v>
      </c>
    </row>
    <row r="465" spans="1:20">
      <c r="A465" s="55">
        <v>125322405401</v>
      </c>
      <c r="B465" s="53" t="s">
        <v>2055</v>
      </c>
      <c r="C465" s="54">
        <v>45912</v>
      </c>
      <c r="D465" s="55">
        <v>50135334677</v>
      </c>
      <c r="E465" s="55">
        <v>2068018103511</v>
      </c>
      <c r="F465" s="56" t="s">
        <v>2069</v>
      </c>
      <c r="G465" s="56" t="s">
        <v>2057</v>
      </c>
      <c r="H465" s="56" t="s">
        <v>8</v>
      </c>
      <c r="I465" s="55" t="s">
        <v>8</v>
      </c>
      <c r="J465" s="57">
        <v>83.42</v>
      </c>
      <c r="K465" s="56" t="s">
        <v>2058</v>
      </c>
      <c r="L465" s="56" t="s">
        <v>2059</v>
      </c>
      <c r="M465" s="55" t="s">
        <v>2060</v>
      </c>
      <c r="N465" s="56" t="s">
        <v>2061</v>
      </c>
      <c r="O465" s="53" t="s">
        <v>8</v>
      </c>
      <c r="P465" s="56" t="s">
        <v>2070</v>
      </c>
      <c r="Q465" s="57">
        <v>8600</v>
      </c>
      <c r="R465" s="58" t="s">
        <v>8</v>
      </c>
      <c r="S465" s="57" t="s">
        <v>8</v>
      </c>
      <c r="T465" s="56" t="s">
        <v>8</v>
      </c>
    </row>
    <row r="466" spans="1:20">
      <c r="A466" s="55">
        <v>125322493065</v>
      </c>
      <c r="B466" s="53" t="s">
        <v>2055</v>
      </c>
      <c r="C466" s="54">
        <v>45912</v>
      </c>
      <c r="D466" s="55">
        <v>50135338635</v>
      </c>
      <c r="E466" s="55">
        <v>2068063397938</v>
      </c>
      <c r="F466" s="56" t="s">
        <v>2056</v>
      </c>
      <c r="G466" s="56" t="s">
        <v>2057</v>
      </c>
      <c r="H466" s="56" t="s">
        <v>8</v>
      </c>
      <c r="I466" s="55" t="s">
        <v>8</v>
      </c>
      <c r="J466" s="57">
        <v>67.900000000000006</v>
      </c>
      <c r="K466" s="56" t="s">
        <v>2058</v>
      </c>
      <c r="L466" s="56" t="s">
        <v>2059</v>
      </c>
      <c r="M466" s="55" t="s">
        <v>2060</v>
      </c>
      <c r="N466" s="56" t="s">
        <v>2061</v>
      </c>
      <c r="O466" s="53" t="s">
        <v>8</v>
      </c>
      <c r="P466" s="56" t="s">
        <v>2259</v>
      </c>
      <c r="Q466" s="57">
        <v>7000</v>
      </c>
      <c r="R466" s="58" t="s">
        <v>8</v>
      </c>
      <c r="S466" s="57" t="s">
        <v>8</v>
      </c>
      <c r="T466" s="56" t="s">
        <v>2063</v>
      </c>
    </row>
    <row r="467" spans="1:20">
      <c r="A467" s="55">
        <v>125322736611</v>
      </c>
      <c r="B467" s="53" t="s">
        <v>2055</v>
      </c>
      <c r="C467" s="54">
        <v>45912</v>
      </c>
      <c r="D467" s="55">
        <v>50135349763</v>
      </c>
      <c r="E467" s="55">
        <v>2068020075161</v>
      </c>
      <c r="F467" s="56" t="s">
        <v>2056</v>
      </c>
      <c r="G467" s="56" t="s">
        <v>2057</v>
      </c>
      <c r="H467" s="56" t="s">
        <v>8</v>
      </c>
      <c r="I467" s="55" t="s">
        <v>8</v>
      </c>
      <c r="J467" s="57">
        <v>41.71</v>
      </c>
      <c r="K467" s="56" t="s">
        <v>2058</v>
      </c>
      <c r="L467" s="56" t="s">
        <v>2059</v>
      </c>
      <c r="M467" s="55" t="s">
        <v>2060</v>
      </c>
      <c r="N467" s="56" t="s">
        <v>2061</v>
      </c>
      <c r="O467" s="53" t="s">
        <v>8</v>
      </c>
      <c r="P467" s="56" t="s">
        <v>2278</v>
      </c>
      <c r="Q467" s="57">
        <v>4300</v>
      </c>
      <c r="R467" s="58" t="s">
        <v>8</v>
      </c>
      <c r="S467" s="57" t="s">
        <v>8</v>
      </c>
      <c r="T467" s="56" t="s">
        <v>2063</v>
      </c>
    </row>
    <row r="468" spans="1:20">
      <c r="A468" s="55">
        <v>125322503897</v>
      </c>
      <c r="B468" s="53" t="s">
        <v>2055</v>
      </c>
      <c r="C468" s="54">
        <v>45912</v>
      </c>
      <c r="D468" s="55">
        <v>50135369881</v>
      </c>
      <c r="E468" s="55">
        <v>2068021303585</v>
      </c>
      <c r="F468" s="56" t="s">
        <v>2066</v>
      </c>
      <c r="G468" s="56" t="s">
        <v>2057</v>
      </c>
      <c r="H468" s="56" t="s">
        <v>8</v>
      </c>
      <c r="I468" s="55" t="s">
        <v>8</v>
      </c>
      <c r="J468" s="57">
        <v>2102.5500000000002</v>
      </c>
      <c r="K468" s="56" t="s">
        <v>2058</v>
      </c>
      <c r="L468" s="56" t="s">
        <v>2067</v>
      </c>
      <c r="M468" s="55" t="s">
        <v>2060</v>
      </c>
      <c r="N468" s="56" t="s">
        <v>2061</v>
      </c>
      <c r="O468" s="53" t="s">
        <v>1790</v>
      </c>
      <c r="P468" s="56" t="s">
        <v>2068</v>
      </c>
      <c r="Q468" s="57">
        <v>53500</v>
      </c>
      <c r="R468" s="58" t="s">
        <v>8</v>
      </c>
      <c r="S468" s="57" t="s">
        <v>8</v>
      </c>
      <c r="T468" s="56" t="s">
        <v>2063</v>
      </c>
    </row>
    <row r="469" spans="1:20">
      <c r="A469" s="55">
        <v>125872587248</v>
      </c>
      <c r="B469" s="53" t="s">
        <v>2055</v>
      </c>
      <c r="C469" s="54">
        <v>45912</v>
      </c>
      <c r="D469" s="55">
        <v>50135383844</v>
      </c>
      <c r="E469" s="55">
        <v>2068067844032</v>
      </c>
      <c r="F469" s="56" t="s">
        <v>2066</v>
      </c>
      <c r="G469" s="56" t="s">
        <v>2057</v>
      </c>
      <c r="H469" s="56" t="s">
        <v>8</v>
      </c>
      <c r="I469" s="55" t="s">
        <v>8</v>
      </c>
      <c r="J469" s="57">
        <v>780.88</v>
      </c>
      <c r="K469" s="56" t="s">
        <v>2058</v>
      </c>
      <c r="L469" s="56" t="s">
        <v>2067</v>
      </c>
      <c r="M469" s="55" t="s">
        <v>2060</v>
      </c>
      <c r="N469" s="56" t="s">
        <v>2061</v>
      </c>
      <c r="O469" s="53" t="s">
        <v>1790</v>
      </c>
      <c r="P469" s="56" t="s">
        <v>2068</v>
      </c>
      <c r="Q469" s="57">
        <v>17200</v>
      </c>
      <c r="R469" s="58" t="s">
        <v>8</v>
      </c>
      <c r="S469" s="57" t="s">
        <v>8</v>
      </c>
      <c r="T469" s="56" t="s">
        <v>2063</v>
      </c>
    </row>
    <row r="470" spans="1:20">
      <c r="A470" s="55">
        <v>125322888369</v>
      </c>
      <c r="B470" s="53" t="s">
        <v>2055</v>
      </c>
      <c r="C470" s="54">
        <v>45912</v>
      </c>
      <c r="D470" s="55">
        <v>50135405693</v>
      </c>
      <c r="E470" s="55">
        <v>2068066471802</v>
      </c>
      <c r="F470" s="56" t="s">
        <v>2056</v>
      </c>
      <c r="G470" s="56" t="s">
        <v>2057</v>
      </c>
      <c r="H470" s="56" t="s">
        <v>8</v>
      </c>
      <c r="I470" s="55" t="s">
        <v>8</v>
      </c>
      <c r="J470" s="57">
        <v>275.48</v>
      </c>
      <c r="K470" s="56" t="s">
        <v>2058</v>
      </c>
      <c r="L470" s="56" t="s">
        <v>2059</v>
      </c>
      <c r="M470" s="55" t="s">
        <v>2060</v>
      </c>
      <c r="N470" s="56" t="s">
        <v>2061</v>
      </c>
      <c r="O470" s="53" t="s">
        <v>8</v>
      </c>
      <c r="P470" s="56" t="s">
        <v>2279</v>
      </c>
      <c r="Q470" s="57">
        <v>28400</v>
      </c>
      <c r="R470" s="58" t="s">
        <v>8</v>
      </c>
      <c r="S470" s="57" t="s">
        <v>8</v>
      </c>
      <c r="T470" s="56" t="s">
        <v>2063</v>
      </c>
    </row>
    <row r="471" spans="1:20">
      <c r="A471" s="55">
        <v>125323011517</v>
      </c>
      <c r="B471" s="53" t="s">
        <v>2055</v>
      </c>
      <c r="C471" s="54">
        <v>45912</v>
      </c>
      <c r="D471" s="55">
        <v>50135440741</v>
      </c>
      <c r="E471" s="55">
        <v>2068069759306</v>
      </c>
      <c r="F471" s="56" t="s">
        <v>2069</v>
      </c>
      <c r="G471" s="56" t="s">
        <v>2057</v>
      </c>
      <c r="H471" s="56" t="s">
        <v>8</v>
      </c>
      <c r="I471" s="55" t="s">
        <v>8</v>
      </c>
      <c r="J471" s="57">
        <v>470.45</v>
      </c>
      <c r="K471" s="56" t="s">
        <v>2058</v>
      </c>
      <c r="L471" s="56" t="s">
        <v>2059</v>
      </c>
      <c r="M471" s="55" t="s">
        <v>2060</v>
      </c>
      <c r="N471" s="56" t="s">
        <v>2061</v>
      </c>
      <c r="O471" s="53" t="s">
        <v>8</v>
      </c>
      <c r="P471" s="56" t="s">
        <v>2070</v>
      </c>
      <c r="Q471" s="57">
        <v>48500</v>
      </c>
      <c r="R471" s="58" t="s">
        <v>8</v>
      </c>
      <c r="S471" s="57" t="s">
        <v>8</v>
      </c>
      <c r="T471" s="56" t="s">
        <v>8</v>
      </c>
    </row>
    <row r="472" spans="1:20">
      <c r="A472" s="55">
        <v>125872758668</v>
      </c>
      <c r="B472" s="53" t="s">
        <v>2055</v>
      </c>
      <c r="C472" s="54">
        <v>45912</v>
      </c>
      <c r="D472" s="55">
        <v>50135454425</v>
      </c>
      <c r="E472" s="55">
        <v>2068068998356</v>
      </c>
      <c r="F472" s="56" t="s">
        <v>2056</v>
      </c>
      <c r="G472" s="56" t="s">
        <v>2057</v>
      </c>
      <c r="H472" s="56" t="s">
        <v>8</v>
      </c>
      <c r="I472" s="55" t="s">
        <v>8</v>
      </c>
      <c r="J472" s="57">
        <v>713.92</v>
      </c>
      <c r="K472" s="56" t="s">
        <v>2058</v>
      </c>
      <c r="L472" s="56" t="s">
        <v>2059</v>
      </c>
      <c r="M472" s="55" t="s">
        <v>2060</v>
      </c>
      <c r="N472" s="56" t="s">
        <v>2061</v>
      </c>
      <c r="O472" s="53" t="s">
        <v>8</v>
      </c>
      <c r="P472" s="56" t="s">
        <v>2280</v>
      </c>
      <c r="Q472" s="57">
        <v>73600</v>
      </c>
      <c r="R472" s="58" t="s">
        <v>8</v>
      </c>
      <c r="S472" s="57" t="s">
        <v>8</v>
      </c>
      <c r="T472" s="56" t="s">
        <v>2063</v>
      </c>
    </row>
    <row r="473" spans="1:20">
      <c r="A473" s="55">
        <v>125427741477</v>
      </c>
      <c r="B473" s="53" t="s">
        <v>2055</v>
      </c>
      <c r="C473" s="54">
        <v>45912</v>
      </c>
      <c r="D473" s="55">
        <v>50170234745</v>
      </c>
      <c r="E473" s="55">
        <v>2068727034907</v>
      </c>
      <c r="F473" s="56" t="s">
        <v>2056</v>
      </c>
      <c r="G473" s="56" t="s">
        <v>2057</v>
      </c>
      <c r="H473" s="56" t="s">
        <v>8</v>
      </c>
      <c r="I473" s="55" t="s">
        <v>8</v>
      </c>
      <c r="J473" s="57">
        <v>125.13</v>
      </c>
      <c r="K473" s="56" t="s">
        <v>2058</v>
      </c>
      <c r="L473" s="56" t="s">
        <v>2059</v>
      </c>
      <c r="M473" s="55" t="s">
        <v>2060</v>
      </c>
      <c r="N473" s="56" t="s">
        <v>2061</v>
      </c>
      <c r="O473" s="53" t="s">
        <v>8</v>
      </c>
      <c r="P473" s="56" t="s">
        <v>2281</v>
      </c>
      <c r="Q473" s="57">
        <v>12900</v>
      </c>
      <c r="R473" s="58" t="s">
        <v>8</v>
      </c>
      <c r="S473" s="57" t="s">
        <v>8</v>
      </c>
      <c r="T473" s="56" t="s">
        <v>2063</v>
      </c>
    </row>
    <row r="474" spans="1:20">
      <c r="A474" s="55">
        <v>125433504737</v>
      </c>
      <c r="B474" s="53" t="s">
        <v>2055</v>
      </c>
      <c r="C474" s="54">
        <v>45912</v>
      </c>
      <c r="D474" s="55">
        <v>50172153943</v>
      </c>
      <c r="E474" s="55">
        <v>2068806429042</v>
      </c>
      <c r="F474" s="56" t="s">
        <v>2066</v>
      </c>
      <c r="G474" s="56" t="s">
        <v>2057</v>
      </c>
      <c r="H474" s="56" t="s">
        <v>8</v>
      </c>
      <c r="I474" s="55" t="s">
        <v>8</v>
      </c>
      <c r="J474" s="57">
        <v>490.32</v>
      </c>
      <c r="K474" s="56" t="s">
        <v>2058</v>
      </c>
      <c r="L474" s="56" t="s">
        <v>2067</v>
      </c>
      <c r="M474" s="55" t="s">
        <v>2060</v>
      </c>
      <c r="N474" s="56" t="s">
        <v>2061</v>
      </c>
      <c r="O474" s="53" t="s">
        <v>1790</v>
      </c>
      <c r="P474" s="56" t="s">
        <v>2068</v>
      </c>
      <c r="Q474" s="57">
        <v>10800</v>
      </c>
      <c r="R474" s="58" t="s">
        <v>8</v>
      </c>
      <c r="S474" s="57" t="s">
        <v>8</v>
      </c>
      <c r="T474" s="56" t="s">
        <v>2063</v>
      </c>
    </row>
    <row r="475" spans="1:20">
      <c r="A475" s="55">
        <v>125433898761</v>
      </c>
      <c r="B475" s="53" t="s">
        <v>2055</v>
      </c>
      <c r="C475" s="54">
        <v>45912</v>
      </c>
      <c r="D475" s="55">
        <v>50172332407</v>
      </c>
      <c r="E475" s="55">
        <v>2068809573904</v>
      </c>
      <c r="F475" s="56" t="s">
        <v>2056</v>
      </c>
      <c r="G475" s="56" t="s">
        <v>2057</v>
      </c>
      <c r="H475" s="56" t="s">
        <v>8</v>
      </c>
      <c r="I475" s="55" t="s">
        <v>8</v>
      </c>
      <c r="J475" s="57">
        <v>346.29</v>
      </c>
      <c r="K475" s="56" t="s">
        <v>2058</v>
      </c>
      <c r="L475" s="56" t="s">
        <v>2059</v>
      </c>
      <c r="M475" s="55" t="s">
        <v>2060</v>
      </c>
      <c r="N475" s="56" t="s">
        <v>2061</v>
      </c>
      <c r="O475" s="53" t="s">
        <v>8</v>
      </c>
      <c r="P475" s="56" t="s">
        <v>2282</v>
      </c>
      <c r="Q475" s="57">
        <v>35700</v>
      </c>
      <c r="R475" s="58" t="s">
        <v>8</v>
      </c>
      <c r="S475" s="57" t="s">
        <v>8</v>
      </c>
      <c r="T475" s="56" t="s">
        <v>2063</v>
      </c>
    </row>
    <row r="476" spans="1:20">
      <c r="A476" s="55">
        <v>125437359297</v>
      </c>
      <c r="B476" s="53" t="s">
        <v>2055</v>
      </c>
      <c r="C476" s="54">
        <v>45912</v>
      </c>
      <c r="D476" s="55">
        <v>50173492652</v>
      </c>
      <c r="E476" s="55">
        <v>2068832057548</v>
      </c>
      <c r="F476" s="56" t="s">
        <v>2066</v>
      </c>
      <c r="G476" s="56" t="s">
        <v>2057</v>
      </c>
      <c r="H476" s="56" t="s">
        <v>8</v>
      </c>
      <c r="I476" s="55" t="s">
        <v>8</v>
      </c>
      <c r="J476" s="57">
        <v>161.13</v>
      </c>
      <c r="K476" s="56" t="s">
        <v>2058</v>
      </c>
      <c r="L476" s="56" t="s">
        <v>2067</v>
      </c>
      <c r="M476" s="55" t="s">
        <v>2060</v>
      </c>
      <c r="N476" s="56" t="s">
        <v>2061</v>
      </c>
      <c r="O476" s="53" t="s">
        <v>1790</v>
      </c>
      <c r="P476" s="56" t="s">
        <v>2068</v>
      </c>
      <c r="Q476" s="57">
        <v>4100</v>
      </c>
      <c r="R476" s="58" t="s">
        <v>8</v>
      </c>
      <c r="S476" s="57" t="s">
        <v>8</v>
      </c>
      <c r="T476" s="56" t="s">
        <v>2063</v>
      </c>
    </row>
    <row r="477" spans="1:20">
      <c r="A477" s="55">
        <v>125437433757</v>
      </c>
      <c r="B477" s="53" t="s">
        <v>2055</v>
      </c>
      <c r="C477" s="54">
        <v>45912</v>
      </c>
      <c r="D477" s="55">
        <v>50173522562</v>
      </c>
      <c r="E477" s="55">
        <v>2068832772160</v>
      </c>
      <c r="F477" s="56" t="s">
        <v>2066</v>
      </c>
      <c r="G477" s="56" t="s">
        <v>2057</v>
      </c>
      <c r="H477" s="56" t="s">
        <v>8</v>
      </c>
      <c r="I477" s="55" t="s">
        <v>8</v>
      </c>
      <c r="J477" s="57">
        <v>475.53</v>
      </c>
      <c r="K477" s="56" t="s">
        <v>2058</v>
      </c>
      <c r="L477" s="56" t="s">
        <v>2067</v>
      </c>
      <c r="M477" s="55" t="s">
        <v>2060</v>
      </c>
      <c r="N477" s="56" t="s">
        <v>2061</v>
      </c>
      <c r="O477" s="53" t="s">
        <v>1790</v>
      </c>
      <c r="P477" s="56" t="s">
        <v>2068</v>
      </c>
      <c r="Q477" s="57">
        <v>12100</v>
      </c>
      <c r="R477" s="58" t="s">
        <v>8</v>
      </c>
      <c r="S477" s="57" t="s">
        <v>8</v>
      </c>
      <c r="T477" s="56" t="s">
        <v>2063</v>
      </c>
    </row>
    <row r="478" spans="1:20">
      <c r="A478" s="55">
        <v>125437828867</v>
      </c>
      <c r="B478" s="53" t="s">
        <v>2055</v>
      </c>
      <c r="C478" s="54">
        <v>45912</v>
      </c>
      <c r="D478" s="55">
        <v>50173629779</v>
      </c>
      <c r="E478" s="55">
        <v>2068834611126</v>
      </c>
      <c r="F478" s="56" t="s">
        <v>2069</v>
      </c>
      <c r="G478" s="56" t="s">
        <v>2057</v>
      </c>
      <c r="H478" s="56" t="s">
        <v>8</v>
      </c>
      <c r="I478" s="55" t="s">
        <v>8</v>
      </c>
      <c r="J478" s="57">
        <v>85.36</v>
      </c>
      <c r="K478" s="56" t="s">
        <v>2058</v>
      </c>
      <c r="L478" s="56" t="s">
        <v>2059</v>
      </c>
      <c r="M478" s="55" t="s">
        <v>2060</v>
      </c>
      <c r="N478" s="56" t="s">
        <v>2061</v>
      </c>
      <c r="O478" s="53" t="s">
        <v>8</v>
      </c>
      <c r="P478" s="56" t="s">
        <v>2070</v>
      </c>
      <c r="Q478" s="57">
        <v>8800</v>
      </c>
      <c r="R478" s="58" t="s">
        <v>8</v>
      </c>
      <c r="S478" s="57" t="s">
        <v>8</v>
      </c>
      <c r="T478" s="56" t="s">
        <v>8</v>
      </c>
    </row>
    <row r="479" spans="1:20">
      <c r="A479" s="55">
        <v>125437996133</v>
      </c>
      <c r="B479" s="53" t="s">
        <v>2055</v>
      </c>
      <c r="C479" s="54">
        <v>45912</v>
      </c>
      <c r="D479" s="55">
        <v>50173677411</v>
      </c>
      <c r="E479" s="55">
        <v>2068790528097</v>
      </c>
      <c r="F479" s="56" t="s">
        <v>2066</v>
      </c>
      <c r="G479" s="56" t="s">
        <v>2057</v>
      </c>
      <c r="H479" s="56" t="s">
        <v>8</v>
      </c>
      <c r="I479" s="55" t="s">
        <v>8</v>
      </c>
      <c r="J479" s="57">
        <v>1006.08</v>
      </c>
      <c r="K479" s="56" t="s">
        <v>2058</v>
      </c>
      <c r="L479" s="56" t="s">
        <v>2067</v>
      </c>
      <c r="M479" s="55" t="s">
        <v>2060</v>
      </c>
      <c r="N479" s="56" t="s">
        <v>2061</v>
      </c>
      <c r="O479" s="53" t="s">
        <v>1790</v>
      </c>
      <c r="P479" s="56" t="s">
        <v>2068</v>
      </c>
      <c r="Q479" s="57">
        <v>25600</v>
      </c>
      <c r="R479" s="58" t="s">
        <v>8</v>
      </c>
      <c r="S479" s="57" t="s">
        <v>8</v>
      </c>
      <c r="T479" s="56" t="s">
        <v>2063</v>
      </c>
    </row>
    <row r="480" spans="1:20">
      <c r="A480" s="55">
        <v>125993614332</v>
      </c>
      <c r="B480" s="53" t="s">
        <v>2055</v>
      </c>
      <c r="C480" s="54">
        <v>45912</v>
      </c>
      <c r="D480" s="55">
        <v>50175142772</v>
      </c>
      <c r="E480" s="55">
        <v>2068865228194</v>
      </c>
      <c r="F480" s="56" t="s">
        <v>2069</v>
      </c>
      <c r="G480" s="56" t="s">
        <v>2057</v>
      </c>
      <c r="H480" s="56" t="s">
        <v>8</v>
      </c>
      <c r="I480" s="55" t="s">
        <v>8</v>
      </c>
      <c r="J480" s="57">
        <v>41.71</v>
      </c>
      <c r="K480" s="56" t="s">
        <v>2058</v>
      </c>
      <c r="L480" s="56" t="s">
        <v>2059</v>
      </c>
      <c r="M480" s="55" t="s">
        <v>2060</v>
      </c>
      <c r="N480" s="56" t="s">
        <v>2061</v>
      </c>
      <c r="O480" s="53" t="s">
        <v>8</v>
      </c>
      <c r="P480" s="56" t="s">
        <v>2070</v>
      </c>
      <c r="Q480" s="57">
        <v>4300</v>
      </c>
      <c r="R480" s="58" t="s">
        <v>8</v>
      </c>
      <c r="S480" s="57" t="s">
        <v>8</v>
      </c>
      <c r="T480" s="56" t="s">
        <v>8</v>
      </c>
    </row>
    <row r="481" spans="1:20">
      <c r="A481" s="55">
        <v>125996443306</v>
      </c>
      <c r="B481" s="53" t="s">
        <v>2055</v>
      </c>
      <c r="C481" s="54">
        <v>45912</v>
      </c>
      <c r="D481" s="55">
        <v>50176128952</v>
      </c>
      <c r="E481" s="55">
        <v>2068841190169</v>
      </c>
      <c r="F481" s="56" t="s">
        <v>2066</v>
      </c>
      <c r="G481" s="56" t="s">
        <v>2057</v>
      </c>
      <c r="H481" s="56" t="s">
        <v>8</v>
      </c>
      <c r="I481" s="55" t="s">
        <v>8</v>
      </c>
      <c r="J481" s="57">
        <v>153.27000000000001</v>
      </c>
      <c r="K481" s="56" t="s">
        <v>2058</v>
      </c>
      <c r="L481" s="56" t="s">
        <v>2067</v>
      </c>
      <c r="M481" s="55" t="s">
        <v>2060</v>
      </c>
      <c r="N481" s="56" t="s">
        <v>2061</v>
      </c>
      <c r="O481" s="53" t="s">
        <v>1790</v>
      </c>
      <c r="P481" s="56" t="s">
        <v>2068</v>
      </c>
      <c r="Q481" s="57">
        <v>3900</v>
      </c>
      <c r="R481" s="58" t="s">
        <v>8</v>
      </c>
      <c r="S481" s="57" t="s">
        <v>8</v>
      </c>
      <c r="T481" s="56" t="s">
        <v>2063</v>
      </c>
    </row>
    <row r="482" spans="1:20">
      <c r="A482" s="55">
        <v>125446961843</v>
      </c>
      <c r="B482" s="53" t="s">
        <v>2055</v>
      </c>
      <c r="C482" s="54">
        <v>45912</v>
      </c>
      <c r="D482" s="55">
        <v>50176790888</v>
      </c>
      <c r="E482" s="55">
        <v>2068899725554</v>
      </c>
      <c r="F482" s="56" t="s">
        <v>2066</v>
      </c>
      <c r="G482" s="56" t="s">
        <v>2057</v>
      </c>
      <c r="H482" s="56" t="s">
        <v>8</v>
      </c>
      <c r="I482" s="55" t="s">
        <v>8</v>
      </c>
      <c r="J482" s="57">
        <v>1285.1099999999999</v>
      </c>
      <c r="K482" s="56" t="s">
        <v>2058</v>
      </c>
      <c r="L482" s="56" t="s">
        <v>2067</v>
      </c>
      <c r="M482" s="55" t="s">
        <v>2060</v>
      </c>
      <c r="N482" s="56" t="s">
        <v>2061</v>
      </c>
      <c r="O482" s="53" t="s">
        <v>1790</v>
      </c>
      <c r="P482" s="56" t="s">
        <v>2068</v>
      </c>
      <c r="Q482" s="57">
        <v>32700</v>
      </c>
      <c r="R482" s="58" t="s">
        <v>8</v>
      </c>
      <c r="S482" s="57" t="s">
        <v>8</v>
      </c>
      <c r="T482" s="56" t="s">
        <v>2063</v>
      </c>
    </row>
    <row r="483" spans="1:20">
      <c r="A483" s="55">
        <v>125446989707</v>
      </c>
      <c r="B483" s="53" t="s">
        <v>2055</v>
      </c>
      <c r="C483" s="54">
        <v>45912</v>
      </c>
      <c r="D483" s="55">
        <v>50176792306</v>
      </c>
      <c r="E483" s="55">
        <v>2068899682038</v>
      </c>
      <c r="F483" s="56" t="s">
        <v>2066</v>
      </c>
      <c r="G483" s="56" t="s">
        <v>2057</v>
      </c>
      <c r="H483" s="56" t="s">
        <v>8</v>
      </c>
      <c r="I483" s="55" t="s">
        <v>8</v>
      </c>
      <c r="J483" s="57">
        <v>2016.65</v>
      </c>
      <c r="K483" s="56" t="s">
        <v>2058</v>
      </c>
      <c r="L483" s="56" t="s">
        <v>2067</v>
      </c>
      <c r="M483" s="55" t="s">
        <v>2060</v>
      </c>
      <c r="N483" s="56" t="s">
        <v>2061</v>
      </c>
      <c r="O483" s="53" t="s">
        <v>1790</v>
      </c>
      <c r="P483" s="56" t="s">
        <v>2068</v>
      </c>
      <c r="Q483" s="57">
        <v>26500</v>
      </c>
      <c r="R483" s="58" t="s">
        <v>8</v>
      </c>
      <c r="S483" s="57" t="s">
        <v>8</v>
      </c>
      <c r="T483" s="56" t="s">
        <v>2063</v>
      </c>
    </row>
    <row r="484" spans="1:20">
      <c r="A484" s="55">
        <v>125447857505</v>
      </c>
      <c r="B484" s="53" t="s">
        <v>2055</v>
      </c>
      <c r="C484" s="54">
        <v>45912</v>
      </c>
      <c r="D484" s="55">
        <v>50177100358</v>
      </c>
      <c r="E484" s="55">
        <v>2068906487766</v>
      </c>
      <c r="F484" s="56" t="s">
        <v>2066</v>
      </c>
      <c r="G484" s="56" t="s">
        <v>2057</v>
      </c>
      <c r="H484" s="56" t="s">
        <v>8</v>
      </c>
      <c r="I484" s="55" t="s">
        <v>8</v>
      </c>
      <c r="J484" s="57">
        <v>168.99</v>
      </c>
      <c r="K484" s="56" t="s">
        <v>2058</v>
      </c>
      <c r="L484" s="56" t="s">
        <v>2067</v>
      </c>
      <c r="M484" s="55" t="s">
        <v>2060</v>
      </c>
      <c r="N484" s="56" t="s">
        <v>2061</v>
      </c>
      <c r="O484" s="53" t="s">
        <v>1790</v>
      </c>
      <c r="P484" s="56" t="s">
        <v>2068</v>
      </c>
      <c r="Q484" s="57">
        <v>4300</v>
      </c>
      <c r="R484" s="58" t="s">
        <v>8</v>
      </c>
      <c r="S484" s="57" t="s">
        <v>8</v>
      </c>
      <c r="T484" s="56" t="s">
        <v>2063</v>
      </c>
    </row>
    <row r="485" spans="1:20">
      <c r="A485" s="55">
        <v>125999347750</v>
      </c>
      <c r="B485" s="53" t="s">
        <v>2055</v>
      </c>
      <c r="C485" s="54">
        <v>45912</v>
      </c>
      <c r="D485" s="55">
        <v>50177178843</v>
      </c>
      <c r="E485" s="55">
        <v>2068907763694</v>
      </c>
      <c r="F485" s="56" t="s">
        <v>2056</v>
      </c>
      <c r="G485" s="56" t="s">
        <v>2057</v>
      </c>
      <c r="H485" s="56" t="s">
        <v>8</v>
      </c>
      <c r="I485" s="55" t="s">
        <v>8</v>
      </c>
      <c r="J485" s="57">
        <v>361.81</v>
      </c>
      <c r="K485" s="56" t="s">
        <v>2058</v>
      </c>
      <c r="L485" s="56" t="s">
        <v>2059</v>
      </c>
      <c r="M485" s="55" t="s">
        <v>2060</v>
      </c>
      <c r="N485" s="56" t="s">
        <v>2061</v>
      </c>
      <c r="O485" s="53" t="s">
        <v>8</v>
      </c>
      <c r="P485" s="56" t="s">
        <v>2177</v>
      </c>
      <c r="Q485" s="57">
        <v>37300</v>
      </c>
      <c r="R485" s="58" t="s">
        <v>8</v>
      </c>
      <c r="S485" s="57" t="s">
        <v>8</v>
      </c>
      <c r="T485" s="56" t="s">
        <v>2063</v>
      </c>
    </row>
    <row r="486" spans="1:20">
      <c r="A486" s="55">
        <v>125449062915</v>
      </c>
      <c r="B486" s="53" t="s">
        <v>2055</v>
      </c>
      <c r="C486" s="54">
        <v>45912</v>
      </c>
      <c r="D486" s="55">
        <v>50177485718</v>
      </c>
      <c r="E486" s="55">
        <v>2068869861201</v>
      </c>
      <c r="F486" s="56" t="s">
        <v>2056</v>
      </c>
      <c r="G486" s="56" t="s">
        <v>2057</v>
      </c>
      <c r="H486" s="56" t="s">
        <v>8</v>
      </c>
      <c r="I486" s="55" t="s">
        <v>8</v>
      </c>
      <c r="J486" s="57">
        <v>269.66000000000003</v>
      </c>
      <c r="K486" s="56" t="s">
        <v>2058</v>
      </c>
      <c r="L486" s="56" t="s">
        <v>2059</v>
      </c>
      <c r="M486" s="55" t="s">
        <v>2060</v>
      </c>
      <c r="N486" s="56" t="s">
        <v>2061</v>
      </c>
      <c r="O486" s="53" t="s">
        <v>8</v>
      </c>
      <c r="P486" s="56" t="s">
        <v>2283</v>
      </c>
      <c r="Q486" s="57">
        <v>27800</v>
      </c>
      <c r="R486" s="58" t="s">
        <v>8</v>
      </c>
      <c r="S486" s="57" t="s">
        <v>8</v>
      </c>
      <c r="T486" s="56" t="s">
        <v>2063</v>
      </c>
    </row>
    <row r="487" spans="1:20">
      <c r="A487" s="55">
        <v>125449242459</v>
      </c>
      <c r="B487" s="53" t="s">
        <v>2055</v>
      </c>
      <c r="C487" s="54">
        <v>45912</v>
      </c>
      <c r="D487" s="55">
        <v>50177527381</v>
      </c>
      <c r="E487" s="55">
        <v>2068870952393</v>
      </c>
      <c r="F487" s="56" t="s">
        <v>2056</v>
      </c>
      <c r="G487" s="56" t="s">
        <v>2057</v>
      </c>
      <c r="H487" s="56" t="s">
        <v>8</v>
      </c>
      <c r="I487" s="55" t="s">
        <v>8</v>
      </c>
      <c r="J487" s="57">
        <v>378.3</v>
      </c>
      <c r="K487" s="56" t="s">
        <v>2058</v>
      </c>
      <c r="L487" s="56" t="s">
        <v>2059</v>
      </c>
      <c r="M487" s="55" t="s">
        <v>2060</v>
      </c>
      <c r="N487" s="56" t="s">
        <v>2061</v>
      </c>
      <c r="O487" s="53" t="s">
        <v>8</v>
      </c>
      <c r="P487" s="56" t="s">
        <v>2284</v>
      </c>
      <c r="Q487" s="57">
        <v>39000</v>
      </c>
      <c r="R487" s="58" t="s">
        <v>8</v>
      </c>
      <c r="S487" s="57" t="s">
        <v>8</v>
      </c>
      <c r="T487" s="56" t="s">
        <v>2063</v>
      </c>
    </row>
    <row r="488" spans="1:20">
      <c r="A488" s="55">
        <v>125449622091</v>
      </c>
      <c r="B488" s="53" t="s">
        <v>2055</v>
      </c>
      <c r="C488" s="54">
        <v>45912</v>
      </c>
      <c r="D488" s="55">
        <v>50177691271</v>
      </c>
      <c r="E488" s="55">
        <v>2068875026249</v>
      </c>
      <c r="F488" s="56" t="s">
        <v>2056</v>
      </c>
      <c r="G488" s="56" t="s">
        <v>2057</v>
      </c>
      <c r="H488" s="56" t="s">
        <v>8</v>
      </c>
      <c r="I488" s="55" t="s">
        <v>8</v>
      </c>
      <c r="J488" s="57">
        <v>300.7</v>
      </c>
      <c r="K488" s="56" t="s">
        <v>2058</v>
      </c>
      <c r="L488" s="56" t="s">
        <v>2059</v>
      </c>
      <c r="M488" s="55" t="s">
        <v>2060</v>
      </c>
      <c r="N488" s="56" t="s">
        <v>2061</v>
      </c>
      <c r="O488" s="53" t="s">
        <v>8</v>
      </c>
      <c r="P488" s="56" t="s">
        <v>2285</v>
      </c>
      <c r="Q488" s="57">
        <v>31000</v>
      </c>
      <c r="R488" s="58" t="s">
        <v>8</v>
      </c>
      <c r="S488" s="57" t="s">
        <v>8</v>
      </c>
      <c r="T488" s="56" t="s">
        <v>2063</v>
      </c>
    </row>
    <row r="489" spans="1:20">
      <c r="A489" s="55">
        <v>126001259020</v>
      </c>
      <c r="B489" s="53" t="s">
        <v>2055</v>
      </c>
      <c r="C489" s="54">
        <v>45912</v>
      </c>
      <c r="D489" s="55">
        <v>50177817003</v>
      </c>
      <c r="E489" s="55">
        <v>2068921455878</v>
      </c>
      <c r="F489" s="56" t="s">
        <v>2056</v>
      </c>
      <c r="G489" s="56" t="s">
        <v>2057</v>
      </c>
      <c r="H489" s="56" t="s">
        <v>8</v>
      </c>
      <c r="I489" s="55" t="s">
        <v>8</v>
      </c>
      <c r="J489" s="57">
        <v>67.900000000000006</v>
      </c>
      <c r="K489" s="56" t="s">
        <v>2058</v>
      </c>
      <c r="L489" s="56" t="s">
        <v>2059</v>
      </c>
      <c r="M489" s="55" t="s">
        <v>2060</v>
      </c>
      <c r="N489" s="56" t="s">
        <v>2061</v>
      </c>
      <c r="O489" s="53" t="s">
        <v>8</v>
      </c>
      <c r="P489" s="56" t="s">
        <v>2286</v>
      </c>
      <c r="Q489" s="57">
        <v>7000</v>
      </c>
      <c r="R489" s="58" t="s">
        <v>8</v>
      </c>
      <c r="S489" s="57" t="s">
        <v>8</v>
      </c>
      <c r="T489" s="56" t="s">
        <v>2063</v>
      </c>
    </row>
    <row r="490" spans="1:20">
      <c r="A490" s="55">
        <v>126001791192</v>
      </c>
      <c r="B490" s="53" t="s">
        <v>2055</v>
      </c>
      <c r="C490" s="54">
        <v>45912</v>
      </c>
      <c r="D490" s="55">
        <v>50178058497</v>
      </c>
      <c r="E490" s="55">
        <v>2068881740795</v>
      </c>
      <c r="F490" s="56" t="s">
        <v>2056</v>
      </c>
      <c r="G490" s="56" t="s">
        <v>2057</v>
      </c>
      <c r="H490" s="56" t="s">
        <v>8</v>
      </c>
      <c r="I490" s="55" t="s">
        <v>8</v>
      </c>
      <c r="J490" s="57">
        <v>394.79</v>
      </c>
      <c r="K490" s="56" t="s">
        <v>2058</v>
      </c>
      <c r="L490" s="56" t="s">
        <v>2059</v>
      </c>
      <c r="M490" s="55" t="s">
        <v>2060</v>
      </c>
      <c r="N490" s="56" t="s">
        <v>2061</v>
      </c>
      <c r="O490" s="53" t="s">
        <v>8</v>
      </c>
      <c r="P490" s="56" t="s">
        <v>2287</v>
      </c>
      <c r="Q490" s="57">
        <v>40700</v>
      </c>
      <c r="R490" s="58" t="s">
        <v>8</v>
      </c>
      <c r="S490" s="57" t="s">
        <v>8</v>
      </c>
      <c r="T490" s="56" t="s">
        <v>2063</v>
      </c>
    </row>
    <row r="491" spans="1:20">
      <c r="A491" s="55">
        <v>126002231286</v>
      </c>
      <c r="B491" s="53" t="s">
        <v>2055</v>
      </c>
      <c r="C491" s="54">
        <v>45912</v>
      </c>
      <c r="D491" s="55">
        <v>50178192971</v>
      </c>
      <c r="E491" s="55">
        <v>2068885049835</v>
      </c>
      <c r="F491" s="56" t="s">
        <v>2056</v>
      </c>
      <c r="G491" s="56" t="s">
        <v>2057</v>
      </c>
      <c r="H491" s="56" t="s">
        <v>8</v>
      </c>
      <c r="I491" s="55" t="s">
        <v>8</v>
      </c>
      <c r="J491" s="57">
        <v>358.9</v>
      </c>
      <c r="K491" s="56" t="s">
        <v>2058</v>
      </c>
      <c r="L491" s="56" t="s">
        <v>2059</v>
      </c>
      <c r="M491" s="55" t="s">
        <v>2060</v>
      </c>
      <c r="N491" s="56" t="s">
        <v>2061</v>
      </c>
      <c r="O491" s="53" t="s">
        <v>8</v>
      </c>
      <c r="P491" s="56" t="s">
        <v>2288</v>
      </c>
      <c r="Q491" s="57">
        <v>37000</v>
      </c>
      <c r="R491" s="58" t="s">
        <v>8</v>
      </c>
      <c r="S491" s="57" t="s">
        <v>8</v>
      </c>
      <c r="T491" s="56" t="s">
        <v>2063</v>
      </c>
    </row>
    <row r="492" spans="1:20">
      <c r="A492" s="55">
        <v>125451470875</v>
      </c>
      <c r="B492" s="53" t="s">
        <v>2055</v>
      </c>
      <c r="C492" s="54">
        <v>45912</v>
      </c>
      <c r="D492" s="55">
        <v>50178328585</v>
      </c>
      <c r="E492" s="55">
        <v>2068932114270</v>
      </c>
      <c r="F492" s="56" t="s">
        <v>2056</v>
      </c>
      <c r="G492" s="56" t="s">
        <v>2057</v>
      </c>
      <c r="H492" s="56" t="s">
        <v>8</v>
      </c>
      <c r="I492" s="55" t="s">
        <v>8</v>
      </c>
      <c r="J492" s="57">
        <v>77.599999999999994</v>
      </c>
      <c r="K492" s="56" t="s">
        <v>2058</v>
      </c>
      <c r="L492" s="56" t="s">
        <v>2059</v>
      </c>
      <c r="M492" s="55" t="s">
        <v>2060</v>
      </c>
      <c r="N492" s="56" t="s">
        <v>2061</v>
      </c>
      <c r="O492" s="53" t="s">
        <v>8</v>
      </c>
      <c r="P492" s="56" t="s">
        <v>2147</v>
      </c>
      <c r="Q492" s="57">
        <v>8000</v>
      </c>
      <c r="R492" s="58" t="s">
        <v>8</v>
      </c>
      <c r="S492" s="57" t="s">
        <v>8</v>
      </c>
      <c r="T492" s="56" t="s">
        <v>2063</v>
      </c>
    </row>
    <row r="493" spans="1:20">
      <c r="A493" s="55">
        <v>125451713543</v>
      </c>
      <c r="B493" s="53" t="s">
        <v>2055</v>
      </c>
      <c r="C493" s="54">
        <v>45912</v>
      </c>
      <c r="D493" s="55">
        <v>50178439921</v>
      </c>
      <c r="E493" s="55">
        <v>2068890147665</v>
      </c>
      <c r="F493" s="56" t="s">
        <v>2066</v>
      </c>
      <c r="G493" s="56" t="s">
        <v>2057</v>
      </c>
      <c r="H493" s="56" t="s">
        <v>8</v>
      </c>
      <c r="I493" s="55" t="s">
        <v>8</v>
      </c>
      <c r="J493" s="57">
        <v>2478.84</v>
      </c>
      <c r="K493" s="56" t="s">
        <v>2058</v>
      </c>
      <c r="L493" s="56" t="s">
        <v>2067</v>
      </c>
      <c r="M493" s="55" t="s">
        <v>2060</v>
      </c>
      <c r="N493" s="56" t="s">
        <v>2061</v>
      </c>
      <c r="O493" s="53" t="s">
        <v>1790</v>
      </c>
      <c r="P493" s="56" t="s">
        <v>2068</v>
      </c>
      <c r="Q493" s="57">
        <v>54600</v>
      </c>
      <c r="R493" s="58" t="s">
        <v>8</v>
      </c>
      <c r="S493" s="57" t="s">
        <v>8</v>
      </c>
      <c r="T493" s="56" t="s">
        <v>2063</v>
      </c>
    </row>
    <row r="494" spans="1:20">
      <c r="A494" s="55">
        <v>125452973303</v>
      </c>
      <c r="B494" s="53" t="s">
        <v>2055</v>
      </c>
      <c r="C494" s="54">
        <v>45912</v>
      </c>
      <c r="D494" s="55">
        <v>50178894497</v>
      </c>
      <c r="E494" s="55">
        <v>2068898906381</v>
      </c>
      <c r="F494" s="56" t="s">
        <v>2069</v>
      </c>
      <c r="G494" s="56" t="s">
        <v>2057</v>
      </c>
      <c r="H494" s="56" t="s">
        <v>8</v>
      </c>
      <c r="I494" s="55" t="s">
        <v>8</v>
      </c>
      <c r="J494" s="57">
        <v>210.49</v>
      </c>
      <c r="K494" s="56" t="s">
        <v>2058</v>
      </c>
      <c r="L494" s="56" t="s">
        <v>2059</v>
      </c>
      <c r="M494" s="55" t="s">
        <v>2060</v>
      </c>
      <c r="N494" s="56" t="s">
        <v>2061</v>
      </c>
      <c r="O494" s="53" t="s">
        <v>8</v>
      </c>
      <c r="P494" s="56" t="s">
        <v>2070</v>
      </c>
      <c r="Q494" s="57">
        <v>21700</v>
      </c>
      <c r="R494" s="58" t="s">
        <v>8</v>
      </c>
      <c r="S494" s="57" t="s">
        <v>8</v>
      </c>
      <c r="T494" s="56" t="s">
        <v>8</v>
      </c>
    </row>
    <row r="495" spans="1:20">
      <c r="A495" s="55">
        <v>126004526618</v>
      </c>
      <c r="B495" s="53" t="s">
        <v>2055</v>
      </c>
      <c r="C495" s="54">
        <v>45912</v>
      </c>
      <c r="D495" s="55">
        <v>50178972479</v>
      </c>
      <c r="E495" s="55">
        <v>2068945707838</v>
      </c>
      <c r="F495" s="56" t="s">
        <v>2066</v>
      </c>
      <c r="G495" s="56" t="s">
        <v>2057</v>
      </c>
      <c r="H495" s="56" t="s">
        <v>8</v>
      </c>
      <c r="I495" s="55" t="s">
        <v>8</v>
      </c>
      <c r="J495" s="57">
        <v>1819.59</v>
      </c>
      <c r="K495" s="56" t="s">
        <v>2058</v>
      </c>
      <c r="L495" s="56" t="s">
        <v>2067</v>
      </c>
      <c r="M495" s="55" t="s">
        <v>2060</v>
      </c>
      <c r="N495" s="56" t="s">
        <v>2061</v>
      </c>
      <c r="O495" s="53" t="s">
        <v>1790</v>
      </c>
      <c r="P495" s="56" t="s">
        <v>2068</v>
      </c>
      <c r="Q495" s="57">
        <v>46300</v>
      </c>
      <c r="R495" s="58" t="s">
        <v>8</v>
      </c>
      <c r="S495" s="57" t="s">
        <v>8</v>
      </c>
      <c r="T495" s="56" t="s">
        <v>2063</v>
      </c>
    </row>
    <row r="496" spans="1:20">
      <c r="A496" s="55">
        <v>125453295123</v>
      </c>
      <c r="B496" s="53" t="s">
        <v>2055</v>
      </c>
      <c r="C496" s="54">
        <v>45912</v>
      </c>
      <c r="D496" s="55">
        <v>50179005370</v>
      </c>
      <c r="E496" s="55">
        <v>2068901377757</v>
      </c>
      <c r="F496" s="56" t="s">
        <v>2056</v>
      </c>
      <c r="G496" s="56" t="s">
        <v>2057</v>
      </c>
      <c r="H496" s="56" t="s">
        <v>8</v>
      </c>
      <c r="I496" s="55" t="s">
        <v>8</v>
      </c>
      <c r="J496" s="57">
        <v>79.540000000000006</v>
      </c>
      <c r="K496" s="56" t="s">
        <v>2058</v>
      </c>
      <c r="L496" s="56" t="s">
        <v>2059</v>
      </c>
      <c r="M496" s="55" t="s">
        <v>2060</v>
      </c>
      <c r="N496" s="56" t="s">
        <v>2061</v>
      </c>
      <c r="O496" s="53" t="s">
        <v>8</v>
      </c>
      <c r="P496" s="56" t="s">
        <v>2289</v>
      </c>
      <c r="Q496" s="57">
        <v>8200</v>
      </c>
      <c r="R496" s="58" t="s">
        <v>8</v>
      </c>
      <c r="S496" s="57" t="s">
        <v>8</v>
      </c>
      <c r="T496" s="56" t="s">
        <v>2063</v>
      </c>
    </row>
    <row r="497" spans="1:20">
      <c r="A497" s="55">
        <v>126004723518</v>
      </c>
      <c r="B497" s="53" t="s">
        <v>2055</v>
      </c>
      <c r="C497" s="54">
        <v>45912</v>
      </c>
      <c r="D497" s="55">
        <v>50179058109</v>
      </c>
      <c r="E497" s="55">
        <v>2068947494792</v>
      </c>
      <c r="F497" s="56" t="s">
        <v>2056</v>
      </c>
      <c r="G497" s="56" t="s">
        <v>2057</v>
      </c>
      <c r="H497" s="56" t="s">
        <v>8</v>
      </c>
      <c r="I497" s="55" t="s">
        <v>8</v>
      </c>
      <c r="J497" s="57">
        <v>153.26</v>
      </c>
      <c r="K497" s="56" t="s">
        <v>2058</v>
      </c>
      <c r="L497" s="56" t="s">
        <v>2059</v>
      </c>
      <c r="M497" s="55" t="s">
        <v>2060</v>
      </c>
      <c r="N497" s="56" t="s">
        <v>2061</v>
      </c>
      <c r="O497" s="53" t="s">
        <v>8</v>
      </c>
      <c r="P497" s="56" t="s">
        <v>2290</v>
      </c>
      <c r="Q497" s="57">
        <v>15800</v>
      </c>
      <c r="R497" s="58" t="s">
        <v>8</v>
      </c>
      <c r="S497" s="57" t="s">
        <v>8</v>
      </c>
      <c r="T497" s="56" t="s">
        <v>2063</v>
      </c>
    </row>
    <row r="498" spans="1:20">
      <c r="A498" s="55">
        <v>126004850416</v>
      </c>
      <c r="B498" s="53" t="s">
        <v>2055</v>
      </c>
      <c r="C498" s="54">
        <v>45912</v>
      </c>
      <c r="D498" s="55">
        <v>50179062573</v>
      </c>
      <c r="E498" s="55">
        <v>2068948015306</v>
      </c>
      <c r="F498" s="56" t="s">
        <v>2056</v>
      </c>
      <c r="G498" s="56" t="s">
        <v>2057</v>
      </c>
      <c r="H498" s="56" t="s">
        <v>8</v>
      </c>
      <c r="I498" s="55" t="s">
        <v>8</v>
      </c>
      <c r="J498" s="57">
        <v>428.74</v>
      </c>
      <c r="K498" s="56" t="s">
        <v>2058</v>
      </c>
      <c r="L498" s="56" t="s">
        <v>2059</v>
      </c>
      <c r="M498" s="55" t="s">
        <v>2060</v>
      </c>
      <c r="N498" s="56" t="s">
        <v>2061</v>
      </c>
      <c r="O498" s="53" t="s">
        <v>8</v>
      </c>
      <c r="P498" s="56" t="s">
        <v>2291</v>
      </c>
      <c r="Q498" s="57">
        <v>44200</v>
      </c>
      <c r="R498" s="58" t="s">
        <v>8</v>
      </c>
      <c r="S498" s="57" t="s">
        <v>8</v>
      </c>
      <c r="T498" s="56" t="s">
        <v>2063</v>
      </c>
    </row>
    <row r="499" spans="1:20">
      <c r="A499" s="55">
        <v>125453742521</v>
      </c>
      <c r="B499" s="53" t="s">
        <v>2055</v>
      </c>
      <c r="C499" s="54">
        <v>45912</v>
      </c>
      <c r="D499" s="55">
        <v>50179153257</v>
      </c>
      <c r="E499" s="55">
        <v>2068949458432</v>
      </c>
      <c r="F499" s="56" t="s">
        <v>2066</v>
      </c>
      <c r="G499" s="56" t="s">
        <v>2057</v>
      </c>
      <c r="H499" s="56" t="s">
        <v>8</v>
      </c>
      <c r="I499" s="55" t="s">
        <v>8</v>
      </c>
      <c r="J499" s="57">
        <v>1820.54</v>
      </c>
      <c r="K499" s="56" t="s">
        <v>2058</v>
      </c>
      <c r="L499" s="56" t="s">
        <v>2067</v>
      </c>
      <c r="M499" s="55" t="s">
        <v>2060</v>
      </c>
      <c r="N499" s="56" t="s">
        <v>2061</v>
      </c>
      <c r="O499" s="53" t="s">
        <v>1790</v>
      </c>
      <c r="P499" s="56" t="s">
        <v>2068</v>
      </c>
      <c r="Q499" s="57">
        <v>40100</v>
      </c>
      <c r="R499" s="58" t="s">
        <v>8</v>
      </c>
      <c r="S499" s="57" t="s">
        <v>8</v>
      </c>
      <c r="T499" s="56" t="s">
        <v>2063</v>
      </c>
    </row>
    <row r="500" spans="1:20">
      <c r="A500" s="55">
        <v>126005317084</v>
      </c>
      <c r="B500" s="53" t="s">
        <v>2055</v>
      </c>
      <c r="C500" s="54">
        <v>45912</v>
      </c>
      <c r="D500" s="55">
        <v>50179268934</v>
      </c>
      <c r="E500" s="55">
        <v>2068907196477</v>
      </c>
      <c r="F500" s="56" t="s">
        <v>2056</v>
      </c>
      <c r="G500" s="56" t="s">
        <v>2057</v>
      </c>
      <c r="H500" s="56" t="s">
        <v>8</v>
      </c>
      <c r="I500" s="55" t="s">
        <v>8</v>
      </c>
      <c r="J500" s="57">
        <v>434.56</v>
      </c>
      <c r="K500" s="56" t="s">
        <v>2058</v>
      </c>
      <c r="L500" s="56" t="s">
        <v>2059</v>
      </c>
      <c r="M500" s="55" t="s">
        <v>2060</v>
      </c>
      <c r="N500" s="56" t="s">
        <v>2061</v>
      </c>
      <c r="O500" s="53" t="s">
        <v>8</v>
      </c>
      <c r="P500" s="56" t="s">
        <v>2206</v>
      </c>
      <c r="Q500" s="57">
        <v>44800</v>
      </c>
      <c r="R500" s="58" t="s">
        <v>8</v>
      </c>
      <c r="S500" s="57" t="s">
        <v>8</v>
      </c>
      <c r="T500" s="56" t="s">
        <v>2063</v>
      </c>
    </row>
    <row r="501" spans="1:20">
      <c r="A501" s="55">
        <v>125454342423</v>
      </c>
      <c r="B501" s="53" t="s">
        <v>2055</v>
      </c>
      <c r="C501" s="54">
        <v>45912</v>
      </c>
      <c r="D501" s="55">
        <v>50179333472</v>
      </c>
      <c r="E501" s="55">
        <v>2068953522672</v>
      </c>
      <c r="F501" s="56" t="s">
        <v>2066</v>
      </c>
      <c r="G501" s="56" t="s">
        <v>2057</v>
      </c>
      <c r="H501" s="56" t="s">
        <v>8</v>
      </c>
      <c r="I501" s="55" t="s">
        <v>8</v>
      </c>
      <c r="J501" s="57">
        <v>322.26</v>
      </c>
      <c r="K501" s="56" t="s">
        <v>2058</v>
      </c>
      <c r="L501" s="56" t="s">
        <v>2067</v>
      </c>
      <c r="M501" s="55" t="s">
        <v>2060</v>
      </c>
      <c r="N501" s="56" t="s">
        <v>2061</v>
      </c>
      <c r="O501" s="53" t="s">
        <v>1790</v>
      </c>
      <c r="P501" s="56" t="s">
        <v>2068</v>
      </c>
      <c r="Q501" s="57">
        <v>8200</v>
      </c>
      <c r="R501" s="58" t="s">
        <v>8</v>
      </c>
      <c r="S501" s="57" t="s">
        <v>8</v>
      </c>
      <c r="T501" s="56" t="s">
        <v>2063</v>
      </c>
    </row>
    <row r="502" spans="1:20">
      <c r="A502" s="55">
        <v>125454937941</v>
      </c>
      <c r="B502" s="53" t="s">
        <v>2055</v>
      </c>
      <c r="C502" s="54">
        <v>45912</v>
      </c>
      <c r="D502" s="55">
        <v>50179617032</v>
      </c>
      <c r="E502" s="55">
        <v>2068914189701</v>
      </c>
      <c r="F502" s="56" t="s">
        <v>2069</v>
      </c>
      <c r="G502" s="56" t="s">
        <v>2057</v>
      </c>
      <c r="H502" s="56" t="s">
        <v>8</v>
      </c>
      <c r="I502" s="55" t="s">
        <v>8</v>
      </c>
      <c r="J502" s="57">
        <v>109.61</v>
      </c>
      <c r="K502" s="56" t="s">
        <v>2058</v>
      </c>
      <c r="L502" s="56" t="s">
        <v>2059</v>
      </c>
      <c r="M502" s="55" t="s">
        <v>2060</v>
      </c>
      <c r="N502" s="56" t="s">
        <v>2061</v>
      </c>
      <c r="O502" s="53" t="s">
        <v>8</v>
      </c>
      <c r="P502" s="56" t="s">
        <v>2070</v>
      </c>
      <c r="Q502" s="57">
        <v>11300</v>
      </c>
      <c r="R502" s="58" t="s">
        <v>8</v>
      </c>
      <c r="S502" s="57" t="s">
        <v>8</v>
      </c>
      <c r="T502" s="56" t="s">
        <v>8</v>
      </c>
    </row>
    <row r="503" spans="1:20">
      <c r="A503" s="55">
        <v>125455143547</v>
      </c>
      <c r="B503" s="53" t="s">
        <v>2055</v>
      </c>
      <c r="C503" s="54">
        <v>45912</v>
      </c>
      <c r="D503" s="55">
        <v>50179678027</v>
      </c>
      <c r="E503" s="55">
        <v>2068960188212</v>
      </c>
      <c r="F503" s="56" t="s">
        <v>2066</v>
      </c>
      <c r="G503" s="56" t="s">
        <v>2057</v>
      </c>
      <c r="H503" s="56" t="s">
        <v>8</v>
      </c>
      <c r="I503" s="55" t="s">
        <v>8</v>
      </c>
      <c r="J503" s="57">
        <v>322.26</v>
      </c>
      <c r="K503" s="56" t="s">
        <v>2058</v>
      </c>
      <c r="L503" s="56" t="s">
        <v>2067</v>
      </c>
      <c r="M503" s="55" t="s">
        <v>2060</v>
      </c>
      <c r="N503" s="56" t="s">
        <v>2061</v>
      </c>
      <c r="O503" s="53" t="s">
        <v>1790</v>
      </c>
      <c r="P503" s="56" t="s">
        <v>2068</v>
      </c>
      <c r="Q503" s="57">
        <v>8200</v>
      </c>
      <c r="R503" s="58" t="s">
        <v>8</v>
      </c>
      <c r="S503" s="57" t="s">
        <v>8</v>
      </c>
      <c r="T503" s="56" t="s">
        <v>2063</v>
      </c>
    </row>
    <row r="504" spans="1:20">
      <c r="A504" s="55">
        <v>125455209189</v>
      </c>
      <c r="B504" s="53" t="s">
        <v>2055</v>
      </c>
      <c r="C504" s="54">
        <v>45912</v>
      </c>
      <c r="D504" s="55">
        <v>50179682784</v>
      </c>
      <c r="E504" s="55">
        <v>2068915726167</v>
      </c>
      <c r="F504" s="56" t="s">
        <v>2066</v>
      </c>
      <c r="G504" s="56" t="s">
        <v>2057</v>
      </c>
      <c r="H504" s="56" t="s">
        <v>8</v>
      </c>
      <c r="I504" s="55" t="s">
        <v>8</v>
      </c>
      <c r="J504" s="57">
        <v>1108.26</v>
      </c>
      <c r="K504" s="56" t="s">
        <v>2058</v>
      </c>
      <c r="L504" s="56" t="s">
        <v>2067</v>
      </c>
      <c r="M504" s="55" t="s">
        <v>2060</v>
      </c>
      <c r="N504" s="56" t="s">
        <v>2061</v>
      </c>
      <c r="O504" s="53" t="s">
        <v>1790</v>
      </c>
      <c r="P504" s="56" t="s">
        <v>2068</v>
      </c>
      <c r="Q504" s="57">
        <v>28200</v>
      </c>
      <c r="R504" s="58" t="s">
        <v>8</v>
      </c>
      <c r="S504" s="57" t="s">
        <v>8</v>
      </c>
      <c r="T504" s="56" t="s">
        <v>2063</v>
      </c>
    </row>
    <row r="505" spans="1:20">
      <c r="A505" s="55">
        <v>126006479850</v>
      </c>
      <c r="B505" s="53" t="s">
        <v>2055</v>
      </c>
      <c r="C505" s="54">
        <v>45912</v>
      </c>
      <c r="D505" s="55">
        <v>50179702662</v>
      </c>
      <c r="E505" s="55">
        <v>2068960832714</v>
      </c>
      <c r="F505" s="56" t="s">
        <v>2056</v>
      </c>
      <c r="G505" s="56" t="s">
        <v>2057</v>
      </c>
      <c r="H505" s="56" t="s">
        <v>8</v>
      </c>
      <c r="I505" s="55" t="s">
        <v>8</v>
      </c>
      <c r="J505" s="57">
        <v>48.5</v>
      </c>
      <c r="K505" s="56" t="s">
        <v>2058</v>
      </c>
      <c r="L505" s="56" t="s">
        <v>2059</v>
      </c>
      <c r="M505" s="55" t="s">
        <v>2060</v>
      </c>
      <c r="N505" s="56" t="s">
        <v>2061</v>
      </c>
      <c r="O505" s="53" t="s">
        <v>8</v>
      </c>
      <c r="P505" s="56" t="s">
        <v>2190</v>
      </c>
      <c r="Q505" s="57">
        <v>5000</v>
      </c>
      <c r="R505" s="58" t="s">
        <v>8</v>
      </c>
      <c r="S505" s="57" t="s">
        <v>8</v>
      </c>
      <c r="T505" s="56" t="s">
        <v>2063</v>
      </c>
    </row>
    <row r="506" spans="1:20">
      <c r="A506" s="55">
        <v>126006688382</v>
      </c>
      <c r="B506" s="53" t="s">
        <v>2055</v>
      </c>
      <c r="C506" s="54">
        <v>45912</v>
      </c>
      <c r="D506" s="55">
        <v>50179753440</v>
      </c>
      <c r="E506" s="55">
        <v>2068917120923</v>
      </c>
      <c r="F506" s="56" t="s">
        <v>2056</v>
      </c>
      <c r="G506" s="56" t="s">
        <v>2057</v>
      </c>
      <c r="H506" s="56" t="s">
        <v>8</v>
      </c>
      <c r="I506" s="55" t="s">
        <v>8</v>
      </c>
      <c r="J506" s="57">
        <v>331.74</v>
      </c>
      <c r="K506" s="56" t="s">
        <v>2058</v>
      </c>
      <c r="L506" s="56" t="s">
        <v>2059</v>
      </c>
      <c r="M506" s="55" t="s">
        <v>2060</v>
      </c>
      <c r="N506" s="56" t="s">
        <v>2061</v>
      </c>
      <c r="O506" s="53" t="s">
        <v>8</v>
      </c>
      <c r="P506" s="56" t="s">
        <v>2292</v>
      </c>
      <c r="Q506" s="57">
        <v>34200</v>
      </c>
      <c r="R506" s="58" t="s">
        <v>8</v>
      </c>
      <c r="S506" s="57" t="s">
        <v>8</v>
      </c>
      <c r="T506" s="56" t="s">
        <v>2063</v>
      </c>
    </row>
    <row r="507" spans="1:20">
      <c r="A507" s="55">
        <v>125455496263</v>
      </c>
      <c r="B507" s="53" t="s">
        <v>2055</v>
      </c>
      <c r="C507" s="54">
        <v>45912</v>
      </c>
      <c r="D507" s="55">
        <v>50179796783</v>
      </c>
      <c r="E507" s="55">
        <v>2068962323322</v>
      </c>
      <c r="F507" s="56" t="s">
        <v>2056</v>
      </c>
      <c r="G507" s="56" t="s">
        <v>2057</v>
      </c>
      <c r="H507" s="56" t="s">
        <v>8</v>
      </c>
      <c r="I507" s="55" t="s">
        <v>8</v>
      </c>
      <c r="J507" s="57">
        <v>724.59</v>
      </c>
      <c r="K507" s="56" t="s">
        <v>2058</v>
      </c>
      <c r="L507" s="56" t="s">
        <v>2059</v>
      </c>
      <c r="M507" s="55" t="s">
        <v>2060</v>
      </c>
      <c r="N507" s="56" t="s">
        <v>2061</v>
      </c>
      <c r="O507" s="53" t="s">
        <v>8</v>
      </c>
      <c r="P507" s="56" t="s">
        <v>2293</v>
      </c>
      <c r="Q507" s="57">
        <v>74700</v>
      </c>
      <c r="R507" s="58" t="s">
        <v>8</v>
      </c>
      <c r="S507" s="57" t="s">
        <v>8</v>
      </c>
      <c r="T507" s="56" t="s">
        <v>2063</v>
      </c>
    </row>
    <row r="508" spans="1:20">
      <c r="A508" s="55">
        <v>126007138224</v>
      </c>
      <c r="B508" s="53" t="s">
        <v>2055</v>
      </c>
      <c r="C508" s="54">
        <v>45912</v>
      </c>
      <c r="D508" s="55">
        <v>50179921169</v>
      </c>
      <c r="E508" s="55">
        <v>2068964911600</v>
      </c>
      <c r="F508" s="56" t="s">
        <v>2066</v>
      </c>
      <c r="G508" s="56" t="s">
        <v>2057</v>
      </c>
      <c r="H508" s="56" t="s">
        <v>8</v>
      </c>
      <c r="I508" s="55" t="s">
        <v>8</v>
      </c>
      <c r="J508" s="57">
        <v>1902.12</v>
      </c>
      <c r="K508" s="56" t="s">
        <v>2058</v>
      </c>
      <c r="L508" s="56" t="s">
        <v>2067</v>
      </c>
      <c r="M508" s="55" t="s">
        <v>2060</v>
      </c>
      <c r="N508" s="56" t="s">
        <v>2061</v>
      </c>
      <c r="O508" s="53" t="s">
        <v>1790</v>
      </c>
      <c r="P508" s="56" t="s">
        <v>2068</v>
      </c>
      <c r="Q508" s="57">
        <v>48400</v>
      </c>
      <c r="R508" s="58" t="s">
        <v>8</v>
      </c>
      <c r="S508" s="57" t="s">
        <v>8</v>
      </c>
      <c r="T508" s="56" t="s">
        <v>2063</v>
      </c>
    </row>
    <row r="509" spans="1:20">
      <c r="A509" s="55">
        <v>125455999533</v>
      </c>
      <c r="B509" s="53" t="s">
        <v>2055</v>
      </c>
      <c r="C509" s="54">
        <v>45912</v>
      </c>
      <c r="D509" s="55">
        <v>50179984451</v>
      </c>
      <c r="E509" s="55">
        <v>2068965644778</v>
      </c>
      <c r="F509" s="56" t="s">
        <v>2066</v>
      </c>
      <c r="G509" s="56" t="s">
        <v>2057</v>
      </c>
      <c r="H509" s="56" t="s">
        <v>8</v>
      </c>
      <c r="I509" s="55" t="s">
        <v>8</v>
      </c>
      <c r="J509" s="57">
        <v>5555.3</v>
      </c>
      <c r="K509" s="56" t="s">
        <v>2058</v>
      </c>
      <c r="L509" s="56" t="s">
        <v>2067</v>
      </c>
      <c r="M509" s="55" t="s">
        <v>2060</v>
      </c>
      <c r="N509" s="56" t="s">
        <v>2061</v>
      </c>
      <c r="O509" s="53" t="s">
        <v>1790</v>
      </c>
      <c r="P509" s="56" t="s">
        <v>2068</v>
      </c>
      <c r="Q509" s="57">
        <v>73000</v>
      </c>
      <c r="R509" s="58" t="s">
        <v>8</v>
      </c>
      <c r="S509" s="57" t="s">
        <v>8</v>
      </c>
      <c r="T509" s="56" t="s">
        <v>2063</v>
      </c>
    </row>
    <row r="510" spans="1:20">
      <c r="A510" s="55">
        <v>125456097501</v>
      </c>
      <c r="B510" s="53" t="s">
        <v>2055</v>
      </c>
      <c r="C510" s="54">
        <v>45912</v>
      </c>
      <c r="D510" s="55">
        <v>50179990259</v>
      </c>
      <c r="E510" s="55">
        <v>2068921524147</v>
      </c>
      <c r="F510" s="56" t="s">
        <v>2066</v>
      </c>
      <c r="G510" s="56" t="s">
        <v>2057</v>
      </c>
      <c r="H510" s="56" t="s">
        <v>8</v>
      </c>
      <c r="I510" s="55" t="s">
        <v>8</v>
      </c>
      <c r="J510" s="57">
        <v>703.47</v>
      </c>
      <c r="K510" s="56" t="s">
        <v>2058</v>
      </c>
      <c r="L510" s="56" t="s">
        <v>2067</v>
      </c>
      <c r="M510" s="55" t="s">
        <v>2060</v>
      </c>
      <c r="N510" s="56" t="s">
        <v>2061</v>
      </c>
      <c r="O510" s="53" t="s">
        <v>1790</v>
      </c>
      <c r="P510" s="56" t="s">
        <v>2068</v>
      </c>
      <c r="Q510" s="57">
        <v>17900</v>
      </c>
      <c r="R510" s="58" t="s">
        <v>8</v>
      </c>
      <c r="S510" s="57" t="s">
        <v>8</v>
      </c>
      <c r="T510" s="56" t="s">
        <v>2063</v>
      </c>
    </row>
    <row r="511" spans="1:20">
      <c r="A511" s="55">
        <v>126007254642</v>
      </c>
      <c r="B511" s="53" t="s">
        <v>2055</v>
      </c>
      <c r="C511" s="54">
        <v>45912</v>
      </c>
      <c r="D511" s="55">
        <v>50180000277</v>
      </c>
      <c r="E511" s="55">
        <v>2068966348780</v>
      </c>
      <c r="F511" s="56" t="s">
        <v>2056</v>
      </c>
      <c r="G511" s="56" t="s">
        <v>2057</v>
      </c>
      <c r="H511" s="56" t="s">
        <v>8</v>
      </c>
      <c r="I511" s="55" t="s">
        <v>8</v>
      </c>
      <c r="J511" s="57">
        <v>33.950000000000003</v>
      </c>
      <c r="K511" s="56" t="s">
        <v>2058</v>
      </c>
      <c r="L511" s="56" t="s">
        <v>2059</v>
      </c>
      <c r="M511" s="55" t="s">
        <v>2060</v>
      </c>
      <c r="N511" s="56" t="s">
        <v>2061</v>
      </c>
      <c r="O511" s="53" t="s">
        <v>8</v>
      </c>
      <c r="P511" s="56" t="s">
        <v>2147</v>
      </c>
      <c r="Q511" s="57">
        <v>3500</v>
      </c>
      <c r="R511" s="58" t="s">
        <v>8</v>
      </c>
      <c r="S511" s="57" t="s">
        <v>8</v>
      </c>
      <c r="T511" s="56" t="s">
        <v>2063</v>
      </c>
    </row>
    <row r="512" spans="1:20">
      <c r="A512" s="55">
        <v>126007328626</v>
      </c>
      <c r="B512" s="53" t="s">
        <v>2055</v>
      </c>
      <c r="C512" s="54">
        <v>45912</v>
      </c>
      <c r="D512" s="55">
        <v>50180037076</v>
      </c>
      <c r="E512" s="55">
        <v>2068966848726</v>
      </c>
      <c r="F512" s="56" t="s">
        <v>2056</v>
      </c>
      <c r="G512" s="56" t="s">
        <v>2057</v>
      </c>
      <c r="H512" s="56" t="s">
        <v>8</v>
      </c>
      <c r="I512" s="55" t="s">
        <v>8</v>
      </c>
      <c r="J512" s="57">
        <v>97</v>
      </c>
      <c r="K512" s="56" t="s">
        <v>2058</v>
      </c>
      <c r="L512" s="56" t="s">
        <v>2059</v>
      </c>
      <c r="M512" s="55" t="s">
        <v>2060</v>
      </c>
      <c r="N512" s="56" t="s">
        <v>2061</v>
      </c>
      <c r="O512" s="53" t="s">
        <v>8</v>
      </c>
      <c r="P512" s="56" t="s">
        <v>2294</v>
      </c>
      <c r="Q512" s="57">
        <v>10000</v>
      </c>
      <c r="R512" s="58" t="s">
        <v>8</v>
      </c>
      <c r="S512" s="57" t="s">
        <v>8</v>
      </c>
      <c r="T512" s="56" t="s">
        <v>2063</v>
      </c>
    </row>
    <row r="513" spans="1:20">
      <c r="A513" s="55">
        <v>125456304867</v>
      </c>
      <c r="B513" s="53" t="s">
        <v>2055</v>
      </c>
      <c r="C513" s="54">
        <v>45913</v>
      </c>
      <c r="D513" s="55">
        <v>50180079515</v>
      </c>
      <c r="E513" s="55">
        <v>2068922854427</v>
      </c>
      <c r="F513" s="56" t="s">
        <v>2056</v>
      </c>
      <c r="G513" s="56" t="s">
        <v>2057</v>
      </c>
      <c r="H513" s="56" t="s">
        <v>8</v>
      </c>
      <c r="I513" s="55" t="s">
        <v>8</v>
      </c>
      <c r="J513" s="57">
        <v>405.46</v>
      </c>
      <c r="K513" s="56" t="s">
        <v>2058</v>
      </c>
      <c r="L513" s="56" t="s">
        <v>2059</v>
      </c>
      <c r="M513" s="55" t="s">
        <v>2060</v>
      </c>
      <c r="N513" s="56" t="s">
        <v>2061</v>
      </c>
      <c r="O513" s="53" t="s">
        <v>8</v>
      </c>
      <c r="P513" s="56" t="s">
        <v>2295</v>
      </c>
      <c r="Q513" s="57">
        <v>41800</v>
      </c>
      <c r="R513" s="58" t="s">
        <v>8</v>
      </c>
      <c r="S513" s="57" t="s">
        <v>8</v>
      </c>
      <c r="T513" s="56" t="s">
        <v>2063</v>
      </c>
    </row>
    <row r="514" spans="1:20">
      <c r="A514" s="55">
        <v>126007613112</v>
      </c>
      <c r="B514" s="53" t="s">
        <v>2055</v>
      </c>
      <c r="C514" s="54">
        <v>45913</v>
      </c>
      <c r="D514" s="55">
        <v>50180155253</v>
      </c>
      <c r="E514" s="55">
        <v>2068924352797</v>
      </c>
      <c r="F514" s="56" t="s">
        <v>2056</v>
      </c>
      <c r="G514" s="56" t="s">
        <v>2057</v>
      </c>
      <c r="H514" s="56" t="s">
        <v>8</v>
      </c>
      <c r="I514" s="55" t="s">
        <v>8</v>
      </c>
      <c r="J514" s="57">
        <v>358.9</v>
      </c>
      <c r="K514" s="56" t="s">
        <v>2058</v>
      </c>
      <c r="L514" s="56" t="s">
        <v>2059</v>
      </c>
      <c r="M514" s="55" t="s">
        <v>2060</v>
      </c>
      <c r="N514" s="56" t="s">
        <v>2061</v>
      </c>
      <c r="O514" s="53" t="s">
        <v>8</v>
      </c>
      <c r="P514" s="56" t="s">
        <v>2296</v>
      </c>
      <c r="Q514" s="57">
        <v>37000</v>
      </c>
      <c r="R514" s="58" t="s">
        <v>8</v>
      </c>
      <c r="S514" s="57" t="s">
        <v>8</v>
      </c>
      <c r="T514" s="56" t="s">
        <v>2063</v>
      </c>
    </row>
    <row r="515" spans="1:20">
      <c r="A515" s="55">
        <v>126008199580</v>
      </c>
      <c r="B515" s="53" t="s">
        <v>2055</v>
      </c>
      <c r="C515" s="54">
        <v>45913</v>
      </c>
      <c r="D515" s="55">
        <v>50180402691</v>
      </c>
      <c r="E515" s="55">
        <v>2068973023386</v>
      </c>
      <c r="F515" s="56" t="s">
        <v>2056</v>
      </c>
      <c r="G515" s="56" t="s">
        <v>2057</v>
      </c>
      <c r="H515" s="56" t="s">
        <v>8</v>
      </c>
      <c r="I515" s="55" t="s">
        <v>8</v>
      </c>
      <c r="J515" s="57">
        <v>348.23</v>
      </c>
      <c r="K515" s="56" t="s">
        <v>2058</v>
      </c>
      <c r="L515" s="56" t="s">
        <v>2059</v>
      </c>
      <c r="M515" s="55" t="s">
        <v>2060</v>
      </c>
      <c r="N515" s="56" t="s">
        <v>2061</v>
      </c>
      <c r="O515" s="53" t="s">
        <v>8</v>
      </c>
      <c r="P515" s="56" t="s">
        <v>2297</v>
      </c>
      <c r="Q515" s="57">
        <v>35900</v>
      </c>
      <c r="R515" s="58" t="s">
        <v>8</v>
      </c>
      <c r="S515" s="57" t="s">
        <v>8</v>
      </c>
      <c r="T515" s="56" t="s">
        <v>2063</v>
      </c>
    </row>
    <row r="516" spans="1:20">
      <c r="A516" s="55">
        <v>125457086371</v>
      </c>
      <c r="B516" s="53" t="s">
        <v>2055</v>
      </c>
      <c r="C516" s="54">
        <v>45913</v>
      </c>
      <c r="D516" s="55">
        <v>50180430461</v>
      </c>
      <c r="E516" s="55">
        <v>2068928496849</v>
      </c>
      <c r="F516" s="56" t="s">
        <v>2107</v>
      </c>
      <c r="G516" s="56" t="s">
        <v>2057</v>
      </c>
      <c r="H516" s="56" t="s">
        <v>8</v>
      </c>
      <c r="I516" s="55" t="s">
        <v>8</v>
      </c>
      <c r="J516" s="57">
        <v>625.91999999999996</v>
      </c>
      <c r="K516" s="56" t="s">
        <v>2058</v>
      </c>
      <c r="L516" s="56" t="s">
        <v>2059</v>
      </c>
      <c r="M516" s="55" t="s">
        <v>2060</v>
      </c>
      <c r="N516" s="56" t="s">
        <v>2061</v>
      </c>
      <c r="O516" s="53" t="s">
        <v>8</v>
      </c>
      <c r="P516" s="56" t="s">
        <v>2108</v>
      </c>
      <c r="Q516" s="57">
        <v>38400</v>
      </c>
      <c r="R516" s="58" t="s">
        <v>8</v>
      </c>
      <c r="S516" s="57" t="s">
        <v>8</v>
      </c>
      <c r="T516" s="56" t="s">
        <v>2063</v>
      </c>
    </row>
    <row r="517" spans="1:20">
      <c r="A517" s="55">
        <v>125457113205</v>
      </c>
      <c r="B517" s="53" t="s">
        <v>2055</v>
      </c>
      <c r="C517" s="54">
        <v>45913</v>
      </c>
      <c r="D517" s="55">
        <v>50180468291</v>
      </c>
      <c r="E517" s="55">
        <v>2068929209113</v>
      </c>
      <c r="F517" s="56" t="s">
        <v>2066</v>
      </c>
      <c r="G517" s="56" t="s">
        <v>2057</v>
      </c>
      <c r="H517" s="56" t="s">
        <v>8</v>
      </c>
      <c r="I517" s="55" t="s">
        <v>8</v>
      </c>
      <c r="J517" s="57">
        <v>1921.77</v>
      </c>
      <c r="K517" s="56" t="s">
        <v>2058</v>
      </c>
      <c r="L517" s="56" t="s">
        <v>2067</v>
      </c>
      <c r="M517" s="55" t="s">
        <v>2060</v>
      </c>
      <c r="N517" s="56" t="s">
        <v>2061</v>
      </c>
      <c r="O517" s="53" t="s">
        <v>1790</v>
      </c>
      <c r="P517" s="56" t="s">
        <v>2068</v>
      </c>
      <c r="Q517" s="57">
        <v>48900</v>
      </c>
      <c r="R517" s="58" t="s">
        <v>8</v>
      </c>
      <c r="S517" s="57" t="s">
        <v>8</v>
      </c>
      <c r="T517" s="56" t="s">
        <v>2063</v>
      </c>
    </row>
    <row r="518" spans="1:20">
      <c r="A518" s="55">
        <v>126008404306</v>
      </c>
      <c r="B518" s="53" t="s">
        <v>2055</v>
      </c>
      <c r="C518" s="54">
        <v>45913</v>
      </c>
      <c r="D518" s="55">
        <v>50180475327</v>
      </c>
      <c r="E518" s="55">
        <v>2068929021113</v>
      </c>
      <c r="F518" s="56" t="s">
        <v>2066</v>
      </c>
      <c r="G518" s="56" t="s">
        <v>2057</v>
      </c>
      <c r="H518" s="56" t="s">
        <v>8</v>
      </c>
      <c r="I518" s="55" t="s">
        <v>8</v>
      </c>
      <c r="J518" s="57">
        <v>613.08000000000004</v>
      </c>
      <c r="K518" s="56" t="s">
        <v>2058</v>
      </c>
      <c r="L518" s="56" t="s">
        <v>2067</v>
      </c>
      <c r="M518" s="55" t="s">
        <v>2060</v>
      </c>
      <c r="N518" s="56" t="s">
        <v>2061</v>
      </c>
      <c r="O518" s="53" t="s">
        <v>1790</v>
      </c>
      <c r="P518" s="56" t="s">
        <v>2068</v>
      </c>
      <c r="Q518" s="57">
        <v>15600</v>
      </c>
      <c r="R518" s="58" t="s">
        <v>8</v>
      </c>
      <c r="S518" s="57" t="s">
        <v>8</v>
      </c>
      <c r="T518" s="56" t="s">
        <v>2063</v>
      </c>
    </row>
    <row r="519" spans="1:20">
      <c r="A519" s="55">
        <v>126008508224</v>
      </c>
      <c r="B519" s="53" t="s">
        <v>2055</v>
      </c>
      <c r="C519" s="54">
        <v>45913</v>
      </c>
      <c r="D519" s="55">
        <v>50180499332</v>
      </c>
      <c r="E519" s="55">
        <v>2068929756843</v>
      </c>
      <c r="F519" s="56" t="s">
        <v>2056</v>
      </c>
      <c r="G519" s="56" t="s">
        <v>2057</v>
      </c>
      <c r="H519" s="56" t="s">
        <v>8</v>
      </c>
      <c r="I519" s="55" t="s">
        <v>8</v>
      </c>
      <c r="J519" s="57">
        <v>274.51</v>
      </c>
      <c r="K519" s="56" t="s">
        <v>2058</v>
      </c>
      <c r="L519" s="56" t="s">
        <v>2059</v>
      </c>
      <c r="M519" s="55" t="s">
        <v>2060</v>
      </c>
      <c r="N519" s="56" t="s">
        <v>2061</v>
      </c>
      <c r="O519" s="53" t="s">
        <v>8</v>
      </c>
      <c r="P519" s="56" t="s">
        <v>2298</v>
      </c>
      <c r="Q519" s="57">
        <v>28300</v>
      </c>
      <c r="R519" s="58" t="s">
        <v>8</v>
      </c>
      <c r="S519" s="57" t="s">
        <v>8</v>
      </c>
      <c r="T519" s="56" t="s">
        <v>2063</v>
      </c>
    </row>
    <row r="520" spans="1:20">
      <c r="A520" s="55">
        <v>126008501598</v>
      </c>
      <c r="B520" s="53" t="s">
        <v>2055</v>
      </c>
      <c r="C520" s="54">
        <v>45913</v>
      </c>
      <c r="D520" s="55">
        <v>50180566560</v>
      </c>
      <c r="E520" s="55">
        <v>2068975131196</v>
      </c>
      <c r="F520" s="56" t="s">
        <v>2066</v>
      </c>
      <c r="G520" s="56" t="s">
        <v>2057</v>
      </c>
      <c r="H520" s="56" t="s">
        <v>8</v>
      </c>
      <c r="I520" s="55" t="s">
        <v>8</v>
      </c>
      <c r="J520" s="57">
        <v>1956.74</v>
      </c>
      <c r="K520" s="56" t="s">
        <v>2058</v>
      </c>
      <c r="L520" s="56" t="s">
        <v>2067</v>
      </c>
      <c r="M520" s="55" t="s">
        <v>2060</v>
      </c>
      <c r="N520" s="56" t="s">
        <v>2061</v>
      </c>
      <c r="O520" s="53" t="s">
        <v>1790</v>
      </c>
      <c r="P520" s="56" t="s">
        <v>2068</v>
      </c>
      <c r="Q520" s="57">
        <v>43100</v>
      </c>
      <c r="R520" s="58" t="s">
        <v>8</v>
      </c>
      <c r="S520" s="57" t="s">
        <v>8</v>
      </c>
      <c r="T520" s="56" t="s">
        <v>2063</v>
      </c>
    </row>
    <row r="521" spans="1:20">
      <c r="A521" s="55">
        <v>126008998174</v>
      </c>
      <c r="B521" s="53" t="s">
        <v>2055</v>
      </c>
      <c r="C521" s="54">
        <v>45913</v>
      </c>
      <c r="D521" s="55">
        <v>50180714131</v>
      </c>
      <c r="E521" s="55">
        <v>2068933448293</v>
      </c>
      <c r="F521" s="56" t="s">
        <v>2066</v>
      </c>
      <c r="G521" s="56" t="s">
        <v>2057</v>
      </c>
      <c r="H521" s="56" t="s">
        <v>8</v>
      </c>
      <c r="I521" s="55" t="s">
        <v>8</v>
      </c>
      <c r="J521" s="57">
        <v>1992.51</v>
      </c>
      <c r="K521" s="56" t="s">
        <v>2058</v>
      </c>
      <c r="L521" s="56" t="s">
        <v>2067</v>
      </c>
      <c r="M521" s="55" t="s">
        <v>2060</v>
      </c>
      <c r="N521" s="56" t="s">
        <v>2061</v>
      </c>
      <c r="O521" s="53" t="s">
        <v>1790</v>
      </c>
      <c r="P521" s="56" t="s">
        <v>2068</v>
      </c>
      <c r="Q521" s="57">
        <v>50700</v>
      </c>
      <c r="R521" s="58" t="s">
        <v>8</v>
      </c>
      <c r="S521" s="57" t="s">
        <v>8</v>
      </c>
      <c r="T521" s="56" t="s">
        <v>2063</v>
      </c>
    </row>
    <row r="522" spans="1:20">
      <c r="A522" s="55">
        <v>126009033428</v>
      </c>
      <c r="B522" s="53" t="s">
        <v>2055</v>
      </c>
      <c r="C522" s="54">
        <v>45913</v>
      </c>
      <c r="D522" s="55">
        <v>50180807642</v>
      </c>
      <c r="E522" s="55">
        <v>2068934194235</v>
      </c>
      <c r="F522" s="56" t="s">
        <v>2066</v>
      </c>
      <c r="G522" s="56" t="s">
        <v>2057</v>
      </c>
      <c r="H522" s="56" t="s">
        <v>8</v>
      </c>
      <c r="I522" s="55" t="s">
        <v>8</v>
      </c>
      <c r="J522" s="57">
        <v>668.1</v>
      </c>
      <c r="K522" s="56" t="s">
        <v>2058</v>
      </c>
      <c r="L522" s="56" t="s">
        <v>2067</v>
      </c>
      <c r="M522" s="55" t="s">
        <v>2060</v>
      </c>
      <c r="N522" s="56" t="s">
        <v>2061</v>
      </c>
      <c r="O522" s="53" t="s">
        <v>1790</v>
      </c>
      <c r="P522" s="56" t="s">
        <v>2068</v>
      </c>
      <c r="Q522" s="57">
        <v>17000</v>
      </c>
      <c r="R522" s="58" t="s">
        <v>8</v>
      </c>
      <c r="S522" s="57" t="s">
        <v>8</v>
      </c>
      <c r="T522" s="56" t="s">
        <v>2063</v>
      </c>
    </row>
    <row r="523" spans="1:20">
      <c r="A523" s="55">
        <v>125458240273</v>
      </c>
      <c r="B523" s="53" t="s">
        <v>2055</v>
      </c>
      <c r="C523" s="54">
        <v>45913</v>
      </c>
      <c r="D523" s="55">
        <v>50180892841</v>
      </c>
      <c r="E523" s="55">
        <v>2068980437066</v>
      </c>
      <c r="F523" s="56" t="s">
        <v>2056</v>
      </c>
      <c r="G523" s="56" t="s">
        <v>2057</v>
      </c>
      <c r="H523" s="56" t="s">
        <v>8</v>
      </c>
      <c r="I523" s="55" t="s">
        <v>8</v>
      </c>
      <c r="J523" s="57">
        <v>112.52</v>
      </c>
      <c r="K523" s="56" t="s">
        <v>2058</v>
      </c>
      <c r="L523" s="56" t="s">
        <v>2059</v>
      </c>
      <c r="M523" s="55" t="s">
        <v>2060</v>
      </c>
      <c r="N523" s="56" t="s">
        <v>2061</v>
      </c>
      <c r="O523" s="53" t="s">
        <v>8</v>
      </c>
      <c r="P523" s="56" t="s">
        <v>2299</v>
      </c>
      <c r="Q523" s="57">
        <v>11600</v>
      </c>
      <c r="R523" s="58" t="s">
        <v>8</v>
      </c>
      <c r="S523" s="57" t="s">
        <v>8</v>
      </c>
      <c r="T523" s="56" t="s">
        <v>2063</v>
      </c>
    </row>
    <row r="524" spans="1:20">
      <c r="A524" s="55">
        <v>125458625329</v>
      </c>
      <c r="B524" s="53" t="s">
        <v>2055</v>
      </c>
      <c r="C524" s="54">
        <v>45913</v>
      </c>
      <c r="D524" s="55">
        <v>50181144437</v>
      </c>
      <c r="E524" s="55">
        <v>2068984156236</v>
      </c>
      <c r="F524" s="56" t="s">
        <v>2056</v>
      </c>
      <c r="G524" s="56" t="s">
        <v>2057</v>
      </c>
      <c r="H524" s="56" t="s">
        <v>8</v>
      </c>
      <c r="I524" s="55" t="s">
        <v>8</v>
      </c>
      <c r="J524" s="57">
        <v>79.540000000000006</v>
      </c>
      <c r="K524" s="56" t="s">
        <v>2058</v>
      </c>
      <c r="L524" s="56" t="s">
        <v>2059</v>
      </c>
      <c r="M524" s="55" t="s">
        <v>2060</v>
      </c>
      <c r="N524" s="56" t="s">
        <v>2061</v>
      </c>
      <c r="O524" s="53" t="s">
        <v>8</v>
      </c>
      <c r="P524" s="56" t="s">
        <v>2300</v>
      </c>
      <c r="Q524" s="57">
        <v>8200</v>
      </c>
      <c r="R524" s="58" t="s">
        <v>8</v>
      </c>
      <c r="S524" s="57" t="s">
        <v>8</v>
      </c>
      <c r="T524" s="56" t="s">
        <v>2063</v>
      </c>
    </row>
    <row r="525" spans="1:20">
      <c r="A525" s="55">
        <v>125458908029</v>
      </c>
      <c r="B525" s="53" t="s">
        <v>2055</v>
      </c>
      <c r="C525" s="54">
        <v>45913</v>
      </c>
      <c r="D525" s="55">
        <v>50181252628</v>
      </c>
      <c r="E525" s="55">
        <v>2068986323520</v>
      </c>
      <c r="F525" s="56" t="s">
        <v>2056</v>
      </c>
      <c r="G525" s="56" t="s">
        <v>2057</v>
      </c>
      <c r="H525" s="56" t="s">
        <v>8</v>
      </c>
      <c r="I525" s="55" t="s">
        <v>8</v>
      </c>
      <c r="J525" s="57">
        <v>246.38</v>
      </c>
      <c r="K525" s="56" t="s">
        <v>2058</v>
      </c>
      <c r="L525" s="56" t="s">
        <v>2059</v>
      </c>
      <c r="M525" s="55" t="s">
        <v>2060</v>
      </c>
      <c r="N525" s="56" t="s">
        <v>2061</v>
      </c>
      <c r="O525" s="53" t="s">
        <v>8</v>
      </c>
      <c r="P525" s="56" t="s">
        <v>2301</v>
      </c>
      <c r="Q525" s="57">
        <v>25400</v>
      </c>
      <c r="R525" s="58" t="s">
        <v>8</v>
      </c>
      <c r="S525" s="57" t="s">
        <v>8</v>
      </c>
      <c r="T525" s="56" t="s">
        <v>2063</v>
      </c>
    </row>
    <row r="526" spans="1:20">
      <c r="A526" s="55">
        <v>126010551652</v>
      </c>
      <c r="B526" s="53" t="s">
        <v>2055</v>
      </c>
      <c r="C526" s="54">
        <v>45913</v>
      </c>
      <c r="D526" s="55">
        <v>50181458350</v>
      </c>
      <c r="E526" s="55">
        <v>2068988928648</v>
      </c>
      <c r="F526" s="56" t="s">
        <v>2066</v>
      </c>
      <c r="G526" s="56" t="s">
        <v>2057</v>
      </c>
      <c r="H526" s="56" t="s">
        <v>8</v>
      </c>
      <c r="I526" s="55" t="s">
        <v>8</v>
      </c>
      <c r="J526" s="57">
        <v>1198.6500000000001</v>
      </c>
      <c r="K526" s="56" t="s">
        <v>2058</v>
      </c>
      <c r="L526" s="56" t="s">
        <v>2067</v>
      </c>
      <c r="M526" s="55" t="s">
        <v>2060</v>
      </c>
      <c r="N526" s="56" t="s">
        <v>2061</v>
      </c>
      <c r="O526" s="53" t="s">
        <v>1790</v>
      </c>
      <c r="P526" s="56" t="s">
        <v>2068</v>
      </c>
      <c r="Q526" s="57">
        <v>30500</v>
      </c>
      <c r="R526" s="58" t="s">
        <v>8</v>
      </c>
      <c r="S526" s="57" t="s">
        <v>8</v>
      </c>
      <c r="T526" s="56" t="s">
        <v>2063</v>
      </c>
    </row>
    <row r="527" spans="1:20">
      <c r="A527" s="55">
        <v>125459627485</v>
      </c>
      <c r="B527" s="53" t="s">
        <v>2055</v>
      </c>
      <c r="C527" s="54">
        <v>45913</v>
      </c>
      <c r="D527" s="55">
        <v>50181569561</v>
      </c>
      <c r="E527" s="55">
        <v>2068945813489</v>
      </c>
      <c r="F527" s="56" t="s">
        <v>2056</v>
      </c>
      <c r="G527" s="56" t="s">
        <v>2057</v>
      </c>
      <c r="H527" s="56" t="s">
        <v>8</v>
      </c>
      <c r="I527" s="55" t="s">
        <v>8</v>
      </c>
      <c r="J527" s="57">
        <v>3797.39</v>
      </c>
      <c r="K527" s="56" t="s">
        <v>2058</v>
      </c>
      <c r="L527" s="56" t="s">
        <v>2059</v>
      </c>
      <c r="M527" s="55" t="s">
        <v>2060</v>
      </c>
      <c r="N527" s="56" t="s">
        <v>2061</v>
      </c>
      <c r="O527" s="53" t="s">
        <v>8</v>
      </c>
      <c r="P527" s="56" t="s">
        <v>2302</v>
      </c>
      <c r="Q527" s="57">
        <v>49900</v>
      </c>
      <c r="R527" s="58" t="s">
        <v>8</v>
      </c>
      <c r="S527" s="57" t="s">
        <v>8</v>
      </c>
      <c r="T527" s="56" t="s">
        <v>2063</v>
      </c>
    </row>
    <row r="528" spans="1:20">
      <c r="A528" s="55">
        <v>125459770589</v>
      </c>
      <c r="B528" s="53" t="s">
        <v>2055</v>
      </c>
      <c r="C528" s="54">
        <v>45913</v>
      </c>
      <c r="D528" s="55">
        <v>50181636032</v>
      </c>
      <c r="E528" s="55">
        <v>2068991371812</v>
      </c>
      <c r="F528" s="56" t="s">
        <v>2066</v>
      </c>
      <c r="G528" s="56" t="s">
        <v>2057</v>
      </c>
      <c r="H528" s="56" t="s">
        <v>8</v>
      </c>
      <c r="I528" s="55" t="s">
        <v>8</v>
      </c>
      <c r="J528" s="57">
        <v>3234.25</v>
      </c>
      <c r="K528" s="56" t="s">
        <v>2058</v>
      </c>
      <c r="L528" s="56" t="s">
        <v>2067</v>
      </c>
      <c r="M528" s="55" t="s">
        <v>2060</v>
      </c>
      <c r="N528" s="56" t="s">
        <v>2061</v>
      </c>
      <c r="O528" s="53" t="s">
        <v>1790</v>
      </c>
      <c r="P528" s="56" t="s">
        <v>2068</v>
      </c>
      <c r="Q528" s="57">
        <v>42500</v>
      </c>
      <c r="R528" s="58" t="s">
        <v>8</v>
      </c>
      <c r="S528" s="57" t="s">
        <v>8</v>
      </c>
      <c r="T528" s="56" t="s">
        <v>2063</v>
      </c>
    </row>
    <row r="529" spans="1:20">
      <c r="A529" s="55">
        <v>126011115826</v>
      </c>
      <c r="B529" s="53" t="s">
        <v>2055</v>
      </c>
      <c r="C529" s="54">
        <v>45913</v>
      </c>
      <c r="D529" s="55">
        <v>50181683503</v>
      </c>
      <c r="E529" s="55">
        <v>2068947522393</v>
      </c>
      <c r="F529" s="56" t="s">
        <v>2056</v>
      </c>
      <c r="G529" s="56" t="s">
        <v>2057</v>
      </c>
      <c r="H529" s="56" t="s">
        <v>8</v>
      </c>
      <c r="I529" s="55" t="s">
        <v>8</v>
      </c>
      <c r="J529" s="57">
        <v>161.02000000000001</v>
      </c>
      <c r="K529" s="56" t="s">
        <v>2058</v>
      </c>
      <c r="L529" s="56" t="s">
        <v>2059</v>
      </c>
      <c r="M529" s="55" t="s">
        <v>2060</v>
      </c>
      <c r="N529" s="56" t="s">
        <v>2061</v>
      </c>
      <c r="O529" s="53" t="s">
        <v>8</v>
      </c>
      <c r="P529" s="56" t="s">
        <v>2303</v>
      </c>
      <c r="Q529" s="57">
        <v>16600</v>
      </c>
      <c r="R529" s="58" t="s">
        <v>8</v>
      </c>
      <c r="S529" s="57" t="s">
        <v>8</v>
      </c>
      <c r="T529" s="56" t="s">
        <v>2063</v>
      </c>
    </row>
    <row r="530" spans="1:20">
      <c r="A530" s="55">
        <v>125459913579</v>
      </c>
      <c r="B530" s="53" t="s">
        <v>2055</v>
      </c>
      <c r="C530" s="54">
        <v>45913</v>
      </c>
      <c r="D530" s="55">
        <v>50181736520</v>
      </c>
      <c r="E530" s="55">
        <v>2068992938976</v>
      </c>
      <c r="F530" s="56" t="s">
        <v>2056</v>
      </c>
      <c r="G530" s="56" t="s">
        <v>2057</v>
      </c>
      <c r="H530" s="56" t="s">
        <v>8</v>
      </c>
      <c r="I530" s="55" t="s">
        <v>8</v>
      </c>
      <c r="J530" s="57">
        <v>71.78</v>
      </c>
      <c r="K530" s="56" t="s">
        <v>2058</v>
      </c>
      <c r="L530" s="56" t="s">
        <v>2059</v>
      </c>
      <c r="M530" s="55" t="s">
        <v>2060</v>
      </c>
      <c r="N530" s="56" t="s">
        <v>2061</v>
      </c>
      <c r="O530" s="53" t="s">
        <v>8</v>
      </c>
      <c r="P530" s="56" t="s">
        <v>2304</v>
      </c>
      <c r="Q530" s="57">
        <v>7400</v>
      </c>
      <c r="R530" s="58" t="s">
        <v>8</v>
      </c>
      <c r="S530" s="57" t="s">
        <v>8</v>
      </c>
      <c r="T530" s="56" t="s">
        <v>2063</v>
      </c>
    </row>
    <row r="531" spans="1:20">
      <c r="A531" s="55">
        <v>125459983441</v>
      </c>
      <c r="B531" s="53" t="s">
        <v>2055</v>
      </c>
      <c r="C531" s="54">
        <v>45913</v>
      </c>
      <c r="D531" s="55">
        <v>50181753852</v>
      </c>
      <c r="E531" s="55">
        <v>2068948819133</v>
      </c>
      <c r="F531" s="56" t="s">
        <v>2056</v>
      </c>
      <c r="G531" s="56" t="s">
        <v>2057</v>
      </c>
      <c r="H531" s="56" t="s">
        <v>8</v>
      </c>
      <c r="I531" s="55" t="s">
        <v>8</v>
      </c>
      <c r="J531" s="57">
        <v>195.94</v>
      </c>
      <c r="K531" s="56" t="s">
        <v>2058</v>
      </c>
      <c r="L531" s="56" t="s">
        <v>2059</v>
      </c>
      <c r="M531" s="55" t="s">
        <v>2060</v>
      </c>
      <c r="N531" s="56" t="s">
        <v>2061</v>
      </c>
      <c r="O531" s="53" t="s">
        <v>8</v>
      </c>
      <c r="P531" s="56" t="s">
        <v>2305</v>
      </c>
      <c r="Q531" s="57">
        <v>20200</v>
      </c>
      <c r="R531" s="58" t="s">
        <v>8</v>
      </c>
      <c r="S531" s="57" t="s">
        <v>8</v>
      </c>
      <c r="T531" s="56" t="s">
        <v>2063</v>
      </c>
    </row>
    <row r="532" spans="1:20">
      <c r="A532" s="55">
        <v>126011371400</v>
      </c>
      <c r="B532" s="53" t="s">
        <v>2055</v>
      </c>
      <c r="C532" s="54">
        <v>45913</v>
      </c>
      <c r="D532" s="55">
        <v>50181836981</v>
      </c>
      <c r="E532" s="55">
        <v>2068994099570</v>
      </c>
      <c r="F532" s="56" t="s">
        <v>2056</v>
      </c>
      <c r="G532" s="56" t="s">
        <v>2057</v>
      </c>
      <c r="H532" s="56" t="s">
        <v>8</v>
      </c>
      <c r="I532" s="55" t="s">
        <v>8</v>
      </c>
      <c r="J532" s="57">
        <v>124.16</v>
      </c>
      <c r="K532" s="56" t="s">
        <v>2058</v>
      </c>
      <c r="L532" s="56" t="s">
        <v>2059</v>
      </c>
      <c r="M532" s="55" t="s">
        <v>2060</v>
      </c>
      <c r="N532" s="56" t="s">
        <v>2061</v>
      </c>
      <c r="O532" s="53" t="s">
        <v>8</v>
      </c>
      <c r="P532" s="56" t="s">
        <v>2306</v>
      </c>
      <c r="Q532" s="57">
        <v>12800</v>
      </c>
      <c r="R532" s="58" t="s">
        <v>8</v>
      </c>
      <c r="S532" s="57" t="s">
        <v>8</v>
      </c>
      <c r="T532" s="56" t="s">
        <v>2063</v>
      </c>
    </row>
    <row r="533" spans="1:20">
      <c r="A533" s="55">
        <v>125460195335</v>
      </c>
      <c r="B533" s="53" t="s">
        <v>2055</v>
      </c>
      <c r="C533" s="54">
        <v>45913</v>
      </c>
      <c r="D533" s="55">
        <v>50181884463</v>
      </c>
      <c r="E533" s="55">
        <v>2068994787822</v>
      </c>
      <c r="F533" s="56" t="s">
        <v>2056</v>
      </c>
      <c r="G533" s="56" t="s">
        <v>2057</v>
      </c>
      <c r="H533" s="56" t="s">
        <v>8</v>
      </c>
      <c r="I533" s="55" t="s">
        <v>8</v>
      </c>
      <c r="J533" s="57">
        <v>75.66</v>
      </c>
      <c r="K533" s="56" t="s">
        <v>2058</v>
      </c>
      <c r="L533" s="56" t="s">
        <v>2059</v>
      </c>
      <c r="M533" s="55" t="s">
        <v>2060</v>
      </c>
      <c r="N533" s="56" t="s">
        <v>2061</v>
      </c>
      <c r="O533" s="53" t="s">
        <v>8</v>
      </c>
      <c r="P533" s="56" t="s">
        <v>2307</v>
      </c>
      <c r="Q533" s="57">
        <v>7800</v>
      </c>
      <c r="R533" s="58" t="s">
        <v>8</v>
      </c>
      <c r="S533" s="57" t="s">
        <v>8</v>
      </c>
      <c r="T533" s="56" t="s">
        <v>2063</v>
      </c>
    </row>
    <row r="534" spans="1:20">
      <c r="A534" s="55">
        <v>125460460203</v>
      </c>
      <c r="B534" s="53" t="s">
        <v>2055</v>
      </c>
      <c r="C534" s="54">
        <v>45913</v>
      </c>
      <c r="D534" s="55">
        <v>50181930262</v>
      </c>
      <c r="E534" s="55">
        <v>2068950740311</v>
      </c>
      <c r="F534" s="56" t="s">
        <v>2066</v>
      </c>
      <c r="G534" s="56" t="s">
        <v>2057</v>
      </c>
      <c r="H534" s="56" t="s">
        <v>8</v>
      </c>
      <c r="I534" s="55" t="s">
        <v>8</v>
      </c>
      <c r="J534" s="57">
        <v>534.48</v>
      </c>
      <c r="K534" s="56" t="s">
        <v>2058</v>
      </c>
      <c r="L534" s="56" t="s">
        <v>2067</v>
      </c>
      <c r="M534" s="55" t="s">
        <v>2060</v>
      </c>
      <c r="N534" s="56" t="s">
        <v>2061</v>
      </c>
      <c r="O534" s="53" t="s">
        <v>1790</v>
      </c>
      <c r="P534" s="56" t="s">
        <v>2068</v>
      </c>
      <c r="Q534" s="57">
        <v>13600</v>
      </c>
      <c r="R534" s="58" t="s">
        <v>8</v>
      </c>
      <c r="S534" s="57" t="s">
        <v>8</v>
      </c>
      <c r="T534" s="56" t="s">
        <v>2063</v>
      </c>
    </row>
    <row r="535" spans="1:20">
      <c r="A535" s="55">
        <v>125460516437</v>
      </c>
      <c r="B535" s="53" t="s">
        <v>2055</v>
      </c>
      <c r="C535" s="54">
        <v>45913</v>
      </c>
      <c r="D535" s="55">
        <v>50181964852</v>
      </c>
      <c r="E535" s="55">
        <v>2068995930310</v>
      </c>
      <c r="F535" s="56" t="s">
        <v>2066</v>
      </c>
      <c r="G535" s="56" t="s">
        <v>2057</v>
      </c>
      <c r="H535" s="56" t="s">
        <v>8</v>
      </c>
      <c r="I535" s="55" t="s">
        <v>8</v>
      </c>
      <c r="J535" s="57">
        <v>2770.04</v>
      </c>
      <c r="K535" s="56" t="s">
        <v>2058</v>
      </c>
      <c r="L535" s="56" t="s">
        <v>2067</v>
      </c>
      <c r="M535" s="55" t="s">
        <v>2060</v>
      </c>
      <c r="N535" s="56" t="s">
        <v>2061</v>
      </c>
      <c r="O535" s="53" t="s">
        <v>1790</v>
      </c>
      <c r="P535" s="56" t="s">
        <v>2068</v>
      </c>
      <c r="Q535" s="57">
        <v>36400</v>
      </c>
      <c r="R535" s="58" t="s">
        <v>8</v>
      </c>
      <c r="S535" s="57" t="s">
        <v>8</v>
      </c>
      <c r="T535" s="56" t="s">
        <v>2063</v>
      </c>
    </row>
    <row r="536" spans="1:20">
      <c r="A536" s="55">
        <v>125460972465</v>
      </c>
      <c r="B536" s="53" t="s">
        <v>2055</v>
      </c>
      <c r="C536" s="54">
        <v>45913</v>
      </c>
      <c r="D536" s="55">
        <v>50182183700</v>
      </c>
      <c r="E536" s="55">
        <v>2068954401515</v>
      </c>
      <c r="F536" s="56" t="s">
        <v>2066</v>
      </c>
      <c r="G536" s="56" t="s">
        <v>2057</v>
      </c>
      <c r="H536" s="56" t="s">
        <v>8</v>
      </c>
      <c r="I536" s="55" t="s">
        <v>8</v>
      </c>
      <c r="J536" s="57">
        <v>310.47000000000003</v>
      </c>
      <c r="K536" s="56" t="s">
        <v>2058</v>
      </c>
      <c r="L536" s="56" t="s">
        <v>2067</v>
      </c>
      <c r="M536" s="55" t="s">
        <v>2060</v>
      </c>
      <c r="N536" s="56" t="s">
        <v>2061</v>
      </c>
      <c r="O536" s="53" t="s">
        <v>1790</v>
      </c>
      <c r="P536" s="56" t="s">
        <v>2068</v>
      </c>
      <c r="Q536" s="57">
        <v>7900</v>
      </c>
      <c r="R536" s="58" t="s">
        <v>8</v>
      </c>
      <c r="S536" s="57" t="s">
        <v>8</v>
      </c>
      <c r="T536" s="56" t="s">
        <v>2063</v>
      </c>
    </row>
    <row r="537" spans="1:20">
      <c r="A537" s="55">
        <v>126012314684</v>
      </c>
      <c r="B537" s="53" t="s">
        <v>2055</v>
      </c>
      <c r="C537" s="54">
        <v>45913</v>
      </c>
      <c r="D537" s="55">
        <v>50182263478</v>
      </c>
      <c r="E537" s="55">
        <v>2069000239404</v>
      </c>
      <c r="F537" s="56" t="s">
        <v>2066</v>
      </c>
      <c r="G537" s="56" t="s">
        <v>2057</v>
      </c>
      <c r="H537" s="56" t="s">
        <v>8</v>
      </c>
      <c r="I537" s="55" t="s">
        <v>8</v>
      </c>
      <c r="J537" s="57">
        <v>1638.81</v>
      </c>
      <c r="K537" s="56" t="s">
        <v>2058</v>
      </c>
      <c r="L537" s="56" t="s">
        <v>2067</v>
      </c>
      <c r="M537" s="55" t="s">
        <v>2060</v>
      </c>
      <c r="N537" s="56" t="s">
        <v>2061</v>
      </c>
      <c r="O537" s="53" t="s">
        <v>1790</v>
      </c>
      <c r="P537" s="56" t="s">
        <v>2068</v>
      </c>
      <c r="Q537" s="57">
        <v>41700</v>
      </c>
      <c r="R537" s="58" t="s">
        <v>8</v>
      </c>
      <c r="S537" s="57" t="s">
        <v>8</v>
      </c>
      <c r="T537" s="56" t="s">
        <v>2063</v>
      </c>
    </row>
    <row r="538" spans="1:20">
      <c r="A538" s="55">
        <v>126012503986</v>
      </c>
      <c r="B538" s="53" t="s">
        <v>2055</v>
      </c>
      <c r="C538" s="54">
        <v>45913</v>
      </c>
      <c r="D538" s="55">
        <v>50182397999</v>
      </c>
      <c r="E538" s="55">
        <v>2068957217813</v>
      </c>
      <c r="F538" s="56" t="s">
        <v>2066</v>
      </c>
      <c r="G538" s="56" t="s">
        <v>2057</v>
      </c>
      <c r="H538" s="56" t="s">
        <v>8</v>
      </c>
      <c r="I538" s="55" t="s">
        <v>8</v>
      </c>
      <c r="J538" s="57">
        <v>506.97</v>
      </c>
      <c r="K538" s="56" t="s">
        <v>2058</v>
      </c>
      <c r="L538" s="56" t="s">
        <v>2067</v>
      </c>
      <c r="M538" s="55" t="s">
        <v>2060</v>
      </c>
      <c r="N538" s="56" t="s">
        <v>2061</v>
      </c>
      <c r="O538" s="53" t="s">
        <v>1790</v>
      </c>
      <c r="P538" s="56" t="s">
        <v>2068</v>
      </c>
      <c r="Q538" s="57">
        <v>12900</v>
      </c>
      <c r="R538" s="58" t="s">
        <v>8</v>
      </c>
      <c r="S538" s="57" t="s">
        <v>8</v>
      </c>
      <c r="T538" s="56" t="s">
        <v>2063</v>
      </c>
    </row>
    <row r="539" spans="1:20">
      <c r="A539" s="55">
        <v>125461418987</v>
      </c>
      <c r="B539" s="53" t="s">
        <v>2055</v>
      </c>
      <c r="C539" s="54">
        <v>45913</v>
      </c>
      <c r="D539" s="55">
        <v>50182404225</v>
      </c>
      <c r="E539" s="55">
        <v>2068957910053</v>
      </c>
      <c r="F539" s="56" t="s">
        <v>2107</v>
      </c>
      <c r="G539" s="56" t="s">
        <v>2057</v>
      </c>
      <c r="H539" s="56" t="s">
        <v>8</v>
      </c>
      <c r="I539" s="55" t="s">
        <v>8</v>
      </c>
      <c r="J539" s="57">
        <v>1015.49</v>
      </c>
      <c r="K539" s="56" t="s">
        <v>2058</v>
      </c>
      <c r="L539" s="56" t="s">
        <v>2059</v>
      </c>
      <c r="M539" s="55" t="s">
        <v>2060</v>
      </c>
      <c r="N539" s="56" t="s">
        <v>2061</v>
      </c>
      <c r="O539" s="53" t="s">
        <v>8</v>
      </c>
      <c r="P539" s="56" t="s">
        <v>2115</v>
      </c>
      <c r="Q539" s="57">
        <v>62300</v>
      </c>
      <c r="R539" s="58" t="s">
        <v>8</v>
      </c>
      <c r="S539" s="57" t="s">
        <v>8</v>
      </c>
      <c r="T539" s="56" t="s">
        <v>2063</v>
      </c>
    </row>
    <row r="540" spans="1:20">
      <c r="A540" s="55">
        <v>126012630432</v>
      </c>
      <c r="B540" s="53" t="s">
        <v>2055</v>
      </c>
      <c r="C540" s="54">
        <v>45913</v>
      </c>
      <c r="D540" s="55">
        <v>50182411537</v>
      </c>
      <c r="E540" s="55">
        <v>2068957730109</v>
      </c>
      <c r="F540" s="56" t="s">
        <v>2066</v>
      </c>
      <c r="G540" s="56" t="s">
        <v>2057</v>
      </c>
      <c r="H540" s="56" t="s">
        <v>8</v>
      </c>
      <c r="I540" s="55" t="s">
        <v>8</v>
      </c>
      <c r="J540" s="57">
        <v>327.23</v>
      </c>
      <c r="K540" s="56" t="s">
        <v>2058</v>
      </c>
      <c r="L540" s="56" t="s">
        <v>2067</v>
      </c>
      <c r="M540" s="55" t="s">
        <v>2060</v>
      </c>
      <c r="N540" s="56" t="s">
        <v>2061</v>
      </c>
      <c r="O540" s="53" t="s">
        <v>1790</v>
      </c>
      <c r="P540" s="56" t="s">
        <v>2068</v>
      </c>
      <c r="Q540" s="57">
        <v>4300</v>
      </c>
      <c r="R540" s="58" t="s">
        <v>8</v>
      </c>
      <c r="S540" s="57" t="s">
        <v>8</v>
      </c>
      <c r="T540" s="56" t="s">
        <v>2063</v>
      </c>
    </row>
    <row r="541" spans="1:20">
      <c r="A541" s="55">
        <v>126012854938</v>
      </c>
      <c r="B541" s="53" t="s">
        <v>2055</v>
      </c>
      <c r="C541" s="54">
        <v>45913</v>
      </c>
      <c r="D541" s="55">
        <v>50182586463</v>
      </c>
      <c r="E541" s="55">
        <v>2069004304342</v>
      </c>
      <c r="F541" s="56" t="s">
        <v>2056</v>
      </c>
      <c r="G541" s="56" t="s">
        <v>2057</v>
      </c>
      <c r="H541" s="56" t="s">
        <v>8</v>
      </c>
      <c r="I541" s="55" t="s">
        <v>8</v>
      </c>
      <c r="J541" s="57">
        <v>102.82</v>
      </c>
      <c r="K541" s="56" t="s">
        <v>2058</v>
      </c>
      <c r="L541" s="56" t="s">
        <v>2059</v>
      </c>
      <c r="M541" s="55" t="s">
        <v>2060</v>
      </c>
      <c r="N541" s="56" t="s">
        <v>2061</v>
      </c>
      <c r="O541" s="53" t="s">
        <v>8</v>
      </c>
      <c r="P541" s="56" t="s">
        <v>2308</v>
      </c>
      <c r="Q541" s="57">
        <v>10600</v>
      </c>
      <c r="R541" s="58" t="s">
        <v>8</v>
      </c>
      <c r="S541" s="57" t="s">
        <v>8</v>
      </c>
      <c r="T541" s="56" t="s">
        <v>2063</v>
      </c>
    </row>
    <row r="542" spans="1:20">
      <c r="A542" s="55">
        <v>126012851936</v>
      </c>
      <c r="B542" s="53" t="s">
        <v>2055</v>
      </c>
      <c r="C542" s="54">
        <v>45913</v>
      </c>
      <c r="D542" s="55">
        <v>50182612956</v>
      </c>
      <c r="E542" s="55">
        <v>2068960001411</v>
      </c>
      <c r="F542" s="56" t="s">
        <v>2056</v>
      </c>
      <c r="G542" s="56" t="s">
        <v>2057</v>
      </c>
      <c r="H542" s="56" t="s">
        <v>8</v>
      </c>
      <c r="I542" s="55" t="s">
        <v>8</v>
      </c>
      <c r="J542" s="57">
        <v>365.69</v>
      </c>
      <c r="K542" s="56" t="s">
        <v>2058</v>
      </c>
      <c r="L542" s="56" t="s">
        <v>2059</v>
      </c>
      <c r="M542" s="55" t="s">
        <v>2060</v>
      </c>
      <c r="N542" s="56" t="s">
        <v>2061</v>
      </c>
      <c r="O542" s="53" t="s">
        <v>8</v>
      </c>
      <c r="P542" s="56" t="s">
        <v>2286</v>
      </c>
      <c r="Q542" s="57">
        <v>37700</v>
      </c>
      <c r="R542" s="58" t="s">
        <v>8</v>
      </c>
      <c r="S542" s="57" t="s">
        <v>8</v>
      </c>
      <c r="T542" s="56" t="s">
        <v>2063</v>
      </c>
    </row>
    <row r="543" spans="1:20">
      <c r="A543" s="55">
        <v>126012871060</v>
      </c>
      <c r="B543" s="53" t="s">
        <v>2055</v>
      </c>
      <c r="C543" s="54">
        <v>45913</v>
      </c>
      <c r="D543" s="55">
        <v>50182616158</v>
      </c>
      <c r="E543" s="55">
        <v>2068959887785</v>
      </c>
      <c r="F543" s="56" t="s">
        <v>2056</v>
      </c>
      <c r="G543" s="56" t="s">
        <v>2057</v>
      </c>
      <c r="H543" s="56" t="s">
        <v>8</v>
      </c>
      <c r="I543" s="55" t="s">
        <v>8</v>
      </c>
      <c r="J543" s="57">
        <v>145.5</v>
      </c>
      <c r="K543" s="56" t="s">
        <v>2058</v>
      </c>
      <c r="L543" s="56" t="s">
        <v>2059</v>
      </c>
      <c r="M543" s="55" t="s">
        <v>2060</v>
      </c>
      <c r="N543" s="56" t="s">
        <v>2061</v>
      </c>
      <c r="O543" s="53" t="s">
        <v>8</v>
      </c>
      <c r="P543" s="56" t="s">
        <v>2294</v>
      </c>
      <c r="Q543" s="57">
        <v>15000</v>
      </c>
      <c r="R543" s="58" t="s">
        <v>8</v>
      </c>
      <c r="S543" s="57" t="s">
        <v>8</v>
      </c>
      <c r="T543" s="56" t="s">
        <v>2063</v>
      </c>
    </row>
    <row r="544" spans="1:20">
      <c r="A544" s="55">
        <v>126012972604</v>
      </c>
      <c r="B544" s="53" t="s">
        <v>2055</v>
      </c>
      <c r="C544" s="54">
        <v>45913</v>
      </c>
      <c r="D544" s="55">
        <v>50182658848</v>
      </c>
      <c r="E544" s="55">
        <v>2069005147196</v>
      </c>
      <c r="F544" s="56" t="s">
        <v>2069</v>
      </c>
      <c r="G544" s="56" t="s">
        <v>2057</v>
      </c>
      <c r="H544" s="56" t="s">
        <v>8</v>
      </c>
      <c r="I544" s="55" t="s">
        <v>8</v>
      </c>
      <c r="J544" s="57">
        <v>399.64</v>
      </c>
      <c r="K544" s="56" t="s">
        <v>2058</v>
      </c>
      <c r="L544" s="56" t="s">
        <v>2059</v>
      </c>
      <c r="M544" s="55" t="s">
        <v>2060</v>
      </c>
      <c r="N544" s="56" t="s">
        <v>2061</v>
      </c>
      <c r="O544" s="53" t="s">
        <v>8</v>
      </c>
      <c r="P544" s="56" t="s">
        <v>2070</v>
      </c>
      <c r="Q544" s="57">
        <v>41200</v>
      </c>
      <c r="R544" s="58" t="s">
        <v>8</v>
      </c>
      <c r="S544" s="57" t="s">
        <v>8</v>
      </c>
      <c r="T544" s="56" t="s">
        <v>8</v>
      </c>
    </row>
    <row r="545" spans="1:20">
      <c r="A545" s="55">
        <v>125461870989</v>
      </c>
      <c r="B545" s="53" t="s">
        <v>2055</v>
      </c>
      <c r="C545" s="54">
        <v>45913</v>
      </c>
      <c r="D545" s="55">
        <v>50182682717</v>
      </c>
      <c r="E545" s="55">
        <v>2068960472399</v>
      </c>
      <c r="F545" s="56" t="s">
        <v>2069</v>
      </c>
      <c r="G545" s="56" t="s">
        <v>2057</v>
      </c>
      <c r="H545" s="56" t="s">
        <v>8</v>
      </c>
      <c r="I545" s="55" t="s">
        <v>8</v>
      </c>
      <c r="J545" s="57">
        <v>385.09</v>
      </c>
      <c r="K545" s="56" t="s">
        <v>2058</v>
      </c>
      <c r="L545" s="56" t="s">
        <v>2059</v>
      </c>
      <c r="M545" s="55" t="s">
        <v>2060</v>
      </c>
      <c r="N545" s="56" t="s">
        <v>2061</v>
      </c>
      <c r="O545" s="53" t="s">
        <v>8</v>
      </c>
      <c r="P545" s="56" t="s">
        <v>2070</v>
      </c>
      <c r="Q545" s="57">
        <v>39700</v>
      </c>
      <c r="R545" s="58" t="s">
        <v>8</v>
      </c>
      <c r="S545" s="57" t="s">
        <v>8</v>
      </c>
      <c r="T545" s="56" t="s">
        <v>8</v>
      </c>
    </row>
    <row r="546" spans="1:20">
      <c r="A546" s="55">
        <v>126013114190</v>
      </c>
      <c r="B546" s="53" t="s">
        <v>2055</v>
      </c>
      <c r="C546" s="54">
        <v>45913</v>
      </c>
      <c r="D546" s="55">
        <v>50182703760</v>
      </c>
      <c r="E546" s="55">
        <v>2068961067911</v>
      </c>
      <c r="F546" s="56" t="s">
        <v>2056</v>
      </c>
      <c r="G546" s="56" t="s">
        <v>2057</v>
      </c>
      <c r="H546" s="56" t="s">
        <v>8</v>
      </c>
      <c r="I546" s="55" t="s">
        <v>8</v>
      </c>
      <c r="J546" s="57">
        <v>166.84</v>
      </c>
      <c r="K546" s="56" t="s">
        <v>2058</v>
      </c>
      <c r="L546" s="56" t="s">
        <v>2059</v>
      </c>
      <c r="M546" s="55" t="s">
        <v>2060</v>
      </c>
      <c r="N546" s="56" t="s">
        <v>2061</v>
      </c>
      <c r="O546" s="53" t="s">
        <v>8</v>
      </c>
      <c r="P546" s="56" t="s">
        <v>2309</v>
      </c>
      <c r="Q546" s="57">
        <v>17200</v>
      </c>
      <c r="R546" s="58" t="s">
        <v>8</v>
      </c>
      <c r="S546" s="57" t="s">
        <v>8</v>
      </c>
      <c r="T546" s="56" t="s">
        <v>2063</v>
      </c>
    </row>
    <row r="547" spans="1:20">
      <c r="A547" s="55">
        <v>125461936825</v>
      </c>
      <c r="B547" s="53" t="s">
        <v>2055</v>
      </c>
      <c r="C547" s="54">
        <v>45913</v>
      </c>
      <c r="D547" s="55">
        <v>50182717280</v>
      </c>
      <c r="E547" s="55">
        <v>2069005541914</v>
      </c>
      <c r="F547" s="56" t="s">
        <v>2066</v>
      </c>
      <c r="G547" s="56" t="s">
        <v>2057</v>
      </c>
      <c r="H547" s="56" t="s">
        <v>8</v>
      </c>
      <c r="I547" s="55" t="s">
        <v>8</v>
      </c>
      <c r="J547" s="57">
        <v>667.38</v>
      </c>
      <c r="K547" s="56" t="s">
        <v>2058</v>
      </c>
      <c r="L547" s="56" t="s">
        <v>2067</v>
      </c>
      <c r="M547" s="55" t="s">
        <v>2060</v>
      </c>
      <c r="N547" s="56" t="s">
        <v>2061</v>
      </c>
      <c r="O547" s="53" t="s">
        <v>1790</v>
      </c>
      <c r="P547" s="56" t="s">
        <v>2068</v>
      </c>
      <c r="Q547" s="57">
        <v>14700</v>
      </c>
      <c r="R547" s="58" t="s">
        <v>8</v>
      </c>
      <c r="S547" s="57" t="s">
        <v>8</v>
      </c>
      <c r="T547" s="56" t="s">
        <v>2063</v>
      </c>
    </row>
    <row r="548" spans="1:20">
      <c r="A548" s="55">
        <v>126013525296</v>
      </c>
      <c r="B548" s="53" t="s">
        <v>2055</v>
      </c>
      <c r="C548" s="54">
        <v>45913</v>
      </c>
      <c r="D548" s="55">
        <v>50182940803</v>
      </c>
      <c r="E548" s="55">
        <v>2069008487188</v>
      </c>
      <c r="F548" s="56" t="s">
        <v>2056</v>
      </c>
      <c r="G548" s="56" t="s">
        <v>2057</v>
      </c>
      <c r="H548" s="56" t="s">
        <v>8</v>
      </c>
      <c r="I548" s="55" t="s">
        <v>8</v>
      </c>
      <c r="J548" s="57">
        <v>227.95</v>
      </c>
      <c r="K548" s="56" t="s">
        <v>2058</v>
      </c>
      <c r="L548" s="56" t="s">
        <v>2059</v>
      </c>
      <c r="M548" s="55" t="s">
        <v>2060</v>
      </c>
      <c r="N548" s="56" t="s">
        <v>2061</v>
      </c>
      <c r="O548" s="53" t="s">
        <v>8</v>
      </c>
      <c r="P548" s="56" t="s">
        <v>2310</v>
      </c>
      <c r="Q548" s="57">
        <v>23500</v>
      </c>
      <c r="R548" s="58" t="s">
        <v>8</v>
      </c>
      <c r="S548" s="57" t="s">
        <v>8</v>
      </c>
      <c r="T548" s="56" t="s">
        <v>2063</v>
      </c>
    </row>
    <row r="549" spans="1:20">
      <c r="A549" s="55">
        <v>126013746036</v>
      </c>
      <c r="B549" s="53" t="s">
        <v>2055</v>
      </c>
      <c r="C549" s="54">
        <v>45913</v>
      </c>
      <c r="D549" s="55">
        <v>50183107224</v>
      </c>
      <c r="E549" s="55">
        <v>2068965904777</v>
      </c>
      <c r="F549" s="56" t="s">
        <v>2056</v>
      </c>
      <c r="G549" s="56" t="s">
        <v>2057</v>
      </c>
      <c r="H549" s="56" t="s">
        <v>8</v>
      </c>
      <c r="I549" s="55" t="s">
        <v>8</v>
      </c>
      <c r="J549" s="57">
        <v>962.24</v>
      </c>
      <c r="K549" s="56" t="s">
        <v>2058</v>
      </c>
      <c r="L549" s="56" t="s">
        <v>2059</v>
      </c>
      <c r="M549" s="55" t="s">
        <v>2060</v>
      </c>
      <c r="N549" s="56" t="s">
        <v>2061</v>
      </c>
      <c r="O549" s="53" t="s">
        <v>8</v>
      </c>
      <c r="P549" s="56" t="s">
        <v>2311</v>
      </c>
      <c r="Q549" s="57">
        <v>99200</v>
      </c>
      <c r="R549" s="58" t="s">
        <v>8</v>
      </c>
      <c r="S549" s="57" t="s">
        <v>8</v>
      </c>
      <c r="T549" s="56" t="s">
        <v>2063</v>
      </c>
    </row>
    <row r="550" spans="1:20">
      <c r="A550" s="55">
        <v>125462776275</v>
      </c>
      <c r="B550" s="53" t="s">
        <v>2055</v>
      </c>
      <c r="C550" s="54">
        <v>45913</v>
      </c>
      <c r="D550" s="55">
        <v>50183113994</v>
      </c>
      <c r="E550" s="55">
        <v>2068966234401</v>
      </c>
      <c r="F550" s="56" t="s">
        <v>2066</v>
      </c>
      <c r="G550" s="56" t="s">
        <v>2057</v>
      </c>
      <c r="H550" s="56" t="s">
        <v>8</v>
      </c>
      <c r="I550" s="55" t="s">
        <v>8</v>
      </c>
      <c r="J550" s="57">
        <v>310.47000000000003</v>
      </c>
      <c r="K550" s="56" t="s">
        <v>2058</v>
      </c>
      <c r="L550" s="56" t="s">
        <v>2067</v>
      </c>
      <c r="M550" s="55" t="s">
        <v>2060</v>
      </c>
      <c r="N550" s="56" t="s">
        <v>2061</v>
      </c>
      <c r="O550" s="53" t="s">
        <v>1790</v>
      </c>
      <c r="P550" s="56" t="s">
        <v>2068</v>
      </c>
      <c r="Q550" s="57">
        <v>7900</v>
      </c>
      <c r="R550" s="58" t="s">
        <v>8</v>
      </c>
      <c r="S550" s="57" t="s">
        <v>8</v>
      </c>
      <c r="T550" s="56" t="s">
        <v>2063</v>
      </c>
    </row>
    <row r="551" spans="1:20">
      <c r="A551" s="55">
        <v>125462980105</v>
      </c>
      <c r="B551" s="53" t="s">
        <v>2055</v>
      </c>
      <c r="C551" s="54">
        <v>45913</v>
      </c>
      <c r="D551" s="55">
        <v>50183214009</v>
      </c>
      <c r="E551" s="55">
        <v>2068967324275</v>
      </c>
      <c r="F551" s="56" t="s">
        <v>2056</v>
      </c>
      <c r="G551" s="56" t="s">
        <v>2057</v>
      </c>
      <c r="H551" s="56" t="s">
        <v>8</v>
      </c>
      <c r="I551" s="55" t="s">
        <v>8</v>
      </c>
      <c r="J551" s="57">
        <v>566.48</v>
      </c>
      <c r="K551" s="56" t="s">
        <v>2058</v>
      </c>
      <c r="L551" s="56" t="s">
        <v>2059</v>
      </c>
      <c r="M551" s="55" t="s">
        <v>2060</v>
      </c>
      <c r="N551" s="56" t="s">
        <v>2061</v>
      </c>
      <c r="O551" s="53" t="s">
        <v>8</v>
      </c>
      <c r="P551" s="56" t="s">
        <v>2312</v>
      </c>
      <c r="Q551" s="57">
        <v>58400</v>
      </c>
      <c r="R551" s="58" t="s">
        <v>8</v>
      </c>
      <c r="S551" s="57" t="s">
        <v>8</v>
      </c>
      <c r="T551" s="56" t="s">
        <v>2063</v>
      </c>
    </row>
    <row r="552" spans="1:20">
      <c r="A552" s="55">
        <v>126014168820</v>
      </c>
      <c r="B552" s="53" t="s">
        <v>2055</v>
      </c>
      <c r="C552" s="54">
        <v>45913</v>
      </c>
      <c r="D552" s="55">
        <v>50183261228</v>
      </c>
      <c r="E552" s="55">
        <v>2069012719898</v>
      </c>
      <c r="F552" s="56" t="s">
        <v>2107</v>
      </c>
      <c r="G552" s="56" t="s">
        <v>2057</v>
      </c>
      <c r="H552" s="56" t="s">
        <v>8</v>
      </c>
      <c r="I552" s="55" t="s">
        <v>8</v>
      </c>
      <c r="J552" s="57">
        <v>467.81</v>
      </c>
      <c r="K552" s="56" t="s">
        <v>2058</v>
      </c>
      <c r="L552" s="56" t="s">
        <v>2059</v>
      </c>
      <c r="M552" s="55" t="s">
        <v>2060</v>
      </c>
      <c r="N552" s="56" t="s">
        <v>2061</v>
      </c>
      <c r="O552" s="53" t="s">
        <v>8</v>
      </c>
      <c r="P552" s="56" t="s">
        <v>2197</v>
      </c>
      <c r="Q552" s="57">
        <v>28700</v>
      </c>
      <c r="R552" s="58" t="s">
        <v>8</v>
      </c>
      <c r="S552" s="57" t="s">
        <v>8</v>
      </c>
      <c r="T552" s="56" t="s">
        <v>2063</v>
      </c>
    </row>
    <row r="553" spans="1:20">
      <c r="A553" s="55">
        <v>125463043451</v>
      </c>
      <c r="B553" s="53" t="s">
        <v>2055</v>
      </c>
      <c r="C553" s="54">
        <v>45913</v>
      </c>
      <c r="D553" s="55">
        <v>50183317408</v>
      </c>
      <c r="E553" s="55">
        <v>2069013075672</v>
      </c>
      <c r="F553" s="56" t="s">
        <v>2056</v>
      </c>
      <c r="G553" s="56" t="s">
        <v>2057</v>
      </c>
      <c r="H553" s="56" t="s">
        <v>8</v>
      </c>
      <c r="I553" s="55" t="s">
        <v>8</v>
      </c>
      <c r="J553" s="57">
        <v>101.85</v>
      </c>
      <c r="K553" s="56" t="s">
        <v>2058</v>
      </c>
      <c r="L553" s="56" t="s">
        <v>2059</v>
      </c>
      <c r="M553" s="55" t="s">
        <v>2060</v>
      </c>
      <c r="N553" s="56" t="s">
        <v>2061</v>
      </c>
      <c r="O553" s="53" t="s">
        <v>8</v>
      </c>
      <c r="P553" s="56" t="s">
        <v>2313</v>
      </c>
      <c r="Q553" s="57">
        <v>10500</v>
      </c>
      <c r="R553" s="58" t="s">
        <v>8</v>
      </c>
      <c r="S553" s="57" t="s">
        <v>8</v>
      </c>
      <c r="T553" s="56" t="s">
        <v>2063</v>
      </c>
    </row>
    <row r="554" spans="1:20">
      <c r="A554" s="55">
        <v>126014227310</v>
      </c>
      <c r="B554" s="53" t="s">
        <v>2055</v>
      </c>
      <c r="C554" s="54">
        <v>45913</v>
      </c>
      <c r="D554" s="55">
        <v>50183321514</v>
      </c>
      <c r="E554" s="55">
        <v>2069013453002</v>
      </c>
      <c r="F554" s="56" t="s">
        <v>2056</v>
      </c>
      <c r="G554" s="56" t="s">
        <v>2057</v>
      </c>
      <c r="H554" s="56" t="s">
        <v>8</v>
      </c>
      <c r="I554" s="55" t="s">
        <v>8</v>
      </c>
      <c r="J554" s="57">
        <v>227.95</v>
      </c>
      <c r="K554" s="56" t="s">
        <v>2058</v>
      </c>
      <c r="L554" s="56" t="s">
        <v>2059</v>
      </c>
      <c r="M554" s="55" t="s">
        <v>2060</v>
      </c>
      <c r="N554" s="56" t="s">
        <v>2061</v>
      </c>
      <c r="O554" s="53" t="s">
        <v>8</v>
      </c>
      <c r="P554" s="56" t="s">
        <v>2314</v>
      </c>
      <c r="Q554" s="57">
        <v>23500</v>
      </c>
      <c r="R554" s="58" t="s">
        <v>8</v>
      </c>
      <c r="S554" s="57" t="s">
        <v>8</v>
      </c>
      <c r="T554" s="56" t="s">
        <v>2063</v>
      </c>
    </row>
    <row r="555" spans="1:20">
      <c r="A555" s="55">
        <v>125463091997</v>
      </c>
      <c r="B555" s="53" t="s">
        <v>2055</v>
      </c>
      <c r="C555" s="54">
        <v>45913</v>
      </c>
      <c r="D555" s="55">
        <v>50183363833</v>
      </c>
      <c r="E555" s="55">
        <v>2069013812696</v>
      </c>
      <c r="F555" s="56" t="s">
        <v>2069</v>
      </c>
      <c r="G555" s="56" t="s">
        <v>2057</v>
      </c>
      <c r="H555" s="56" t="s">
        <v>8</v>
      </c>
      <c r="I555" s="55" t="s">
        <v>8</v>
      </c>
      <c r="J555" s="57">
        <v>153.26</v>
      </c>
      <c r="K555" s="56" t="s">
        <v>2058</v>
      </c>
      <c r="L555" s="56" t="s">
        <v>2059</v>
      </c>
      <c r="M555" s="55" t="s">
        <v>2060</v>
      </c>
      <c r="N555" s="56" t="s">
        <v>2061</v>
      </c>
      <c r="O555" s="53" t="s">
        <v>8</v>
      </c>
      <c r="P555" s="56" t="s">
        <v>2070</v>
      </c>
      <c r="Q555" s="57">
        <v>15800</v>
      </c>
      <c r="R555" s="58" t="s">
        <v>8</v>
      </c>
      <c r="S555" s="57" t="s">
        <v>8</v>
      </c>
      <c r="T555" s="56" t="s">
        <v>8</v>
      </c>
    </row>
    <row r="556" spans="1:20">
      <c r="A556" s="55">
        <v>125463291439</v>
      </c>
      <c r="B556" s="53" t="s">
        <v>2055</v>
      </c>
      <c r="C556" s="54">
        <v>45913</v>
      </c>
      <c r="D556" s="55">
        <v>50183516486</v>
      </c>
      <c r="E556" s="55">
        <v>2068970483773</v>
      </c>
      <c r="F556" s="56" t="s">
        <v>2069</v>
      </c>
      <c r="G556" s="56" t="s">
        <v>2057</v>
      </c>
      <c r="H556" s="56" t="s">
        <v>8</v>
      </c>
      <c r="I556" s="55" t="s">
        <v>8</v>
      </c>
      <c r="J556" s="57">
        <v>457.84</v>
      </c>
      <c r="K556" s="56" t="s">
        <v>2058</v>
      </c>
      <c r="L556" s="56" t="s">
        <v>2059</v>
      </c>
      <c r="M556" s="55" t="s">
        <v>2060</v>
      </c>
      <c r="N556" s="56" t="s">
        <v>2061</v>
      </c>
      <c r="O556" s="53" t="s">
        <v>8</v>
      </c>
      <c r="P556" s="56" t="s">
        <v>2070</v>
      </c>
      <c r="Q556" s="57">
        <v>47200</v>
      </c>
      <c r="R556" s="58" t="s">
        <v>8</v>
      </c>
      <c r="S556" s="57" t="s">
        <v>8</v>
      </c>
      <c r="T556" s="56" t="s">
        <v>8</v>
      </c>
    </row>
    <row r="557" spans="1:20">
      <c r="A557" s="55">
        <v>126014567370</v>
      </c>
      <c r="B557" s="53" t="s">
        <v>2055</v>
      </c>
      <c r="C557" s="54">
        <v>45913</v>
      </c>
      <c r="D557" s="55">
        <v>50183523795</v>
      </c>
      <c r="E557" s="55">
        <v>2068970734589</v>
      </c>
      <c r="F557" s="56" t="s">
        <v>2056</v>
      </c>
      <c r="G557" s="56" t="s">
        <v>2057</v>
      </c>
      <c r="H557" s="56" t="s">
        <v>8</v>
      </c>
      <c r="I557" s="55" t="s">
        <v>8</v>
      </c>
      <c r="J557" s="57">
        <v>356.96</v>
      </c>
      <c r="K557" s="56" t="s">
        <v>2058</v>
      </c>
      <c r="L557" s="56" t="s">
        <v>2059</v>
      </c>
      <c r="M557" s="55" t="s">
        <v>2060</v>
      </c>
      <c r="N557" s="56" t="s">
        <v>2061</v>
      </c>
      <c r="O557" s="53" t="s">
        <v>8</v>
      </c>
      <c r="P557" s="56" t="s">
        <v>2315</v>
      </c>
      <c r="Q557" s="57">
        <v>36800</v>
      </c>
      <c r="R557" s="58" t="s">
        <v>8</v>
      </c>
      <c r="S557" s="57" t="s">
        <v>8</v>
      </c>
      <c r="T557" s="56" t="s">
        <v>2063</v>
      </c>
    </row>
    <row r="558" spans="1:20">
      <c r="A558" s="55">
        <v>126014664178</v>
      </c>
      <c r="B558" s="53" t="s">
        <v>2055</v>
      </c>
      <c r="C558" s="54">
        <v>45913</v>
      </c>
      <c r="D558" s="55">
        <v>50183539328</v>
      </c>
      <c r="E558" s="55">
        <v>2069015620638</v>
      </c>
      <c r="F558" s="56" t="s">
        <v>2066</v>
      </c>
      <c r="G558" s="56" t="s">
        <v>2057</v>
      </c>
      <c r="H558" s="56" t="s">
        <v>8</v>
      </c>
      <c r="I558" s="55" t="s">
        <v>8</v>
      </c>
      <c r="J558" s="57">
        <v>4755.3</v>
      </c>
      <c r="K558" s="56" t="s">
        <v>2058</v>
      </c>
      <c r="L558" s="56" t="s">
        <v>2067</v>
      </c>
      <c r="M558" s="55" t="s">
        <v>2060</v>
      </c>
      <c r="N558" s="56" t="s">
        <v>2061</v>
      </c>
      <c r="O558" s="53" t="s">
        <v>1790</v>
      </c>
      <c r="P558" s="56" t="s">
        <v>2068</v>
      </c>
      <c r="Q558" s="57">
        <v>121000</v>
      </c>
      <c r="R558" s="58" t="s">
        <v>8</v>
      </c>
      <c r="S558" s="57" t="s">
        <v>8</v>
      </c>
      <c r="T558" s="56" t="s">
        <v>2063</v>
      </c>
    </row>
    <row r="559" spans="1:20">
      <c r="A559" s="55">
        <v>125463562387</v>
      </c>
      <c r="B559" s="53" t="s">
        <v>2055</v>
      </c>
      <c r="C559" s="54">
        <v>45913</v>
      </c>
      <c r="D559" s="55">
        <v>50183600379</v>
      </c>
      <c r="E559" s="55">
        <v>2069016317894</v>
      </c>
      <c r="F559" s="56" t="s">
        <v>2069</v>
      </c>
      <c r="G559" s="56" t="s">
        <v>2057</v>
      </c>
      <c r="H559" s="56" t="s">
        <v>8</v>
      </c>
      <c r="I559" s="55" t="s">
        <v>8</v>
      </c>
      <c r="J559" s="57">
        <v>69.84</v>
      </c>
      <c r="K559" s="56" t="s">
        <v>2058</v>
      </c>
      <c r="L559" s="56" t="s">
        <v>2059</v>
      </c>
      <c r="M559" s="55" t="s">
        <v>2060</v>
      </c>
      <c r="N559" s="56" t="s">
        <v>2061</v>
      </c>
      <c r="O559" s="53" t="s">
        <v>8</v>
      </c>
      <c r="P559" s="56" t="s">
        <v>2070</v>
      </c>
      <c r="Q559" s="57">
        <v>7200</v>
      </c>
      <c r="R559" s="58" t="s">
        <v>8</v>
      </c>
      <c r="S559" s="57" t="s">
        <v>8</v>
      </c>
      <c r="T559" s="56" t="s">
        <v>8</v>
      </c>
    </row>
    <row r="560" spans="1:20">
      <c r="A560" s="55">
        <v>125463455779</v>
      </c>
      <c r="B560" s="53" t="s">
        <v>2055</v>
      </c>
      <c r="C560" s="54">
        <v>45913</v>
      </c>
      <c r="D560" s="55">
        <v>50183630305</v>
      </c>
      <c r="E560" s="55">
        <v>2068971806175</v>
      </c>
      <c r="F560" s="56" t="s">
        <v>2069</v>
      </c>
      <c r="G560" s="56" t="s">
        <v>2057</v>
      </c>
      <c r="H560" s="56" t="s">
        <v>8</v>
      </c>
      <c r="I560" s="55" t="s">
        <v>8</v>
      </c>
      <c r="J560" s="57">
        <v>135.80000000000001</v>
      </c>
      <c r="K560" s="56" t="s">
        <v>2058</v>
      </c>
      <c r="L560" s="56" t="s">
        <v>2059</v>
      </c>
      <c r="M560" s="55" t="s">
        <v>2060</v>
      </c>
      <c r="N560" s="56" t="s">
        <v>2061</v>
      </c>
      <c r="O560" s="53" t="s">
        <v>8</v>
      </c>
      <c r="P560" s="56" t="s">
        <v>2070</v>
      </c>
      <c r="Q560" s="57">
        <v>14000</v>
      </c>
      <c r="R560" s="58" t="s">
        <v>8</v>
      </c>
      <c r="S560" s="57" t="s">
        <v>8</v>
      </c>
      <c r="T560" s="56" t="s">
        <v>8</v>
      </c>
    </row>
    <row r="561" spans="1:20">
      <c r="A561" s="55">
        <v>126096640836</v>
      </c>
      <c r="B561" s="53" t="s">
        <v>2055</v>
      </c>
      <c r="C561" s="54">
        <v>45913</v>
      </c>
      <c r="D561" s="55">
        <v>50215476964</v>
      </c>
      <c r="E561" s="55">
        <v>2069470973197</v>
      </c>
      <c r="F561" s="56" t="s">
        <v>2066</v>
      </c>
      <c r="G561" s="56" t="s">
        <v>2057</v>
      </c>
      <c r="H561" s="56" t="s">
        <v>8</v>
      </c>
      <c r="I561" s="55" t="s">
        <v>8</v>
      </c>
      <c r="J561" s="57">
        <v>593.58000000000004</v>
      </c>
      <c r="K561" s="56" t="s">
        <v>2058</v>
      </c>
      <c r="L561" s="56" t="s">
        <v>2067</v>
      </c>
      <c r="M561" s="55" t="s">
        <v>2060</v>
      </c>
      <c r="N561" s="56" t="s">
        <v>2061</v>
      </c>
      <c r="O561" s="53" t="s">
        <v>1790</v>
      </c>
      <c r="P561" s="56" t="s">
        <v>2068</v>
      </c>
      <c r="Q561" s="57">
        <v>7800</v>
      </c>
      <c r="R561" s="58" t="s">
        <v>8</v>
      </c>
      <c r="S561" s="57" t="s">
        <v>8</v>
      </c>
      <c r="T561" s="56" t="s">
        <v>2063</v>
      </c>
    </row>
    <row r="562" spans="1:20">
      <c r="A562" s="55">
        <v>126099304852</v>
      </c>
      <c r="B562" s="53" t="s">
        <v>2055</v>
      </c>
      <c r="C562" s="54">
        <v>45913</v>
      </c>
      <c r="D562" s="55">
        <v>50216416499</v>
      </c>
      <c r="E562" s="55">
        <v>2069487349919</v>
      </c>
      <c r="F562" s="56" t="s">
        <v>2056</v>
      </c>
      <c r="G562" s="56" t="s">
        <v>2057</v>
      </c>
      <c r="H562" s="56" t="s">
        <v>8</v>
      </c>
      <c r="I562" s="55" t="s">
        <v>8</v>
      </c>
      <c r="J562" s="57">
        <v>148.41</v>
      </c>
      <c r="K562" s="56" t="s">
        <v>2058</v>
      </c>
      <c r="L562" s="56" t="s">
        <v>2059</v>
      </c>
      <c r="M562" s="55" t="s">
        <v>2060</v>
      </c>
      <c r="N562" s="56" t="s">
        <v>2061</v>
      </c>
      <c r="O562" s="53" t="s">
        <v>8</v>
      </c>
      <c r="P562" s="56" t="s">
        <v>2316</v>
      </c>
      <c r="Q562" s="57">
        <v>15300</v>
      </c>
      <c r="R562" s="58" t="s">
        <v>8</v>
      </c>
      <c r="S562" s="57" t="s">
        <v>8</v>
      </c>
      <c r="T562" s="56" t="s">
        <v>2063</v>
      </c>
    </row>
    <row r="563" spans="1:20">
      <c r="A563" s="55">
        <v>126103502012</v>
      </c>
      <c r="B563" s="53" t="s">
        <v>2055</v>
      </c>
      <c r="C563" s="54">
        <v>45913</v>
      </c>
      <c r="D563" s="55">
        <v>50217878332</v>
      </c>
      <c r="E563" s="55">
        <v>2069558179892</v>
      </c>
      <c r="F563" s="56" t="s">
        <v>2056</v>
      </c>
      <c r="G563" s="56" t="s">
        <v>2057</v>
      </c>
      <c r="H563" s="56" t="s">
        <v>8</v>
      </c>
      <c r="I563" s="55" t="s">
        <v>8</v>
      </c>
      <c r="J563" s="57">
        <v>380.24</v>
      </c>
      <c r="K563" s="56" t="s">
        <v>2058</v>
      </c>
      <c r="L563" s="56" t="s">
        <v>2059</v>
      </c>
      <c r="M563" s="55" t="s">
        <v>2060</v>
      </c>
      <c r="N563" s="56" t="s">
        <v>2061</v>
      </c>
      <c r="O563" s="53" t="s">
        <v>8</v>
      </c>
      <c r="P563" s="56" t="s">
        <v>2317</v>
      </c>
      <c r="Q563" s="57">
        <v>39200</v>
      </c>
      <c r="R563" s="58" t="s">
        <v>8</v>
      </c>
      <c r="S563" s="57" t="s">
        <v>8</v>
      </c>
      <c r="T563" s="56" t="s">
        <v>2063</v>
      </c>
    </row>
    <row r="564" spans="1:20">
      <c r="A564" s="55">
        <v>126105503786</v>
      </c>
      <c r="B564" s="53" t="s">
        <v>2055</v>
      </c>
      <c r="C564" s="54">
        <v>45913</v>
      </c>
      <c r="D564" s="55">
        <v>50218513954</v>
      </c>
      <c r="E564" s="55">
        <v>2069570314512</v>
      </c>
      <c r="F564" s="56" t="s">
        <v>2069</v>
      </c>
      <c r="G564" s="56" t="s">
        <v>2057</v>
      </c>
      <c r="H564" s="56" t="s">
        <v>8</v>
      </c>
      <c r="I564" s="55" t="s">
        <v>8</v>
      </c>
      <c r="J564" s="57">
        <v>154.22999999999999</v>
      </c>
      <c r="K564" s="56" t="s">
        <v>2058</v>
      </c>
      <c r="L564" s="56" t="s">
        <v>2059</v>
      </c>
      <c r="M564" s="55" t="s">
        <v>2060</v>
      </c>
      <c r="N564" s="56" t="s">
        <v>2061</v>
      </c>
      <c r="O564" s="53" t="s">
        <v>8</v>
      </c>
      <c r="P564" s="56" t="s">
        <v>2070</v>
      </c>
      <c r="Q564" s="57">
        <v>15900</v>
      </c>
      <c r="R564" s="58" t="s">
        <v>8</v>
      </c>
      <c r="S564" s="57" t="s">
        <v>8</v>
      </c>
      <c r="T564" s="56" t="s">
        <v>8</v>
      </c>
    </row>
    <row r="565" spans="1:20">
      <c r="A565" s="55">
        <v>126105964490</v>
      </c>
      <c r="B565" s="53" t="s">
        <v>2055</v>
      </c>
      <c r="C565" s="54">
        <v>45913</v>
      </c>
      <c r="D565" s="55">
        <v>50218663206</v>
      </c>
      <c r="E565" s="55">
        <v>2069527663039</v>
      </c>
      <c r="F565" s="56" t="s">
        <v>2066</v>
      </c>
      <c r="G565" s="56" t="s">
        <v>2057</v>
      </c>
      <c r="H565" s="56" t="s">
        <v>8</v>
      </c>
      <c r="I565" s="55" t="s">
        <v>8</v>
      </c>
      <c r="J565" s="57">
        <v>475.53</v>
      </c>
      <c r="K565" s="56" t="s">
        <v>2058</v>
      </c>
      <c r="L565" s="56" t="s">
        <v>2067</v>
      </c>
      <c r="M565" s="55" t="s">
        <v>2060</v>
      </c>
      <c r="N565" s="56" t="s">
        <v>2061</v>
      </c>
      <c r="O565" s="53" t="s">
        <v>1790</v>
      </c>
      <c r="P565" s="56" t="s">
        <v>2068</v>
      </c>
      <c r="Q565" s="57">
        <v>12100</v>
      </c>
      <c r="R565" s="58" t="s">
        <v>8</v>
      </c>
      <c r="S565" s="57" t="s">
        <v>8</v>
      </c>
      <c r="T565" s="56" t="s">
        <v>2063</v>
      </c>
    </row>
    <row r="566" spans="1:20">
      <c r="A566" s="55">
        <v>125554253101</v>
      </c>
      <c r="B566" s="53" t="s">
        <v>2055</v>
      </c>
      <c r="C566" s="54">
        <v>45913</v>
      </c>
      <c r="D566" s="55">
        <v>50218728346</v>
      </c>
      <c r="E566" s="55">
        <v>2069528599929</v>
      </c>
      <c r="F566" s="56" t="s">
        <v>2056</v>
      </c>
      <c r="G566" s="56" t="s">
        <v>2057</v>
      </c>
      <c r="H566" s="56" t="s">
        <v>8</v>
      </c>
      <c r="I566" s="55" t="s">
        <v>8</v>
      </c>
      <c r="J566" s="57">
        <v>327.23</v>
      </c>
      <c r="K566" s="56" t="s">
        <v>2058</v>
      </c>
      <c r="L566" s="56" t="s">
        <v>2059</v>
      </c>
      <c r="M566" s="55" t="s">
        <v>2060</v>
      </c>
      <c r="N566" s="56" t="s">
        <v>2061</v>
      </c>
      <c r="O566" s="53" t="s">
        <v>8</v>
      </c>
      <c r="P566" s="56" t="s">
        <v>2318</v>
      </c>
      <c r="Q566" s="57">
        <v>4300</v>
      </c>
      <c r="R566" s="58" t="s">
        <v>8</v>
      </c>
      <c r="S566" s="57" t="s">
        <v>8</v>
      </c>
      <c r="T566" s="56" t="s">
        <v>2063</v>
      </c>
    </row>
    <row r="567" spans="1:20">
      <c r="A567" s="55">
        <v>125554633827</v>
      </c>
      <c r="B567" s="53" t="s">
        <v>2055</v>
      </c>
      <c r="C567" s="54">
        <v>45913</v>
      </c>
      <c r="D567" s="55">
        <v>50218877482</v>
      </c>
      <c r="E567" s="55">
        <v>2069530970349</v>
      </c>
      <c r="F567" s="56" t="s">
        <v>2056</v>
      </c>
      <c r="G567" s="56" t="s">
        <v>2057</v>
      </c>
      <c r="H567" s="56" t="s">
        <v>8</v>
      </c>
      <c r="I567" s="55" t="s">
        <v>8</v>
      </c>
      <c r="J567" s="57">
        <v>83.42</v>
      </c>
      <c r="K567" s="56" t="s">
        <v>2058</v>
      </c>
      <c r="L567" s="56" t="s">
        <v>2059</v>
      </c>
      <c r="M567" s="55" t="s">
        <v>2060</v>
      </c>
      <c r="N567" s="56" t="s">
        <v>2061</v>
      </c>
      <c r="O567" s="53" t="s">
        <v>8</v>
      </c>
      <c r="P567" s="56" t="s">
        <v>2319</v>
      </c>
      <c r="Q567" s="57">
        <v>8600</v>
      </c>
      <c r="R567" s="58" t="s">
        <v>8</v>
      </c>
      <c r="S567" s="57" t="s">
        <v>8</v>
      </c>
      <c r="T567" s="56" t="s">
        <v>2063</v>
      </c>
    </row>
    <row r="568" spans="1:20">
      <c r="A568" s="55">
        <v>125557181285</v>
      </c>
      <c r="B568" s="53" t="s">
        <v>2055</v>
      </c>
      <c r="C568" s="54">
        <v>45913</v>
      </c>
      <c r="D568" s="55">
        <v>50219739397</v>
      </c>
      <c r="E568" s="55">
        <v>2069591354750</v>
      </c>
      <c r="F568" s="56" t="s">
        <v>2056</v>
      </c>
      <c r="G568" s="56" t="s">
        <v>2057</v>
      </c>
      <c r="H568" s="56" t="s">
        <v>8</v>
      </c>
      <c r="I568" s="55" t="s">
        <v>8</v>
      </c>
      <c r="J568" s="57">
        <v>151.32</v>
      </c>
      <c r="K568" s="56" t="s">
        <v>2058</v>
      </c>
      <c r="L568" s="56" t="s">
        <v>2059</v>
      </c>
      <c r="M568" s="55" t="s">
        <v>2060</v>
      </c>
      <c r="N568" s="56" t="s">
        <v>2061</v>
      </c>
      <c r="O568" s="53" t="s">
        <v>8</v>
      </c>
      <c r="P568" s="56" t="s">
        <v>2320</v>
      </c>
      <c r="Q568" s="57">
        <v>15600</v>
      </c>
      <c r="R568" s="58" t="s">
        <v>8</v>
      </c>
      <c r="S568" s="57" t="s">
        <v>8</v>
      </c>
      <c r="T568" s="56" t="s">
        <v>2063</v>
      </c>
    </row>
    <row r="569" spans="1:20">
      <c r="A569" s="55">
        <v>126109192968</v>
      </c>
      <c r="B569" s="53" t="s">
        <v>2055</v>
      </c>
      <c r="C569" s="54">
        <v>45913</v>
      </c>
      <c r="D569" s="55">
        <v>50219840643</v>
      </c>
      <c r="E569" s="55">
        <v>2069548306609</v>
      </c>
      <c r="F569" s="56" t="s">
        <v>2069</v>
      </c>
      <c r="G569" s="56" t="s">
        <v>2057</v>
      </c>
      <c r="H569" s="56" t="s">
        <v>8</v>
      </c>
      <c r="I569" s="55" t="s">
        <v>8</v>
      </c>
      <c r="J569" s="57">
        <v>105.73</v>
      </c>
      <c r="K569" s="56" t="s">
        <v>2058</v>
      </c>
      <c r="L569" s="56" t="s">
        <v>2059</v>
      </c>
      <c r="M569" s="55" t="s">
        <v>2060</v>
      </c>
      <c r="N569" s="56" t="s">
        <v>2061</v>
      </c>
      <c r="O569" s="53" t="s">
        <v>8</v>
      </c>
      <c r="P569" s="56" t="s">
        <v>2070</v>
      </c>
      <c r="Q569" s="57">
        <v>10900</v>
      </c>
      <c r="R569" s="58" t="s">
        <v>8</v>
      </c>
      <c r="S569" s="57" t="s">
        <v>8</v>
      </c>
      <c r="T569" s="56" t="s">
        <v>8</v>
      </c>
    </row>
    <row r="570" spans="1:20">
      <c r="A570" s="55">
        <v>125558021461</v>
      </c>
      <c r="B570" s="53" t="s">
        <v>2055</v>
      </c>
      <c r="C570" s="54">
        <v>45913</v>
      </c>
      <c r="D570" s="55">
        <v>50220044354</v>
      </c>
      <c r="E570" s="55">
        <v>2069596474950</v>
      </c>
      <c r="F570" s="56" t="s">
        <v>2066</v>
      </c>
      <c r="G570" s="56" t="s">
        <v>2057</v>
      </c>
      <c r="H570" s="56" t="s">
        <v>8</v>
      </c>
      <c r="I570" s="55" t="s">
        <v>8</v>
      </c>
      <c r="J570" s="57">
        <v>168.99</v>
      </c>
      <c r="K570" s="56" t="s">
        <v>2058</v>
      </c>
      <c r="L570" s="56" t="s">
        <v>2067</v>
      </c>
      <c r="M570" s="55" t="s">
        <v>2060</v>
      </c>
      <c r="N570" s="56" t="s">
        <v>2061</v>
      </c>
      <c r="O570" s="53" t="s">
        <v>1790</v>
      </c>
      <c r="P570" s="56" t="s">
        <v>2068</v>
      </c>
      <c r="Q570" s="57">
        <v>4300</v>
      </c>
      <c r="R570" s="58" t="s">
        <v>8</v>
      </c>
      <c r="S570" s="57" t="s">
        <v>8</v>
      </c>
      <c r="T570" s="56" t="s">
        <v>2063</v>
      </c>
    </row>
    <row r="571" spans="1:20">
      <c r="A571" s="55">
        <v>126110485752</v>
      </c>
      <c r="B571" s="53" t="s">
        <v>2055</v>
      </c>
      <c r="C571" s="54">
        <v>45913</v>
      </c>
      <c r="D571" s="55">
        <v>50220278852</v>
      </c>
      <c r="E571" s="55">
        <v>2069555905319</v>
      </c>
      <c r="F571" s="56" t="s">
        <v>2069</v>
      </c>
      <c r="G571" s="56" t="s">
        <v>2057</v>
      </c>
      <c r="H571" s="56" t="s">
        <v>8</v>
      </c>
      <c r="I571" s="55" t="s">
        <v>8</v>
      </c>
      <c r="J571" s="57">
        <v>41.71</v>
      </c>
      <c r="K571" s="56" t="s">
        <v>2058</v>
      </c>
      <c r="L571" s="56" t="s">
        <v>2059</v>
      </c>
      <c r="M571" s="55" t="s">
        <v>2060</v>
      </c>
      <c r="N571" s="56" t="s">
        <v>2061</v>
      </c>
      <c r="O571" s="53" t="s">
        <v>8</v>
      </c>
      <c r="P571" s="56" t="s">
        <v>2070</v>
      </c>
      <c r="Q571" s="57">
        <v>4300</v>
      </c>
      <c r="R571" s="58" t="s">
        <v>8</v>
      </c>
      <c r="S571" s="57" t="s">
        <v>8</v>
      </c>
      <c r="T571" s="56" t="s">
        <v>8</v>
      </c>
    </row>
    <row r="572" spans="1:20">
      <c r="A572" s="55">
        <v>126110608540</v>
      </c>
      <c r="B572" s="53" t="s">
        <v>2055</v>
      </c>
      <c r="C572" s="54">
        <v>45913</v>
      </c>
      <c r="D572" s="55">
        <v>50220280960</v>
      </c>
      <c r="E572" s="55">
        <v>2069600889110</v>
      </c>
      <c r="F572" s="56" t="s">
        <v>2056</v>
      </c>
      <c r="G572" s="56" t="s">
        <v>2057</v>
      </c>
      <c r="H572" s="56" t="s">
        <v>8</v>
      </c>
      <c r="I572" s="55" t="s">
        <v>8</v>
      </c>
      <c r="J572" s="57">
        <v>122.22</v>
      </c>
      <c r="K572" s="56" t="s">
        <v>2058</v>
      </c>
      <c r="L572" s="56" t="s">
        <v>2059</v>
      </c>
      <c r="M572" s="55" t="s">
        <v>2060</v>
      </c>
      <c r="N572" s="56" t="s">
        <v>2061</v>
      </c>
      <c r="O572" s="53" t="s">
        <v>8</v>
      </c>
      <c r="P572" s="56" t="s">
        <v>2321</v>
      </c>
      <c r="Q572" s="57">
        <v>12600</v>
      </c>
      <c r="R572" s="58" t="s">
        <v>8</v>
      </c>
      <c r="S572" s="57" t="s">
        <v>8</v>
      </c>
      <c r="T572" s="56" t="s">
        <v>2063</v>
      </c>
    </row>
    <row r="573" spans="1:20">
      <c r="A573" s="55">
        <v>125559982515</v>
      </c>
      <c r="B573" s="53" t="s">
        <v>2055</v>
      </c>
      <c r="C573" s="54">
        <v>45913</v>
      </c>
      <c r="D573" s="55">
        <v>50220666165</v>
      </c>
      <c r="E573" s="55">
        <v>2069607537702</v>
      </c>
      <c r="F573" s="56" t="s">
        <v>2056</v>
      </c>
      <c r="G573" s="56" t="s">
        <v>2057</v>
      </c>
      <c r="H573" s="56" t="s">
        <v>8</v>
      </c>
      <c r="I573" s="55" t="s">
        <v>8</v>
      </c>
      <c r="J573" s="57">
        <v>257.05</v>
      </c>
      <c r="K573" s="56" t="s">
        <v>2058</v>
      </c>
      <c r="L573" s="56" t="s">
        <v>2059</v>
      </c>
      <c r="M573" s="55" t="s">
        <v>2060</v>
      </c>
      <c r="N573" s="56" t="s">
        <v>2061</v>
      </c>
      <c r="O573" s="53" t="s">
        <v>8</v>
      </c>
      <c r="P573" s="56" t="s">
        <v>2322</v>
      </c>
      <c r="Q573" s="57">
        <v>26500</v>
      </c>
      <c r="R573" s="58" t="s">
        <v>8</v>
      </c>
      <c r="S573" s="57" t="s">
        <v>8</v>
      </c>
      <c r="T573" s="56" t="s">
        <v>2063</v>
      </c>
    </row>
    <row r="574" spans="1:20">
      <c r="A574" s="55">
        <v>126111930026</v>
      </c>
      <c r="B574" s="53" t="s">
        <v>2055</v>
      </c>
      <c r="C574" s="54">
        <v>45913</v>
      </c>
      <c r="D574" s="55">
        <v>50220825345</v>
      </c>
      <c r="E574" s="55">
        <v>2069610315378</v>
      </c>
      <c r="F574" s="56" t="s">
        <v>2066</v>
      </c>
      <c r="G574" s="56" t="s">
        <v>2057</v>
      </c>
      <c r="H574" s="56" t="s">
        <v>8</v>
      </c>
      <c r="I574" s="55" t="s">
        <v>8</v>
      </c>
      <c r="J574" s="57">
        <v>1949.28</v>
      </c>
      <c r="K574" s="56" t="s">
        <v>2058</v>
      </c>
      <c r="L574" s="56" t="s">
        <v>2067</v>
      </c>
      <c r="M574" s="55" t="s">
        <v>2060</v>
      </c>
      <c r="N574" s="56" t="s">
        <v>2061</v>
      </c>
      <c r="O574" s="53" t="s">
        <v>1790</v>
      </c>
      <c r="P574" s="56" t="s">
        <v>2068</v>
      </c>
      <c r="Q574" s="57">
        <v>49600</v>
      </c>
      <c r="R574" s="58" t="s">
        <v>8</v>
      </c>
      <c r="S574" s="57" t="s">
        <v>8</v>
      </c>
      <c r="T574" s="56" t="s">
        <v>2063</v>
      </c>
    </row>
    <row r="575" spans="1:20">
      <c r="A575" s="55">
        <v>125561730289</v>
      </c>
      <c r="B575" s="53" t="s">
        <v>2055</v>
      </c>
      <c r="C575" s="54">
        <v>45913</v>
      </c>
      <c r="D575" s="55">
        <v>50221304357</v>
      </c>
      <c r="E575" s="55">
        <v>2069573738923</v>
      </c>
      <c r="F575" s="56" t="s">
        <v>2066</v>
      </c>
      <c r="G575" s="56" t="s">
        <v>2057</v>
      </c>
      <c r="H575" s="56" t="s">
        <v>8</v>
      </c>
      <c r="I575" s="55" t="s">
        <v>8</v>
      </c>
      <c r="J575" s="57">
        <v>1607.16</v>
      </c>
      <c r="K575" s="56" t="s">
        <v>2058</v>
      </c>
      <c r="L575" s="56" t="s">
        <v>2067</v>
      </c>
      <c r="M575" s="55" t="s">
        <v>2060</v>
      </c>
      <c r="N575" s="56" t="s">
        <v>2061</v>
      </c>
      <c r="O575" s="53" t="s">
        <v>1790</v>
      </c>
      <c r="P575" s="56" t="s">
        <v>2068</v>
      </c>
      <c r="Q575" s="57">
        <v>35400</v>
      </c>
      <c r="R575" s="58" t="s">
        <v>8</v>
      </c>
      <c r="S575" s="57" t="s">
        <v>8</v>
      </c>
      <c r="T575" s="56" t="s">
        <v>2063</v>
      </c>
    </row>
    <row r="576" spans="1:20">
      <c r="A576" s="55">
        <v>125562837095</v>
      </c>
      <c r="B576" s="53" t="s">
        <v>2055</v>
      </c>
      <c r="C576" s="54">
        <v>45913</v>
      </c>
      <c r="D576" s="55">
        <v>50221663307</v>
      </c>
      <c r="E576" s="55">
        <v>2069580014307</v>
      </c>
      <c r="F576" s="56" t="s">
        <v>2056</v>
      </c>
      <c r="G576" s="56" t="s">
        <v>2057</v>
      </c>
      <c r="H576" s="56" t="s">
        <v>8</v>
      </c>
      <c r="I576" s="55" t="s">
        <v>8</v>
      </c>
      <c r="J576" s="57">
        <v>87.3</v>
      </c>
      <c r="K576" s="56" t="s">
        <v>2058</v>
      </c>
      <c r="L576" s="56" t="s">
        <v>2059</v>
      </c>
      <c r="M576" s="55" t="s">
        <v>2060</v>
      </c>
      <c r="N576" s="56" t="s">
        <v>2061</v>
      </c>
      <c r="O576" s="53" t="s">
        <v>8</v>
      </c>
      <c r="P576" s="56" t="s">
        <v>2323</v>
      </c>
      <c r="Q576" s="57">
        <v>9000</v>
      </c>
      <c r="R576" s="58" t="s">
        <v>8</v>
      </c>
      <c r="S576" s="57" t="s">
        <v>8</v>
      </c>
      <c r="T576" s="56" t="s">
        <v>2063</v>
      </c>
    </row>
    <row r="577" spans="1:20">
      <c r="A577" s="55">
        <v>125563294919</v>
      </c>
      <c r="B577" s="53" t="s">
        <v>2055</v>
      </c>
      <c r="C577" s="54">
        <v>45913</v>
      </c>
      <c r="D577" s="55">
        <v>50221843251</v>
      </c>
      <c r="E577" s="55">
        <v>2069628348444</v>
      </c>
      <c r="F577" s="56" t="s">
        <v>2066</v>
      </c>
      <c r="G577" s="56" t="s">
        <v>2057</v>
      </c>
      <c r="H577" s="56" t="s">
        <v>8</v>
      </c>
      <c r="I577" s="55" t="s">
        <v>8</v>
      </c>
      <c r="J577" s="57">
        <v>216.15</v>
      </c>
      <c r="K577" s="56" t="s">
        <v>2058</v>
      </c>
      <c r="L577" s="56" t="s">
        <v>2067</v>
      </c>
      <c r="M577" s="55" t="s">
        <v>2060</v>
      </c>
      <c r="N577" s="56" t="s">
        <v>2061</v>
      </c>
      <c r="O577" s="53" t="s">
        <v>1790</v>
      </c>
      <c r="P577" s="56" t="s">
        <v>2068</v>
      </c>
      <c r="Q577" s="57">
        <v>5500</v>
      </c>
      <c r="R577" s="58" t="s">
        <v>8</v>
      </c>
      <c r="S577" s="57" t="s">
        <v>8</v>
      </c>
      <c r="T577" s="56" t="s">
        <v>2063</v>
      </c>
    </row>
    <row r="578" spans="1:20">
      <c r="A578" s="55">
        <v>125565056217</v>
      </c>
      <c r="B578" s="53" t="s">
        <v>2055</v>
      </c>
      <c r="C578" s="54">
        <v>45913</v>
      </c>
      <c r="D578" s="55">
        <v>50222457171</v>
      </c>
      <c r="E578" s="55">
        <v>2069638248570</v>
      </c>
      <c r="F578" s="56" t="s">
        <v>2066</v>
      </c>
      <c r="G578" s="56" t="s">
        <v>2057</v>
      </c>
      <c r="H578" s="56" t="s">
        <v>8</v>
      </c>
      <c r="I578" s="55" t="s">
        <v>8</v>
      </c>
      <c r="J578" s="57">
        <v>2945.07</v>
      </c>
      <c r="K578" s="56" t="s">
        <v>2058</v>
      </c>
      <c r="L578" s="56" t="s">
        <v>2067</v>
      </c>
      <c r="M578" s="55" t="s">
        <v>2060</v>
      </c>
      <c r="N578" s="56" t="s">
        <v>2061</v>
      </c>
      <c r="O578" s="53" t="s">
        <v>1790</v>
      </c>
      <c r="P578" s="56" t="s">
        <v>2068</v>
      </c>
      <c r="Q578" s="57">
        <v>38700</v>
      </c>
      <c r="R578" s="58" t="s">
        <v>8</v>
      </c>
      <c r="S578" s="57" t="s">
        <v>8</v>
      </c>
      <c r="T578" s="56" t="s">
        <v>2063</v>
      </c>
    </row>
    <row r="579" spans="1:20">
      <c r="A579" s="55">
        <v>125565748807</v>
      </c>
      <c r="B579" s="53" t="s">
        <v>2055</v>
      </c>
      <c r="C579" s="54">
        <v>45913</v>
      </c>
      <c r="D579" s="55">
        <v>50222755145</v>
      </c>
      <c r="E579" s="55">
        <v>2069598266235</v>
      </c>
      <c r="F579" s="56" t="s">
        <v>2056</v>
      </c>
      <c r="G579" s="56" t="s">
        <v>2057</v>
      </c>
      <c r="H579" s="56" t="s">
        <v>8</v>
      </c>
      <c r="I579" s="55" t="s">
        <v>8</v>
      </c>
      <c r="J579" s="57">
        <v>291</v>
      </c>
      <c r="K579" s="56" t="s">
        <v>2058</v>
      </c>
      <c r="L579" s="56" t="s">
        <v>2059</v>
      </c>
      <c r="M579" s="55" t="s">
        <v>2060</v>
      </c>
      <c r="N579" s="56" t="s">
        <v>2061</v>
      </c>
      <c r="O579" s="53" t="s">
        <v>8</v>
      </c>
      <c r="P579" s="56" t="s">
        <v>2324</v>
      </c>
      <c r="Q579" s="57">
        <v>30000</v>
      </c>
      <c r="R579" s="58" t="s">
        <v>8</v>
      </c>
      <c r="S579" s="57" t="s">
        <v>8</v>
      </c>
      <c r="T579" s="56" t="s">
        <v>2063</v>
      </c>
    </row>
    <row r="580" spans="1:20">
      <c r="A580" s="55">
        <v>126118455600</v>
      </c>
      <c r="B580" s="53" t="s">
        <v>2055</v>
      </c>
      <c r="C580" s="54">
        <v>45913</v>
      </c>
      <c r="D580" s="55">
        <v>50222984588</v>
      </c>
      <c r="E580" s="55">
        <v>2069602379925</v>
      </c>
      <c r="F580" s="56" t="s">
        <v>2066</v>
      </c>
      <c r="G580" s="56" t="s">
        <v>2057</v>
      </c>
      <c r="H580" s="56" t="s">
        <v>8</v>
      </c>
      <c r="I580" s="55" t="s">
        <v>8</v>
      </c>
      <c r="J580" s="57">
        <v>1949.28</v>
      </c>
      <c r="K580" s="56" t="s">
        <v>2058</v>
      </c>
      <c r="L580" s="56" t="s">
        <v>2067</v>
      </c>
      <c r="M580" s="55" t="s">
        <v>2060</v>
      </c>
      <c r="N580" s="56" t="s">
        <v>2061</v>
      </c>
      <c r="O580" s="53" t="s">
        <v>1790</v>
      </c>
      <c r="P580" s="56" t="s">
        <v>2068</v>
      </c>
      <c r="Q580" s="57">
        <v>49600</v>
      </c>
      <c r="R580" s="58" t="s">
        <v>8</v>
      </c>
      <c r="S580" s="57" t="s">
        <v>8</v>
      </c>
      <c r="T580" s="56" t="s">
        <v>2063</v>
      </c>
    </row>
    <row r="581" spans="1:20">
      <c r="A581" s="55">
        <v>125566797827</v>
      </c>
      <c r="B581" s="53" t="s">
        <v>2055</v>
      </c>
      <c r="C581" s="54">
        <v>45913</v>
      </c>
      <c r="D581" s="55">
        <v>50223115513</v>
      </c>
      <c r="E581" s="55">
        <v>2069604385285</v>
      </c>
      <c r="F581" s="56" t="s">
        <v>2066</v>
      </c>
      <c r="G581" s="56" t="s">
        <v>2057</v>
      </c>
      <c r="H581" s="56" t="s">
        <v>8</v>
      </c>
      <c r="I581" s="55" t="s">
        <v>8</v>
      </c>
      <c r="J581" s="57">
        <v>2224.38</v>
      </c>
      <c r="K581" s="56" t="s">
        <v>2058</v>
      </c>
      <c r="L581" s="56" t="s">
        <v>2067</v>
      </c>
      <c r="M581" s="55" t="s">
        <v>2060</v>
      </c>
      <c r="N581" s="56" t="s">
        <v>2061</v>
      </c>
      <c r="O581" s="53" t="s">
        <v>1790</v>
      </c>
      <c r="P581" s="56" t="s">
        <v>2068</v>
      </c>
      <c r="Q581" s="57">
        <v>56600</v>
      </c>
      <c r="R581" s="58" t="s">
        <v>8</v>
      </c>
      <c r="S581" s="57" t="s">
        <v>8</v>
      </c>
      <c r="T581" s="56" t="s">
        <v>2063</v>
      </c>
    </row>
    <row r="582" spans="1:20">
      <c r="A582" s="55">
        <v>126120126774</v>
      </c>
      <c r="B582" s="53" t="s">
        <v>2055</v>
      </c>
      <c r="C582" s="54">
        <v>45913</v>
      </c>
      <c r="D582" s="55">
        <v>50223571707</v>
      </c>
      <c r="E582" s="55">
        <v>2069612471839</v>
      </c>
      <c r="F582" s="56" t="s">
        <v>2066</v>
      </c>
      <c r="G582" s="56" t="s">
        <v>2057</v>
      </c>
      <c r="H582" s="56" t="s">
        <v>8</v>
      </c>
      <c r="I582" s="55" t="s">
        <v>8</v>
      </c>
      <c r="J582" s="57">
        <v>1257.58</v>
      </c>
      <c r="K582" s="56" t="s">
        <v>2058</v>
      </c>
      <c r="L582" s="56" t="s">
        <v>2067</v>
      </c>
      <c r="M582" s="55" t="s">
        <v>2060</v>
      </c>
      <c r="N582" s="56" t="s">
        <v>2061</v>
      </c>
      <c r="O582" s="53" t="s">
        <v>1790</v>
      </c>
      <c r="P582" s="56" t="s">
        <v>2068</v>
      </c>
      <c r="Q582" s="57">
        <v>27700</v>
      </c>
      <c r="R582" s="58" t="s">
        <v>8</v>
      </c>
      <c r="S582" s="57" t="s">
        <v>8</v>
      </c>
      <c r="T582" s="56" t="s">
        <v>2063</v>
      </c>
    </row>
    <row r="583" spans="1:20">
      <c r="A583" s="55">
        <v>126120191518</v>
      </c>
      <c r="B583" s="53" t="s">
        <v>2055</v>
      </c>
      <c r="C583" s="54">
        <v>45913</v>
      </c>
      <c r="D583" s="55">
        <v>50223618278</v>
      </c>
      <c r="E583" s="55">
        <v>2069657980626</v>
      </c>
      <c r="F583" s="56" t="s">
        <v>2066</v>
      </c>
      <c r="G583" s="56" t="s">
        <v>2057</v>
      </c>
      <c r="H583" s="56" t="s">
        <v>8</v>
      </c>
      <c r="I583" s="55" t="s">
        <v>8</v>
      </c>
      <c r="J583" s="57">
        <v>2465.64</v>
      </c>
      <c r="K583" s="56" t="s">
        <v>2058</v>
      </c>
      <c r="L583" s="56" t="s">
        <v>2067</v>
      </c>
      <c r="M583" s="55" t="s">
        <v>2060</v>
      </c>
      <c r="N583" s="56" t="s">
        <v>2061</v>
      </c>
      <c r="O583" s="53" t="s">
        <v>1790</v>
      </c>
      <c r="P583" s="56" t="s">
        <v>2068</v>
      </c>
      <c r="Q583" s="57">
        <v>32400</v>
      </c>
      <c r="R583" s="58" t="s">
        <v>8</v>
      </c>
      <c r="S583" s="57" t="s">
        <v>8</v>
      </c>
      <c r="T583" s="56" t="s">
        <v>2063</v>
      </c>
    </row>
    <row r="584" spans="1:20">
      <c r="A584" s="55">
        <v>125569052645</v>
      </c>
      <c r="B584" s="53" t="s">
        <v>2055</v>
      </c>
      <c r="C584" s="54">
        <v>45913</v>
      </c>
      <c r="D584" s="55">
        <v>50223888134</v>
      </c>
      <c r="E584" s="55">
        <v>2069662690226</v>
      </c>
      <c r="F584" s="56" t="s">
        <v>2056</v>
      </c>
      <c r="G584" s="56" t="s">
        <v>2057</v>
      </c>
      <c r="H584" s="56" t="s">
        <v>8</v>
      </c>
      <c r="I584" s="55" t="s">
        <v>8</v>
      </c>
      <c r="J584" s="57">
        <v>321.07</v>
      </c>
      <c r="K584" s="56" t="s">
        <v>2058</v>
      </c>
      <c r="L584" s="56" t="s">
        <v>2059</v>
      </c>
      <c r="M584" s="55" t="s">
        <v>2060</v>
      </c>
      <c r="N584" s="56" t="s">
        <v>2061</v>
      </c>
      <c r="O584" s="53" t="s">
        <v>8</v>
      </c>
      <c r="P584" s="56" t="s">
        <v>2325</v>
      </c>
      <c r="Q584" s="57">
        <v>33100</v>
      </c>
      <c r="R584" s="58" t="s">
        <v>8</v>
      </c>
      <c r="S584" s="57" t="s">
        <v>8</v>
      </c>
      <c r="T584" s="56" t="s">
        <v>2063</v>
      </c>
    </row>
    <row r="585" spans="1:20">
      <c r="A585" s="55">
        <v>126121422420</v>
      </c>
      <c r="B585" s="53" t="s">
        <v>2055</v>
      </c>
      <c r="C585" s="54">
        <v>45913</v>
      </c>
      <c r="D585" s="55">
        <v>50223941751</v>
      </c>
      <c r="E585" s="55">
        <v>2069618500431</v>
      </c>
      <c r="F585" s="56" t="s">
        <v>2056</v>
      </c>
      <c r="G585" s="56" t="s">
        <v>2057</v>
      </c>
      <c r="H585" s="56" t="s">
        <v>8</v>
      </c>
      <c r="I585" s="55" t="s">
        <v>8</v>
      </c>
      <c r="J585" s="57">
        <v>418.07</v>
      </c>
      <c r="K585" s="56" t="s">
        <v>2058</v>
      </c>
      <c r="L585" s="56" t="s">
        <v>2059</v>
      </c>
      <c r="M585" s="55" t="s">
        <v>2060</v>
      </c>
      <c r="N585" s="56" t="s">
        <v>2061</v>
      </c>
      <c r="O585" s="53" t="s">
        <v>8</v>
      </c>
      <c r="P585" s="56" t="s">
        <v>2326</v>
      </c>
      <c r="Q585" s="57">
        <v>43100</v>
      </c>
      <c r="R585" s="58" t="s">
        <v>8</v>
      </c>
      <c r="S585" s="57" t="s">
        <v>8</v>
      </c>
      <c r="T585" s="56" t="s">
        <v>2063</v>
      </c>
    </row>
    <row r="586" spans="1:20">
      <c r="A586" s="55">
        <v>126121449144</v>
      </c>
      <c r="B586" s="53" t="s">
        <v>2055</v>
      </c>
      <c r="C586" s="54">
        <v>45913</v>
      </c>
      <c r="D586" s="55">
        <v>50223960197</v>
      </c>
      <c r="E586" s="55">
        <v>2069619325911</v>
      </c>
      <c r="F586" s="56" t="s">
        <v>2056</v>
      </c>
      <c r="G586" s="56" t="s">
        <v>2057</v>
      </c>
      <c r="H586" s="56" t="s">
        <v>8</v>
      </c>
      <c r="I586" s="55" t="s">
        <v>8</v>
      </c>
      <c r="J586" s="57">
        <v>313.31</v>
      </c>
      <c r="K586" s="56" t="s">
        <v>2058</v>
      </c>
      <c r="L586" s="56" t="s">
        <v>2059</v>
      </c>
      <c r="M586" s="55" t="s">
        <v>2060</v>
      </c>
      <c r="N586" s="56" t="s">
        <v>2061</v>
      </c>
      <c r="O586" s="53" t="s">
        <v>8</v>
      </c>
      <c r="P586" s="56" t="s">
        <v>2327</v>
      </c>
      <c r="Q586" s="57">
        <v>32300</v>
      </c>
      <c r="R586" s="58" t="s">
        <v>8</v>
      </c>
      <c r="S586" s="57" t="s">
        <v>8</v>
      </c>
      <c r="T586" s="56" t="s">
        <v>2063</v>
      </c>
    </row>
    <row r="587" spans="1:20">
      <c r="A587" s="55">
        <v>126121361624</v>
      </c>
      <c r="B587" s="53" t="s">
        <v>2055</v>
      </c>
      <c r="C587" s="54">
        <v>45913</v>
      </c>
      <c r="D587" s="55">
        <v>50223987172</v>
      </c>
      <c r="E587" s="55">
        <v>2069619393641</v>
      </c>
      <c r="F587" s="56" t="s">
        <v>2066</v>
      </c>
      <c r="G587" s="56" t="s">
        <v>2057</v>
      </c>
      <c r="H587" s="56" t="s">
        <v>8</v>
      </c>
      <c r="I587" s="55" t="s">
        <v>8</v>
      </c>
      <c r="J587" s="57">
        <v>2609.52</v>
      </c>
      <c r="K587" s="56" t="s">
        <v>2058</v>
      </c>
      <c r="L587" s="56" t="s">
        <v>2067</v>
      </c>
      <c r="M587" s="55" t="s">
        <v>2060</v>
      </c>
      <c r="N587" s="56" t="s">
        <v>2061</v>
      </c>
      <c r="O587" s="53" t="s">
        <v>1790</v>
      </c>
      <c r="P587" s="56" t="s">
        <v>2068</v>
      </c>
      <c r="Q587" s="57">
        <v>66400</v>
      </c>
      <c r="R587" s="58" t="s">
        <v>8</v>
      </c>
      <c r="S587" s="57" t="s">
        <v>8</v>
      </c>
      <c r="T587" s="56" t="s">
        <v>2063</v>
      </c>
    </row>
    <row r="588" spans="1:20">
      <c r="A588" s="55">
        <v>126121826612</v>
      </c>
      <c r="B588" s="53" t="s">
        <v>2055</v>
      </c>
      <c r="C588" s="54">
        <v>45913</v>
      </c>
      <c r="D588" s="55">
        <v>50224113928</v>
      </c>
      <c r="E588" s="55">
        <v>2069666633360</v>
      </c>
      <c r="F588" s="56" t="s">
        <v>2056</v>
      </c>
      <c r="G588" s="56" t="s">
        <v>2057</v>
      </c>
      <c r="H588" s="56" t="s">
        <v>8</v>
      </c>
      <c r="I588" s="55" t="s">
        <v>8</v>
      </c>
      <c r="J588" s="57">
        <v>214.37</v>
      </c>
      <c r="K588" s="56" t="s">
        <v>2058</v>
      </c>
      <c r="L588" s="56" t="s">
        <v>2059</v>
      </c>
      <c r="M588" s="55" t="s">
        <v>2060</v>
      </c>
      <c r="N588" s="56" t="s">
        <v>2061</v>
      </c>
      <c r="O588" s="53" t="s">
        <v>8</v>
      </c>
      <c r="P588" s="56" t="s">
        <v>2328</v>
      </c>
      <c r="Q588" s="57">
        <v>22100</v>
      </c>
      <c r="R588" s="58" t="s">
        <v>8</v>
      </c>
      <c r="S588" s="57" t="s">
        <v>8</v>
      </c>
      <c r="T588" s="56" t="s">
        <v>2063</v>
      </c>
    </row>
    <row r="589" spans="1:20">
      <c r="A589" s="55">
        <v>126122277928</v>
      </c>
      <c r="B589" s="53" t="s">
        <v>2055</v>
      </c>
      <c r="C589" s="54">
        <v>45913</v>
      </c>
      <c r="D589" s="55">
        <v>50224386372</v>
      </c>
      <c r="E589" s="55">
        <v>2069625919067</v>
      </c>
      <c r="F589" s="56" t="s">
        <v>2066</v>
      </c>
      <c r="G589" s="56" t="s">
        <v>2057</v>
      </c>
      <c r="H589" s="56" t="s">
        <v>8</v>
      </c>
      <c r="I589" s="55" t="s">
        <v>8</v>
      </c>
      <c r="J589" s="57">
        <v>1497.33</v>
      </c>
      <c r="K589" s="56" t="s">
        <v>2058</v>
      </c>
      <c r="L589" s="56" t="s">
        <v>2067</v>
      </c>
      <c r="M589" s="55" t="s">
        <v>2060</v>
      </c>
      <c r="N589" s="56" t="s">
        <v>2061</v>
      </c>
      <c r="O589" s="53" t="s">
        <v>1790</v>
      </c>
      <c r="P589" s="56" t="s">
        <v>2068</v>
      </c>
      <c r="Q589" s="57">
        <v>38100</v>
      </c>
      <c r="R589" s="58" t="s">
        <v>8</v>
      </c>
      <c r="S589" s="57" t="s">
        <v>8</v>
      </c>
      <c r="T589" s="56" t="s">
        <v>2063</v>
      </c>
    </row>
    <row r="590" spans="1:20">
      <c r="A590" s="55">
        <v>126123126956</v>
      </c>
      <c r="B590" s="53" t="s">
        <v>2055</v>
      </c>
      <c r="C590" s="54">
        <v>45913</v>
      </c>
      <c r="D590" s="55">
        <v>50224697619</v>
      </c>
      <c r="E590" s="55">
        <v>2069631180783</v>
      </c>
      <c r="F590" s="56" t="s">
        <v>2066</v>
      </c>
      <c r="G590" s="56" t="s">
        <v>2057</v>
      </c>
      <c r="H590" s="56" t="s">
        <v>8</v>
      </c>
      <c r="I590" s="55" t="s">
        <v>8</v>
      </c>
      <c r="J590" s="57">
        <v>1870.48</v>
      </c>
      <c r="K590" s="56" t="s">
        <v>2058</v>
      </c>
      <c r="L590" s="56" t="s">
        <v>2067</v>
      </c>
      <c r="M590" s="55" t="s">
        <v>2060</v>
      </c>
      <c r="N590" s="56" t="s">
        <v>2061</v>
      </c>
      <c r="O590" s="53" t="s">
        <v>1790</v>
      </c>
      <c r="P590" s="56" t="s">
        <v>2068</v>
      </c>
      <c r="Q590" s="57">
        <v>41200</v>
      </c>
      <c r="R590" s="58" t="s">
        <v>8</v>
      </c>
      <c r="S590" s="57" t="s">
        <v>8</v>
      </c>
      <c r="T590" s="56" t="s">
        <v>2063</v>
      </c>
    </row>
    <row r="591" spans="1:20">
      <c r="A591" s="55">
        <v>125571870311</v>
      </c>
      <c r="B591" s="53" t="s">
        <v>2055</v>
      </c>
      <c r="C591" s="54">
        <v>45913</v>
      </c>
      <c r="D591" s="55">
        <v>50224816298</v>
      </c>
      <c r="E591" s="55">
        <v>2069633034429</v>
      </c>
      <c r="F591" s="56" t="s">
        <v>2056</v>
      </c>
      <c r="G591" s="56" t="s">
        <v>2057</v>
      </c>
      <c r="H591" s="56" t="s">
        <v>8</v>
      </c>
      <c r="I591" s="55" t="s">
        <v>8</v>
      </c>
      <c r="J591" s="57">
        <v>369.57</v>
      </c>
      <c r="K591" s="56" t="s">
        <v>2058</v>
      </c>
      <c r="L591" s="56" t="s">
        <v>2059</v>
      </c>
      <c r="M591" s="55" t="s">
        <v>2060</v>
      </c>
      <c r="N591" s="56" t="s">
        <v>2061</v>
      </c>
      <c r="O591" s="53" t="s">
        <v>8</v>
      </c>
      <c r="P591" s="56" t="s">
        <v>2329</v>
      </c>
      <c r="Q591" s="57">
        <v>38100</v>
      </c>
      <c r="R591" s="58" t="s">
        <v>8</v>
      </c>
      <c r="S591" s="57" t="s">
        <v>8</v>
      </c>
      <c r="T591" s="56" t="s">
        <v>2063</v>
      </c>
    </row>
    <row r="592" spans="1:20">
      <c r="A592" s="55">
        <v>125571861443</v>
      </c>
      <c r="B592" s="53" t="s">
        <v>2055</v>
      </c>
      <c r="C592" s="54">
        <v>45913</v>
      </c>
      <c r="D592" s="55">
        <v>50224858846</v>
      </c>
      <c r="E592" s="55">
        <v>2069634083745</v>
      </c>
      <c r="F592" s="56" t="s">
        <v>2056</v>
      </c>
      <c r="G592" s="56" t="s">
        <v>2057</v>
      </c>
      <c r="H592" s="56" t="s">
        <v>8</v>
      </c>
      <c r="I592" s="55" t="s">
        <v>8</v>
      </c>
      <c r="J592" s="57">
        <v>33.950000000000003</v>
      </c>
      <c r="K592" s="56" t="s">
        <v>2058</v>
      </c>
      <c r="L592" s="56" t="s">
        <v>2059</v>
      </c>
      <c r="M592" s="55" t="s">
        <v>2060</v>
      </c>
      <c r="N592" s="56" t="s">
        <v>2061</v>
      </c>
      <c r="O592" s="53" t="s">
        <v>8</v>
      </c>
      <c r="P592" s="56" t="s">
        <v>2330</v>
      </c>
      <c r="Q592" s="57">
        <v>3500</v>
      </c>
      <c r="R592" s="58" t="s">
        <v>8</v>
      </c>
      <c r="S592" s="57" t="s">
        <v>8</v>
      </c>
      <c r="T592" s="56" t="s">
        <v>2063</v>
      </c>
    </row>
    <row r="593" spans="1:20">
      <c r="A593" s="55">
        <v>125571811845</v>
      </c>
      <c r="B593" s="53" t="s">
        <v>2055</v>
      </c>
      <c r="C593" s="54">
        <v>45913</v>
      </c>
      <c r="D593" s="55">
        <v>50224879781</v>
      </c>
      <c r="E593" s="55">
        <v>2069679039250</v>
      </c>
      <c r="F593" s="56" t="s">
        <v>2056</v>
      </c>
      <c r="G593" s="56" t="s">
        <v>2057</v>
      </c>
      <c r="H593" s="56" t="s">
        <v>8</v>
      </c>
      <c r="I593" s="55" t="s">
        <v>8</v>
      </c>
      <c r="J593" s="57">
        <v>33.950000000000003</v>
      </c>
      <c r="K593" s="56" t="s">
        <v>2058</v>
      </c>
      <c r="L593" s="56" t="s">
        <v>2059</v>
      </c>
      <c r="M593" s="55" t="s">
        <v>2060</v>
      </c>
      <c r="N593" s="56" t="s">
        <v>2061</v>
      </c>
      <c r="O593" s="53" t="s">
        <v>8</v>
      </c>
      <c r="P593" s="56" t="s">
        <v>2331</v>
      </c>
      <c r="Q593" s="57">
        <v>3500</v>
      </c>
      <c r="R593" s="58" t="s">
        <v>8</v>
      </c>
      <c r="S593" s="57" t="s">
        <v>8</v>
      </c>
      <c r="T593" s="56" t="s">
        <v>2063</v>
      </c>
    </row>
    <row r="594" spans="1:20">
      <c r="A594" s="55">
        <v>126124056584</v>
      </c>
      <c r="B594" s="53" t="s">
        <v>2055</v>
      </c>
      <c r="C594" s="54">
        <v>45913</v>
      </c>
      <c r="D594" s="55">
        <v>50224904868</v>
      </c>
      <c r="E594" s="55">
        <v>2069679420452</v>
      </c>
      <c r="F594" s="56" t="s">
        <v>2066</v>
      </c>
      <c r="G594" s="56" t="s">
        <v>2057</v>
      </c>
      <c r="H594" s="56" t="s">
        <v>8</v>
      </c>
      <c r="I594" s="55" t="s">
        <v>8</v>
      </c>
      <c r="J594" s="57">
        <v>7929.62</v>
      </c>
      <c r="K594" s="56" t="s">
        <v>2058</v>
      </c>
      <c r="L594" s="56" t="s">
        <v>2067</v>
      </c>
      <c r="M594" s="55" t="s">
        <v>2060</v>
      </c>
      <c r="N594" s="56" t="s">
        <v>2061</v>
      </c>
      <c r="O594" s="53" t="s">
        <v>1790</v>
      </c>
      <c r="P594" s="56" t="s">
        <v>2068</v>
      </c>
      <c r="Q594" s="57">
        <v>104200</v>
      </c>
      <c r="R594" s="58" t="s">
        <v>8</v>
      </c>
      <c r="S594" s="57" t="s">
        <v>8</v>
      </c>
      <c r="T594" s="56" t="s">
        <v>2063</v>
      </c>
    </row>
    <row r="595" spans="1:20">
      <c r="A595" s="55">
        <v>125572517133</v>
      </c>
      <c r="B595" s="53" t="s">
        <v>2055</v>
      </c>
      <c r="C595" s="54">
        <v>45914</v>
      </c>
      <c r="D595" s="55">
        <v>50225216613</v>
      </c>
      <c r="E595" s="55">
        <v>2069639297505</v>
      </c>
      <c r="F595" s="56" t="s">
        <v>2069</v>
      </c>
      <c r="G595" s="56" t="s">
        <v>2057</v>
      </c>
      <c r="H595" s="56" t="s">
        <v>8</v>
      </c>
      <c r="I595" s="55" t="s">
        <v>8</v>
      </c>
      <c r="J595" s="57">
        <v>265.77999999999997</v>
      </c>
      <c r="K595" s="56" t="s">
        <v>2058</v>
      </c>
      <c r="L595" s="56" t="s">
        <v>2059</v>
      </c>
      <c r="M595" s="55" t="s">
        <v>2060</v>
      </c>
      <c r="N595" s="56" t="s">
        <v>2061</v>
      </c>
      <c r="O595" s="53" t="s">
        <v>8</v>
      </c>
      <c r="P595" s="56" t="s">
        <v>2070</v>
      </c>
      <c r="Q595" s="57">
        <v>27400</v>
      </c>
      <c r="R595" s="58" t="s">
        <v>8</v>
      </c>
      <c r="S595" s="57" t="s">
        <v>8</v>
      </c>
      <c r="T595" s="56" t="s">
        <v>8</v>
      </c>
    </row>
    <row r="596" spans="1:20">
      <c r="A596" s="55">
        <v>125572639149</v>
      </c>
      <c r="B596" s="53" t="s">
        <v>2055</v>
      </c>
      <c r="C596" s="54">
        <v>45914</v>
      </c>
      <c r="D596" s="55">
        <v>50225249814</v>
      </c>
      <c r="E596" s="55">
        <v>2069685068674</v>
      </c>
      <c r="F596" s="56" t="s">
        <v>2066</v>
      </c>
      <c r="G596" s="56" t="s">
        <v>2057</v>
      </c>
      <c r="H596" s="56" t="s">
        <v>8</v>
      </c>
      <c r="I596" s="55" t="s">
        <v>8</v>
      </c>
      <c r="J596" s="57">
        <v>1579.86</v>
      </c>
      <c r="K596" s="56" t="s">
        <v>2058</v>
      </c>
      <c r="L596" s="56" t="s">
        <v>2067</v>
      </c>
      <c r="M596" s="55" t="s">
        <v>2060</v>
      </c>
      <c r="N596" s="56" t="s">
        <v>2061</v>
      </c>
      <c r="O596" s="53" t="s">
        <v>1790</v>
      </c>
      <c r="P596" s="56" t="s">
        <v>2068</v>
      </c>
      <c r="Q596" s="57">
        <v>40200</v>
      </c>
      <c r="R596" s="58" t="s">
        <v>8</v>
      </c>
      <c r="S596" s="57" t="s">
        <v>8</v>
      </c>
      <c r="T596" s="56" t="s">
        <v>2063</v>
      </c>
    </row>
    <row r="597" spans="1:20">
      <c r="A597" s="55">
        <v>126124937948</v>
      </c>
      <c r="B597" s="53" t="s">
        <v>2055</v>
      </c>
      <c r="C597" s="54">
        <v>45914</v>
      </c>
      <c r="D597" s="55">
        <v>50225288423</v>
      </c>
      <c r="E597" s="55">
        <v>2069685657380</v>
      </c>
      <c r="F597" s="56" t="s">
        <v>2056</v>
      </c>
      <c r="G597" s="56" t="s">
        <v>2057</v>
      </c>
      <c r="H597" s="56" t="s">
        <v>8</v>
      </c>
      <c r="I597" s="55" t="s">
        <v>8</v>
      </c>
      <c r="J597" s="57">
        <v>151.32</v>
      </c>
      <c r="K597" s="56" t="s">
        <v>2058</v>
      </c>
      <c r="L597" s="56" t="s">
        <v>2059</v>
      </c>
      <c r="M597" s="55" t="s">
        <v>2060</v>
      </c>
      <c r="N597" s="56" t="s">
        <v>2061</v>
      </c>
      <c r="O597" s="53" t="s">
        <v>8</v>
      </c>
      <c r="P597" s="56" t="s">
        <v>2332</v>
      </c>
      <c r="Q597" s="57">
        <v>15600</v>
      </c>
      <c r="R597" s="58" t="s">
        <v>8</v>
      </c>
      <c r="S597" s="57" t="s">
        <v>8</v>
      </c>
      <c r="T597" s="56" t="s">
        <v>2063</v>
      </c>
    </row>
    <row r="598" spans="1:20">
      <c r="A598" s="55">
        <v>126125328454</v>
      </c>
      <c r="B598" s="53" t="s">
        <v>2055</v>
      </c>
      <c r="C598" s="54">
        <v>45914</v>
      </c>
      <c r="D598" s="55">
        <v>50225353968</v>
      </c>
      <c r="E598" s="55">
        <v>2069686686974</v>
      </c>
      <c r="F598" s="56" t="s">
        <v>2056</v>
      </c>
      <c r="G598" s="56" t="s">
        <v>2057</v>
      </c>
      <c r="H598" s="56" t="s">
        <v>8</v>
      </c>
      <c r="I598" s="55" t="s">
        <v>8</v>
      </c>
      <c r="J598" s="57">
        <v>309.43</v>
      </c>
      <c r="K598" s="56" t="s">
        <v>2058</v>
      </c>
      <c r="L598" s="56" t="s">
        <v>2059</v>
      </c>
      <c r="M598" s="55" t="s">
        <v>2060</v>
      </c>
      <c r="N598" s="56" t="s">
        <v>2061</v>
      </c>
      <c r="O598" s="53" t="s">
        <v>8</v>
      </c>
      <c r="P598" s="56" t="s">
        <v>2333</v>
      </c>
      <c r="Q598" s="57">
        <v>31900</v>
      </c>
      <c r="R598" s="58" t="s">
        <v>8</v>
      </c>
      <c r="S598" s="57" t="s">
        <v>8</v>
      </c>
      <c r="T598" s="56" t="s">
        <v>2063</v>
      </c>
    </row>
    <row r="599" spans="1:20">
      <c r="A599" s="55">
        <v>125573390505</v>
      </c>
      <c r="B599" s="53" t="s">
        <v>2055</v>
      </c>
      <c r="C599" s="54">
        <v>45914</v>
      </c>
      <c r="D599" s="55">
        <v>50225410368</v>
      </c>
      <c r="E599" s="55">
        <v>2069642442367</v>
      </c>
      <c r="F599" s="56" t="s">
        <v>2056</v>
      </c>
      <c r="G599" s="56" t="s">
        <v>2057</v>
      </c>
      <c r="H599" s="56" t="s">
        <v>8</v>
      </c>
      <c r="I599" s="55" t="s">
        <v>8</v>
      </c>
      <c r="J599" s="57">
        <v>545.14</v>
      </c>
      <c r="K599" s="56" t="s">
        <v>2058</v>
      </c>
      <c r="L599" s="56" t="s">
        <v>2059</v>
      </c>
      <c r="M599" s="55" t="s">
        <v>2060</v>
      </c>
      <c r="N599" s="56" t="s">
        <v>2061</v>
      </c>
      <c r="O599" s="53" t="s">
        <v>8</v>
      </c>
      <c r="P599" s="56" t="s">
        <v>2334</v>
      </c>
      <c r="Q599" s="57">
        <v>56200</v>
      </c>
      <c r="R599" s="58" t="s">
        <v>8</v>
      </c>
      <c r="S599" s="57" t="s">
        <v>8</v>
      </c>
      <c r="T599" s="56" t="s">
        <v>2063</v>
      </c>
    </row>
    <row r="600" spans="1:20">
      <c r="A600" s="55">
        <v>126125616248</v>
      </c>
      <c r="B600" s="53" t="s">
        <v>2055</v>
      </c>
      <c r="C600" s="54">
        <v>45914</v>
      </c>
      <c r="D600" s="55">
        <v>50225492275</v>
      </c>
      <c r="E600" s="55">
        <v>2069689093428</v>
      </c>
      <c r="F600" s="56" t="s">
        <v>2056</v>
      </c>
      <c r="G600" s="56" t="s">
        <v>2057</v>
      </c>
      <c r="H600" s="56" t="s">
        <v>8</v>
      </c>
      <c r="I600" s="55" t="s">
        <v>8</v>
      </c>
      <c r="J600" s="57">
        <v>21.34</v>
      </c>
      <c r="K600" s="56" t="s">
        <v>2058</v>
      </c>
      <c r="L600" s="56" t="s">
        <v>2059</v>
      </c>
      <c r="M600" s="55" t="s">
        <v>2060</v>
      </c>
      <c r="N600" s="56" t="s">
        <v>2061</v>
      </c>
      <c r="O600" s="53" t="s">
        <v>8</v>
      </c>
      <c r="P600" s="56" t="s">
        <v>2335</v>
      </c>
      <c r="Q600" s="57">
        <v>2200</v>
      </c>
      <c r="R600" s="58" t="s">
        <v>8</v>
      </c>
      <c r="S600" s="57" t="s">
        <v>8</v>
      </c>
      <c r="T600" s="56" t="s">
        <v>2063</v>
      </c>
    </row>
    <row r="601" spans="1:20">
      <c r="A601" s="55">
        <v>126125649050</v>
      </c>
      <c r="B601" s="53" t="s">
        <v>2055</v>
      </c>
      <c r="C601" s="54">
        <v>45914</v>
      </c>
      <c r="D601" s="55">
        <v>50225550053</v>
      </c>
      <c r="E601" s="55">
        <v>2069644785053</v>
      </c>
      <c r="F601" s="56" t="s">
        <v>2066</v>
      </c>
      <c r="G601" s="56" t="s">
        <v>2057</v>
      </c>
      <c r="H601" s="56" t="s">
        <v>8</v>
      </c>
      <c r="I601" s="55" t="s">
        <v>8</v>
      </c>
      <c r="J601" s="57">
        <v>2731.35</v>
      </c>
      <c r="K601" s="56" t="s">
        <v>2058</v>
      </c>
      <c r="L601" s="56" t="s">
        <v>2067</v>
      </c>
      <c r="M601" s="55" t="s">
        <v>2060</v>
      </c>
      <c r="N601" s="56" t="s">
        <v>2061</v>
      </c>
      <c r="O601" s="53" t="s">
        <v>1790</v>
      </c>
      <c r="P601" s="56" t="s">
        <v>2068</v>
      </c>
      <c r="Q601" s="57">
        <v>69500</v>
      </c>
      <c r="R601" s="58" t="s">
        <v>8</v>
      </c>
      <c r="S601" s="57" t="s">
        <v>8</v>
      </c>
      <c r="T601" s="56" t="s">
        <v>2063</v>
      </c>
    </row>
    <row r="602" spans="1:20">
      <c r="A602" s="55">
        <v>125573766089</v>
      </c>
      <c r="B602" s="53" t="s">
        <v>2055</v>
      </c>
      <c r="C602" s="54">
        <v>45914</v>
      </c>
      <c r="D602" s="55">
        <v>50225581839</v>
      </c>
      <c r="E602" s="55">
        <v>2069645769781</v>
      </c>
      <c r="F602" s="56" t="s">
        <v>2066</v>
      </c>
      <c r="G602" s="56" t="s">
        <v>2057</v>
      </c>
      <c r="H602" s="56" t="s">
        <v>8</v>
      </c>
      <c r="I602" s="55" t="s">
        <v>8</v>
      </c>
      <c r="J602" s="57">
        <v>313.26</v>
      </c>
      <c r="K602" s="56" t="s">
        <v>2058</v>
      </c>
      <c r="L602" s="56" t="s">
        <v>2067</v>
      </c>
      <c r="M602" s="55" t="s">
        <v>2060</v>
      </c>
      <c r="N602" s="56" t="s">
        <v>2061</v>
      </c>
      <c r="O602" s="53" t="s">
        <v>1790</v>
      </c>
      <c r="P602" s="56" t="s">
        <v>2068</v>
      </c>
      <c r="Q602" s="57">
        <v>6900</v>
      </c>
      <c r="R602" s="58" t="s">
        <v>8</v>
      </c>
      <c r="S602" s="57" t="s">
        <v>8</v>
      </c>
      <c r="T602" s="56" t="s">
        <v>2063</v>
      </c>
    </row>
    <row r="603" spans="1:20">
      <c r="A603" s="55">
        <v>126125844426</v>
      </c>
      <c r="B603" s="53" t="s">
        <v>2055</v>
      </c>
      <c r="C603" s="54">
        <v>45914</v>
      </c>
      <c r="D603" s="55">
        <v>50225620108</v>
      </c>
      <c r="E603" s="55">
        <v>2069690938296</v>
      </c>
      <c r="F603" s="56" t="s">
        <v>2066</v>
      </c>
      <c r="G603" s="56" t="s">
        <v>2057</v>
      </c>
      <c r="H603" s="56" t="s">
        <v>8</v>
      </c>
      <c r="I603" s="55" t="s">
        <v>8</v>
      </c>
      <c r="J603" s="57">
        <v>3619.53</v>
      </c>
      <c r="K603" s="56" t="s">
        <v>2058</v>
      </c>
      <c r="L603" s="56" t="s">
        <v>2067</v>
      </c>
      <c r="M603" s="55" t="s">
        <v>2060</v>
      </c>
      <c r="N603" s="56" t="s">
        <v>2061</v>
      </c>
      <c r="O603" s="53" t="s">
        <v>1790</v>
      </c>
      <c r="P603" s="56" t="s">
        <v>2068</v>
      </c>
      <c r="Q603" s="57">
        <v>92100</v>
      </c>
      <c r="R603" s="58" t="s">
        <v>8</v>
      </c>
      <c r="S603" s="57" t="s">
        <v>8</v>
      </c>
      <c r="T603" s="56" t="s">
        <v>2063</v>
      </c>
    </row>
    <row r="604" spans="1:20">
      <c r="A604" s="55">
        <v>126125865338</v>
      </c>
      <c r="B604" s="53" t="s">
        <v>2055</v>
      </c>
      <c r="C604" s="54">
        <v>45914</v>
      </c>
      <c r="D604" s="55">
        <v>50225687385</v>
      </c>
      <c r="E604" s="55">
        <v>2069646737633</v>
      </c>
      <c r="F604" s="56" t="s">
        <v>2066</v>
      </c>
      <c r="G604" s="56" t="s">
        <v>2057</v>
      </c>
      <c r="H604" s="56" t="s">
        <v>8</v>
      </c>
      <c r="I604" s="55" t="s">
        <v>8</v>
      </c>
      <c r="J604" s="57">
        <v>1442.31</v>
      </c>
      <c r="K604" s="56" t="s">
        <v>2058</v>
      </c>
      <c r="L604" s="56" t="s">
        <v>2067</v>
      </c>
      <c r="M604" s="55" t="s">
        <v>2060</v>
      </c>
      <c r="N604" s="56" t="s">
        <v>2061</v>
      </c>
      <c r="O604" s="53" t="s">
        <v>1790</v>
      </c>
      <c r="P604" s="56" t="s">
        <v>2068</v>
      </c>
      <c r="Q604" s="57">
        <v>36700</v>
      </c>
      <c r="R604" s="58" t="s">
        <v>8</v>
      </c>
      <c r="S604" s="57" t="s">
        <v>8</v>
      </c>
      <c r="T604" s="56" t="s">
        <v>2063</v>
      </c>
    </row>
    <row r="605" spans="1:20">
      <c r="A605" s="55">
        <v>126126003700</v>
      </c>
      <c r="B605" s="53" t="s">
        <v>2055</v>
      </c>
      <c r="C605" s="54">
        <v>45914</v>
      </c>
      <c r="D605" s="55">
        <v>50225795364</v>
      </c>
      <c r="E605" s="55">
        <v>2069648240005</v>
      </c>
      <c r="F605" s="56" t="s">
        <v>2056</v>
      </c>
      <c r="G605" s="56" t="s">
        <v>2057</v>
      </c>
      <c r="H605" s="56" t="s">
        <v>8</v>
      </c>
      <c r="I605" s="55" t="s">
        <v>8</v>
      </c>
      <c r="J605" s="57">
        <v>538.35</v>
      </c>
      <c r="K605" s="56" t="s">
        <v>2058</v>
      </c>
      <c r="L605" s="56" t="s">
        <v>2059</v>
      </c>
      <c r="M605" s="55" t="s">
        <v>2060</v>
      </c>
      <c r="N605" s="56" t="s">
        <v>2061</v>
      </c>
      <c r="O605" s="53" t="s">
        <v>8</v>
      </c>
      <c r="P605" s="56" t="s">
        <v>2336</v>
      </c>
      <c r="Q605" s="57">
        <v>55500</v>
      </c>
      <c r="R605" s="58" t="s">
        <v>8</v>
      </c>
      <c r="S605" s="57" t="s">
        <v>8</v>
      </c>
      <c r="T605" s="56" t="s">
        <v>2063</v>
      </c>
    </row>
    <row r="606" spans="1:20">
      <c r="A606" s="55">
        <v>125574552839</v>
      </c>
      <c r="B606" s="53" t="s">
        <v>2055</v>
      </c>
      <c r="C606" s="54">
        <v>45914</v>
      </c>
      <c r="D606" s="55">
        <v>50225848587</v>
      </c>
      <c r="E606" s="55">
        <v>2069649261317</v>
      </c>
      <c r="F606" s="56" t="s">
        <v>2056</v>
      </c>
      <c r="G606" s="56" t="s">
        <v>2057</v>
      </c>
      <c r="H606" s="56" t="s">
        <v>8</v>
      </c>
      <c r="I606" s="55" t="s">
        <v>8</v>
      </c>
      <c r="J606" s="57">
        <v>491.79</v>
      </c>
      <c r="K606" s="56" t="s">
        <v>2058</v>
      </c>
      <c r="L606" s="56" t="s">
        <v>2059</v>
      </c>
      <c r="M606" s="55" t="s">
        <v>2060</v>
      </c>
      <c r="N606" s="56" t="s">
        <v>2061</v>
      </c>
      <c r="O606" s="53" t="s">
        <v>8</v>
      </c>
      <c r="P606" s="56" t="s">
        <v>2337</v>
      </c>
      <c r="Q606" s="57">
        <v>50700</v>
      </c>
      <c r="R606" s="58" t="s">
        <v>8</v>
      </c>
      <c r="S606" s="57" t="s">
        <v>8</v>
      </c>
      <c r="T606" s="56" t="s">
        <v>2063</v>
      </c>
    </row>
    <row r="607" spans="1:20">
      <c r="A607" s="55">
        <v>126126279136</v>
      </c>
      <c r="B607" s="53" t="s">
        <v>2055</v>
      </c>
      <c r="C607" s="54">
        <v>45914</v>
      </c>
      <c r="D607" s="55">
        <v>50225868439</v>
      </c>
      <c r="E607" s="55">
        <v>2069649475479</v>
      </c>
      <c r="F607" s="56" t="s">
        <v>2056</v>
      </c>
      <c r="G607" s="56" t="s">
        <v>2057</v>
      </c>
      <c r="H607" s="56" t="s">
        <v>8</v>
      </c>
      <c r="I607" s="55" t="s">
        <v>8</v>
      </c>
      <c r="J607" s="57">
        <v>435.53</v>
      </c>
      <c r="K607" s="56" t="s">
        <v>2058</v>
      </c>
      <c r="L607" s="56" t="s">
        <v>2059</v>
      </c>
      <c r="M607" s="55" t="s">
        <v>2060</v>
      </c>
      <c r="N607" s="56" t="s">
        <v>2061</v>
      </c>
      <c r="O607" s="53" t="s">
        <v>8</v>
      </c>
      <c r="P607" s="56" t="s">
        <v>2338</v>
      </c>
      <c r="Q607" s="57">
        <v>44900</v>
      </c>
      <c r="R607" s="58" t="s">
        <v>8</v>
      </c>
      <c r="S607" s="57" t="s">
        <v>8</v>
      </c>
      <c r="T607" s="56" t="s">
        <v>2063</v>
      </c>
    </row>
    <row r="608" spans="1:20">
      <c r="A608" s="55">
        <v>125575047745</v>
      </c>
      <c r="B608" s="53" t="s">
        <v>2055</v>
      </c>
      <c r="C608" s="54">
        <v>45914</v>
      </c>
      <c r="D608" s="55">
        <v>50226106867</v>
      </c>
      <c r="E608" s="55">
        <v>2069653329505</v>
      </c>
      <c r="F608" s="56" t="s">
        <v>2066</v>
      </c>
      <c r="G608" s="56" t="s">
        <v>2057</v>
      </c>
      <c r="H608" s="56" t="s">
        <v>8</v>
      </c>
      <c r="I608" s="55" t="s">
        <v>8</v>
      </c>
      <c r="J608" s="57">
        <v>1988.58</v>
      </c>
      <c r="K608" s="56" t="s">
        <v>2058</v>
      </c>
      <c r="L608" s="56" t="s">
        <v>2067</v>
      </c>
      <c r="M608" s="55" t="s">
        <v>2060</v>
      </c>
      <c r="N608" s="56" t="s">
        <v>2061</v>
      </c>
      <c r="O608" s="53" t="s">
        <v>1790</v>
      </c>
      <c r="P608" s="56" t="s">
        <v>2068</v>
      </c>
      <c r="Q608" s="57">
        <v>50600</v>
      </c>
      <c r="R608" s="58" t="s">
        <v>8</v>
      </c>
      <c r="S608" s="57" t="s">
        <v>8</v>
      </c>
      <c r="T608" s="56" t="s">
        <v>2063</v>
      </c>
    </row>
    <row r="609" spans="1:20">
      <c r="A609" s="55">
        <v>126127444242</v>
      </c>
      <c r="B609" s="53" t="s">
        <v>2055</v>
      </c>
      <c r="C609" s="54">
        <v>45914</v>
      </c>
      <c r="D609" s="55">
        <v>50226144930</v>
      </c>
      <c r="E609" s="55">
        <v>2069653900625</v>
      </c>
      <c r="F609" s="56" t="s">
        <v>2066</v>
      </c>
      <c r="G609" s="56" t="s">
        <v>2057</v>
      </c>
      <c r="H609" s="56" t="s">
        <v>8</v>
      </c>
      <c r="I609" s="55" t="s">
        <v>8</v>
      </c>
      <c r="J609" s="57">
        <v>1414.8</v>
      </c>
      <c r="K609" s="56" t="s">
        <v>2058</v>
      </c>
      <c r="L609" s="56" t="s">
        <v>2067</v>
      </c>
      <c r="M609" s="55" t="s">
        <v>2060</v>
      </c>
      <c r="N609" s="56" t="s">
        <v>2061</v>
      </c>
      <c r="O609" s="53" t="s">
        <v>1790</v>
      </c>
      <c r="P609" s="56" t="s">
        <v>2068</v>
      </c>
      <c r="Q609" s="57">
        <v>36000</v>
      </c>
      <c r="R609" s="58" t="s">
        <v>8</v>
      </c>
      <c r="S609" s="57" t="s">
        <v>8</v>
      </c>
      <c r="T609" s="56" t="s">
        <v>2063</v>
      </c>
    </row>
    <row r="610" spans="1:20">
      <c r="A610" s="55">
        <v>125575646461</v>
      </c>
      <c r="B610" s="53" t="s">
        <v>2055</v>
      </c>
      <c r="C610" s="54">
        <v>45914</v>
      </c>
      <c r="D610" s="55">
        <v>50226331891</v>
      </c>
      <c r="E610" s="55">
        <v>2069701934862</v>
      </c>
      <c r="F610" s="56" t="s">
        <v>2069</v>
      </c>
      <c r="G610" s="56" t="s">
        <v>2057</v>
      </c>
      <c r="H610" s="56" t="s">
        <v>8</v>
      </c>
      <c r="I610" s="55" t="s">
        <v>8</v>
      </c>
      <c r="J610" s="57">
        <v>646.02</v>
      </c>
      <c r="K610" s="56" t="s">
        <v>2058</v>
      </c>
      <c r="L610" s="56" t="s">
        <v>2059</v>
      </c>
      <c r="M610" s="55" t="s">
        <v>2060</v>
      </c>
      <c r="N610" s="56" t="s">
        <v>2061</v>
      </c>
      <c r="O610" s="53" t="s">
        <v>8</v>
      </c>
      <c r="P610" s="56" t="s">
        <v>2070</v>
      </c>
      <c r="Q610" s="57">
        <v>66600</v>
      </c>
      <c r="R610" s="58" t="s">
        <v>8</v>
      </c>
      <c r="S610" s="57" t="s">
        <v>8</v>
      </c>
      <c r="T610" s="56" t="s">
        <v>8</v>
      </c>
    </row>
    <row r="611" spans="1:20">
      <c r="A611" s="55">
        <v>126127972920</v>
      </c>
      <c r="B611" s="53" t="s">
        <v>2055</v>
      </c>
      <c r="C611" s="54">
        <v>45914</v>
      </c>
      <c r="D611" s="55">
        <v>50226400872</v>
      </c>
      <c r="E611" s="55">
        <v>2069657752163</v>
      </c>
      <c r="F611" s="56" t="s">
        <v>2069</v>
      </c>
      <c r="G611" s="56" t="s">
        <v>2057</v>
      </c>
      <c r="H611" s="56" t="s">
        <v>8</v>
      </c>
      <c r="I611" s="55" t="s">
        <v>8</v>
      </c>
      <c r="J611" s="57">
        <v>87.3</v>
      </c>
      <c r="K611" s="56" t="s">
        <v>2058</v>
      </c>
      <c r="L611" s="56" t="s">
        <v>2059</v>
      </c>
      <c r="M611" s="55" t="s">
        <v>2060</v>
      </c>
      <c r="N611" s="56" t="s">
        <v>2061</v>
      </c>
      <c r="O611" s="53" t="s">
        <v>8</v>
      </c>
      <c r="P611" s="56" t="s">
        <v>2070</v>
      </c>
      <c r="Q611" s="57">
        <v>9000</v>
      </c>
      <c r="R611" s="58" t="s">
        <v>8</v>
      </c>
      <c r="S611" s="57" t="s">
        <v>8</v>
      </c>
      <c r="T611" s="56" t="s">
        <v>8</v>
      </c>
    </row>
    <row r="612" spans="1:20">
      <c r="A612" s="55">
        <v>125575777739</v>
      </c>
      <c r="B612" s="53" t="s">
        <v>2055</v>
      </c>
      <c r="C612" s="54">
        <v>45914</v>
      </c>
      <c r="D612" s="55">
        <v>50226486409</v>
      </c>
      <c r="E612" s="55">
        <v>2069703812548</v>
      </c>
      <c r="F612" s="56" t="s">
        <v>2066</v>
      </c>
      <c r="G612" s="56" t="s">
        <v>2057</v>
      </c>
      <c r="H612" s="56" t="s">
        <v>8</v>
      </c>
      <c r="I612" s="55" t="s">
        <v>8</v>
      </c>
      <c r="J612" s="57">
        <v>730.98</v>
      </c>
      <c r="K612" s="56" t="s">
        <v>2058</v>
      </c>
      <c r="L612" s="56" t="s">
        <v>2067</v>
      </c>
      <c r="M612" s="55" t="s">
        <v>2060</v>
      </c>
      <c r="N612" s="56" t="s">
        <v>2061</v>
      </c>
      <c r="O612" s="53" t="s">
        <v>1790</v>
      </c>
      <c r="P612" s="56" t="s">
        <v>2068</v>
      </c>
      <c r="Q612" s="57">
        <v>18600</v>
      </c>
      <c r="R612" s="58" t="s">
        <v>8</v>
      </c>
      <c r="S612" s="57" t="s">
        <v>8</v>
      </c>
      <c r="T612" s="56" t="s">
        <v>2063</v>
      </c>
    </row>
    <row r="613" spans="1:20">
      <c r="A613" s="55">
        <v>126128300134</v>
      </c>
      <c r="B613" s="53" t="s">
        <v>2055</v>
      </c>
      <c r="C613" s="54">
        <v>45914</v>
      </c>
      <c r="D613" s="55">
        <v>50226493670</v>
      </c>
      <c r="E613" s="55">
        <v>2069659276783</v>
      </c>
      <c r="F613" s="56" t="s">
        <v>2066</v>
      </c>
      <c r="G613" s="56" t="s">
        <v>2057</v>
      </c>
      <c r="H613" s="56" t="s">
        <v>8</v>
      </c>
      <c r="I613" s="55" t="s">
        <v>8</v>
      </c>
      <c r="J613" s="57">
        <v>1461.96</v>
      </c>
      <c r="K613" s="56" t="s">
        <v>2058</v>
      </c>
      <c r="L613" s="56" t="s">
        <v>2067</v>
      </c>
      <c r="M613" s="55" t="s">
        <v>2060</v>
      </c>
      <c r="N613" s="56" t="s">
        <v>2061</v>
      </c>
      <c r="O613" s="53" t="s">
        <v>1790</v>
      </c>
      <c r="P613" s="56" t="s">
        <v>2068</v>
      </c>
      <c r="Q613" s="57">
        <v>37200</v>
      </c>
      <c r="R613" s="58" t="s">
        <v>8</v>
      </c>
      <c r="S613" s="57" t="s">
        <v>8</v>
      </c>
      <c r="T613" s="56" t="s">
        <v>2063</v>
      </c>
    </row>
    <row r="614" spans="1:20">
      <c r="A614" s="55">
        <v>126128476864</v>
      </c>
      <c r="B614" s="53" t="s">
        <v>2055</v>
      </c>
      <c r="C614" s="54">
        <v>45914</v>
      </c>
      <c r="D614" s="55">
        <v>50226591323</v>
      </c>
      <c r="E614" s="55">
        <v>2069660785037</v>
      </c>
      <c r="F614" s="56" t="s">
        <v>2056</v>
      </c>
      <c r="G614" s="56" t="s">
        <v>2057</v>
      </c>
      <c r="H614" s="56" t="s">
        <v>8</v>
      </c>
      <c r="I614" s="55" t="s">
        <v>8</v>
      </c>
      <c r="J614" s="57">
        <v>1175.6400000000001</v>
      </c>
      <c r="K614" s="56" t="s">
        <v>2058</v>
      </c>
      <c r="L614" s="56" t="s">
        <v>2059</v>
      </c>
      <c r="M614" s="55" t="s">
        <v>2060</v>
      </c>
      <c r="N614" s="56" t="s">
        <v>2061</v>
      </c>
      <c r="O614" s="53" t="s">
        <v>8</v>
      </c>
      <c r="P614" s="56" t="s">
        <v>2339</v>
      </c>
      <c r="Q614" s="57">
        <v>121200</v>
      </c>
      <c r="R614" s="58" t="s">
        <v>8</v>
      </c>
      <c r="S614" s="57" t="s">
        <v>8</v>
      </c>
      <c r="T614" s="56" t="s">
        <v>2063</v>
      </c>
    </row>
    <row r="615" spans="1:20">
      <c r="A615" s="55">
        <v>126128502728</v>
      </c>
      <c r="B615" s="53" t="s">
        <v>2055</v>
      </c>
      <c r="C615" s="54">
        <v>45914</v>
      </c>
      <c r="D615" s="55">
        <v>50226595620</v>
      </c>
      <c r="E615" s="55">
        <v>2069705733942</v>
      </c>
      <c r="F615" s="56" t="s">
        <v>2066</v>
      </c>
      <c r="G615" s="56" t="s">
        <v>2057</v>
      </c>
      <c r="H615" s="56" t="s">
        <v>8</v>
      </c>
      <c r="I615" s="55" t="s">
        <v>8</v>
      </c>
      <c r="J615" s="57">
        <v>812.66</v>
      </c>
      <c r="K615" s="56" t="s">
        <v>2058</v>
      </c>
      <c r="L615" s="56" t="s">
        <v>2067</v>
      </c>
      <c r="M615" s="55" t="s">
        <v>2060</v>
      </c>
      <c r="N615" s="56" t="s">
        <v>2061</v>
      </c>
      <c r="O615" s="53" t="s">
        <v>1790</v>
      </c>
      <c r="P615" s="56" t="s">
        <v>2068</v>
      </c>
      <c r="Q615" s="57">
        <v>17900</v>
      </c>
      <c r="R615" s="58" t="s">
        <v>8</v>
      </c>
      <c r="S615" s="57" t="s">
        <v>8</v>
      </c>
      <c r="T615" s="56" t="s">
        <v>2063</v>
      </c>
    </row>
    <row r="616" spans="1:20">
      <c r="A616" s="55">
        <v>125576351683</v>
      </c>
      <c r="B616" s="53" t="s">
        <v>2055</v>
      </c>
      <c r="C616" s="54">
        <v>45914</v>
      </c>
      <c r="D616" s="55">
        <v>50226646154</v>
      </c>
      <c r="E616" s="55">
        <v>2069661722007</v>
      </c>
      <c r="F616" s="56" t="s">
        <v>2056</v>
      </c>
      <c r="G616" s="56" t="s">
        <v>2057</v>
      </c>
      <c r="H616" s="56" t="s">
        <v>8</v>
      </c>
      <c r="I616" s="55" t="s">
        <v>8</v>
      </c>
      <c r="J616" s="57">
        <v>384.12</v>
      </c>
      <c r="K616" s="56" t="s">
        <v>2058</v>
      </c>
      <c r="L616" s="56" t="s">
        <v>2059</v>
      </c>
      <c r="M616" s="55" t="s">
        <v>2060</v>
      </c>
      <c r="N616" s="56" t="s">
        <v>2061</v>
      </c>
      <c r="O616" s="53" t="s">
        <v>8</v>
      </c>
      <c r="P616" s="56" t="s">
        <v>2340</v>
      </c>
      <c r="Q616" s="57">
        <v>39600</v>
      </c>
      <c r="R616" s="58" t="s">
        <v>8</v>
      </c>
      <c r="S616" s="57" t="s">
        <v>8</v>
      </c>
      <c r="T616" s="56" t="s">
        <v>2063</v>
      </c>
    </row>
    <row r="617" spans="1:20">
      <c r="A617" s="55">
        <v>125576738331</v>
      </c>
      <c r="B617" s="53" t="s">
        <v>2055</v>
      </c>
      <c r="C617" s="54">
        <v>45914</v>
      </c>
      <c r="D617" s="55">
        <v>50226685520</v>
      </c>
      <c r="E617" s="55">
        <v>2069706849922</v>
      </c>
      <c r="F617" s="56" t="s">
        <v>2056</v>
      </c>
      <c r="G617" s="56" t="s">
        <v>2057</v>
      </c>
      <c r="H617" s="56" t="s">
        <v>8</v>
      </c>
      <c r="I617" s="55" t="s">
        <v>8</v>
      </c>
      <c r="J617" s="57">
        <v>5448.76</v>
      </c>
      <c r="K617" s="56" t="s">
        <v>2058</v>
      </c>
      <c r="L617" s="56" t="s">
        <v>2059</v>
      </c>
      <c r="M617" s="55" t="s">
        <v>2060</v>
      </c>
      <c r="N617" s="56" t="s">
        <v>2061</v>
      </c>
      <c r="O617" s="53" t="s">
        <v>8</v>
      </c>
      <c r="P617" s="56" t="s">
        <v>2341</v>
      </c>
      <c r="Q617" s="57">
        <v>71600</v>
      </c>
      <c r="R617" s="58" t="s">
        <v>8</v>
      </c>
      <c r="S617" s="57" t="s">
        <v>8</v>
      </c>
      <c r="T617" s="56" t="s">
        <v>2063</v>
      </c>
    </row>
    <row r="618" spans="1:20">
      <c r="A618" s="55">
        <v>125576972801</v>
      </c>
      <c r="B618" s="53" t="s">
        <v>2055</v>
      </c>
      <c r="C618" s="54">
        <v>45914</v>
      </c>
      <c r="D618" s="55">
        <v>50226787422</v>
      </c>
      <c r="E618" s="55">
        <v>2069708598570</v>
      </c>
      <c r="F618" s="56" t="s">
        <v>2056</v>
      </c>
      <c r="G618" s="56" t="s">
        <v>2057</v>
      </c>
      <c r="H618" s="56" t="s">
        <v>8</v>
      </c>
      <c r="I618" s="55" t="s">
        <v>8</v>
      </c>
      <c r="J618" s="57">
        <v>51.41</v>
      </c>
      <c r="K618" s="56" t="s">
        <v>2058</v>
      </c>
      <c r="L618" s="56" t="s">
        <v>2059</v>
      </c>
      <c r="M618" s="55" t="s">
        <v>2060</v>
      </c>
      <c r="N618" s="56" t="s">
        <v>2061</v>
      </c>
      <c r="O618" s="53" t="s">
        <v>8</v>
      </c>
      <c r="P618" s="56" t="s">
        <v>2342</v>
      </c>
      <c r="Q618" s="57">
        <v>5300</v>
      </c>
      <c r="R618" s="58" t="s">
        <v>8</v>
      </c>
      <c r="S618" s="57" t="s">
        <v>8</v>
      </c>
      <c r="T618" s="56" t="s">
        <v>2063</v>
      </c>
    </row>
    <row r="619" spans="1:20">
      <c r="A619" s="55">
        <v>126128875098</v>
      </c>
      <c r="B619" s="53" t="s">
        <v>2055</v>
      </c>
      <c r="C619" s="54">
        <v>45914</v>
      </c>
      <c r="D619" s="55">
        <v>50226801209</v>
      </c>
      <c r="E619" s="55">
        <v>2069708950140</v>
      </c>
      <c r="F619" s="56" t="s">
        <v>2056</v>
      </c>
      <c r="G619" s="56" t="s">
        <v>2057</v>
      </c>
      <c r="H619" s="56" t="s">
        <v>8</v>
      </c>
      <c r="I619" s="55" t="s">
        <v>8</v>
      </c>
      <c r="J619" s="57">
        <v>148.41</v>
      </c>
      <c r="K619" s="56" t="s">
        <v>2058</v>
      </c>
      <c r="L619" s="56" t="s">
        <v>2059</v>
      </c>
      <c r="M619" s="55" t="s">
        <v>2060</v>
      </c>
      <c r="N619" s="56" t="s">
        <v>2061</v>
      </c>
      <c r="O619" s="53" t="s">
        <v>8</v>
      </c>
      <c r="P619" s="56" t="s">
        <v>2343</v>
      </c>
      <c r="Q619" s="57">
        <v>15300</v>
      </c>
      <c r="R619" s="58" t="s">
        <v>8</v>
      </c>
      <c r="S619" s="57" t="s">
        <v>8</v>
      </c>
      <c r="T619" s="56" t="s">
        <v>2063</v>
      </c>
    </row>
    <row r="620" spans="1:20">
      <c r="A620" s="55">
        <v>126128996208</v>
      </c>
      <c r="B620" s="53" t="s">
        <v>2055</v>
      </c>
      <c r="C620" s="54">
        <v>45914</v>
      </c>
      <c r="D620" s="55">
        <v>50226805859</v>
      </c>
      <c r="E620" s="55">
        <v>2069708935712</v>
      </c>
      <c r="F620" s="56" t="s">
        <v>2056</v>
      </c>
      <c r="G620" s="56" t="s">
        <v>2057</v>
      </c>
      <c r="H620" s="56" t="s">
        <v>8</v>
      </c>
      <c r="I620" s="55" t="s">
        <v>8</v>
      </c>
      <c r="J620" s="57">
        <v>37.83</v>
      </c>
      <c r="K620" s="56" t="s">
        <v>2058</v>
      </c>
      <c r="L620" s="56" t="s">
        <v>2059</v>
      </c>
      <c r="M620" s="55" t="s">
        <v>2060</v>
      </c>
      <c r="N620" s="56" t="s">
        <v>2061</v>
      </c>
      <c r="O620" s="53" t="s">
        <v>8</v>
      </c>
      <c r="P620" s="56" t="s">
        <v>2344</v>
      </c>
      <c r="Q620" s="57">
        <v>3900</v>
      </c>
      <c r="R620" s="58" t="s">
        <v>8</v>
      </c>
      <c r="S620" s="57" t="s">
        <v>8</v>
      </c>
      <c r="T620" s="56" t="s">
        <v>2063</v>
      </c>
    </row>
    <row r="621" spans="1:20">
      <c r="A621" s="55">
        <v>126128807772</v>
      </c>
      <c r="B621" s="53" t="s">
        <v>2055</v>
      </c>
      <c r="C621" s="54">
        <v>45914</v>
      </c>
      <c r="D621" s="55">
        <v>50226810751</v>
      </c>
      <c r="E621" s="55">
        <v>2069709346830</v>
      </c>
      <c r="F621" s="56" t="s">
        <v>2069</v>
      </c>
      <c r="G621" s="56" t="s">
        <v>2057</v>
      </c>
      <c r="H621" s="56" t="s">
        <v>8</v>
      </c>
      <c r="I621" s="55" t="s">
        <v>8</v>
      </c>
      <c r="J621" s="57">
        <v>99.91</v>
      </c>
      <c r="K621" s="56" t="s">
        <v>2058</v>
      </c>
      <c r="L621" s="56" t="s">
        <v>2059</v>
      </c>
      <c r="M621" s="55" t="s">
        <v>2060</v>
      </c>
      <c r="N621" s="56" t="s">
        <v>2061</v>
      </c>
      <c r="O621" s="53" t="s">
        <v>8</v>
      </c>
      <c r="P621" s="56" t="s">
        <v>2070</v>
      </c>
      <c r="Q621" s="57">
        <v>10300</v>
      </c>
      <c r="R621" s="58" t="s">
        <v>8</v>
      </c>
      <c r="S621" s="57" t="s">
        <v>8</v>
      </c>
      <c r="T621" s="56" t="s">
        <v>8</v>
      </c>
    </row>
    <row r="622" spans="1:20">
      <c r="A622" s="55">
        <v>125576905955</v>
      </c>
      <c r="B622" s="53" t="s">
        <v>2055</v>
      </c>
      <c r="C622" s="54">
        <v>45914</v>
      </c>
      <c r="D622" s="55">
        <v>50226812629</v>
      </c>
      <c r="E622" s="55">
        <v>2069709351678</v>
      </c>
      <c r="F622" s="56" t="s">
        <v>2066</v>
      </c>
      <c r="G622" s="56" t="s">
        <v>2057</v>
      </c>
      <c r="H622" s="56" t="s">
        <v>8</v>
      </c>
      <c r="I622" s="55" t="s">
        <v>8</v>
      </c>
      <c r="J622" s="57">
        <v>385.14</v>
      </c>
      <c r="K622" s="56" t="s">
        <v>2058</v>
      </c>
      <c r="L622" s="56" t="s">
        <v>2067</v>
      </c>
      <c r="M622" s="55" t="s">
        <v>2060</v>
      </c>
      <c r="N622" s="56" t="s">
        <v>2061</v>
      </c>
      <c r="O622" s="53" t="s">
        <v>1790</v>
      </c>
      <c r="P622" s="56" t="s">
        <v>2068</v>
      </c>
      <c r="Q622" s="57">
        <v>9800</v>
      </c>
      <c r="R622" s="58" t="s">
        <v>8</v>
      </c>
      <c r="S622" s="57" t="s">
        <v>8</v>
      </c>
      <c r="T622" s="56" t="s">
        <v>2063</v>
      </c>
    </row>
    <row r="623" spans="1:20">
      <c r="A623" s="55">
        <v>126128849374</v>
      </c>
      <c r="B623" s="53" t="s">
        <v>2055</v>
      </c>
      <c r="C623" s="54">
        <v>45914</v>
      </c>
      <c r="D623" s="55">
        <v>50226815504</v>
      </c>
      <c r="E623" s="55">
        <v>2069663978459</v>
      </c>
      <c r="F623" s="56" t="s">
        <v>2056</v>
      </c>
      <c r="G623" s="56" t="s">
        <v>2057</v>
      </c>
      <c r="H623" s="56" t="s">
        <v>8</v>
      </c>
      <c r="I623" s="55" t="s">
        <v>8</v>
      </c>
      <c r="J623" s="57">
        <v>51.41</v>
      </c>
      <c r="K623" s="56" t="s">
        <v>2058</v>
      </c>
      <c r="L623" s="56" t="s">
        <v>2059</v>
      </c>
      <c r="M623" s="55" t="s">
        <v>2060</v>
      </c>
      <c r="N623" s="56" t="s">
        <v>2061</v>
      </c>
      <c r="O623" s="53" t="s">
        <v>8</v>
      </c>
      <c r="P623" s="56" t="s">
        <v>2345</v>
      </c>
      <c r="Q623" s="57">
        <v>5300</v>
      </c>
      <c r="R623" s="58" t="s">
        <v>8</v>
      </c>
      <c r="S623" s="57" t="s">
        <v>8</v>
      </c>
      <c r="T623" s="56" t="s">
        <v>2063</v>
      </c>
    </row>
    <row r="624" spans="1:20">
      <c r="A624" s="55">
        <v>125577184425</v>
      </c>
      <c r="B624" s="53" t="s">
        <v>2055</v>
      </c>
      <c r="C624" s="54">
        <v>45914</v>
      </c>
      <c r="D624" s="55">
        <v>50226839263</v>
      </c>
      <c r="E624" s="55">
        <v>2069709748708</v>
      </c>
      <c r="F624" s="56" t="s">
        <v>2056</v>
      </c>
      <c r="G624" s="56" t="s">
        <v>2057</v>
      </c>
      <c r="H624" s="56" t="s">
        <v>8</v>
      </c>
      <c r="I624" s="55" t="s">
        <v>8</v>
      </c>
      <c r="J624" s="57">
        <v>250.26</v>
      </c>
      <c r="K624" s="56" t="s">
        <v>2058</v>
      </c>
      <c r="L624" s="56" t="s">
        <v>2059</v>
      </c>
      <c r="M624" s="55" t="s">
        <v>2060</v>
      </c>
      <c r="N624" s="56" t="s">
        <v>2061</v>
      </c>
      <c r="O624" s="53" t="s">
        <v>8</v>
      </c>
      <c r="P624" s="56" t="s">
        <v>2346</v>
      </c>
      <c r="Q624" s="57">
        <v>25800</v>
      </c>
      <c r="R624" s="58" t="s">
        <v>8</v>
      </c>
      <c r="S624" s="57" t="s">
        <v>8</v>
      </c>
      <c r="T624" s="56" t="s">
        <v>2063</v>
      </c>
    </row>
    <row r="625" spans="1:20">
      <c r="A625" s="55">
        <v>125577313229</v>
      </c>
      <c r="B625" s="53" t="s">
        <v>2055</v>
      </c>
      <c r="C625" s="54">
        <v>45914</v>
      </c>
      <c r="D625" s="55">
        <v>50226909910</v>
      </c>
      <c r="E625" s="55">
        <v>2069710853936</v>
      </c>
      <c r="F625" s="56" t="s">
        <v>2069</v>
      </c>
      <c r="G625" s="56" t="s">
        <v>2057</v>
      </c>
      <c r="H625" s="56" t="s">
        <v>8</v>
      </c>
      <c r="I625" s="55" t="s">
        <v>8</v>
      </c>
      <c r="J625" s="57">
        <v>160.05000000000001</v>
      </c>
      <c r="K625" s="56" t="s">
        <v>2058</v>
      </c>
      <c r="L625" s="56" t="s">
        <v>2059</v>
      </c>
      <c r="M625" s="55" t="s">
        <v>2060</v>
      </c>
      <c r="N625" s="56" t="s">
        <v>2061</v>
      </c>
      <c r="O625" s="53" t="s">
        <v>8</v>
      </c>
      <c r="P625" s="56" t="s">
        <v>2070</v>
      </c>
      <c r="Q625" s="57">
        <v>16500</v>
      </c>
      <c r="R625" s="58" t="s">
        <v>8</v>
      </c>
      <c r="S625" s="57" t="s">
        <v>8</v>
      </c>
      <c r="T625" s="56" t="s">
        <v>8</v>
      </c>
    </row>
    <row r="626" spans="1:20">
      <c r="A626" s="55">
        <v>125577491253</v>
      </c>
      <c r="B626" s="53" t="s">
        <v>2055</v>
      </c>
      <c r="C626" s="54">
        <v>45914</v>
      </c>
      <c r="D626" s="55">
        <v>50227016953</v>
      </c>
      <c r="E626" s="55">
        <v>2069712076000</v>
      </c>
      <c r="F626" s="56" t="s">
        <v>2066</v>
      </c>
      <c r="G626" s="56" t="s">
        <v>2057</v>
      </c>
      <c r="H626" s="56" t="s">
        <v>8</v>
      </c>
      <c r="I626" s="55" t="s">
        <v>8</v>
      </c>
      <c r="J626" s="57">
        <v>3378.84</v>
      </c>
      <c r="K626" s="56" t="s">
        <v>2058</v>
      </c>
      <c r="L626" s="56" t="s">
        <v>2067</v>
      </c>
      <c r="M626" s="55" t="s">
        <v>2060</v>
      </c>
      <c r="N626" s="56" t="s">
        <v>2061</v>
      </c>
      <c r="O626" s="53" t="s">
        <v>1790</v>
      </c>
      <c r="P626" s="56" t="s">
        <v>2068</v>
      </c>
      <c r="Q626" s="57">
        <v>44400</v>
      </c>
      <c r="R626" s="58" t="s">
        <v>8</v>
      </c>
      <c r="S626" s="57" t="s">
        <v>8</v>
      </c>
      <c r="T626" s="56" t="s">
        <v>2063</v>
      </c>
    </row>
    <row r="627" spans="1:20">
      <c r="A627" s="55">
        <v>126129426494</v>
      </c>
      <c r="B627" s="53" t="s">
        <v>2055</v>
      </c>
      <c r="C627" s="54">
        <v>45914</v>
      </c>
      <c r="D627" s="55">
        <v>50227024349</v>
      </c>
      <c r="E627" s="55">
        <v>2069712319874</v>
      </c>
      <c r="F627" s="56" t="s">
        <v>2066</v>
      </c>
      <c r="G627" s="56" t="s">
        <v>2057</v>
      </c>
      <c r="H627" s="56" t="s">
        <v>8</v>
      </c>
      <c r="I627" s="55" t="s">
        <v>8</v>
      </c>
      <c r="J627" s="57">
        <v>471.6</v>
      </c>
      <c r="K627" s="56" t="s">
        <v>2058</v>
      </c>
      <c r="L627" s="56" t="s">
        <v>2067</v>
      </c>
      <c r="M627" s="55" t="s">
        <v>2060</v>
      </c>
      <c r="N627" s="56" t="s">
        <v>2061</v>
      </c>
      <c r="O627" s="53" t="s">
        <v>1790</v>
      </c>
      <c r="P627" s="56" t="s">
        <v>2068</v>
      </c>
      <c r="Q627" s="57">
        <v>12000</v>
      </c>
      <c r="R627" s="58" t="s">
        <v>8</v>
      </c>
      <c r="S627" s="57" t="s">
        <v>8</v>
      </c>
      <c r="T627" s="56" t="s">
        <v>2063</v>
      </c>
    </row>
    <row r="628" spans="1:20">
      <c r="A628" s="55">
        <v>126129504564</v>
      </c>
      <c r="B628" s="53" t="s">
        <v>2055</v>
      </c>
      <c r="C628" s="54">
        <v>45914</v>
      </c>
      <c r="D628" s="55">
        <v>50227072905</v>
      </c>
      <c r="E628" s="55">
        <v>2069713275584</v>
      </c>
      <c r="F628" s="56" t="s">
        <v>2069</v>
      </c>
      <c r="G628" s="56" t="s">
        <v>2057</v>
      </c>
      <c r="H628" s="56" t="s">
        <v>8</v>
      </c>
      <c r="I628" s="55" t="s">
        <v>8</v>
      </c>
      <c r="J628" s="57">
        <v>500.52</v>
      </c>
      <c r="K628" s="56" t="s">
        <v>2058</v>
      </c>
      <c r="L628" s="56" t="s">
        <v>2059</v>
      </c>
      <c r="M628" s="55" t="s">
        <v>2060</v>
      </c>
      <c r="N628" s="56" t="s">
        <v>2061</v>
      </c>
      <c r="O628" s="53" t="s">
        <v>8</v>
      </c>
      <c r="P628" s="56" t="s">
        <v>2070</v>
      </c>
      <c r="Q628" s="57">
        <v>51600</v>
      </c>
      <c r="R628" s="58" t="s">
        <v>8</v>
      </c>
      <c r="S628" s="57" t="s">
        <v>8</v>
      </c>
      <c r="T628" s="56" t="s">
        <v>8</v>
      </c>
    </row>
    <row r="629" spans="1:20">
      <c r="A629" s="55">
        <v>125578259241</v>
      </c>
      <c r="B629" s="53" t="s">
        <v>2055</v>
      </c>
      <c r="C629" s="54">
        <v>45914</v>
      </c>
      <c r="D629" s="55">
        <v>50227328557</v>
      </c>
      <c r="E629" s="55">
        <v>2069671731825</v>
      </c>
      <c r="F629" s="56" t="s">
        <v>2066</v>
      </c>
      <c r="G629" s="56" t="s">
        <v>2057</v>
      </c>
      <c r="H629" s="56" t="s">
        <v>8</v>
      </c>
      <c r="I629" s="55" t="s">
        <v>8</v>
      </c>
      <c r="J629" s="57">
        <v>177.06</v>
      </c>
      <c r="K629" s="56" t="s">
        <v>2058</v>
      </c>
      <c r="L629" s="56" t="s">
        <v>2067</v>
      </c>
      <c r="M629" s="55" t="s">
        <v>2060</v>
      </c>
      <c r="N629" s="56" t="s">
        <v>2061</v>
      </c>
      <c r="O629" s="53" t="s">
        <v>1790</v>
      </c>
      <c r="P629" s="56" t="s">
        <v>2068</v>
      </c>
      <c r="Q629" s="57">
        <v>3900</v>
      </c>
      <c r="R629" s="58" t="s">
        <v>8</v>
      </c>
      <c r="S629" s="57" t="s">
        <v>8</v>
      </c>
      <c r="T629" s="56" t="s">
        <v>2063</v>
      </c>
    </row>
    <row r="630" spans="1:20">
      <c r="A630" s="55">
        <v>125578192035</v>
      </c>
      <c r="B630" s="53" t="s">
        <v>2055</v>
      </c>
      <c r="C630" s="54">
        <v>45914</v>
      </c>
      <c r="D630" s="55">
        <v>50227342961</v>
      </c>
      <c r="E630" s="55">
        <v>2069672174021</v>
      </c>
      <c r="F630" s="56" t="s">
        <v>2066</v>
      </c>
      <c r="G630" s="56" t="s">
        <v>2057</v>
      </c>
      <c r="H630" s="56" t="s">
        <v>8</v>
      </c>
      <c r="I630" s="55" t="s">
        <v>8</v>
      </c>
      <c r="J630" s="57">
        <v>632.73</v>
      </c>
      <c r="K630" s="56" t="s">
        <v>2058</v>
      </c>
      <c r="L630" s="56" t="s">
        <v>2067</v>
      </c>
      <c r="M630" s="55" t="s">
        <v>2060</v>
      </c>
      <c r="N630" s="56" t="s">
        <v>2061</v>
      </c>
      <c r="O630" s="53" t="s">
        <v>1790</v>
      </c>
      <c r="P630" s="56" t="s">
        <v>2068</v>
      </c>
      <c r="Q630" s="57">
        <v>16100</v>
      </c>
      <c r="R630" s="58" t="s">
        <v>8</v>
      </c>
      <c r="S630" s="57" t="s">
        <v>8</v>
      </c>
      <c r="T630" s="56" t="s">
        <v>2063</v>
      </c>
    </row>
    <row r="631" spans="1:20">
      <c r="A631" s="55">
        <v>126130624264</v>
      </c>
      <c r="B631" s="53" t="s">
        <v>2055</v>
      </c>
      <c r="C631" s="54">
        <v>45914</v>
      </c>
      <c r="D631" s="55">
        <v>50227398587</v>
      </c>
      <c r="E631" s="55">
        <v>2069672714947</v>
      </c>
      <c r="F631" s="56" t="s">
        <v>2066</v>
      </c>
      <c r="G631" s="56" t="s">
        <v>2057</v>
      </c>
      <c r="H631" s="56" t="s">
        <v>8</v>
      </c>
      <c r="I631" s="55" t="s">
        <v>8</v>
      </c>
      <c r="J631" s="57">
        <v>354.12</v>
      </c>
      <c r="K631" s="56" t="s">
        <v>2058</v>
      </c>
      <c r="L631" s="56" t="s">
        <v>2067</v>
      </c>
      <c r="M631" s="55" t="s">
        <v>2060</v>
      </c>
      <c r="N631" s="56" t="s">
        <v>2061</v>
      </c>
      <c r="O631" s="53" t="s">
        <v>1790</v>
      </c>
      <c r="P631" s="56" t="s">
        <v>2068</v>
      </c>
      <c r="Q631" s="57">
        <v>7800</v>
      </c>
      <c r="R631" s="58" t="s">
        <v>8</v>
      </c>
      <c r="S631" s="57" t="s">
        <v>8</v>
      </c>
      <c r="T631" s="56" t="s">
        <v>2063</v>
      </c>
    </row>
    <row r="632" spans="1:20">
      <c r="A632" s="55">
        <v>126131114974</v>
      </c>
      <c r="B632" s="53" t="s">
        <v>2055</v>
      </c>
      <c r="C632" s="54">
        <v>45914</v>
      </c>
      <c r="D632" s="55">
        <v>50227610263</v>
      </c>
      <c r="E632" s="55">
        <v>2069721339994</v>
      </c>
      <c r="F632" s="56" t="s">
        <v>2107</v>
      </c>
      <c r="G632" s="56" t="s">
        <v>2057</v>
      </c>
      <c r="H632" s="56" t="s">
        <v>8</v>
      </c>
      <c r="I632" s="55" t="s">
        <v>8</v>
      </c>
      <c r="J632" s="57">
        <v>929.1</v>
      </c>
      <c r="K632" s="56" t="s">
        <v>2058</v>
      </c>
      <c r="L632" s="56" t="s">
        <v>2059</v>
      </c>
      <c r="M632" s="55" t="s">
        <v>2060</v>
      </c>
      <c r="N632" s="56" t="s">
        <v>2061</v>
      </c>
      <c r="O632" s="53" t="s">
        <v>8</v>
      </c>
      <c r="P632" s="56" t="s">
        <v>2115</v>
      </c>
      <c r="Q632" s="57">
        <v>57000</v>
      </c>
      <c r="R632" s="58" t="s">
        <v>8</v>
      </c>
      <c r="S632" s="57" t="s">
        <v>8</v>
      </c>
      <c r="T632" s="56" t="s">
        <v>2063</v>
      </c>
    </row>
    <row r="633" spans="1:20">
      <c r="A633" s="55">
        <v>126131164784</v>
      </c>
      <c r="B633" s="53" t="s">
        <v>2055</v>
      </c>
      <c r="C633" s="54">
        <v>45914</v>
      </c>
      <c r="D633" s="55">
        <v>50227624541</v>
      </c>
      <c r="E633" s="55">
        <v>2069676406119</v>
      </c>
      <c r="F633" s="56" t="s">
        <v>2066</v>
      </c>
      <c r="G633" s="56" t="s">
        <v>2057</v>
      </c>
      <c r="H633" s="56" t="s">
        <v>8</v>
      </c>
      <c r="I633" s="55" t="s">
        <v>8</v>
      </c>
      <c r="J633" s="57">
        <v>990.36</v>
      </c>
      <c r="K633" s="56" t="s">
        <v>2058</v>
      </c>
      <c r="L633" s="56" t="s">
        <v>2067</v>
      </c>
      <c r="M633" s="55" t="s">
        <v>2060</v>
      </c>
      <c r="N633" s="56" t="s">
        <v>2061</v>
      </c>
      <c r="O633" s="53" t="s">
        <v>1790</v>
      </c>
      <c r="P633" s="56" t="s">
        <v>2068</v>
      </c>
      <c r="Q633" s="57">
        <v>25200</v>
      </c>
      <c r="R633" s="58" t="s">
        <v>8</v>
      </c>
      <c r="S633" s="57" t="s">
        <v>8</v>
      </c>
      <c r="T633" s="56" t="s">
        <v>2063</v>
      </c>
    </row>
    <row r="634" spans="1:20">
      <c r="A634" s="55">
        <v>126131278306</v>
      </c>
      <c r="B634" s="53" t="s">
        <v>2055</v>
      </c>
      <c r="C634" s="54">
        <v>45914</v>
      </c>
      <c r="D634" s="55">
        <v>50227636905</v>
      </c>
      <c r="E634" s="55">
        <v>2069721707416</v>
      </c>
      <c r="F634" s="56" t="s">
        <v>2056</v>
      </c>
      <c r="G634" s="56" t="s">
        <v>2057</v>
      </c>
      <c r="H634" s="56" t="s">
        <v>8</v>
      </c>
      <c r="I634" s="55" t="s">
        <v>8</v>
      </c>
      <c r="J634" s="57">
        <v>193.03</v>
      </c>
      <c r="K634" s="56" t="s">
        <v>2058</v>
      </c>
      <c r="L634" s="56" t="s">
        <v>2059</v>
      </c>
      <c r="M634" s="55" t="s">
        <v>2060</v>
      </c>
      <c r="N634" s="56" t="s">
        <v>2061</v>
      </c>
      <c r="O634" s="53" t="s">
        <v>8</v>
      </c>
      <c r="P634" s="56" t="s">
        <v>2347</v>
      </c>
      <c r="Q634" s="57">
        <v>19900</v>
      </c>
      <c r="R634" s="58" t="s">
        <v>8</v>
      </c>
      <c r="S634" s="57" t="s">
        <v>8</v>
      </c>
      <c r="T634" s="56" t="s">
        <v>2063</v>
      </c>
    </row>
    <row r="635" spans="1:20">
      <c r="A635" s="55">
        <v>125578892085</v>
      </c>
      <c r="B635" s="53" t="s">
        <v>2055</v>
      </c>
      <c r="C635" s="54">
        <v>45914</v>
      </c>
      <c r="D635" s="55">
        <v>50227692515</v>
      </c>
      <c r="E635" s="55">
        <v>2069677546189</v>
      </c>
      <c r="F635" s="56" t="s">
        <v>2056</v>
      </c>
      <c r="G635" s="56" t="s">
        <v>2057</v>
      </c>
      <c r="H635" s="56" t="s">
        <v>8</v>
      </c>
      <c r="I635" s="55" t="s">
        <v>8</v>
      </c>
      <c r="J635" s="57">
        <v>127.07</v>
      </c>
      <c r="K635" s="56" t="s">
        <v>2058</v>
      </c>
      <c r="L635" s="56" t="s">
        <v>2059</v>
      </c>
      <c r="M635" s="55" t="s">
        <v>2060</v>
      </c>
      <c r="N635" s="56" t="s">
        <v>2061</v>
      </c>
      <c r="O635" s="53" t="s">
        <v>8</v>
      </c>
      <c r="P635" s="56" t="s">
        <v>2348</v>
      </c>
      <c r="Q635" s="57">
        <v>13100</v>
      </c>
      <c r="R635" s="58" t="s">
        <v>8</v>
      </c>
      <c r="S635" s="57" t="s">
        <v>8</v>
      </c>
      <c r="T635" s="56" t="s">
        <v>2063</v>
      </c>
    </row>
    <row r="636" spans="1:20">
      <c r="A636" s="55">
        <v>126131480124</v>
      </c>
      <c r="B636" s="53" t="s">
        <v>2055</v>
      </c>
      <c r="C636" s="54">
        <v>45914</v>
      </c>
      <c r="D636" s="55">
        <v>50227723186</v>
      </c>
      <c r="E636" s="55">
        <v>2069723096218</v>
      </c>
      <c r="F636" s="56" t="s">
        <v>2056</v>
      </c>
      <c r="G636" s="56" t="s">
        <v>2057</v>
      </c>
      <c r="H636" s="56" t="s">
        <v>8</v>
      </c>
      <c r="I636" s="55" t="s">
        <v>8</v>
      </c>
      <c r="J636" s="57">
        <v>1872.06</v>
      </c>
      <c r="K636" s="56" t="s">
        <v>2058</v>
      </c>
      <c r="L636" s="56" t="s">
        <v>2059</v>
      </c>
      <c r="M636" s="55" t="s">
        <v>2060</v>
      </c>
      <c r="N636" s="56" t="s">
        <v>2061</v>
      </c>
      <c r="O636" s="53" t="s">
        <v>8</v>
      </c>
      <c r="P636" s="56" t="s">
        <v>2349</v>
      </c>
      <c r="Q636" s="57">
        <v>24600</v>
      </c>
      <c r="R636" s="58" t="s">
        <v>8</v>
      </c>
      <c r="S636" s="57" t="s">
        <v>8</v>
      </c>
      <c r="T636" s="56" t="s">
        <v>2063</v>
      </c>
    </row>
    <row r="637" spans="1:20">
      <c r="A637" s="55">
        <v>125579030099</v>
      </c>
      <c r="B637" s="53" t="s">
        <v>2055</v>
      </c>
      <c r="C637" s="54">
        <v>45914</v>
      </c>
      <c r="D637" s="55">
        <v>50227760761</v>
      </c>
      <c r="E637" s="55">
        <v>2069723521242</v>
      </c>
      <c r="F637" s="56" t="s">
        <v>2069</v>
      </c>
      <c r="G637" s="56" t="s">
        <v>2057</v>
      </c>
      <c r="H637" s="56" t="s">
        <v>8</v>
      </c>
      <c r="I637" s="55" t="s">
        <v>8</v>
      </c>
      <c r="J637" s="57">
        <v>202.73</v>
      </c>
      <c r="K637" s="56" t="s">
        <v>2058</v>
      </c>
      <c r="L637" s="56" t="s">
        <v>2059</v>
      </c>
      <c r="M637" s="55" t="s">
        <v>2060</v>
      </c>
      <c r="N637" s="56" t="s">
        <v>2061</v>
      </c>
      <c r="O637" s="53" t="s">
        <v>8</v>
      </c>
      <c r="P637" s="56" t="s">
        <v>2070</v>
      </c>
      <c r="Q637" s="57">
        <v>20900</v>
      </c>
      <c r="R637" s="58" t="s">
        <v>8</v>
      </c>
      <c r="S637" s="57" t="s">
        <v>8</v>
      </c>
      <c r="T637" s="56" t="s">
        <v>8</v>
      </c>
    </row>
    <row r="638" spans="1:20">
      <c r="A638" s="55">
        <v>125579346241</v>
      </c>
      <c r="B638" s="53" t="s">
        <v>2055</v>
      </c>
      <c r="C638" s="54">
        <v>45914</v>
      </c>
      <c r="D638" s="55">
        <v>50227815198</v>
      </c>
      <c r="E638" s="55">
        <v>2069678922231</v>
      </c>
      <c r="F638" s="56" t="s">
        <v>2066</v>
      </c>
      <c r="G638" s="56" t="s">
        <v>2057</v>
      </c>
      <c r="H638" s="56" t="s">
        <v>8</v>
      </c>
      <c r="I638" s="55" t="s">
        <v>8</v>
      </c>
      <c r="J638" s="57">
        <v>2442.81</v>
      </c>
      <c r="K638" s="56" t="s">
        <v>2058</v>
      </c>
      <c r="L638" s="56" t="s">
        <v>2067</v>
      </c>
      <c r="M638" s="55" t="s">
        <v>2060</v>
      </c>
      <c r="N638" s="56" t="s">
        <v>2061</v>
      </c>
      <c r="O638" s="53" t="s">
        <v>1790</v>
      </c>
      <c r="P638" s="56" t="s">
        <v>2068</v>
      </c>
      <c r="Q638" s="57">
        <v>32100</v>
      </c>
      <c r="R638" s="58" t="s">
        <v>8</v>
      </c>
      <c r="S638" s="57" t="s">
        <v>8</v>
      </c>
      <c r="T638" s="56" t="s">
        <v>2063</v>
      </c>
    </row>
    <row r="639" spans="1:20">
      <c r="A639" s="55">
        <v>125579320835</v>
      </c>
      <c r="B639" s="53" t="s">
        <v>2055</v>
      </c>
      <c r="C639" s="54">
        <v>45914</v>
      </c>
      <c r="D639" s="55">
        <v>50227821843</v>
      </c>
      <c r="E639" s="55">
        <v>2069724122426</v>
      </c>
      <c r="F639" s="56" t="s">
        <v>2066</v>
      </c>
      <c r="G639" s="56" t="s">
        <v>2057</v>
      </c>
      <c r="H639" s="56" t="s">
        <v>8</v>
      </c>
      <c r="I639" s="55" t="s">
        <v>8</v>
      </c>
      <c r="J639" s="57">
        <v>459.81</v>
      </c>
      <c r="K639" s="56" t="s">
        <v>2058</v>
      </c>
      <c r="L639" s="56" t="s">
        <v>2067</v>
      </c>
      <c r="M639" s="55" t="s">
        <v>2060</v>
      </c>
      <c r="N639" s="56" t="s">
        <v>2061</v>
      </c>
      <c r="O639" s="53" t="s">
        <v>1790</v>
      </c>
      <c r="P639" s="56" t="s">
        <v>2068</v>
      </c>
      <c r="Q639" s="57">
        <v>11700</v>
      </c>
      <c r="R639" s="58" t="s">
        <v>8</v>
      </c>
      <c r="S639" s="57" t="s">
        <v>8</v>
      </c>
      <c r="T639" s="56" t="s">
        <v>2063</v>
      </c>
    </row>
    <row r="640" spans="1:20">
      <c r="A640" s="55">
        <v>126131790334</v>
      </c>
      <c r="B640" s="53" t="s">
        <v>2055</v>
      </c>
      <c r="C640" s="54">
        <v>45914</v>
      </c>
      <c r="D640" s="55">
        <v>50227867847</v>
      </c>
      <c r="E640" s="55">
        <v>2069724755888</v>
      </c>
      <c r="F640" s="56" t="s">
        <v>2056</v>
      </c>
      <c r="G640" s="56" t="s">
        <v>2057</v>
      </c>
      <c r="H640" s="56" t="s">
        <v>8</v>
      </c>
      <c r="I640" s="55" t="s">
        <v>8</v>
      </c>
      <c r="J640" s="57">
        <v>246.38</v>
      </c>
      <c r="K640" s="56" t="s">
        <v>2058</v>
      </c>
      <c r="L640" s="56" t="s">
        <v>2059</v>
      </c>
      <c r="M640" s="55" t="s">
        <v>2060</v>
      </c>
      <c r="N640" s="56" t="s">
        <v>2061</v>
      </c>
      <c r="O640" s="53" t="s">
        <v>8</v>
      </c>
      <c r="P640" s="56" t="s">
        <v>2350</v>
      </c>
      <c r="Q640" s="57">
        <v>25400</v>
      </c>
      <c r="R640" s="58" t="s">
        <v>8</v>
      </c>
      <c r="S640" s="57" t="s">
        <v>8</v>
      </c>
      <c r="T640" s="56" t="s">
        <v>2063</v>
      </c>
    </row>
    <row r="641" spans="1:20">
      <c r="A641" s="55">
        <v>126131685768</v>
      </c>
      <c r="B641" s="53" t="s">
        <v>2055</v>
      </c>
      <c r="C641" s="54">
        <v>45914</v>
      </c>
      <c r="D641" s="55">
        <v>50227889973</v>
      </c>
      <c r="E641" s="55">
        <v>2069725256650</v>
      </c>
      <c r="F641" s="56" t="s">
        <v>2056</v>
      </c>
      <c r="G641" s="56" t="s">
        <v>2057</v>
      </c>
      <c r="H641" s="56" t="s">
        <v>8</v>
      </c>
      <c r="I641" s="55" t="s">
        <v>8</v>
      </c>
      <c r="J641" s="57">
        <v>592.66999999999996</v>
      </c>
      <c r="K641" s="56" t="s">
        <v>2058</v>
      </c>
      <c r="L641" s="56" t="s">
        <v>2059</v>
      </c>
      <c r="M641" s="55" t="s">
        <v>2060</v>
      </c>
      <c r="N641" s="56" t="s">
        <v>2061</v>
      </c>
      <c r="O641" s="53" t="s">
        <v>8</v>
      </c>
      <c r="P641" s="56" t="s">
        <v>2351</v>
      </c>
      <c r="Q641" s="57">
        <v>61100</v>
      </c>
      <c r="R641" s="58" t="s">
        <v>8</v>
      </c>
      <c r="S641" s="57" t="s">
        <v>8</v>
      </c>
      <c r="T641" s="56" t="s">
        <v>2063</v>
      </c>
    </row>
    <row r="642" spans="1:20">
      <c r="A642" s="55">
        <v>126131769430</v>
      </c>
      <c r="B642" s="53" t="s">
        <v>2055</v>
      </c>
      <c r="C642" s="54">
        <v>45914</v>
      </c>
      <c r="D642" s="55">
        <v>50227901507</v>
      </c>
      <c r="E642" s="55">
        <v>2069680119495</v>
      </c>
      <c r="F642" s="56" t="s">
        <v>2069</v>
      </c>
      <c r="G642" s="56" t="s">
        <v>2057</v>
      </c>
      <c r="H642" s="56" t="s">
        <v>8</v>
      </c>
      <c r="I642" s="55" t="s">
        <v>8</v>
      </c>
      <c r="J642" s="57">
        <v>77.599999999999994</v>
      </c>
      <c r="K642" s="56" t="s">
        <v>2058</v>
      </c>
      <c r="L642" s="56" t="s">
        <v>2059</v>
      </c>
      <c r="M642" s="55" t="s">
        <v>2060</v>
      </c>
      <c r="N642" s="56" t="s">
        <v>2061</v>
      </c>
      <c r="O642" s="53" t="s">
        <v>8</v>
      </c>
      <c r="P642" s="56" t="s">
        <v>2070</v>
      </c>
      <c r="Q642" s="57">
        <v>8000</v>
      </c>
      <c r="R642" s="58" t="s">
        <v>8</v>
      </c>
      <c r="S642" s="57" t="s">
        <v>8</v>
      </c>
      <c r="T642" s="56" t="s">
        <v>8</v>
      </c>
    </row>
    <row r="643" spans="1:20">
      <c r="A643" s="55">
        <v>125579567091</v>
      </c>
      <c r="B643" s="53" t="s">
        <v>2055</v>
      </c>
      <c r="C643" s="54">
        <v>45914</v>
      </c>
      <c r="D643" s="55">
        <v>50227931842</v>
      </c>
      <c r="E643" s="55">
        <v>2069725514000</v>
      </c>
      <c r="F643" s="56" t="s">
        <v>2056</v>
      </c>
      <c r="G643" s="56" t="s">
        <v>2057</v>
      </c>
      <c r="H643" s="56" t="s">
        <v>8</v>
      </c>
      <c r="I643" s="55" t="s">
        <v>8</v>
      </c>
      <c r="J643" s="57">
        <v>261.89999999999998</v>
      </c>
      <c r="K643" s="56" t="s">
        <v>2058</v>
      </c>
      <c r="L643" s="56" t="s">
        <v>2059</v>
      </c>
      <c r="M643" s="55" t="s">
        <v>2060</v>
      </c>
      <c r="N643" s="56" t="s">
        <v>2061</v>
      </c>
      <c r="O643" s="53" t="s">
        <v>8</v>
      </c>
      <c r="P643" s="56" t="s">
        <v>2352</v>
      </c>
      <c r="Q643" s="57">
        <v>27000</v>
      </c>
      <c r="R643" s="58" t="s">
        <v>8</v>
      </c>
      <c r="S643" s="57" t="s">
        <v>8</v>
      </c>
      <c r="T643" s="56" t="s">
        <v>2063</v>
      </c>
    </row>
    <row r="644" spans="1:20">
      <c r="A644" s="55">
        <v>125579583955</v>
      </c>
      <c r="B644" s="53" t="s">
        <v>2055</v>
      </c>
      <c r="C644" s="54">
        <v>45914</v>
      </c>
      <c r="D644" s="55">
        <v>50228008614</v>
      </c>
      <c r="E644" s="55">
        <v>2069681295751</v>
      </c>
      <c r="F644" s="56" t="s">
        <v>2056</v>
      </c>
      <c r="G644" s="56" t="s">
        <v>2057</v>
      </c>
      <c r="H644" s="56" t="s">
        <v>8</v>
      </c>
      <c r="I644" s="55" t="s">
        <v>8</v>
      </c>
      <c r="J644" s="57">
        <v>92.15</v>
      </c>
      <c r="K644" s="56" t="s">
        <v>2058</v>
      </c>
      <c r="L644" s="56" t="s">
        <v>2059</v>
      </c>
      <c r="M644" s="55" t="s">
        <v>2060</v>
      </c>
      <c r="N644" s="56" t="s">
        <v>2061</v>
      </c>
      <c r="O644" s="53" t="s">
        <v>8</v>
      </c>
      <c r="P644" s="56" t="s">
        <v>2353</v>
      </c>
      <c r="Q644" s="57">
        <v>9500</v>
      </c>
      <c r="R644" s="58" t="s">
        <v>8</v>
      </c>
      <c r="S644" s="57" t="s">
        <v>8</v>
      </c>
      <c r="T644" s="56" t="s">
        <v>2063</v>
      </c>
    </row>
    <row r="645" spans="1:20">
      <c r="A645" s="55">
        <v>125641694887</v>
      </c>
      <c r="B645" s="53" t="s">
        <v>2055</v>
      </c>
      <c r="C645" s="54">
        <v>45914</v>
      </c>
      <c r="D645" s="55">
        <v>50254766240</v>
      </c>
      <c r="E645" s="55">
        <v>2070056266917</v>
      </c>
      <c r="F645" s="56" t="s">
        <v>2056</v>
      </c>
      <c r="G645" s="56" t="s">
        <v>2057</v>
      </c>
      <c r="H645" s="56" t="s">
        <v>8</v>
      </c>
      <c r="I645" s="55" t="s">
        <v>8</v>
      </c>
      <c r="J645" s="57">
        <v>106.7</v>
      </c>
      <c r="K645" s="56" t="s">
        <v>2058</v>
      </c>
      <c r="L645" s="56" t="s">
        <v>2059</v>
      </c>
      <c r="M645" s="55" t="s">
        <v>2060</v>
      </c>
      <c r="N645" s="56" t="s">
        <v>2061</v>
      </c>
      <c r="O645" s="53" t="s">
        <v>8</v>
      </c>
      <c r="P645" s="56" t="s">
        <v>2354</v>
      </c>
      <c r="Q645" s="57">
        <v>11000</v>
      </c>
      <c r="R645" s="58" t="s">
        <v>8</v>
      </c>
      <c r="S645" s="57" t="s">
        <v>8</v>
      </c>
      <c r="T645" s="56" t="s">
        <v>2063</v>
      </c>
    </row>
    <row r="646" spans="1:20">
      <c r="A646" s="55">
        <v>126195667264</v>
      </c>
      <c r="B646" s="53" t="s">
        <v>2055</v>
      </c>
      <c r="C646" s="54">
        <v>45914</v>
      </c>
      <c r="D646" s="55">
        <v>50255411185</v>
      </c>
      <c r="E646" s="55">
        <v>2070112140398</v>
      </c>
      <c r="F646" s="56" t="s">
        <v>2066</v>
      </c>
      <c r="G646" s="56" t="s">
        <v>2057</v>
      </c>
      <c r="H646" s="56" t="s">
        <v>8</v>
      </c>
      <c r="I646" s="55" t="s">
        <v>8</v>
      </c>
      <c r="J646" s="57">
        <v>353.7</v>
      </c>
      <c r="K646" s="56" t="s">
        <v>2058</v>
      </c>
      <c r="L646" s="56" t="s">
        <v>2067</v>
      </c>
      <c r="M646" s="55" t="s">
        <v>2060</v>
      </c>
      <c r="N646" s="56" t="s">
        <v>2061</v>
      </c>
      <c r="O646" s="53" t="s">
        <v>1790</v>
      </c>
      <c r="P646" s="56" t="s">
        <v>2068</v>
      </c>
      <c r="Q646" s="57">
        <v>9000</v>
      </c>
      <c r="R646" s="58" t="s">
        <v>8</v>
      </c>
      <c r="S646" s="57" t="s">
        <v>8</v>
      </c>
      <c r="T646" s="56" t="s">
        <v>2063</v>
      </c>
    </row>
    <row r="647" spans="1:20">
      <c r="A647" s="55">
        <v>125647221653</v>
      </c>
      <c r="B647" s="53" t="s">
        <v>2055</v>
      </c>
      <c r="C647" s="54">
        <v>45914</v>
      </c>
      <c r="D647" s="55">
        <v>50256955501</v>
      </c>
      <c r="E647" s="55">
        <v>2070135777586</v>
      </c>
      <c r="F647" s="56" t="s">
        <v>2056</v>
      </c>
      <c r="G647" s="56" t="s">
        <v>2057</v>
      </c>
      <c r="H647" s="56" t="s">
        <v>8</v>
      </c>
      <c r="I647" s="55" t="s">
        <v>8</v>
      </c>
      <c r="J647" s="57">
        <v>75.66</v>
      </c>
      <c r="K647" s="56" t="s">
        <v>2058</v>
      </c>
      <c r="L647" s="56" t="s">
        <v>2059</v>
      </c>
      <c r="M647" s="55" t="s">
        <v>2060</v>
      </c>
      <c r="N647" s="56" t="s">
        <v>2061</v>
      </c>
      <c r="O647" s="53" t="s">
        <v>8</v>
      </c>
      <c r="P647" s="56" t="s">
        <v>2355</v>
      </c>
      <c r="Q647" s="57">
        <v>7800</v>
      </c>
      <c r="R647" s="58" t="s">
        <v>8</v>
      </c>
      <c r="S647" s="57" t="s">
        <v>8</v>
      </c>
      <c r="T647" s="56" t="s">
        <v>2063</v>
      </c>
    </row>
    <row r="648" spans="1:20">
      <c r="A648" s="55">
        <v>126199806570</v>
      </c>
      <c r="B648" s="53" t="s">
        <v>2055</v>
      </c>
      <c r="C648" s="54">
        <v>45914</v>
      </c>
      <c r="D648" s="55">
        <v>50257002417</v>
      </c>
      <c r="E648" s="55">
        <v>2070091543685</v>
      </c>
      <c r="F648" s="56" t="s">
        <v>2056</v>
      </c>
      <c r="G648" s="56" t="s">
        <v>2057</v>
      </c>
      <c r="H648" s="56" t="s">
        <v>8</v>
      </c>
      <c r="I648" s="55" t="s">
        <v>8</v>
      </c>
      <c r="J648" s="57">
        <v>223.1</v>
      </c>
      <c r="K648" s="56" t="s">
        <v>2058</v>
      </c>
      <c r="L648" s="56" t="s">
        <v>2059</v>
      </c>
      <c r="M648" s="55" t="s">
        <v>2060</v>
      </c>
      <c r="N648" s="56" t="s">
        <v>2061</v>
      </c>
      <c r="O648" s="53" t="s">
        <v>8</v>
      </c>
      <c r="P648" s="56" t="s">
        <v>2356</v>
      </c>
      <c r="Q648" s="57">
        <v>23000</v>
      </c>
      <c r="R648" s="58" t="s">
        <v>8</v>
      </c>
      <c r="S648" s="57" t="s">
        <v>8</v>
      </c>
      <c r="T648" s="56" t="s">
        <v>2063</v>
      </c>
    </row>
    <row r="649" spans="1:20">
      <c r="A649" s="55">
        <v>125648509125</v>
      </c>
      <c r="B649" s="53" t="s">
        <v>2055</v>
      </c>
      <c r="C649" s="54">
        <v>45914</v>
      </c>
      <c r="D649" s="55">
        <v>50257425639</v>
      </c>
      <c r="E649" s="55">
        <v>2070097780367</v>
      </c>
      <c r="F649" s="56" t="s">
        <v>2056</v>
      </c>
      <c r="G649" s="56" t="s">
        <v>2057</v>
      </c>
      <c r="H649" s="56" t="s">
        <v>8</v>
      </c>
      <c r="I649" s="55" t="s">
        <v>8</v>
      </c>
      <c r="J649" s="57">
        <v>51.41</v>
      </c>
      <c r="K649" s="56" t="s">
        <v>2058</v>
      </c>
      <c r="L649" s="56" t="s">
        <v>2059</v>
      </c>
      <c r="M649" s="55" t="s">
        <v>2060</v>
      </c>
      <c r="N649" s="56" t="s">
        <v>2061</v>
      </c>
      <c r="O649" s="53" t="s">
        <v>8</v>
      </c>
      <c r="P649" s="56" t="s">
        <v>2357</v>
      </c>
      <c r="Q649" s="57">
        <v>5300</v>
      </c>
      <c r="R649" s="58" t="s">
        <v>8</v>
      </c>
      <c r="S649" s="57" t="s">
        <v>8</v>
      </c>
      <c r="T649" s="56" t="s">
        <v>2063</v>
      </c>
    </row>
    <row r="650" spans="1:20">
      <c r="A650" s="55">
        <v>126202107638</v>
      </c>
      <c r="B650" s="53" t="s">
        <v>2055</v>
      </c>
      <c r="C650" s="54">
        <v>45914</v>
      </c>
      <c r="D650" s="55">
        <v>50257928774</v>
      </c>
      <c r="E650" s="55">
        <v>2070106090033</v>
      </c>
      <c r="F650" s="56" t="s">
        <v>2066</v>
      </c>
      <c r="G650" s="56" t="s">
        <v>2057</v>
      </c>
      <c r="H650" s="56" t="s">
        <v>8</v>
      </c>
      <c r="I650" s="55" t="s">
        <v>8</v>
      </c>
      <c r="J650" s="57">
        <v>2054.6999999999998</v>
      </c>
      <c r="K650" s="56" t="s">
        <v>2058</v>
      </c>
      <c r="L650" s="56" t="s">
        <v>2067</v>
      </c>
      <c r="M650" s="55" t="s">
        <v>2060</v>
      </c>
      <c r="N650" s="56" t="s">
        <v>2061</v>
      </c>
      <c r="O650" s="53" t="s">
        <v>1790</v>
      </c>
      <c r="P650" s="56" t="s">
        <v>2068</v>
      </c>
      <c r="Q650" s="57">
        <v>27000</v>
      </c>
      <c r="R650" s="58" t="s">
        <v>8</v>
      </c>
      <c r="S650" s="57" t="s">
        <v>8</v>
      </c>
      <c r="T650" s="56" t="s">
        <v>2063</v>
      </c>
    </row>
    <row r="651" spans="1:20">
      <c r="A651" s="55">
        <v>125650842711</v>
      </c>
      <c r="B651" s="53" t="s">
        <v>2055</v>
      </c>
      <c r="C651" s="54">
        <v>45914</v>
      </c>
      <c r="D651" s="55">
        <v>50258303431</v>
      </c>
      <c r="E651" s="55">
        <v>2070156914902</v>
      </c>
      <c r="F651" s="56" t="s">
        <v>2066</v>
      </c>
      <c r="G651" s="56" t="s">
        <v>2057</v>
      </c>
      <c r="H651" s="56" t="s">
        <v>8</v>
      </c>
      <c r="I651" s="55" t="s">
        <v>8</v>
      </c>
      <c r="J651" s="57">
        <v>868.53</v>
      </c>
      <c r="K651" s="56" t="s">
        <v>2058</v>
      </c>
      <c r="L651" s="56" t="s">
        <v>2067</v>
      </c>
      <c r="M651" s="55" t="s">
        <v>2060</v>
      </c>
      <c r="N651" s="56" t="s">
        <v>2061</v>
      </c>
      <c r="O651" s="53" t="s">
        <v>1790</v>
      </c>
      <c r="P651" s="56" t="s">
        <v>2068</v>
      </c>
      <c r="Q651" s="57">
        <v>22100</v>
      </c>
      <c r="R651" s="58" t="s">
        <v>8</v>
      </c>
      <c r="S651" s="57" t="s">
        <v>8</v>
      </c>
      <c r="T651" s="56" t="s">
        <v>2063</v>
      </c>
    </row>
    <row r="652" spans="1:20">
      <c r="A652" s="55">
        <v>126208398932</v>
      </c>
      <c r="B652" s="53" t="s">
        <v>2055</v>
      </c>
      <c r="C652" s="54">
        <v>45914</v>
      </c>
      <c r="D652" s="55">
        <v>50260386350</v>
      </c>
      <c r="E652" s="55">
        <v>2070144338655</v>
      </c>
      <c r="F652" s="56" t="s">
        <v>2056</v>
      </c>
      <c r="G652" s="56" t="s">
        <v>2057</v>
      </c>
      <c r="H652" s="56" t="s">
        <v>8</v>
      </c>
      <c r="I652" s="55" t="s">
        <v>8</v>
      </c>
      <c r="J652" s="57">
        <v>368.6</v>
      </c>
      <c r="K652" s="56" t="s">
        <v>2058</v>
      </c>
      <c r="L652" s="56" t="s">
        <v>2059</v>
      </c>
      <c r="M652" s="55" t="s">
        <v>2060</v>
      </c>
      <c r="N652" s="56" t="s">
        <v>2061</v>
      </c>
      <c r="O652" s="53" t="s">
        <v>8</v>
      </c>
      <c r="P652" s="56" t="s">
        <v>2358</v>
      </c>
      <c r="Q652" s="57">
        <v>38000</v>
      </c>
      <c r="R652" s="58" t="s">
        <v>8</v>
      </c>
      <c r="S652" s="57" t="s">
        <v>8</v>
      </c>
      <c r="T652" s="56" t="s">
        <v>2063</v>
      </c>
    </row>
    <row r="653" spans="1:20">
      <c r="A653" s="55">
        <v>125656403991</v>
      </c>
      <c r="B653" s="53" t="s">
        <v>2055</v>
      </c>
      <c r="C653" s="54">
        <v>45914</v>
      </c>
      <c r="D653" s="55">
        <v>50260542340</v>
      </c>
      <c r="E653" s="55">
        <v>2070146704313</v>
      </c>
      <c r="F653" s="56" t="s">
        <v>2069</v>
      </c>
      <c r="G653" s="56" t="s">
        <v>2057</v>
      </c>
      <c r="H653" s="56" t="s">
        <v>8</v>
      </c>
      <c r="I653" s="55" t="s">
        <v>8</v>
      </c>
      <c r="J653" s="57">
        <v>180.42</v>
      </c>
      <c r="K653" s="56" t="s">
        <v>2058</v>
      </c>
      <c r="L653" s="56" t="s">
        <v>2059</v>
      </c>
      <c r="M653" s="55" t="s">
        <v>2060</v>
      </c>
      <c r="N653" s="56" t="s">
        <v>2061</v>
      </c>
      <c r="O653" s="53" t="s">
        <v>8</v>
      </c>
      <c r="P653" s="56" t="s">
        <v>2070</v>
      </c>
      <c r="Q653" s="57">
        <v>18600</v>
      </c>
      <c r="R653" s="58" t="s">
        <v>8</v>
      </c>
      <c r="S653" s="57" t="s">
        <v>8</v>
      </c>
      <c r="T653" s="56" t="s">
        <v>8</v>
      </c>
    </row>
    <row r="654" spans="1:20">
      <c r="A654" s="55">
        <v>126209525276</v>
      </c>
      <c r="B654" s="53" t="s">
        <v>2055</v>
      </c>
      <c r="C654" s="54">
        <v>45914</v>
      </c>
      <c r="D654" s="55">
        <v>50260837242</v>
      </c>
      <c r="E654" s="55">
        <v>2070195899108</v>
      </c>
      <c r="F654" s="56" t="s">
        <v>2056</v>
      </c>
      <c r="G654" s="56" t="s">
        <v>2057</v>
      </c>
      <c r="H654" s="56" t="s">
        <v>8</v>
      </c>
      <c r="I654" s="55" t="s">
        <v>8</v>
      </c>
      <c r="J654" s="57">
        <v>228.2</v>
      </c>
      <c r="K654" s="56" t="s">
        <v>2058</v>
      </c>
      <c r="L654" s="56" t="s">
        <v>2059</v>
      </c>
      <c r="M654" s="55" t="s">
        <v>2060</v>
      </c>
      <c r="N654" s="56" t="s">
        <v>2061</v>
      </c>
      <c r="O654" s="53" t="s">
        <v>8</v>
      </c>
      <c r="P654" s="56" t="s">
        <v>2359</v>
      </c>
      <c r="Q654" s="57">
        <v>14000</v>
      </c>
      <c r="R654" s="58" t="s">
        <v>8</v>
      </c>
      <c r="S654" s="57" t="s">
        <v>8</v>
      </c>
      <c r="T654" s="56" t="s">
        <v>2063</v>
      </c>
    </row>
    <row r="655" spans="1:20">
      <c r="A655" s="55">
        <v>126210057176</v>
      </c>
      <c r="B655" s="53" t="s">
        <v>2055</v>
      </c>
      <c r="C655" s="54">
        <v>45914</v>
      </c>
      <c r="D655" s="55">
        <v>50261066936</v>
      </c>
      <c r="E655" s="55">
        <v>2070199756310</v>
      </c>
      <c r="F655" s="56" t="s">
        <v>2066</v>
      </c>
      <c r="G655" s="56" t="s">
        <v>2057</v>
      </c>
      <c r="H655" s="56" t="s">
        <v>8</v>
      </c>
      <c r="I655" s="55" t="s">
        <v>8</v>
      </c>
      <c r="J655" s="57">
        <v>1811.18</v>
      </c>
      <c r="K655" s="56" t="s">
        <v>2058</v>
      </c>
      <c r="L655" s="56" t="s">
        <v>2067</v>
      </c>
      <c r="M655" s="55" t="s">
        <v>2060</v>
      </c>
      <c r="N655" s="56" t="s">
        <v>2061</v>
      </c>
      <c r="O655" s="53" t="s">
        <v>1790</v>
      </c>
      <c r="P655" s="56" t="s">
        <v>2068</v>
      </c>
      <c r="Q655" s="57">
        <v>23800</v>
      </c>
      <c r="R655" s="58" t="s">
        <v>8</v>
      </c>
      <c r="S655" s="57" t="s">
        <v>8</v>
      </c>
      <c r="T655" s="56" t="s">
        <v>2063</v>
      </c>
    </row>
    <row r="656" spans="1:20">
      <c r="A656" s="55">
        <v>126211365010</v>
      </c>
      <c r="B656" s="53" t="s">
        <v>2055</v>
      </c>
      <c r="C656" s="54">
        <v>45914</v>
      </c>
      <c r="D656" s="55">
        <v>50261535649</v>
      </c>
      <c r="E656" s="55">
        <v>2070207045420</v>
      </c>
      <c r="F656" s="56" t="s">
        <v>2056</v>
      </c>
      <c r="G656" s="56" t="s">
        <v>2057</v>
      </c>
      <c r="H656" s="56" t="s">
        <v>8</v>
      </c>
      <c r="I656" s="55" t="s">
        <v>8</v>
      </c>
      <c r="J656" s="57">
        <v>313.31</v>
      </c>
      <c r="K656" s="56" t="s">
        <v>2058</v>
      </c>
      <c r="L656" s="56" t="s">
        <v>2059</v>
      </c>
      <c r="M656" s="55" t="s">
        <v>2060</v>
      </c>
      <c r="N656" s="56" t="s">
        <v>2061</v>
      </c>
      <c r="O656" s="53" t="s">
        <v>8</v>
      </c>
      <c r="P656" s="56" t="s">
        <v>2360</v>
      </c>
      <c r="Q656" s="57">
        <v>32300</v>
      </c>
      <c r="R656" s="58" t="s">
        <v>8</v>
      </c>
      <c r="S656" s="57" t="s">
        <v>8</v>
      </c>
      <c r="T656" s="56" t="s">
        <v>2063</v>
      </c>
    </row>
    <row r="657" spans="1:20">
      <c r="A657" s="55">
        <v>125659456895</v>
      </c>
      <c r="B657" s="53" t="s">
        <v>2055</v>
      </c>
      <c r="C657" s="54">
        <v>45914</v>
      </c>
      <c r="D657" s="55">
        <v>50261725989</v>
      </c>
      <c r="E657" s="55">
        <v>2070209691854</v>
      </c>
      <c r="F657" s="56" t="s">
        <v>2056</v>
      </c>
      <c r="G657" s="56" t="s">
        <v>2057</v>
      </c>
      <c r="H657" s="56" t="s">
        <v>8</v>
      </c>
      <c r="I657" s="55" t="s">
        <v>8</v>
      </c>
      <c r="J657" s="57">
        <v>83.42</v>
      </c>
      <c r="K657" s="56" t="s">
        <v>2058</v>
      </c>
      <c r="L657" s="56" t="s">
        <v>2059</v>
      </c>
      <c r="M657" s="55" t="s">
        <v>2060</v>
      </c>
      <c r="N657" s="56" t="s">
        <v>2061</v>
      </c>
      <c r="O657" s="53" t="s">
        <v>8</v>
      </c>
      <c r="P657" s="56" t="s">
        <v>2361</v>
      </c>
      <c r="Q657" s="57">
        <v>8600</v>
      </c>
      <c r="R657" s="58" t="s">
        <v>8</v>
      </c>
      <c r="S657" s="57" t="s">
        <v>8</v>
      </c>
      <c r="T657" s="56" t="s">
        <v>2063</v>
      </c>
    </row>
    <row r="658" spans="1:20">
      <c r="A658" s="55">
        <v>125659996117</v>
      </c>
      <c r="B658" s="53" t="s">
        <v>2055</v>
      </c>
      <c r="C658" s="54">
        <v>45914</v>
      </c>
      <c r="D658" s="55">
        <v>50261878450</v>
      </c>
      <c r="E658" s="55">
        <v>2070167193825</v>
      </c>
      <c r="F658" s="56" t="s">
        <v>2056</v>
      </c>
      <c r="G658" s="56" t="s">
        <v>2057</v>
      </c>
      <c r="H658" s="56" t="s">
        <v>8</v>
      </c>
      <c r="I658" s="55" t="s">
        <v>8</v>
      </c>
      <c r="J658" s="57">
        <v>424.86</v>
      </c>
      <c r="K658" s="56" t="s">
        <v>2058</v>
      </c>
      <c r="L658" s="56" t="s">
        <v>2059</v>
      </c>
      <c r="M658" s="55" t="s">
        <v>2060</v>
      </c>
      <c r="N658" s="56" t="s">
        <v>2061</v>
      </c>
      <c r="O658" s="53" t="s">
        <v>8</v>
      </c>
      <c r="P658" s="56" t="s">
        <v>2362</v>
      </c>
      <c r="Q658" s="57">
        <v>43800</v>
      </c>
      <c r="R658" s="58" t="s">
        <v>8</v>
      </c>
      <c r="S658" s="57" t="s">
        <v>8</v>
      </c>
      <c r="T658" s="56" t="s">
        <v>2063</v>
      </c>
    </row>
    <row r="659" spans="1:20">
      <c r="A659" s="55">
        <v>125659954419</v>
      </c>
      <c r="B659" s="53" t="s">
        <v>2055</v>
      </c>
      <c r="C659" s="54">
        <v>45914</v>
      </c>
      <c r="D659" s="55">
        <v>50261885434</v>
      </c>
      <c r="E659" s="55">
        <v>2070212143370</v>
      </c>
      <c r="F659" s="56" t="s">
        <v>2056</v>
      </c>
      <c r="G659" s="56" t="s">
        <v>2057</v>
      </c>
      <c r="H659" s="56" t="s">
        <v>8</v>
      </c>
      <c r="I659" s="55" t="s">
        <v>8</v>
      </c>
      <c r="J659" s="57">
        <v>391.88</v>
      </c>
      <c r="K659" s="56" t="s">
        <v>2058</v>
      </c>
      <c r="L659" s="56" t="s">
        <v>2059</v>
      </c>
      <c r="M659" s="55" t="s">
        <v>2060</v>
      </c>
      <c r="N659" s="56" t="s">
        <v>2061</v>
      </c>
      <c r="O659" s="53" t="s">
        <v>8</v>
      </c>
      <c r="P659" s="56" t="s">
        <v>2363</v>
      </c>
      <c r="Q659" s="57">
        <v>40400</v>
      </c>
      <c r="R659" s="58" t="s">
        <v>8</v>
      </c>
      <c r="S659" s="57" t="s">
        <v>8</v>
      </c>
      <c r="T659" s="56" t="s">
        <v>2063</v>
      </c>
    </row>
    <row r="660" spans="1:20">
      <c r="A660" s="55">
        <v>126212628608</v>
      </c>
      <c r="B660" s="53" t="s">
        <v>2055</v>
      </c>
      <c r="C660" s="54">
        <v>45914</v>
      </c>
      <c r="D660" s="55">
        <v>50262046496</v>
      </c>
      <c r="E660" s="55">
        <v>2070169657547</v>
      </c>
      <c r="F660" s="56" t="s">
        <v>2066</v>
      </c>
      <c r="G660" s="56" t="s">
        <v>2057</v>
      </c>
      <c r="H660" s="56" t="s">
        <v>8</v>
      </c>
      <c r="I660" s="55" t="s">
        <v>8</v>
      </c>
      <c r="J660" s="57">
        <v>404.79</v>
      </c>
      <c r="K660" s="56" t="s">
        <v>2058</v>
      </c>
      <c r="L660" s="56" t="s">
        <v>2067</v>
      </c>
      <c r="M660" s="55" t="s">
        <v>2060</v>
      </c>
      <c r="N660" s="56" t="s">
        <v>2061</v>
      </c>
      <c r="O660" s="53" t="s">
        <v>1790</v>
      </c>
      <c r="P660" s="56" t="s">
        <v>2068</v>
      </c>
      <c r="Q660" s="57">
        <v>10300</v>
      </c>
      <c r="R660" s="58" t="s">
        <v>8</v>
      </c>
      <c r="S660" s="57" t="s">
        <v>8</v>
      </c>
      <c r="T660" s="56" t="s">
        <v>2063</v>
      </c>
    </row>
    <row r="661" spans="1:20">
      <c r="A661" s="55">
        <v>126213107032</v>
      </c>
      <c r="B661" s="53" t="s">
        <v>2055</v>
      </c>
      <c r="C661" s="54">
        <v>45914</v>
      </c>
      <c r="D661" s="55">
        <v>50262221573</v>
      </c>
      <c r="E661" s="55">
        <v>2070217432888</v>
      </c>
      <c r="F661" s="56" t="s">
        <v>2069</v>
      </c>
      <c r="G661" s="56" t="s">
        <v>2057</v>
      </c>
      <c r="H661" s="56" t="s">
        <v>8</v>
      </c>
      <c r="I661" s="55" t="s">
        <v>8</v>
      </c>
      <c r="J661" s="57">
        <v>280.33</v>
      </c>
      <c r="K661" s="56" t="s">
        <v>2058</v>
      </c>
      <c r="L661" s="56" t="s">
        <v>2059</v>
      </c>
      <c r="M661" s="55" t="s">
        <v>2060</v>
      </c>
      <c r="N661" s="56" t="s">
        <v>2061</v>
      </c>
      <c r="O661" s="53" t="s">
        <v>8</v>
      </c>
      <c r="P661" s="56" t="s">
        <v>2070</v>
      </c>
      <c r="Q661" s="57">
        <v>28900</v>
      </c>
      <c r="R661" s="58" t="s">
        <v>8</v>
      </c>
      <c r="S661" s="57" t="s">
        <v>8</v>
      </c>
      <c r="T661" s="56" t="s">
        <v>8</v>
      </c>
    </row>
    <row r="662" spans="1:20">
      <c r="A662" s="55">
        <v>126213201364</v>
      </c>
      <c r="B662" s="53" t="s">
        <v>2055</v>
      </c>
      <c r="C662" s="54">
        <v>45914</v>
      </c>
      <c r="D662" s="55">
        <v>50262252141</v>
      </c>
      <c r="E662" s="55">
        <v>2070218353138</v>
      </c>
      <c r="F662" s="56" t="s">
        <v>2056</v>
      </c>
      <c r="G662" s="56" t="s">
        <v>2057</v>
      </c>
      <c r="H662" s="56" t="s">
        <v>8</v>
      </c>
      <c r="I662" s="55" t="s">
        <v>8</v>
      </c>
      <c r="J662" s="57">
        <v>765.33</v>
      </c>
      <c r="K662" s="56" t="s">
        <v>2058</v>
      </c>
      <c r="L662" s="56" t="s">
        <v>2059</v>
      </c>
      <c r="M662" s="55" t="s">
        <v>2060</v>
      </c>
      <c r="N662" s="56" t="s">
        <v>2061</v>
      </c>
      <c r="O662" s="53" t="s">
        <v>8</v>
      </c>
      <c r="P662" s="56" t="s">
        <v>2364</v>
      </c>
      <c r="Q662" s="57">
        <v>78900</v>
      </c>
      <c r="R662" s="58" t="s">
        <v>8</v>
      </c>
      <c r="S662" s="57" t="s">
        <v>8</v>
      </c>
      <c r="T662" s="56" t="s">
        <v>2063</v>
      </c>
    </row>
    <row r="663" spans="1:20">
      <c r="A663" s="55">
        <v>126213444444</v>
      </c>
      <c r="B663" s="53" t="s">
        <v>2055</v>
      </c>
      <c r="C663" s="54">
        <v>45914</v>
      </c>
      <c r="D663" s="55">
        <v>50262350887</v>
      </c>
      <c r="E663" s="55">
        <v>2070174464797</v>
      </c>
      <c r="F663" s="56" t="s">
        <v>2056</v>
      </c>
      <c r="G663" s="56" t="s">
        <v>2057</v>
      </c>
      <c r="H663" s="56" t="s">
        <v>8</v>
      </c>
      <c r="I663" s="55" t="s">
        <v>8</v>
      </c>
      <c r="J663" s="57">
        <v>43.65</v>
      </c>
      <c r="K663" s="56" t="s">
        <v>2058</v>
      </c>
      <c r="L663" s="56" t="s">
        <v>2059</v>
      </c>
      <c r="M663" s="55" t="s">
        <v>2060</v>
      </c>
      <c r="N663" s="56" t="s">
        <v>2061</v>
      </c>
      <c r="O663" s="53" t="s">
        <v>8</v>
      </c>
      <c r="P663" s="56" t="s">
        <v>2365</v>
      </c>
      <c r="Q663" s="57">
        <v>4500</v>
      </c>
      <c r="R663" s="58" t="s">
        <v>8</v>
      </c>
      <c r="S663" s="57" t="s">
        <v>8</v>
      </c>
      <c r="T663" s="56" t="s">
        <v>2063</v>
      </c>
    </row>
    <row r="664" spans="1:20">
      <c r="A664" s="55">
        <v>125661802007</v>
      </c>
      <c r="B664" s="53" t="s">
        <v>2055</v>
      </c>
      <c r="C664" s="54">
        <v>45914</v>
      </c>
      <c r="D664" s="55">
        <v>50262650830</v>
      </c>
      <c r="E664" s="55">
        <v>2070224021868</v>
      </c>
      <c r="F664" s="56" t="s">
        <v>2066</v>
      </c>
      <c r="G664" s="56" t="s">
        <v>2057</v>
      </c>
      <c r="H664" s="56" t="s">
        <v>8</v>
      </c>
      <c r="I664" s="55" t="s">
        <v>8</v>
      </c>
      <c r="J664" s="57">
        <v>2751</v>
      </c>
      <c r="K664" s="56" t="s">
        <v>2058</v>
      </c>
      <c r="L664" s="56" t="s">
        <v>2067</v>
      </c>
      <c r="M664" s="55" t="s">
        <v>2060</v>
      </c>
      <c r="N664" s="56" t="s">
        <v>2061</v>
      </c>
      <c r="O664" s="53" t="s">
        <v>1790</v>
      </c>
      <c r="P664" s="56" t="s">
        <v>2068</v>
      </c>
      <c r="Q664" s="57">
        <v>70000</v>
      </c>
      <c r="R664" s="58" t="s">
        <v>8</v>
      </c>
      <c r="S664" s="57" t="s">
        <v>8</v>
      </c>
      <c r="T664" s="56" t="s">
        <v>2063</v>
      </c>
    </row>
    <row r="665" spans="1:20">
      <c r="A665" s="55">
        <v>125662278353</v>
      </c>
      <c r="B665" s="53" t="s">
        <v>2055</v>
      </c>
      <c r="C665" s="54">
        <v>45914</v>
      </c>
      <c r="D665" s="55">
        <v>50262824476</v>
      </c>
      <c r="E665" s="55">
        <v>2070226574160</v>
      </c>
      <c r="F665" s="56" t="s">
        <v>2056</v>
      </c>
      <c r="G665" s="56" t="s">
        <v>2057</v>
      </c>
      <c r="H665" s="56" t="s">
        <v>8</v>
      </c>
      <c r="I665" s="55" t="s">
        <v>8</v>
      </c>
      <c r="J665" s="57">
        <v>198.85</v>
      </c>
      <c r="K665" s="56" t="s">
        <v>2058</v>
      </c>
      <c r="L665" s="56" t="s">
        <v>2059</v>
      </c>
      <c r="M665" s="55" t="s">
        <v>2060</v>
      </c>
      <c r="N665" s="56" t="s">
        <v>2061</v>
      </c>
      <c r="O665" s="53" t="s">
        <v>8</v>
      </c>
      <c r="P665" s="56" t="s">
        <v>2105</v>
      </c>
      <c r="Q665" s="57">
        <v>20500</v>
      </c>
      <c r="R665" s="58" t="s">
        <v>8</v>
      </c>
      <c r="S665" s="57" t="s">
        <v>8</v>
      </c>
      <c r="T665" s="56" t="s">
        <v>2063</v>
      </c>
    </row>
    <row r="666" spans="1:20">
      <c r="A666" s="55">
        <v>126214829960</v>
      </c>
      <c r="B666" s="53" t="s">
        <v>2055</v>
      </c>
      <c r="C666" s="54">
        <v>45914</v>
      </c>
      <c r="D666" s="55">
        <v>50262943919</v>
      </c>
      <c r="E666" s="55">
        <v>2070183592539</v>
      </c>
      <c r="F666" s="56" t="s">
        <v>2056</v>
      </c>
      <c r="G666" s="56" t="s">
        <v>2057</v>
      </c>
      <c r="H666" s="56" t="s">
        <v>8</v>
      </c>
      <c r="I666" s="55" t="s">
        <v>8</v>
      </c>
      <c r="J666" s="57">
        <v>475.3</v>
      </c>
      <c r="K666" s="56" t="s">
        <v>2058</v>
      </c>
      <c r="L666" s="56" t="s">
        <v>2059</v>
      </c>
      <c r="M666" s="55" t="s">
        <v>2060</v>
      </c>
      <c r="N666" s="56" t="s">
        <v>2061</v>
      </c>
      <c r="O666" s="53" t="s">
        <v>8</v>
      </c>
      <c r="P666" s="56" t="s">
        <v>2366</v>
      </c>
      <c r="Q666" s="57">
        <v>49000</v>
      </c>
      <c r="R666" s="58" t="s">
        <v>8</v>
      </c>
      <c r="S666" s="57" t="s">
        <v>8</v>
      </c>
      <c r="T666" s="56" t="s">
        <v>2063</v>
      </c>
    </row>
    <row r="667" spans="1:20">
      <c r="A667" s="55">
        <v>125662860685</v>
      </c>
      <c r="B667" s="53" t="s">
        <v>2055</v>
      </c>
      <c r="C667" s="54">
        <v>45914</v>
      </c>
      <c r="D667" s="55">
        <v>50263029166</v>
      </c>
      <c r="E667" s="55">
        <v>2070229758346</v>
      </c>
      <c r="F667" s="56" t="s">
        <v>2066</v>
      </c>
      <c r="G667" s="56" t="s">
        <v>2057</v>
      </c>
      <c r="H667" s="56" t="s">
        <v>8</v>
      </c>
      <c r="I667" s="55" t="s">
        <v>8</v>
      </c>
      <c r="J667" s="57">
        <v>1646.67</v>
      </c>
      <c r="K667" s="56" t="s">
        <v>2058</v>
      </c>
      <c r="L667" s="56" t="s">
        <v>2067</v>
      </c>
      <c r="M667" s="55" t="s">
        <v>2060</v>
      </c>
      <c r="N667" s="56" t="s">
        <v>2061</v>
      </c>
      <c r="O667" s="53" t="s">
        <v>1790</v>
      </c>
      <c r="P667" s="56" t="s">
        <v>2068</v>
      </c>
      <c r="Q667" s="57">
        <v>41900</v>
      </c>
      <c r="R667" s="58" t="s">
        <v>8</v>
      </c>
      <c r="S667" s="57" t="s">
        <v>8</v>
      </c>
      <c r="T667" s="56" t="s">
        <v>2063</v>
      </c>
    </row>
    <row r="668" spans="1:20">
      <c r="A668" s="55">
        <v>125663240327</v>
      </c>
      <c r="B668" s="53" t="s">
        <v>2055</v>
      </c>
      <c r="C668" s="54">
        <v>45914</v>
      </c>
      <c r="D668" s="55">
        <v>50263172852</v>
      </c>
      <c r="E668" s="55">
        <v>2070187190877</v>
      </c>
      <c r="F668" s="56" t="s">
        <v>2066</v>
      </c>
      <c r="G668" s="56" t="s">
        <v>2057</v>
      </c>
      <c r="H668" s="56" t="s">
        <v>8</v>
      </c>
      <c r="I668" s="55" t="s">
        <v>8</v>
      </c>
      <c r="J668" s="57">
        <v>467.67</v>
      </c>
      <c r="K668" s="56" t="s">
        <v>2058</v>
      </c>
      <c r="L668" s="56" t="s">
        <v>2067</v>
      </c>
      <c r="M668" s="55" t="s">
        <v>2060</v>
      </c>
      <c r="N668" s="56" t="s">
        <v>2061</v>
      </c>
      <c r="O668" s="53" t="s">
        <v>1790</v>
      </c>
      <c r="P668" s="56" t="s">
        <v>2068</v>
      </c>
      <c r="Q668" s="57">
        <v>11900</v>
      </c>
      <c r="R668" s="58" t="s">
        <v>8</v>
      </c>
      <c r="S668" s="57" t="s">
        <v>8</v>
      </c>
      <c r="T668" s="56" t="s">
        <v>2063</v>
      </c>
    </row>
    <row r="669" spans="1:20">
      <c r="A669" s="55">
        <v>125663262315</v>
      </c>
      <c r="B669" s="53" t="s">
        <v>2055</v>
      </c>
      <c r="C669" s="54">
        <v>45914</v>
      </c>
      <c r="D669" s="55">
        <v>50263182813</v>
      </c>
      <c r="E669" s="55">
        <v>2070232021066</v>
      </c>
      <c r="F669" s="56" t="s">
        <v>2056</v>
      </c>
      <c r="G669" s="56" t="s">
        <v>2057</v>
      </c>
      <c r="H669" s="56" t="s">
        <v>8</v>
      </c>
      <c r="I669" s="55" t="s">
        <v>8</v>
      </c>
      <c r="J669" s="57">
        <v>172.66</v>
      </c>
      <c r="K669" s="56" t="s">
        <v>2058</v>
      </c>
      <c r="L669" s="56" t="s">
        <v>2059</v>
      </c>
      <c r="M669" s="55" t="s">
        <v>2060</v>
      </c>
      <c r="N669" s="56" t="s">
        <v>2061</v>
      </c>
      <c r="O669" s="53" t="s">
        <v>8</v>
      </c>
      <c r="P669" s="56" t="s">
        <v>2083</v>
      </c>
      <c r="Q669" s="57">
        <v>17800</v>
      </c>
      <c r="R669" s="58" t="s">
        <v>8</v>
      </c>
      <c r="S669" s="57" t="s">
        <v>8</v>
      </c>
      <c r="T669" s="56" t="s">
        <v>2063</v>
      </c>
    </row>
    <row r="670" spans="1:20">
      <c r="A670" s="55">
        <v>126215681054</v>
      </c>
      <c r="B670" s="53" t="s">
        <v>2055</v>
      </c>
      <c r="C670" s="54">
        <v>45914</v>
      </c>
      <c r="D670" s="55">
        <v>50263276182</v>
      </c>
      <c r="E670" s="55">
        <v>2070188316077</v>
      </c>
      <c r="F670" s="56" t="s">
        <v>2066</v>
      </c>
      <c r="G670" s="56" t="s">
        <v>2057</v>
      </c>
      <c r="H670" s="56" t="s">
        <v>8</v>
      </c>
      <c r="I670" s="55" t="s">
        <v>8</v>
      </c>
      <c r="J670" s="57">
        <v>1709.55</v>
      </c>
      <c r="K670" s="56" t="s">
        <v>2058</v>
      </c>
      <c r="L670" s="56" t="s">
        <v>2067</v>
      </c>
      <c r="M670" s="55" t="s">
        <v>2060</v>
      </c>
      <c r="N670" s="56" t="s">
        <v>2061</v>
      </c>
      <c r="O670" s="53" t="s">
        <v>1790</v>
      </c>
      <c r="P670" s="56" t="s">
        <v>2068</v>
      </c>
      <c r="Q670" s="57">
        <v>43500</v>
      </c>
      <c r="R670" s="58" t="s">
        <v>8</v>
      </c>
      <c r="S670" s="57" t="s">
        <v>8</v>
      </c>
      <c r="T670" s="56" t="s">
        <v>2063</v>
      </c>
    </row>
    <row r="671" spans="1:20">
      <c r="A671" s="55">
        <v>125664117927</v>
      </c>
      <c r="B671" s="53" t="s">
        <v>2055</v>
      </c>
      <c r="C671" s="54">
        <v>45915</v>
      </c>
      <c r="D671" s="55">
        <v>50263671100</v>
      </c>
      <c r="E671" s="55">
        <v>2070193257673</v>
      </c>
      <c r="F671" s="56" t="s">
        <v>2056</v>
      </c>
      <c r="G671" s="56" t="s">
        <v>2057</v>
      </c>
      <c r="H671" s="56" t="s">
        <v>8</v>
      </c>
      <c r="I671" s="55" t="s">
        <v>8</v>
      </c>
      <c r="J671" s="57">
        <v>570.36</v>
      </c>
      <c r="K671" s="56" t="s">
        <v>2058</v>
      </c>
      <c r="L671" s="56" t="s">
        <v>2059</v>
      </c>
      <c r="M671" s="55" t="s">
        <v>2060</v>
      </c>
      <c r="N671" s="56" t="s">
        <v>2061</v>
      </c>
      <c r="O671" s="53" t="s">
        <v>8</v>
      </c>
      <c r="P671" s="56" t="s">
        <v>2367</v>
      </c>
      <c r="Q671" s="57">
        <v>58800</v>
      </c>
      <c r="R671" s="58" t="s">
        <v>8</v>
      </c>
      <c r="S671" s="57" t="s">
        <v>8</v>
      </c>
      <c r="T671" s="56" t="s">
        <v>2063</v>
      </c>
    </row>
    <row r="672" spans="1:20">
      <c r="A672" s="55">
        <v>126216706478</v>
      </c>
      <c r="B672" s="53" t="s">
        <v>2055</v>
      </c>
      <c r="C672" s="54">
        <v>45915</v>
      </c>
      <c r="D672" s="55">
        <v>50263750975</v>
      </c>
      <c r="E672" s="55">
        <v>2070239965732</v>
      </c>
      <c r="F672" s="56" t="s">
        <v>2056</v>
      </c>
      <c r="G672" s="56" t="s">
        <v>2057</v>
      </c>
      <c r="H672" s="56" t="s">
        <v>8</v>
      </c>
      <c r="I672" s="55" t="s">
        <v>8</v>
      </c>
      <c r="J672" s="57">
        <v>833.23</v>
      </c>
      <c r="K672" s="56" t="s">
        <v>2058</v>
      </c>
      <c r="L672" s="56" t="s">
        <v>2059</v>
      </c>
      <c r="M672" s="55" t="s">
        <v>2060</v>
      </c>
      <c r="N672" s="56" t="s">
        <v>2061</v>
      </c>
      <c r="O672" s="53" t="s">
        <v>8</v>
      </c>
      <c r="P672" s="56" t="s">
        <v>2368</v>
      </c>
      <c r="Q672" s="57">
        <v>85900</v>
      </c>
      <c r="R672" s="58" t="s">
        <v>8</v>
      </c>
      <c r="S672" s="57" t="s">
        <v>8</v>
      </c>
      <c r="T672" s="56" t="s">
        <v>2063</v>
      </c>
    </row>
    <row r="673" spans="1:20">
      <c r="A673" s="55">
        <v>126216657442</v>
      </c>
      <c r="B673" s="53" t="s">
        <v>2055</v>
      </c>
      <c r="C673" s="54">
        <v>45915</v>
      </c>
      <c r="D673" s="55">
        <v>50263774162</v>
      </c>
      <c r="E673" s="55">
        <v>2070194952661</v>
      </c>
      <c r="F673" s="56" t="s">
        <v>2066</v>
      </c>
      <c r="G673" s="56" t="s">
        <v>2057</v>
      </c>
      <c r="H673" s="56" t="s">
        <v>8</v>
      </c>
      <c r="I673" s="55" t="s">
        <v>8</v>
      </c>
      <c r="J673" s="57">
        <v>1529.98</v>
      </c>
      <c r="K673" s="56" t="s">
        <v>2058</v>
      </c>
      <c r="L673" s="56" t="s">
        <v>2067</v>
      </c>
      <c r="M673" s="55" t="s">
        <v>2060</v>
      </c>
      <c r="N673" s="56" t="s">
        <v>2061</v>
      </c>
      <c r="O673" s="53" t="s">
        <v>1790</v>
      </c>
      <c r="P673" s="56" t="s">
        <v>2068</v>
      </c>
      <c r="Q673" s="57">
        <v>33700</v>
      </c>
      <c r="R673" s="58" t="s">
        <v>8</v>
      </c>
      <c r="S673" s="57" t="s">
        <v>8</v>
      </c>
      <c r="T673" s="56" t="s">
        <v>2063</v>
      </c>
    </row>
    <row r="674" spans="1:20">
      <c r="A674" s="55">
        <v>126216807538</v>
      </c>
      <c r="B674" s="53" t="s">
        <v>2055</v>
      </c>
      <c r="C674" s="54">
        <v>45915</v>
      </c>
      <c r="D674" s="55">
        <v>50263831529</v>
      </c>
      <c r="E674" s="55">
        <v>2070240835260</v>
      </c>
      <c r="F674" s="56" t="s">
        <v>2056</v>
      </c>
      <c r="G674" s="56" t="s">
        <v>2057</v>
      </c>
      <c r="H674" s="56" t="s">
        <v>8</v>
      </c>
      <c r="I674" s="55" t="s">
        <v>8</v>
      </c>
      <c r="J674" s="57">
        <v>227.95</v>
      </c>
      <c r="K674" s="56" t="s">
        <v>2058</v>
      </c>
      <c r="L674" s="56" t="s">
        <v>2059</v>
      </c>
      <c r="M674" s="55" t="s">
        <v>2060</v>
      </c>
      <c r="N674" s="56" t="s">
        <v>2061</v>
      </c>
      <c r="O674" s="53" t="s">
        <v>8</v>
      </c>
      <c r="P674" s="56" t="s">
        <v>2369</v>
      </c>
      <c r="Q674" s="57">
        <v>23500</v>
      </c>
      <c r="R674" s="58" t="s">
        <v>8</v>
      </c>
      <c r="S674" s="57" t="s">
        <v>8</v>
      </c>
      <c r="T674" s="56" t="s">
        <v>2063</v>
      </c>
    </row>
    <row r="675" spans="1:20">
      <c r="A675" s="55">
        <v>126217102720</v>
      </c>
      <c r="B675" s="53" t="s">
        <v>2055</v>
      </c>
      <c r="C675" s="54">
        <v>45915</v>
      </c>
      <c r="D675" s="55">
        <v>50263929748</v>
      </c>
      <c r="E675" s="55">
        <v>2070242153732</v>
      </c>
      <c r="F675" s="56" t="s">
        <v>2056</v>
      </c>
      <c r="G675" s="56" t="s">
        <v>2057</v>
      </c>
      <c r="H675" s="56" t="s">
        <v>8</v>
      </c>
      <c r="I675" s="55" t="s">
        <v>8</v>
      </c>
      <c r="J675" s="57">
        <v>268.69</v>
      </c>
      <c r="K675" s="56" t="s">
        <v>2058</v>
      </c>
      <c r="L675" s="56" t="s">
        <v>2059</v>
      </c>
      <c r="M675" s="55" t="s">
        <v>2060</v>
      </c>
      <c r="N675" s="56" t="s">
        <v>2061</v>
      </c>
      <c r="O675" s="53" t="s">
        <v>8</v>
      </c>
      <c r="P675" s="56" t="s">
        <v>2370</v>
      </c>
      <c r="Q675" s="57">
        <v>27700</v>
      </c>
      <c r="R675" s="58" t="s">
        <v>8</v>
      </c>
      <c r="S675" s="57" t="s">
        <v>8</v>
      </c>
      <c r="T675" s="56" t="s">
        <v>2063</v>
      </c>
    </row>
    <row r="676" spans="1:20">
      <c r="A676" s="55">
        <v>126217490808</v>
      </c>
      <c r="B676" s="53" t="s">
        <v>2055</v>
      </c>
      <c r="C676" s="54">
        <v>45915</v>
      </c>
      <c r="D676" s="55">
        <v>50264159381</v>
      </c>
      <c r="E676" s="55">
        <v>2070200293543</v>
      </c>
      <c r="F676" s="56" t="s">
        <v>2056</v>
      </c>
      <c r="G676" s="56" t="s">
        <v>2057</v>
      </c>
      <c r="H676" s="56" t="s">
        <v>8</v>
      </c>
      <c r="I676" s="55" t="s">
        <v>8</v>
      </c>
      <c r="J676" s="57">
        <v>87.3</v>
      </c>
      <c r="K676" s="56" t="s">
        <v>2058</v>
      </c>
      <c r="L676" s="56" t="s">
        <v>2059</v>
      </c>
      <c r="M676" s="55" t="s">
        <v>2060</v>
      </c>
      <c r="N676" s="56" t="s">
        <v>2061</v>
      </c>
      <c r="O676" s="53" t="s">
        <v>8</v>
      </c>
      <c r="P676" s="56" t="s">
        <v>2371</v>
      </c>
      <c r="Q676" s="57">
        <v>9000</v>
      </c>
      <c r="R676" s="58" t="s">
        <v>8</v>
      </c>
      <c r="S676" s="57" t="s">
        <v>8</v>
      </c>
      <c r="T676" s="56" t="s">
        <v>2063</v>
      </c>
    </row>
    <row r="677" spans="1:20">
      <c r="A677" s="55">
        <v>126217984052</v>
      </c>
      <c r="B677" s="53" t="s">
        <v>2055</v>
      </c>
      <c r="C677" s="54">
        <v>45915</v>
      </c>
      <c r="D677" s="55">
        <v>50264578799</v>
      </c>
      <c r="E677" s="55">
        <v>2070205363457</v>
      </c>
      <c r="F677" s="56" t="s">
        <v>2056</v>
      </c>
      <c r="G677" s="56" t="s">
        <v>2057</v>
      </c>
      <c r="H677" s="56" t="s">
        <v>8</v>
      </c>
      <c r="I677" s="55" t="s">
        <v>8</v>
      </c>
      <c r="J677" s="57">
        <v>485.97</v>
      </c>
      <c r="K677" s="56" t="s">
        <v>2058</v>
      </c>
      <c r="L677" s="56" t="s">
        <v>2059</v>
      </c>
      <c r="M677" s="55" t="s">
        <v>2060</v>
      </c>
      <c r="N677" s="56" t="s">
        <v>2061</v>
      </c>
      <c r="O677" s="53" t="s">
        <v>8</v>
      </c>
      <c r="P677" s="56" t="s">
        <v>2372</v>
      </c>
      <c r="Q677" s="57">
        <v>50100</v>
      </c>
      <c r="R677" s="58" t="s">
        <v>8</v>
      </c>
      <c r="S677" s="57" t="s">
        <v>8</v>
      </c>
      <c r="T677" s="56" t="s">
        <v>2063</v>
      </c>
    </row>
    <row r="678" spans="1:20">
      <c r="A678" s="55">
        <v>126218238140</v>
      </c>
      <c r="B678" s="53" t="s">
        <v>2055</v>
      </c>
      <c r="C678" s="54">
        <v>45915</v>
      </c>
      <c r="D678" s="55">
        <v>50264646209</v>
      </c>
      <c r="E678" s="55">
        <v>2070251283606</v>
      </c>
      <c r="F678" s="56" t="s">
        <v>2056</v>
      </c>
      <c r="G678" s="56" t="s">
        <v>2057</v>
      </c>
      <c r="H678" s="56" t="s">
        <v>8</v>
      </c>
      <c r="I678" s="55" t="s">
        <v>8</v>
      </c>
      <c r="J678" s="57">
        <v>350.17</v>
      </c>
      <c r="K678" s="56" t="s">
        <v>2058</v>
      </c>
      <c r="L678" s="56" t="s">
        <v>2059</v>
      </c>
      <c r="M678" s="55" t="s">
        <v>2060</v>
      </c>
      <c r="N678" s="56" t="s">
        <v>2061</v>
      </c>
      <c r="O678" s="53" t="s">
        <v>8</v>
      </c>
      <c r="P678" s="56" t="s">
        <v>2373</v>
      </c>
      <c r="Q678" s="57">
        <v>36100</v>
      </c>
      <c r="R678" s="58" t="s">
        <v>8</v>
      </c>
      <c r="S678" s="57" t="s">
        <v>8</v>
      </c>
      <c r="T678" s="56" t="s">
        <v>2063</v>
      </c>
    </row>
    <row r="679" spans="1:20">
      <c r="A679" s="55">
        <v>126218221652</v>
      </c>
      <c r="B679" s="53" t="s">
        <v>2055</v>
      </c>
      <c r="C679" s="54">
        <v>45915</v>
      </c>
      <c r="D679" s="55">
        <v>50264719215</v>
      </c>
      <c r="E679" s="55">
        <v>2070207056579</v>
      </c>
      <c r="F679" s="56" t="s">
        <v>2066</v>
      </c>
      <c r="G679" s="56" t="s">
        <v>2057</v>
      </c>
      <c r="H679" s="56" t="s">
        <v>8</v>
      </c>
      <c r="I679" s="55" t="s">
        <v>8</v>
      </c>
      <c r="J679" s="57">
        <v>1765.52</v>
      </c>
      <c r="K679" s="56" t="s">
        <v>2058</v>
      </c>
      <c r="L679" s="56" t="s">
        <v>2067</v>
      </c>
      <c r="M679" s="55" t="s">
        <v>2060</v>
      </c>
      <c r="N679" s="56" t="s">
        <v>2061</v>
      </c>
      <c r="O679" s="53" t="s">
        <v>1790</v>
      </c>
      <c r="P679" s="56" t="s">
        <v>2068</v>
      </c>
      <c r="Q679" s="57">
        <v>23200</v>
      </c>
      <c r="R679" s="58" t="s">
        <v>8</v>
      </c>
      <c r="S679" s="57" t="s">
        <v>8</v>
      </c>
      <c r="T679" s="56" t="s">
        <v>2063</v>
      </c>
    </row>
    <row r="680" spans="1:20">
      <c r="A680" s="55">
        <v>125666113965</v>
      </c>
      <c r="B680" s="53" t="s">
        <v>2055</v>
      </c>
      <c r="C680" s="54">
        <v>45915</v>
      </c>
      <c r="D680" s="55">
        <v>50264897032</v>
      </c>
      <c r="E680" s="55">
        <v>2070208999641</v>
      </c>
      <c r="F680" s="56" t="s">
        <v>2069</v>
      </c>
      <c r="G680" s="56" t="s">
        <v>2057</v>
      </c>
      <c r="H680" s="56" t="s">
        <v>8</v>
      </c>
      <c r="I680" s="55" t="s">
        <v>8</v>
      </c>
      <c r="J680" s="57">
        <v>374.42</v>
      </c>
      <c r="K680" s="56" t="s">
        <v>2058</v>
      </c>
      <c r="L680" s="56" t="s">
        <v>2059</v>
      </c>
      <c r="M680" s="55" t="s">
        <v>2060</v>
      </c>
      <c r="N680" s="56" t="s">
        <v>2061</v>
      </c>
      <c r="O680" s="53" t="s">
        <v>8</v>
      </c>
      <c r="P680" s="56" t="s">
        <v>2070</v>
      </c>
      <c r="Q680" s="57">
        <v>38600</v>
      </c>
      <c r="R680" s="58" t="s">
        <v>8</v>
      </c>
      <c r="S680" s="57" t="s">
        <v>8</v>
      </c>
      <c r="T680" s="56" t="s">
        <v>8</v>
      </c>
    </row>
    <row r="681" spans="1:20">
      <c r="A681" s="55">
        <v>126032999989</v>
      </c>
      <c r="B681" s="53" t="s">
        <v>2055</v>
      </c>
      <c r="C681" s="54">
        <v>45917</v>
      </c>
      <c r="D681" s="55">
        <v>50401045665</v>
      </c>
      <c r="E681" s="55">
        <v>2072860307120</v>
      </c>
      <c r="F681" s="56" t="s">
        <v>2069</v>
      </c>
      <c r="G681" s="56" t="s">
        <v>2057</v>
      </c>
      <c r="H681" s="56" t="s">
        <v>8</v>
      </c>
      <c r="I681" s="55" t="s">
        <v>8</v>
      </c>
      <c r="J681" s="57">
        <v>83.42</v>
      </c>
      <c r="K681" s="56" t="s">
        <v>2058</v>
      </c>
      <c r="L681" s="56" t="s">
        <v>2059</v>
      </c>
      <c r="M681" s="55" t="s">
        <v>2060</v>
      </c>
      <c r="N681" s="56" t="s">
        <v>2061</v>
      </c>
      <c r="O681" s="53" t="s">
        <v>8</v>
      </c>
      <c r="P681" s="56" t="s">
        <v>2070</v>
      </c>
      <c r="Q681" s="57">
        <v>8600</v>
      </c>
      <c r="R681" s="58" t="s">
        <v>8</v>
      </c>
      <c r="S681" s="57" t="s">
        <v>8</v>
      </c>
      <c r="T681" s="56" t="s">
        <v>8</v>
      </c>
    </row>
    <row r="682" spans="1:20">
      <c r="A682" s="55">
        <v>126591409114</v>
      </c>
      <c r="B682" s="53" t="s">
        <v>2055</v>
      </c>
      <c r="C682" s="54">
        <v>45917</v>
      </c>
      <c r="D682" s="55">
        <v>50402093785</v>
      </c>
      <c r="E682" s="55">
        <v>2072880424506</v>
      </c>
      <c r="F682" s="56" t="s">
        <v>2066</v>
      </c>
      <c r="G682" s="56" t="s">
        <v>2057</v>
      </c>
      <c r="H682" s="56" t="s">
        <v>8</v>
      </c>
      <c r="I682" s="55" t="s">
        <v>8</v>
      </c>
      <c r="J682" s="57">
        <v>337.98</v>
      </c>
      <c r="K682" s="56" t="s">
        <v>2058</v>
      </c>
      <c r="L682" s="56" t="s">
        <v>2067</v>
      </c>
      <c r="M682" s="55" t="s">
        <v>2060</v>
      </c>
      <c r="N682" s="56" t="s">
        <v>2061</v>
      </c>
      <c r="O682" s="53" t="s">
        <v>1790</v>
      </c>
      <c r="P682" s="56" t="s">
        <v>2068</v>
      </c>
      <c r="Q682" s="57">
        <v>8600</v>
      </c>
      <c r="R682" s="58" t="s">
        <v>8</v>
      </c>
      <c r="S682" s="57" t="s">
        <v>8</v>
      </c>
      <c r="T682" s="56" t="s">
        <v>2063</v>
      </c>
    </row>
    <row r="683" spans="1:20">
      <c r="A683" s="55">
        <v>126036386561</v>
      </c>
      <c r="B683" s="53" t="s">
        <v>2055</v>
      </c>
      <c r="C683" s="54">
        <v>45917</v>
      </c>
      <c r="D683" s="55">
        <v>50402189338</v>
      </c>
      <c r="E683" s="55">
        <v>2072882047124</v>
      </c>
      <c r="F683" s="56" t="s">
        <v>2056</v>
      </c>
      <c r="G683" s="56" t="s">
        <v>2057</v>
      </c>
      <c r="H683" s="56" t="s">
        <v>8</v>
      </c>
      <c r="I683" s="55" t="s">
        <v>8</v>
      </c>
      <c r="J683" s="57">
        <v>125.13</v>
      </c>
      <c r="K683" s="56" t="s">
        <v>2058</v>
      </c>
      <c r="L683" s="56" t="s">
        <v>2059</v>
      </c>
      <c r="M683" s="55" t="s">
        <v>2060</v>
      </c>
      <c r="N683" s="56" t="s">
        <v>2061</v>
      </c>
      <c r="O683" s="53" t="s">
        <v>8</v>
      </c>
      <c r="P683" s="56" t="s">
        <v>2245</v>
      </c>
      <c r="Q683" s="57">
        <v>12900</v>
      </c>
      <c r="R683" s="58" t="s">
        <v>8</v>
      </c>
      <c r="S683" s="57" t="s">
        <v>8</v>
      </c>
      <c r="T683" s="56" t="s">
        <v>2063</v>
      </c>
    </row>
    <row r="684" spans="1:20">
      <c r="A684" s="55">
        <v>126594945894</v>
      </c>
      <c r="B684" s="53" t="s">
        <v>2055</v>
      </c>
      <c r="C684" s="54">
        <v>45917</v>
      </c>
      <c r="D684" s="55">
        <v>50403435183</v>
      </c>
      <c r="E684" s="55">
        <v>2072856856953</v>
      </c>
      <c r="F684" s="56" t="s">
        <v>2066</v>
      </c>
      <c r="G684" s="56" t="s">
        <v>2057</v>
      </c>
      <c r="H684" s="56" t="s">
        <v>8</v>
      </c>
      <c r="I684" s="55" t="s">
        <v>8</v>
      </c>
      <c r="J684" s="57">
        <v>392.96</v>
      </c>
      <c r="K684" s="56" t="s">
        <v>2058</v>
      </c>
      <c r="L684" s="56" t="s">
        <v>2067</v>
      </c>
      <c r="M684" s="55" t="s">
        <v>2060</v>
      </c>
      <c r="N684" s="56" t="s">
        <v>2061</v>
      </c>
      <c r="O684" s="53" t="s">
        <v>1790</v>
      </c>
      <c r="P684" s="56" t="s">
        <v>2068</v>
      </c>
      <c r="Q684" s="57">
        <v>9999</v>
      </c>
      <c r="R684" s="58" t="s">
        <v>8</v>
      </c>
      <c r="S684" s="57" t="s">
        <v>8</v>
      </c>
      <c r="T684" s="56" t="s">
        <v>2063</v>
      </c>
    </row>
    <row r="685" spans="1:20">
      <c r="A685" s="55">
        <v>126597067472</v>
      </c>
      <c r="B685" s="53" t="s">
        <v>2055</v>
      </c>
      <c r="C685" s="54">
        <v>45917</v>
      </c>
      <c r="D685" s="55">
        <v>50404210808</v>
      </c>
      <c r="E685" s="55">
        <v>2072873207739</v>
      </c>
      <c r="F685" s="56" t="s">
        <v>2056</v>
      </c>
      <c r="G685" s="56" t="s">
        <v>2057</v>
      </c>
      <c r="H685" s="56" t="s">
        <v>8</v>
      </c>
      <c r="I685" s="55" t="s">
        <v>8</v>
      </c>
      <c r="J685" s="57">
        <v>83.42</v>
      </c>
      <c r="K685" s="56" t="s">
        <v>2058</v>
      </c>
      <c r="L685" s="56" t="s">
        <v>2059</v>
      </c>
      <c r="M685" s="55" t="s">
        <v>2060</v>
      </c>
      <c r="N685" s="56" t="s">
        <v>2061</v>
      </c>
      <c r="O685" s="53" t="s">
        <v>8</v>
      </c>
      <c r="P685" s="56" t="s">
        <v>2374</v>
      </c>
      <c r="Q685" s="57">
        <v>8600</v>
      </c>
      <c r="R685" s="58" t="s">
        <v>8</v>
      </c>
      <c r="S685" s="57" t="s">
        <v>8</v>
      </c>
      <c r="T685" s="56" t="s">
        <v>2063</v>
      </c>
    </row>
    <row r="686" spans="1:20">
      <c r="A686" s="55">
        <v>126597591802</v>
      </c>
      <c r="B686" s="53" t="s">
        <v>2055</v>
      </c>
      <c r="C686" s="54">
        <v>45917</v>
      </c>
      <c r="D686" s="55">
        <v>50404460202</v>
      </c>
      <c r="E686" s="55">
        <v>2072878015957</v>
      </c>
      <c r="F686" s="56" t="s">
        <v>2069</v>
      </c>
      <c r="G686" s="56" t="s">
        <v>2057</v>
      </c>
      <c r="H686" s="56" t="s">
        <v>8</v>
      </c>
      <c r="I686" s="55" t="s">
        <v>8</v>
      </c>
      <c r="J686" s="57">
        <v>375.38</v>
      </c>
      <c r="K686" s="56" t="s">
        <v>2058</v>
      </c>
      <c r="L686" s="56" t="s">
        <v>2059</v>
      </c>
      <c r="M686" s="55" t="s">
        <v>2060</v>
      </c>
      <c r="N686" s="56" t="s">
        <v>2061</v>
      </c>
      <c r="O686" s="53" t="s">
        <v>8</v>
      </c>
      <c r="P686" s="56" t="s">
        <v>2070</v>
      </c>
      <c r="Q686" s="57">
        <v>38699</v>
      </c>
      <c r="R686" s="58" t="s">
        <v>8</v>
      </c>
      <c r="S686" s="57" t="s">
        <v>8</v>
      </c>
      <c r="T686" s="56" t="s">
        <v>8</v>
      </c>
    </row>
    <row r="687" spans="1:20">
      <c r="A687" s="55">
        <v>126043752843</v>
      </c>
      <c r="B687" s="53" t="s">
        <v>2055</v>
      </c>
      <c r="C687" s="54">
        <v>45917</v>
      </c>
      <c r="D687" s="55">
        <v>50404963399</v>
      </c>
      <c r="E687" s="55">
        <v>2072938106486</v>
      </c>
      <c r="F687" s="56" t="s">
        <v>2107</v>
      </c>
      <c r="G687" s="56" t="s">
        <v>2057</v>
      </c>
      <c r="H687" s="56" t="s">
        <v>8</v>
      </c>
      <c r="I687" s="55" t="s">
        <v>8</v>
      </c>
      <c r="J687" s="57">
        <v>717.17</v>
      </c>
      <c r="K687" s="56" t="s">
        <v>2058</v>
      </c>
      <c r="L687" s="56" t="s">
        <v>2059</v>
      </c>
      <c r="M687" s="55" t="s">
        <v>2060</v>
      </c>
      <c r="N687" s="56" t="s">
        <v>2061</v>
      </c>
      <c r="O687" s="53" t="s">
        <v>8</v>
      </c>
      <c r="P687" s="56" t="s">
        <v>2197</v>
      </c>
      <c r="Q687" s="57">
        <v>43998</v>
      </c>
      <c r="R687" s="58" t="s">
        <v>8</v>
      </c>
      <c r="S687" s="57" t="s">
        <v>8</v>
      </c>
      <c r="T687" s="56" t="s">
        <v>2063</v>
      </c>
    </row>
    <row r="688" spans="1:20">
      <c r="A688" s="55">
        <v>126600508822</v>
      </c>
      <c r="B688" s="53" t="s">
        <v>2055</v>
      </c>
      <c r="C688" s="54">
        <v>45917</v>
      </c>
      <c r="D688" s="55">
        <v>50405512416</v>
      </c>
      <c r="E688" s="55">
        <v>2072899952939</v>
      </c>
      <c r="F688" s="56" t="s">
        <v>2056</v>
      </c>
      <c r="G688" s="56" t="s">
        <v>2057</v>
      </c>
      <c r="H688" s="56" t="s">
        <v>8</v>
      </c>
      <c r="I688" s="55" t="s">
        <v>8</v>
      </c>
      <c r="J688" s="57">
        <v>192.06</v>
      </c>
      <c r="K688" s="56" t="s">
        <v>2058</v>
      </c>
      <c r="L688" s="56" t="s">
        <v>2059</v>
      </c>
      <c r="M688" s="55" t="s">
        <v>2060</v>
      </c>
      <c r="N688" s="56" t="s">
        <v>2061</v>
      </c>
      <c r="O688" s="53" t="s">
        <v>8</v>
      </c>
      <c r="P688" s="56" t="s">
        <v>2375</v>
      </c>
      <c r="Q688" s="57">
        <v>19800</v>
      </c>
      <c r="R688" s="58" t="s">
        <v>8</v>
      </c>
      <c r="S688" s="57" t="s">
        <v>8</v>
      </c>
      <c r="T688" s="56" t="s">
        <v>2063</v>
      </c>
    </row>
    <row r="689" spans="1:20">
      <c r="A689" s="55">
        <v>126045198407</v>
      </c>
      <c r="B689" s="53" t="s">
        <v>2055</v>
      </c>
      <c r="C689" s="54">
        <v>45917</v>
      </c>
      <c r="D689" s="55">
        <v>50405579971</v>
      </c>
      <c r="E689" s="55">
        <v>2072950413944</v>
      </c>
      <c r="F689" s="56" t="s">
        <v>2056</v>
      </c>
      <c r="G689" s="56" t="s">
        <v>2057</v>
      </c>
      <c r="H689" s="56" t="s">
        <v>8</v>
      </c>
      <c r="I689" s="55" t="s">
        <v>8</v>
      </c>
      <c r="J689" s="57">
        <v>250.26</v>
      </c>
      <c r="K689" s="56" t="s">
        <v>2058</v>
      </c>
      <c r="L689" s="56" t="s">
        <v>2059</v>
      </c>
      <c r="M689" s="55" t="s">
        <v>2060</v>
      </c>
      <c r="N689" s="56" t="s">
        <v>2061</v>
      </c>
      <c r="O689" s="53" t="s">
        <v>8</v>
      </c>
      <c r="P689" s="56" t="s">
        <v>2376</v>
      </c>
      <c r="Q689" s="57">
        <v>25800</v>
      </c>
      <c r="R689" s="58" t="s">
        <v>8</v>
      </c>
      <c r="S689" s="57" t="s">
        <v>8</v>
      </c>
      <c r="T689" s="56" t="s">
        <v>2063</v>
      </c>
    </row>
    <row r="690" spans="1:20">
      <c r="A690" s="55">
        <v>126046694901</v>
      </c>
      <c r="B690" s="53" t="s">
        <v>2055</v>
      </c>
      <c r="C690" s="54">
        <v>45917</v>
      </c>
      <c r="D690" s="55">
        <v>50406179643</v>
      </c>
      <c r="E690" s="55">
        <v>2072911955725</v>
      </c>
      <c r="F690" s="56" t="s">
        <v>2107</v>
      </c>
      <c r="G690" s="56" t="s">
        <v>2057</v>
      </c>
      <c r="H690" s="56" t="s">
        <v>8</v>
      </c>
      <c r="I690" s="55" t="s">
        <v>8</v>
      </c>
      <c r="J690" s="57">
        <v>836.19</v>
      </c>
      <c r="K690" s="56" t="s">
        <v>2058</v>
      </c>
      <c r="L690" s="56" t="s">
        <v>2059</v>
      </c>
      <c r="M690" s="55" t="s">
        <v>2060</v>
      </c>
      <c r="N690" s="56" t="s">
        <v>2061</v>
      </c>
      <c r="O690" s="53" t="s">
        <v>8</v>
      </c>
      <c r="P690" s="56" t="s">
        <v>2197</v>
      </c>
      <c r="Q690" s="57">
        <v>51300</v>
      </c>
      <c r="R690" s="58" t="s">
        <v>8</v>
      </c>
      <c r="S690" s="57" t="s">
        <v>8</v>
      </c>
      <c r="T690" s="56" t="s">
        <v>2063</v>
      </c>
    </row>
    <row r="691" spans="1:20">
      <c r="A691" s="55">
        <v>126046661655</v>
      </c>
      <c r="B691" s="53" t="s">
        <v>2055</v>
      </c>
      <c r="C691" s="54">
        <v>45917</v>
      </c>
      <c r="D691" s="55">
        <v>50406192140</v>
      </c>
      <c r="E691" s="55">
        <v>2072961701914</v>
      </c>
      <c r="F691" s="56" t="s">
        <v>2056</v>
      </c>
      <c r="G691" s="56" t="s">
        <v>2057</v>
      </c>
      <c r="H691" s="56" t="s">
        <v>8</v>
      </c>
      <c r="I691" s="55" t="s">
        <v>8</v>
      </c>
      <c r="J691" s="57">
        <v>691.61</v>
      </c>
      <c r="K691" s="56" t="s">
        <v>2058</v>
      </c>
      <c r="L691" s="56" t="s">
        <v>2059</v>
      </c>
      <c r="M691" s="55" t="s">
        <v>2060</v>
      </c>
      <c r="N691" s="56" t="s">
        <v>2061</v>
      </c>
      <c r="O691" s="53" t="s">
        <v>8</v>
      </c>
      <c r="P691" s="56" t="s">
        <v>2377</v>
      </c>
      <c r="Q691" s="57">
        <v>71300</v>
      </c>
      <c r="R691" s="58" t="s">
        <v>8</v>
      </c>
      <c r="S691" s="57" t="s">
        <v>8</v>
      </c>
      <c r="T691" s="56" t="s">
        <v>2063</v>
      </c>
    </row>
    <row r="692" spans="1:20">
      <c r="A692" s="55">
        <v>126047122521</v>
      </c>
      <c r="B692" s="53" t="s">
        <v>2055</v>
      </c>
      <c r="C692" s="54">
        <v>45917</v>
      </c>
      <c r="D692" s="55">
        <v>50406323288</v>
      </c>
      <c r="E692" s="55">
        <v>2072963997078</v>
      </c>
      <c r="F692" s="56" t="s">
        <v>2056</v>
      </c>
      <c r="G692" s="56" t="s">
        <v>2057</v>
      </c>
      <c r="H692" s="56" t="s">
        <v>8</v>
      </c>
      <c r="I692" s="55" t="s">
        <v>8</v>
      </c>
      <c r="J692" s="57">
        <v>83.42</v>
      </c>
      <c r="K692" s="56" t="s">
        <v>2058</v>
      </c>
      <c r="L692" s="56" t="s">
        <v>2059</v>
      </c>
      <c r="M692" s="55" t="s">
        <v>2060</v>
      </c>
      <c r="N692" s="56" t="s">
        <v>2061</v>
      </c>
      <c r="O692" s="53" t="s">
        <v>8</v>
      </c>
      <c r="P692" s="56" t="s">
        <v>2374</v>
      </c>
      <c r="Q692" s="57">
        <v>8600</v>
      </c>
      <c r="R692" s="58" t="s">
        <v>8</v>
      </c>
      <c r="S692" s="57" t="s">
        <v>8</v>
      </c>
      <c r="T692" s="56" t="s">
        <v>2063</v>
      </c>
    </row>
    <row r="693" spans="1:20">
      <c r="A693" s="55">
        <v>126047460401</v>
      </c>
      <c r="B693" s="53" t="s">
        <v>2055</v>
      </c>
      <c r="C693" s="54">
        <v>45917</v>
      </c>
      <c r="D693" s="55">
        <v>50406498324</v>
      </c>
      <c r="E693" s="55">
        <v>2072917560221</v>
      </c>
      <c r="F693" s="56" t="s">
        <v>2069</v>
      </c>
      <c r="G693" s="56" t="s">
        <v>2057</v>
      </c>
      <c r="H693" s="56" t="s">
        <v>8</v>
      </c>
      <c r="I693" s="55" t="s">
        <v>8</v>
      </c>
      <c r="J693" s="57">
        <v>193.98</v>
      </c>
      <c r="K693" s="56" t="s">
        <v>2058</v>
      </c>
      <c r="L693" s="56" t="s">
        <v>2059</v>
      </c>
      <c r="M693" s="55" t="s">
        <v>2060</v>
      </c>
      <c r="N693" s="56" t="s">
        <v>2061</v>
      </c>
      <c r="O693" s="53" t="s">
        <v>8</v>
      </c>
      <c r="P693" s="56" t="s">
        <v>2070</v>
      </c>
      <c r="Q693" s="57">
        <v>19998</v>
      </c>
      <c r="R693" s="58" t="s">
        <v>8</v>
      </c>
      <c r="S693" s="57" t="s">
        <v>8</v>
      </c>
      <c r="T693" s="56" t="s">
        <v>8</v>
      </c>
    </row>
    <row r="694" spans="1:20">
      <c r="A694" s="55">
        <v>126602656096</v>
      </c>
      <c r="B694" s="53" t="s">
        <v>2055</v>
      </c>
      <c r="C694" s="54">
        <v>45917</v>
      </c>
      <c r="D694" s="55">
        <v>50406547398</v>
      </c>
      <c r="E694" s="55">
        <v>2072967593286</v>
      </c>
      <c r="F694" s="56" t="s">
        <v>2056</v>
      </c>
      <c r="G694" s="56" t="s">
        <v>2057</v>
      </c>
      <c r="H694" s="56" t="s">
        <v>8</v>
      </c>
      <c r="I694" s="55" t="s">
        <v>8</v>
      </c>
      <c r="J694" s="57">
        <v>330.77</v>
      </c>
      <c r="K694" s="56" t="s">
        <v>2058</v>
      </c>
      <c r="L694" s="56" t="s">
        <v>2059</v>
      </c>
      <c r="M694" s="55" t="s">
        <v>2060</v>
      </c>
      <c r="N694" s="56" t="s">
        <v>2061</v>
      </c>
      <c r="O694" s="53" t="s">
        <v>8</v>
      </c>
      <c r="P694" s="56" t="s">
        <v>2378</v>
      </c>
      <c r="Q694" s="57">
        <v>34100</v>
      </c>
      <c r="R694" s="58" t="s">
        <v>8</v>
      </c>
      <c r="S694" s="57" t="s">
        <v>8</v>
      </c>
      <c r="T694" s="56" t="s">
        <v>2063</v>
      </c>
    </row>
    <row r="695" spans="1:20">
      <c r="A695" s="55">
        <v>126603090892</v>
      </c>
      <c r="B695" s="53" t="s">
        <v>2055</v>
      </c>
      <c r="C695" s="54">
        <v>45917</v>
      </c>
      <c r="D695" s="55">
        <v>50406633524</v>
      </c>
      <c r="E695" s="55">
        <v>2072920456245</v>
      </c>
      <c r="F695" s="56" t="s">
        <v>2056</v>
      </c>
      <c r="G695" s="56" t="s">
        <v>2057</v>
      </c>
      <c r="H695" s="56" t="s">
        <v>8</v>
      </c>
      <c r="I695" s="55" t="s">
        <v>8</v>
      </c>
      <c r="J695" s="57">
        <v>331.73</v>
      </c>
      <c r="K695" s="56" t="s">
        <v>2058</v>
      </c>
      <c r="L695" s="56" t="s">
        <v>2059</v>
      </c>
      <c r="M695" s="55" t="s">
        <v>2060</v>
      </c>
      <c r="N695" s="56" t="s">
        <v>2061</v>
      </c>
      <c r="O695" s="53" t="s">
        <v>8</v>
      </c>
      <c r="P695" s="56" t="s">
        <v>2379</v>
      </c>
      <c r="Q695" s="57">
        <v>34199</v>
      </c>
      <c r="R695" s="58" t="s">
        <v>8</v>
      </c>
      <c r="S695" s="57" t="s">
        <v>8</v>
      </c>
      <c r="T695" s="56" t="s">
        <v>2063</v>
      </c>
    </row>
    <row r="696" spans="1:20">
      <c r="A696" s="55">
        <v>126603719712</v>
      </c>
      <c r="B696" s="53" t="s">
        <v>2055</v>
      </c>
      <c r="C696" s="54">
        <v>45917</v>
      </c>
      <c r="D696" s="55">
        <v>50406949865</v>
      </c>
      <c r="E696" s="55">
        <v>2072924959327</v>
      </c>
      <c r="F696" s="56" t="s">
        <v>2056</v>
      </c>
      <c r="G696" s="56" t="s">
        <v>2057</v>
      </c>
      <c r="H696" s="56" t="s">
        <v>8</v>
      </c>
      <c r="I696" s="55" t="s">
        <v>8</v>
      </c>
      <c r="J696" s="57">
        <v>41.71</v>
      </c>
      <c r="K696" s="56" t="s">
        <v>2058</v>
      </c>
      <c r="L696" s="56" t="s">
        <v>2059</v>
      </c>
      <c r="M696" s="55" t="s">
        <v>2060</v>
      </c>
      <c r="N696" s="56" t="s">
        <v>2061</v>
      </c>
      <c r="O696" s="53" t="s">
        <v>8</v>
      </c>
      <c r="P696" s="56" t="s">
        <v>2299</v>
      </c>
      <c r="Q696" s="57">
        <v>4300</v>
      </c>
      <c r="R696" s="58" t="s">
        <v>8</v>
      </c>
      <c r="S696" s="57" t="s">
        <v>8</v>
      </c>
      <c r="T696" s="56" t="s">
        <v>2063</v>
      </c>
    </row>
    <row r="697" spans="1:20">
      <c r="A697" s="55">
        <v>126604501712</v>
      </c>
      <c r="B697" s="53" t="s">
        <v>2055</v>
      </c>
      <c r="C697" s="54">
        <v>45917</v>
      </c>
      <c r="D697" s="55">
        <v>50407344619</v>
      </c>
      <c r="E697" s="55">
        <v>2072980355232</v>
      </c>
      <c r="F697" s="56" t="s">
        <v>2056</v>
      </c>
      <c r="G697" s="56" t="s">
        <v>2057</v>
      </c>
      <c r="H697" s="56" t="s">
        <v>8</v>
      </c>
      <c r="I697" s="55" t="s">
        <v>8</v>
      </c>
      <c r="J697" s="57">
        <v>196.91</v>
      </c>
      <c r="K697" s="56" t="s">
        <v>2058</v>
      </c>
      <c r="L697" s="56" t="s">
        <v>2059</v>
      </c>
      <c r="M697" s="55" t="s">
        <v>2060</v>
      </c>
      <c r="N697" s="56" t="s">
        <v>2061</v>
      </c>
      <c r="O697" s="53" t="s">
        <v>8</v>
      </c>
      <c r="P697" s="56" t="s">
        <v>2380</v>
      </c>
      <c r="Q697" s="57">
        <v>20300</v>
      </c>
      <c r="R697" s="58" t="s">
        <v>8</v>
      </c>
      <c r="S697" s="57" t="s">
        <v>8</v>
      </c>
      <c r="T697" s="56" t="s">
        <v>2063</v>
      </c>
    </row>
    <row r="698" spans="1:20">
      <c r="A698" s="55">
        <v>126604962718</v>
      </c>
      <c r="B698" s="53" t="s">
        <v>2055</v>
      </c>
      <c r="C698" s="54">
        <v>45917</v>
      </c>
      <c r="D698" s="55">
        <v>50407412737</v>
      </c>
      <c r="E698" s="55">
        <v>2072982659440</v>
      </c>
      <c r="F698" s="56" t="s">
        <v>2056</v>
      </c>
      <c r="G698" s="56" t="s">
        <v>2057</v>
      </c>
      <c r="H698" s="56" t="s">
        <v>8</v>
      </c>
      <c r="I698" s="55" t="s">
        <v>8</v>
      </c>
      <c r="J698" s="57">
        <v>278.38</v>
      </c>
      <c r="K698" s="56" t="s">
        <v>2058</v>
      </c>
      <c r="L698" s="56" t="s">
        <v>2059</v>
      </c>
      <c r="M698" s="55" t="s">
        <v>2060</v>
      </c>
      <c r="N698" s="56" t="s">
        <v>2061</v>
      </c>
      <c r="O698" s="53" t="s">
        <v>8</v>
      </c>
      <c r="P698" s="56" t="s">
        <v>2381</v>
      </c>
      <c r="Q698" s="57">
        <v>28699</v>
      </c>
      <c r="R698" s="58" t="s">
        <v>8</v>
      </c>
      <c r="S698" s="57" t="s">
        <v>8</v>
      </c>
      <c r="T698" s="56" t="s">
        <v>2063</v>
      </c>
    </row>
    <row r="699" spans="1:20">
      <c r="A699" s="55">
        <v>126605063444</v>
      </c>
      <c r="B699" s="53" t="s">
        <v>2055</v>
      </c>
      <c r="C699" s="54">
        <v>45917</v>
      </c>
      <c r="D699" s="55">
        <v>50407524208</v>
      </c>
      <c r="E699" s="55">
        <v>2072935008963</v>
      </c>
      <c r="F699" s="56" t="s">
        <v>2066</v>
      </c>
      <c r="G699" s="56" t="s">
        <v>2057</v>
      </c>
      <c r="H699" s="56" t="s">
        <v>8</v>
      </c>
      <c r="I699" s="55" t="s">
        <v>8</v>
      </c>
      <c r="J699" s="57">
        <v>3316.92</v>
      </c>
      <c r="K699" s="56" t="s">
        <v>2058</v>
      </c>
      <c r="L699" s="56" t="s">
        <v>2067</v>
      </c>
      <c r="M699" s="55" t="s">
        <v>2060</v>
      </c>
      <c r="N699" s="56" t="s">
        <v>2061</v>
      </c>
      <c r="O699" s="53" t="s">
        <v>1790</v>
      </c>
      <c r="P699" s="56" t="s">
        <v>2068</v>
      </c>
      <c r="Q699" s="57">
        <v>84400</v>
      </c>
      <c r="R699" s="58" t="s">
        <v>8</v>
      </c>
      <c r="S699" s="57" t="s">
        <v>8</v>
      </c>
      <c r="T699" s="56" t="s">
        <v>2063</v>
      </c>
    </row>
    <row r="700" spans="1:20">
      <c r="A700" s="55">
        <v>126050976059</v>
      </c>
      <c r="B700" s="53" t="s">
        <v>2055</v>
      </c>
      <c r="C700" s="54">
        <v>45918</v>
      </c>
      <c r="D700" s="55">
        <v>50408136242</v>
      </c>
      <c r="E700" s="55">
        <v>2072993590224</v>
      </c>
      <c r="F700" s="56" t="s">
        <v>2069</v>
      </c>
      <c r="G700" s="56" t="s">
        <v>2057</v>
      </c>
      <c r="H700" s="56" t="s">
        <v>8</v>
      </c>
      <c r="I700" s="55" t="s">
        <v>8</v>
      </c>
      <c r="J700" s="57">
        <v>97</v>
      </c>
      <c r="K700" s="56" t="s">
        <v>2058</v>
      </c>
      <c r="L700" s="56" t="s">
        <v>2059</v>
      </c>
      <c r="M700" s="55" t="s">
        <v>2060</v>
      </c>
      <c r="N700" s="56" t="s">
        <v>2061</v>
      </c>
      <c r="O700" s="53" t="s">
        <v>8</v>
      </c>
      <c r="P700" s="56" t="s">
        <v>2070</v>
      </c>
      <c r="Q700" s="57">
        <v>10000</v>
      </c>
      <c r="R700" s="58" t="s">
        <v>8</v>
      </c>
      <c r="S700" s="57" t="s">
        <v>8</v>
      </c>
      <c r="T700" s="56" t="s">
        <v>8</v>
      </c>
    </row>
    <row r="701" spans="1:20">
      <c r="A701" s="55">
        <v>126606760284</v>
      </c>
      <c r="B701" s="53" t="s">
        <v>2055</v>
      </c>
      <c r="C701" s="54">
        <v>45918</v>
      </c>
      <c r="D701" s="55">
        <v>50408214771</v>
      </c>
      <c r="E701" s="55">
        <v>2072995375414</v>
      </c>
      <c r="F701" s="56" t="s">
        <v>2066</v>
      </c>
      <c r="G701" s="56" t="s">
        <v>2057</v>
      </c>
      <c r="H701" s="56" t="s">
        <v>8</v>
      </c>
      <c r="I701" s="55" t="s">
        <v>8</v>
      </c>
      <c r="J701" s="57">
        <v>4139.76</v>
      </c>
      <c r="K701" s="56" t="s">
        <v>2058</v>
      </c>
      <c r="L701" s="56" t="s">
        <v>2067</v>
      </c>
      <c r="M701" s="55" t="s">
        <v>2060</v>
      </c>
      <c r="N701" s="56" t="s">
        <v>2061</v>
      </c>
      <c r="O701" s="53" t="s">
        <v>1790</v>
      </c>
      <c r="P701" s="56" t="s">
        <v>2068</v>
      </c>
      <c r="Q701" s="57">
        <v>54399</v>
      </c>
      <c r="R701" s="58" t="s">
        <v>8</v>
      </c>
      <c r="S701" s="57" t="s">
        <v>8</v>
      </c>
      <c r="T701" s="56" t="s">
        <v>2063</v>
      </c>
    </row>
    <row r="702" spans="1:20">
      <c r="A702" s="55">
        <v>126607039216</v>
      </c>
      <c r="B702" s="53" t="s">
        <v>2055</v>
      </c>
      <c r="C702" s="54">
        <v>45918</v>
      </c>
      <c r="D702" s="55">
        <v>50408406727</v>
      </c>
      <c r="E702" s="55">
        <v>2072999495908</v>
      </c>
      <c r="F702" s="56" t="s">
        <v>2056</v>
      </c>
      <c r="G702" s="56" t="s">
        <v>2057</v>
      </c>
      <c r="H702" s="56" t="s">
        <v>8</v>
      </c>
      <c r="I702" s="55" t="s">
        <v>8</v>
      </c>
      <c r="J702" s="57">
        <v>654.46</v>
      </c>
      <c r="K702" s="56" t="s">
        <v>2058</v>
      </c>
      <c r="L702" s="56" t="s">
        <v>2059</v>
      </c>
      <c r="M702" s="55" t="s">
        <v>2060</v>
      </c>
      <c r="N702" s="56" t="s">
        <v>2061</v>
      </c>
      <c r="O702" s="53" t="s">
        <v>8</v>
      </c>
      <c r="P702" s="56" t="s">
        <v>2382</v>
      </c>
      <c r="Q702" s="57">
        <v>8600</v>
      </c>
      <c r="R702" s="58" t="s">
        <v>8</v>
      </c>
      <c r="S702" s="57" t="s">
        <v>8</v>
      </c>
      <c r="T702" s="56" t="s">
        <v>2063</v>
      </c>
    </row>
    <row r="703" spans="1:20">
      <c r="A703" s="55">
        <v>126608518506</v>
      </c>
      <c r="B703" s="53" t="s">
        <v>2055</v>
      </c>
      <c r="C703" s="54">
        <v>45918</v>
      </c>
      <c r="D703" s="55">
        <v>50408946511</v>
      </c>
      <c r="E703" s="55">
        <v>2072965864023</v>
      </c>
      <c r="F703" s="56" t="s">
        <v>2066</v>
      </c>
      <c r="G703" s="56" t="s">
        <v>2057</v>
      </c>
      <c r="H703" s="56" t="s">
        <v>8</v>
      </c>
      <c r="I703" s="55" t="s">
        <v>8</v>
      </c>
      <c r="J703" s="57">
        <v>357.63</v>
      </c>
      <c r="K703" s="56" t="s">
        <v>2058</v>
      </c>
      <c r="L703" s="56" t="s">
        <v>2067</v>
      </c>
      <c r="M703" s="55" t="s">
        <v>2060</v>
      </c>
      <c r="N703" s="56" t="s">
        <v>2061</v>
      </c>
      <c r="O703" s="53" t="s">
        <v>1790</v>
      </c>
      <c r="P703" s="56" t="s">
        <v>2068</v>
      </c>
      <c r="Q703" s="57">
        <v>9100</v>
      </c>
      <c r="R703" s="58" t="s">
        <v>8</v>
      </c>
      <c r="S703" s="57" t="s">
        <v>8</v>
      </c>
      <c r="T703" s="56" t="s">
        <v>2063</v>
      </c>
    </row>
    <row r="704" spans="1:20">
      <c r="A704" s="55">
        <v>126053089055</v>
      </c>
      <c r="B704" s="53" t="s">
        <v>2055</v>
      </c>
      <c r="C704" s="54">
        <v>45918</v>
      </c>
      <c r="D704" s="55">
        <v>50408974603</v>
      </c>
      <c r="E704" s="55">
        <v>2073016308500</v>
      </c>
      <c r="F704" s="56" t="s">
        <v>2056</v>
      </c>
      <c r="G704" s="56" t="s">
        <v>2057</v>
      </c>
      <c r="H704" s="56" t="s">
        <v>8</v>
      </c>
      <c r="I704" s="55" t="s">
        <v>8</v>
      </c>
      <c r="J704" s="57">
        <v>495.66</v>
      </c>
      <c r="K704" s="56" t="s">
        <v>2058</v>
      </c>
      <c r="L704" s="56" t="s">
        <v>2059</v>
      </c>
      <c r="M704" s="55" t="s">
        <v>2060</v>
      </c>
      <c r="N704" s="56" t="s">
        <v>2061</v>
      </c>
      <c r="O704" s="53" t="s">
        <v>8</v>
      </c>
      <c r="P704" s="56" t="s">
        <v>2303</v>
      </c>
      <c r="Q704" s="57">
        <v>51099</v>
      </c>
      <c r="R704" s="58" t="s">
        <v>8</v>
      </c>
      <c r="S704" s="57" t="s">
        <v>8</v>
      </c>
      <c r="T704" s="56" t="s">
        <v>2063</v>
      </c>
    </row>
    <row r="705" spans="1:20">
      <c r="A705" s="55">
        <v>126608907260</v>
      </c>
      <c r="B705" s="53" t="s">
        <v>2055</v>
      </c>
      <c r="C705" s="54">
        <v>45918</v>
      </c>
      <c r="D705" s="55">
        <v>50409111894</v>
      </c>
      <c r="E705" s="55">
        <v>2072973790477</v>
      </c>
      <c r="F705" s="56" t="s">
        <v>2056</v>
      </c>
      <c r="G705" s="56" t="s">
        <v>2057</v>
      </c>
      <c r="H705" s="56" t="s">
        <v>8</v>
      </c>
      <c r="I705" s="55" t="s">
        <v>8</v>
      </c>
      <c r="J705" s="57">
        <v>426.79</v>
      </c>
      <c r="K705" s="56" t="s">
        <v>2058</v>
      </c>
      <c r="L705" s="56" t="s">
        <v>2059</v>
      </c>
      <c r="M705" s="55" t="s">
        <v>2060</v>
      </c>
      <c r="N705" s="56" t="s">
        <v>2061</v>
      </c>
      <c r="O705" s="53" t="s">
        <v>8</v>
      </c>
      <c r="P705" s="56" t="s">
        <v>2383</v>
      </c>
      <c r="Q705" s="57">
        <v>43999</v>
      </c>
      <c r="R705" s="58" t="s">
        <v>8</v>
      </c>
      <c r="S705" s="57" t="s">
        <v>8</v>
      </c>
      <c r="T705" s="56" t="s">
        <v>2063</v>
      </c>
    </row>
    <row r="706" spans="1:20">
      <c r="A706" s="55">
        <v>126054219383</v>
      </c>
      <c r="B706" s="53" t="s">
        <v>2055</v>
      </c>
      <c r="C706" s="54">
        <v>45918</v>
      </c>
      <c r="D706" s="55">
        <v>50409376580</v>
      </c>
      <c r="E706" s="55">
        <v>2073033104586</v>
      </c>
      <c r="F706" s="56" t="s">
        <v>2069</v>
      </c>
      <c r="G706" s="56" t="s">
        <v>2057</v>
      </c>
      <c r="H706" s="56" t="s">
        <v>8</v>
      </c>
      <c r="I706" s="55" t="s">
        <v>8</v>
      </c>
      <c r="J706" s="57">
        <v>245.4</v>
      </c>
      <c r="K706" s="56" t="s">
        <v>2058</v>
      </c>
      <c r="L706" s="56" t="s">
        <v>2059</v>
      </c>
      <c r="M706" s="55" t="s">
        <v>2060</v>
      </c>
      <c r="N706" s="56" t="s">
        <v>2061</v>
      </c>
      <c r="O706" s="53" t="s">
        <v>8</v>
      </c>
      <c r="P706" s="56" t="s">
        <v>2070</v>
      </c>
      <c r="Q706" s="57">
        <v>25299</v>
      </c>
      <c r="R706" s="58" t="s">
        <v>8</v>
      </c>
      <c r="S706" s="57" t="s">
        <v>8</v>
      </c>
      <c r="T706" s="56" t="s">
        <v>8</v>
      </c>
    </row>
    <row r="707" spans="1:20">
      <c r="A707" s="55">
        <v>126157000377</v>
      </c>
      <c r="B707" s="53" t="s">
        <v>2055</v>
      </c>
      <c r="C707" s="54">
        <v>45918</v>
      </c>
      <c r="D707" s="55">
        <v>50444145317</v>
      </c>
      <c r="E707" s="55">
        <v>2073698210615</v>
      </c>
      <c r="F707" s="56" t="s">
        <v>2107</v>
      </c>
      <c r="G707" s="56" t="s">
        <v>2057</v>
      </c>
      <c r="H707" s="56" t="s">
        <v>8</v>
      </c>
      <c r="I707" s="55" t="s">
        <v>8</v>
      </c>
      <c r="J707" s="57">
        <v>684.9</v>
      </c>
      <c r="K707" s="56" t="s">
        <v>2058</v>
      </c>
      <c r="L707" s="56" t="s">
        <v>2059</v>
      </c>
      <c r="M707" s="55" t="s">
        <v>2060</v>
      </c>
      <c r="N707" s="56" t="s">
        <v>2061</v>
      </c>
      <c r="O707" s="53" t="s">
        <v>8</v>
      </c>
      <c r="P707" s="56" t="s">
        <v>2108</v>
      </c>
      <c r="Q707" s="57">
        <v>9000</v>
      </c>
      <c r="R707" s="58" t="s">
        <v>8</v>
      </c>
      <c r="S707" s="57" t="s">
        <v>8</v>
      </c>
      <c r="T707" s="56" t="s">
        <v>2063</v>
      </c>
    </row>
    <row r="708" spans="1:20">
      <c r="A708" s="55">
        <v>126159013621</v>
      </c>
      <c r="B708" s="53" t="s">
        <v>2055</v>
      </c>
      <c r="C708" s="54">
        <v>45918</v>
      </c>
      <c r="D708" s="55">
        <v>50444828785</v>
      </c>
      <c r="E708" s="55">
        <v>2073760491698</v>
      </c>
      <c r="F708" s="56" t="s">
        <v>2069</v>
      </c>
      <c r="G708" s="56" t="s">
        <v>2057</v>
      </c>
      <c r="H708" s="56" t="s">
        <v>8</v>
      </c>
      <c r="I708" s="55" t="s">
        <v>8</v>
      </c>
      <c r="J708" s="57">
        <v>41.71</v>
      </c>
      <c r="K708" s="56" t="s">
        <v>2058</v>
      </c>
      <c r="L708" s="56" t="s">
        <v>2059</v>
      </c>
      <c r="M708" s="55" t="s">
        <v>2060</v>
      </c>
      <c r="N708" s="56" t="s">
        <v>2061</v>
      </c>
      <c r="O708" s="53" t="s">
        <v>8</v>
      </c>
      <c r="P708" s="56" t="s">
        <v>2070</v>
      </c>
      <c r="Q708" s="57">
        <v>4300</v>
      </c>
      <c r="R708" s="58" t="s">
        <v>8</v>
      </c>
      <c r="S708" s="57" t="s">
        <v>8</v>
      </c>
      <c r="T708" s="56" t="s">
        <v>8</v>
      </c>
    </row>
    <row r="709" spans="1:20">
      <c r="A709" s="55">
        <v>126715334666</v>
      </c>
      <c r="B709" s="53" t="s">
        <v>2055</v>
      </c>
      <c r="C709" s="54">
        <v>45918</v>
      </c>
      <c r="D709" s="55">
        <v>50444907926</v>
      </c>
      <c r="E709" s="55">
        <v>2073761710760</v>
      </c>
      <c r="F709" s="56" t="s">
        <v>2056</v>
      </c>
      <c r="G709" s="56" t="s">
        <v>2057</v>
      </c>
      <c r="H709" s="56" t="s">
        <v>8</v>
      </c>
      <c r="I709" s="55" t="s">
        <v>8</v>
      </c>
      <c r="J709" s="57">
        <v>250.26</v>
      </c>
      <c r="K709" s="56" t="s">
        <v>2058</v>
      </c>
      <c r="L709" s="56" t="s">
        <v>2059</v>
      </c>
      <c r="M709" s="55" t="s">
        <v>2060</v>
      </c>
      <c r="N709" s="56" t="s">
        <v>2061</v>
      </c>
      <c r="O709" s="53" t="s">
        <v>8</v>
      </c>
      <c r="P709" s="56" t="s">
        <v>2384</v>
      </c>
      <c r="Q709" s="57">
        <v>25800</v>
      </c>
      <c r="R709" s="58" t="s">
        <v>8</v>
      </c>
      <c r="S709" s="57" t="s">
        <v>8</v>
      </c>
      <c r="T709" s="56" t="s">
        <v>2063</v>
      </c>
    </row>
    <row r="710" spans="1:20">
      <c r="A710" s="55">
        <v>126717656802</v>
      </c>
      <c r="B710" s="53" t="s">
        <v>2055</v>
      </c>
      <c r="C710" s="54">
        <v>45918</v>
      </c>
      <c r="D710" s="55">
        <v>50445707161</v>
      </c>
      <c r="E710" s="55">
        <v>2073725845569</v>
      </c>
      <c r="F710" s="56" t="s">
        <v>2069</v>
      </c>
      <c r="G710" s="56" t="s">
        <v>2057</v>
      </c>
      <c r="H710" s="56" t="s">
        <v>8</v>
      </c>
      <c r="I710" s="55" t="s">
        <v>8</v>
      </c>
      <c r="J710" s="57">
        <v>41.71</v>
      </c>
      <c r="K710" s="56" t="s">
        <v>2058</v>
      </c>
      <c r="L710" s="56" t="s">
        <v>2059</v>
      </c>
      <c r="M710" s="55" t="s">
        <v>2060</v>
      </c>
      <c r="N710" s="56" t="s">
        <v>2061</v>
      </c>
      <c r="O710" s="53" t="s">
        <v>8</v>
      </c>
      <c r="P710" s="56" t="s">
        <v>2070</v>
      </c>
      <c r="Q710" s="57">
        <v>4300</v>
      </c>
      <c r="R710" s="58" t="s">
        <v>8</v>
      </c>
      <c r="S710" s="57" t="s">
        <v>8</v>
      </c>
      <c r="T710" s="56" t="s">
        <v>8</v>
      </c>
    </row>
    <row r="711" spans="1:20">
      <c r="A711" s="55">
        <v>126163201675</v>
      </c>
      <c r="B711" s="53" t="s">
        <v>2055</v>
      </c>
      <c r="C711" s="54">
        <v>45918</v>
      </c>
      <c r="D711" s="55">
        <v>50446330017</v>
      </c>
      <c r="E711" s="55">
        <v>2073788490846</v>
      </c>
      <c r="F711" s="56" t="s">
        <v>2056</v>
      </c>
      <c r="G711" s="56" t="s">
        <v>2057</v>
      </c>
      <c r="H711" s="56" t="s">
        <v>8</v>
      </c>
      <c r="I711" s="55" t="s">
        <v>8</v>
      </c>
      <c r="J711" s="57">
        <v>83.42</v>
      </c>
      <c r="K711" s="56" t="s">
        <v>2058</v>
      </c>
      <c r="L711" s="56" t="s">
        <v>2059</v>
      </c>
      <c r="M711" s="55" t="s">
        <v>2060</v>
      </c>
      <c r="N711" s="56" t="s">
        <v>2061</v>
      </c>
      <c r="O711" s="53" t="s">
        <v>8</v>
      </c>
      <c r="P711" s="56" t="s">
        <v>2385</v>
      </c>
      <c r="Q711" s="57">
        <v>8600</v>
      </c>
      <c r="R711" s="58" t="s">
        <v>8</v>
      </c>
      <c r="S711" s="57" t="s">
        <v>8</v>
      </c>
      <c r="T711" s="56" t="s">
        <v>2063</v>
      </c>
    </row>
    <row r="712" spans="1:20">
      <c r="A712" s="55">
        <v>126163696217</v>
      </c>
      <c r="B712" s="53" t="s">
        <v>2055</v>
      </c>
      <c r="C712" s="54">
        <v>45918</v>
      </c>
      <c r="D712" s="55">
        <v>50446474359</v>
      </c>
      <c r="E712" s="55">
        <v>2073790900806</v>
      </c>
      <c r="F712" s="56" t="s">
        <v>2066</v>
      </c>
      <c r="G712" s="56" t="s">
        <v>2057</v>
      </c>
      <c r="H712" s="56" t="s">
        <v>8</v>
      </c>
      <c r="I712" s="55" t="s">
        <v>8</v>
      </c>
      <c r="J712" s="57">
        <v>1841.62</v>
      </c>
      <c r="K712" s="56" t="s">
        <v>2058</v>
      </c>
      <c r="L712" s="56" t="s">
        <v>2067</v>
      </c>
      <c r="M712" s="55" t="s">
        <v>2060</v>
      </c>
      <c r="N712" s="56" t="s">
        <v>2061</v>
      </c>
      <c r="O712" s="53" t="s">
        <v>1790</v>
      </c>
      <c r="P712" s="56" t="s">
        <v>2068</v>
      </c>
      <c r="Q712" s="57">
        <v>24200</v>
      </c>
      <c r="R712" s="58" t="s">
        <v>8</v>
      </c>
      <c r="S712" s="57" t="s">
        <v>8</v>
      </c>
      <c r="T712" s="56" t="s">
        <v>2063</v>
      </c>
    </row>
    <row r="713" spans="1:20">
      <c r="A713" s="55">
        <v>126720176148</v>
      </c>
      <c r="B713" s="53" t="s">
        <v>2055</v>
      </c>
      <c r="C713" s="54">
        <v>45918</v>
      </c>
      <c r="D713" s="55">
        <v>50446514656</v>
      </c>
      <c r="E713" s="55">
        <v>2073741472215</v>
      </c>
      <c r="F713" s="56" t="s">
        <v>2066</v>
      </c>
      <c r="G713" s="56" t="s">
        <v>2057</v>
      </c>
      <c r="H713" s="56" t="s">
        <v>8</v>
      </c>
      <c r="I713" s="55" t="s">
        <v>8</v>
      </c>
      <c r="J713" s="57">
        <v>4071.35</v>
      </c>
      <c r="K713" s="56" t="s">
        <v>2058</v>
      </c>
      <c r="L713" s="56" t="s">
        <v>2067</v>
      </c>
      <c r="M713" s="55" t="s">
        <v>2060</v>
      </c>
      <c r="N713" s="56" t="s">
        <v>2061</v>
      </c>
      <c r="O713" s="53" t="s">
        <v>1790</v>
      </c>
      <c r="P713" s="56" t="s">
        <v>2068</v>
      </c>
      <c r="Q713" s="57">
        <v>53500</v>
      </c>
      <c r="R713" s="58" t="s">
        <v>8</v>
      </c>
      <c r="S713" s="57" t="s">
        <v>8</v>
      </c>
      <c r="T713" s="56" t="s">
        <v>2063</v>
      </c>
    </row>
    <row r="714" spans="1:20">
      <c r="A714" s="55">
        <v>126720731270</v>
      </c>
      <c r="B714" s="53" t="s">
        <v>2055</v>
      </c>
      <c r="C714" s="54">
        <v>45918</v>
      </c>
      <c r="D714" s="55">
        <v>50446758699</v>
      </c>
      <c r="E714" s="55">
        <v>2073796889568</v>
      </c>
      <c r="F714" s="56" t="s">
        <v>2056</v>
      </c>
      <c r="G714" s="56" t="s">
        <v>2057</v>
      </c>
      <c r="H714" s="56" t="s">
        <v>8</v>
      </c>
      <c r="I714" s="55" t="s">
        <v>8</v>
      </c>
      <c r="J714" s="57">
        <v>41.71</v>
      </c>
      <c r="K714" s="56" t="s">
        <v>2058</v>
      </c>
      <c r="L714" s="56" t="s">
        <v>2059</v>
      </c>
      <c r="M714" s="55" t="s">
        <v>2060</v>
      </c>
      <c r="N714" s="56" t="s">
        <v>2061</v>
      </c>
      <c r="O714" s="53" t="s">
        <v>8</v>
      </c>
      <c r="P714" s="56" t="s">
        <v>2386</v>
      </c>
      <c r="Q714" s="57">
        <v>4300</v>
      </c>
      <c r="R714" s="58" t="s">
        <v>8</v>
      </c>
      <c r="S714" s="57" t="s">
        <v>8</v>
      </c>
      <c r="T714" s="56" t="s">
        <v>2063</v>
      </c>
    </row>
    <row r="715" spans="1:20">
      <c r="A715" s="55">
        <v>126165274867</v>
      </c>
      <c r="B715" s="53" t="s">
        <v>2055</v>
      </c>
      <c r="C715" s="54">
        <v>45918</v>
      </c>
      <c r="D715" s="55">
        <v>50447029736</v>
      </c>
      <c r="E715" s="55">
        <v>2073802190234</v>
      </c>
      <c r="F715" s="56" t="s">
        <v>2066</v>
      </c>
      <c r="G715" s="56" t="s">
        <v>2057</v>
      </c>
      <c r="H715" s="56" t="s">
        <v>8</v>
      </c>
      <c r="I715" s="55" t="s">
        <v>8</v>
      </c>
      <c r="J715" s="57">
        <v>168.99</v>
      </c>
      <c r="K715" s="56" t="s">
        <v>2058</v>
      </c>
      <c r="L715" s="56" t="s">
        <v>2067</v>
      </c>
      <c r="M715" s="55" t="s">
        <v>2060</v>
      </c>
      <c r="N715" s="56" t="s">
        <v>2061</v>
      </c>
      <c r="O715" s="53" t="s">
        <v>1790</v>
      </c>
      <c r="P715" s="56" t="s">
        <v>2068</v>
      </c>
      <c r="Q715" s="57">
        <v>4300</v>
      </c>
      <c r="R715" s="58" t="s">
        <v>8</v>
      </c>
      <c r="S715" s="57" t="s">
        <v>8</v>
      </c>
      <c r="T715" s="56" t="s">
        <v>2063</v>
      </c>
    </row>
    <row r="716" spans="1:20">
      <c r="A716" s="55">
        <v>126723007268</v>
      </c>
      <c r="B716" s="53" t="s">
        <v>2055</v>
      </c>
      <c r="C716" s="54">
        <v>45918</v>
      </c>
      <c r="D716" s="55">
        <v>50447566059</v>
      </c>
      <c r="E716" s="55">
        <v>2073812766142</v>
      </c>
      <c r="F716" s="56" t="s">
        <v>2107</v>
      </c>
      <c r="G716" s="56" t="s">
        <v>2057</v>
      </c>
      <c r="H716" s="56" t="s">
        <v>8</v>
      </c>
      <c r="I716" s="55" t="s">
        <v>8</v>
      </c>
      <c r="J716" s="57">
        <v>601.19000000000005</v>
      </c>
      <c r="K716" s="56" t="s">
        <v>2058</v>
      </c>
      <c r="L716" s="56" t="s">
        <v>2059</v>
      </c>
      <c r="M716" s="55" t="s">
        <v>2060</v>
      </c>
      <c r="N716" s="56" t="s">
        <v>2061</v>
      </c>
      <c r="O716" s="53" t="s">
        <v>8</v>
      </c>
      <c r="P716" s="56" t="s">
        <v>2108</v>
      </c>
      <c r="Q716" s="57">
        <v>7900</v>
      </c>
      <c r="R716" s="58" t="s">
        <v>8</v>
      </c>
      <c r="S716" s="57" t="s">
        <v>8</v>
      </c>
      <c r="T716" s="56" t="s">
        <v>2063</v>
      </c>
    </row>
    <row r="717" spans="1:20">
      <c r="A717" s="55">
        <v>126723539042</v>
      </c>
      <c r="B717" s="53" t="s">
        <v>2055</v>
      </c>
      <c r="C717" s="54">
        <v>45918</v>
      </c>
      <c r="D717" s="55">
        <v>50447708467</v>
      </c>
      <c r="E717" s="55">
        <v>2073765646387</v>
      </c>
      <c r="F717" s="56" t="s">
        <v>2066</v>
      </c>
      <c r="G717" s="56" t="s">
        <v>2057</v>
      </c>
      <c r="H717" s="56" t="s">
        <v>8</v>
      </c>
      <c r="I717" s="55" t="s">
        <v>8</v>
      </c>
      <c r="J717" s="57">
        <v>168.99</v>
      </c>
      <c r="K717" s="56" t="s">
        <v>2058</v>
      </c>
      <c r="L717" s="56" t="s">
        <v>2067</v>
      </c>
      <c r="M717" s="55" t="s">
        <v>2060</v>
      </c>
      <c r="N717" s="56" t="s">
        <v>2061</v>
      </c>
      <c r="O717" s="53" t="s">
        <v>1790</v>
      </c>
      <c r="P717" s="56" t="s">
        <v>2068</v>
      </c>
      <c r="Q717" s="57">
        <v>4300</v>
      </c>
      <c r="R717" s="58" t="s">
        <v>8</v>
      </c>
      <c r="S717" s="57" t="s">
        <v>8</v>
      </c>
      <c r="T717" s="56" t="s">
        <v>2063</v>
      </c>
    </row>
    <row r="718" spans="1:20">
      <c r="A718" s="55">
        <v>126723765408</v>
      </c>
      <c r="B718" s="53" t="s">
        <v>2055</v>
      </c>
      <c r="C718" s="54">
        <v>45918</v>
      </c>
      <c r="D718" s="55">
        <v>50447791420</v>
      </c>
      <c r="E718" s="55">
        <v>2073817887572</v>
      </c>
      <c r="F718" s="56" t="s">
        <v>2069</v>
      </c>
      <c r="G718" s="56" t="s">
        <v>2057</v>
      </c>
      <c r="H718" s="56" t="s">
        <v>8</v>
      </c>
      <c r="I718" s="55" t="s">
        <v>8</v>
      </c>
      <c r="J718" s="57">
        <v>41.71</v>
      </c>
      <c r="K718" s="56" t="s">
        <v>2058</v>
      </c>
      <c r="L718" s="56" t="s">
        <v>2059</v>
      </c>
      <c r="M718" s="55" t="s">
        <v>2060</v>
      </c>
      <c r="N718" s="56" t="s">
        <v>2061</v>
      </c>
      <c r="O718" s="53" t="s">
        <v>8</v>
      </c>
      <c r="P718" s="56" t="s">
        <v>2070</v>
      </c>
      <c r="Q718" s="57">
        <v>4300</v>
      </c>
      <c r="R718" s="58" t="s">
        <v>8</v>
      </c>
      <c r="S718" s="57" t="s">
        <v>8</v>
      </c>
      <c r="T718" s="56" t="s">
        <v>8</v>
      </c>
    </row>
    <row r="719" spans="1:20">
      <c r="A719" s="55">
        <v>126724104590</v>
      </c>
      <c r="B719" s="53" t="s">
        <v>2055</v>
      </c>
      <c r="C719" s="54">
        <v>45918</v>
      </c>
      <c r="D719" s="55">
        <v>50447890784</v>
      </c>
      <c r="E719" s="55">
        <v>2073820225390</v>
      </c>
      <c r="F719" s="56" t="s">
        <v>2066</v>
      </c>
      <c r="G719" s="56" t="s">
        <v>2057</v>
      </c>
      <c r="H719" s="56" t="s">
        <v>8</v>
      </c>
      <c r="I719" s="55" t="s">
        <v>8</v>
      </c>
      <c r="J719" s="57">
        <v>373.35</v>
      </c>
      <c r="K719" s="56" t="s">
        <v>2058</v>
      </c>
      <c r="L719" s="56" t="s">
        <v>2067</v>
      </c>
      <c r="M719" s="55" t="s">
        <v>2060</v>
      </c>
      <c r="N719" s="56" t="s">
        <v>2061</v>
      </c>
      <c r="O719" s="53" t="s">
        <v>1790</v>
      </c>
      <c r="P719" s="56" t="s">
        <v>2068</v>
      </c>
      <c r="Q719" s="57">
        <v>9500</v>
      </c>
      <c r="R719" s="58" t="s">
        <v>8</v>
      </c>
      <c r="S719" s="57" t="s">
        <v>8</v>
      </c>
      <c r="T719" s="56" t="s">
        <v>2063</v>
      </c>
    </row>
    <row r="720" spans="1:20">
      <c r="A720" s="55">
        <v>126724308446</v>
      </c>
      <c r="B720" s="53" t="s">
        <v>2055</v>
      </c>
      <c r="C720" s="54">
        <v>45918</v>
      </c>
      <c r="D720" s="55">
        <v>50448002398</v>
      </c>
      <c r="E720" s="55">
        <v>2073822546840</v>
      </c>
      <c r="F720" s="56" t="s">
        <v>2056</v>
      </c>
      <c r="G720" s="56" t="s">
        <v>2057</v>
      </c>
      <c r="H720" s="56" t="s">
        <v>8</v>
      </c>
      <c r="I720" s="55" t="s">
        <v>8</v>
      </c>
      <c r="J720" s="57">
        <v>41.71</v>
      </c>
      <c r="K720" s="56" t="s">
        <v>2058</v>
      </c>
      <c r="L720" s="56" t="s">
        <v>2059</v>
      </c>
      <c r="M720" s="55" t="s">
        <v>2060</v>
      </c>
      <c r="N720" s="56" t="s">
        <v>2061</v>
      </c>
      <c r="O720" s="53" t="s">
        <v>8</v>
      </c>
      <c r="P720" s="56" t="s">
        <v>2387</v>
      </c>
      <c r="Q720" s="57">
        <v>4300</v>
      </c>
      <c r="R720" s="58" t="s">
        <v>8</v>
      </c>
      <c r="S720" s="57" t="s">
        <v>8</v>
      </c>
      <c r="T720" s="56" t="s">
        <v>2063</v>
      </c>
    </row>
    <row r="721" spans="1:20">
      <c r="A721" s="55">
        <v>126724304832</v>
      </c>
      <c r="B721" s="53" t="s">
        <v>2055</v>
      </c>
      <c r="C721" s="54">
        <v>45918</v>
      </c>
      <c r="D721" s="55">
        <v>50448035415</v>
      </c>
      <c r="E721" s="55">
        <v>2073772224301</v>
      </c>
      <c r="F721" s="56" t="s">
        <v>2056</v>
      </c>
      <c r="G721" s="56" t="s">
        <v>2057</v>
      </c>
      <c r="H721" s="56" t="s">
        <v>8</v>
      </c>
      <c r="I721" s="55" t="s">
        <v>8</v>
      </c>
      <c r="J721" s="57">
        <v>37.83</v>
      </c>
      <c r="K721" s="56" t="s">
        <v>2058</v>
      </c>
      <c r="L721" s="56" t="s">
        <v>2059</v>
      </c>
      <c r="M721" s="55" t="s">
        <v>2060</v>
      </c>
      <c r="N721" s="56" t="s">
        <v>2061</v>
      </c>
      <c r="O721" s="53" t="s">
        <v>8</v>
      </c>
      <c r="P721" s="56" t="s">
        <v>2388</v>
      </c>
      <c r="Q721" s="57">
        <v>3900</v>
      </c>
      <c r="R721" s="58" t="s">
        <v>8</v>
      </c>
      <c r="S721" s="57" t="s">
        <v>8</v>
      </c>
      <c r="T721" s="56" t="s">
        <v>2063</v>
      </c>
    </row>
    <row r="722" spans="1:20">
      <c r="A722" s="55">
        <v>126169270677</v>
      </c>
      <c r="B722" s="53" t="s">
        <v>2055</v>
      </c>
      <c r="C722" s="54">
        <v>45918</v>
      </c>
      <c r="D722" s="55">
        <v>50448386603</v>
      </c>
      <c r="E722" s="55">
        <v>2073779500489</v>
      </c>
      <c r="F722" s="56" t="s">
        <v>2069</v>
      </c>
      <c r="G722" s="56" t="s">
        <v>2057</v>
      </c>
      <c r="H722" s="56" t="s">
        <v>8</v>
      </c>
      <c r="I722" s="55" t="s">
        <v>8</v>
      </c>
      <c r="J722" s="57">
        <v>55.29</v>
      </c>
      <c r="K722" s="56" t="s">
        <v>2058</v>
      </c>
      <c r="L722" s="56" t="s">
        <v>2059</v>
      </c>
      <c r="M722" s="55" t="s">
        <v>2060</v>
      </c>
      <c r="N722" s="56" t="s">
        <v>2061</v>
      </c>
      <c r="O722" s="53" t="s">
        <v>8</v>
      </c>
      <c r="P722" s="56" t="s">
        <v>2070</v>
      </c>
      <c r="Q722" s="57">
        <v>5700</v>
      </c>
      <c r="R722" s="58" t="s">
        <v>8</v>
      </c>
      <c r="S722" s="57" t="s">
        <v>8</v>
      </c>
      <c r="T722" s="56" t="s">
        <v>8</v>
      </c>
    </row>
    <row r="723" spans="1:20">
      <c r="A723" s="55">
        <v>126725418364</v>
      </c>
      <c r="B723" s="53" t="s">
        <v>2055</v>
      </c>
      <c r="C723" s="54">
        <v>45918</v>
      </c>
      <c r="D723" s="55">
        <v>50448445751</v>
      </c>
      <c r="E723" s="55">
        <v>2073831154156</v>
      </c>
      <c r="F723" s="56" t="s">
        <v>2069</v>
      </c>
      <c r="G723" s="56" t="s">
        <v>2057</v>
      </c>
      <c r="H723" s="56" t="s">
        <v>8</v>
      </c>
      <c r="I723" s="55" t="s">
        <v>8</v>
      </c>
      <c r="J723" s="57">
        <v>33.950000000000003</v>
      </c>
      <c r="K723" s="56" t="s">
        <v>2058</v>
      </c>
      <c r="L723" s="56" t="s">
        <v>2059</v>
      </c>
      <c r="M723" s="55" t="s">
        <v>2060</v>
      </c>
      <c r="N723" s="56" t="s">
        <v>2061</v>
      </c>
      <c r="O723" s="53" t="s">
        <v>8</v>
      </c>
      <c r="P723" s="56" t="s">
        <v>2070</v>
      </c>
      <c r="Q723" s="57">
        <v>3500</v>
      </c>
      <c r="R723" s="58" t="s">
        <v>8</v>
      </c>
      <c r="S723" s="57" t="s">
        <v>8</v>
      </c>
      <c r="T723" s="56" t="s">
        <v>8</v>
      </c>
    </row>
    <row r="724" spans="1:20">
      <c r="A724" s="55">
        <v>126725608370</v>
      </c>
      <c r="B724" s="53" t="s">
        <v>2055</v>
      </c>
      <c r="C724" s="54">
        <v>45918</v>
      </c>
      <c r="D724" s="55">
        <v>50448471181</v>
      </c>
      <c r="E724" s="55">
        <v>2073831748260</v>
      </c>
      <c r="F724" s="56" t="s">
        <v>2056</v>
      </c>
      <c r="G724" s="56" t="s">
        <v>2057</v>
      </c>
      <c r="H724" s="56" t="s">
        <v>8</v>
      </c>
      <c r="I724" s="55" t="s">
        <v>8</v>
      </c>
      <c r="J724" s="57">
        <v>33.950000000000003</v>
      </c>
      <c r="K724" s="56" t="s">
        <v>2058</v>
      </c>
      <c r="L724" s="56" t="s">
        <v>2059</v>
      </c>
      <c r="M724" s="55" t="s">
        <v>2060</v>
      </c>
      <c r="N724" s="56" t="s">
        <v>2061</v>
      </c>
      <c r="O724" s="53" t="s">
        <v>8</v>
      </c>
      <c r="P724" s="56" t="s">
        <v>2389</v>
      </c>
      <c r="Q724" s="57">
        <v>3500</v>
      </c>
      <c r="R724" s="58" t="s">
        <v>8</v>
      </c>
      <c r="S724" s="57" t="s">
        <v>8</v>
      </c>
      <c r="T724" s="56" t="s">
        <v>2063</v>
      </c>
    </row>
    <row r="725" spans="1:20">
      <c r="A725" s="55">
        <v>126170159241</v>
      </c>
      <c r="B725" s="53" t="s">
        <v>2055</v>
      </c>
      <c r="C725" s="54">
        <v>45918</v>
      </c>
      <c r="D725" s="55">
        <v>50448810213</v>
      </c>
      <c r="E725" s="55">
        <v>2073838808750</v>
      </c>
      <c r="F725" s="56" t="s">
        <v>2066</v>
      </c>
      <c r="G725" s="56" t="s">
        <v>2057</v>
      </c>
      <c r="H725" s="56" t="s">
        <v>8</v>
      </c>
      <c r="I725" s="55" t="s">
        <v>8</v>
      </c>
      <c r="J725" s="57">
        <v>1540.56</v>
      </c>
      <c r="K725" s="56" t="s">
        <v>2058</v>
      </c>
      <c r="L725" s="56" t="s">
        <v>2067</v>
      </c>
      <c r="M725" s="55" t="s">
        <v>2060</v>
      </c>
      <c r="N725" s="56" t="s">
        <v>2061</v>
      </c>
      <c r="O725" s="53" t="s">
        <v>1790</v>
      </c>
      <c r="P725" s="56" t="s">
        <v>2068</v>
      </c>
      <c r="Q725" s="57">
        <v>39200</v>
      </c>
      <c r="R725" s="58" t="s">
        <v>8</v>
      </c>
      <c r="S725" s="57" t="s">
        <v>8</v>
      </c>
      <c r="T725" s="56" t="s">
        <v>2063</v>
      </c>
    </row>
    <row r="726" spans="1:20">
      <c r="A726" s="55">
        <v>126171003423</v>
      </c>
      <c r="B726" s="53" t="s">
        <v>2055</v>
      </c>
      <c r="C726" s="54">
        <v>45918</v>
      </c>
      <c r="D726" s="55">
        <v>50449151061</v>
      </c>
      <c r="E726" s="55">
        <v>2073845612586</v>
      </c>
      <c r="F726" s="56" t="s">
        <v>2056</v>
      </c>
      <c r="G726" s="56" t="s">
        <v>2057</v>
      </c>
      <c r="H726" s="56" t="s">
        <v>8</v>
      </c>
      <c r="I726" s="55" t="s">
        <v>8</v>
      </c>
      <c r="J726" s="57">
        <v>33.950000000000003</v>
      </c>
      <c r="K726" s="56" t="s">
        <v>2058</v>
      </c>
      <c r="L726" s="56" t="s">
        <v>2059</v>
      </c>
      <c r="M726" s="55" t="s">
        <v>2060</v>
      </c>
      <c r="N726" s="56" t="s">
        <v>2061</v>
      </c>
      <c r="O726" s="53" t="s">
        <v>8</v>
      </c>
      <c r="P726" s="56" t="s">
        <v>2390</v>
      </c>
      <c r="Q726" s="57">
        <v>3500</v>
      </c>
      <c r="R726" s="58" t="s">
        <v>8</v>
      </c>
      <c r="S726" s="57" t="s">
        <v>8</v>
      </c>
      <c r="T726" s="56" t="s">
        <v>2063</v>
      </c>
    </row>
    <row r="727" spans="1:20">
      <c r="A727" s="55">
        <v>126171264709</v>
      </c>
      <c r="B727" s="53" t="s">
        <v>2055</v>
      </c>
      <c r="C727" s="54">
        <v>45918</v>
      </c>
      <c r="D727" s="55">
        <v>50449201972</v>
      </c>
      <c r="E727" s="55">
        <v>2073795825451</v>
      </c>
      <c r="F727" s="56" t="s">
        <v>2056</v>
      </c>
      <c r="G727" s="56" t="s">
        <v>2057</v>
      </c>
      <c r="H727" s="56" t="s">
        <v>8</v>
      </c>
      <c r="I727" s="55" t="s">
        <v>8</v>
      </c>
      <c r="J727" s="57">
        <v>41.71</v>
      </c>
      <c r="K727" s="56" t="s">
        <v>2058</v>
      </c>
      <c r="L727" s="56" t="s">
        <v>2059</v>
      </c>
      <c r="M727" s="55" t="s">
        <v>2060</v>
      </c>
      <c r="N727" s="56" t="s">
        <v>2061</v>
      </c>
      <c r="O727" s="53" t="s">
        <v>8</v>
      </c>
      <c r="P727" s="56" t="s">
        <v>2391</v>
      </c>
      <c r="Q727" s="57">
        <v>4300</v>
      </c>
      <c r="R727" s="58" t="s">
        <v>8</v>
      </c>
      <c r="S727" s="57" t="s">
        <v>8</v>
      </c>
      <c r="T727" s="56" t="s">
        <v>2063</v>
      </c>
    </row>
    <row r="728" spans="1:20">
      <c r="A728" s="55">
        <v>126171958661</v>
      </c>
      <c r="B728" s="53" t="s">
        <v>2055</v>
      </c>
      <c r="C728" s="54">
        <v>45918</v>
      </c>
      <c r="D728" s="55">
        <v>50449449778</v>
      </c>
      <c r="E728" s="55">
        <v>2073850832878</v>
      </c>
      <c r="F728" s="56" t="s">
        <v>2056</v>
      </c>
      <c r="G728" s="56" t="s">
        <v>2057</v>
      </c>
      <c r="H728" s="56" t="s">
        <v>8</v>
      </c>
      <c r="I728" s="55" t="s">
        <v>8</v>
      </c>
      <c r="J728" s="57">
        <v>118.34</v>
      </c>
      <c r="K728" s="56" t="s">
        <v>2058</v>
      </c>
      <c r="L728" s="56" t="s">
        <v>2059</v>
      </c>
      <c r="M728" s="55" t="s">
        <v>2060</v>
      </c>
      <c r="N728" s="56" t="s">
        <v>2061</v>
      </c>
      <c r="O728" s="53" t="s">
        <v>8</v>
      </c>
      <c r="P728" s="56" t="s">
        <v>2392</v>
      </c>
      <c r="Q728" s="57">
        <v>12200</v>
      </c>
      <c r="R728" s="58" t="s">
        <v>8</v>
      </c>
      <c r="S728" s="57" t="s">
        <v>8</v>
      </c>
      <c r="T728" s="56" t="s">
        <v>2063</v>
      </c>
    </row>
    <row r="729" spans="1:20">
      <c r="A729" s="55">
        <v>126728336370</v>
      </c>
      <c r="B729" s="53" t="s">
        <v>2055</v>
      </c>
      <c r="C729" s="54">
        <v>45918</v>
      </c>
      <c r="D729" s="55">
        <v>50449565152</v>
      </c>
      <c r="E729" s="55">
        <v>2073853151224</v>
      </c>
      <c r="F729" s="56" t="s">
        <v>2066</v>
      </c>
      <c r="G729" s="56" t="s">
        <v>2057</v>
      </c>
      <c r="H729" s="56" t="s">
        <v>8</v>
      </c>
      <c r="I729" s="55" t="s">
        <v>8</v>
      </c>
      <c r="J729" s="57">
        <v>168.99</v>
      </c>
      <c r="K729" s="56" t="s">
        <v>2058</v>
      </c>
      <c r="L729" s="56" t="s">
        <v>2067</v>
      </c>
      <c r="M729" s="55" t="s">
        <v>2060</v>
      </c>
      <c r="N729" s="56" t="s">
        <v>2061</v>
      </c>
      <c r="O729" s="53" t="s">
        <v>1790</v>
      </c>
      <c r="P729" s="56" t="s">
        <v>2068</v>
      </c>
      <c r="Q729" s="57">
        <v>4300</v>
      </c>
      <c r="R729" s="58" t="s">
        <v>8</v>
      </c>
      <c r="S729" s="57" t="s">
        <v>8</v>
      </c>
      <c r="T729" s="56" t="s">
        <v>2063</v>
      </c>
    </row>
    <row r="730" spans="1:20">
      <c r="A730" s="55">
        <v>126172507849</v>
      </c>
      <c r="B730" s="53" t="s">
        <v>2055</v>
      </c>
      <c r="C730" s="54">
        <v>45918</v>
      </c>
      <c r="D730" s="55">
        <v>50449714691</v>
      </c>
      <c r="E730" s="55">
        <v>2073856424942</v>
      </c>
      <c r="F730" s="56" t="s">
        <v>2066</v>
      </c>
      <c r="G730" s="56" t="s">
        <v>2057</v>
      </c>
      <c r="H730" s="56" t="s">
        <v>8</v>
      </c>
      <c r="I730" s="55" t="s">
        <v>8</v>
      </c>
      <c r="J730" s="57">
        <v>358.66</v>
      </c>
      <c r="K730" s="56" t="s">
        <v>2058</v>
      </c>
      <c r="L730" s="56" t="s">
        <v>2067</v>
      </c>
      <c r="M730" s="55" t="s">
        <v>2060</v>
      </c>
      <c r="N730" s="56" t="s">
        <v>2061</v>
      </c>
      <c r="O730" s="53" t="s">
        <v>1790</v>
      </c>
      <c r="P730" s="56" t="s">
        <v>2068</v>
      </c>
      <c r="Q730" s="57">
        <v>7900</v>
      </c>
      <c r="R730" s="58" t="s">
        <v>8</v>
      </c>
      <c r="S730" s="57" t="s">
        <v>8</v>
      </c>
      <c r="T730" s="56" t="s">
        <v>2063</v>
      </c>
    </row>
    <row r="731" spans="1:20">
      <c r="A731" s="55">
        <v>126172609131</v>
      </c>
      <c r="B731" s="53" t="s">
        <v>2055</v>
      </c>
      <c r="C731" s="54">
        <v>45918</v>
      </c>
      <c r="D731" s="55">
        <v>50449714852</v>
      </c>
      <c r="E731" s="55">
        <v>2073805538985</v>
      </c>
      <c r="F731" s="56" t="s">
        <v>2066</v>
      </c>
      <c r="G731" s="56" t="s">
        <v>2057</v>
      </c>
      <c r="H731" s="56" t="s">
        <v>8</v>
      </c>
      <c r="I731" s="55" t="s">
        <v>8</v>
      </c>
      <c r="J731" s="57">
        <v>750.63</v>
      </c>
      <c r="K731" s="56" t="s">
        <v>2058</v>
      </c>
      <c r="L731" s="56" t="s">
        <v>2067</v>
      </c>
      <c r="M731" s="55" t="s">
        <v>2060</v>
      </c>
      <c r="N731" s="56" t="s">
        <v>2061</v>
      </c>
      <c r="O731" s="53" t="s">
        <v>1790</v>
      </c>
      <c r="P731" s="56" t="s">
        <v>2068</v>
      </c>
      <c r="Q731" s="57">
        <v>19100</v>
      </c>
      <c r="R731" s="58" t="s">
        <v>8</v>
      </c>
      <c r="S731" s="57" t="s">
        <v>8</v>
      </c>
      <c r="T731" s="56" t="s">
        <v>2063</v>
      </c>
    </row>
    <row r="732" spans="1:20">
      <c r="A732" s="55">
        <v>126728677538</v>
      </c>
      <c r="B732" s="53" t="s">
        <v>2055</v>
      </c>
      <c r="C732" s="54">
        <v>45918</v>
      </c>
      <c r="D732" s="55">
        <v>50449742746</v>
      </c>
      <c r="E732" s="55">
        <v>2073806675755</v>
      </c>
      <c r="F732" s="56" t="s">
        <v>2066</v>
      </c>
      <c r="G732" s="56" t="s">
        <v>2057</v>
      </c>
      <c r="H732" s="56" t="s">
        <v>8</v>
      </c>
      <c r="I732" s="55" t="s">
        <v>8</v>
      </c>
      <c r="J732" s="57">
        <v>168.99</v>
      </c>
      <c r="K732" s="56" t="s">
        <v>2058</v>
      </c>
      <c r="L732" s="56" t="s">
        <v>2067</v>
      </c>
      <c r="M732" s="55" t="s">
        <v>2060</v>
      </c>
      <c r="N732" s="56" t="s">
        <v>2061</v>
      </c>
      <c r="O732" s="53" t="s">
        <v>1790</v>
      </c>
      <c r="P732" s="56" t="s">
        <v>2068</v>
      </c>
      <c r="Q732" s="57">
        <v>4300</v>
      </c>
      <c r="R732" s="58" t="s">
        <v>8</v>
      </c>
      <c r="S732" s="57" t="s">
        <v>8</v>
      </c>
      <c r="T732" s="56" t="s">
        <v>2063</v>
      </c>
    </row>
    <row r="733" spans="1:20">
      <c r="A733" s="55">
        <v>126729380342</v>
      </c>
      <c r="B733" s="53" t="s">
        <v>2055</v>
      </c>
      <c r="C733" s="54">
        <v>45918</v>
      </c>
      <c r="D733" s="55">
        <v>50449901972</v>
      </c>
      <c r="E733" s="55">
        <v>2073860596936</v>
      </c>
      <c r="F733" s="56" t="s">
        <v>2056</v>
      </c>
      <c r="G733" s="56" t="s">
        <v>2057</v>
      </c>
      <c r="H733" s="56" t="s">
        <v>8</v>
      </c>
      <c r="I733" s="55" t="s">
        <v>8</v>
      </c>
      <c r="J733" s="57">
        <v>41.71</v>
      </c>
      <c r="K733" s="56" t="s">
        <v>2058</v>
      </c>
      <c r="L733" s="56" t="s">
        <v>2059</v>
      </c>
      <c r="M733" s="55" t="s">
        <v>2060</v>
      </c>
      <c r="N733" s="56" t="s">
        <v>2061</v>
      </c>
      <c r="O733" s="53" t="s">
        <v>8</v>
      </c>
      <c r="P733" s="56" t="s">
        <v>2393</v>
      </c>
      <c r="Q733" s="57">
        <v>4300</v>
      </c>
      <c r="R733" s="58" t="s">
        <v>8</v>
      </c>
      <c r="S733" s="57" t="s">
        <v>8</v>
      </c>
      <c r="T733" s="56" t="s">
        <v>2063</v>
      </c>
    </row>
    <row r="734" spans="1:20">
      <c r="A734" s="55">
        <v>126729257882</v>
      </c>
      <c r="B734" s="53" t="s">
        <v>2055</v>
      </c>
      <c r="C734" s="54">
        <v>45918</v>
      </c>
      <c r="D734" s="55">
        <v>50449951185</v>
      </c>
      <c r="E734" s="55">
        <v>2073861540808</v>
      </c>
      <c r="F734" s="56" t="s">
        <v>2056</v>
      </c>
      <c r="G734" s="56" t="s">
        <v>2057</v>
      </c>
      <c r="H734" s="56" t="s">
        <v>8</v>
      </c>
      <c r="I734" s="55" t="s">
        <v>8</v>
      </c>
      <c r="J734" s="57">
        <v>51.41</v>
      </c>
      <c r="K734" s="56" t="s">
        <v>2058</v>
      </c>
      <c r="L734" s="56" t="s">
        <v>2059</v>
      </c>
      <c r="M734" s="55" t="s">
        <v>2060</v>
      </c>
      <c r="N734" s="56" t="s">
        <v>2061</v>
      </c>
      <c r="O734" s="53" t="s">
        <v>8</v>
      </c>
      <c r="P734" s="56" t="s">
        <v>2394</v>
      </c>
      <c r="Q734" s="57">
        <v>5300</v>
      </c>
      <c r="R734" s="58" t="s">
        <v>8</v>
      </c>
      <c r="S734" s="57" t="s">
        <v>8</v>
      </c>
      <c r="T734" s="56" t="s">
        <v>2063</v>
      </c>
    </row>
    <row r="735" spans="1:20">
      <c r="A735" s="55">
        <v>126729595734</v>
      </c>
      <c r="B735" s="53" t="s">
        <v>2055</v>
      </c>
      <c r="C735" s="54">
        <v>45918</v>
      </c>
      <c r="D735" s="55">
        <v>50450056149</v>
      </c>
      <c r="E735" s="55">
        <v>2073863529896</v>
      </c>
      <c r="F735" s="56" t="s">
        <v>2066</v>
      </c>
      <c r="G735" s="56" t="s">
        <v>2057</v>
      </c>
      <c r="H735" s="56" t="s">
        <v>8</v>
      </c>
      <c r="I735" s="55" t="s">
        <v>8</v>
      </c>
      <c r="J735" s="57">
        <v>168.99</v>
      </c>
      <c r="K735" s="56" t="s">
        <v>2058</v>
      </c>
      <c r="L735" s="56" t="s">
        <v>2067</v>
      </c>
      <c r="M735" s="55" t="s">
        <v>2060</v>
      </c>
      <c r="N735" s="56" t="s">
        <v>2061</v>
      </c>
      <c r="O735" s="53" t="s">
        <v>1790</v>
      </c>
      <c r="P735" s="56" t="s">
        <v>2068</v>
      </c>
      <c r="Q735" s="57">
        <v>4300</v>
      </c>
      <c r="R735" s="58" t="s">
        <v>8</v>
      </c>
      <c r="S735" s="57" t="s">
        <v>8</v>
      </c>
      <c r="T735" s="56" t="s">
        <v>2063</v>
      </c>
    </row>
    <row r="736" spans="1:20">
      <c r="A736" s="55">
        <v>126729997528</v>
      </c>
      <c r="B736" s="53" t="s">
        <v>2055</v>
      </c>
      <c r="C736" s="54">
        <v>45918</v>
      </c>
      <c r="D736" s="55">
        <v>50450183829</v>
      </c>
      <c r="E736" s="55">
        <v>2073815779113</v>
      </c>
      <c r="F736" s="56" t="s">
        <v>2066</v>
      </c>
      <c r="G736" s="56" t="s">
        <v>2057</v>
      </c>
      <c r="H736" s="56" t="s">
        <v>8</v>
      </c>
      <c r="I736" s="55" t="s">
        <v>8</v>
      </c>
      <c r="J736" s="57">
        <v>195.22</v>
      </c>
      <c r="K736" s="56" t="s">
        <v>2058</v>
      </c>
      <c r="L736" s="56" t="s">
        <v>2067</v>
      </c>
      <c r="M736" s="55" t="s">
        <v>2060</v>
      </c>
      <c r="N736" s="56" t="s">
        <v>2061</v>
      </c>
      <c r="O736" s="53" t="s">
        <v>1790</v>
      </c>
      <c r="P736" s="56" t="s">
        <v>2068</v>
      </c>
      <c r="Q736" s="57">
        <v>4300</v>
      </c>
      <c r="R736" s="58" t="s">
        <v>8</v>
      </c>
      <c r="S736" s="57" t="s">
        <v>8</v>
      </c>
      <c r="T736" s="56" t="s">
        <v>2063</v>
      </c>
    </row>
    <row r="737" spans="1:20">
      <c r="A737" s="55">
        <v>126173864405</v>
      </c>
      <c r="B737" s="53" t="s">
        <v>2055</v>
      </c>
      <c r="C737" s="54">
        <v>45918</v>
      </c>
      <c r="D737" s="55">
        <v>50450236333</v>
      </c>
      <c r="E737" s="55">
        <v>2073816515451</v>
      </c>
      <c r="F737" s="56" t="s">
        <v>2056</v>
      </c>
      <c r="G737" s="56" t="s">
        <v>2057</v>
      </c>
      <c r="H737" s="56" t="s">
        <v>8</v>
      </c>
      <c r="I737" s="55" t="s">
        <v>8</v>
      </c>
      <c r="J737" s="57">
        <v>166.84</v>
      </c>
      <c r="K737" s="56" t="s">
        <v>2058</v>
      </c>
      <c r="L737" s="56" t="s">
        <v>2059</v>
      </c>
      <c r="M737" s="55" t="s">
        <v>2060</v>
      </c>
      <c r="N737" s="56" t="s">
        <v>2061</v>
      </c>
      <c r="O737" s="53" t="s">
        <v>8</v>
      </c>
      <c r="P737" s="56" t="s">
        <v>2084</v>
      </c>
      <c r="Q737" s="57">
        <v>17200</v>
      </c>
      <c r="R737" s="58" t="s">
        <v>8</v>
      </c>
      <c r="S737" s="57" t="s">
        <v>8</v>
      </c>
      <c r="T737" s="56" t="s">
        <v>2063</v>
      </c>
    </row>
    <row r="738" spans="1:20">
      <c r="A738" s="55">
        <v>126730400096</v>
      </c>
      <c r="B738" s="53" t="s">
        <v>2055</v>
      </c>
      <c r="C738" s="54">
        <v>45918</v>
      </c>
      <c r="D738" s="55">
        <v>50450311312</v>
      </c>
      <c r="E738" s="55">
        <v>2073818495615</v>
      </c>
      <c r="F738" s="56" t="s">
        <v>2056</v>
      </c>
      <c r="G738" s="56" t="s">
        <v>2057</v>
      </c>
      <c r="H738" s="56" t="s">
        <v>8</v>
      </c>
      <c r="I738" s="55" t="s">
        <v>8</v>
      </c>
      <c r="J738" s="57">
        <v>545.14</v>
      </c>
      <c r="K738" s="56" t="s">
        <v>2058</v>
      </c>
      <c r="L738" s="56" t="s">
        <v>2059</v>
      </c>
      <c r="M738" s="55" t="s">
        <v>2060</v>
      </c>
      <c r="N738" s="56" t="s">
        <v>2061</v>
      </c>
      <c r="O738" s="53" t="s">
        <v>8</v>
      </c>
      <c r="P738" s="56" t="s">
        <v>2395</v>
      </c>
      <c r="Q738" s="57">
        <v>56200</v>
      </c>
      <c r="R738" s="58" t="s">
        <v>8</v>
      </c>
      <c r="S738" s="57" t="s">
        <v>8</v>
      </c>
      <c r="T738" s="56" t="s">
        <v>2063</v>
      </c>
    </row>
    <row r="739" spans="1:20">
      <c r="A739" s="55">
        <v>126730576680</v>
      </c>
      <c r="B739" s="53" t="s">
        <v>2055</v>
      </c>
      <c r="C739" s="54">
        <v>45918</v>
      </c>
      <c r="D739" s="55">
        <v>50450349686</v>
      </c>
      <c r="E739" s="55">
        <v>2073869601424</v>
      </c>
      <c r="F739" s="56" t="s">
        <v>2056</v>
      </c>
      <c r="G739" s="56" t="s">
        <v>2057</v>
      </c>
      <c r="H739" s="56" t="s">
        <v>8</v>
      </c>
      <c r="I739" s="55" t="s">
        <v>8</v>
      </c>
      <c r="J739" s="57">
        <v>207.58</v>
      </c>
      <c r="K739" s="56" t="s">
        <v>2058</v>
      </c>
      <c r="L739" s="56" t="s">
        <v>2059</v>
      </c>
      <c r="M739" s="55" t="s">
        <v>2060</v>
      </c>
      <c r="N739" s="56" t="s">
        <v>2061</v>
      </c>
      <c r="O739" s="53" t="s">
        <v>8</v>
      </c>
      <c r="P739" s="56" t="s">
        <v>2396</v>
      </c>
      <c r="Q739" s="57">
        <v>21400</v>
      </c>
      <c r="R739" s="58" t="s">
        <v>8</v>
      </c>
      <c r="S739" s="57" t="s">
        <v>8</v>
      </c>
      <c r="T739" s="56" t="s">
        <v>2063</v>
      </c>
    </row>
    <row r="740" spans="1:20">
      <c r="A740" s="55">
        <v>126730666812</v>
      </c>
      <c r="B740" s="53" t="s">
        <v>2055</v>
      </c>
      <c r="C740" s="54">
        <v>45918</v>
      </c>
      <c r="D740" s="55">
        <v>50450383144</v>
      </c>
      <c r="E740" s="55">
        <v>2073870331330</v>
      </c>
      <c r="F740" s="56" t="s">
        <v>2056</v>
      </c>
      <c r="G740" s="56" t="s">
        <v>2057</v>
      </c>
      <c r="H740" s="56" t="s">
        <v>8</v>
      </c>
      <c r="I740" s="55" t="s">
        <v>8</v>
      </c>
      <c r="J740" s="57">
        <v>33.950000000000003</v>
      </c>
      <c r="K740" s="56" t="s">
        <v>2058</v>
      </c>
      <c r="L740" s="56" t="s">
        <v>2059</v>
      </c>
      <c r="M740" s="55" t="s">
        <v>2060</v>
      </c>
      <c r="N740" s="56" t="s">
        <v>2061</v>
      </c>
      <c r="O740" s="53" t="s">
        <v>8</v>
      </c>
      <c r="P740" s="56" t="s">
        <v>2397</v>
      </c>
      <c r="Q740" s="57">
        <v>3500</v>
      </c>
      <c r="R740" s="58" t="s">
        <v>8</v>
      </c>
      <c r="S740" s="57" t="s">
        <v>8</v>
      </c>
      <c r="T740" s="56" t="s">
        <v>2063</v>
      </c>
    </row>
    <row r="741" spans="1:20">
      <c r="A741" s="55">
        <v>126730724768</v>
      </c>
      <c r="B741" s="53" t="s">
        <v>2055</v>
      </c>
      <c r="C741" s="54">
        <v>45918</v>
      </c>
      <c r="D741" s="55">
        <v>50450399522</v>
      </c>
      <c r="E741" s="55">
        <v>2073820038903</v>
      </c>
      <c r="F741" s="56" t="s">
        <v>2056</v>
      </c>
      <c r="G741" s="56" t="s">
        <v>2057</v>
      </c>
      <c r="H741" s="56" t="s">
        <v>8</v>
      </c>
      <c r="I741" s="55" t="s">
        <v>8</v>
      </c>
      <c r="J741" s="57">
        <v>41.71</v>
      </c>
      <c r="K741" s="56" t="s">
        <v>2058</v>
      </c>
      <c r="L741" s="56" t="s">
        <v>2059</v>
      </c>
      <c r="M741" s="55" t="s">
        <v>2060</v>
      </c>
      <c r="N741" s="56" t="s">
        <v>2061</v>
      </c>
      <c r="O741" s="53" t="s">
        <v>8</v>
      </c>
      <c r="P741" s="56" t="s">
        <v>2398</v>
      </c>
      <c r="Q741" s="57">
        <v>4300</v>
      </c>
      <c r="R741" s="58" t="s">
        <v>8</v>
      </c>
      <c r="S741" s="57" t="s">
        <v>8</v>
      </c>
      <c r="T741" s="56" t="s">
        <v>2063</v>
      </c>
    </row>
    <row r="742" spans="1:20">
      <c r="A742" s="55">
        <v>126174840651</v>
      </c>
      <c r="B742" s="53" t="s">
        <v>2055</v>
      </c>
      <c r="C742" s="54">
        <v>45918</v>
      </c>
      <c r="D742" s="55">
        <v>50450597065</v>
      </c>
      <c r="E742" s="55">
        <v>2073874493532</v>
      </c>
      <c r="F742" s="56" t="s">
        <v>2069</v>
      </c>
      <c r="G742" s="56" t="s">
        <v>2057</v>
      </c>
      <c r="H742" s="56" t="s">
        <v>8</v>
      </c>
      <c r="I742" s="55" t="s">
        <v>8</v>
      </c>
      <c r="J742" s="57">
        <v>521.86</v>
      </c>
      <c r="K742" s="56" t="s">
        <v>2058</v>
      </c>
      <c r="L742" s="56" t="s">
        <v>2059</v>
      </c>
      <c r="M742" s="55" t="s">
        <v>2060</v>
      </c>
      <c r="N742" s="56" t="s">
        <v>2061</v>
      </c>
      <c r="O742" s="53" t="s">
        <v>8</v>
      </c>
      <c r="P742" s="56" t="s">
        <v>2070</v>
      </c>
      <c r="Q742" s="57">
        <v>53800</v>
      </c>
      <c r="R742" s="58" t="s">
        <v>8</v>
      </c>
      <c r="S742" s="57" t="s">
        <v>8</v>
      </c>
      <c r="T742" s="56" t="s">
        <v>8</v>
      </c>
    </row>
    <row r="743" spans="1:20">
      <c r="A743" s="55">
        <v>126730960018</v>
      </c>
      <c r="B743" s="53" t="s">
        <v>2055</v>
      </c>
      <c r="C743" s="54">
        <v>45918</v>
      </c>
      <c r="D743" s="55">
        <v>50450604069</v>
      </c>
      <c r="E743" s="55">
        <v>2073824369303</v>
      </c>
      <c r="F743" s="56" t="s">
        <v>2056</v>
      </c>
      <c r="G743" s="56" t="s">
        <v>2057</v>
      </c>
      <c r="H743" s="56" t="s">
        <v>8</v>
      </c>
      <c r="I743" s="55" t="s">
        <v>8</v>
      </c>
      <c r="J743" s="57">
        <v>33.950000000000003</v>
      </c>
      <c r="K743" s="56" t="s">
        <v>2058</v>
      </c>
      <c r="L743" s="56" t="s">
        <v>2059</v>
      </c>
      <c r="M743" s="55" t="s">
        <v>2060</v>
      </c>
      <c r="N743" s="56" t="s">
        <v>2061</v>
      </c>
      <c r="O743" s="53" t="s">
        <v>8</v>
      </c>
      <c r="P743" s="56" t="s">
        <v>2399</v>
      </c>
      <c r="Q743" s="57">
        <v>3500</v>
      </c>
      <c r="R743" s="58" t="s">
        <v>8</v>
      </c>
      <c r="S743" s="57" t="s">
        <v>8</v>
      </c>
      <c r="T743" s="56" t="s">
        <v>2063</v>
      </c>
    </row>
    <row r="744" spans="1:20">
      <c r="A744" s="55">
        <v>126175205521</v>
      </c>
      <c r="B744" s="53" t="s">
        <v>2055</v>
      </c>
      <c r="C744" s="54">
        <v>45918</v>
      </c>
      <c r="D744" s="55">
        <v>50450743161</v>
      </c>
      <c r="E744" s="55">
        <v>2073877457268</v>
      </c>
      <c r="F744" s="56" t="s">
        <v>2056</v>
      </c>
      <c r="G744" s="56" t="s">
        <v>2057</v>
      </c>
      <c r="H744" s="56" t="s">
        <v>8</v>
      </c>
      <c r="I744" s="55" t="s">
        <v>8</v>
      </c>
      <c r="J744" s="57">
        <v>132.88999999999999</v>
      </c>
      <c r="K744" s="56" t="s">
        <v>2058</v>
      </c>
      <c r="L744" s="56" t="s">
        <v>2059</v>
      </c>
      <c r="M744" s="55" t="s">
        <v>2060</v>
      </c>
      <c r="N744" s="56" t="s">
        <v>2061</v>
      </c>
      <c r="O744" s="53" t="s">
        <v>8</v>
      </c>
      <c r="P744" s="56" t="s">
        <v>2392</v>
      </c>
      <c r="Q744" s="57">
        <v>13700</v>
      </c>
      <c r="R744" s="58" t="s">
        <v>8</v>
      </c>
      <c r="S744" s="57" t="s">
        <v>8</v>
      </c>
      <c r="T744" s="56" t="s">
        <v>2063</v>
      </c>
    </row>
    <row r="745" spans="1:20">
      <c r="A745" s="55">
        <v>126176306385</v>
      </c>
      <c r="B745" s="53" t="s">
        <v>2055</v>
      </c>
      <c r="C745" s="54">
        <v>45918</v>
      </c>
      <c r="D745" s="55">
        <v>50451092489</v>
      </c>
      <c r="E745" s="55">
        <v>2073833509351</v>
      </c>
      <c r="F745" s="56" t="s">
        <v>2056</v>
      </c>
      <c r="G745" s="56" t="s">
        <v>2057</v>
      </c>
      <c r="H745" s="56" t="s">
        <v>8</v>
      </c>
      <c r="I745" s="55" t="s">
        <v>8</v>
      </c>
      <c r="J745" s="57">
        <v>83.42</v>
      </c>
      <c r="K745" s="56" t="s">
        <v>2058</v>
      </c>
      <c r="L745" s="56" t="s">
        <v>2059</v>
      </c>
      <c r="M745" s="55" t="s">
        <v>2060</v>
      </c>
      <c r="N745" s="56" t="s">
        <v>2061</v>
      </c>
      <c r="O745" s="53" t="s">
        <v>8</v>
      </c>
      <c r="P745" s="56" t="s">
        <v>2400</v>
      </c>
      <c r="Q745" s="57">
        <v>8600</v>
      </c>
      <c r="R745" s="58" t="s">
        <v>8</v>
      </c>
      <c r="S745" s="57" t="s">
        <v>8</v>
      </c>
      <c r="T745" s="56" t="s">
        <v>2063</v>
      </c>
    </row>
    <row r="746" spans="1:20">
      <c r="A746" s="55">
        <v>126176356419</v>
      </c>
      <c r="B746" s="53" t="s">
        <v>2055</v>
      </c>
      <c r="C746" s="54">
        <v>45918</v>
      </c>
      <c r="D746" s="55">
        <v>50451148819</v>
      </c>
      <c r="E746" s="55">
        <v>2073884375782</v>
      </c>
      <c r="F746" s="56" t="s">
        <v>2056</v>
      </c>
      <c r="G746" s="56" t="s">
        <v>2057</v>
      </c>
      <c r="H746" s="56" t="s">
        <v>8</v>
      </c>
      <c r="I746" s="55" t="s">
        <v>8</v>
      </c>
      <c r="J746" s="57">
        <v>83.42</v>
      </c>
      <c r="K746" s="56" t="s">
        <v>2058</v>
      </c>
      <c r="L746" s="56" t="s">
        <v>2059</v>
      </c>
      <c r="M746" s="55" t="s">
        <v>2060</v>
      </c>
      <c r="N746" s="56" t="s">
        <v>2061</v>
      </c>
      <c r="O746" s="53" t="s">
        <v>8</v>
      </c>
      <c r="P746" s="56" t="s">
        <v>2401</v>
      </c>
      <c r="Q746" s="57">
        <v>8600</v>
      </c>
      <c r="R746" s="58" t="s">
        <v>8</v>
      </c>
      <c r="S746" s="57" t="s">
        <v>8</v>
      </c>
      <c r="T746" s="56" t="s">
        <v>2063</v>
      </c>
    </row>
    <row r="747" spans="1:20">
      <c r="A747" s="55">
        <v>126176295955</v>
      </c>
      <c r="B747" s="53" t="s">
        <v>2055</v>
      </c>
      <c r="C747" s="54">
        <v>45918</v>
      </c>
      <c r="D747" s="55">
        <v>50451225428</v>
      </c>
      <c r="E747" s="55">
        <v>2073885342492</v>
      </c>
      <c r="F747" s="56" t="s">
        <v>2056</v>
      </c>
      <c r="G747" s="56" t="s">
        <v>2057</v>
      </c>
      <c r="H747" s="56" t="s">
        <v>8</v>
      </c>
      <c r="I747" s="55" t="s">
        <v>8</v>
      </c>
      <c r="J747" s="57">
        <v>143.56</v>
      </c>
      <c r="K747" s="56" t="s">
        <v>2058</v>
      </c>
      <c r="L747" s="56" t="s">
        <v>2059</v>
      </c>
      <c r="M747" s="55" t="s">
        <v>2060</v>
      </c>
      <c r="N747" s="56" t="s">
        <v>2061</v>
      </c>
      <c r="O747" s="53" t="s">
        <v>8</v>
      </c>
      <c r="P747" s="56" t="s">
        <v>2402</v>
      </c>
      <c r="Q747" s="57">
        <v>14800</v>
      </c>
      <c r="R747" s="58" t="s">
        <v>8</v>
      </c>
      <c r="S747" s="57" t="s">
        <v>8</v>
      </c>
      <c r="T747" s="56" t="s">
        <v>2063</v>
      </c>
    </row>
    <row r="748" spans="1:20">
      <c r="A748" s="55">
        <v>126733342172</v>
      </c>
      <c r="B748" s="53" t="s">
        <v>2055</v>
      </c>
      <c r="C748" s="54">
        <v>45918</v>
      </c>
      <c r="D748" s="55">
        <v>50451393426</v>
      </c>
      <c r="E748" s="55">
        <v>2073838471073</v>
      </c>
      <c r="F748" s="56" t="s">
        <v>2066</v>
      </c>
      <c r="G748" s="56" t="s">
        <v>2057</v>
      </c>
      <c r="H748" s="56" t="s">
        <v>8</v>
      </c>
      <c r="I748" s="55" t="s">
        <v>8</v>
      </c>
      <c r="J748" s="57">
        <v>1166.78</v>
      </c>
      <c r="K748" s="56" t="s">
        <v>2058</v>
      </c>
      <c r="L748" s="56" t="s">
        <v>2067</v>
      </c>
      <c r="M748" s="55" t="s">
        <v>2060</v>
      </c>
      <c r="N748" s="56" t="s">
        <v>2061</v>
      </c>
      <c r="O748" s="53" t="s">
        <v>1790</v>
      </c>
      <c r="P748" s="56" t="s">
        <v>2068</v>
      </c>
      <c r="Q748" s="57">
        <v>25700</v>
      </c>
      <c r="R748" s="58" t="s">
        <v>8</v>
      </c>
      <c r="S748" s="57" t="s">
        <v>8</v>
      </c>
      <c r="T748" s="56" t="s">
        <v>2063</v>
      </c>
    </row>
    <row r="749" spans="1:20">
      <c r="A749" s="55">
        <v>126177394425</v>
      </c>
      <c r="B749" s="53" t="s">
        <v>2055</v>
      </c>
      <c r="C749" s="54">
        <v>45918</v>
      </c>
      <c r="D749" s="55">
        <v>50451592669</v>
      </c>
      <c r="E749" s="55">
        <v>2073841721601</v>
      </c>
      <c r="F749" s="56" t="s">
        <v>2056</v>
      </c>
      <c r="G749" s="56" t="s">
        <v>2057</v>
      </c>
      <c r="H749" s="56" t="s">
        <v>8</v>
      </c>
      <c r="I749" s="55" t="s">
        <v>8</v>
      </c>
      <c r="J749" s="57">
        <v>51.41</v>
      </c>
      <c r="K749" s="56" t="s">
        <v>2058</v>
      </c>
      <c r="L749" s="56" t="s">
        <v>2059</v>
      </c>
      <c r="M749" s="55" t="s">
        <v>2060</v>
      </c>
      <c r="N749" s="56" t="s">
        <v>2061</v>
      </c>
      <c r="O749" s="53" t="s">
        <v>8</v>
      </c>
      <c r="P749" s="56" t="s">
        <v>2394</v>
      </c>
      <c r="Q749" s="57">
        <v>5300</v>
      </c>
      <c r="R749" s="58" t="s">
        <v>8</v>
      </c>
      <c r="S749" s="57" t="s">
        <v>8</v>
      </c>
      <c r="T749" s="56" t="s">
        <v>2063</v>
      </c>
    </row>
    <row r="750" spans="1:20">
      <c r="A750" s="55">
        <v>126733789902</v>
      </c>
      <c r="B750" s="53" t="s">
        <v>2055</v>
      </c>
      <c r="C750" s="54">
        <v>45918</v>
      </c>
      <c r="D750" s="55">
        <v>50451672315</v>
      </c>
      <c r="E750" s="55">
        <v>2073843408875</v>
      </c>
      <c r="F750" s="56" t="s">
        <v>2056</v>
      </c>
      <c r="G750" s="56" t="s">
        <v>2057</v>
      </c>
      <c r="H750" s="56" t="s">
        <v>8</v>
      </c>
      <c r="I750" s="55" t="s">
        <v>8</v>
      </c>
      <c r="J750" s="57">
        <v>102.82</v>
      </c>
      <c r="K750" s="56" t="s">
        <v>2058</v>
      </c>
      <c r="L750" s="56" t="s">
        <v>2059</v>
      </c>
      <c r="M750" s="55" t="s">
        <v>2060</v>
      </c>
      <c r="N750" s="56" t="s">
        <v>2061</v>
      </c>
      <c r="O750" s="53" t="s">
        <v>8</v>
      </c>
      <c r="P750" s="56" t="s">
        <v>2403</v>
      </c>
      <c r="Q750" s="57">
        <v>10600</v>
      </c>
      <c r="R750" s="58" t="s">
        <v>8</v>
      </c>
      <c r="S750" s="57" t="s">
        <v>8</v>
      </c>
      <c r="T750" s="56" t="s">
        <v>2063</v>
      </c>
    </row>
    <row r="751" spans="1:20">
      <c r="A751" s="55">
        <v>126177858555</v>
      </c>
      <c r="B751" s="53" t="s">
        <v>2055</v>
      </c>
      <c r="C751" s="54">
        <v>45918</v>
      </c>
      <c r="D751" s="55">
        <v>50451766973</v>
      </c>
      <c r="E751" s="55">
        <v>2073895450306</v>
      </c>
      <c r="F751" s="56" t="s">
        <v>2056</v>
      </c>
      <c r="G751" s="56" t="s">
        <v>2057</v>
      </c>
      <c r="H751" s="56" t="s">
        <v>8</v>
      </c>
      <c r="I751" s="55" t="s">
        <v>8</v>
      </c>
      <c r="J751" s="57">
        <v>1039.8399999999999</v>
      </c>
      <c r="K751" s="56" t="s">
        <v>2058</v>
      </c>
      <c r="L751" s="56" t="s">
        <v>2059</v>
      </c>
      <c r="M751" s="55" t="s">
        <v>2060</v>
      </c>
      <c r="N751" s="56" t="s">
        <v>2061</v>
      </c>
      <c r="O751" s="53" t="s">
        <v>8</v>
      </c>
      <c r="P751" s="56" t="s">
        <v>2404</v>
      </c>
      <c r="Q751" s="57">
        <v>107200</v>
      </c>
      <c r="R751" s="58" t="s">
        <v>8</v>
      </c>
      <c r="S751" s="57" t="s">
        <v>8</v>
      </c>
      <c r="T751" s="56" t="s">
        <v>2063</v>
      </c>
    </row>
    <row r="752" spans="1:20">
      <c r="A752" s="55">
        <v>126734101344</v>
      </c>
      <c r="B752" s="53" t="s">
        <v>2055</v>
      </c>
      <c r="C752" s="54">
        <v>45918</v>
      </c>
      <c r="D752" s="55">
        <v>50451784736</v>
      </c>
      <c r="E752" s="55">
        <v>2073895720048</v>
      </c>
      <c r="F752" s="56" t="s">
        <v>2056</v>
      </c>
      <c r="G752" s="56" t="s">
        <v>2057</v>
      </c>
      <c r="H752" s="56" t="s">
        <v>8</v>
      </c>
      <c r="I752" s="55" t="s">
        <v>8</v>
      </c>
      <c r="J752" s="57">
        <v>83.42</v>
      </c>
      <c r="K752" s="56" t="s">
        <v>2058</v>
      </c>
      <c r="L752" s="56" t="s">
        <v>2059</v>
      </c>
      <c r="M752" s="55" t="s">
        <v>2060</v>
      </c>
      <c r="N752" s="56" t="s">
        <v>2061</v>
      </c>
      <c r="O752" s="53" t="s">
        <v>8</v>
      </c>
      <c r="P752" s="56" t="s">
        <v>2405</v>
      </c>
      <c r="Q752" s="57">
        <v>8600</v>
      </c>
      <c r="R752" s="58" t="s">
        <v>8</v>
      </c>
      <c r="S752" s="57" t="s">
        <v>8</v>
      </c>
      <c r="T752" s="56" t="s">
        <v>2063</v>
      </c>
    </row>
    <row r="753" spans="1:20">
      <c r="A753" s="55">
        <v>126177996273</v>
      </c>
      <c r="B753" s="53" t="s">
        <v>2055</v>
      </c>
      <c r="C753" s="54">
        <v>45918</v>
      </c>
      <c r="D753" s="55">
        <v>50451788957</v>
      </c>
      <c r="E753" s="55">
        <v>2073845336677</v>
      </c>
      <c r="F753" s="56" t="s">
        <v>2069</v>
      </c>
      <c r="G753" s="56" t="s">
        <v>2057</v>
      </c>
      <c r="H753" s="56" t="s">
        <v>8</v>
      </c>
      <c r="I753" s="55" t="s">
        <v>8</v>
      </c>
      <c r="J753" s="57">
        <v>166.84</v>
      </c>
      <c r="K753" s="56" t="s">
        <v>2058</v>
      </c>
      <c r="L753" s="56" t="s">
        <v>2059</v>
      </c>
      <c r="M753" s="55" t="s">
        <v>2060</v>
      </c>
      <c r="N753" s="56" t="s">
        <v>2061</v>
      </c>
      <c r="O753" s="53" t="s">
        <v>8</v>
      </c>
      <c r="P753" s="56" t="s">
        <v>2070</v>
      </c>
      <c r="Q753" s="57">
        <v>17200</v>
      </c>
      <c r="R753" s="58" t="s">
        <v>8</v>
      </c>
      <c r="S753" s="57" t="s">
        <v>8</v>
      </c>
      <c r="T753" s="56" t="s">
        <v>8</v>
      </c>
    </row>
    <row r="754" spans="1:20">
      <c r="A754" s="55">
        <v>126734131932</v>
      </c>
      <c r="B754" s="53" t="s">
        <v>2055</v>
      </c>
      <c r="C754" s="54">
        <v>45918</v>
      </c>
      <c r="D754" s="55">
        <v>50451813332</v>
      </c>
      <c r="E754" s="55">
        <v>2073845975155</v>
      </c>
      <c r="F754" s="56" t="s">
        <v>2056</v>
      </c>
      <c r="G754" s="56" t="s">
        <v>2057</v>
      </c>
      <c r="H754" s="56" t="s">
        <v>8</v>
      </c>
      <c r="I754" s="55" t="s">
        <v>8</v>
      </c>
      <c r="J754" s="57">
        <v>41.71</v>
      </c>
      <c r="K754" s="56" t="s">
        <v>2058</v>
      </c>
      <c r="L754" s="56" t="s">
        <v>2059</v>
      </c>
      <c r="M754" s="55" t="s">
        <v>2060</v>
      </c>
      <c r="N754" s="56" t="s">
        <v>2061</v>
      </c>
      <c r="O754" s="53" t="s">
        <v>8</v>
      </c>
      <c r="P754" s="56" t="s">
        <v>2264</v>
      </c>
      <c r="Q754" s="57">
        <v>4300</v>
      </c>
      <c r="R754" s="58" t="s">
        <v>8</v>
      </c>
      <c r="S754" s="57" t="s">
        <v>8</v>
      </c>
      <c r="T754" s="56" t="s">
        <v>2063</v>
      </c>
    </row>
    <row r="755" spans="1:20">
      <c r="A755" s="55">
        <v>126734488490</v>
      </c>
      <c r="B755" s="53" t="s">
        <v>2055</v>
      </c>
      <c r="C755" s="54">
        <v>45918</v>
      </c>
      <c r="D755" s="55">
        <v>50451915371</v>
      </c>
      <c r="E755" s="55">
        <v>2073898197146</v>
      </c>
      <c r="F755" s="56" t="s">
        <v>2069</v>
      </c>
      <c r="G755" s="56" t="s">
        <v>2057</v>
      </c>
      <c r="H755" s="56" t="s">
        <v>8</v>
      </c>
      <c r="I755" s="55" t="s">
        <v>8</v>
      </c>
      <c r="J755" s="57">
        <v>212.43</v>
      </c>
      <c r="K755" s="56" t="s">
        <v>2058</v>
      </c>
      <c r="L755" s="56" t="s">
        <v>2059</v>
      </c>
      <c r="M755" s="55" t="s">
        <v>2060</v>
      </c>
      <c r="N755" s="56" t="s">
        <v>2061</v>
      </c>
      <c r="O755" s="53" t="s">
        <v>8</v>
      </c>
      <c r="P755" s="56" t="s">
        <v>2070</v>
      </c>
      <c r="Q755" s="57">
        <v>21900</v>
      </c>
      <c r="R755" s="58" t="s">
        <v>8</v>
      </c>
      <c r="S755" s="57" t="s">
        <v>8</v>
      </c>
      <c r="T755" s="56" t="s">
        <v>8</v>
      </c>
    </row>
    <row r="756" spans="1:20">
      <c r="A756" s="55">
        <v>126178996297</v>
      </c>
      <c r="B756" s="53" t="s">
        <v>2055</v>
      </c>
      <c r="C756" s="54">
        <v>45918</v>
      </c>
      <c r="D756" s="55">
        <v>50452177151</v>
      </c>
      <c r="E756" s="55">
        <v>2073902251366</v>
      </c>
      <c r="F756" s="56" t="s">
        <v>2056</v>
      </c>
      <c r="G756" s="56" t="s">
        <v>2057</v>
      </c>
      <c r="H756" s="56" t="s">
        <v>8</v>
      </c>
      <c r="I756" s="55" t="s">
        <v>8</v>
      </c>
      <c r="J756" s="57">
        <v>83.42</v>
      </c>
      <c r="K756" s="56" t="s">
        <v>2058</v>
      </c>
      <c r="L756" s="56" t="s">
        <v>2059</v>
      </c>
      <c r="M756" s="55" t="s">
        <v>2060</v>
      </c>
      <c r="N756" s="56" t="s">
        <v>2061</v>
      </c>
      <c r="O756" s="53" t="s">
        <v>8</v>
      </c>
      <c r="P756" s="56" t="s">
        <v>2406</v>
      </c>
      <c r="Q756" s="57">
        <v>8600</v>
      </c>
      <c r="R756" s="58" t="s">
        <v>8</v>
      </c>
      <c r="S756" s="57" t="s">
        <v>8</v>
      </c>
      <c r="T756" s="56" t="s">
        <v>2063</v>
      </c>
    </row>
    <row r="757" spans="1:20">
      <c r="A757" s="55">
        <v>126179218399</v>
      </c>
      <c r="B757" s="53" t="s">
        <v>2055</v>
      </c>
      <c r="C757" s="54">
        <v>45918</v>
      </c>
      <c r="D757" s="55">
        <v>50452274527</v>
      </c>
      <c r="E757" s="55">
        <v>2073903663868</v>
      </c>
      <c r="F757" s="56" t="s">
        <v>2056</v>
      </c>
      <c r="G757" s="56" t="s">
        <v>2057</v>
      </c>
      <c r="H757" s="56" t="s">
        <v>8</v>
      </c>
      <c r="I757" s="55" t="s">
        <v>8</v>
      </c>
      <c r="J757" s="57">
        <v>93.12</v>
      </c>
      <c r="K757" s="56" t="s">
        <v>2058</v>
      </c>
      <c r="L757" s="56" t="s">
        <v>2059</v>
      </c>
      <c r="M757" s="55" t="s">
        <v>2060</v>
      </c>
      <c r="N757" s="56" t="s">
        <v>2061</v>
      </c>
      <c r="O757" s="53" t="s">
        <v>8</v>
      </c>
      <c r="P757" s="56" t="s">
        <v>2407</v>
      </c>
      <c r="Q757" s="57">
        <v>9600</v>
      </c>
      <c r="R757" s="58" t="s">
        <v>8</v>
      </c>
      <c r="S757" s="57" t="s">
        <v>8</v>
      </c>
      <c r="T757" s="56" t="s">
        <v>2063</v>
      </c>
    </row>
    <row r="758" spans="1:20">
      <c r="A758" s="55">
        <v>126735130040</v>
      </c>
      <c r="B758" s="53" t="s">
        <v>2055</v>
      </c>
      <c r="C758" s="54">
        <v>45918</v>
      </c>
      <c r="D758" s="55">
        <v>50452296309</v>
      </c>
      <c r="E758" s="55">
        <v>2073904141792</v>
      </c>
      <c r="F758" s="56" t="s">
        <v>2056</v>
      </c>
      <c r="G758" s="56" t="s">
        <v>2057</v>
      </c>
      <c r="H758" s="56" t="s">
        <v>8</v>
      </c>
      <c r="I758" s="55" t="s">
        <v>8</v>
      </c>
      <c r="J758" s="57">
        <v>33.950000000000003</v>
      </c>
      <c r="K758" s="56" t="s">
        <v>2058</v>
      </c>
      <c r="L758" s="56" t="s">
        <v>2059</v>
      </c>
      <c r="M758" s="55" t="s">
        <v>2060</v>
      </c>
      <c r="N758" s="56" t="s">
        <v>2061</v>
      </c>
      <c r="O758" s="53" t="s">
        <v>8</v>
      </c>
      <c r="P758" s="56" t="s">
        <v>2408</v>
      </c>
      <c r="Q758" s="57">
        <v>3500</v>
      </c>
      <c r="R758" s="58" t="s">
        <v>8</v>
      </c>
      <c r="S758" s="57" t="s">
        <v>8</v>
      </c>
      <c r="T758" s="56" t="s">
        <v>2063</v>
      </c>
    </row>
    <row r="759" spans="1:20">
      <c r="A759" s="55">
        <v>126735538284</v>
      </c>
      <c r="B759" s="53" t="s">
        <v>2055</v>
      </c>
      <c r="C759" s="54">
        <v>45918</v>
      </c>
      <c r="D759" s="55">
        <v>50452354586</v>
      </c>
      <c r="E759" s="55">
        <v>2073854423023</v>
      </c>
      <c r="F759" s="56" t="s">
        <v>2056</v>
      </c>
      <c r="G759" s="56" t="s">
        <v>2057</v>
      </c>
      <c r="H759" s="56" t="s">
        <v>8</v>
      </c>
      <c r="I759" s="55" t="s">
        <v>8</v>
      </c>
      <c r="J759" s="57">
        <v>90.21</v>
      </c>
      <c r="K759" s="56" t="s">
        <v>2058</v>
      </c>
      <c r="L759" s="56" t="s">
        <v>2059</v>
      </c>
      <c r="M759" s="55" t="s">
        <v>2060</v>
      </c>
      <c r="N759" s="56" t="s">
        <v>2061</v>
      </c>
      <c r="O759" s="53" t="s">
        <v>8</v>
      </c>
      <c r="P759" s="56" t="s">
        <v>2409</v>
      </c>
      <c r="Q759" s="57">
        <v>9300</v>
      </c>
      <c r="R759" s="58" t="s">
        <v>8</v>
      </c>
      <c r="S759" s="57" t="s">
        <v>8</v>
      </c>
      <c r="T759" s="56" t="s">
        <v>2063</v>
      </c>
    </row>
    <row r="760" spans="1:20">
      <c r="A760" s="55">
        <v>126735449040</v>
      </c>
      <c r="B760" s="53" t="s">
        <v>2055</v>
      </c>
      <c r="C760" s="54">
        <v>45919</v>
      </c>
      <c r="D760" s="55">
        <v>50452374820</v>
      </c>
      <c r="E760" s="55">
        <v>2073905151090</v>
      </c>
      <c r="F760" s="56" t="s">
        <v>2066</v>
      </c>
      <c r="G760" s="56" t="s">
        <v>2057</v>
      </c>
      <c r="H760" s="56" t="s">
        <v>8</v>
      </c>
      <c r="I760" s="55" t="s">
        <v>8</v>
      </c>
      <c r="J760" s="57">
        <v>195.22</v>
      </c>
      <c r="K760" s="56" t="s">
        <v>2058</v>
      </c>
      <c r="L760" s="56" t="s">
        <v>2067</v>
      </c>
      <c r="M760" s="55" t="s">
        <v>2060</v>
      </c>
      <c r="N760" s="56" t="s">
        <v>2061</v>
      </c>
      <c r="O760" s="53" t="s">
        <v>1790</v>
      </c>
      <c r="P760" s="56" t="s">
        <v>2068</v>
      </c>
      <c r="Q760" s="57">
        <v>4300</v>
      </c>
      <c r="R760" s="58" t="s">
        <v>8</v>
      </c>
      <c r="S760" s="57" t="s">
        <v>8</v>
      </c>
      <c r="T760" s="56" t="s">
        <v>2063</v>
      </c>
    </row>
    <row r="761" spans="1:20">
      <c r="A761" s="55">
        <v>126179338967</v>
      </c>
      <c r="B761" s="53" t="s">
        <v>2055</v>
      </c>
      <c r="C761" s="54">
        <v>45919</v>
      </c>
      <c r="D761" s="55">
        <v>50452408852</v>
      </c>
      <c r="E761" s="55">
        <v>2073855230569</v>
      </c>
      <c r="F761" s="56" t="s">
        <v>2066</v>
      </c>
      <c r="G761" s="56" t="s">
        <v>2057</v>
      </c>
      <c r="H761" s="56" t="s">
        <v>8</v>
      </c>
      <c r="I761" s="55" t="s">
        <v>8</v>
      </c>
      <c r="J761" s="57">
        <v>168.99</v>
      </c>
      <c r="K761" s="56" t="s">
        <v>2058</v>
      </c>
      <c r="L761" s="56" t="s">
        <v>2067</v>
      </c>
      <c r="M761" s="55" t="s">
        <v>2060</v>
      </c>
      <c r="N761" s="56" t="s">
        <v>2061</v>
      </c>
      <c r="O761" s="53" t="s">
        <v>1790</v>
      </c>
      <c r="P761" s="56" t="s">
        <v>2068</v>
      </c>
      <c r="Q761" s="57">
        <v>4300</v>
      </c>
      <c r="R761" s="58" t="s">
        <v>8</v>
      </c>
      <c r="S761" s="57" t="s">
        <v>8</v>
      </c>
      <c r="T761" s="56" t="s">
        <v>2063</v>
      </c>
    </row>
    <row r="762" spans="1:20">
      <c r="A762" s="55">
        <v>126179317665</v>
      </c>
      <c r="B762" s="53" t="s">
        <v>2055</v>
      </c>
      <c r="C762" s="54">
        <v>45919</v>
      </c>
      <c r="D762" s="55">
        <v>50452428893</v>
      </c>
      <c r="E762" s="55">
        <v>2073906130730</v>
      </c>
      <c r="F762" s="56" t="s">
        <v>2066</v>
      </c>
      <c r="G762" s="56" t="s">
        <v>2057</v>
      </c>
      <c r="H762" s="56" t="s">
        <v>8</v>
      </c>
      <c r="I762" s="55" t="s">
        <v>8</v>
      </c>
      <c r="J762" s="57">
        <v>337.98</v>
      </c>
      <c r="K762" s="56" t="s">
        <v>2058</v>
      </c>
      <c r="L762" s="56" t="s">
        <v>2067</v>
      </c>
      <c r="M762" s="55" t="s">
        <v>2060</v>
      </c>
      <c r="N762" s="56" t="s">
        <v>2061</v>
      </c>
      <c r="O762" s="53" t="s">
        <v>1790</v>
      </c>
      <c r="P762" s="56" t="s">
        <v>2068</v>
      </c>
      <c r="Q762" s="57">
        <v>8600</v>
      </c>
      <c r="R762" s="58" t="s">
        <v>8</v>
      </c>
      <c r="S762" s="57" t="s">
        <v>8</v>
      </c>
      <c r="T762" s="56" t="s">
        <v>2063</v>
      </c>
    </row>
    <row r="763" spans="1:20">
      <c r="A763" s="55">
        <v>126179543345</v>
      </c>
      <c r="B763" s="53" t="s">
        <v>2055</v>
      </c>
      <c r="C763" s="54">
        <v>45919</v>
      </c>
      <c r="D763" s="55">
        <v>50452518569</v>
      </c>
      <c r="E763" s="55">
        <v>2073856724853</v>
      </c>
      <c r="F763" s="56" t="s">
        <v>2056</v>
      </c>
      <c r="G763" s="56" t="s">
        <v>2057</v>
      </c>
      <c r="H763" s="56" t="s">
        <v>8</v>
      </c>
      <c r="I763" s="55" t="s">
        <v>8</v>
      </c>
      <c r="J763" s="57">
        <v>125.13</v>
      </c>
      <c r="K763" s="56" t="s">
        <v>2058</v>
      </c>
      <c r="L763" s="56" t="s">
        <v>2059</v>
      </c>
      <c r="M763" s="55" t="s">
        <v>2060</v>
      </c>
      <c r="N763" s="56" t="s">
        <v>2061</v>
      </c>
      <c r="O763" s="53" t="s">
        <v>8</v>
      </c>
      <c r="P763" s="56" t="s">
        <v>2084</v>
      </c>
      <c r="Q763" s="57">
        <v>12900</v>
      </c>
      <c r="R763" s="58" t="s">
        <v>8</v>
      </c>
      <c r="S763" s="57" t="s">
        <v>8</v>
      </c>
      <c r="T763" s="56" t="s">
        <v>2063</v>
      </c>
    </row>
    <row r="764" spans="1:20">
      <c r="A764" s="55">
        <v>126736088642</v>
      </c>
      <c r="B764" s="53" t="s">
        <v>2055</v>
      </c>
      <c r="C764" s="54">
        <v>45919</v>
      </c>
      <c r="D764" s="55">
        <v>50452611068</v>
      </c>
      <c r="E764" s="55">
        <v>2073858089015</v>
      </c>
      <c r="F764" s="56" t="s">
        <v>2056</v>
      </c>
      <c r="G764" s="56" t="s">
        <v>2057</v>
      </c>
      <c r="H764" s="56" t="s">
        <v>8</v>
      </c>
      <c r="I764" s="55" t="s">
        <v>8</v>
      </c>
      <c r="J764" s="57">
        <v>206.61</v>
      </c>
      <c r="K764" s="56" t="s">
        <v>2058</v>
      </c>
      <c r="L764" s="56" t="s">
        <v>2059</v>
      </c>
      <c r="M764" s="55" t="s">
        <v>2060</v>
      </c>
      <c r="N764" s="56" t="s">
        <v>2061</v>
      </c>
      <c r="O764" s="53" t="s">
        <v>8</v>
      </c>
      <c r="P764" s="56" t="s">
        <v>2410</v>
      </c>
      <c r="Q764" s="57">
        <v>21300</v>
      </c>
      <c r="R764" s="58" t="s">
        <v>8</v>
      </c>
      <c r="S764" s="57" t="s">
        <v>8</v>
      </c>
      <c r="T764" s="56" t="s">
        <v>2063</v>
      </c>
    </row>
    <row r="765" spans="1:20">
      <c r="A765" s="55">
        <v>126736031606</v>
      </c>
      <c r="B765" s="53" t="s">
        <v>2055</v>
      </c>
      <c r="C765" s="54">
        <v>45919</v>
      </c>
      <c r="D765" s="55">
        <v>50452648496</v>
      </c>
      <c r="E765" s="55">
        <v>2073858524917</v>
      </c>
      <c r="F765" s="56" t="s">
        <v>2056</v>
      </c>
      <c r="G765" s="56" t="s">
        <v>2057</v>
      </c>
      <c r="H765" s="56" t="s">
        <v>8</v>
      </c>
      <c r="I765" s="55" t="s">
        <v>8</v>
      </c>
      <c r="J765" s="57">
        <v>43.65</v>
      </c>
      <c r="K765" s="56" t="s">
        <v>2058</v>
      </c>
      <c r="L765" s="56" t="s">
        <v>2059</v>
      </c>
      <c r="M765" s="55" t="s">
        <v>2060</v>
      </c>
      <c r="N765" s="56" t="s">
        <v>2061</v>
      </c>
      <c r="O765" s="53" t="s">
        <v>8</v>
      </c>
      <c r="P765" s="56" t="s">
        <v>2264</v>
      </c>
      <c r="Q765" s="57">
        <v>4500</v>
      </c>
      <c r="R765" s="58" t="s">
        <v>8</v>
      </c>
      <c r="S765" s="57" t="s">
        <v>8</v>
      </c>
      <c r="T765" s="56" t="s">
        <v>2063</v>
      </c>
    </row>
    <row r="766" spans="1:20">
      <c r="A766" s="55">
        <v>126179853579</v>
      </c>
      <c r="B766" s="53" t="s">
        <v>2055</v>
      </c>
      <c r="C766" s="54">
        <v>45919</v>
      </c>
      <c r="D766" s="55">
        <v>50452720304</v>
      </c>
      <c r="E766" s="55">
        <v>2073859990763</v>
      </c>
      <c r="F766" s="56" t="s">
        <v>2056</v>
      </c>
      <c r="G766" s="56" t="s">
        <v>2057</v>
      </c>
      <c r="H766" s="56" t="s">
        <v>8</v>
      </c>
      <c r="I766" s="55" t="s">
        <v>8</v>
      </c>
      <c r="J766" s="57">
        <v>90.21</v>
      </c>
      <c r="K766" s="56" t="s">
        <v>2058</v>
      </c>
      <c r="L766" s="56" t="s">
        <v>2059</v>
      </c>
      <c r="M766" s="55" t="s">
        <v>2060</v>
      </c>
      <c r="N766" s="56" t="s">
        <v>2061</v>
      </c>
      <c r="O766" s="53" t="s">
        <v>8</v>
      </c>
      <c r="P766" s="56" t="s">
        <v>2411</v>
      </c>
      <c r="Q766" s="57">
        <v>9300</v>
      </c>
      <c r="R766" s="58" t="s">
        <v>8</v>
      </c>
      <c r="S766" s="57" t="s">
        <v>8</v>
      </c>
      <c r="T766" s="56" t="s">
        <v>2063</v>
      </c>
    </row>
    <row r="767" spans="1:20">
      <c r="A767" s="55">
        <v>126736781276</v>
      </c>
      <c r="B767" s="53" t="s">
        <v>2055</v>
      </c>
      <c r="C767" s="54">
        <v>45919</v>
      </c>
      <c r="D767" s="55">
        <v>50452904666</v>
      </c>
      <c r="E767" s="55">
        <v>2073913282114</v>
      </c>
      <c r="F767" s="56" t="s">
        <v>2056</v>
      </c>
      <c r="G767" s="56" t="s">
        <v>2057</v>
      </c>
      <c r="H767" s="56" t="s">
        <v>8</v>
      </c>
      <c r="I767" s="55" t="s">
        <v>8</v>
      </c>
      <c r="J767" s="57">
        <v>654.46</v>
      </c>
      <c r="K767" s="56" t="s">
        <v>2058</v>
      </c>
      <c r="L767" s="56" t="s">
        <v>2059</v>
      </c>
      <c r="M767" s="55" t="s">
        <v>2060</v>
      </c>
      <c r="N767" s="56" t="s">
        <v>2061</v>
      </c>
      <c r="O767" s="53" t="s">
        <v>8</v>
      </c>
      <c r="P767" s="56" t="s">
        <v>2412</v>
      </c>
      <c r="Q767" s="57">
        <v>8600</v>
      </c>
      <c r="R767" s="58" t="s">
        <v>8</v>
      </c>
      <c r="S767" s="57" t="s">
        <v>8</v>
      </c>
      <c r="T767" s="56" t="s">
        <v>2063</v>
      </c>
    </row>
    <row r="768" spans="1:20">
      <c r="A768" s="55">
        <v>126736925278</v>
      </c>
      <c r="B768" s="53" t="s">
        <v>2055</v>
      </c>
      <c r="C768" s="54">
        <v>45919</v>
      </c>
      <c r="D768" s="55">
        <v>50452964622</v>
      </c>
      <c r="E768" s="55">
        <v>2073914402106</v>
      </c>
      <c r="F768" s="56" t="s">
        <v>2066</v>
      </c>
      <c r="G768" s="56" t="s">
        <v>2057</v>
      </c>
      <c r="H768" s="56" t="s">
        <v>8</v>
      </c>
      <c r="I768" s="55" t="s">
        <v>8</v>
      </c>
      <c r="J768" s="57">
        <v>903.9</v>
      </c>
      <c r="K768" s="56" t="s">
        <v>2058</v>
      </c>
      <c r="L768" s="56" t="s">
        <v>2067</v>
      </c>
      <c r="M768" s="55" t="s">
        <v>2060</v>
      </c>
      <c r="N768" s="56" t="s">
        <v>2061</v>
      </c>
      <c r="O768" s="53" t="s">
        <v>1790</v>
      </c>
      <c r="P768" s="56" t="s">
        <v>2068</v>
      </c>
      <c r="Q768" s="57">
        <v>23000</v>
      </c>
      <c r="R768" s="58" t="s">
        <v>8</v>
      </c>
      <c r="S768" s="57" t="s">
        <v>8</v>
      </c>
      <c r="T768" s="56" t="s">
        <v>2063</v>
      </c>
    </row>
    <row r="769" spans="1:20">
      <c r="A769" s="55">
        <v>126180519317</v>
      </c>
      <c r="B769" s="53" t="s">
        <v>2055</v>
      </c>
      <c r="C769" s="54">
        <v>45919</v>
      </c>
      <c r="D769" s="55">
        <v>50452971197</v>
      </c>
      <c r="E769" s="55">
        <v>2073864177609</v>
      </c>
      <c r="F769" s="56" t="s">
        <v>2056</v>
      </c>
      <c r="G769" s="56" t="s">
        <v>2057</v>
      </c>
      <c r="H769" s="56" t="s">
        <v>8</v>
      </c>
      <c r="I769" s="55" t="s">
        <v>8</v>
      </c>
      <c r="J769" s="57">
        <v>655.72</v>
      </c>
      <c r="K769" s="56" t="s">
        <v>2058</v>
      </c>
      <c r="L769" s="56" t="s">
        <v>2059</v>
      </c>
      <c r="M769" s="55" t="s">
        <v>2060</v>
      </c>
      <c r="N769" s="56" t="s">
        <v>2061</v>
      </c>
      <c r="O769" s="53" t="s">
        <v>8</v>
      </c>
      <c r="P769" s="56" t="s">
        <v>2413</v>
      </c>
      <c r="Q769" s="57">
        <v>67600</v>
      </c>
      <c r="R769" s="58" t="s">
        <v>8</v>
      </c>
      <c r="S769" s="57" t="s">
        <v>8</v>
      </c>
      <c r="T769" s="56" t="s">
        <v>2063</v>
      </c>
    </row>
    <row r="770" spans="1:20">
      <c r="A770" s="55">
        <v>126180758335</v>
      </c>
      <c r="B770" s="53" t="s">
        <v>2055</v>
      </c>
      <c r="C770" s="54">
        <v>45919</v>
      </c>
      <c r="D770" s="55">
        <v>50453005695</v>
      </c>
      <c r="E770" s="55">
        <v>2073864607081</v>
      </c>
      <c r="F770" s="56" t="s">
        <v>2066</v>
      </c>
      <c r="G770" s="56" t="s">
        <v>2057</v>
      </c>
      <c r="H770" s="56" t="s">
        <v>8</v>
      </c>
      <c r="I770" s="55" t="s">
        <v>8</v>
      </c>
      <c r="J770" s="57">
        <v>944.32</v>
      </c>
      <c r="K770" s="56" t="s">
        <v>2058</v>
      </c>
      <c r="L770" s="56" t="s">
        <v>2067</v>
      </c>
      <c r="M770" s="55" t="s">
        <v>2060</v>
      </c>
      <c r="N770" s="56" t="s">
        <v>2061</v>
      </c>
      <c r="O770" s="53" t="s">
        <v>1790</v>
      </c>
      <c r="P770" s="56" t="s">
        <v>2068</v>
      </c>
      <c r="Q770" s="57">
        <v>20800</v>
      </c>
      <c r="R770" s="58" t="s">
        <v>8</v>
      </c>
      <c r="S770" s="57" t="s">
        <v>8</v>
      </c>
      <c r="T770" s="56" t="s">
        <v>2063</v>
      </c>
    </row>
    <row r="771" spans="1:20">
      <c r="A771" s="55">
        <v>126736920096</v>
      </c>
      <c r="B771" s="53" t="s">
        <v>2055</v>
      </c>
      <c r="C771" s="54">
        <v>45919</v>
      </c>
      <c r="D771" s="55">
        <v>50453015689</v>
      </c>
      <c r="E771" s="55">
        <v>2073864488725</v>
      </c>
      <c r="F771" s="56" t="s">
        <v>2066</v>
      </c>
      <c r="G771" s="56" t="s">
        <v>2057</v>
      </c>
      <c r="H771" s="56" t="s">
        <v>8</v>
      </c>
      <c r="I771" s="55" t="s">
        <v>8</v>
      </c>
      <c r="J771" s="57">
        <v>3383.73</v>
      </c>
      <c r="K771" s="56" t="s">
        <v>2058</v>
      </c>
      <c r="L771" s="56" t="s">
        <v>2067</v>
      </c>
      <c r="M771" s="55" t="s">
        <v>2060</v>
      </c>
      <c r="N771" s="56" t="s">
        <v>2061</v>
      </c>
      <c r="O771" s="53" t="s">
        <v>1790</v>
      </c>
      <c r="P771" s="56" t="s">
        <v>2068</v>
      </c>
      <c r="Q771" s="57">
        <v>86100</v>
      </c>
      <c r="R771" s="58" t="s">
        <v>8</v>
      </c>
      <c r="S771" s="57" t="s">
        <v>8</v>
      </c>
      <c r="T771" s="56" t="s">
        <v>2063</v>
      </c>
    </row>
    <row r="772" spans="1:20">
      <c r="A772" s="55">
        <v>126737086952</v>
      </c>
      <c r="B772" s="53" t="s">
        <v>2055</v>
      </c>
      <c r="C772" s="54">
        <v>45919</v>
      </c>
      <c r="D772" s="55">
        <v>50453033533</v>
      </c>
      <c r="E772" s="55">
        <v>2073865692017</v>
      </c>
      <c r="F772" s="56" t="s">
        <v>2066</v>
      </c>
      <c r="G772" s="56" t="s">
        <v>2057</v>
      </c>
      <c r="H772" s="56" t="s">
        <v>8</v>
      </c>
      <c r="I772" s="55" t="s">
        <v>8</v>
      </c>
      <c r="J772" s="57">
        <v>794.5</v>
      </c>
      <c r="K772" s="56" t="s">
        <v>2058</v>
      </c>
      <c r="L772" s="56" t="s">
        <v>2067</v>
      </c>
      <c r="M772" s="55" t="s">
        <v>2060</v>
      </c>
      <c r="N772" s="56" t="s">
        <v>2061</v>
      </c>
      <c r="O772" s="53" t="s">
        <v>1790</v>
      </c>
      <c r="P772" s="56" t="s">
        <v>2068</v>
      </c>
      <c r="Q772" s="57">
        <v>17500</v>
      </c>
      <c r="R772" s="58" t="s">
        <v>8</v>
      </c>
      <c r="S772" s="57" t="s">
        <v>8</v>
      </c>
      <c r="T772" s="56" t="s">
        <v>2063</v>
      </c>
    </row>
    <row r="773" spans="1:20">
      <c r="A773" s="55">
        <v>126737129400</v>
      </c>
      <c r="B773" s="53" t="s">
        <v>2055</v>
      </c>
      <c r="C773" s="54">
        <v>45919</v>
      </c>
      <c r="D773" s="55">
        <v>50453089901</v>
      </c>
      <c r="E773" s="55">
        <v>2073917176884</v>
      </c>
      <c r="F773" s="56" t="s">
        <v>2056</v>
      </c>
      <c r="G773" s="56" t="s">
        <v>2057</v>
      </c>
      <c r="H773" s="56" t="s">
        <v>8</v>
      </c>
      <c r="I773" s="55" t="s">
        <v>8</v>
      </c>
      <c r="J773" s="57">
        <v>90.21</v>
      </c>
      <c r="K773" s="56" t="s">
        <v>2058</v>
      </c>
      <c r="L773" s="56" t="s">
        <v>2059</v>
      </c>
      <c r="M773" s="55" t="s">
        <v>2060</v>
      </c>
      <c r="N773" s="56" t="s">
        <v>2061</v>
      </c>
      <c r="O773" s="53" t="s">
        <v>8</v>
      </c>
      <c r="P773" s="56" t="s">
        <v>2081</v>
      </c>
      <c r="Q773" s="57">
        <v>9300</v>
      </c>
      <c r="R773" s="58" t="s">
        <v>8</v>
      </c>
      <c r="S773" s="57" t="s">
        <v>8</v>
      </c>
      <c r="T773" s="56" t="s">
        <v>2063</v>
      </c>
    </row>
    <row r="774" spans="1:20">
      <c r="A774" s="55">
        <v>126181421567</v>
      </c>
      <c r="B774" s="53" t="s">
        <v>2055</v>
      </c>
      <c r="C774" s="54">
        <v>45919</v>
      </c>
      <c r="D774" s="55">
        <v>50453223608</v>
      </c>
      <c r="E774" s="55">
        <v>2073921007120</v>
      </c>
      <c r="F774" s="56" t="s">
        <v>2056</v>
      </c>
      <c r="G774" s="56" t="s">
        <v>2057</v>
      </c>
      <c r="H774" s="56" t="s">
        <v>8</v>
      </c>
      <c r="I774" s="55" t="s">
        <v>8</v>
      </c>
      <c r="J774" s="57">
        <v>317.19</v>
      </c>
      <c r="K774" s="56" t="s">
        <v>2058</v>
      </c>
      <c r="L774" s="56" t="s">
        <v>2059</v>
      </c>
      <c r="M774" s="55" t="s">
        <v>2060</v>
      </c>
      <c r="N774" s="56" t="s">
        <v>2061</v>
      </c>
      <c r="O774" s="53" t="s">
        <v>8</v>
      </c>
      <c r="P774" s="56" t="s">
        <v>2414</v>
      </c>
      <c r="Q774" s="57">
        <v>32700</v>
      </c>
      <c r="R774" s="58" t="s">
        <v>8</v>
      </c>
      <c r="S774" s="57" t="s">
        <v>8</v>
      </c>
      <c r="T774" s="56" t="s">
        <v>2063</v>
      </c>
    </row>
    <row r="775" spans="1:20">
      <c r="A775" s="55">
        <v>126181139963</v>
      </c>
      <c r="B775" s="53" t="s">
        <v>2055</v>
      </c>
      <c r="C775" s="54">
        <v>45919</v>
      </c>
      <c r="D775" s="55">
        <v>50453228205</v>
      </c>
      <c r="E775" s="55">
        <v>2073869481869</v>
      </c>
      <c r="F775" s="56" t="s">
        <v>2056</v>
      </c>
      <c r="G775" s="56" t="s">
        <v>2057</v>
      </c>
      <c r="H775" s="56" t="s">
        <v>8</v>
      </c>
      <c r="I775" s="55" t="s">
        <v>8</v>
      </c>
      <c r="J775" s="57">
        <v>125.13</v>
      </c>
      <c r="K775" s="56" t="s">
        <v>2058</v>
      </c>
      <c r="L775" s="56" t="s">
        <v>2059</v>
      </c>
      <c r="M775" s="55" t="s">
        <v>2060</v>
      </c>
      <c r="N775" s="56" t="s">
        <v>2061</v>
      </c>
      <c r="O775" s="53" t="s">
        <v>8</v>
      </c>
      <c r="P775" s="56" t="s">
        <v>2415</v>
      </c>
      <c r="Q775" s="57">
        <v>12900</v>
      </c>
      <c r="R775" s="58" t="s">
        <v>8</v>
      </c>
      <c r="S775" s="57" t="s">
        <v>8</v>
      </c>
      <c r="T775" s="56" t="s">
        <v>2063</v>
      </c>
    </row>
    <row r="776" spans="1:20">
      <c r="A776" s="55">
        <v>126182042267</v>
      </c>
      <c r="B776" s="53" t="s">
        <v>2055</v>
      </c>
      <c r="C776" s="54">
        <v>45919</v>
      </c>
      <c r="D776" s="55">
        <v>50453448245</v>
      </c>
      <c r="E776" s="55">
        <v>2073874567527</v>
      </c>
      <c r="F776" s="56" t="s">
        <v>2056</v>
      </c>
      <c r="G776" s="56" t="s">
        <v>2057</v>
      </c>
      <c r="H776" s="56" t="s">
        <v>8</v>
      </c>
      <c r="I776" s="55" t="s">
        <v>8</v>
      </c>
      <c r="J776" s="57">
        <v>218.25</v>
      </c>
      <c r="K776" s="56" t="s">
        <v>2058</v>
      </c>
      <c r="L776" s="56" t="s">
        <v>2059</v>
      </c>
      <c r="M776" s="55" t="s">
        <v>2060</v>
      </c>
      <c r="N776" s="56" t="s">
        <v>2061</v>
      </c>
      <c r="O776" s="53" t="s">
        <v>8</v>
      </c>
      <c r="P776" s="56" t="s">
        <v>2416</v>
      </c>
      <c r="Q776" s="57">
        <v>22500</v>
      </c>
      <c r="R776" s="58" t="s">
        <v>8</v>
      </c>
      <c r="S776" s="57" t="s">
        <v>8</v>
      </c>
      <c r="T776" s="56" t="s">
        <v>2063</v>
      </c>
    </row>
    <row r="777" spans="1:20">
      <c r="A777" s="55">
        <v>126738333100</v>
      </c>
      <c r="B777" s="53" t="s">
        <v>2055</v>
      </c>
      <c r="C777" s="54">
        <v>45919</v>
      </c>
      <c r="D777" s="55">
        <v>50453537456</v>
      </c>
      <c r="E777" s="55">
        <v>2073927259220</v>
      </c>
      <c r="F777" s="56" t="s">
        <v>2056</v>
      </c>
      <c r="G777" s="56" t="s">
        <v>2057</v>
      </c>
      <c r="H777" s="56" t="s">
        <v>8</v>
      </c>
      <c r="I777" s="55" t="s">
        <v>8</v>
      </c>
      <c r="J777" s="57">
        <v>339.5</v>
      </c>
      <c r="K777" s="56" t="s">
        <v>2058</v>
      </c>
      <c r="L777" s="56" t="s">
        <v>2059</v>
      </c>
      <c r="M777" s="55" t="s">
        <v>2060</v>
      </c>
      <c r="N777" s="56" t="s">
        <v>2061</v>
      </c>
      <c r="O777" s="53" t="s">
        <v>8</v>
      </c>
      <c r="P777" s="56" t="s">
        <v>2387</v>
      </c>
      <c r="Q777" s="57">
        <v>35000</v>
      </c>
      <c r="R777" s="58" t="s">
        <v>8</v>
      </c>
      <c r="S777" s="57" t="s">
        <v>8</v>
      </c>
      <c r="T777" s="56" t="s">
        <v>2063</v>
      </c>
    </row>
    <row r="778" spans="1:20">
      <c r="A778" s="55">
        <v>126738441012</v>
      </c>
      <c r="B778" s="53" t="s">
        <v>2055</v>
      </c>
      <c r="C778" s="54">
        <v>45919</v>
      </c>
      <c r="D778" s="55">
        <v>50453557878</v>
      </c>
      <c r="E778" s="55">
        <v>2073928003144</v>
      </c>
      <c r="F778" s="56" t="s">
        <v>2056</v>
      </c>
      <c r="G778" s="56" t="s">
        <v>2057</v>
      </c>
      <c r="H778" s="56" t="s">
        <v>8</v>
      </c>
      <c r="I778" s="55" t="s">
        <v>8</v>
      </c>
      <c r="J778" s="57">
        <v>131.91999999999999</v>
      </c>
      <c r="K778" s="56" t="s">
        <v>2058</v>
      </c>
      <c r="L778" s="56" t="s">
        <v>2059</v>
      </c>
      <c r="M778" s="55" t="s">
        <v>2060</v>
      </c>
      <c r="N778" s="56" t="s">
        <v>2061</v>
      </c>
      <c r="O778" s="53" t="s">
        <v>8</v>
      </c>
      <c r="P778" s="56" t="s">
        <v>2271</v>
      </c>
      <c r="Q778" s="57">
        <v>13600</v>
      </c>
      <c r="R778" s="58" t="s">
        <v>8</v>
      </c>
      <c r="S778" s="57" t="s">
        <v>8</v>
      </c>
      <c r="T778" s="56" t="s">
        <v>2063</v>
      </c>
    </row>
    <row r="779" spans="1:20">
      <c r="A779" s="55">
        <v>126738655450</v>
      </c>
      <c r="B779" s="53" t="s">
        <v>2055</v>
      </c>
      <c r="C779" s="54">
        <v>45919</v>
      </c>
      <c r="D779" s="55">
        <v>50453648215</v>
      </c>
      <c r="E779" s="55">
        <v>2073879340571</v>
      </c>
      <c r="F779" s="56" t="s">
        <v>2056</v>
      </c>
      <c r="G779" s="56" t="s">
        <v>2057</v>
      </c>
      <c r="H779" s="56" t="s">
        <v>8</v>
      </c>
      <c r="I779" s="55" t="s">
        <v>8</v>
      </c>
      <c r="J779" s="57">
        <v>131.91999999999999</v>
      </c>
      <c r="K779" s="56" t="s">
        <v>2058</v>
      </c>
      <c r="L779" s="56" t="s">
        <v>2059</v>
      </c>
      <c r="M779" s="55" t="s">
        <v>2060</v>
      </c>
      <c r="N779" s="56" t="s">
        <v>2061</v>
      </c>
      <c r="O779" s="53" t="s">
        <v>8</v>
      </c>
      <c r="P779" s="56" t="s">
        <v>2408</v>
      </c>
      <c r="Q779" s="57">
        <v>13600</v>
      </c>
      <c r="R779" s="58" t="s">
        <v>8</v>
      </c>
      <c r="S779" s="57" t="s">
        <v>8</v>
      </c>
      <c r="T779" s="56" t="s">
        <v>2063</v>
      </c>
    </row>
    <row r="780" spans="1:20">
      <c r="A780" s="55">
        <v>126738940502</v>
      </c>
      <c r="B780" s="53" t="s">
        <v>2055</v>
      </c>
      <c r="C780" s="54">
        <v>45919</v>
      </c>
      <c r="D780" s="55">
        <v>50453693716</v>
      </c>
      <c r="E780" s="55">
        <v>2073931671156</v>
      </c>
      <c r="F780" s="56" t="s">
        <v>2056</v>
      </c>
      <c r="G780" s="56" t="s">
        <v>2057</v>
      </c>
      <c r="H780" s="56" t="s">
        <v>8</v>
      </c>
      <c r="I780" s="55" t="s">
        <v>8</v>
      </c>
      <c r="J780" s="57">
        <v>37.83</v>
      </c>
      <c r="K780" s="56" t="s">
        <v>2058</v>
      </c>
      <c r="L780" s="56" t="s">
        <v>2059</v>
      </c>
      <c r="M780" s="55" t="s">
        <v>2060</v>
      </c>
      <c r="N780" s="56" t="s">
        <v>2061</v>
      </c>
      <c r="O780" s="53" t="s">
        <v>8</v>
      </c>
      <c r="P780" s="56" t="s">
        <v>2417</v>
      </c>
      <c r="Q780" s="57">
        <v>3900</v>
      </c>
      <c r="R780" s="58" t="s">
        <v>8</v>
      </c>
      <c r="S780" s="57" t="s">
        <v>8</v>
      </c>
      <c r="T780" s="56" t="s">
        <v>2063</v>
      </c>
    </row>
    <row r="781" spans="1:20">
      <c r="A781" s="55">
        <v>126182746591</v>
      </c>
      <c r="B781" s="53" t="s">
        <v>2055</v>
      </c>
      <c r="C781" s="54">
        <v>45919</v>
      </c>
      <c r="D781" s="55">
        <v>50453713240</v>
      </c>
      <c r="E781" s="55">
        <v>2073881800567</v>
      </c>
      <c r="F781" s="56" t="s">
        <v>2056</v>
      </c>
      <c r="G781" s="56" t="s">
        <v>2057</v>
      </c>
      <c r="H781" s="56" t="s">
        <v>8</v>
      </c>
      <c r="I781" s="55" t="s">
        <v>8</v>
      </c>
      <c r="J781" s="57">
        <v>231.83</v>
      </c>
      <c r="K781" s="56" t="s">
        <v>2058</v>
      </c>
      <c r="L781" s="56" t="s">
        <v>2059</v>
      </c>
      <c r="M781" s="55" t="s">
        <v>2060</v>
      </c>
      <c r="N781" s="56" t="s">
        <v>2061</v>
      </c>
      <c r="O781" s="53" t="s">
        <v>8</v>
      </c>
      <c r="P781" s="56" t="s">
        <v>2392</v>
      </c>
      <c r="Q781" s="57">
        <v>23900</v>
      </c>
      <c r="R781" s="58" t="s">
        <v>8</v>
      </c>
      <c r="S781" s="57" t="s">
        <v>8</v>
      </c>
      <c r="T781" s="56" t="s">
        <v>2063</v>
      </c>
    </row>
    <row r="782" spans="1:20">
      <c r="A782" s="55">
        <v>126182861281</v>
      </c>
      <c r="B782" s="53" t="s">
        <v>2055</v>
      </c>
      <c r="C782" s="54">
        <v>45919</v>
      </c>
      <c r="D782" s="55">
        <v>50453799173</v>
      </c>
      <c r="E782" s="55">
        <v>2073883685583</v>
      </c>
      <c r="F782" s="56" t="s">
        <v>2056</v>
      </c>
      <c r="G782" s="56" t="s">
        <v>2057</v>
      </c>
      <c r="H782" s="56" t="s">
        <v>8</v>
      </c>
      <c r="I782" s="55" t="s">
        <v>8</v>
      </c>
      <c r="J782" s="57">
        <v>37.83</v>
      </c>
      <c r="K782" s="56" t="s">
        <v>2058</v>
      </c>
      <c r="L782" s="56" t="s">
        <v>2059</v>
      </c>
      <c r="M782" s="55" t="s">
        <v>2060</v>
      </c>
      <c r="N782" s="56" t="s">
        <v>2061</v>
      </c>
      <c r="O782" s="53" t="s">
        <v>8</v>
      </c>
      <c r="P782" s="56" t="s">
        <v>2418</v>
      </c>
      <c r="Q782" s="57">
        <v>3900</v>
      </c>
      <c r="R782" s="58" t="s">
        <v>8</v>
      </c>
      <c r="S782" s="57" t="s">
        <v>8</v>
      </c>
      <c r="T782" s="56" t="s">
        <v>2063</v>
      </c>
    </row>
    <row r="783" spans="1:20">
      <c r="A783" s="55">
        <v>126183314795</v>
      </c>
      <c r="B783" s="53" t="s">
        <v>2055</v>
      </c>
      <c r="C783" s="54">
        <v>45919</v>
      </c>
      <c r="D783" s="55">
        <v>50453863489</v>
      </c>
      <c r="E783" s="55">
        <v>2073937902134</v>
      </c>
      <c r="F783" s="56" t="s">
        <v>2056</v>
      </c>
      <c r="G783" s="56" t="s">
        <v>2057</v>
      </c>
      <c r="H783" s="56" t="s">
        <v>8</v>
      </c>
      <c r="I783" s="55" t="s">
        <v>8</v>
      </c>
      <c r="J783" s="57">
        <v>90.21</v>
      </c>
      <c r="K783" s="56" t="s">
        <v>2058</v>
      </c>
      <c r="L783" s="56" t="s">
        <v>2059</v>
      </c>
      <c r="M783" s="55" t="s">
        <v>2060</v>
      </c>
      <c r="N783" s="56" t="s">
        <v>2061</v>
      </c>
      <c r="O783" s="53" t="s">
        <v>8</v>
      </c>
      <c r="P783" s="56" t="s">
        <v>2419</v>
      </c>
      <c r="Q783" s="57">
        <v>9300</v>
      </c>
      <c r="R783" s="58" t="s">
        <v>8</v>
      </c>
      <c r="S783" s="57" t="s">
        <v>8</v>
      </c>
      <c r="T783" s="56" t="s">
        <v>2063</v>
      </c>
    </row>
    <row r="784" spans="1:20">
      <c r="A784" s="55">
        <v>126183222931</v>
      </c>
      <c r="B784" s="53" t="s">
        <v>2055</v>
      </c>
      <c r="C784" s="54">
        <v>45919</v>
      </c>
      <c r="D784" s="55">
        <v>50453869312</v>
      </c>
      <c r="E784" s="55">
        <v>2073886204011</v>
      </c>
      <c r="F784" s="56" t="s">
        <v>2069</v>
      </c>
      <c r="G784" s="56" t="s">
        <v>2057</v>
      </c>
      <c r="H784" s="56" t="s">
        <v>8</v>
      </c>
      <c r="I784" s="55" t="s">
        <v>8</v>
      </c>
      <c r="J784" s="57">
        <v>79.540000000000006</v>
      </c>
      <c r="K784" s="56" t="s">
        <v>2058</v>
      </c>
      <c r="L784" s="56" t="s">
        <v>2059</v>
      </c>
      <c r="M784" s="55" t="s">
        <v>2060</v>
      </c>
      <c r="N784" s="56" t="s">
        <v>2061</v>
      </c>
      <c r="O784" s="53" t="s">
        <v>8</v>
      </c>
      <c r="P784" s="56" t="s">
        <v>2070</v>
      </c>
      <c r="Q784" s="57">
        <v>8200</v>
      </c>
      <c r="R784" s="58" t="s">
        <v>8</v>
      </c>
      <c r="S784" s="57" t="s">
        <v>8</v>
      </c>
      <c r="T784" s="56" t="s">
        <v>8</v>
      </c>
    </row>
    <row r="785" spans="1:20">
      <c r="A785" s="55">
        <v>126183344315</v>
      </c>
      <c r="B785" s="53" t="s">
        <v>2055</v>
      </c>
      <c r="C785" s="54">
        <v>45919</v>
      </c>
      <c r="D785" s="55">
        <v>50453880388</v>
      </c>
      <c r="E785" s="55">
        <v>2073887172857</v>
      </c>
      <c r="F785" s="56" t="s">
        <v>2056</v>
      </c>
      <c r="G785" s="56" t="s">
        <v>2057</v>
      </c>
      <c r="H785" s="56" t="s">
        <v>8</v>
      </c>
      <c r="I785" s="55" t="s">
        <v>8</v>
      </c>
      <c r="J785" s="57">
        <v>609.16</v>
      </c>
      <c r="K785" s="56" t="s">
        <v>2058</v>
      </c>
      <c r="L785" s="56" t="s">
        <v>2059</v>
      </c>
      <c r="M785" s="55" t="s">
        <v>2060</v>
      </c>
      <c r="N785" s="56" t="s">
        <v>2061</v>
      </c>
      <c r="O785" s="53" t="s">
        <v>8</v>
      </c>
      <c r="P785" s="56" t="s">
        <v>2084</v>
      </c>
      <c r="Q785" s="57">
        <v>62800</v>
      </c>
      <c r="R785" s="58" t="s">
        <v>8</v>
      </c>
      <c r="S785" s="57" t="s">
        <v>8</v>
      </c>
      <c r="T785" s="56" t="s">
        <v>2063</v>
      </c>
    </row>
    <row r="786" spans="1:20">
      <c r="A786" s="55">
        <v>126183517159</v>
      </c>
      <c r="B786" s="53" t="s">
        <v>2055</v>
      </c>
      <c r="C786" s="54">
        <v>45919</v>
      </c>
      <c r="D786" s="55">
        <v>50454036357</v>
      </c>
      <c r="E786" s="55">
        <v>2073942411136</v>
      </c>
      <c r="F786" s="56" t="s">
        <v>2069</v>
      </c>
      <c r="G786" s="56" t="s">
        <v>2057</v>
      </c>
      <c r="H786" s="56" t="s">
        <v>8</v>
      </c>
      <c r="I786" s="55" t="s">
        <v>8</v>
      </c>
      <c r="J786" s="57">
        <v>41.71</v>
      </c>
      <c r="K786" s="56" t="s">
        <v>2058</v>
      </c>
      <c r="L786" s="56" t="s">
        <v>2059</v>
      </c>
      <c r="M786" s="55" t="s">
        <v>2060</v>
      </c>
      <c r="N786" s="56" t="s">
        <v>2061</v>
      </c>
      <c r="O786" s="53" t="s">
        <v>8</v>
      </c>
      <c r="P786" s="56" t="s">
        <v>2070</v>
      </c>
      <c r="Q786" s="57">
        <v>4300</v>
      </c>
      <c r="R786" s="58" t="s">
        <v>8</v>
      </c>
      <c r="S786" s="57" t="s">
        <v>8</v>
      </c>
      <c r="T786" s="56" t="s">
        <v>8</v>
      </c>
    </row>
    <row r="787" spans="1:20">
      <c r="A787" s="55">
        <v>126740106866</v>
      </c>
      <c r="B787" s="53" t="s">
        <v>2055</v>
      </c>
      <c r="C787" s="54">
        <v>45919</v>
      </c>
      <c r="D787" s="55">
        <v>50454050753</v>
      </c>
      <c r="E787" s="55">
        <v>2073942703778</v>
      </c>
      <c r="F787" s="56" t="s">
        <v>2056</v>
      </c>
      <c r="G787" s="56" t="s">
        <v>2057</v>
      </c>
      <c r="H787" s="56" t="s">
        <v>8</v>
      </c>
      <c r="I787" s="55" t="s">
        <v>8</v>
      </c>
      <c r="J787" s="57">
        <v>48.5</v>
      </c>
      <c r="K787" s="56" t="s">
        <v>2058</v>
      </c>
      <c r="L787" s="56" t="s">
        <v>2059</v>
      </c>
      <c r="M787" s="55" t="s">
        <v>2060</v>
      </c>
      <c r="N787" s="56" t="s">
        <v>2061</v>
      </c>
      <c r="O787" s="53" t="s">
        <v>8</v>
      </c>
      <c r="P787" s="56" t="s">
        <v>2409</v>
      </c>
      <c r="Q787" s="57">
        <v>5000</v>
      </c>
      <c r="R787" s="58" t="s">
        <v>8</v>
      </c>
      <c r="S787" s="57" t="s">
        <v>8</v>
      </c>
      <c r="T787" s="56" t="s">
        <v>2063</v>
      </c>
    </row>
    <row r="788" spans="1:20">
      <c r="A788" s="55">
        <v>126183601699</v>
      </c>
      <c r="B788" s="53" t="s">
        <v>2055</v>
      </c>
      <c r="C788" s="54">
        <v>45919</v>
      </c>
      <c r="D788" s="55">
        <v>50454100557</v>
      </c>
      <c r="E788" s="55">
        <v>2073894171531</v>
      </c>
      <c r="F788" s="56" t="s">
        <v>2066</v>
      </c>
      <c r="G788" s="56" t="s">
        <v>2057</v>
      </c>
      <c r="H788" s="56" t="s">
        <v>8</v>
      </c>
      <c r="I788" s="55" t="s">
        <v>8</v>
      </c>
      <c r="J788" s="57">
        <v>266.35000000000002</v>
      </c>
      <c r="K788" s="56" t="s">
        <v>2058</v>
      </c>
      <c r="L788" s="56" t="s">
        <v>2067</v>
      </c>
      <c r="M788" s="55" t="s">
        <v>2060</v>
      </c>
      <c r="N788" s="56" t="s">
        <v>2061</v>
      </c>
      <c r="O788" s="53" t="s">
        <v>1790</v>
      </c>
      <c r="P788" s="56" t="s">
        <v>2068</v>
      </c>
      <c r="Q788" s="57">
        <v>3500</v>
      </c>
      <c r="R788" s="58" t="s">
        <v>8</v>
      </c>
      <c r="S788" s="57" t="s">
        <v>8</v>
      </c>
      <c r="T788" s="56" t="s">
        <v>2063</v>
      </c>
    </row>
    <row r="789" spans="1:20">
      <c r="A789" s="55">
        <v>126183676019</v>
      </c>
      <c r="B789" s="53" t="s">
        <v>2055</v>
      </c>
      <c r="C789" s="54">
        <v>45919</v>
      </c>
      <c r="D789" s="55">
        <v>50454110085</v>
      </c>
      <c r="E789" s="55">
        <v>2073945777292</v>
      </c>
      <c r="F789" s="56" t="s">
        <v>2069</v>
      </c>
      <c r="G789" s="56" t="s">
        <v>2057</v>
      </c>
      <c r="H789" s="56" t="s">
        <v>8</v>
      </c>
      <c r="I789" s="55" t="s">
        <v>8</v>
      </c>
      <c r="J789" s="57">
        <v>125.13</v>
      </c>
      <c r="K789" s="56" t="s">
        <v>2058</v>
      </c>
      <c r="L789" s="56" t="s">
        <v>2059</v>
      </c>
      <c r="M789" s="55" t="s">
        <v>2060</v>
      </c>
      <c r="N789" s="56" t="s">
        <v>2061</v>
      </c>
      <c r="O789" s="53" t="s">
        <v>8</v>
      </c>
      <c r="P789" s="56" t="s">
        <v>2070</v>
      </c>
      <c r="Q789" s="57">
        <v>12900</v>
      </c>
      <c r="R789" s="58" t="s">
        <v>8</v>
      </c>
      <c r="S789" s="57" t="s">
        <v>8</v>
      </c>
      <c r="T789" s="56" t="s">
        <v>8</v>
      </c>
    </row>
    <row r="790" spans="1:20">
      <c r="A790" s="55">
        <v>126740494230</v>
      </c>
      <c r="B790" s="53" t="s">
        <v>2055</v>
      </c>
      <c r="C790" s="54">
        <v>45919</v>
      </c>
      <c r="D790" s="55">
        <v>50454130418</v>
      </c>
      <c r="E790" s="55">
        <v>2073946614698</v>
      </c>
      <c r="F790" s="56" t="s">
        <v>2066</v>
      </c>
      <c r="G790" s="56" t="s">
        <v>2057</v>
      </c>
      <c r="H790" s="56" t="s">
        <v>8</v>
      </c>
      <c r="I790" s="55" t="s">
        <v>8</v>
      </c>
      <c r="J790" s="57">
        <v>258.77999999999997</v>
      </c>
      <c r="K790" s="56" t="s">
        <v>2058</v>
      </c>
      <c r="L790" s="56" t="s">
        <v>2067</v>
      </c>
      <c r="M790" s="55" t="s">
        <v>2060</v>
      </c>
      <c r="N790" s="56" t="s">
        <v>2061</v>
      </c>
      <c r="O790" s="53" t="s">
        <v>1790</v>
      </c>
      <c r="P790" s="56" t="s">
        <v>2068</v>
      </c>
      <c r="Q790" s="57">
        <v>5700</v>
      </c>
      <c r="R790" s="58" t="s">
        <v>8</v>
      </c>
      <c r="S790" s="57" t="s">
        <v>8</v>
      </c>
      <c r="T790" s="56" t="s">
        <v>2063</v>
      </c>
    </row>
    <row r="791" spans="1:20">
      <c r="A791" s="55">
        <v>126740392456</v>
      </c>
      <c r="B791" s="53" t="s">
        <v>2055</v>
      </c>
      <c r="C791" s="54">
        <v>45919</v>
      </c>
      <c r="D791" s="55">
        <v>50454146244</v>
      </c>
      <c r="E791" s="55">
        <v>2073895673037</v>
      </c>
      <c r="F791" s="56" t="s">
        <v>2056</v>
      </c>
      <c r="G791" s="56" t="s">
        <v>2057</v>
      </c>
      <c r="H791" s="56" t="s">
        <v>8</v>
      </c>
      <c r="I791" s="55" t="s">
        <v>8</v>
      </c>
      <c r="J791" s="57">
        <v>81.48</v>
      </c>
      <c r="K791" s="56" t="s">
        <v>2058</v>
      </c>
      <c r="L791" s="56" t="s">
        <v>2059</v>
      </c>
      <c r="M791" s="55" t="s">
        <v>2060</v>
      </c>
      <c r="N791" s="56" t="s">
        <v>2061</v>
      </c>
      <c r="O791" s="53" t="s">
        <v>8</v>
      </c>
      <c r="P791" s="56" t="s">
        <v>2415</v>
      </c>
      <c r="Q791" s="57">
        <v>8400</v>
      </c>
      <c r="R791" s="58" t="s">
        <v>8</v>
      </c>
      <c r="S791" s="57" t="s">
        <v>8</v>
      </c>
      <c r="T791" s="56" t="s">
        <v>2063</v>
      </c>
    </row>
    <row r="792" spans="1:20">
      <c r="A792" s="55">
        <v>126740171940</v>
      </c>
      <c r="B792" s="53" t="s">
        <v>2055</v>
      </c>
      <c r="C792" s="54">
        <v>45919</v>
      </c>
      <c r="D792" s="55">
        <v>50454151079</v>
      </c>
      <c r="E792" s="55">
        <v>2073946906990</v>
      </c>
      <c r="F792" s="56" t="s">
        <v>2056</v>
      </c>
      <c r="G792" s="56" t="s">
        <v>2057</v>
      </c>
      <c r="H792" s="56" t="s">
        <v>8</v>
      </c>
      <c r="I792" s="55" t="s">
        <v>8</v>
      </c>
      <c r="J792" s="57">
        <v>48.5</v>
      </c>
      <c r="K792" s="56" t="s">
        <v>2058</v>
      </c>
      <c r="L792" s="56" t="s">
        <v>2059</v>
      </c>
      <c r="M792" s="55" t="s">
        <v>2060</v>
      </c>
      <c r="N792" s="56" t="s">
        <v>2061</v>
      </c>
      <c r="O792" s="53" t="s">
        <v>8</v>
      </c>
      <c r="P792" s="56" t="s">
        <v>2189</v>
      </c>
      <c r="Q792" s="57">
        <v>5000</v>
      </c>
      <c r="R792" s="58" t="s">
        <v>8</v>
      </c>
      <c r="S792" s="57" t="s">
        <v>8</v>
      </c>
      <c r="T792" s="56" t="s">
        <v>2063</v>
      </c>
    </row>
    <row r="793" spans="1:20">
      <c r="A793" s="55">
        <v>126184382547</v>
      </c>
      <c r="B793" s="53" t="s">
        <v>2055</v>
      </c>
      <c r="C793" s="54">
        <v>45919</v>
      </c>
      <c r="D793" s="55">
        <v>50454185102</v>
      </c>
      <c r="E793" s="55">
        <v>2073897229907</v>
      </c>
      <c r="F793" s="56" t="s">
        <v>2056</v>
      </c>
      <c r="G793" s="56" t="s">
        <v>2057</v>
      </c>
      <c r="H793" s="56" t="s">
        <v>8</v>
      </c>
      <c r="I793" s="55" t="s">
        <v>8</v>
      </c>
      <c r="J793" s="57">
        <v>508.28</v>
      </c>
      <c r="K793" s="56" t="s">
        <v>2058</v>
      </c>
      <c r="L793" s="56" t="s">
        <v>2059</v>
      </c>
      <c r="M793" s="55" t="s">
        <v>2060</v>
      </c>
      <c r="N793" s="56" t="s">
        <v>2061</v>
      </c>
      <c r="O793" s="53" t="s">
        <v>8</v>
      </c>
      <c r="P793" s="56" t="s">
        <v>2400</v>
      </c>
      <c r="Q793" s="57">
        <v>52400</v>
      </c>
      <c r="R793" s="58" t="s">
        <v>8</v>
      </c>
      <c r="S793" s="57" t="s">
        <v>8</v>
      </c>
      <c r="T793" s="56" t="s">
        <v>2063</v>
      </c>
    </row>
    <row r="794" spans="1:20">
      <c r="A794" s="55">
        <v>126740843732</v>
      </c>
      <c r="B794" s="53" t="s">
        <v>2055</v>
      </c>
      <c r="C794" s="54">
        <v>45919</v>
      </c>
      <c r="D794" s="55">
        <v>50454275691</v>
      </c>
      <c r="E794" s="55">
        <v>2073902320207</v>
      </c>
      <c r="F794" s="56" t="s">
        <v>2056</v>
      </c>
      <c r="G794" s="56" t="s">
        <v>2057</v>
      </c>
      <c r="H794" s="56" t="s">
        <v>8</v>
      </c>
      <c r="I794" s="55" t="s">
        <v>8</v>
      </c>
      <c r="J794" s="57">
        <v>93.12</v>
      </c>
      <c r="K794" s="56" t="s">
        <v>2058</v>
      </c>
      <c r="L794" s="56" t="s">
        <v>2059</v>
      </c>
      <c r="M794" s="55" t="s">
        <v>2060</v>
      </c>
      <c r="N794" s="56" t="s">
        <v>2061</v>
      </c>
      <c r="O794" s="53" t="s">
        <v>8</v>
      </c>
      <c r="P794" s="56" t="s">
        <v>2420</v>
      </c>
      <c r="Q794" s="57">
        <v>9600</v>
      </c>
      <c r="R794" s="58" t="s">
        <v>8</v>
      </c>
      <c r="S794" s="57" t="s">
        <v>8</v>
      </c>
      <c r="T794" s="56" t="s">
        <v>2063</v>
      </c>
    </row>
    <row r="795" spans="1:20">
      <c r="A795" s="55">
        <v>126741631900</v>
      </c>
      <c r="B795" s="53" t="s">
        <v>2055</v>
      </c>
      <c r="C795" s="54">
        <v>45919</v>
      </c>
      <c r="D795" s="55">
        <v>50454442686</v>
      </c>
      <c r="E795" s="55">
        <v>2073910212845</v>
      </c>
      <c r="F795" s="56" t="s">
        <v>2056</v>
      </c>
      <c r="G795" s="56" t="s">
        <v>2057</v>
      </c>
      <c r="H795" s="56" t="s">
        <v>8</v>
      </c>
      <c r="I795" s="55" t="s">
        <v>8</v>
      </c>
      <c r="J795" s="57">
        <v>119.31</v>
      </c>
      <c r="K795" s="56" t="s">
        <v>2058</v>
      </c>
      <c r="L795" s="56" t="s">
        <v>2059</v>
      </c>
      <c r="M795" s="55" t="s">
        <v>2060</v>
      </c>
      <c r="N795" s="56" t="s">
        <v>2061</v>
      </c>
      <c r="O795" s="53" t="s">
        <v>8</v>
      </c>
      <c r="P795" s="56" t="s">
        <v>2421</v>
      </c>
      <c r="Q795" s="57">
        <v>12300</v>
      </c>
      <c r="R795" s="58" t="s">
        <v>8</v>
      </c>
      <c r="S795" s="57" t="s">
        <v>8</v>
      </c>
      <c r="T795" s="56" t="s">
        <v>2063</v>
      </c>
    </row>
    <row r="796" spans="1:20">
      <c r="A796" s="55">
        <v>126185585139</v>
      </c>
      <c r="B796" s="53" t="s">
        <v>2055</v>
      </c>
      <c r="C796" s="54">
        <v>45919</v>
      </c>
      <c r="D796" s="55">
        <v>50454443928</v>
      </c>
      <c r="E796" s="55">
        <v>2073961473578</v>
      </c>
      <c r="F796" s="56" t="s">
        <v>2056</v>
      </c>
      <c r="G796" s="56" t="s">
        <v>2057</v>
      </c>
      <c r="H796" s="56" t="s">
        <v>8</v>
      </c>
      <c r="I796" s="55" t="s">
        <v>8</v>
      </c>
      <c r="J796" s="57">
        <v>229.89</v>
      </c>
      <c r="K796" s="56" t="s">
        <v>2058</v>
      </c>
      <c r="L796" s="56" t="s">
        <v>2059</v>
      </c>
      <c r="M796" s="55" t="s">
        <v>2060</v>
      </c>
      <c r="N796" s="56" t="s">
        <v>2061</v>
      </c>
      <c r="O796" s="53" t="s">
        <v>8</v>
      </c>
      <c r="P796" s="56" t="s">
        <v>2422</v>
      </c>
      <c r="Q796" s="57">
        <v>23700</v>
      </c>
      <c r="R796" s="58" t="s">
        <v>8</v>
      </c>
      <c r="S796" s="57" t="s">
        <v>8</v>
      </c>
      <c r="T796" s="56" t="s">
        <v>2063</v>
      </c>
    </row>
    <row r="797" spans="1:20">
      <c r="A797" s="55">
        <v>126185692955</v>
      </c>
      <c r="B797" s="53" t="s">
        <v>2055</v>
      </c>
      <c r="C797" s="54">
        <v>45919</v>
      </c>
      <c r="D797" s="55">
        <v>50454478687</v>
      </c>
      <c r="E797" s="55">
        <v>2073962373906</v>
      </c>
      <c r="F797" s="56" t="s">
        <v>2056</v>
      </c>
      <c r="G797" s="56" t="s">
        <v>2057</v>
      </c>
      <c r="H797" s="56" t="s">
        <v>8</v>
      </c>
      <c r="I797" s="55" t="s">
        <v>8</v>
      </c>
      <c r="J797" s="57">
        <v>162.96</v>
      </c>
      <c r="K797" s="56" t="s">
        <v>2058</v>
      </c>
      <c r="L797" s="56" t="s">
        <v>2059</v>
      </c>
      <c r="M797" s="55" t="s">
        <v>2060</v>
      </c>
      <c r="N797" s="56" t="s">
        <v>2061</v>
      </c>
      <c r="O797" s="53" t="s">
        <v>8</v>
      </c>
      <c r="P797" s="56" t="s">
        <v>2423</v>
      </c>
      <c r="Q797" s="57">
        <v>16800</v>
      </c>
      <c r="R797" s="58" t="s">
        <v>8</v>
      </c>
      <c r="S797" s="57" t="s">
        <v>8</v>
      </c>
      <c r="T797" s="56" t="s">
        <v>2063</v>
      </c>
    </row>
    <row r="798" spans="1:20">
      <c r="A798" s="55">
        <v>126185509995</v>
      </c>
      <c r="B798" s="53" t="s">
        <v>2055</v>
      </c>
      <c r="C798" s="54">
        <v>45919</v>
      </c>
      <c r="D798" s="55">
        <v>50454491666</v>
      </c>
      <c r="E798" s="55">
        <v>2073963449682</v>
      </c>
      <c r="F798" s="56" t="s">
        <v>2056</v>
      </c>
      <c r="G798" s="56" t="s">
        <v>2057</v>
      </c>
      <c r="H798" s="56" t="s">
        <v>8</v>
      </c>
      <c r="I798" s="55" t="s">
        <v>8</v>
      </c>
      <c r="J798" s="57">
        <v>223.1</v>
      </c>
      <c r="K798" s="56" t="s">
        <v>2058</v>
      </c>
      <c r="L798" s="56" t="s">
        <v>2059</v>
      </c>
      <c r="M798" s="55" t="s">
        <v>2060</v>
      </c>
      <c r="N798" s="56" t="s">
        <v>2061</v>
      </c>
      <c r="O798" s="53" t="s">
        <v>8</v>
      </c>
      <c r="P798" s="56" t="s">
        <v>2405</v>
      </c>
      <c r="Q798" s="57">
        <v>23000</v>
      </c>
      <c r="R798" s="58" t="s">
        <v>8</v>
      </c>
      <c r="S798" s="57" t="s">
        <v>8</v>
      </c>
      <c r="T798" s="56" t="s">
        <v>2063</v>
      </c>
    </row>
    <row r="799" spans="1:20">
      <c r="A799" s="55">
        <v>126185693425</v>
      </c>
      <c r="B799" s="53" t="s">
        <v>2055</v>
      </c>
      <c r="C799" s="54">
        <v>45919</v>
      </c>
      <c r="D799" s="55">
        <v>50454494296</v>
      </c>
      <c r="E799" s="55">
        <v>2073964023388</v>
      </c>
      <c r="F799" s="56" t="s">
        <v>2056</v>
      </c>
      <c r="G799" s="56" t="s">
        <v>2057</v>
      </c>
      <c r="H799" s="56" t="s">
        <v>8</v>
      </c>
      <c r="I799" s="55" t="s">
        <v>8</v>
      </c>
      <c r="J799" s="57">
        <v>447.17</v>
      </c>
      <c r="K799" s="56" t="s">
        <v>2058</v>
      </c>
      <c r="L799" s="56" t="s">
        <v>2059</v>
      </c>
      <c r="M799" s="55" t="s">
        <v>2060</v>
      </c>
      <c r="N799" s="56" t="s">
        <v>2061</v>
      </c>
      <c r="O799" s="53" t="s">
        <v>8</v>
      </c>
      <c r="P799" s="56" t="s">
        <v>2424</v>
      </c>
      <c r="Q799" s="57">
        <v>46100</v>
      </c>
      <c r="R799" s="58" t="s">
        <v>8</v>
      </c>
      <c r="S799" s="57" t="s">
        <v>8</v>
      </c>
      <c r="T799" s="56" t="s">
        <v>2063</v>
      </c>
    </row>
    <row r="800" spans="1:20">
      <c r="A800" s="55">
        <v>126741893182</v>
      </c>
      <c r="B800" s="53" t="s">
        <v>2055</v>
      </c>
      <c r="C800" s="54">
        <v>45919</v>
      </c>
      <c r="D800" s="55">
        <v>50454507088</v>
      </c>
      <c r="E800" s="55">
        <v>2073913414281</v>
      </c>
      <c r="F800" s="56" t="s">
        <v>2066</v>
      </c>
      <c r="G800" s="56" t="s">
        <v>2057</v>
      </c>
      <c r="H800" s="56" t="s">
        <v>8</v>
      </c>
      <c r="I800" s="55" t="s">
        <v>8</v>
      </c>
      <c r="J800" s="57">
        <v>885.3</v>
      </c>
      <c r="K800" s="56" t="s">
        <v>2058</v>
      </c>
      <c r="L800" s="56" t="s">
        <v>2067</v>
      </c>
      <c r="M800" s="55" t="s">
        <v>2060</v>
      </c>
      <c r="N800" s="56" t="s">
        <v>2061</v>
      </c>
      <c r="O800" s="53" t="s">
        <v>1790</v>
      </c>
      <c r="P800" s="56" t="s">
        <v>2068</v>
      </c>
      <c r="Q800" s="57">
        <v>19500</v>
      </c>
      <c r="R800" s="58" t="s">
        <v>8</v>
      </c>
      <c r="S800" s="57" t="s">
        <v>8</v>
      </c>
      <c r="T800" s="56" t="s">
        <v>2063</v>
      </c>
    </row>
    <row r="801" spans="1:20">
      <c r="A801" s="55">
        <v>126185826419</v>
      </c>
      <c r="B801" s="53" t="s">
        <v>2055</v>
      </c>
      <c r="C801" s="54">
        <v>45919</v>
      </c>
      <c r="D801" s="55">
        <v>50454534824</v>
      </c>
      <c r="E801" s="55">
        <v>2073913937193</v>
      </c>
      <c r="F801" s="56" t="s">
        <v>2056</v>
      </c>
      <c r="G801" s="56" t="s">
        <v>2057</v>
      </c>
      <c r="H801" s="56" t="s">
        <v>8</v>
      </c>
      <c r="I801" s="55" t="s">
        <v>8</v>
      </c>
      <c r="J801" s="57">
        <v>75.66</v>
      </c>
      <c r="K801" s="56" t="s">
        <v>2058</v>
      </c>
      <c r="L801" s="56" t="s">
        <v>2059</v>
      </c>
      <c r="M801" s="55" t="s">
        <v>2060</v>
      </c>
      <c r="N801" s="56" t="s">
        <v>2061</v>
      </c>
      <c r="O801" s="53" t="s">
        <v>8</v>
      </c>
      <c r="P801" s="56" t="s">
        <v>2425</v>
      </c>
      <c r="Q801" s="57">
        <v>7800</v>
      </c>
      <c r="R801" s="58" t="s">
        <v>8</v>
      </c>
      <c r="S801" s="57" t="s">
        <v>8</v>
      </c>
      <c r="T801" s="56" t="s">
        <v>2063</v>
      </c>
    </row>
    <row r="802" spans="1:20">
      <c r="A802" s="55">
        <v>126284532553</v>
      </c>
      <c r="B802" s="53" t="s">
        <v>2055</v>
      </c>
      <c r="C802" s="54">
        <v>45919</v>
      </c>
      <c r="D802" s="55">
        <v>50486682221</v>
      </c>
      <c r="E802" s="55">
        <v>2074645272104</v>
      </c>
      <c r="F802" s="56" t="s">
        <v>2066</v>
      </c>
      <c r="G802" s="56" t="s">
        <v>2057</v>
      </c>
      <c r="H802" s="56" t="s">
        <v>8</v>
      </c>
      <c r="I802" s="55" t="s">
        <v>8</v>
      </c>
      <c r="J802" s="57">
        <v>337.98</v>
      </c>
      <c r="K802" s="56" t="s">
        <v>2058</v>
      </c>
      <c r="L802" s="56" t="s">
        <v>2067</v>
      </c>
      <c r="M802" s="55" t="s">
        <v>2060</v>
      </c>
      <c r="N802" s="56" t="s">
        <v>2061</v>
      </c>
      <c r="O802" s="53" t="s">
        <v>1790</v>
      </c>
      <c r="P802" s="56" t="s">
        <v>2068</v>
      </c>
      <c r="Q802" s="57">
        <v>8600</v>
      </c>
      <c r="R802" s="58" t="s">
        <v>8</v>
      </c>
      <c r="S802" s="57" t="s">
        <v>8</v>
      </c>
      <c r="T802" s="56" t="s">
        <v>2063</v>
      </c>
    </row>
    <row r="803" spans="1:20">
      <c r="A803" s="55">
        <v>126292935665</v>
      </c>
      <c r="B803" s="53" t="s">
        <v>2055</v>
      </c>
      <c r="C803" s="54">
        <v>45919</v>
      </c>
      <c r="D803" s="55">
        <v>50489536754</v>
      </c>
      <c r="E803" s="55">
        <v>2074697698864</v>
      </c>
      <c r="F803" s="56" t="s">
        <v>2066</v>
      </c>
      <c r="G803" s="56" t="s">
        <v>2057</v>
      </c>
      <c r="H803" s="56" t="s">
        <v>8</v>
      </c>
      <c r="I803" s="55" t="s">
        <v>8</v>
      </c>
      <c r="J803" s="57">
        <v>153.27000000000001</v>
      </c>
      <c r="K803" s="56" t="s">
        <v>2058</v>
      </c>
      <c r="L803" s="56" t="s">
        <v>2067</v>
      </c>
      <c r="M803" s="55" t="s">
        <v>2060</v>
      </c>
      <c r="N803" s="56" t="s">
        <v>2061</v>
      </c>
      <c r="O803" s="53" t="s">
        <v>1790</v>
      </c>
      <c r="P803" s="56" t="s">
        <v>2068</v>
      </c>
      <c r="Q803" s="57">
        <v>3900</v>
      </c>
      <c r="R803" s="58" t="s">
        <v>8</v>
      </c>
      <c r="S803" s="57" t="s">
        <v>8</v>
      </c>
      <c r="T803" s="56" t="s">
        <v>2063</v>
      </c>
    </row>
    <row r="804" spans="1:20">
      <c r="A804" s="55">
        <v>126295087115</v>
      </c>
      <c r="B804" s="53" t="s">
        <v>2055</v>
      </c>
      <c r="C804" s="54">
        <v>45919</v>
      </c>
      <c r="D804" s="55">
        <v>50490286327</v>
      </c>
      <c r="E804" s="55">
        <v>2074712604152</v>
      </c>
      <c r="F804" s="56" t="s">
        <v>2069</v>
      </c>
      <c r="G804" s="56" t="s">
        <v>2057</v>
      </c>
      <c r="H804" s="56" t="s">
        <v>8</v>
      </c>
      <c r="I804" s="55" t="s">
        <v>8</v>
      </c>
      <c r="J804" s="57">
        <v>87.3</v>
      </c>
      <c r="K804" s="56" t="s">
        <v>2058</v>
      </c>
      <c r="L804" s="56" t="s">
        <v>2059</v>
      </c>
      <c r="M804" s="55" t="s">
        <v>2060</v>
      </c>
      <c r="N804" s="56" t="s">
        <v>2061</v>
      </c>
      <c r="O804" s="53" t="s">
        <v>8</v>
      </c>
      <c r="P804" s="56" t="s">
        <v>2070</v>
      </c>
      <c r="Q804" s="57">
        <v>9000</v>
      </c>
      <c r="R804" s="58" t="s">
        <v>8</v>
      </c>
      <c r="S804" s="57" t="s">
        <v>8</v>
      </c>
      <c r="T804" s="56" t="s">
        <v>8</v>
      </c>
    </row>
    <row r="805" spans="1:20">
      <c r="A805" s="55">
        <v>126853170834</v>
      </c>
      <c r="B805" s="53" t="s">
        <v>2055</v>
      </c>
      <c r="C805" s="54">
        <v>45919</v>
      </c>
      <c r="D805" s="55">
        <v>50490573052</v>
      </c>
      <c r="E805" s="55">
        <v>2074667146001</v>
      </c>
      <c r="F805" s="56" t="s">
        <v>2066</v>
      </c>
      <c r="G805" s="56" t="s">
        <v>2057</v>
      </c>
      <c r="H805" s="56" t="s">
        <v>8</v>
      </c>
      <c r="I805" s="55" t="s">
        <v>8</v>
      </c>
      <c r="J805" s="57">
        <v>353.7</v>
      </c>
      <c r="K805" s="56" t="s">
        <v>2058</v>
      </c>
      <c r="L805" s="56" t="s">
        <v>2067</v>
      </c>
      <c r="M805" s="55" t="s">
        <v>2060</v>
      </c>
      <c r="N805" s="56" t="s">
        <v>2061</v>
      </c>
      <c r="O805" s="53" t="s">
        <v>1790</v>
      </c>
      <c r="P805" s="56" t="s">
        <v>2068</v>
      </c>
      <c r="Q805" s="57">
        <v>9000</v>
      </c>
      <c r="R805" s="58" t="s">
        <v>8</v>
      </c>
      <c r="S805" s="57" t="s">
        <v>8</v>
      </c>
      <c r="T805" s="56" t="s">
        <v>2063</v>
      </c>
    </row>
    <row r="806" spans="1:20">
      <c r="A806" s="55">
        <v>126296416437</v>
      </c>
      <c r="B806" s="53" t="s">
        <v>2055</v>
      </c>
      <c r="C806" s="54">
        <v>45919</v>
      </c>
      <c r="D806" s="55">
        <v>50490675382</v>
      </c>
      <c r="E806" s="55">
        <v>2074668514791</v>
      </c>
      <c r="F806" s="56" t="s">
        <v>2066</v>
      </c>
      <c r="G806" s="56" t="s">
        <v>2057</v>
      </c>
      <c r="H806" s="56" t="s">
        <v>8</v>
      </c>
      <c r="I806" s="55" t="s">
        <v>8</v>
      </c>
      <c r="J806" s="57">
        <v>337.98</v>
      </c>
      <c r="K806" s="56" t="s">
        <v>2058</v>
      </c>
      <c r="L806" s="56" t="s">
        <v>2067</v>
      </c>
      <c r="M806" s="55" t="s">
        <v>2060</v>
      </c>
      <c r="N806" s="56" t="s">
        <v>2061</v>
      </c>
      <c r="O806" s="53" t="s">
        <v>1790</v>
      </c>
      <c r="P806" s="56" t="s">
        <v>2068</v>
      </c>
      <c r="Q806" s="57">
        <v>8600</v>
      </c>
      <c r="R806" s="58" t="s">
        <v>8</v>
      </c>
      <c r="S806" s="57" t="s">
        <v>8</v>
      </c>
      <c r="T806" s="56" t="s">
        <v>2063</v>
      </c>
    </row>
    <row r="807" spans="1:20">
      <c r="A807" s="55">
        <v>126298474467</v>
      </c>
      <c r="B807" s="53" t="s">
        <v>2055</v>
      </c>
      <c r="C807" s="54">
        <v>45919</v>
      </c>
      <c r="D807" s="55">
        <v>50491329459</v>
      </c>
      <c r="E807" s="55">
        <v>2074733358376</v>
      </c>
      <c r="F807" s="56" t="s">
        <v>2069</v>
      </c>
      <c r="G807" s="56" t="s">
        <v>2057</v>
      </c>
      <c r="H807" s="56" t="s">
        <v>8</v>
      </c>
      <c r="I807" s="55" t="s">
        <v>8</v>
      </c>
      <c r="J807" s="57">
        <v>87.3</v>
      </c>
      <c r="K807" s="56" t="s">
        <v>2058</v>
      </c>
      <c r="L807" s="56" t="s">
        <v>2059</v>
      </c>
      <c r="M807" s="55" t="s">
        <v>2060</v>
      </c>
      <c r="N807" s="56" t="s">
        <v>2061</v>
      </c>
      <c r="O807" s="53" t="s">
        <v>8</v>
      </c>
      <c r="P807" s="56" t="s">
        <v>2070</v>
      </c>
      <c r="Q807" s="57">
        <v>9000</v>
      </c>
      <c r="R807" s="58" t="s">
        <v>8</v>
      </c>
      <c r="S807" s="57" t="s">
        <v>8</v>
      </c>
      <c r="T807" s="56" t="s">
        <v>8</v>
      </c>
    </row>
    <row r="808" spans="1:20">
      <c r="A808" s="55">
        <v>126298554027</v>
      </c>
      <c r="B808" s="53" t="s">
        <v>2055</v>
      </c>
      <c r="C808" s="54">
        <v>45919</v>
      </c>
      <c r="D808" s="55">
        <v>50491396419</v>
      </c>
      <c r="E808" s="55">
        <v>2074683133757</v>
      </c>
      <c r="F808" s="56" t="s">
        <v>2069</v>
      </c>
      <c r="G808" s="56" t="s">
        <v>2057</v>
      </c>
      <c r="H808" s="56" t="s">
        <v>8</v>
      </c>
      <c r="I808" s="55" t="s">
        <v>8</v>
      </c>
      <c r="J808" s="57">
        <v>87.3</v>
      </c>
      <c r="K808" s="56" t="s">
        <v>2058</v>
      </c>
      <c r="L808" s="56" t="s">
        <v>2059</v>
      </c>
      <c r="M808" s="55" t="s">
        <v>2060</v>
      </c>
      <c r="N808" s="56" t="s">
        <v>2061</v>
      </c>
      <c r="O808" s="53" t="s">
        <v>8</v>
      </c>
      <c r="P808" s="56" t="s">
        <v>2070</v>
      </c>
      <c r="Q808" s="57">
        <v>9000</v>
      </c>
      <c r="R808" s="58" t="s">
        <v>8</v>
      </c>
      <c r="S808" s="57" t="s">
        <v>8</v>
      </c>
      <c r="T808" s="56" t="s">
        <v>8</v>
      </c>
    </row>
    <row r="809" spans="1:20">
      <c r="A809" s="55">
        <v>126299319221</v>
      </c>
      <c r="B809" s="53" t="s">
        <v>2055</v>
      </c>
      <c r="C809" s="54">
        <v>45919</v>
      </c>
      <c r="D809" s="55">
        <v>50491665963</v>
      </c>
      <c r="E809" s="55">
        <v>2074739968266</v>
      </c>
      <c r="F809" s="56" t="s">
        <v>2056</v>
      </c>
      <c r="G809" s="56" t="s">
        <v>2057</v>
      </c>
      <c r="H809" s="56" t="s">
        <v>8</v>
      </c>
      <c r="I809" s="55" t="s">
        <v>8</v>
      </c>
      <c r="J809" s="57">
        <v>347.19</v>
      </c>
      <c r="K809" s="56" t="s">
        <v>2058</v>
      </c>
      <c r="L809" s="56" t="s">
        <v>2059</v>
      </c>
      <c r="M809" s="55" t="s">
        <v>2060</v>
      </c>
      <c r="N809" s="56" t="s">
        <v>2061</v>
      </c>
      <c r="O809" s="53" t="s">
        <v>8</v>
      </c>
      <c r="P809" s="56" t="s">
        <v>2207</v>
      </c>
      <c r="Q809" s="57">
        <v>21300</v>
      </c>
      <c r="R809" s="58" t="s">
        <v>8</v>
      </c>
      <c r="S809" s="57" t="s">
        <v>8</v>
      </c>
      <c r="T809" s="56" t="s">
        <v>2063</v>
      </c>
    </row>
    <row r="810" spans="1:20">
      <c r="A810" s="55">
        <v>126859782450</v>
      </c>
      <c r="B810" s="53" t="s">
        <v>2055</v>
      </c>
      <c r="C810" s="54">
        <v>45919</v>
      </c>
      <c r="D810" s="55">
        <v>50492691883</v>
      </c>
      <c r="E810" s="55">
        <v>2074711125197</v>
      </c>
      <c r="F810" s="56" t="s">
        <v>2066</v>
      </c>
      <c r="G810" s="56" t="s">
        <v>2057</v>
      </c>
      <c r="H810" s="56" t="s">
        <v>8</v>
      </c>
      <c r="I810" s="55" t="s">
        <v>8</v>
      </c>
      <c r="J810" s="57">
        <v>195.22</v>
      </c>
      <c r="K810" s="56" t="s">
        <v>2058</v>
      </c>
      <c r="L810" s="56" t="s">
        <v>2067</v>
      </c>
      <c r="M810" s="55" t="s">
        <v>2060</v>
      </c>
      <c r="N810" s="56" t="s">
        <v>2061</v>
      </c>
      <c r="O810" s="53" t="s">
        <v>1790</v>
      </c>
      <c r="P810" s="56" t="s">
        <v>2068</v>
      </c>
      <c r="Q810" s="57">
        <v>4300</v>
      </c>
      <c r="R810" s="58" t="s">
        <v>8</v>
      </c>
      <c r="S810" s="57" t="s">
        <v>8</v>
      </c>
      <c r="T810" s="56" t="s">
        <v>2063</v>
      </c>
    </row>
    <row r="811" spans="1:20">
      <c r="A811" s="55">
        <v>126304421967</v>
      </c>
      <c r="B811" s="53" t="s">
        <v>2055</v>
      </c>
      <c r="C811" s="54">
        <v>45919</v>
      </c>
      <c r="D811" s="55">
        <v>50493344756</v>
      </c>
      <c r="E811" s="55">
        <v>2074776157268</v>
      </c>
      <c r="F811" s="56" t="s">
        <v>2056</v>
      </c>
      <c r="G811" s="56" t="s">
        <v>2057</v>
      </c>
      <c r="H811" s="56" t="s">
        <v>8</v>
      </c>
      <c r="I811" s="55" t="s">
        <v>8</v>
      </c>
      <c r="J811" s="57">
        <v>467.54</v>
      </c>
      <c r="K811" s="56" t="s">
        <v>2058</v>
      </c>
      <c r="L811" s="56" t="s">
        <v>2059</v>
      </c>
      <c r="M811" s="55" t="s">
        <v>2060</v>
      </c>
      <c r="N811" s="56" t="s">
        <v>2061</v>
      </c>
      <c r="O811" s="53" t="s">
        <v>8</v>
      </c>
      <c r="P811" s="56" t="s">
        <v>2426</v>
      </c>
      <c r="Q811" s="57">
        <v>48200</v>
      </c>
      <c r="R811" s="58" t="s">
        <v>8</v>
      </c>
      <c r="S811" s="57" t="s">
        <v>8</v>
      </c>
      <c r="T811" s="56" t="s">
        <v>2063</v>
      </c>
    </row>
    <row r="812" spans="1:20">
      <c r="A812" s="55">
        <v>126861716336</v>
      </c>
      <c r="B812" s="53" t="s">
        <v>2055</v>
      </c>
      <c r="C812" s="54">
        <v>45919</v>
      </c>
      <c r="D812" s="55">
        <v>50493385503</v>
      </c>
      <c r="E812" s="55">
        <v>2074777109684</v>
      </c>
      <c r="F812" s="56" t="s">
        <v>2056</v>
      </c>
      <c r="G812" s="56" t="s">
        <v>2057</v>
      </c>
      <c r="H812" s="56" t="s">
        <v>8</v>
      </c>
      <c r="I812" s="55" t="s">
        <v>8</v>
      </c>
      <c r="J812" s="57">
        <v>51.41</v>
      </c>
      <c r="K812" s="56" t="s">
        <v>2058</v>
      </c>
      <c r="L812" s="56" t="s">
        <v>2059</v>
      </c>
      <c r="M812" s="55" t="s">
        <v>2060</v>
      </c>
      <c r="N812" s="56" t="s">
        <v>2061</v>
      </c>
      <c r="O812" s="53" t="s">
        <v>8</v>
      </c>
      <c r="P812" s="56" t="s">
        <v>2252</v>
      </c>
      <c r="Q812" s="57">
        <v>5300</v>
      </c>
      <c r="R812" s="58" t="s">
        <v>8</v>
      </c>
      <c r="S812" s="57" t="s">
        <v>8</v>
      </c>
      <c r="T812" s="56" t="s">
        <v>2063</v>
      </c>
    </row>
    <row r="813" spans="1:20">
      <c r="A813" s="55">
        <v>126862230908</v>
      </c>
      <c r="B813" s="53" t="s">
        <v>2055</v>
      </c>
      <c r="C813" s="54">
        <v>45919</v>
      </c>
      <c r="D813" s="55">
        <v>50493502721</v>
      </c>
      <c r="E813" s="55">
        <v>2074729096897</v>
      </c>
      <c r="F813" s="56" t="s">
        <v>2056</v>
      </c>
      <c r="G813" s="56" t="s">
        <v>2057</v>
      </c>
      <c r="H813" s="56" t="s">
        <v>8</v>
      </c>
      <c r="I813" s="55" t="s">
        <v>8</v>
      </c>
      <c r="J813" s="57">
        <v>37.83</v>
      </c>
      <c r="K813" s="56" t="s">
        <v>2058</v>
      </c>
      <c r="L813" s="56" t="s">
        <v>2059</v>
      </c>
      <c r="M813" s="55" t="s">
        <v>2060</v>
      </c>
      <c r="N813" s="56" t="s">
        <v>2061</v>
      </c>
      <c r="O813" s="53" t="s">
        <v>8</v>
      </c>
      <c r="P813" s="56" t="s">
        <v>2427</v>
      </c>
      <c r="Q813" s="57">
        <v>3900</v>
      </c>
      <c r="R813" s="58" t="s">
        <v>8</v>
      </c>
      <c r="S813" s="57" t="s">
        <v>8</v>
      </c>
      <c r="T813" s="56" t="s">
        <v>2063</v>
      </c>
    </row>
    <row r="814" spans="1:20">
      <c r="A814" s="55">
        <v>126306563085</v>
      </c>
      <c r="B814" s="53" t="s">
        <v>2055</v>
      </c>
      <c r="C814" s="54">
        <v>45919</v>
      </c>
      <c r="D814" s="55">
        <v>50494041051</v>
      </c>
      <c r="E814" s="55">
        <v>2074791366156</v>
      </c>
      <c r="F814" s="56" t="s">
        <v>2056</v>
      </c>
      <c r="G814" s="56" t="s">
        <v>2057</v>
      </c>
      <c r="H814" s="56" t="s">
        <v>8</v>
      </c>
      <c r="I814" s="55" t="s">
        <v>8</v>
      </c>
      <c r="J814" s="57">
        <v>258.99</v>
      </c>
      <c r="K814" s="56" t="s">
        <v>2058</v>
      </c>
      <c r="L814" s="56" t="s">
        <v>2059</v>
      </c>
      <c r="M814" s="55" t="s">
        <v>2060</v>
      </c>
      <c r="N814" s="56" t="s">
        <v>2061</v>
      </c>
      <c r="O814" s="53" t="s">
        <v>8</v>
      </c>
      <c r="P814" s="56" t="s">
        <v>2428</v>
      </c>
      <c r="Q814" s="57">
        <v>26700</v>
      </c>
      <c r="R814" s="58" t="s">
        <v>8</v>
      </c>
      <c r="S814" s="57" t="s">
        <v>8</v>
      </c>
      <c r="T814" s="56" t="s">
        <v>2063</v>
      </c>
    </row>
    <row r="815" spans="1:20">
      <c r="A815" s="55">
        <v>126308248317</v>
      </c>
      <c r="B815" s="53" t="s">
        <v>2055</v>
      </c>
      <c r="C815" s="54">
        <v>45919</v>
      </c>
      <c r="D815" s="55">
        <v>50494636038</v>
      </c>
      <c r="E815" s="55">
        <v>2074803664124</v>
      </c>
      <c r="F815" s="56" t="s">
        <v>2069</v>
      </c>
      <c r="G815" s="56" t="s">
        <v>2057</v>
      </c>
      <c r="H815" s="56" t="s">
        <v>8</v>
      </c>
      <c r="I815" s="55" t="s">
        <v>8</v>
      </c>
      <c r="J815" s="57">
        <v>87.3</v>
      </c>
      <c r="K815" s="56" t="s">
        <v>2058</v>
      </c>
      <c r="L815" s="56" t="s">
        <v>2059</v>
      </c>
      <c r="M815" s="55" t="s">
        <v>2060</v>
      </c>
      <c r="N815" s="56" t="s">
        <v>2061</v>
      </c>
      <c r="O815" s="53" t="s">
        <v>8</v>
      </c>
      <c r="P815" s="56" t="s">
        <v>2070</v>
      </c>
      <c r="Q815" s="57">
        <v>9000</v>
      </c>
      <c r="R815" s="58" t="s">
        <v>8</v>
      </c>
      <c r="S815" s="57" t="s">
        <v>8</v>
      </c>
      <c r="T815" s="56" t="s">
        <v>8</v>
      </c>
    </row>
    <row r="816" spans="1:20">
      <c r="A816" s="55">
        <v>126865877842</v>
      </c>
      <c r="B816" s="53" t="s">
        <v>2055</v>
      </c>
      <c r="C816" s="54">
        <v>45919</v>
      </c>
      <c r="D816" s="55">
        <v>50494893441</v>
      </c>
      <c r="E816" s="55">
        <v>2074758013959</v>
      </c>
      <c r="F816" s="56" t="s">
        <v>2066</v>
      </c>
      <c r="G816" s="56" t="s">
        <v>2057</v>
      </c>
      <c r="H816" s="56" t="s">
        <v>8</v>
      </c>
      <c r="I816" s="55" t="s">
        <v>8</v>
      </c>
      <c r="J816" s="57">
        <v>1410.87</v>
      </c>
      <c r="K816" s="56" t="s">
        <v>2058</v>
      </c>
      <c r="L816" s="56" t="s">
        <v>2067</v>
      </c>
      <c r="M816" s="55" t="s">
        <v>2060</v>
      </c>
      <c r="N816" s="56" t="s">
        <v>2061</v>
      </c>
      <c r="O816" s="53" t="s">
        <v>1790</v>
      </c>
      <c r="P816" s="56" t="s">
        <v>2068</v>
      </c>
      <c r="Q816" s="57">
        <v>35900</v>
      </c>
      <c r="R816" s="58" t="s">
        <v>8</v>
      </c>
      <c r="S816" s="57" t="s">
        <v>8</v>
      </c>
      <c r="T816" s="56" t="s">
        <v>2063</v>
      </c>
    </row>
    <row r="817" spans="1:20">
      <c r="A817" s="55">
        <v>126309333557</v>
      </c>
      <c r="B817" s="53" t="s">
        <v>2055</v>
      </c>
      <c r="C817" s="54">
        <v>45919</v>
      </c>
      <c r="D817" s="55">
        <v>50495042765</v>
      </c>
      <c r="E817" s="55">
        <v>2074812904312</v>
      </c>
      <c r="F817" s="56" t="s">
        <v>2066</v>
      </c>
      <c r="G817" s="56" t="s">
        <v>2057</v>
      </c>
      <c r="H817" s="56" t="s">
        <v>8</v>
      </c>
      <c r="I817" s="55" t="s">
        <v>8</v>
      </c>
      <c r="J817" s="57">
        <v>2147.42</v>
      </c>
      <c r="K817" s="56" t="s">
        <v>2058</v>
      </c>
      <c r="L817" s="56" t="s">
        <v>2067</v>
      </c>
      <c r="M817" s="55" t="s">
        <v>2060</v>
      </c>
      <c r="N817" s="56" t="s">
        <v>2061</v>
      </c>
      <c r="O817" s="53" t="s">
        <v>1790</v>
      </c>
      <c r="P817" s="56" t="s">
        <v>2068</v>
      </c>
      <c r="Q817" s="57">
        <v>47300</v>
      </c>
      <c r="R817" s="58" t="s">
        <v>8</v>
      </c>
      <c r="S817" s="57" t="s">
        <v>8</v>
      </c>
      <c r="T817" s="56" t="s">
        <v>2063</v>
      </c>
    </row>
    <row r="818" spans="1:20">
      <c r="A818" s="55">
        <v>126868129818</v>
      </c>
      <c r="B818" s="53" t="s">
        <v>2055</v>
      </c>
      <c r="C818" s="54">
        <v>45919</v>
      </c>
      <c r="D818" s="55">
        <v>50495682966</v>
      </c>
      <c r="E818" s="55">
        <v>2074826300532</v>
      </c>
      <c r="F818" s="56" t="s">
        <v>2056</v>
      </c>
      <c r="G818" s="56" t="s">
        <v>2057</v>
      </c>
      <c r="H818" s="56" t="s">
        <v>8</v>
      </c>
      <c r="I818" s="55" t="s">
        <v>8</v>
      </c>
      <c r="J818" s="57">
        <v>582.97</v>
      </c>
      <c r="K818" s="56" t="s">
        <v>2058</v>
      </c>
      <c r="L818" s="56" t="s">
        <v>2059</v>
      </c>
      <c r="M818" s="55" t="s">
        <v>2060</v>
      </c>
      <c r="N818" s="56" t="s">
        <v>2061</v>
      </c>
      <c r="O818" s="53" t="s">
        <v>8</v>
      </c>
      <c r="P818" s="56" t="s">
        <v>2429</v>
      </c>
      <c r="Q818" s="57">
        <v>60100</v>
      </c>
      <c r="R818" s="58" t="s">
        <v>8</v>
      </c>
      <c r="S818" s="57" t="s">
        <v>8</v>
      </c>
      <c r="T818" s="56" t="s">
        <v>2063</v>
      </c>
    </row>
    <row r="819" spans="1:20">
      <c r="A819" s="55">
        <v>126311741457</v>
      </c>
      <c r="B819" s="53" t="s">
        <v>2055</v>
      </c>
      <c r="C819" s="54">
        <v>45919</v>
      </c>
      <c r="D819" s="55">
        <v>50495933730</v>
      </c>
      <c r="E819" s="55">
        <v>2074830878142</v>
      </c>
      <c r="F819" s="56" t="s">
        <v>2056</v>
      </c>
      <c r="G819" s="56" t="s">
        <v>2057</v>
      </c>
      <c r="H819" s="56" t="s">
        <v>8</v>
      </c>
      <c r="I819" s="55" t="s">
        <v>8</v>
      </c>
      <c r="J819" s="57">
        <v>345.32</v>
      </c>
      <c r="K819" s="56" t="s">
        <v>2058</v>
      </c>
      <c r="L819" s="56" t="s">
        <v>2059</v>
      </c>
      <c r="M819" s="55" t="s">
        <v>2060</v>
      </c>
      <c r="N819" s="56" t="s">
        <v>2061</v>
      </c>
      <c r="O819" s="53" t="s">
        <v>8</v>
      </c>
      <c r="P819" s="56" t="s">
        <v>2430</v>
      </c>
      <c r="Q819" s="57">
        <v>35600</v>
      </c>
      <c r="R819" s="58" t="s">
        <v>8</v>
      </c>
      <c r="S819" s="57" t="s">
        <v>8</v>
      </c>
      <c r="T819" s="56" t="s">
        <v>2063</v>
      </c>
    </row>
    <row r="820" spans="1:20">
      <c r="A820" s="55">
        <v>126312348037</v>
      </c>
      <c r="B820" s="53" t="s">
        <v>2055</v>
      </c>
      <c r="C820" s="54">
        <v>45919</v>
      </c>
      <c r="D820" s="55">
        <v>50496190488</v>
      </c>
      <c r="E820" s="55">
        <v>2074783863287</v>
      </c>
      <c r="F820" s="56" t="s">
        <v>2056</v>
      </c>
      <c r="G820" s="56" t="s">
        <v>2057</v>
      </c>
      <c r="H820" s="56" t="s">
        <v>8</v>
      </c>
      <c r="I820" s="55" t="s">
        <v>8</v>
      </c>
      <c r="J820" s="57">
        <v>37.83</v>
      </c>
      <c r="K820" s="56" t="s">
        <v>2058</v>
      </c>
      <c r="L820" s="56" t="s">
        <v>2059</v>
      </c>
      <c r="M820" s="55" t="s">
        <v>2060</v>
      </c>
      <c r="N820" s="56" t="s">
        <v>2061</v>
      </c>
      <c r="O820" s="53" t="s">
        <v>8</v>
      </c>
      <c r="P820" s="56" t="s">
        <v>2103</v>
      </c>
      <c r="Q820" s="57">
        <v>3900</v>
      </c>
      <c r="R820" s="58" t="s">
        <v>8</v>
      </c>
      <c r="S820" s="57" t="s">
        <v>8</v>
      </c>
      <c r="T820" s="56" t="s">
        <v>2063</v>
      </c>
    </row>
    <row r="821" spans="1:20">
      <c r="A821" s="55">
        <v>126869531676</v>
      </c>
      <c r="B821" s="53" t="s">
        <v>2055</v>
      </c>
      <c r="C821" s="54">
        <v>45919</v>
      </c>
      <c r="D821" s="55">
        <v>50496200996</v>
      </c>
      <c r="E821" s="55">
        <v>2074835588846</v>
      </c>
      <c r="F821" s="56" t="s">
        <v>2066</v>
      </c>
      <c r="G821" s="56" t="s">
        <v>2057</v>
      </c>
      <c r="H821" s="56" t="s">
        <v>8</v>
      </c>
      <c r="I821" s="55" t="s">
        <v>8</v>
      </c>
      <c r="J821" s="57">
        <v>675.96</v>
      </c>
      <c r="K821" s="56" t="s">
        <v>2058</v>
      </c>
      <c r="L821" s="56" t="s">
        <v>2067</v>
      </c>
      <c r="M821" s="55" t="s">
        <v>2060</v>
      </c>
      <c r="N821" s="56" t="s">
        <v>2061</v>
      </c>
      <c r="O821" s="53" t="s">
        <v>1790</v>
      </c>
      <c r="P821" s="56" t="s">
        <v>2068</v>
      </c>
      <c r="Q821" s="57">
        <v>17200</v>
      </c>
      <c r="R821" s="58" t="s">
        <v>8</v>
      </c>
      <c r="S821" s="57" t="s">
        <v>8</v>
      </c>
      <c r="T821" s="56" t="s">
        <v>2063</v>
      </c>
    </row>
    <row r="822" spans="1:20">
      <c r="A822" s="55">
        <v>126869842594</v>
      </c>
      <c r="B822" s="53" t="s">
        <v>2055</v>
      </c>
      <c r="C822" s="54">
        <v>45919</v>
      </c>
      <c r="D822" s="55">
        <v>50496325337</v>
      </c>
      <c r="E822" s="55">
        <v>2074837520858</v>
      </c>
      <c r="F822" s="56" t="s">
        <v>2066</v>
      </c>
      <c r="G822" s="56" t="s">
        <v>2057</v>
      </c>
      <c r="H822" s="56" t="s">
        <v>8</v>
      </c>
      <c r="I822" s="55" t="s">
        <v>8</v>
      </c>
      <c r="J822" s="57">
        <v>393</v>
      </c>
      <c r="K822" s="56" t="s">
        <v>2058</v>
      </c>
      <c r="L822" s="56" t="s">
        <v>2067</v>
      </c>
      <c r="M822" s="55" t="s">
        <v>2060</v>
      </c>
      <c r="N822" s="56" t="s">
        <v>2061</v>
      </c>
      <c r="O822" s="53" t="s">
        <v>1790</v>
      </c>
      <c r="P822" s="56" t="s">
        <v>2068</v>
      </c>
      <c r="Q822" s="57">
        <v>10000</v>
      </c>
      <c r="R822" s="58" t="s">
        <v>8</v>
      </c>
      <c r="S822" s="57" t="s">
        <v>8</v>
      </c>
      <c r="T822" s="56" t="s">
        <v>2063</v>
      </c>
    </row>
    <row r="823" spans="1:20">
      <c r="A823" s="55">
        <v>126870052406</v>
      </c>
      <c r="B823" s="53" t="s">
        <v>2055</v>
      </c>
      <c r="C823" s="54">
        <v>45919</v>
      </c>
      <c r="D823" s="55">
        <v>50496373610</v>
      </c>
      <c r="E823" s="55">
        <v>2074787829205</v>
      </c>
      <c r="F823" s="56" t="s">
        <v>2066</v>
      </c>
      <c r="G823" s="56" t="s">
        <v>2057</v>
      </c>
      <c r="H823" s="56" t="s">
        <v>8</v>
      </c>
      <c r="I823" s="55" t="s">
        <v>8</v>
      </c>
      <c r="J823" s="57">
        <v>1945.35</v>
      </c>
      <c r="K823" s="56" t="s">
        <v>2058</v>
      </c>
      <c r="L823" s="56" t="s">
        <v>2067</v>
      </c>
      <c r="M823" s="55" t="s">
        <v>2060</v>
      </c>
      <c r="N823" s="56" t="s">
        <v>2061</v>
      </c>
      <c r="O823" s="53" t="s">
        <v>1790</v>
      </c>
      <c r="P823" s="56" t="s">
        <v>2068</v>
      </c>
      <c r="Q823" s="57">
        <v>49500</v>
      </c>
      <c r="R823" s="58" t="s">
        <v>8</v>
      </c>
      <c r="S823" s="57" t="s">
        <v>8</v>
      </c>
      <c r="T823" s="56" t="s">
        <v>2063</v>
      </c>
    </row>
    <row r="824" spans="1:20">
      <c r="A824" s="55">
        <v>126871817554</v>
      </c>
      <c r="B824" s="53" t="s">
        <v>2055</v>
      </c>
      <c r="C824" s="54">
        <v>45919</v>
      </c>
      <c r="D824" s="55">
        <v>50497061310</v>
      </c>
      <c r="E824" s="55">
        <v>2074800648781</v>
      </c>
      <c r="F824" s="56" t="s">
        <v>2056</v>
      </c>
      <c r="G824" s="56" t="s">
        <v>2057</v>
      </c>
      <c r="H824" s="56" t="s">
        <v>8</v>
      </c>
      <c r="I824" s="55" t="s">
        <v>8</v>
      </c>
      <c r="J824" s="57">
        <v>166.84</v>
      </c>
      <c r="K824" s="56" t="s">
        <v>2058</v>
      </c>
      <c r="L824" s="56" t="s">
        <v>2059</v>
      </c>
      <c r="M824" s="55" t="s">
        <v>2060</v>
      </c>
      <c r="N824" s="56" t="s">
        <v>2061</v>
      </c>
      <c r="O824" s="53" t="s">
        <v>8</v>
      </c>
      <c r="P824" s="56" t="s">
        <v>2431</v>
      </c>
      <c r="Q824" s="57">
        <v>17200</v>
      </c>
      <c r="R824" s="58" t="s">
        <v>8</v>
      </c>
      <c r="S824" s="57" t="s">
        <v>8</v>
      </c>
      <c r="T824" s="56" t="s">
        <v>2063</v>
      </c>
    </row>
    <row r="825" spans="1:20">
      <c r="A825" s="55">
        <v>126314909589</v>
      </c>
      <c r="B825" s="53" t="s">
        <v>2055</v>
      </c>
      <c r="C825" s="54">
        <v>45919</v>
      </c>
      <c r="D825" s="55">
        <v>50497079832</v>
      </c>
      <c r="E825" s="55">
        <v>2074800641927</v>
      </c>
      <c r="F825" s="56" t="s">
        <v>2056</v>
      </c>
      <c r="G825" s="56" t="s">
        <v>2057</v>
      </c>
      <c r="H825" s="56" t="s">
        <v>8</v>
      </c>
      <c r="I825" s="55" t="s">
        <v>8</v>
      </c>
      <c r="J825" s="57">
        <v>48.5</v>
      </c>
      <c r="K825" s="56" t="s">
        <v>2058</v>
      </c>
      <c r="L825" s="56" t="s">
        <v>2059</v>
      </c>
      <c r="M825" s="55" t="s">
        <v>2060</v>
      </c>
      <c r="N825" s="56" t="s">
        <v>2061</v>
      </c>
      <c r="O825" s="53" t="s">
        <v>8</v>
      </c>
      <c r="P825" s="56" t="s">
        <v>2432</v>
      </c>
      <c r="Q825" s="57">
        <v>5000</v>
      </c>
      <c r="R825" s="58" t="s">
        <v>8</v>
      </c>
      <c r="S825" s="57" t="s">
        <v>8</v>
      </c>
      <c r="T825" s="56" t="s">
        <v>2063</v>
      </c>
    </row>
    <row r="826" spans="1:20">
      <c r="A826" s="55">
        <v>126873074156</v>
      </c>
      <c r="B826" s="53" t="s">
        <v>2055</v>
      </c>
      <c r="C826" s="54">
        <v>45919</v>
      </c>
      <c r="D826" s="55">
        <v>50497460352</v>
      </c>
      <c r="E826" s="55">
        <v>2074807997991</v>
      </c>
      <c r="F826" s="56" t="s">
        <v>2056</v>
      </c>
      <c r="G826" s="56" t="s">
        <v>2057</v>
      </c>
      <c r="H826" s="56" t="s">
        <v>8</v>
      </c>
      <c r="I826" s="55" t="s">
        <v>8</v>
      </c>
      <c r="J826" s="57">
        <v>41.71</v>
      </c>
      <c r="K826" s="56" t="s">
        <v>2058</v>
      </c>
      <c r="L826" s="56" t="s">
        <v>2059</v>
      </c>
      <c r="M826" s="55" t="s">
        <v>2060</v>
      </c>
      <c r="N826" s="56" t="s">
        <v>2061</v>
      </c>
      <c r="O826" s="53" t="s">
        <v>8</v>
      </c>
      <c r="P826" s="56" t="s">
        <v>2433</v>
      </c>
      <c r="Q826" s="57">
        <v>4300</v>
      </c>
      <c r="R826" s="58" t="s">
        <v>8</v>
      </c>
      <c r="S826" s="57" t="s">
        <v>8</v>
      </c>
      <c r="T826" s="56" t="s">
        <v>2063</v>
      </c>
    </row>
    <row r="827" spans="1:20">
      <c r="A827" s="55">
        <v>126316225841</v>
      </c>
      <c r="B827" s="53" t="s">
        <v>2055</v>
      </c>
      <c r="C827" s="54">
        <v>45920</v>
      </c>
      <c r="D827" s="55">
        <v>50497596452</v>
      </c>
      <c r="E827" s="55">
        <v>2074861171690</v>
      </c>
      <c r="F827" s="56" t="s">
        <v>2056</v>
      </c>
      <c r="G827" s="56" t="s">
        <v>2057</v>
      </c>
      <c r="H827" s="56" t="s">
        <v>8</v>
      </c>
      <c r="I827" s="55" t="s">
        <v>8</v>
      </c>
      <c r="J827" s="57">
        <v>18.43</v>
      </c>
      <c r="K827" s="56" t="s">
        <v>2058</v>
      </c>
      <c r="L827" s="56" t="s">
        <v>2059</v>
      </c>
      <c r="M827" s="55" t="s">
        <v>2060</v>
      </c>
      <c r="N827" s="56" t="s">
        <v>2061</v>
      </c>
      <c r="O827" s="53" t="s">
        <v>8</v>
      </c>
      <c r="P827" s="56" t="s">
        <v>2434</v>
      </c>
      <c r="Q827" s="57">
        <v>1900</v>
      </c>
      <c r="R827" s="58" t="s">
        <v>8</v>
      </c>
      <c r="S827" s="57" t="s">
        <v>8</v>
      </c>
      <c r="T827" s="56" t="s">
        <v>2063</v>
      </c>
    </row>
    <row r="828" spans="1:20">
      <c r="A828" s="55">
        <v>126874886990</v>
      </c>
      <c r="B828" s="53" t="s">
        <v>2055</v>
      </c>
      <c r="C828" s="54">
        <v>45920</v>
      </c>
      <c r="D828" s="55">
        <v>50498219422</v>
      </c>
      <c r="E828" s="55">
        <v>2074871768318</v>
      </c>
      <c r="F828" s="56" t="s">
        <v>2066</v>
      </c>
      <c r="G828" s="56" t="s">
        <v>2057</v>
      </c>
      <c r="H828" s="56" t="s">
        <v>8</v>
      </c>
      <c r="I828" s="55" t="s">
        <v>8</v>
      </c>
      <c r="J828" s="57">
        <v>2817.81</v>
      </c>
      <c r="K828" s="56" t="s">
        <v>2058</v>
      </c>
      <c r="L828" s="56" t="s">
        <v>2067</v>
      </c>
      <c r="M828" s="55" t="s">
        <v>2060</v>
      </c>
      <c r="N828" s="56" t="s">
        <v>2061</v>
      </c>
      <c r="O828" s="53" t="s">
        <v>1790</v>
      </c>
      <c r="P828" s="56" t="s">
        <v>2068</v>
      </c>
      <c r="Q828" s="57">
        <v>71700</v>
      </c>
      <c r="R828" s="58" t="s">
        <v>8</v>
      </c>
      <c r="S828" s="57" t="s">
        <v>8</v>
      </c>
      <c r="T828" s="56" t="s">
        <v>2063</v>
      </c>
    </row>
    <row r="829" spans="1:20">
      <c r="A829" s="55">
        <v>126875041098</v>
      </c>
      <c r="B829" s="53" t="s">
        <v>2055</v>
      </c>
      <c r="C829" s="54">
        <v>45920</v>
      </c>
      <c r="D829" s="55">
        <v>50498314463</v>
      </c>
      <c r="E829" s="55">
        <v>2074821857945</v>
      </c>
      <c r="F829" s="56" t="s">
        <v>2066</v>
      </c>
      <c r="G829" s="56" t="s">
        <v>2057</v>
      </c>
      <c r="H829" s="56" t="s">
        <v>8</v>
      </c>
      <c r="I829" s="55" t="s">
        <v>8</v>
      </c>
      <c r="J829" s="57">
        <v>617.01</v>
      </c>
      <c r="K829" s="56" t="s">
        <v>2058</v>
      </c>
      <c r="L829" s="56" t="s">
        <v>2067</v>
      </c>
      <c r="M829" s="55" t="s">
        <v>2060</v>
      </c>
      <c r="N829" s="56" t="s">
        <v>2061</v>
      </c>
      <c r="O829" s="53" t="s">
        <v>1790</v>
      </c>
      <c r="P829" s="56" t="s">
        <v>2068</v>
      </c>
      <c r="Q829" s="57">
        <v>15700</v>
      </c>
      <c r="R829" s="58" t="s">
        <v>8</v>
      </c>
      <c r="S829" s="57" t="s">
        <v>8</v>
      </c>
      <c r="T829" s="56" t="s">
        <v>2063</v>
      </c>
    </row>
    <row r="830" spans="1:20">
      <c r="A830" s="55">
        <v>126318205615</v>
      </c>
      <c r="B830" s="53" t="s">
        <v>2055</v>
      </c>
      <c r="C830" s="54">
        <v>45920</v>
      </c>
      <c r="D830" s="55">
        <v>50498344097</v>
      </c>
      <c r="E830" s="55">
        <v>2074823106439</v>
      </c>
      <c r="F830" s="56" t="s">
        <v>2069</v>
      </c>
      <c r="G830" s="56" t="s">
        <v>2057</v>
      </c>
      <c r="H830" s="56" t="s">
        <v>8</v>
      </c>
      <c r="I830" s="55" t="s">
        <v>8</v>
      </c>
      <c r="J830" s="57">
        <v>76.63</v>
      </c>
      <c r="K830" s="56" t="s">
        <v>2058</v>
      </c>
      <c r="L830" s="56" t="s">
        <v>2059</v>
      </c>
      <c r="M830" s="55" t="s">
        <v>2060</v>
      </c>
      <c r="N830" s="56" t="s">
        <v>2061</v>
      </c>
      <c r="O830" s="53" t="s">
        <v>8</v>
      </c>
      <c r="P830" s="56" t="s">
        <v>2070</v>
      </c>
      <c r="Q830" s="57">
        <v>7900</v>
      </c>
      <c r="R830" s="58" t="s">
        <v>8</v>
      </c>
      <c r="S830" s="57" t="s">
        <v>8</v>
      </c>
      <c r="T830" s="56" t="s">
        <v>8</v>
      </c>
    </row>
    <row r="831" spans="1:20">
      <c r="A831" s="55">
        <v>126875172028</v>
      </c>
      <c r="B831" s="53" t="s">
        <v>2055</v>
      </c>
      <c r="C831" s="54">
        <v>45920</v>
      </c>
      <c r="D831" s="55">
        <v>50498383903</v>
      </c>
      <c r="E831" s="55">
        <v>2074874549778</v>
      </c>
      <c r="F831" s="56" t="s">
        <v>2056</v>
      </c>
      <c r="G831" s="56" t="s">
        <v>2057</v>
      </c>
      <c r="H831" s="56" t="s">
        <v>8</v>
      </c>
      <c r="I831" s="55" t="s">
        <v>8</v>
      </c>
      <c r="J831" s="57">
        <v>48.5</v>
      </c>
      <c r="K831" s="56" t="s">
        <v>2058</v>
      </c>
      <c r="L831" s="56" t="s">
        <v>2059</v>
      </c>
      <c r="M831" s="55" t="s">
        <v>2060</v>
      </c>
      <c r="N831" s="56" t="s">
        <v>2061</v>
      </c>
      <c r="O831" s="53" t="s">
        <v>8</v>
      </c>
      <c r="P831" s="56" t="s">
        <v>2435</v>
      </c>
      <c r="Q831" s="57">
        <v>5000</v>
      </c>
      <c r="R831" s="58" t="s">
        <v>8</v>
      </c>
      <c r="S831" s="57" t="s">
        <v>8</v>
      </c>
      <c r="T831" s="56" t="s">
        <v>2063</v>
      </c>
    </row>
    <row r="832" spans="1:20">
      <c r="A832" s="55">
        <v>126876254088</v>
      </c>
      <c r="B832" s="53" t="s">
        <v>2055</v>
      </c>
      <c r="C832" s="54">
        <v>45920</v>
      </c>
      <c r="D832" s="55">
        <v>50498808804</v>
      </c>
      <c r="E832" s="55">
        <v>2074829978055</v>
      </c>
      <c r="F832" s="56" t="s">
        <v>2069</v>
      </c>
      <c r="G832" s="56" t="s">
        <v>2057</v>
      </c>
      <c r="H832" s="56" t="s">
        <v>8</v>
      </c>
      <c r="I832" s="55" t="s">
        <v>8</v>
      </c>
      <c r="J832" s="57">
        <v>41.71</v>
      </c>
      <c r="K832" s="56" t="s">
        <v>2058</v>
      </c>
      <c r="L832" s="56" t="s">
        <v>2059</v>
      </c>
      <c r="M832" s="55" t="s">
        <v>2060</v>
      </c>
      <c r="N832" s="56" t="s">
        <v>2061</v>
      </c>
      <c r="O832" s="53" t="s">
        <v>8</v>
      </c>
      <c r="P832" s="56" t="s">
        <v>2070</v>
      </c>
      <c r="Q832" s="57">
        <v>4300</v>
      </c>
      <c r="R832" s="58" t="s">
        <v>8</v>
      </c>
      <c r="S832" s="57" t="s">
        <v>8</v>
      </c>
      <c r="T832" s="56" t="s">
        <v>8</v>
      </c>
    </row>
    <row r="833" spans="1:20">
      <c r="A833" s="55">
        <v>126876381400</v>
      </c>
      <c r="B833" s="53" t="s">
        <v>2055</v>
      </c>
      <c r="C833" s="54">
        <v>45920</v>
      </c>
      <c r="D833" s="55">
        <v>50498857990</v>
      </c>
      <c r="E833" s="55">
        <v>2074882409820</v>
      </c>
      <c r="F833" s="56" t="s">
        <v>2056</v>
      </c>
      <c r="G833" s="56" t="s">
        <v>2057</v>
      </c>
      <c r="H833" s="56" t="s">
        <v>8</v>
      </c>
      <c r="I833" s="55" t="s">
        <v>8</v>
      </c>
      <c r="J833" s="57">
        <v>67.900000000000006</v>
      </c>
      <c r="K833" s="56" t="s">
        <v>2058</v>
      </c>
      <c r="L833" s="56" t="s">
        <v>2059</v>
      </c>
      <c r="M833" s="55" t="s">
        <v>2060</v>
      </c>
      <c r="N833" s="56" t="s">
        <v>2061</v>
      </c>
      <c r="O833" s="53" t="s">
        <v>8</v>
      </c>
      <c r="P833" s="56" t="s">
        <v>2103</v>
      </c>
      <c r="Q833" s="57">
        <v>7000</v>
      </c>
      <c r="R833" s="58" t="s">
        <v>8</v>
      </c>
      <c r="S833" s="57" t="s">
        <v>8</v>
      </c>
      <c r="T833" s="56" t="s">
        <v>2063</v>
      </c>
    </row>
    <row r="834" spans="1:20">
      <c r="A834" s="55">
        <v>126319844955</v>
      </c>
      <c r="B834" s="53" t="s">
        <v>2055</v>
      </c>
      <c r="C834" s="54">
        <v>45920</v>
      </c>
      <c r="D834" s="55">
        <v>50499085507</v>
      </c>
      <c r="E834" s="55">
        <v>2074885701608</v>
      </c>
      <c r="F834" s="56" t="s">
        <v>2056</v>
      </c>
      <c r="G834" s="56" t="s">
        <v>2057</v>
      </c>
      <c r="H834" s="56" t="s">
        <v>8</v>
      </c>
      <c r="I834" s="55" t="s">
        <v>8</v>
      </c>
      <c r="J834" s="57">
        <v>299.73</v>
      </c>
      <c r="K834" s="56" t="s">
        <v>2058</v>
      </c>
      <c r="L834" s="56" t="s">
        <v>2059</v>
      </c>
      <c r="M834" s="55" t="s">
        <v>2060</v>
      </c>
      <c r="N834" s="56" t="s">
        <v>2061</v>
      </c>
      <c r="O834" s="53" t="s">
        <v>8</v>
      </c>
      <c r="P834" s="56" t="s">
        <v>2436</v>
      </c>
      <c r="Q834" s="57">
        <v>30900</v>
      </c>
      <c r="R834" s="58" t="s">
        <v>8</v>
      </c>
      <c r="S834" s="57" t="s">
        <v>8</v>
      </c>
      <c r="T834" s="56" t="s">
        <v>2063</v>
      </c>
    </row>
    <row r="835" spans="1:20">
      <c r="A835" s="55">
        <v>126320141423</v>
      </c>
      <c r="B835" s="53" t="s">
        <v>2055</v>
      </c>
      <c r="C835" s="54">
        <v>45920</v>
      </c>
      <c r="D835" s="55">
        <v>50499241838</v>
      </c>
      <c r="E835" s="55">
        <v>2074888090562</v>
      </c>
      <c r="F835" s="56" t="s">
        <v>2056</v>
      </c>
      <c r="G835" s="56" t="s">
        <v>2057</v>
      </c>
      <c r="H835" s="56" t="s">
        <v>8</v>
      </c>
      <c r="I835" s="55" t="s">
        <v>8</v>
      </c>
      <c r="J835" s="57">
        <v>129.01</v>
      </c>
      <c r="K835" s="56" t="s">
        <v>2058</v>
      </c>
      <c r="L835" s="56" t="s">
        <v>2059</v>
      </c>
      <c r="M835" s="55" t="s">
        <v>2060</v>
      </c>
      <c r="N835" s="56" t="s">
        <v>2061</v>
      </c>
      <c r="O835" s="53" t="s">
        <v>8</v>
      </c>
      <c r="P835" s="56" t="s">
        <v>2183</v>
      </c>
      <c r="Q835" s="57">
        <v>13300</v>
      </c>
      <c r="R835" s="58" t="s">
        <v>8</v>
      </c>
      <c r="S835" s="57" t="s">
        <v>8</v>
      </c>
      <c r="T835" s="56" t="s">
        <v>2063</v>
      </c>
    </row>
    <row r="836" spans="1:20">
      <c r="A836" s="55">
        <v>126320288243</v>
      </c>
      <c r="B836" s="53" t="s">
        <v>2055</v>
      </c>
      <c r="C836" s="54">
        <v>45920</v>
      </c>
      <c r="D836" s="55">
        <v>50499272572</v>
      </c>
      <c r="E836" s="55">
        <v>2074888652556</v>
      </c>
      <c r="F836" s="56" t="s">
        <v>2056</v>
      </c>
      <c r="G836" s="56" t="s">
        <v>2057</v>
      </c>
      <c r="H836" s="56" t="s">
        <v>8</v>
      </c>
      <c r="I836" s="55" t="s">
        <v>8</v>
      </c>
      <c r="J836" s="57">
        <v>41.71</v>
      </c>
      <c r="K836" s="56" t="s">
        <v>2058</v>
      </c>
      <c r="L836" s="56" t="s">
        <v>2059</v>
      </c>
      <c r="M836" s="55" t="s">
        <v>2060</v>
      </c>
      <c r="N836" s="56" t="s">
        <v>2061</v>
      </c>
      <c r="O836" s="53" t="s">
        <v>8</v>
      </c>
      <c r="P836" s="56" t="s">
        <v>2437</v>
      </c>
      <c r="Q836" s="57">
        <v>4300</v>
      </c>
      <c r="R836" s="58" t="s">
        <v>8</v>
      </c>
      <c r="S836" s="57" t="s">
        <v>8</v>
      </c>
      <c r="T836" s="56" t="s">
        <v>2063</v>
      </c>
    </row>
    <row r="837" spans="1:20">
      <c r="A837" s="55">
        <v>126320241659</v>
      </c>
      <c r="B837" s="53" t="s">
        <v>2055</v>
      </c>
      <c r="C837" s="54">
        <v>45920</v>
      </c>
      <c r="D837" s="55">
        <v>50499303197</v>
      </c>
      <c r="E837" s="55">
        <v>2074889183840</v>
      </c>
      <c r="F837" s="56" t="s">
        <v>2056</v>
      </c>
      <c r="G837" s="56" t="s">
        <v>2057</v>
      </c>
      <c r="H837" s="56" t="s">
        <v>8</v>
      </c>
      <c r="I837" s="55" t="s">
        <v>8</v>
      </c>
      <c r="J837" s="57">
        <v>187.45</v>
      </c>
      <c r="K837" s="56" t="s">
        <v>2058</v>
      </c>
      <c r="L837" s="56" t="s">
        <v>2059</v>
      </c>
      <c r="M837" s="55" t="s">
        <v>2060</v>
      </c>
      <c r="N837" s="56" t="s">
        <v>2061</v>
      </c>
      <c r="O837" s="53" t="s">
        <v>8</v>
      </c>
      <c r="P837" s="56" t="s">
        <v>2438</v>
      </c>
      <c r="Q837" s="57">
        <v>11500</v>
      </c>
      <c r="R837" s="58" t="s">
        <v>8</v>
      </c>
      <c r="S837" s="57" t="s">
        <v>8</v>
      </c>
      <c r="T837" s="56" t="s">
        <v>2063</v>
      </c>
    </row>
    <row r="838" spans="1:20">
      <c r="A838" s="55">
        <v>126877870800</v>
      </c>
      <c r="B838" s="53" t="s">
        <v>2055</v>
      </c>
      <c r="C838" s="54">
        <v>45920</v>
      </c>
      <c r="D838" s="55">
        <v>50499514818</v>
      </c>
      <c r="E838" s="55">
        <v>2074892021976</v>
      </c>
      <c r="F838" s="56" t="s">
        <v>2056</v>
      </c>
      <c r="G838" s="56" t="s">
        <v>2057</v>
      </c>
      <c r="H838" s="56" t="s">
        <v>8</v>
      </c>
      <c r="I838" s="55" t="s">
        <v>8</v>
      </c>
      <c r="J838" s="57">
        <v>91.18</v>
      </c>
      <c r="K838" s="56" t="s">
        <v>2058</v>
      </c>
      <c r="L838" s="56" t="s">
        <v>2059</v>
      </c>
      <c r="M838" s="55" t="s">
        <v>2060</v>
      </c>
      <c r="N838" s="56" t="s">
        <v>2061</v>
      </c>
      <c r="O838" s="53" t="s">
        <v>8</v>
      </c>
      <c r="P838" s="56" t="s">
        <v>2439</v>
      </c>
      <c r="Q838" s="57">
        <v>9400</v>
      </c>
      <c r="R838" s="58" t="s">
        <v>8</v>
      </c>
      <c r="S838" s="57" t="s">
        <v>8</v>
      </c>
      <c r="T838" s="56" t="s">
        <v>2063</v>
      </c>
    </row>
    <row r="839" spans="1:20">
      <c r="A839" s="55">
        <v>126878375750</v>
      </c>
      <c r="B839" s="53" t="s">
        <v>2055</v>
      </c>
      <c r="C839" s="54">
        <v>45920</v>
      </c>
      <c r="D839" s="55">
        <v>50499727134</v>
      </c>
      <c r="E839" s="55">
        <v>2074843732997</v>
      </c>
      <c r="F839" s="56" t="s">
        <v>2066</v>
      </c>
      <c r="G839" s="56" t="s">
        <v>2057</v>
      </c>
      <c r="H839" s="56" t="s">
        <v>8</v>
      </c>
      <c r="I839" s="55" t="s">
        <v>8</v>
      </c>
      <c r="J839" s="57">
        <v>10868.76</v>
      </c>
      <c r="K839" s="56" t="s">
        <v>2058</v>
      </c>
      <c r="L839" s="56" t="s">
        <v>2067</v>
      </c>
      <c r="M839" s="55" t="s">
        <v>2060</v>
      </c>
      <c r="N839" s="56" t="s">
        <v>2061</v>
      </c>
      <c r="O839" s="53" t="s">
        <v>1790</v>
      </c>
      <c r="P839" s="56" t="s">
        <v>2068</v>
      </c>
      <c r="Q839" s="57">
        <v>239400</v>
      </c>
      <c r="R839" s="58" t="s">
        <v>8</v>
      </c>
      <c r="S839" s="57" t="s">
        <v>8</v>
      </c>
      <c r="T839" s="56" t="s">
        <v>2063</v>
      </c>
    </row>
    <row r="840" spans="1:20">
      <c r="A840" s="55">
        <v>126321636735</v>
      </c>
      <c r="B840" s="53" t="s">
        <v>2055</v>
      </c>
      <c r="C840" s="54">
        <v>45920</v>
      </c>
      <c r="D840" s="55">
        <v>50499908911</v>
      </c>
      <c r="E840" s="55">
        <v>2074846245329</v>
      </c>
      <c r="F840" s="56" t="s">
        <v>2069</v>
      </c>
      <c r="G840" s="56" t="s">
        <v>2057</v>
      </c>
      <c r="H840" s="56" t="s">
        <v>8</v>
      </c>
      <c r="I840" s="55" t="s">
        <v>8</v>
      </c>
      <c r="J840" s="57">
        <v>415.16</v>
      </c>
      <c r="K840" s="56" t="s">
        <v>2058</v>
      </c>
      <c r="L840" s="56" t="s">
        <v>2059</v>
      </c>
      <c r="M840" s="55" t="s">
        <v>2060</v>
      </c>
      <c r="N840" s="56" t="s">
        <v>2061</v>
      </c>
      <c r="O840" s="53" t="s">
        <v>8</v>
      </c>
      <c r="P840" s="56" t="s">
        <v>2070</v>
      </c>
      <c r="Q840" s="57">
        <v>42800</v>
      </c>
      <c r="R840" s="58" t="s">
        <v>8</v>
      </c>
      <c r="S840" s="57" t="s">
        <v>8</v>
      </c>
      <c r="T840" s="56" t="s">
        <v>8</v>
      </c>
    </row>
    <row r="841" spans="1:20">
      <c r="A841" s="55">
        <v>126322107825</v>
      </c>
      <c r="B841" s="53" t="s">
        <v>2055</v>
      </c>
      <c r="C841" s="54">
        <v>45920</v>
      </c>
      <c r="D841" s="55">
        <v>50500168813</v>
      </c>
      <c r="E841" s="55">
        <v>2074900640692</v>
      </c>
      <c r="F841" s="56" t="s">
        <v>2066</v>
      </c>
      <c r="G841" s="56" t="s">
        <v>2057</v>
      </c>
      <c r="H841" s="56" t="s">
        <v>8</v>
      </c>
      <c r="I841" s="55" t="s">
        <v>8</v>
      </c>
      <c r="J841" s="57">
        <v>2609.52</v>
      </c>
      <c r="K841" s="56" t="s">
        <v>2058</v>
      </c>
      <c r="L841" s="56" t="s">
        <v>2067</v>
      </c>
      <c r="M841" s="55" t="s">
        <v>2060</v>
      </c>
      <c r="N841" s="56" t="s">
        <v>2061</v>
      </c>
      <c r="O841" s="53" t="s">
        <v>1790</v>
      </c>
      <c r="P841" s="56" t="s">
        <v>2068</v>
      </c>
      <c r="Q841" s="57">
        <v>66400</v>
      </c>
      <c r="R841" s="58" t="s">
        <v>8</v>
      </c>
      <c r="S841" s="57" t="s">
        <v>8</v>
      </c>
      <c r="T841" s="56" t="s">
        <v>2063</v>
      </c>
    </row>
    <row r="842" spans="1:20">
      <c r="A842" s="55">
        <v>126879442386</v>
      </c>
      <c r="B842" s="53" t="s">
        <v>2055</v>
      </c>
      <c r="C842" s="54">
        <v>45920</v>
      </c>
      <c r="D842" s="55">
        <v>50500239812</v>
      </c>
      <c r="E842" s="55">
        <v>2074850537911</v>
      </c>
      <c r="F842" s="56" t="s">
        <v>2066</v>
      </c>
      <c r="G842" s="56" t="s">
        <v>2057</v>
      </c>
      <c r="H842" s="56" t="s">
        <v>8</v>
      </c>
      <c r="I842" s="55" t="s">
        <v>8</v>
      </c>
      <c r="J842" s="57">
        <v>2097.48</v>
      </c>
      <c r="K842" s="56" t="s">
        <v>2058</v>
      </c>
      <c r="L842" s="56" t="s">
        <v>2067</v>
      </c>
      <c r="M842" s="55" t="s">
        <v>2060</v>
      </c>
      <c r="N842" s="56" t="s">
        <v>2061</v>
      </c>
      <c r="O842" s="53" t="s">
        <v>1790</v>
      </c>
      <c r="P842" s="56" t="s">
        <v>2068</v>
      </c>
      <c r="Q842" s="57">
        <v>46200</v>
      </c>
      <c r="R842" s="58" t="s">
        <v>8</v>
      </c>
      <c r="S842" s="57" t="s">
        <v>8</v>
      </c>
      <c r="T842" s="56" t="s">
        <v>2063</v>
      </c>
    </row>
    <row r="843" spans="1:20">
      <c r="A843" s="55">
        <v>126322363921</v>
      </c>
      <c r="B843" s="53" t="s">
        <v>2055</v>
      </c>
      <c r="C843" s="54">
        <v>45920</v>
      </c>
      <c r="D843" s="55">
        <v>50500292352</v>
      </c>
      <c r="E843" s="55">
        <v>2074851615161</v>
      </c>
      <c r="F843" s="56" t="s">
        <v>2056</v>
      </c>
      <c r="G843" s="56" t="s">
        <v>2057</v>
      </c>
      <c r="H843" s="56" t="s">
        <v>8</v>
      </c>
      <c r="I843" s="55" t="s">
        <v>8</v>
      </c>
      <c r="J843" s="57">
        <v>497.61</v>
      </c>
      <c r="K843" s="56" t="s">
        <v>2058</v>
      </c>
      <c r="L843" s="56" t="s">
        <v>2059</v>
      </c>
      <c r="M843" s="55" t="s">
        <v>2060</v>
      </c>
      <c r="N843" s="56" t="s">
        <v>2061</v>
      </c>
      <c r="O843" s="53" t="s">
        <v>8</v>
      </c>
      <c r="P843" s="56" t="s">
        <v>2440</v>
      </c>
      <c r="Q843" s="57">
        <v>51300</v>
      </c>
      <c r="R843" s="58" t="s">
        <v>8</v>
      </c>
      <c r="S843" s="57" t="s">
        <v>8</v>
      </c>
      <c r="T843" s="56" t="s">
        <v>2063</v>
      </c>
    </row>
    <row r="844" spans="1:20">
      <c r="A844" s="55">
        <v>126322416275</v>
      </c>
      <c r="B844" s="53" t="s">
        <v>2055</v>
      </c>
      <c r="C844" s="54">
        <v>45920</v>
      </c>
      <c r="D844" s="55">
        <v>50500307901</v>
      </c>
      <c r="E844" s="55">
        <v>2074902648514</v>
      </c>
      <c r="F844" s="56" t="s">
        <v>2069</v>
      </c>
      <c r="G844" s="56" t="s">
        <v>2057</v>
      </c>
      <c r="H844" s="56" t="s">
        <v>8</v>
      </c>
      <c r="I844" s="55" t="s">
        <v>8</v>
      </c>
      <c r="J844" s="57">
        <v>97</v>
      </c>
      <c r="K844" s="56" t="s">
        <v>2058</v>
      </c>
      <c r="L844" s="56" t="s">
        <v>2059</v>
      </c>
      <c r="M844" s="55" t="s">
        <v>2060</v>
      </c>
      <c r="N844" s="56" t="s">
        <v>2061</v>
      </c>
      <c r="O844" s="53" t="s">
        <v>8</v>
      </c>
      <c r="P844" s="56" t="s">
        <v>2070</v>
      </c>
      <c r="Q844" s="57">
        <v>10000</v>
      </c>
      <c r="R844" s="58" t="s">
        <v>8</v>
      </c>
      <c r="S844" s="57" t="s">
        <v>8</v>
      </c>
      <c r="T844" s="56" t="s">
        <v>8</v>
      </c>
    </row>
    <row r="845" spans="1:20">
      <c r="A845" s="55">
        <v>126322417111</v>
      </c>
      <c r="B845" s="53" t="s">
        <v>2055</v>
      </c>
      <c r="C845" s="54">
        <v>45920</v>
      </c>
      <c r="D845" s="55">
        <v>50500316420</v>
      </c>
      <c r="E845" s="55">
        <v>2074902928358</v>
      </c>
      <c r="F845" s="56" t="s">
        <v>2056</v>
      </c>
      <c r="G845" s="56" t="s">
        <v>2057</v>
      </c>
      <c r="H845" s="56" t="s">
        <v>8</v>
      </c>
      <c r="I845" s="55" t="s">
        <v>8</v>
      </c>
      <c r="J845" s="57">
        <v>126.1</v>
      </c>
      <c r="K845" s="56" t="s">
        <v>2058</v>
      </c>
      <c r="L845" s="56" t="s">
        <v>2059</v>
      </c>
      <c r="M845" s="55" t="s">
        <v>2060</v>
      </c>
      <c r="N845" s="56" t="s">
        <v>2061</v>
      </c>
      <c r="O845" s="53" t="s">
        <v>8</v>
      </c>
      <c r="P845" s="56" t="s">
        <v>2441</v>
      </c>
      <c r="Q845" s="57">
        <v>13000</v>
      </c>
      <c r="R845" s="58" t="s">
        <v>8</v>
      </c>
      <c r="S845" s="57" t="s">
        <v>8</v>
      </c>
      <c r="T845" s="56" t="s">
        <v>2063</v>
      </c>
    </row>
    <row r="846" spans="1:20">
      <c r="A846" s="55">
        <v>126879711336</v>
      </c>
      <c r="B846" s="53" t="s">
        <v>2055</v>
      </c>
      <c r="C846" s="54">
        <v>45920</v>
      </c>
      <c r="D846" s="55">
        <v>50500371836</v>
      </c>
      <c r="E846" s="55">
        <v>2074903773580</v>
      </c>
      <c r="F846" s="56" t="s">
        <v>2066</v>
      </c>
      <c r="G846" s="56" t="s">
        <v>2057</v>
      </c>
      <c r="H846" s="56" t="s">
        <v>8</v>
      </c>
      <c r="I846" s="55" t="s">
        <v>8</v>
      </c>
      <c r="J846" s="57">
        <v>353.7</v>
      </c>
      <c r="K846" s="56" t="s">
        <v>2058</v>
      </c>
      <c r="L846" s="56" t="s">
        <v>2067</v>
      </c>
      <c r="M846" s="55" t="s">
        <v>2060</v>
      </c>
      <c r="N846" s="56" t="s">
        <v>2061</v>
      </c>
      <c r="O846" s="53" t="s">
        <v>1790</v>
      </c>
      <c r="P846" s="56" t="s">
        <v>2068</v>
      </c>
      <c r="Q846" s="57">
        <v>9000</v>
      </c>
      <c r="R846" s="58" t="s">
        <v>8</v>
      </c>
      <c r="S846" s="57" t="s">
        <v>8</v>
      </c>
      <c r="T846" s="56" t="s">
        <v>2063</v>
      </c>
    </row>
    <row r="847" spans="1:20">
      <c r="A847" s="55">
        <v>126322987383</v>
      </c>
      <c r="B847" s="53" t="s">
        <v>2055</v>
      </c>
      <c r="C847" s="54">
        <v>45920</v>
      </c>
      <c r="D847" s="55">
        <v>50500543542</v>
      </c>
      <c r="E847" s="55">
        <v>2074855416501</v>
      </c>
      <c r="F847" s="56" t="s">
        <v>2069</v>
      </c>
      <c r="G847" s="56" t="s">
        <v>2057</v>
      </c>
      <c r="H847" s="56" t="s">
        <v>8</v>
      </c>
      <c r="I847" s="55" t="s">
        <v>8</v>
      </c>
      <c r="J847" s="57">
        <v>438.44</v>
      </c>
      <c r="K847" s="56" t="s">
        <v>2058</v>
      </c>
      <c r="L847" s="56" t="s">
        <v>2059</v>
      </c>
      <c r="M847" s="55" t="s">
        <v>2060</v>
      </c>
      <c r="N847" s="56" t="s">
        <v>2061</v>
      </c>
      <c r="O847" s="53" t="s">
        <v>8</v>
      </c>
      <c r="P847" s="56" t="s">
        <v>2070</v>
      </c>
      <c r="Q847" s="57">
        <v>45200</v>
      </c>
      <c r="R847" s="58" t="s">
        <v>8</v>
      </c>
      <c r="S847" s="57" t="s">
        <v>8</v>
      </c>
      <c r="T847" s="56" t="s">
        <v>8</v>
      </c>
    </row>
    <row r="848" spans="1:20">
      <c r="A848" s="55">
        <v>126879997894</v>
      </c>
      <c r="B848" s="53" t="s">
        <v>2055</v>
      </c>
      <c r="C848" s="54">
        <v>45920</v>
      </c>
      <c r="D848" s="55">
        <v>50500548323</v>
      </c>
      <c r="E848" s="55">
        <v>2074854873011</v>
      </c>
      <c r="F848" s="56" t="s">
        <v>2056</v>
      </c>
      <c r="G848" s="56" t="s">
        <v>2057</v>
      </c>
      <c r="H848" s="56" t="s">
        <v>8</v>
      </c>
      <c r="I848" s="55" t="s">
        <v>8</v>
      </c>
      <c r="J848" s="57">
        <v>656.69</v>
      </c>
      <c r="K848" s="56" t="s">
        <v>2058</v>
      </c>
      <c r="L848" s="56" t="s">
        <v>2059</v>
      </c>
      <c r="M848" s="55" t="s">
        <v>2060</v>
      </c>
      <c r="N848" s="56" t="s">
        <v>2061</v>
      </c>
      <c r="O848" s="53" t="s">
        <v>8</v>
      </c>
      <c r="P848" s="56" t="s">
        <v>2442</v>
      </c>
      <c r="Q848" s="57">
        <v>67700</v>
      </c>
      <c r="R848" s="58" t="s">
        <v>8</v>
      </c>
      <c r="S848" s="57" t="s">
        <v>8</v>
      </c>
      <c r="T848" s="56" t="s">
        <v>2063</v>
      </c>
    </row>
    <row r="849" spans="1:20">
      <c r="A849" s="55">
        <v>126323027433</v>
      </c>
      <c r="B849" s="53" t="s">
        <v>2055</v>
      </c>
      <c r="C849" s="54">
        <v>45920</v>
      </c>
      <c r="D849" s="55">
        <v>50500553954</v>
      </c>
      <c r="E849" s="55">
        <v>2074855370065</v>
      </c>
      <c r="F849" s="56" t="s">
        <v>2066</v>
      </c>
      <c r="G849" s="56" t="s">
        <v>2057</v>
      </c>
      <c r="H849" s="56" t="s">
        <v>8</v>
      </c>
      <c r="I849" s="55" t="s">
        <v>8</v>
      </c>
      <c r="J849" s="57">
        <v>931.41</v>
      </c>
      <c r="K849" s="56" t="s">
        <v>2058</v>
      </c>
      <c r="L849" s="56" t="s">
        <v>2067</v>
      </c>
      <c r="M849" s="55" t="s">
        <v>2060</v>
      </c>
      <c r="N849" s="56" t="s">
        <v>2061</v>
      </c>
      <c r="O849" s="53" t="s">
        <v>1790</v>
      </c>
      <c r="P849" s="56" t="s">
        <v>2068</v>
      </c>
      <c r="Q849" s="57">
        <v>23700</v>
      </c>
      <c r="R849" s="58" t="s">
        <v>8</v>
      </c>
      <c r="S849" s="57" t="s">
        <v>8</v>
      </c>
      <c r="T849" s="56" t="s">
        <v>2063</v>
      </c>
    </row>
    <row r="850" spans="1:20">
      <c r="A850" s="55">
        <v>126960677984</v>
      </c>
      <c r="B850" s="53" t="s">
        <v>2055</v>
      </c>
      <c r="C850" s="54">
        <v>45920</v>
      </c>
      <c r="D850" s="55">
        <v>50531648506</v>
      </c>
      <c r="E850" s="55">
        <v>2075352492509</v>
      </c>
      <c r="F850" s="56" t="s">
        <v>2066</v>
      </c>
      <c r="G850" s="56" t="s">
        <v>2057</v>
      </c>
      <c r="H850" s="56" t="s">
        <v>8</v>
      </c>
      <c r="I850" s="55" t="s">
        <v>8</v>
      </c>
      <c r="J850" s="57">
        <v>495.18</v>
      </c>
      <c r="K850" s="56" t="s">
        <v>2058</v>
      </c>
      <c r="L850" s="56" t="s">
        <v>2067</v>
      </c>
      <c r="M850" s="55" t="s">
        <v>2060</v>
      </c>
      <c r="N850" s="56" t="s">
        <v>2061</v>
      </c>
      <c r="O850" s="53" t="s">
        <v>1790</v>
      </c>
      <c r="P850" s="56" t="s">
        <v>2068</v>
      </c>
      <c r="Q850" s="57">
        <v>12600</v>
      </c>
      <c r="R850" s="58" t="s">
        <v>8</v>
      </c>
      <c r="S850" s="57" t="s">
        <v>8</v>
      </c>
      <c r="T850" s="56" t="s">
        <v>2063</v>
      </c>
    </row>
    <row r="851" spans="1:20">
      <c r="A851" s="55">
        <v>126410121599</v>
      </c>
      <c r="B851" s="53" t="s">
        <v>2055</v>
      </c>
      <c r="C851" s="54">
        <v>45920</v>
      </c>
      <c r="D851" s="55">
        <v>50534036987</v>
      </c>
      <c r="E851" s="55">
        <v>2075394721711</v>
      </c>
      <c r="F851" s="56" t="s">
        <v>2069</v>
      </c>
      <c r="G851" s="56" t="s">
        <v>2057</v>
      </c>
      <c r="H851" s="56" t="s">
        <v>8</v>
      </c>
      <c r="I851" s="55" t="s">
        <v>8</v>
      </c>
      <c r="J851" s="57">
        <v>51.41</v>
      </c>
      <c r="K851" s="56" t="s">
        <v>2058</v>
      </c>
      <c r="L851" s="56" t="s">
        <v>2059</v>
      </c>
      <c r="M851" s="55" t="s">
        <v>2060</v>
      </c>
      <c r="N851" s="56" t="s">
        <v>2061</v>
      </c>
      <c r="O851" s="53" t="s">
        <v>8</v>
      </c>
      <c r="P851" s="56" t="s">
        <v>2070</v>
      </c>
      <c r="Q851" s="57">
        <v>5300</v>
      </c>
      <c r="R851" s="58" t="s">
        <v>8</v>
      </c>
      <c r="S851" s="57" t="s">
        <v>8</v>
      </c>
      <c r="T851" s="56" t="s">
        <v>8</v>
      </c>
    </row>
    <row r="852" spans="1:20">
      <c r="A852" s="55">
        <v>126410422343</v>
      </c>
      <c r="B852" s="53" t="s">
        <v>2055</v>
      </c>
      <c r="C852" s="54">
        <v>45920</v>
      </c>
      <c r="D852" s="55">
        <v>50534099124</v>
      </c>
      <c r="E852" s="55">
        <v>2075395914337</v>
      </c>
      <c r="F852" s="56" t="s">
        <v>2056</v>
      </c>
      <c r="G852" s="56" t="s">
        <v>2057</v>
      </c>
      <c r="H852" s="56" t="s">
        <v>8</v>
      </c>
      <c r="I852" s="55" t="s">
        <v>8</v>
      </c>
      <c r="J852" s="57">
        <v>41.71</v>
      </c>
      <c r="K852" s="56" t="s">
        <v>2058</v>
      </c>
      <c r="L852" s="56" t="s">
        <v>2059</v>
      </c>
      <c r="M852" s="55" t="s">
        <v>2060</v>
      </c>
      <c r="N852" s="56" t="s">
        <v>2061</v>
      </c>
      <c r="O852" s="53" t="s">
        <v>8</v>
      </c>
      <c r="P852" s="56" t="s">
        <v>2218</v>
      </c>
      <c r="Q852" s="57">
        <v>4300</v>
      </c>
      <c r="R852" s="58" t="s">
        <v>8</v>
      </c>
      <c r="S852" s="57" t="s">
        <v>8</v>
      </c>
      <c r="T852" s="56" t="s">
        <v>2063</v>
      </c>
    </row>
    <row r="853" spans="1:20">
      <c r="A853" s="55">
        <v>126412724811</v>
      </c>
      <c r="B853" s="53" t="s">
        <v>2055</v>
      </c>
      <c r="C853" s="54">
        <v>45920</v>
      </c>
      <c r="D853" s="55">
        <v>50534892359</v>
      </c>
      <c r="E853" s="55">
        <v>2075461255600</v>
      </c>
      <c r="F853" s="56" t="s">
        <v>2066</v>
      </c>
      <c r="G853" s="56" t="s">
        <v>2057</v>
      </c>
      <c r="H853" s="56" t="s">
        <v>8</v>
      </c>
      <c r="I853" s="55" t="s">
        <v>8</v>
      </c>
      <c r="J853" s="57">
        <v>306.54000000000002</v>
      </c>
      <c r="K853" s="56" t="s">
        <v>2058</v>
      </c>
      <c r="L853" s="56" t="s">
        <v>2067</v>
      </c>
      <c r="M853" s="55" t="s">
        <v>2060</v>
      </c>
      <c r="N853" s="56" t="s">
        <v>2061</v>
      </c>
      <c r="O853" s="53" t="s">
        <v>1790</v>
      </c>
      <c r="P853" s="56" t="s">
        <v>2068</v>
      </c>
      <c r="Q853" s="57">
        <v>7800</v>
      </c>
      <c r="R853" s="58" t="s">
        <v>8</v>
      </c>
      <c r="S853" s="57" t="s">
        <v>8</v>
      </c>
      <c r="T853" s="56" t="s">
        <v>2063</v>
      </c>
    </row>
    <row r="854" spans="1:20">
      <c r="A854" s="55">
        <v>126970599066</v>
      </c>
      <c r="B854" s="53" t="s">
        <v>2055</v>
      </c>
      <c r="C854" s="54">
        <v>45920</v>
      </c>
      <c r="D854" s="55">
        <v>50535038747</v>
      </c>
      <c r="E854" s="55">
        <v>2075463929994</v>
      </c>
      <c r="F854" s="56" t="s">
        <v>2066</v>
      </c>
      <c r="G854" s="56" t="s">
        <v>2057</v>
      </c>
      <c r="H854" s="56" t="s">
        <v>8</v>
      </c>
      <c r="I854" s="55" t="s">
        <v>8</v>
      </c>
      <c r="J854" s="57">
        <v>327.23</v>
      </c>
      <c r="K854" s="56" t="s">
        <v>2058</v>
      </c>
      <c r="L854" s="56" t="s">
        <v>2067</v>
      </c>
      <c r="M854" s="55" t="s">
        <v>2060</v>
      </c>
      <c r="N854" s="56" t="s">
        <v>2061</v>
      </c>
      <c r="O854" s="53" t="s">
        <v>1790</v>
      </c>
      <c r="P854" s="56" t="s">
        <v>2068</v>
      </c>
      <c r="Q854" s="57">
        <v>4300</v>
      </c>
      <c r="R854" s="58" t="s">
        <v>8</v>
      </c>
      <c r="S854" s="57" t="s">
        <v>8</v>
      </c>
      <c r="T854" s="56" t="s">
        <v>2063</v>
      </c>
    </row>
    <row r="855" spans="1:20">
      <c r="A855" s="55">
        <v>126971190364</v>
      </c>
      <c r="B855" s="53" t="s">
        <v>2055</v>
      </c>
      <c r="C855" s="54">
        <v>45920</v>
      </c>
      <c r="D855" s="55">
        <v>50535236729</v>
      </c>
      <c r="E855" s="55">
        <v>2075415306939</v>
      </c>
      <c r="F855" s="56" t="s">
        <v>2066</v>
      </c>
      <c r="G855" s="56" t="s">
        <v>2057</v>
      </c>
      <c r="H855" s="56" t="s">
        <v>8</v>
      </c>
      <c r="I855" s="55" t="s">
        <v>8</v>
      </c>
      <c r="J855" s="57">
        <v>363.2</v>
      </c>
      <c r="K855" s="56" t="s">
        <v>2058</v>
      </c>
      <c r="L855" s="56" t="s">
        <v>2067</v>
      </c>
      <c r="M855" s="55" t="s">
        <v>2060</v>
      </c>
      <c r="N855" s="56" t="s">
        <v>2061</v>
      </c>
      <c r="O855" s="53" t="s">
        <v>1790</v>
      </c>
      <c r="P855" s="56" t="s">
        <v>2068</v>
      </c>
      <c r="Q855" s="57">
        <v>8000</v>
      </c>
      <c r="R855" s="58" t="s">
        <v>8</v>
      </c>
      <c r="S855" s="57" t="s">
        <v>8</v>
      </c>
      <c r="T855" s="56" t="s">
        <v>2063</v>
      </c>
    </row>
    <row r="856" spans="1:20">
      <c r="A856" s="55">
        <v>126415952795</v>
      </c>
      <c r="B856" s="53" t="s">
        <v>2055</v>
      </c>
      <c r="C856" s="54">
        <v>45920</v>
      </c>
      <c r="D856" s="55">
        <v>50536001278</v>
      </c>
      <c r="E856" s="55">
        <v>2075429038229</v>
      </c>
      <c r="F856" s="56" t="s">
        <v>2056</v>
      </c>
      <c r="G856" s="56" t="s">
        <v>2057</v>
      </c>
      <c r="H856" s="56" t="s">
        <v>8</v>
      </c>
      <c r="I856" s="55" t="s">
        <v>8</v>
      </c>
      <c r="J856" s="57">
        <v>37.83</v>
      </c>
      <c r="K856" s="56" t="s">
        <v>2058</v>
      </c>
      <c r="L856" s="56" t="s">
        <v>2059</v>
      </c>
      <c r="M856" s="55" t="s">
        <v>2060</v>
      </c>
      <c r="N856" s="56" t="s">
        <v>2061</v>
      </c>
      <c r="O856" s="53" t="s">
        <v>8</v>
      </c>
      <c r="P856" s="56" t="s">
        <v>2093</v>
      </c>
      <c r="Q856" s="57">
        <v>3900</v>
      </c>
      <c r="R856" s="58" t="s">
        <v>8</v>
      </c>
      <c r="S856" s="57" t="s">
        <v>8</v>
      </c>
      <c r="T856" s="56" t="s">
        <v>2063</v>
      </c>
    </row>
    <row r="857" spans="1:20">
      <c r="A857" s="55">
        <v>126416100771</v>
      </c>
      <c r="B857" s="53" t="s">
        <v>2055</v>
      </c>
      <c r="C857" s="54">
        <v>45920</v>
      </c>
      <c r="D857" s="55">
        <v>50536062462</v>
      </c>
      <c r="E857" s="55">
        <v>2075429979535</v>
      </c>
      <c r="F857" s="56" t="s">
        <v>2107</v>
      </c>
      <c r="G857" s="56" t="s">
        <v>2057</v>
      </c>
      <c r="H857" s="56" t="s">
        <v>8</v>
      </c>
      <c r="I857" s="55" t="s">
        <v>8</v>
      </c>
      <c r="J857" s="57">
        <v>304.81</v>
      </c>
      <c r="K857" s="56" t="s">
        <v>2058</v>
      </c>
      <c r="L857" s="56" t="s">
        <v>2059</v>
      </c>
      <c r="M857" s="55" t="s">
        <v>2060</v>
      </c>
      <c r="N857" s="56" t="s">
        <v>2061</v>
      </c>
      <c r="O857" s="53" t="s">
        <v>8</v>
      </c>
      <c r="P857" s="56" t="s">
        <v>2197</v>
      </c>
      <c r="Q857" s="57">
        <v>18700</v>
      </c>
      <c r="R857" s="58" t="s">
        <v>8</v>
      </c>
      <c r="S857" s="57" t="s">
        <v>8</v>
      </c>
      <c r="T857" s="56" t="s">
        <v>2063</v>
      </c>
    </row>
    <row r="858" spans="1:20">
      <c r="A858" s="55">
        <v>126416744717</v>
      </c>
      <c r="B858" s="53" t="s">
        <v>2055</v>
      </c>
      <c r="C858" s="54">
        <v>45920</v>
      </c>
      <c r="D858" s="55">
        <v>50536300261</v>
      </c>
      <c r="E858" s="55">
        <v>2075485527418</v>
      </c>
      <c r="F858" s="56" t="s">
        <v>2066</v>
      </c>
      <c r="G858" s="56" t="s">
        <v>2057</v>
      </c>
      <c r="H858" s="56" t="s">
        <v>8</v>
      </c>
      <c r="I858" s="55" t="s">
        <v>8</v>
      </c>
      <c r="J858" s="57">
        <v>306.54000000000002</v>
      </c>
      <c r="K858" s="56" t="s">
        <v>2058</v>
      </c>
      <c r="L858" s="56" t="s">
        <v>2067</v>
      </c>
      <c r="M858" s="55" t="s">
        <v>2060</v>
      </c>
      <c r="N858" s="56" t="s">
        <v>2061</v>
      </c>
      <c r="O858" s="53" t="s">
        <v>1790</v>
      </c>
      <c r="P858" s="56" t="s">
        <v>2068</v>
      </c>
      <c r="Q858" s="57">
        <v>7800</v>
      </c>
      <c r="R858" s="58" t="s">
        <v>8</v>
      </c>
      <c r="S858" s="57" t="s">
        <v>8</v>
      </c>
      <c r="T858" s="56" t="s">
        <v>2063</v>
      </c>
    </row>
    <row r="859" spans="1:20">
      <c r="A859" s="55">
        <v>126417189235</v>
      </c>
      <c r="B859" s="53" t="s">
        <v>2055</v>
      </c>
      <c r="C859" s="54">
        <v>45920</v>
      </c>
      <c r="D859" s="55">
        <v>50536466672</v>
      </c>
      <c r="E859" s="55">
        <v>2075437134289</v>
      </c>
      <c r="F859" s="56" t="s">
        <v>2066</v>
      </c>
      <c r="G859" s="56" t="s">
        <v>2057</v>
      </c>
      <c r="H859" s="56" t="s">
        <v>8</v>
      </c>
      <c r="I859" s="55" t="s">
        <v>8</v>
      </c>
      <c r="J859" s="57">
        <v>2310.84</v>
      </c>
      <c r="K859" s="56" t="s">
        <v>2058</v>
      </c>
      <c r="L859" s="56" t="s">
        <v>2067</v>
      </c>
      <c r="M859" s="55" t="s">
        <v>2060</v>
      </c>
      <c r="N859" s="56" t="s">
        <v>2061</v>
      </c>
      <c r="O859" s="53" t="s">
        <v>1790</v>
      </c>
      <c r="P859" s="56" t="s">
        <v>2068</v>
      </c>
      <c r="Q859" s="57">
        <v>58800</v>
      </c>
      <c r="R859" s="58" t="s">
        <v>8</v>
      </c>
      <c r="S859" s="57" t="s">
        <v>8</v>
      </c>
      <c r="T859" s="56" t="s">
        <v>2063</v>
      </c>
    </row>
    <row r="860" spans="1:20">
      <c r="A860" s="55">
        <v>126417744443</v>
      </c>
      <c r="B860" s="53" t="s">
        <v>2055</v>
      </c>
      <c r="C860" s="54">
        <v>45920</v>
      </c>
      <c r="D860" s="55">
        <v>50536645915</v>
      </c>
      <c r="E860" s="55">
        <v>2075491648718</v>
      </c>
      <c r="F860" s="56" t="s">
        <v>2069</v>
      </c>
      <c r="G860" s="56" t="s">
        <v>2057</v>
      </c>
      <c r="H860" s="56" t="s">
        <v>8</v>
      </c>
      <c r="I860" s="55" t="s">
        <v>8</v>
      </c>
      <c r="J860" s="57">
        <v>174.6</v>
      </c>
      <c r="K860" s="56" t="s">
        <v>2058</v>
      </c>
      <c r="L860" s="56" t="s">
        <v>2059</v>
      </c>
      <c r="M860" s="55" t="s">
        <v>2060</v>
      </c>
      <c r="N860" s="56" t="s">
        <v>2061</v>
      </c>
      <c r="O860" s="53" t="s">
        <v>8</v>
      </c>
      <c r="P860" s="56" t="s">
        <v>2070</v>
      </c>
      <c r="Q860" s="57">
        <v>18000</v>
      </c>
      <c r="R860" s="58" t="s">
        <v>8</v>
      </c>
      <c r="S860" s="57" t="s">
        <v>8</v>
      </c>
      <c r="T860" s="56" t="s">
        <v>8</v>
      </c>
    </row>
    <row r="861" spans="1:20">
      <c r="A861" s="55">
        <v>126418008273</v>
      </c>
      <c r="B861" s="53" t="s">
        <v>2055</v>
      </c>
      <c r="C861" s="54">
        <v>45920</v>
      </c>
      <c r="D861" s="55">
        <v>50536718538</v>
      </c>
      <c r="E861" s="55">
        <v>2075441514359</v>
      </c>
      <c r="F861" s="56" t="s">
        <v>2056</v>
      </c>
      <c r="G861" s="56" t="s">
        <v>2057</v>
      </c>
      <c r="H861" s="56" t="s">
        <v>8</v>
      </c>
      <c r="I861" s="55" t="s">
        <v>8</v>
      </c>
      <c r="J861" s="57">
        <v>264.81</v>
      </c>
      <c r="K861" s="56" t="s">
        <v>2058</v>
      </c>
      <c r="L861" s="56" t="s">
        <v>2059</v>
      </c>
      <c r="M861" s="55" t="s">
        <v>2060</v>
      </c>
      <c r="N861" s="56" t="s">
        <v>2061</v>
      </c>
      <c r="O861" s="53" t="s">
        <v>8</v>
      </c>
      <c r="P861" s="56" t="s">
        <v>2443</v>
      </c>
      <c r="Q861" s="57">
        <v>27300</v>
      </c>
      <c r="R861" s="58" t="s">
        <v>8</v>
      </c>
      <c r="S861" s="57" t="s">
        <v>8</v>
      </c>
      <c r="T861" s="56" t="s">
        <v>2063</v>
      </c>
    </row>
    <row r="862" spans="1:20">
      <c r="A862" s="55">
        <v>126418419939</v>
      </c>
      <c r="B862" s="53" t="s">
        <v>2055</v>
      </c>
      <c r="C862" s="54">
        <v>45920</v>
      </c>
      <c r="D862" s="55">
        <v>50536904887</v>
      </c>
      <c r="E862" s="55">
        <v>2075495957692</v>
      </c>
      <c r="F862" s="56" t="s">
        <v>2056</v>
      </c>
      <c r="G862" s="56" t="s">
        <v>2057</v>
      </c>
      <c r="H862" s="56" t="s">
        <v>8</v>
      </c>
      <c r="I862" s="55" t="s">
        <v>8</v>
      </c>
      <c r="J862" s="57">
        <v>127.07</v>
      </c>
      <c r="K862" s="56" t="s">
        <v>2058</v>
      </c>
      <c r="L862" s="56" t="s">
        <v>2059</v>
      </c>
      <c r="M862" s="55" t="s">
        <v>2060</v>
      </c>
      <c r="N862" s="56" t="s">
        <v>2061</v>
      </c>
      <c r="O862" s="53" t="s">
        <v>8</v>
      </c>
      <c r="P862" s="56" t="s">
        <v>2444</v>
      </c>
      <c r="Q862" s="57">
        <v>13100</v>
      </c>
      <c r="R862" s="58" t="s">
        <v>8</v>
      </c>
      <c r="S862" s="57" t="s">
        <v>8</v>
      </c>
      <c r="T862" s="56" t="s">
        <v>2063</v>
      </c>
    </row>
    <row r="863" spans="1:20">
      <c r="A863" s="55">
        <v>126978302556</v>
      </c>
      <c r="B863" s="53" t="s">
        <v>2055</v>
      </c>
      <c r="C863" s="54">
        <v>45920</v>
      </c>
      <c r="D863" s="55">
        <v>50537686450</v>
      </c>
      <c r="E863" s="55">
        <v>2075457994623</v>
      </c>
      <c r="F863" s="56" t="s">
        <v>2056</v>
      </c>
      <c r="G863" s="56" t="s">
        <v>2057</v>
      </c>
      <c r="H863" s="56" t="s">
        <v>8</v>
      </c>
      <c r="I863" s="55" t="s">
        <v>8</v>
      </c>
      <c r="J863" s="57">
        <v>272.57</v>
      </c>
      <c r="K863" s="56" t="s">
        <v>2058</v>
      </c>
      <c r="L863" s="56" t="s">
        <v>2059</v>
      </c>
      <c r="M863" s="55" t="s">
        <v>2060</v>
      </c>
      <c r="N863" s="56" t="s">
        <v>2061</v>
      </c>
      <c r="O863" s="53" t="s">
        <v>8</v>
      </c>
      <c r="P863" s="56" t="s">
        <v>2445</v>
      </c>
      <c r="Q863" s="57">
        <v>28100</v>
      </c>
      <c r="R863" s="58" t="s">
        <v>8</v>
      </c>
      <c r="S863" s="57" t="s">
        <v>8</v>
      </c>
      <c r="T863" s="56" t="s">
        <v>2063</v>
      </c>
    </row>
    <row r="864" spans="1:20">
      <c r="A864" s="55">
        <v>126979157826</v>
      </c>
      <c r="B864" s="53" t="s">
        <v>2055</v>
      </c>
      <c r="C864" s="54">
        <v>45920</v>
      </c>
      <c r="D864" s="55">
        <v>50538015988</v>
      </c>
      <c r="E864" s="55">
        <v>2075515074128</v>
      </c>
      <c r="F864" s="56" t="s">
        <v>2066</v>
      </c>
      <c r="G864" s="56" t="s">
        <v>2057</v>
      </c>
      <c r="H864" s="56" t="s">
        <v>8</v>
      </c>
      <c r="I864" s="55" t="s">
        <v>8</v>
      </c>
      <c r="J864" s="57">
        <v>1426.59</v>
      </c>
      <c r="K864" s="56" t="s">
        <v>2058</v>
      </c>
      <c r="L864" s="56" t="s">
        <v>2067</v>
      </c>
      <c r="M864" s="55" t="s">
        <v>2060</v>
      </c>
      <c r="N864" s="56" t="s">
        <v>2061</v>
      </c>
      <c r="O864" s="53" t="s">
        <v>1790</v>
      </c>
      <c r="P864" s="56" t="s">
        <v>2068</v>
      </c>
      <c r="Q864" s="57">
        <v>36300</v>
      </c>
      <c r="R864" s="58" t="s">
        <v>8</v>
      </c>
      <c r="S864" s="57" t="s">
        <v>8</v>
      </c>
      <c r="T864" s="56" t="s">
        <v>2063</v>
      </c>
    </row>
    <row r="865" spans="1:20">
      <c r="A865" s="55">
        <v>126421871761</v>
      </c>
      <c r="B865" s="53" t="s">
        <v>2055</v>
      </c>
      <c r="C865" s="54">
        <v>45920</v>
      </c>
      <c r="D865" s="55">
        <v>50538124718</v>
      </c>
      <c r="E865" s="55">
        <v>2075465338761</v>
      </c>
      <c r="F865" s="56" t="s">
        <v>2069</v>
      </c>
      <c r="G865" s="56" t="s">
        <v>2057</v>
      </c>
      <c r="H865" s="56" t="s">
        <v>8</v>
      </c>
      <c r="I865" s="55" t="s">
        <v>8</v>
      </c>
      <c r="J865" s="57">
        <v>83.42</v>
      </c>
      <c r="K865" s="56" t="s">
        <v>2058</v>
      </c>
      <c r="L865" s="56" t="s">
        <v>2059</v>
      </c>
      <c r="M865" s="55" t="s">
        <v>2060</v>
      </c>
      <c r="N865" s="56" t="s">
        <v>2061</v>
      </c>
      <c r="O865" s="53" t="s">
        <v>8</v>
      </c>
      <c r="P865" s="56" t="s">
        <v>2070</v>
      </c>
      <c r="Q865" s="57">
        <v>8600</v>
      </c>
      <c r="R865" s="58" t="s">
        <v>8</v>
      </c>
      <c r="S865" s="57" t="s">
        <v>8</v>
      </c>
      <c r="T865" s="56" t="s">
        <v>8</v>
      </c>
    </row>
    <row r="866" spans="1:20">
      <c r="A866" s="55">
        <v>126980936250</v>
      </c>
      <c r="B866" s="53" t="s">
        <v>2055</v>
      </c>
      <c r="C866" s="54">
        <v>45920</v>
      </c>
      <c r="D866" s="55">
        <v>50538597881</v>
      </c>
      <c r="E866" s="55">
        <v>2075525099230</v>
      </c>
      <c r="F866" s="56" t="s">
        <v>2056</v>
      </c>
      <c r="G866" s="56" t="s">
        <v>2057</v>
      </c>
      <c r="H866" s="56" t="s">
        <v>8</v>
      </c>
      <c r="I866" s="55" t="s">
        <v>8</v>
      </c>
      <c r="J866" s="57">
        <v>1735.08</v>
      </c>
      <c r="K866" s="56" t="s">
        <v>2058</v>
      </c>
      <c r="L866" s="56" t="s">
        <v>2059</v>
      </c>
      <c r="M866" s="55" t="s">
        <v>2060</v>
      </c>
      <c r="N866" s="56" t="s">
        <v>2061</v>
      </c>
      <c r="O866" s="53" t="s">
        <v>8</v>
      </c>
      <c r="P866" s="56" t="s">
        <v>2446</v>
      </c>
      <c r="Q866" s="57">
        <v>22800</v>
      </c>
      <c r="R866" s="58" t="s">
        <v>8</v>
      </c>
      <c r="S866" s="57" t="s">
        <v>8</v>
      </c>
      <c r="T866" s="56" t="s">
        <v>2063</v>
      </c>
    </row>
    <row r="867" spans="1:20">
      <c r="A867" s="55">
        <v>126423501303</v>
      </c>
      <c r="B867" s="53" t="s">
        <v>2055</v>
      </c>
      <c r="C867" s="54">
        <v>45920</v>
      </c>
      <c r="D867" s="55">
        <v>50538669149</v>
      </c>
      <c r="E867" s="55">
        <v>2075526051228</v>
      </c>
      <c r="F867" s="56" t="s">
        <v>2066</v>
      </c>
      <c r="G867" s="56" t="s">
        <v>2057</v>
      </c>
      <c r="H867" s="56" t="s">
        <v>8</v>
      </c>
      <c r="I867" s="55" t="s">
        <v>8</v>
      </c>
      <c r="J867" s="57">
        <v>970.71</v>
      </c>
      <c r="K867" s="56" t="s">
        <v>2058</v>
      </c>
      <c r="L867" s="56" t="s">
        <v>2067</v>
      </c>
      <c r="M867" s="55" t="s">
        <v>2060</v>
      </c>
      <c r="N867" s="56" t="s">
        <v>2061</v>
      </c>
      <c r="O867" s="53" t="s">
        <v>1790</v>
      </c>
      <c r="P867" s="56" t="s">
        <v>2068</v>
      </c>
      <c r="Q867" s="57">
        <v>24700</v>
      </c>
      <c r="R867" s="58" t="s">
        <v>8</v>
      </c>
      <c r="S867" s="57" t="s">
        <v>8</v>
      </c>
      <c r="T867" s="56" t="s">
        <v>2063</v>
      </c>
    </row>
    <row r="868" spans="1:20">
      <c r="A868" s="55">
        <v>126423667935</v>
      </c>
      <c r="B868" s="53" t="s">
        <v>2055</v>
      </c>
      <c r="C868" s="54">
        <v>45920</v>
      </c>
      <c r="D868" s="55">
        <v>50538720211</v>
      </c>
      <c r="E868" s="55">
        <v>2075476064165</v>
      </c>
      <c r="F868" s="56" t="s">
        <v>2066</v>
      </c>
      <c r="G868" s="56" t="s">
        <v>2057</v>
      </c>
      <c r="H868" s="56" t="s">
        <v>8</v>
      </c>
      <c r="I868" s="55" t="s">
        <v>8</v>
      </c>
      <c r="J868" s="57">
        <v>2526.52</v>
      </c>
      <c r="K868" s="56" t="s">
        <v>2058</v>
      </c>
      <c r="L868" s="56" t="s">
        <v>2067</v>
      </c>
      <c r="M868" s="55" t="s">
        <v>2060</v>
      </c>
      <c r="N868" s="56" t="s">
        <v>2061</v>
      </c>
      <c r="O868" s="53" t="s">
        <v>1790</v>
      </c>
      <c r="P868" s="56" t="s">
        <v>2068</v>
      </c>
      <c r="Q868" s="57">
        <v>33200</v>
      </c>
      <c r="R868" s="58" t="s">
        <v>8</v>
      </c>
      <c r="S868" s="57" t="s">
        <v>8</v>
      </c>
      <c r="T868" s="56" t="s">
        <v>2063</v>
      </c>
    </row>
    <row r="869" spans="1:20">
      <c r="A869" s="55">
        <v>126981776406</v>
      </c>
      <c r="B869" s="53" t="s">
        <v>2055</v>
      </c>
      <c r="C869" s="54">
        <v>45920</v>
      </c>
      <c r="D869" s="55">
        <v>50538892358</v>
      </c>
      <c r="E869" s="55">
        <v>2075530359224</v>
      </c>
      <c r="F869" s="56" t="s">
        <v>2066</v>
      </c>
      <c r="G869" s="56" t="s">
        <v>2057</v>
      </c>
      <c r="H869" s="56" t="s">
        <v>8</v>
      </c>
      <c r="I869" s="55" t="s">
        <v>8</v>
      </c>
      <c r="J869" s="57">
        <v>1367.64</v>
      </c>
      <c r="K869" s="56" t="s">
        <v>2058</v>
      </c>
      <c r="L869" s="56" t="s">
        <v>2067</v>
      </c>
      <c r="M869" s="55" t="s">
        <v>2060</v>
      </c>
      <c r="N869" s="56" t="s">
        <v>2061</v>
      </c>
      <c r="O869" s="53" t="s">
        <v>1790</v>
      </c>
      <c r="P869" s="56" t="s">
        <v>2068</v>
      </c>
      <c r="Q869" s="57">
        <v>34800</v>
      </c>
      <c r="R869" s="58" t="s">
        <v>8</v>
      </c>
      <c r="S869" s="57" t="s">
        <v>8</v>
      </c>
      <c r="T869" s="56" t="s">
        <v>2063</v>
      </c>
    </row>
    <row r="870" spans="1:20">
      <c r="A870" s="55">
        <v>126981700000</v>
      </c>
      <c r="B870" s="53" t="s">
        <v>2055</v>
      </c>
      <c r="C870" s="54">
        <v>45920</v>
      </c>
      <c r="D870" s="55">
        <v>50538924536</v>
      </c>
      <c r="E870" s="55">
        <v>2075530736058</v>
      </c>
      <c r="F870" s="56" t="s">
        <v>2066</v>
      </c>
      <c r="G870" s="56" t="s">
        <v>2057</v>
      </c>
      <c r="H870" s="56" t="s">
        <v>8</v>
      </c>
      <c r="I870" s="55" t="s">
        <v>8</v>
      </c>
      <c r="J870" s="57">
        <v>2971.08</v>
      </c>
      <c r="K870" s="56" t="s">
        <v>2058</v>
      </c>
      <c r="L870" s="56" t="s">
        <v>2067</v>
      </c>
      <c r="M870" s="55" t="s">
        <v>2060</v>
      </c>
      <c r="N870" s="56" t="s">
        <v>2061</v>
      </c>
      <c r="O870" s="53" t="s">
        <v>1790</v>
      </c>
      <c r="P870" s="56" t="s">
        <v>2068</v>
      </c>
      <c r="Q870" s="57">
        <v>75600</v>
      </c>
      <c r="R870" s="58" t="s">
        <v>8</v>
      </c>
      <c r="S870" s="57" t="s">
        <v>8</v>
      </c>
      <c r="T870" s="56" t="s">
        <v>2063</v>
      </c>
    </row>
    <row r="871" spans="1:20">
      <c r="A871" s="55">
        <v>126424486673</v>
      </c>
      <c r="B871" s="53" t="s">
        <v>2055</v>
      </c>
      <c r="C871" s="54">
        <v>45920</v>
      </c>
      <c r="D871" s="55">
        <v>50538978676</v>
      </c>
      <c r="E871" s="55">
        <v>2075479763441</v>
      </c>
      <c r="F871" s="56" t="s">
        <v>2107</v>
      </c>
      <c r="G871" s="56" t="s">
        <v>2057</v>
      </c>
      <c r="H871" s="56" t="s">
        <v>8</v>
      </c>
      <c r="I871" s="55" t="s">
        <v>8</v>
      </c>
      <c r="J871" s="57">
        <v>172.78</v>
      </c>
      <c r="K871" s="56" t="s">
        <v>2058</v>
      </c>
      <c r="L871" s="56" t="s">
        <v>2059</v>
      </c>
      <c r="M871" s="55" t="s">
        <v>2060</v>
      </c>
      <c r="N871" s="56" t="s">
        <v>2061</v>
      </c>
      <c r="O871" s="53" t="s">
        <v>8</v>
      </c>
      <c r="P871" s="56" t="s">
        <v>2197</v>
      </c>
      <c r="Q871" s="57">
        <v>10600</v>
      </c>
      <c r="R871" s="58" t="s">
        <v>8</v>
      </c>
      <c r="S871" s="57" t="s">
        <v>8</v>
      </c>
      <c r="T871" s="56" t="s">
        <v>2063</v>
      </c>
    </row>
    <row r="872" spans="1:20">
      <c r="A872" s="55">
        <v>126424804149</v>
      </c>
      <c r="B872" s="53" t="s">
        <v>2055</v>
      </c>
      <c r="C872" s="54">
        <v>45920</v>
      </c>
      <c r="D872" s="55">
        <v>50539078382</v>
      </c>
      <c r="E872" s="55">
        <v>2075532963022</v>
      </c>
      <c r="F872" s="56" t="s">
        <v>2056</v>
      </c>
      <c r="G872" s="56" t="s">
        <v>2057</v>
      </c>
      <c r="H872" s="56" t="s">
        <v>8</v>
      </c>
      <c r="I872" s="55" t="s">
        <v>8</v>
      </c>
      <c r="J872" s="57">
        <v>507.31</v>
      </c>
      <c r="K872" s="56" t="s">
        <v>2058</v>
      </c>
      <c r="L872" s="56" t="s">
        <v>2059</v>
      </c>
      <c r="M872" s="55" t="s">
        <v>2060</v>
      </c>
      <c r="N872" s="56" t="s">
        <v>2061</v>
      </c>
      <c r="O872" s="53" t="s">
        <v>8</v>
      </c>
      <c r="P872" s="56" t="s">
        <v>2235</v>
      </c>
      <c r="Q872" s="57">
        <v>52300</v>
      </c>
      <c r="R872" s="58" t="s">
        <v>8</v>
      </c>
      <c r="S872" s="57" t="s">
        <v>8</v>
      </c>
      <c r="T872" s="56" t="s">
        <v>2063</v>
      </c>
    </row>
    <row r="873" spans="1:20">
      <c r="A873" s="55">
        <v>126425131863</v>
      </c>
      <c r="B873" s="53" t="s">
        <v>2055</v>
      </c>
      <c r="C873" s="54">
        <v>45920</v>
      </c>
      <c r="D873" s="55">
        <v>50539257483</v>
      </c>
      <c r="E873" s="55">
        <v>2075536227318</v>
      </c>
      <c r="F873" s="56" t="s">
        <v>2066</v>
      </c>
      <c r="G873" s="56" t="s">
        <v>2057</v>
      </c>
      <c r="H873" s="56" t="s">
        <v>8</v>
      </c>
      <c r="I873" s="55" t="s">
        <v>8</v>
      </c>
      <c r="J873" s="57">
        <v>1053.24</v>
      </c>
      <c r="K873" s="56" t="s">
        <v>2058</v>
      </c>
      <c r="L873" s="56" t="s">
        <v>2067</v>
      </c>
      <c r="M873" s="55" t="s">
        <v>2060</v>
      </c>
      <c r="N873" s="56" t="s">
        <v>2061</v>
      </c>
      <c r="O873" s="53" t="s">
        <v>1790</v>
      </c>
      <c r="P873" s="56" t="s">
        <v>2068</v>
      </c>
      <c r="Q873" s="57">
        <v>26800</v>
      </c>
      <c r="R873" s="58" t="s">
        <v>8</v>
      </c>
      <c r="S873" s="57" t="s">
        <v>8</v>
      </c>
      <c r="T873" s="56" t="s">
        <v>2063</v>
      </c>
    </row>
    <row r="874" spans="1:20">
      <c r="A874" s="55">
        <v>126982959770</v>
      </c>
      <c r="B874" s="53" t="s">
        <v>2055</v>
      </c>
      <c r="C874" s="54">
        <v>45920</v>
      </c>
      <c r="D874" s="55">
        <v>50539337078</v>
      </c>
      <c r="E874" s="55">
        <v>2075537829058</v>
      </c>
      <c r="F874" s="56" t="s">
        <v>2069</v>
      </c>
      <c r="G874" s="56" t="s">
        <v>2057</v>
      </c>
      <c r="H874" s="56" t="s">
        <v>8</v>
      </c>
      <c r="I874" s="55" t="s">
        <v>8</v>
      </c>
      <c r="J874" s="57">
        <v>105.73</v>
      </c>
      <c r="K874" s="56" t="s">
        <v>2058</v>
      </c>
      <c r="L874" s="56" t="s">
        <v>2059</v>
      </c>
      <c r="M874" s="55" t="s">
        <v>2060</v>
      </c>
      <c r="N874" s="56" t="s">
        <v>2061</v>
      </c>
      <c r="O874" s="53" t="s">
        <v>8</v>
      </c>
      <c r="P874" s="56" t="s">
        <v>2070</v>
      </c>
      <c r="Q874" s="57">
        <v>10900</v>
      </c>
      <c r="R874" s="58" t="s">
        <v>8</v>
      </c>
      <c r="S874" s="57" t="s">
        <v>8</v>
      </c>
      <c r="T874" s="56" t="s">
        <v>8</v>
      </c>
    </row>
    <row r="875" spans="1:20">
      <c r="A875" s="55">
        <v>126983145714</v>
      </c>
      <c r="B875" s="53" t="s">
        <v>2055</v>
      </c>
      <c r="C875" s="54">
        <v>45920</v>
      </c>
      <c r="D875" s="55">
        <v>50539387902</v>
      </c>
      <c r="E875" s="55">
        <v>2075538472290</v>
      </c>
      <c r="F875" s="56" t="s">
        <v>2056</v>
      </c>
      <c r="G875" s="56" t="s">
        <v>2057</v>
      </c>
      <c r="H875" s="56" t="s">
        <v>8</v>
      </c>
      <c r="I875" s="55" t="s">
        <v>8</v>
      </c>
      <c r="J875" s="57">
        <v>83.42</v>
      </c>
      <c r="K875" s="56" t="s">
        <v>2058</v>
      </c>
      <c r="L875" s="56" t="s">
        <v>2059</v>
      </c>
      <c r="M875" s="55" t="s">
        <v>2060</v>
      </c>
      <c r="N875" s="56" t="s">
        <v>2061</v>
      </c>
      <c r="O875" s="53" t="s">
        <v>8</v>
      </c>
      <c r="P875" s="56" t="s">
        <v>2447</v>
      </c>
      <c r="Q875" s="57">
        <v>8600</v>
      </c>
      <c r="R875" s="58" t="s">
        <v>8</v>
      </c>
      <c r="S875" s="57" t="s">
        <v>8</v>
      </c>
      <c r="T875" s="56" t="s">
        <v>2063</v>
      </c>
    </row>
    <row r="876" spans="1:20">
      <c r="A876" s="55">
        <v>126426033467</v>
      </c>
      <c r="B876" s="53" t="s">
        <v>2055</v>
      </c>
      <c r="C876" s="54">
        <v>45920</v>
      </c>
      <c r="D876" s="55">
        <v>50539523037</v>
      </c>
      <c r="E876" s="55">
        <v>2075541195380</v>
      </c>
      <c r="F876" s="56" t="s">
        <v>2056</v>
      </c>
      <c r="G876" s="56" t="s">
        <v>2057</v>
      </c>
      <c r="H876" s="56" t="s">
        <v>8</v>
      </c>
      <c r="I876" s="55" t="s">
        <v>8</v>
      </c>
      <c r="J876" s="57">
        <v>370.54</v>
      </c>
      <c r="K876" s="56" t="s">
        <v>2058</v>
      </c>
      <c r="L876" s="56" t="s">
        <v>2059</v>
      </c>
      <c r="M876" s="55" t="s">
        <v>2060</v>
      </c>
      <c r="N876" s="56" t="s">
        <v>2061</v>
      </c>
      <c r="O876" s="53" t="s">
        <v>8</v>
      </c>
      <c r="P876" s="56" t="s">
        <v>2448</v>
      </c>
      <c r="Q876" s="57">
        <v>38200</v>
      </c>
      <c r="R876" s="58" t="s">
        <v>8</v>
      </c>
      <c r="S876" s="57" t="s">
        <v>8</v>
      </c>
      <c r="T876" s="56" t="s">
        <v>2063</v>
      </c>
    </row>
    <row r="877" spans="1:20">
      <c r="A877" s="55">
        <v>126983720944</v>
      </c>
      <c r="B877" s="53" t="s">
        <v>2055</v>
      </c>
      <c r="C877" s="54">
        <v>45920</v>
      </c>
      <c r="D877" s="55">
        <v>50539597088</v>
      </c>
      <c r="E877" s="55">
        <v>2075542017830</v>
      </c>
      <c r="F877" s="56" t="s">
        <v>2056</v>
      </c>
      <c r="G877" s="56" t="s">
        <v>2057</v>
      </c>
      <c r="H877" s="56" t="s">
        <v>8</v>
      </c>
      <c r="I877" s="55" t="s">
        <v>8</v>
      </c>
      <c r="J877" s="57">
        <v>401.58</v>
      </c>
      <c r="K877" s="56" t="s">
        <v>2058</v>
      </c>
      <c r="L877" s="56" t="s">
        <v>2059</v>
      </c>
      <c r="M877" s="55" t="s">
        <v>2060</v>
      </c>
      <c r="N877" s="56" t="s">
        <v>2061</v>
      </c>
      <c r="O877" s="53" t="s">
        <v>8</v>
      </c>
      <c r="P877" s="56" t="s">
        <v>2449</v>
      </c>
      <c r="Q877" s="57">
        <v>41400</v>
      </c>
      <c r="R877" s="58" t="s">
        <v>8</v>
      </c>
      <c r="S877" s="57" t="s">
        <v>8</v>
      </c>
      <c r="T877" s="56" t="s">
        <v>2063</v>
      </c>
    </row>
    <row r="878" spans="1:20">
      <c r="A878" s="55">
        <v>126983964624</v>
      </c>
      <c r="B878" s="53" t="s">
        <v>2055</v>
      </c>
      <c r="C878" s="54">
        <v>45920</v>
      </c>
      <c r="D878" s="55">
        <v>50539673256</v>
      </c>
      <c r="E878" s="55">
        <v>2075543464304</v>
      </c>
      <c r="F878" s="56" t="s">
        <v>2056</v>
      </c>
      <c r="G878" s="56" t="s">
        <v>2057</v>
      </c>
      <c r="H878" s="56" t="s">
        <v>8</v>
      </c>
      <c r="I878" s="55" t="s">
        <v>8</v>
      </c>
      <c r="J878" s="57">
        <v>705.19</v>
      </c>
      <c r="K878" s="56" t="s">
        <v>2058</v>
      </c>
      <c r="L878" s="56" t="s">
        <v>2059</v>
      </c>
      <c r="M878" s="55" t="s">
        <v>2060</v>
      </c>
      <c r="N878" s="56" t="s">
        <v>2061</v>
      </c>
      <c r="O878" s="53" t="s">
        <v>8</v>
      </c>
      <c r="P878" s="56" t="s">
        <v>2450</v>
      </c>
      <c r="Q878" s="57">
        <v>72700</v>
      </c>
      <c r="R878" s="58" t="s">
        <v>8</v>
      </c>
      <c r="S878" s="57" t="s">
        <v>8</v>
      </c>
      <c r="T878" s="56" t="s">
        <v>2063</v>
      </c>
    </row>
    <row r="879" spans="1:20">
      <c r="A879" s="55">
        <v>126426592653</v>
      </c>
      <c r="B879" s="53" t="s">
        <v>2055</v>
      </c>
      <c r="C879" s="54">
        <v>45920</v>
      </c>
      <c r="D879" s="55">
        <v>50539699614</v>
      </c>
      <c r="E879" s="55">
        <v>2075492515519</v>
      </c>
      <c r="F879" s="56" t="s">
        <v>2056</v>
      </c>
      <c r="G879" s="56" t="s">
        <v>2057</v>
      </c>
      <c r="H879" s="56" t="s">
        <v>8</v>
      </c>
      <c r="I879" s="55" t="s">
        <v>8</v>
      </c>
      <c r="J879" s="57">
        <v>395.76</v>
      </c>
      <c r="K879" s="56" t="s">
        <v>2058</v>
      </c>
      <c r="L879" s="56" t="s">
        <v>2059</v>
      </c>
      <c r="M879" s="55" t="s">
        <v>2060</v>
      </c>
      <c r="N879" s="56" t="s">
        <v>2061</v>
      </c>
      <c r="O879" s="53" t="s">
        <v>8</v>
      </c>
      <c r="P879" s="56" t="s">
        <v>2451</v>
      </c>
      <c r="Q879" s="57">
        <v>40800</v>
      </c>
      <c r="R879" s="58" t="s">
        <v>8</v>
      </c>
      <c r="S879" s="57" t="s">
        <v>8</v>
      </c>
      <c r="T879" s="56" t="s">
        <v>2063</v>
      </c>
    </row>
    <row r="880" spans="1:20">
      <c r="A880" s="55">
        <v>126426524043</v>
      </c>
      <c r="B880" s="53" t="s">
        <v>2055</v>
      </c>
      <c r="C880" s="54">
        <v>45920</v>
      </c>
      <c r="D880" s="55">
        <v>50539711791</v>
      </c>
      <c r="E880" s="55">
        <v>2075492526991</v>
      </c>
      <c r="F880" s="56" t="s">
        <v>2066</v>
      </c>
      <c r="G880" s="56" t="s">
        <v>2057</v>
      </c>
      <c r="H880" s="56" t="s">
        <v>8</v>
      </c>
      <c r="I880" s="55" t="s">
        <v>8</v>
      </c>
      <c r="J880" s="57">
        <v>1147.56</v>
      </c>
      <c r="K880" s="56" t="s">
        <v>2058</v>
      </c>
      <c r="L880" s="56" t="s">
        <v>2067</v>
      </c>
      <c r="M880" s="55" t="s">
        <v>2060</v>
      </c>
      <c r="N880" s="56" t="s">
        <v>2061</v>
      </c>
      <c r="O880" s="53" t="s">
        <v>1790</v>
      </c>
      <c r="P880" s="56" t="s">
        <v>2068</v>
      </c>
      <c r="Q880" s="57">
        <v>29200</v>
      </c>
      <c r="R880" s="58" t="s">
        <v>8</v>
      </c>
      <c r="S880" s="57" t="s">
        <v>8</v>
      </c>
      <c r="T880" s="56" t="s">
        <v>2063</v>
      </c>
    </row>
    <row r="881" spans="1:20">
      <c r="A881" s="55">
        <v>126984441946</v>
      </c>
      <c r="B881" s="53" t="s">
        <v>2055</v>
      </c>
      <c r="C881" s="54">
        <v>45920</v>
      </c>
      <c r="D881" s="55">
        <v>50539893940</v>
      </c>
      <c r="E881" s="55">
        <v>2075495232289</v>
      </c>
      <c r="F881" s="56" t="s">
        <v>2066</v>
      </c>
      <c r="G881" s="56" t="s">
        <v>2057</v>
      </c>
      <c r="H881" s="56" t="s">
        <v>8</v>
      </c>
      <c r="I881" s="55" t="s">
        <v>8</v>
      </c>
      <c r="J881" s="57">
        <v>848.88</v>
      </c>
      <c r="K881" s="56" t="s">
        <v>2058</v>
      </c>
      <c r="L881" s="56" t="s">
        <v>2067</v>
      </c>
      <c r="M881" s="55" t="s">
        <v>2060</v>
      </c>
      <c r="N881" s="56" t="s">
        <v>2061</v>
      </c>
      <c r="O881" s="53" t="s">
        <v>1790</v>
      </c>
      <c r="P881" s="56" t="s">
        <v>2068</v>
      </c>
      <c r="Q881" s="57">
        <v>21600</v>
      </c>
      <c r="R881" s="58" t="s">
        <v>8</v>
      </c>
      <c r="S881" s="57" t="s">
        <v>8</v>
      </c>
      <c r="T881" s="56" t="s">
        <v>2063</v>
      </c>
    </row>
    <row r="882" spans="1:20">
      <c r="A882" s="55">
        <v>126984981826</v>
      </c>
      <c r="B882" s="53" t="s">
        <v>2055</v>
      </c>
      <c r="C882" s="54">
        <v>45920</v>
      </c>
      <c r="D882" s="55">
        <v>50540014082</v>
      </c>
      <c r="E882" s="55">
        <v>2075549891578</v>
      </c>
      <c r="F882" s="56" t="s">
        <v>2066</v>
      </c>
      <c r="G882" s="56" t="s">
        <v>2057</v>
      </c>
      <c r="H882" s="56" t="s">
        <v>8</v>
      </c>
      <c r="I882" s="55" t="s">
        <v>8</v>
      </c>
      <c r="J882" s="57">
        <v>1257.5999999999999</v>
      </c>
      <c r="K882" s="56" t="s">
        <v>2058</v>
      </c>
      <c r="L882" s="56" t="s">
        <v>2067</v>
      </c>
      <c r="M882" s="55" t="s">
        <v>2060</v>
      </c>
      <c r="N882" s="56" t="s">
        <v>2061</v>
      </c>
      <c r="O882" s="53" t="s">
        <v>1790</v>
      </c>
      <c r="P882" s="56" t="s">
        <v>2068</v>
      </c>
      <c r="Q882" s="57">
        <v>32000</v>
      </c>
      <c r="R882" s="58" t="s">
        <v>8</v>
      </c>
      <c r="S882" s="57" t="s">
        <v>8</v>
      </c>
      <c r="T882" s="56" t="s">
        <v>2063</v>
      </c>
    </row>
    <row r="883" spans="1:20">
      <c r="A883" s="55">
        <v>126984992484</v>
      </c>
      <c r="B883" s="53" t="s">
        <v>2055</v>
      </c>
      <c r="C883" s="54">
        <v>45920</v>
      </c>
      <c r="D883" s="55">
        <v>50540015702</v>
      </c>
      <c r="E883" s="55">
        <v>2075549001024</v>
      </c>
      <c r="F883" s="56" t="s">
        <v>2056</v>
      </c>
      <c r="G883" s="56" t="s">
        <v>2057</v>
      </c>
      <c r="H883" s="56" t="s">
        <v>8</v>
      </c>
      <c r="I883" s="55" t="s">
        <v>8</v>
      </c>
      <c r="J883" s="57">
        <v>323.98</v>
      </c>
      <c r="K883" s="56" t="s">
        <v>2058</v>
      </c>
      <c r="L883" s="56" t="s">
        <v>2059</v>
      </c>
      <c r="M883" s="55" t="s">
        <v>2060</v>
      </c>
      <c r="N883" s="56" t="s">
        <v>2061</v>
      </c>
      <c r="O883" s="53" t="s">
        <v>8</v>
      </c>
      <c r="P883" s="56" t="s">
        <v>2452</v>
      </c>
      <c r="Q883" s="57">
        <v>33400</v>
      </c>
      <c r="R883" s="58" t="s">
        <v>8</v>
      </c>
      <c r="S883" s="57" t="s">
        <v>8</v>
      </c>
      <c r="T883" s="56" t="s">
        <v>2063</v>
      </c>
    </row>
    <row r="884" spans="1:20">
      <c r="A884" s="55">
        <v>126427734197</v>
      </c>
      <c r="B884" s="53" t="s">
        <v>2055</v>
      </c>
      <c r="C884" s="54">
        <v>45920</v>
      </c>
      <c r="D884" s="55">
        <v>50540071996</v>
      </c>
      <c r="E884" s="55">
        <v>2075550551802</v>
      </c>
      <c r="F884" s="56" t="s">
        <v>2056</v>
      </c>
      <c r="G884" s="56" t="s">
        <v>2057</v>
      </c>
      <c r="H884" s="56" t="s">
        <v>8</v>
      </c>
      <c r="I884" s="55" t="s">
        <v>8</v>
      </c>
      <c r="J884" s="57">
        <v>72.75</v>
      </c>
      <c r="K884" s="56" t="s">
        <v>2058</v>
      </c>
      <c r="L884" s="56" t="s">
        <v>2059</v>
      </c>
      <c r="M884" s="55" t="s">
        <v>2060</v>
      </c>
      <c r="N884" s="56" t="s">
        <v>2061</v>
      </c>
      <c r="O884" s="53" t="s">
        <v>8</v>
      </c>
      <c r="P884" s="56" t="s">
        <v>2453</v>
      </c>
      <c r="Q884" s="57">
        <v>7500</v>
      </c>
      <c r="R884" s="58" t="s">
        <v>8</v>
      </c>
      <c r="S884" s="57" t="s">
        <v>8</v>
      </c>
      <c r="T884" s="56" t="s">
        <v>2063</v>
      </c>
    </row>
    <row r="885" spans="1:20">
      <c r="A885" s="55">
        <v>126985153914</v>
      </c>
      <c r="B885" s="53" t="s">
        <v>2055</v>
      </c>
      <c r="C885" s="54">
        <v>45920</v>
      </c>
      <c r="D885" s="55">
        <v>50540124755</v>
      </c>
      <c r="E885" s="55">
        <v>2075551058498</v>
      </c>
      <c r="F885" s="56" t="s">
        <v>2056</v>
      </c>
      <c r="G885" s="56" t="s">
        <v>2057</v>
      </c>
      <c r="H885" s="56" t="s">
        <v>8</v>
      </c>
      <c r="I885" s="55" t="s">
        <v>8</v>
      </c>
      <c r="J885" s="57">
        <v>37.83</v>
      </c>
      <c r="K885" s="56" t="s">
        <v>2058</v>
      </c>
      <c r="L885" s="56" t="s">
        <v>2059</v>
      </c>
      <c r="M885" s="55" t="s">
        <v>2060</v>
      </c>
      <c r="N885" s="56" t="s">
        <v>2061</v>
      </c>
      <c r="O885" s="53" t="s">
        <v>8</v>
      </c>
      <c r="P885" s="56" t="s">
        <v>2454</v>
      </c>
      <c r="Q885" s="57">
        <v>3900</v>
      </c>
      <c r="R885" s="58" t="s">
        <v>8</v>
      </c>
      <c r="S885" s="57" t="s">
        <v>8</v>
      </c>
      <c r="T885" s="56" t="s">
        <v>2063</v>
      </c>
    </row>
    <row r="886" spans="1:20">
      <c r="A886" s="55">
        <v>126427840519</v>
      </c>
      <c r="B886" s="53" t="s">
        <v>2055</v>
      </c>
      <c r="C886" s="54">
        <v>45920</v>
      </c>
      <c r="D886" s="55">
        <v>50540131160</v>
      </c>
      <c r="E886" s="55">
        <v>2075500030687</v>
      </c>
      <c r="F886" s="56" t="s">
        <v>2056</v>
      </c>
      <c r="G886" s="56" t="s">
        <v>2057</v>
      </c>
      <c r="H886" s="56" t="s">
        <v>8</v>
      </c>
      <c r="I886" s="55" t="s">
        <v>8</v>
      </c>
      <c r="J886" s="57">
        <v>323.98</v>
      </c>
      <c r="K886" s="56" t="s">
        <v>2058</v>
      </c>
      <c r="L886" s="56" t="s">
        <v>2059</v>
      </c>
      <c r="M886" s="55" t="s">
        <v>2060</v>
      </c>
      <c r="N886" s="56" t="s">
        <v>2061</v>
      </c>
      <c r="O886" s="53" t="s">
        <v>8</v>
      </c>
      <c r="P886" s="56" t="s">
        <v>2455</v>
      </c>
      <c r="Q886" s="57">
        <v>33400</v>
      </c>
      <c r="R886" s="58" t="s">
        <v>8</v>
      </c>
      <c r="S886" s="57" t="s">
        <v>8</v>
      </c>
      <c r="T886" s="56" t="s">
        <v>2063</v>
      </c>
    </row>
    <row r="887" spans="1:20">
      <c r="A887" s="55">
        <v>126428154421</v>
      </c>
      <c r="B887" s="53" t="s">
        <v>2055</v>
      </c>
      <c r="C887" s="54">
        <v>45920</v>
      </c>
      <c r="D887" s="55">
        <v>50540238064</v>
      </c>
      <c r="E887" s="55">
        <v>2075501330301</v>
      </c>
      <c r="F887" s="56" t="s">
        <v>2069</v>
      </c>
      <c r="G887" s="56" t="s">
        <v>2057</v>
      </c>
      <c r="H887" s="56" t="s">
        <v>8</v>
      </c>
      <c r="I887" s="55" t="s">
        <v>8</v>
      </c>
      <c r="J887" s="57">
        <v>97</v>
      </c>
      <c r="K887" s="56" t="s">
        <v>2058</v>
      </c>
      <c r="L887" s="56" t="s">
        <v>2059</v>
      </c>
      <c r="M887" s="55" t="s">
        <v>2060</v>
      </c>
      <c r="N887" s="56" t="s">
        <v>2061</v>
      </c>
      <c r="O887" s="53" t="s">
        <v>8</v>
      </c>
      <c r="P887" s="56" t="s">
        <v>2070</v>
      </c>
      <c r="Q887" s="57">
        <v>10000</v>
      </c>
      <c r="R887" s="58" t="s">
        <v>8</v>
      </c>
      <c r="S887" s="57" t="s">
        <v>8</v>
      </c>
      <c r="T887" s="56" t="s">
        <v>8</v>
      </c>
    </row>
    <row r="888" spans="1:20">
      <c r="A888" s="55">
        <v>126428160507</v>
      </c>
      <c r="B888" s="53" t="s">
        <v>2055</v>
      </c>
      <c r="C888" s="54">
        <v>45920</v>
      </c>
      <c r="D888" s="55">
        <v>50540245944</v>
      </c>
      <c r="E888" s="55">
        <v>2075553261368</v>
      </c>
      <c r="F888" s="56" t="s">
        <v>2066</v>
      </c>
      <c r="G888" s="56" t="s">
        <v>2057</v>
      </c>
      <c r="H888" s="56" t="s">
        <v>8</v>
      </c>
      <c r="I888" s="55" t="s">
        <v>8</v>
      </c>
      <c r="J888" s="57">
        <v>1816</v>
      </c>
      <c r="K888" s="56" t="s">
        <v>2058</v>
      </c>
      <c r="L888" s="56" t="s">
        <v>2067</v>
      </c>
      <c r="M888" s="55" t="s">
        <v>2060</v>
      </c>
      <c r="N888" s="56" t="s">
        <v>2061</v>
      </c>
      <c r="O888" s="53" t="s">
        <v>1790</v>
      </c>
      <c r="P888" s="56" t="s">
        <v>2068</v>
      </c>
      <c r="Q888" s="57">
        <v>40000</v>
      </c>
      <c r="R888" s="58" t="s">
        <v>8</v>
      </c>
      <c r="S888" s="57" t="s">
        <v>8</v>
      </c>
      <c r="T888" s="56" t="s">
        <v>2063</v>
      </c>
    </row>
    <row r="889" spans="1:20">
      <c r="A889" s="55">
        <v>126985881488</v>
      </c>
      <c r="B889" s="53" t="s">
        <v>2055</v>
      </c>
      <c r="C889" s="54">
        <v>45920</v>
      </c>
      <c r="D889" s="55">
        <v>50540350265</v>
      </c>
      <c r="E889" s="55">
        <v>2075503639281</v>
      </c>
      <c r="F889" s="56" t="s">
        <v>2066</v>
      </c>
      <c r="G889" s="56" t="s">
        <v>2057</v>
      </c>
      <c r="H889" s="56" t="s">
        <v>8</v>
      </c>
      <c r="I889" s="55" t="s">
        <v>8</v>
      </c>
      <c r="J889" s="57">
        <v>2896.41</v>
      </c>
      <c r="K889" s="56" t="s">
        <v>2058</v>
      </c>
      <c r="L889" s="56" t="s">
        <v>2067</v>
      </c>
      <c r="M889" s="55" t="s">
        <v>2060</v>
      </c>
      <c r="N889" s="56" t="s">
        <v>2061</v>
      </c>
      <c r="O889" s="53" t="s">
        <v>1790</v>
      </c>
      <c r="P889" s="56" t="s">
        <v>2068</v>
      </c>
      <c r="Q889" s="57">
        <v>73700</v>
      </c>
      <c r="R889" s="58" t="s">
        <v>8</v>
      </c>
      <c r="S889" s="57" t="s">
        <v>8</v>
      </c>
      <c r="T889" s="56" t="s">
        <v>2063</v>
      </c>
    </row>
    <row r="890" spans="1:20">
      <c r="A890" s="55">
        <v>126428591035</v>
      </c>
      <c r="B890" s="53" t="s">
        <v>2055</v>
      </c>
      <c r="C890" s="54">
        <v>45920</v>
      </c>
      <c r="D890" s="55">
        <v>50540445203</v>
      </c>
      <c r="E890" s="55">
        <v>2075504626847</v>
      </c>
      <c r="F890" s="56" t="s">
        <v>2066</v>
      </c>
      <c r="G890" s="56" t="s">
        <v>2057</v>
      </c>
      <c r="H890" s="56" t="s">
        <v>8</v>
      </c>
      <c r="I890" s="55" t="s">
        <v>8</v>
      </c>
      <c r="J890" s="57">
        <v>1548.42</v>
      </c>
      <c r="K890" s="56" t="s">
        <v>2058</v>
      </c>
      <c r="L890" s="56" t="s">
        <v>2067</v>
      </c>
      <c r="M890" s="55" t="s">
        <v>2060</v>
      </c>
      <c r="N890" s="56" t="s">
        <v>2061</v>
      </c>
      <c r="O890" s="53" t="s">
        <v>1790</v>
      </c>
      <c r="P890" s="56" t="s">
        <v>2068</v>
      </c>
      <c r="Q890" s="57">
        <v>39400</v>
      </c>
      <c r="R890" s="58" t="s">
        <v>8</v>
      </c>
      <c r="S890" s="57" t="s">
        <v>8</v>
      </c>
      <c r="T890" s="56" t="s">
        <v>2063</v>
      </c>
    </row>
    <row r="891" spans="1:20">
      <c r="A891" s="55">
        <v>126986201156</v>
      </c>
      <c r="B891" s="53" t="s">
        <v>2055</v>
      </c>
      <c r="C891" s="54">
        <v>45920</v>
      </c>
      <c r="D891" s="55">
        <v>50540476886</v>
      </c>
      <c r="E891" s="55">
        <v>2075556937710</v>
      </c>
      <c r="F891" s="56" t="s">
        <v>2066</v>
      </c>
      <c r="G891" s="56" t="s">
        <v>2057</v>
      </c>
      <c r="H891" s="56" t="s">
        <v>8</v>
      </c>
      <c r="I891" s="55" t="s">
        <v>8</v>
      </c>
      <c r="J891" s="57">
        <v>1458.03</v>
      </c>
      <c r="K891" s="56" t="s">
        <v>2058</v>
      </c>
      <c r="L891" s="56" t="s">
        <v>2067</v>
      </c>
      <c r="M891" s="55" t="s">
        <v>2060</v>
      </c>
      <c r="N891" s="56" t="s">
        <v>2061</v>
      </c>
      <c r="O891" s="53" t="s">
        <v>1790</v>
      </c>
      <c r="P891" s="56" t="s">
        <v>2068</v>
      </c>
      <c r="Q891" s="57">
        <v>37100</v>
      </c>
      <c r="R891" s="58" t="s">
        <v>8</v>
      </c>
      <c r="S891" s="57" t="s">
        <v>8</v>
      </c>
      <c r="T891" s="56" t="s">
        <v>2063</v>
      </c>
    </row>
    <row r="892" spans="1:20">
      <c r="A892" s="55">
        <v>126428827067</v>
      </c>
      <c r="B892" s="53" t="s">
        <v>2055</v>
      </c>
      <c r="C892" s="54">
        <v>45920</v>
      </c>
      <c r="D892" s="55">
        <v>50540535271</v>
      </c>
      <c r="E892" s="55">
        <v>2075558037868</v>
      </c>
      <c r="F892" s="56" t="s">
        <v>2056</v>
      </c>
      <c r="G892" s="56" t="s">
        <v>2057</v>
      </c>
      <c r="H892" s="56" t="s">
        <v>8</v>
      </c>
      <c r="I892" s="55" t="s">
        <v>8</v>
      </c>
      <c r="J892" s="57">
        <v>448.14</v>
      </c>
      <c r="K892" s="56" t="s">
        <v>2058</v>
      </c>
      <c r="L892" s="56" t="s">
        <v>2059</v>
      </c>
      <c r="M892" s="55" t="s">
        <v>2060</v>
      </c>
      <c r="N892" s="56" t="s">
        <v>2061</v>
      </c>
      <c r="O892" s="53" t="s">
        <v>8</v>
      </c>
      <c r="P892" s="56" t="s">
        <v>2456</v>
      </c>
      <c r="Q892" s="57">
        <v>46200</v>
      </c>
      <c r="R892" s="58" t="s">
        <v>8</v>
      </c>
      <c r="S892" s="57" t="s">
        <v>8</v>
      </c>
      <c r="T892" s="56" t="s">
        <v>2063</v>
      </c>
    </row>
    <row r="893" spans="1:20">
      <c r="A893" s="55">
        <v>126986728354</v>
      </c>
      <c r="B893" s="53" t="s">
        <v>2055</v>
      </c>
      <c r="C893" s="54">
        <v>45920</v>
      </c>
      <c r="D893" s="55">
        <v>50540627621</v>
      </c>
      <c r="E893" s="55">
        <v>2075507944257</v>
      </c>
      <c r="F893" s="56" t="s">
        <v>2066</v>
      </c>
      <c r="G893" s="56" t="s">
        <v>2057</v>
      </c>
      <c r="H893" s="56" t="s">
        <v>8</v>
      </c>
      <c r="I893" s="55" t="s">
        <v>8</v>
      </c>
      <c r="J893" s="57">
        <v>365.49</v>
      </c>
      <c r="K893" s="56" t="s">
        <v>2058</v>
      </c>
      <c r="L893" s="56" t="s">
        <v>2067</v>
      </c>
      <c r="M893" s="55" t="s">
        <v>2060</v>
      </c>
      <c r="N893" s="56" t="s">
        <v>2061</v>
      </c>
      <c r="O893" s="53" t="s">
        <v>1790</v>
      </c>
      <c r="P893" s="56" t="s">
        <v>2068</v>
      </c>
      <c r="Q893" s="57">
        <v>9300</v>
      </c>
      <c r="R893" s="58" t="s">
        <v>8</v>
      </c>
      <c r="S893" s="57" t="s">
        <v>8</v>
      </c>
      <c r="T893" s="56" t="s">
        <v>2063</v>
      </c>
    </row>
    <row r="894" spans="1:20">
      <c r="A894" s="55">
        <v>126429190877</v>
      </c>
      <c r="B894" s="53" t="s">
        <v>2055</v>
      </c>
      <c r="C894" s="54">
        <v>45920</v>
      </c>
      <c r="D894" s="55">
        <v>50540647708</v>
      </c>
      <c r="E894" s="55">
        <v>2075559568954</v>
      </c>
      <c r="F894" s="56" t="s">
        <v>2056</v>
      </c>
      <c r="G894" s="56" t="s">
        <v>2057</v>
      </c>
      <c r="H894" s="56" t="s">
        <v>8</v>
      </c>
      <c r="I894" s="55" t="s">
        <v>8</v>
      </c>
      <c r="J894" s="57">
        <v>847.6</v>
      </c>
      <c r="K894" s="56" t="s">
        <v>2058</v>
      </c>
      <c r="L894" s="56" t="s">
        <v>2059</v>
      </c>
      <c r="M894" s="55" t="s">
        <v>2060</v>
      </c>
      <c r="N894" s="56" t="s">
        <v>2061</v>
      </c>
      <c r="O894" s="53" t="s">
        <v>8</v>
      </c>
      <c r="P894" s="56" t="s">
        <v>2184</v>
      </c>
      <c r="Q894" s="57">
        <v>52000</v>
      </c>
      <c r="R894" s="58" t="s">
        <v>8</v>
      </c>
      <c r="S894" s="57" t="s">
        <v>8</v>
      </c>
      <c r="T894" s="56" t="s">
        <v>2063</v>
      </c>
    </row>
    <row r="895" spans="1:20">
      <c r="A895" s="55">
        <v>126986973700</v>
      </c>
      <c r="B895" s="53" t="s">
        <v>2055</v>
      </c>
      <c r="C895" s="54">
        <v>45920</v>
      </c>
      <c r="D895" s="55">
        <v>50540751871</v>
      </c>
      <c r="E895" s="55">
        <v>2075510136995</v>
      </c>
      <c r="F895" s="56" t="s">
        <v>2056</v>
      </c>
      <c r="G895" s="56" t="s">
        <v>2057</v>
      </c>
      <c r="H895" s="56" t="s">
        <v>8</v>
      </c>
      <c r="I895" s="55" t="s">
        <v>8</v>
      </c>
      <c r="J895" s="57">
        <v>102.82</v>
      </c>
      <c r="K895" s="56" t="s">
        <v>2058</v>
      </c>
      <c r="L895" s="56" t="s">
        <v>2059</v>
      </c>
      <c r="M895" s="55" t="s">
        <v>2060</v>
      </c>
      <c r="N895" s="56" t="s">
        <v>2061</v>
      </c>
      <c r="O895" s="53" t="s">
        <v>8</v>
      </c>
      <c r="P895" s="56" t="s">
        <v>2457</v>
      </c>
      <c r="Q895" s="57">
        <v>10600</v>
      </c>
      <c r="R895" s="58" t="s">
        <v>8</v>
      </c>
      <c r="S895" s="57" t="s">
        <v>8</v>
      </c>
      <c r="T895" s="56" t="s">
        <v>2063</v>
      </c>
    </row>
    <row r="896" spans="1:20">
      <c r="A896" s="55">
        <v>126987554710</v>
      </c>
      <c r="B896" s="53" t="s">
        <v>2055</v>
      </c>
      <c r="C896" s="54">
        <v>45920</v>
      </c>
      <c r="D896" s="55">
        <v>50540955150</v>
      </c>
      <c r="E896" s="55">
        <v>2075564548862</v>
      </c>
      <c r="F896" s="56" t="s">
        <v>2066</v>
      </c>
      <c r="G896" s="56" t="s">
        <v>2057</v>
      </c>
      <c r="H896" s="56" t="s">
        <v>8</v>
      </c>
      <c r="I896" s="55" t="s">
        <v>8</v>
      </c>
      <c r="J896" s="57">
        <v>1257.58</v>
      </c>
      <c r="K896" s="56" t="s">
        <v>2058</v>
      </c>
      <c r="L896" s="56" t="s">
        <v>2067</v>
      </c>
      <c r="M896" s="55" t="s">
        <v>2060</v>
      </c>
      <c r="N896" s="56" t="s">
        <v>2061</v>
      </c>
      <c r="O896" s="53" t="s">
        <v>1790</v>
      </c>
      <c r="P896" s="56" t="s">
        <v>2068</v>
      </c>
      <c r="Q896" s="57">
        <v>27700</v>
      </c>
      <c r="R896" s="58" t="s">
        <v>8</v>
      </c>
      <c r="S896" s="57" t="s">
        <v>8</v>
      </c>
      <c r="T896" s="56" t="s">
        <v>2063</v>
      </c>
    </row>
    <row r="897" spans="1:20">
      <c r="A897" s="55">
        <v>126430310225</v>
      </c>
      <c r="B897" s="53" t="s">
        <v>2055</v>
      </c>
      <c r="C897" s="54">
        <v>45921</v>
      </c>
      <c r="D897" s="55">
        <v>50541031600</v>
      </c>
      <c r="E897" s="55">
        <v>2075514794809</v>
      </c>
      <c r="F897" s="56" t="s">
        <v>2066</v>
      </c>
      <c r="G897" s="56" t="s">
        <v>2057</v>
      </c>
      <c r="H897" s="56" t="s">
        <v>8</v>
      </c>
      <c r="I897" s="55" t="s">
        <v>8</v>
      </c>
      <c r="J897" s="57">
        <v>903.9</v>
      </c>
      <c r="K897" s="56" t="s">
        <v>2058</v>
      </c>
      <c r="L897" s="56" t="s">
        <v>2067</v>
      </c>
      <c r="M897" s="55" t="s">
        <v>2060</v>
      </c>
      <c r="N897" s="56" t="s">
        <v>2061</v>
      </c>
      <c r="O897" s="53" t="s">
        <v>1790</v>
      </c>
      <c r="P897" s="56" t="s">
        <v>2068</v>
      </c>
      <c r="Q897" s="57">
        <v>23000</v>
      </c>
      <c r="R897" s="58" t="s">
        <v>8</v>
      </c>
      <c r="S897" s="57" t="s">
        <v>8</v>
      </c>
      <c r="T897" s="56" t="s">
        <v>2063</v>
      </c>
    </row>
    <row r="898" spans="1:20">
      <c r="A898" s="55">
        <v>126430431329</v>
      </c>
      <c r="B898" s="53" t="s">
        <v>2055</v>
      </c>
      <c r="C898" s="54">
        <v>45921</v>
      </c>
      <c r="D898" s="55">
        <v>50541092486</v>
      </c>
      <c r="E898" s="55">
        <v>2075567304980</v>
      </c>
      <c r="F898" s="56" t="s">
        <v>2066</v>
      </c>
      <c r="G898" s="56" t="s">
        <v>2057</v>
      </c>
      <c r="H898" s="56" t="s">
        <v>8</v>
      </c>
      <c r="I898" s="55" t="s">
        <v>8</v>
      </c>
      <c r="J898" s="57">
        <v>753.64</v>
      </c>
      <c r="K898" s="56" t="s">
        <v>2058</v>
      </c>
      <c r="L898" s="56" t="s">
        <v>2067</v>
      </c>
      <c r="M898" s="55" t="s">
        <v>2060</v>
      </c>
      <c r="N898" s="56" t="s">
        <v>2061</v>
      </c>
      <c r="O898" s="53" t="s">
        <v>1790</v>
      </c>
      <c r="P898" s="56" t="s">
        <v>2068</v>
      </c>
      <c r="Q898" s="57">
        <v>16600</v>
      </c>
      <c r="R898" s="58" t="s">
        <v>8</v>
      </c>
      <c r="S898" s="57" t="s">
        <v>8</v>
      </c>
      <c r="T898" s="56" t="s">
        <v>2063</v>
      </c>
    </row>
    <row r="899" spans="1:20">
      <c r="A899" s="55">
        <v>126988152896</v>
      </c>
      <c r="B899" s="53" t="s">
        <v>2055</v>
      </c>
      <c r="C899" s="54">
        <v>45921</v>
      </c>
      <c r="D899" s="55">
        <v>50541153141</v>
      </c>
      <c r="E899" s="55">
        <v>2075568077210</v>
      </c>
      <c r="F899" s="56" t="s">
        <v>2056</v>
      </c>
      <c r="G899" s="56" t="s">
        <v>2057</v>
      </c>
      <c r="H899" s="56" t="s">
        <v>8</v>
      </c>
      <c r="I899" s="55" t="s">
        <v>8</v>
      </c>
      <c r="J899" s="57">
        <v>564.54</v>
      </c>
      <c r="K899" s="56" t="s">
        <v>2058</v>
      </c>
      <c r="L899" s="56" t="s">
        <v>2059</v>
      </c>
      <c r="M899" s="55" t="s">
        <v>2060</v>
      </c>
      <c r="N899" s="56" t="s">
        <v>2061</v>
      </c>
      <c r="O899" s="53" t="s">
        <v>8</v>
      </c>
      <c r="P899" s="56" t="s">
        <v>2458</v>
      </c>
      <c r="Q899" s="57">
        <v>58200</v>
      </c>
      <c r="R899" s="58" t="s">
        <v>8</v>
      </c>
      <c r="S899" s="57" t="s">
        <v>8</v>
      </c>
      <c r="T899" s="56" t="s">
        <v>2063</v>
      </c>
    </row>
    <row r="900" spans="1:20">
      <c r="A900" s="55">
        <v>126430926107</v>
      </c>
      <c r="B900" s="53" t="s">
        <v>2055</v>
      </c>
      <c r="C900" s="54">
        <v>45921</v>
      </c>
      <c r="D900" s="55">
        <v>50541262545</v>
      </c>
      <c r="E900" s="55">
        <v>2075569720494</v>
      </c>
      <c r="F900" s="56" t="s">
        <v>2066</v>
      </c>
      <c r="G900" s="56" t="s">
        <v>2057</v>
      </c>
      <c r="H900" s="56" t="s">
        <v>8</v>
      </c>
      <c r="I900" s="55" t="s">
        <v>8</v>
      </c>
      <c r="J900" s="57">
        <v>734.91</v>
      </c>
      <c r="K900" s="56" t="s">
        <v>2058</v>
      </c>
      <c r="L900" s="56" t="s">
        <v>2067</v>
      </c>
      <c r="M900" s="55" t="s">
        <v>2060</v>
      </c>
      <c r="N900" s="56" t="s">
        <v>2061</v>
      </c>
      <c r="O900" s="53" t="s">
        <v>1790</v>
      </c>
      <c r="P900" s="56" t="s">
        <v>2068</v>
      </c>
      <c r="Q900" s="57">
        <v>18700</v>
      </c>
      <c r="R900" s="58" t="s">
        <v>8</v>
      </c>
      <c r="S900" s="57" t="s">
        <v>8</v>
      </c>
      <c r="T900" s="56" t="s">
        <v>2063</v>
      </c>
    </row>
    <row r="901" spans="1:20">
      <c r="A901" s="55">
        <v>126430980121</v>
      </c>
      <c r="B901" s="53" t="s">
        <v>2055</v>
      </c>
      <c r="C901" s="54">
        <v>45921</v>
      </c>
      <c r="D901" s="55">
        <v>50541283420</v>
      </c>
      <c r="E901" s="55">
        <v>2075570286054</v>
      </c>
      <c r="F901" s="56" t="s">
        <v>2056</v>
      </c>
      <c r="G901" s="56" t="s">
        <v>2057</v>
      </c>
      <c r="H901" s="56" t="s">
        <v>8</v>
      </c>
      <c r="I901" s="55" t="s">
        <v>8</v>
      </c>
      <c r="J901" s="57">
        <v>79.540000000000006</v>
      </c>
      <c r="K901" s="56" t="s">
        <v>2058</v>
      </c>
      <c r="L901" s="56" t="s">
        <v>2059</v>
      </c>
      <c r="M901" s="55" t="s">
        <v>2060</v>
      </c>
      <c r="N901" s="56" t="s">
        <v>2061</v>
      </c>
      <c r="O901" s="53" t="s">
        <v>8</v>
      </c>
      <c r="P901" s="56" t="s">
        <v>2459</v>
      </c>
      <c r="Q901" s="57">
        <v>8200</v>
      </c>
      <c r="R901" s="58" t="s">
        <v>8</v>
      </c>
      <c r="S901" s="57" t="s">
        <v>8</v>
      </c>
      <c r="T901" s="56" t="s">
        <v>2063</v>
      </c>
    </row>
    <row r="902" spans="1:20">
      <c r="A902" s="55">
        <v>126988634112</v>
      </c>
      <c r="B902" s="53" t="s">
        <v>2055</v>
      </c>
      <c r="C902" s="54">
        <v>45921</v>
      </c>
      <c r="D902" s="55">
        <v>50541337948</v>
      </c>
      <c r="E902" s="55">
        <v>2075519716027</v>
      </c>
      <c r="F902" s="56" t="s">
        <v>2066</v>
      </c>
      <c r="G902" s="56" t="s">
        <v>2057</v>
      </c>
      <c r="H902" s="56" t="s">
        <v>8</v>
      </c>
      <c r="I902" s="55" t="s">
        <v>8</v>
      </c>
      <c r="J902" s="57">
        <v>522.1</v>
      </c>
      <c r="K902" s="56" t="s">
        <v>2058</v>
      </c>
      <c r="L902" s="56" t="s">
        <v>2067</v>
      </c>
      <c r="M902" s="55" t="s">
        <v>2060</v>
      </c>
      <c r="N902" s="56" t="s">
        <v>2061</v>
      </c>
      <c r="O902" s="53" t="s">
        <v>1790</v>
      </c>
      <c r="P902" s="56" t="s">
        <v>2068</v>
      </c>
      <c r="Q902" s="57">
        <v>11500</v>
      </c>
      <c r="R902" s="58" t="s">
        <v>8</v>
      </c>
      <c r="S902" s="57" t="s">
        <v>8</v>
      </c>
      <c r="T902" s="56" t="s">
        <v>2063</v>
      </c>
    </row>
    <row r="903" spans="1:20">
      <c r="A903" s="55">
        <v>126431285979</v>
      </c>
      <c r="B903" s="53" t="s">
        <v>2055</v>
      </c>
      <c r="C903" s="54">
        <v>45921</v>
      </c>
      <c r="D903" s="55">
        <v>50541440162</v>
      </c>
      <c r="E903" s="55">
        <v>2075521098195</v>
      </c>
      <c r="F903" s="56" t="s">
        <v>2056</v>
      </c>
      <c r="G903" s="56" t="s">
        <v>2057</v>
      </c>
      <c r="H903" s="56" t="s">
        <v>8</v>
      </c>
      <c r="I903" s="55" t="s">
        <v>8</v>
      </c>
      <c r="J903" s="57">
        <v>526.71</v>
      </c>
      <c r="K903" s="56" t="s">
        <v>2058</v>
      </c>
      <c r="L903" s="56" t="s">
        <v>2059</v>
      </c>
      <c r="M903" s="55" t="s">
        <v>2060</v>
      </c>
      <c r="N903" s="56" t="s">
        <v>2061</v>
      </c>
      <c r="O903" s="53" t="s">
        <v>8</v>
      </c>
      <c r="P903" s="56" t="s">
        <v>2460</v>
      </c>
      <c r="Q903" s="57">
        <v>54300</v>
      </c>
      <c r="R903" s="58" t="s">
        <v>8</v>
      </c>
      <c r="S903" s="57" t="s">
        <v>8</v>
      </c>
      <c r="T903" s="56" t="s">
        <v>2063</v>
      </c>
    </row>
    <row r="904" spans="1:20">
      <c r="A904" s="55">
        <v>126431466333</v>
      </c>
      <c r="B904" s="53" t="s">
        <v>2055</v>
      </c>
      <c r="C904" s="54">
        <v>45921</v>
      </c>
      <c r="D904" s="55">
        <v>50541462476</v>
      </c>
      <c r="E904" s="55">
        <v>2075521324247</v>
      </c>
      <c r="F904" s="56" t="s">
        <v>2056</v>
      </c>
      <c r="G904" s="56" t="s">
        <v>2057</v>
      </c>
      <c r="H904" s="56" t="s">
        <v>8</v>
      </c>
      <c r="I904" s="55" t="s">
        <v>8</v>
      </c>
      <c r="J904" s="57">
        <v>682.88</v>
      </c>
      <c r="K904" s="56" t="s">
        <v>2058</v>
      </c>
      <c r="L904" s="56" t="s">
        <v>2059</v>
      </c>
      <c r="M904" s="55" t="s">
        <v>2060</v>
      </c>
      <c r="N904" s="56" t="s">
        <v>2061</v>
      </c>
      <c r="O904" s="53" t="s">
        <v>8</v>
      </c>
      <c r="P904" s="56" t="s">
        <v>2461</v>
      </c>
      <c r="Q904" s="57">
        <v>70400</v>
      </c>
      <c r="R904" s="58" t="s">
        <v>8</v>
      </c>
      <c r="S904" s="57" t="s">
        <v>8</v>
      </c>
      <c r="T904" s="56" t="s">
        <v>2063</v>
      </c>
    </row>
    <row r="905" spans="1:20">
      <c r="A905" s="55">
        <v>126432046519</v>
      </c>
      <c r="B905" s="53" t="s">
        <v>2055</v>
      </c>
      <c r="C905" s="54">
        <v>45921</v>
      </c>
      <c r="D905" s="55">
        <v>50541705493</v>
      </c>
      <c r="E905" s="55">
        <v>2075576413930</v>
      </c>
      <c r="F905" s="56" t="s">
        <v>2056</v>
      </c>
      <c r="G905" s="56" t="s">
        <v>2057</v>
      </c>
      <c r="H905" s="56" t="s">
        <v>8</v>
      </c>
      <c r="I905" s="55" t="s">
        <v>8</v>
      </c>
      <c r="J905" s="57">
        <v>97</v>
      </c>
      <c r="K905" s="56" t="s">
        <v>2058</v>
      </c>
      <c r="L905" s="56" t="s">
        <v>2059</v>
      </c>
      <c r="M905" s="55" t="s">
        <v>2060</v>
      </c>
      <c r="N905" s="56" t="s">
        <v>2061</v>
      </c>
      <c r="O905" s="53" t="s">
        <v>8</v>
      </c>
      <c r="P905" s="56" t="s">
        <v>2462</v>
      </c>
      <c r="Q905" s="57">
        <v>10000</v>
      </c>
      <c r="R905" s="58" t="s">
        <v>8</v>
      </c>
      <c r="S905" s="57" t="s">
        <v>8</v>
      </c>
      <c r="T905" s="56" t="s">
        <v>2063</v>
      </c>
    </row>
    <row r="906" spans="1:20">
      <c r="A906" s="55">
        <v>126432682049</v>
      </c>
      <c r="B906" s="53" t="s">
        <v>2055</v>
      </c>
      <c r="C906" s="54">
        <v>45921</v>
      </c>
      <c r="D906" s="55">
        <v>50541933396</v>
      </c>
      <c r="E906" s="55">
        <v>2075580740444</v>
      </c>
      <c r="F906" s="56" t="s">
        <v>2066</v>
      </c>
      <c r="G906" s="56" t="s">
        <v>2057</v>
      </c>
      <c r="H906" s="56" t="s">
        <v>8</v>
      </c>
      <c r="I906" s="55" t="s">
        <v>8</v>
      </c>
      <c r="J906" s="57">
        <v>475.53</v>
      </c>
      <c r="K906" s="56" t="s">
        <v>2058</v>
      </c>
      <c r="L906" s="56" t="s">
        <v>2067</v>
      </c>
      <c r="M906" s="55" t="s">
        <v>2060</v>
      </c>
      <c r="N906" s="56" t="s">
        <v>2061</v>
      </c>
      <c r="O906" s="53" t="s">
        <v>1790</v>
      </c>
      <c r="P906" s="56" t="s">
        <v>2068</v>
      </c>
      <c r="Q906" s="57">
        <v>12100</v>
      </c>
      <c r="R906" s="58" t="s">
        <v>8</v>
      </c>
      <c r="S906" s="57" t="s">
        <v>8</v>
      </c>
      <c r="T906" s="56" t="s">
        <v>2063</v>
      </c>
    </row>
    <row r="907" spans="1:20">
      <c r="A907" s="55">
        <v>126990295636</v>
      </c>
      <c r="B907" s="53" t="s">
        <v>2055</v>
      </c>
      <c r="C907" s="54">
        <v>45921</v>
      </c>
      <c r="D907" s="55">
        <v>50541997748</v>
      </c>
      <c r="E907" s="55">
        <v>2075581633700</v>
      </c>
      <c r="F907" s="56" t="s">
        <v>2056</v>
      </c>
      <c r="G907" s="56" t="s">
        <v>2057</v>
      </c>
      <c r="H907" s="56" t="s">
        <v>8</v>
      </c>
      <c r="I907" s="55" t="s">
        <v>8</v>
      </c>
      <c r="J907" s="57">
        <v>429.71</v>
      </c>
      <c r="K907" s="56" t="s">
        <v>2058</v>
      </c>
      <c r="L907" s="56" t="s">
        <v>2059</v>
      </c>
      <c r="M907" s="55" t="s">
        <v>2060</v>
      </c>
      <c r="N907" s="56" t="s">
        <v>2061</v>
      </c>
      <c r="O907" s="53" t="s">
        <v>8</v>
      </c>
      <c r="P907" s="56" t="s">
        <v>2151</v>
      </c>
      <c r="Q907" s="57">
        <v>44300</v>
      </c>
      <c r="R907" s="58" t="s">
        <v>8</v>
      </c>
      <c r="S907" s="57" t="s">
        <v>8</v>
      </c>
      <c r="T907" s="56" t="s">
        <v>2063</v>
      </c>
    </row>
    <row r="908" spans="1:20">
      <c r="A908" s="55">
        <v>126990463684</v>
      </c>
      <c r="B908" s="53" t="s">
        <v>2055</v>
      </c>
      <c r="C908" s="54">
        <v>45921</v>
      </c>
      <c r="D908" s="55">
        <v>50542044200</v>
      </c>
      <c r="E908" s="55">
        <v>2075582596252</v>
      </c>
      <c r="F908" s="56" t="s">
        <v>2056</v>
      </c>
      <c r="G908" s="56" t="s">
        <v>2057</v>
      </c>
      <c r="H908" s="56" t="s">
        <v>8</v>
      </c>
      <c r="I908" s="55" t="s">
        <v>8</v>
      </c>
      <c r="J908" s="57">
        <v>777.94</v>
      </c>
      <c r="K908" s="56" t="s">
        <v>2058</v>
      </c>
      <c r="L908" s="56" t="s">
        <v>2059</v>
      </c>
      <c r="M908" s="55" t="s">
        <v>2060</v>
      </c>
      <c r="N908" s="56" t="s">
        <v>2061</v>
      </c>
      <c r="O908" s="53" t="s">
        <v>8</v>
      </c>
      <c r="P908" s="56" t="s">
        <v>2463</v>
      </c>
      <c r="Q908" s="57">
        <v>80200</v>
      </c>
      <c r="R908" s="58" t="s">
        <v>8</v>
      </c>
      <c r="S908" s="57" t="s">
        <v>8</v>
      </c>
      <c r="T908" s="56" t="s">
        <v>2063</v>
      </c>
    </row>
    <row r="909" spans="1:20">
      <c r="A909" s="55">
        <v>126990455038</v>
      </c>
      <c r="B909" s="53" t="s">
        <v>2055</v>
      </c>
      <c r="C909" s="54">
        <v>45921</v>
      </c>
      <c r="D909" s="55">
        <v>50542057276</v>
      </c>
      <c r="E909" s="55">
        <v>2075530966341</v>
      </c>
      <c r="F909" s="56" t="s">
        <v>2056</v>
      </c>
      <c r="G909" s="56" t="s">
        <v>2057</v>
      </c>
      <c r="H909" s="56" t="s">
        <v>8</v>
      </c>
      <c r="I909" s="55" t="s">
        <v>8</v>
      </c>
      <c r="J909" s="57">
        <v>553.87</v>
      </c>
      <c r="K909" s="56" t="s">
        <v>2058</v>
      </c>
      <c r="L909" s="56" t="s">
        <v>2059</v>
      </c>
      <c r="M909" s="55" t="s">
        <v>2060</v>
      </c>
      <c r="N909" s="56" t="s">
        <v>2061</v>
      </c>
      <c r="O909" s="53" t="s">
        <v>8</v>
      </c>
      <c r="P909" s="56" t="s">
        <v>2111</v>
      </c>
      <c r="Q909" s="57">
        <v>57100</v>
      </c>
      <c r="R909" s="58" t="s">
        <v>8</v>
      </c>
      <c r="S909" s="57" t="s">
        <v>8</v>
      </c>
      <c r="T909" s="56" t="s">
        <v>2063</v>
      </c>
    </row>
    <row r="910" spans="1:20">
      <c r="A910" s="55">
        <v>126433454335</v>
      </c>
      <c r="B910" s="53" t="s">
        <v>2055</v>
      </c>
      <c r="C910" s="54">
        <v>45921</v>
      </c>
      <c r="D910" s="55">
        <v>50542202209</v>
      </c>
      <c r="E910" s="55">
        <v>2075584945916</v>
      </c>
      <c r="F910" s="56" t="s">
        <v>2066</v>
      </c>
      <c r="G910" s="56" t="s">
        <v>2057</v>
      </c>
      <c r="H910" s="56" t="s">
        <v>8</v>
      </c>
      <c r="I910" s="55" t="s">
        <v>8</v>
      </c>
      <c r="J910" s="57">
        <v>4067.55</v>
      </c>
      <c r="K910" s="56" t="s">
        <v>2058</v>
      </c>
      <c r="L910" s="56" t="s">
        <v>2067</v>
      </c>
      <c r="M910" s="55" t="s">
        <v>2060</v>
      </c>
      <c r="N910" s="56" t="s">
        <v>2061</v>
      </c>
      <c r="O910" s="53" t="s">
        <v>1790</v>
      </c>
      <c r="P910" s="56" t="s">
        <v>2068</v>
      </c>
      <c r="Q910" s="57">
        <v>103500</v>
      </c>
      <c r="R910" s="58" t="s">
        <v>8</v>
      </c>
      <c r="S910" s="57" t="s">
        <v>8</v>
      </c>
      <c r="T910" s="56" t="s">
        <v>2063</v>
      </c>
    </row>
    <row r="911" spans="1:20">
      <c r="A911" s="55">
        <v>126991162222</v>
      </c>
      <c r="B911" s="53" t="s">
        <v>2055</v>
      </c>
      <c r="C911" s="54">
        <v>45921</v>
      </c>
      <c r="D911" s="55">
        <v>50542282850</v>
      </c>
      <c r="E911" s="55">
        <v>2075534164425</v>
      </c>
      <c r="F911" s="56" t="s">
        <v>2056</v>
      </c>
      <c r="G911" s="56" t="s">
        <v>2057</v>
      </c>
      <c r="H911" s="56" t="s">
        <v>8</v>
      </c>
      <c r="I911" s="55" t="s">
        <v>8</v>
      </c>
      <c r="J911" s="57">
        <v>1519.99</v>
      </c>
      <c r="K911" s="56" t="s">
        <v>2058</v>
      </c>
      <c r="L911" s="56" t="s">
        <v>2059</v>
      </c>
      <c r="M911" s="55" t="s">
        <v>2060</v>
      </c>
      <c r="N911" s="56" t="s">
        <v>2061</v>
      </c>
      <c r="O911" s="53" t="s">
        <v>8</v>
      </c>
      <c r="P911" s="56" t="s">
        <v>2464</v>
      </c>
      <c r="Q911" s="57">
        <v>156700</v>
      </c>
      <c r="R911" s="58" t="s">
        <v>8</v>
      </c>
      <c r="S911" s="57" t="s">
        <v>8</v>
      </c>
      <c r="T911" s="56" t="s">
        <v>2063</v>
      </c>
    </row>
    <row r="912" spans="1:20">
      <c r="A912" s="55">
        <v>126991147208</v>
      </c>
      <c r="B912" s="53" t="s">
        <v>2055</v>
      </c>
      <c r="C912" s="54">
        <v>45921</v>
      </c>
      <c r="D912" s="55">
        <v>50542317841</v>
      </c>
      <c r="E912" s="55">
        <v>2075534740561</v>
      </c>
      <c r="F912" s="56" t="s">
        <v>2056</v>
      </c>
      <c r="G912" s="56" t="s">
        <v>2057</v>
      </c>
      <c r="H912" s="56" t="s">
        <v>8</v>
      </c>
      <c r="I912" s="55" t="s">
        <v>8</v>
      </c>
      <c r="J912" s="57">
        <v>424.86</v>
      </c>
      <c r="K912" s="56" t="s">
        <v>2058</v>
      </c>
      <c r="L912" s="56" t="s">
        <v>2059</v>
      </c>
      <c r="M912" s="55" t="s">
        <v>2060</v>
      </c>
      <c r="N912" s="56" t="s">
        <v>2061</v>
      </c>
      <c r="O912" s="53" t="s">
        <v>8</v>
      </c>
      <c r="P912" s="56" t="s">
        <v>2295</v>
      </c>
      <c r="Q912" s="57">
        <v>43800</v>
      </c>
      <c r="R912" s="58" t="s">
        <v>8</v>
      </c>
      <c r="S912" s="57" t="s">
        <v>8</v>
      </c>
      <c r="T912" s="56" t="s">
        <v>2063</v>
      </c>
    </row>
    <row r="913" spans="1:20">
      <c r="A913" s="55">
        <v>126433647229</v>
      </c>
      <c r="B913" s="53" t="s">
        <v>2055</v>
      </c>
      <c r="C913" s="54">
        <v>45921</v>
      </c>
      <c r="D913" s="55">
        <v>50542322178</v>
      </c>
      <c r="E913" s="55">
        <v>2075534958039</v>
      </c>
      <c r="F913" s="56" t="s">
        <v>2056</v>
      </c>
      <c r="G913" s="56" t="s">
        <v>2057</v>
      </c>
      <c r="H913" s="56" t="s">
        <v>8</v>
      </c>
      <c r="I913" s="55" t="s">
        <v>8</v>
      </c>
      <c r="J913" s="57">
        <v>57.23</v>
      </c>
      <c r="K913" s="56" t="s">
        <v>2058</v>
      </c>
      <c r="L913" s="56" t="s">
        <v>2059</v>
      </c>
      <c r="M913" s="55" t="s">
        <v>2060</v>
      </c>
      <c r="N913" s="56" t="s">
        <v>2061</v>
      </c>
      <c r="O913" s="53" t="s">
        <v>8</v>
      </c>
      <c r="P913" s="56" t="s">
        <v>2465</v>
      </c>
      <c r="Q913" s="57">
        <v>5900</v>
      </c>
      <c r="R913" s="58" t="s">
        <v>8</v>
      </c>
      <c r="S913" s="57" t="s">
        <v>8</v>
      </c>
      <c r="T913" s="56" t="s">
        <v>2063</v>
      </c>
    </row>
    <row r="914" spans="1:20">
      <c r="A914" s="55">
        <v>126991562026</v>
      </c>
      <c r="B914" s="53" t="s">
        <v>2055</v>
      </c>
      <c r="C914" s="54">
        <v>45921</v>
      </c>
      <c r="D914" s="55">
        <v>50542501326</v>
      </c>
      <c r="E914" s="55">
        <v>2075537650947</v>
      </c>
      <c r="F914" s="56" t="s">
        <v>2056</v>
      </c>
      <c r="G914" s="56" t="s">
        <v>2057</v>
      </c>
      <c r="H914" s="56" t="s">
        <v>8</v>
      </c>
      <c r="I914" s="55" t="s">
        <v>8</v>
      </c>
      <c r="J914" s="57">
        <v>227.95</v>
      </c>
      <c r="K914" s="56" t="s">
        <v>2058</v>
      </c>
      <c r="L914" s="56" t="s">
        <v>2059</v>
      </c>
      <c r="M914" s="55" t="s">
        <v>2060</v>
      </c>
      <c r="N914" s="56" t="s">
        <v>2061</v>
      </c>
      <c r="O914" s="53" t="s">
        <v>8</v>
      </c>
      <c r="P914" s="56" t="s">
        <v>2466</v>
      </c>
      <c r="Q914" s="57">
        <v>23500</v>
      </c>
      <c r="R914" s="58" t="s">
        <v>8</v>
      </c>
      <c r="S914" s="57" t="s">
        <v>8</v>
      </c>
      <c r="T914" s="56" t="s">
        <v>2063</v>
      </c>
    </row>
    <row r="915" spans="1:20">
      <c r="A915" s="55">
        <v>126434616539</v>
      </c>
      <c r="B915" s="53" t="s">
        <v>2055</v>
      </c>
      <c r="C915" s="54">
        <v>45921</v>
      </c>
      <c r="D915" s="55">
        <v>50542671473</v>
      </c>
      <c r="E915" s="55">
        <v>2075591904600</v>
      </c>
      <c r="F915" s="56" t="s">
        <v>2066</v>
      </c>
      <c r="G915" s="56" t="s">
        <v>2057</v>
      </c>
      <c r="H915" s="56" t="s">
        <v>8</v>
      </c>
      <c r="I915" s="55" t="s">
        <v>8</v>
      </c>
      <c r="J915" s="57">
        <v>966.78</v>
      </c>
      <c r="K915" s="56" t="s">
        <v>2058</v>
      </c>
      <c r="L915" s="56" t="s">
        <v>2067</v>
      </c>
      <c r="M915" s="55" t="s">
        <v>2060</v>
      </c>
      <c r="N915" s="56" t="s">
        <v>2061</v>
      </c>
      <c r="O915" s="53" t="s">
        <v>1790</v>
      </c>
      <c r="P915" s="56" t="s">
        <v>2068</v>
      </c>
      <c r="Q915" s="57">
        <v>24600</v>
      </c>
      <c r="R915" s="58" t="s">
        <v>8</v>
      </c>
      <c r="S915" s="57" t="s">
        <v>8</v>
      </c>
      <c r="T915" s="56" t="s">
        <v>2063</v>
      </c>
    </row>
    <row r="916" spans="1:20">
      <c r="A916" s="55">
        <v>126434588095</v>
      </c>
      <c r="B916" s="53" t="s">
        <v>2055</v>
      </c>
      <c r="C916" s="54">
        <v>45921</v>
      </c>
      <c r="D916" s="55">
        <v>50542693084</v>
      </c>
      <c r="E916" s="55">
        <v>2075592660822</v>
      </c>
      <c r="F916" s="56" t="s">
        <v>2066</v>
      </c>
      <c r="G916" s="56" t="s">
        <v>2057</v>
      </c>
      <c r="H916" s="56" t="s">
        <v>8</v>
      </c>
      <c r="I916" s="55" t="s">
        <v>8</v>
      </c>
      <c r="J916" s="57">
        <v>778.14</v>
      </c>
      <c r="K916" s="56" t="s">
        <v>2058</v>
      </c>
      <c r="L916" s="56" t="s">
        <v>2067</v>
      </c>
      <c r="M916" s="55" t="s">
        <v>2060</v>
      </c>
      <c r="N916" s="56" t="s">
        <v>2061</v>
      </c>
      <c r="O916" s="53" t="s">
        <v>1790</v>
      </c>
      <c r="P916" s="56" t="s">
        <v>2068</v>
      </c>
      <c r="Q916" s="57">
        <v>19800</v>
      </c>
      <c r="R916" s="58" t="s">
        <v>8</v>
      </c>
      <c r="S916" s="57" t="s">
        <v>8</v>
      </c>
      <c r="T916" s="56" t="s">
        <v>2063</v>
      </c>
    </row>
    <row r="917" spans="1:20">
      <c r="A917" s="55">
        <v>126992251400</v>
      </c>
      <c r="B917" s="53" t="s">
        <v>2055</v>
      </c>
      <c r="C917" s="54">
        <v>45921</v>
      </c>
      <c r="D917" s="55">
        <v>50542730046</v>
      </c>
      <c r="E917" s="55">
        <v>2075593039412</v>
      </c>
      <c r="F917" s="56" t="s">
        <v>2056</v>
      </c>
      <c r="G917" s="56" t="s">
        <v>2057</v>
      </c>
      <c r="H917" s="56" t="s">
        <v>8</v>
      </c>
      <c r="I917" s="55" t="s">
        <v>8</v>
      </c>
      <c r="J917" s="57">
        <v>522.83000000000004</v>
      </c>
      <c r="K917" s="56" t="s">
        <v>2058</v>
      </c>
      <c r="L917" s="56" t="s">
        <v>2059</v>
      </c>
      <c r="M917" s="55" t="s">
        <v>2060</v>
      </c>
      <c r="N917" s="56" t="s">
        <v>2061</v>
      </c>
      <c r="O917" s="53" t="s">
        <v>8</v>
      </c>
      <c r="P917" s="56" t="s">
        <v>2467</v>
      </c>
      <c r="Q917" s="57">
        <v>53900</v>
      </c>
      <c r="R917" s="58" t="s">
        <v>8</v>
      </c>
      <c r="S917" s="57" t="s">
        <v>8</v>
      </c>
      <c r="T917" s="56" t="s">
        <v>2063</v>
      </c>
    </row>
    <row r="918" spans="1:20">
      <c r="A918" s="55">
        <v>126992434810</v>
      </c>
      <c r="B918" s="53" t="s">
        <v>2055</v>
      </c>
      <c r="C918" s="54">
        <v>45921</v>
      </c>
      <c r="D918" s="55">
        <v>50542794908</v>
      </c>
      <c r="E918" s="55">
        <v>2075593767266</v>
      </c>
      <c r="F918" s="56" t="s">
        <v>2066</v>
      </c>
      <c r="G918" s="56" t="s">
        <v>2057</v>
      </c>
      <c r="H918" s="56" t="s">
        <v>8</v>
      </c>
      <c r="I918" s="55" t="s">
        <v>8</v>
      </c>
      <c r="J918" s="57">
        <v>1629.86</v>
      </c>
      <c r="K918" s="56" t="s">
        <v>2058</v>
      </c>
      <c r="L918" s="56" t="s">
        <v>2067</v>
      </c>
      <c r="M918" s="55" t="s">
        <v>2060</v>
      </c>
      <c r="N918" s="56" t="s">
        <v>2061</v>
      </c>
      <c r="O918" s="53" t="s">
        <v>1790</v>
      </c>
      <c r="P918" s="56" t="s">
        <v>2068</v>
      </c>
      <c r="Q918" s="57">
        <v>35900</v>
      </c>
      <c r="R918" s="58" t="s">
        <v>8</v>
      </c>
      <c r="S918" s="57" t="s">
        <v>8</v>
      </c>
      <c r="T918" s="56" t="s">
        <v>2063</v>
      </c>
    </row>
    <row r="919" spans="1:20">
      <c r="A919" s="55">
        <v>126992555472</v>
      </c>
      <c r="B919" s="53" t="s">
        <v>2055</v>
      </c>
      <c r="C919" s="54">
        <v>45921</v>
      </c>
      <c r="D919" s="55">
        <v>50542859507</v>
      </c>
      <c r="E919" s="55">
        <v>2075594933970</v>
      </c>
      <c r="F919" s="56" t="s">
        <v>2069</v>
      </c>
      <c r="G919" s="56" t="s">
        <v>2057</v>
      </c>
      <c r="H919" s="56" t="s">
        <v>8</v>
      </c>
      <c r="I919" s="55" t="s">
        <v>8</v>
      </c>
      <c r="J919" s="57">
        <v>83.42</v>
      </c>
      <c r="K919" s="56" t="s">
        <v>2058</v>
      </c>
      <c r="L919" s="56" t="s">
        <v>2059</v>
      </c>
      <c r="M919" s="55" t="s">
        <v>2060</v>
      </c>
      <c r="N919" s="56" t="s">
        <v>2061</v>
      </c>
      <c r="O919" s="53" t="s">
        <v>8</v>
      </c>
      <c r="P919" s="56" t="s">
        <v>2070</v>
      </c>
      <c r="Q919" s="57">
        <v>8600</v>
      </c>
      <c r="R919" s="58" t="s">
        <v>8</v>
      </c>
      <c r="S919" s="57" t="s">
        <v>8</v>
      </c>
      <c r="T919" s="56" t="s">
        <v>8</v>
      </c>
    </row>
    <row r="920" spans="1:20">
      <c r="A920" s="55">
        <v>126992591204</v>
      </c>
      <c r="B920" s="53" t="s">
        <v>2055</v>
      </c>
      <c r="C920" s="54">
        <v>45921</v>
      </c>
      <c r="D920" s="55">
        <v>50542859687</v>
      </c>
      <c r="E920" s="55">
        <v>2075543443021</v>
      </c>
      <c r="F920" s="56" t="s">
        <v>2056</v>
      </c>
      <c r="G920" s="56" t="s">
        <v>2057</v>
      </c>
      <c r="H920" s="56" t="s">
        <v>8</v>
      </c>
      <c r="I920" s="55" t="s">
        <v>8</v>
      </c>
      <c r="J920" s="57">
        <v>135.80000000000001</v>
      </c>
      <c r="K920" s="56" t="s">
        <v>2058</v>
      </c>
      <c r="L920" s="56" t="s">
        <v>2059</v>
      </c>
      <c r="M920" s="55" t="s">
        <v>2060</v>
      </c>
      <c r="N920" s="56" t="s">
        <v>2061</v>
      </c>
      <c r="O920" s="53" t="s">
        <v>8</v>
      </c>
      <c r="P920" s="56" t="s">
        <v>2468</v>
      </c>
      <c r="Q920" s="57">
        <v>14000</v>
      </c>
      <c r="R920" s="58" t="s">
        <v>8</v>
      </c>
      <c r="S920" s="57" t="s">
        <v>8</v>
      </c>
      <c r="T920" s="56" t="s">
        <v>2063</v>
      </c>
    </row>
    <row r="921" spans="1:20">
      <c r="A921" s="55">
        <v>126435168221</v>
      </c>
      <c r="B921" s="53" t="s">
        <v>2055</v>
      </c>
      <c r="C921" s="54">
        <v>45921</v>
      </c>
      <c r="D921" s="55">
        <v>50542879052</v>
      </c>
      <c r="E921" s="55">
        <v>2075595055324</v>
      </c>
      <c r="F921" s="56" t="s">
        <v>2056</v>
      </c>
      <c r="G921" s="56" t="s">
        <v>2057</v>
      </c>
      <c r="H921" s="56" t="s">
        <v>8</v>
      </c>
      <c r="I921" s="55" t="s">
        <v>8</v>
      </c>
      <c r="J921" s="57">
        <v>1135.8699999999999</v>
      </c>
      <c r="K921" s="56" t="s">
        <v>2058</v>
      </c>
      <c r="L921" s="56" t="s">
        <v>2059</v>
      </c>
      <c r="M921" s="55" t="s">
        <v>2060</v>
      </c>
      <c r="N921" s="56" t="s">
        <v>2061</v>
      </c>
      <c r="O921" s="53" t="s">
        <v>8</v>
      </c>
      <c r="P921" s="56" t="s">
        <v>2469</v>
      </c>
      <c r="Q921" s="57">
        <v>117100</v>
      </c>
      <c r="R921" s="58" t="s">
        <v>8</v>
      </c>
      <c r="S921" s="57" t="s">
        <v>8</v>
      </c>
      <c r="T921" s="56" t="s">
        <v>2063</v>
      </c>
    </row>
    <row r="922" spans="1:20">
      <c r="A922" s="55">
        <v>126992667842</v>
      </c>
      <c r="B922" s="53" t="s">
        <v>2055</v>
      </c>
      <c r="C922" s="54">
        <v>45921</v>
      </c>
      <c r="D922" s="55">
        <v>50542921240</v>
      </c>
      <c r="E922" s="55">
        <v>2075595807940</v>
      </c>
      <c r="F922" s="56" t="s">
        <v>2066</v>
      </c>
      <c r="G922" s="56" t="s">
        <v>2057</v>
      </c>
      <c r="H922" s="56" t="s">
        <v>8</v>
      </c>
      <c r="I922" s="55" t="s">
        <v>8</v>
      </c>
      <c r="J922" s="57">
        <v>884.25</v>
      </c>
      <c r="K922" s="56" t="s">
        <v>2058</v>
      </c>
      <c r="L922" s="56" t="s">
        <v>2067</v>
      </c>
      <c r="M922" s="55" t="s">
        <v>2060</v>
      </c>
      <c r="N922" s="56" t="s">
        <v>2061</v>
      </c>
      <c r="O922" s="53" t="s">
        <v>1790</v>
      </c>
      <c r="P922" s="56" t="s">
        <v>2068</v>
      </c>
      <c r="Q922" s="57">
        <v>22500</v>
      </c>
      <c r="R922" s="58" t="s">
        <v>8</v>
      </c>
      <c r="S922" s="57" t="s">
        <v>8</v>
      </c>
      <c r="T922" s="56" t="s">
        <v>2063</v>
      </c>
    </row>
    <row r="923" spans="1:20">
      <c r="A923" s="55">
        <v>126992767926</v>
      </c>
      <c r="B923" s="53" t="s">
        <v>2055</v>
      </c>
      <c r="C923" s="54">
        <v>45921</v>
      </c>
      <c r="D923" s="55">
        <v>50542958205</v>
      </c>
      <c r="E923" s="55">
        <v>2075596679618</v>
      </c>
      <c r="F923" s="56" t="s">
        <v>2069</v>
      </c>
      <c r="G923" s="56" t="s">
        <v>2057</v>
      </c>
      <c r="H923" s="56" t="s">
        <v>8</v>
      </c>
      <c r="I923" s="55" t="s">
        <v>8</v>
      </c>
      <c r="J923" s="57">
        <v>452.99</v>
      </c>
      <c r="K923" s="56" t="s">
        <v>2058</v>
      </c>
      <c r="L923" s="56" t="s">
        <v>2059</v>
      </c>
      <c r="M923" s="55" t="s">
        <v>2060</v>
      </c>
      <c r="N923" s="56" t="s">
        <v>2061</v>
      </c>
      <c r="O923" s="53" t="s">
        <v>8</v>
      </c>
      <c r="P923" s="56" t="s">
        <v>2070</v>
      </c>
      <c r="Q923" s="57">
        <v>46700</v>
      </c>
      <c r="R923" s="58" t="s">
        <v>8</v>
      </c>
      <c r="S923" s="57" t="s">
        <v>8</v>
      </c>
      <c r="T923" s="56" t="s">
        <v>8</v>
      </c>
    </row>
    <row r="924" spans="1:20">
      <c r="A924" s="55">
        <v>126992956554</v>
      </c>
      <c r="B924" s="53" t="s">
        <v>2055</v>
      </c>
      <c r="C924" s="54">
        <v>45921</v>
      </c>
      <c r="D924" s="55">
        <v>50543006179</v>
      </c>
      <c r="E924" s="55">
        <v>2075596960450</v>
      </c>
      <c r="F924" s="56" t="s">
        <v>2066</v>
      </c>
      <c r="G924" s="56" t="s">
        <v>2057</v>
      </c>
      <c r="H924" s="56" t="s">
        <v>8</v>
      </c>
      <c r="I924" s="55" t="s">
        <v>8</v>
      </c>
      <c r="J924" s="57">
        <v>3395.52</v>
      </c>
      <c r="K924" s="56" t="s">
        <v>2058</v>
      </c>
      <c r="L924" s="56" t="s">
        <v>2067</v>
      </c>
      <c r="M924" s="55" t="s">
        <v>2060</v>
      </c>
      <c r="N924" s="56" t="s">
        <v>2061</v>
      </c>
      <c r="O924" s="53" t="s">
        <v>1790</v>
      </c>
      <c r="P924" s="56" t="s">
        <v>2068</v>
      </c>
      <c r="Q924" s="57">
        <v>86400</v>
      </c>
      <c r="R924" s="58" t="s">
        <v>8</v>
      </c>
      <c r="S924" s="57" t="s">
        <v>8</v>
      </c>
      <c r="T924" s="56" t="s">
        <v>2063</v>
      </c>
    </row>
    <row r="925" spans="1:20">
      <c r="A925" s="55">
        <v>126435988375</v>
      </c>
      <c r="B925" s="53" t="s">
        <v>2055</v>
      </c>
      <c r="C925" s="54">
        <v>45921</v>
      </c>
      <c r="D925" s="55">
        <v>50543222160</v>
      </c>
      <c r="E925" s="55">
        <v>2075548691813</v>
      </c>
      <c r="F925" s="56" t="s">
        <v>2056</v>
      </c>
      <c r="G925" s="56" t="s">
        <v>2057</v>
      </c>
      <c r="H925" s="56" t="s">
        <v>8</v>
      </c>
      <c r="I925" s="55" t="s">
        <v>8</v>
      </c>
      <c r="J925" s="57">
        <v>199.82</v>
      </c>
      <c r="K925" s="56" t="s">
        <v>2058</v>
      </c>
      <c r="L925" s="56" t="s">
        <v>2059</v>
      </c>
      <c r="M925" s="55" t="s">
        <v>2060</v>
      </c>
      <c r="N925" s="56" t="s">
        <v>2061</v>
      </c>
      <c r="O925" s="53" t="s">
        <v>8</v>
      </c>
      <c r="P925" s="56" t="s">
        <v>2470</v>
      </c>
      <c r="Q925" s="57">
        <v>20600</v>
      </c>
      <c r="R925" s="58" t="s">
        <v>8</v>
      </c>
      <c r="S925" s="57" t="s">
        <v>8</v>
      </c>
      <c r="T925" s="56" t="s">
        <v>2063</v>
      </c>
    </row>
    <row r="926" spans="1:20">
      <c r="A926" s="55">
        <v>126435878863</v>
      </c>
      <c r="B926" s="53" t="s">
        <v>2055</v>
      </c>
      <c r="C926" s="54">
        <v>45921</v>
      </c>
      <c r="D926" s="55">
        <v>50543225135</v>
      </c>
      <c r="E926" s="55">
        <v>2075600032922</v>
      </c>
      <c r="F926" s="56" t="s">
        <v>2066</v>
      </c>
      <c r="G926" s="56" t="s">
        <v>2057</v>
      </c>
      <c r="H926" s="56" t="s">
        <v>8</v>
      </c>
      <c r="I926" s="55" t="s">
        <v>8</v>
      </c>
      <c r="J926" s="57">
        <v>974.64</v>
      </c>
      <c r="K926" s="56" t="s">
        <v>2058</v>
      </c>
      <c r="L926" s="56" t="s">
        <v>2067</v>
      </c>
      <c r="M926" s="55" t="s">
        <v>2060</v>
      </c>
      <c r="N926" s="56" t="s">
        <v>2061</v>
      </c>
      <c r="O926" s="53" t="s">
        <v>1790</v>
      </c>
      <c r="P926" s="56" t="s">
        <v>2068</v>
      </c>
      <c r="Q926" s="57">
        <v>24800</v>
      </c>
      <c r="R926" s="58" t="s">
        <v>8</v>
      </c>
      <c r="S926" s="57" t="s">
        <v>8</v>
      </c>
      <c r="T926" s="56" t="s">
        <v>2063</v>
      </c>
    </row>
    <row r="927" spans="1:20">
      <c r="A927" s="55">
        <v>126435881501</v>
      </c>
      <c r="B927" s="53" t="s">
        <v>2055</v>
      </c>
      <c r="C927" s="54">
        <v>45921</v>
      </c>
      <c r="D927" s="55">
        <v>50543230164</v>
      </c>
      <c r="E927" s="55">
        <v>2075548610187</v>
      </c>
      <c r="F927" s="56" t="s">
        <v>2056</v>
      </c>
      <c r="G927" s="56" t="s">
        <v>2057</v>
      </c>
      <c r="H927" s="56" t="s">
        <v>8</v>
      </c>
      <c r="I927" s="55" t="s">
        <v>8</v>
      </c>
      <c r="J927" s="57">
        <v>1137.81</v>
      </c>
      <c r="K927" s="56" t="s">
        <v>2058</v>
      </c>
      <c r="L927" s="56" t="s">
        <v>2059</v>
      </c>
      <c r="M927" s="55" t="s">
        <v>2060</v>
      </c>
      <c r="N927" s="56" t="s">
        <v>2061</v>
      </c>
      <c r="O927" s="53" t="s">
        <v>8</v>
      </c>
      <c r="P927" s="56" t="s">
        <v>2471</v>
      </c>
      <c r="Q927" s="57">
        <v>117300</v>
      </c>
      <c r="R927" s="58" t="s">
        <v>8</v>
      </c>
      <c r="S927" s="57" t="s">
        <v>8</v>
      </c>
      <c r="T927" s="56" t="s">
        <v>2063</v>
      </c>
    </row>
    <row r="928" spans="1:20">
      <c r="A928" s="55">
        <v>126436273079</v>
      </c>
      <c r="B928" s="53" t="s">
        <v>2055</v>
      </c>
      <c r="C928" s="54">
        <v>45921</v>
      </c>
      <c r="D928" s="55">
        <v>50543359099</v>
      </c>
      <c r="E928" s="55">
        <v>2075602321742</v>
      </c>
      <c r="F928" s="56" t="s">
        <v>2056</v>
      </c>
      <c r="G928" s="56" t="s">
        <v>2057</v>
      </c>
      <c r="H928" s="56" t="s">
        <v>8</v>
      </c>
      <c r="I928" s="55" t="s">
        <v>8</v>
      </c>
      <c r="J928" s="57">
        <v>783.83</v>
      </c>
      <c r="K928" s="56" t="s">
        <v>2058</v>
      </c>
      <c r="L928" s="56" t="s">
        <v>2059</v>
      </c>
      <c r="M928" s="55" t="s">
        <v>2060</v>
      </c>
      <c r="N928" s="56" t="s">
        <v>2061</v>
      </c>
      <c r="O928" s="53" t="s">
        <v>8</v>
      </c>
      <c r="P928" s="56" t="s">
        <v>2472</v>
      </c>
      <c r="Q928" s="57">
        <v>10300</v>
      </c>
      <c r="R928" s="58" t="s">
        <v>8</v>
      </c>
      <c r="S928" s="57" t="s">
        <v>8</v>
      </c>
      <c r="T928" s="56" t="s">
        <v>2063</v>
      </c>
    </row>
    <row r="929" spans="1:20">
      <c r="A929" s="55">
        <v>126993816968</v>
      </c>
      <c r="B929" s="53" t="s">
        <v>2055</v>
      </c>
      <c r="C929" s="54">
        <v>45921</v>
      </c>
      <c r="D929" s="55">
        <v>50543385936</v>
      </c>
      <c r="E929" s="55">
        <v>2075602718272</v>
      </c>
      <c r="F929" s="56" t="s">
        <v>2056</v>
      </c>
      <c r="G929" s="56" t="s">
        <v>2057</v>
      </c>
      <c r="H929" s="56" t="s">
        <v>8</v>
      </c>
      <c r="I929" s="55" t="s">
        <v>8</v>
      </c>
      <c r="J929" s="57">
        <v>85.36</v>
      </c>
      <c r="K929" s="56" t="s">
        <v>2058</v>
      </c>
      <c r="L929" s="56" t="s">
        <v>2059</v>
      </c>
      <c r="M929" s="55" t="s">
        <v>2060</v>
      </c>
      <c r="N929" s="56" t="s">
        <v>2061</v>
      </c>
      <c r="O929" s="53" t="s">
        <v>8</v>
      </c>
      <c r="P929" s="56" t="s">
        <v>2473</v>
      </c>
      <c r="Q929" s="57">
        <v>8800</v>
      </c>
      <c r="R929" s="58" t="s">
        <v>8</v>
      </c>
      <c r="S929" s="57" t="s">
        <v>8</v>
      </c>
      <c r="T929" s="56" t="s">
        <v>2063</v>
      </c>
    </row>
    <row r="930" spans="1:20">
      <c r="A930" s="55">
        <v>126993923076</v>
      </c>
      <c r="B930" s="53" t="s">
        <v>2055</v>
      </c>
      <c r="C930" s="54">
        <v>45921</v>
      </c>
      <c r="D930" s="55">
        <v>50543416925</v>
      </c>
      <c r="E930" s="55">
        <v>2075603293056</v>
      </c>
      <c r="F930" s="56" t="s">
        <v>2056</v>
      </c>
      <c r="G930" s="56" t="s">
        <v>2057</v>
      </c>
      <c r="H930" s="56" t="s">
        <v>8</v>
      </c>
      <c r="I930" s="55" t="s">
        <v>8</v>
      </c>
      <c r="J930" s="57">
        <v>253.17</v>
      </c>
      <c r="K930" s="56" t="s">
        <v>2058</v>
      </c>
      <c r="L930" s="56" t="s">
        <v>2059</v>
      </c>
      <c r="M930" s="55" t="s">
        <v>2060</v>
      </c>
      <c r="N930" s="56" t="s">
        <v>2061</v>
      </c>
      <c r="O930" s="53" t="s">
        <v>8</v>
      </c>
      <c r="P930" s="56" t="s">
        <v>2474</v>
      </c>
      <c r="Q930" s="57">
        <v>26100</v>
      </c>
      <c r="R930" s="58" t="s">
        <v>8</v>
      </c>
      <c r="S930" s="57" t="s">
        <v>8</v>
      </c>
      <c r="T930" s="56" t="s">
        <v>2063</v>
      </c>
    </row>
    <row r="931" spans="1:20">
      <c r="A931" s="55">
        <v>126436481429</v>
      </c>
      <c r="B931" s="53" t="s">
        <v>2055</v>
      </c>
      <c r="C931" s="54">
        <v>45921</v>
      </c>
      <c r="D931" s="55">
        <v>50543446009</v>
      </c>
      <c r="E931" s="55">
        <v>2075551885809</v>
      </c>
      <c r="F931" s="56" t="s">
        <v>2066</v>
      </c>
      <c r="G931" s="56" t="s">
        <v>2057</v>
      </c>
      <c r="H931" s="56" t="s">
        <v>8</v>
      </c>
      <c r="I931" s="55" t="s">
        <v>8</v>
      </c>
      <c r="J931" s="57">
        <v>2055.39</v>
      </c>
      <c r="K931" s="56" t="s">
        <v>2058</v>
      </c>
      <c r="L931" s="56" t="s">
        <v>2067</v>
      </c>
      <c r="M931" s="55" t="s">
        <v>2060</v>
      </c>
      <c r="N931" s="56" t="s">
        <v>2061</v>
      </c>
      <c r="O931" s="53" t="s">
        <v>1790</v>
      </c>
      <c r="P931" s="56" t="s">
        <v>2068</v>
      </c>
      <c r="Q931" s="57">
        <v>52300</v>
      </c>
      <c r="R931" s="58" t="s">
        <v>8</v>
      </c>
      <c r="S931" s="57" t="s">
        <v>8</v>
      </c>
      <c r="T931" s="56" t="s">
        <v>2063</v>
      </c>
    </row>
    <row r="932" spans="1:20">
      <c r="A932" s="55">
        <v>126436687071</v>
      </c>
      <c r="B932" s="53" t="s">
        <v>2055</v>
      </c>
      <c r="C932" s="54">
        <v>45921</v>
      </c>
      <c r="D932" s="55">
        <v>50543501140</v>
      </c>
      <c r="E932" s="55">
        <v>2075604736214</v>
      </c>
      <c r="F932" s="56" t="s">
        <v>2056</v>
      </c>
      <c r="G932" s="56" t="s">
        <v>2057</v>
      </c>
      <c r="H932" s="56" t="s">
        <v>8</v>
      </c>
      <c r="I932" s="55" t="s">
        <v>8</v>
      </c>
      <c r="J932" s="57">
        <v>378.3</v>
      </c>
      <c r="K932" s="56" t="s">
        <v>2058</v>
      </c>
      <c r="L932" s="56" t="s">
        <v>2059</v>
      </c>
      <c r="M932" s="55" t="s">
        <v>2060</v>
      </c>
      <c r="N932" s="56" t="s">
        <v>2061</v>
      </c>
      <c r="O932" s="53" t="s">
        <v>8</v>
      </c>
      <c r="P932" s="56" t="s">
        <v>2475</v>
      </c>
      <c r="Q932" s="57">
        <v>39000</v>
      </c>
      <c r="R932" s="58" t="s">
        <v>8</v>
      </c>
      <c r="S932" s="57" t="s">
        <v>8</v>
      </c>
      <c r="T932" s="56" t="s">
        <v>2063</v>
      </c>
    </row>
    <row r="933" spans="1:20">
      <c r="A933" s="55">
        <v>126436885759</v>
      </c>
      <c r="B933" s="53" t="s">
        <v>2055</v>
      </c>
      <c r="C933" s="54">
        <v>45921</v>
      </c>
      <c r="D933" s="55">
        <v>50543602993</v>
      </c>
      <c r="E933" s="55">
        <v>2075606390594</v>
      </c>
      <c r="F933" s="56" t="s">
        <v>2056</v>
      </c>
      <c r="G933" s="56" t="s">
        <v>2057</v>
      </c>
      <c r="H933" s="56" t="s">
        <v>8</v>
      </c>
      <c r="I933" s="55" t="s">
        <v>8</v>
      </c>
      <c r="J933" s="57">
        <v>184.3</v>
      </c>
      <c r="K933" s="56" t="s">
        <v>2058</v>
      </c>
      <c r="L933" s="56" t="s">
        <v>2059</v>
      </c>
      <c r="M933" s="55" t="s">
        <v>2060</v>
      </c>
      <c r="N933" s="56" t="s">
        <v>2061</v>
      </c>
      <c r="O933" s="53" t="s">
        <v>8</v>
      </c>
      <c r="P933" s="56" t="s">
        <v>2476</v>
      </c>
      <c r="Q933" s="57">
        <v>19000</v>
      </c>
      <c r="R933" s="58" t="s">
        <v>8</v>
      </c>
      <c r="S933" s="57" t="s">
        <v>8</v>
      </c>
      <c r="T933" s="56" t="s">
        <v>2063</v>
      </c>
    </row>
    <row r="934" spans="1:20">
      <c r="A934" s="55">
        <v>126994713226</v>
      </c>
      <c r="B934" s="53" t="s">
        <v>2055</v>
      </c>
      <c r="C934" s="54">
        <v>45921</v>
      </c>
      <c r="D934" s="55">
        <v>50543721495</v>
      </c>
      <c r="E934" s="55">
        <v>2075608036130</v>
      </c>
      <c r="F934" s="56" t="s">
        <v>2056</v>
      </c>
      <c r="G934" s="56" t="s">
        <v>2057</v>
      </c>
      <c r="H934" s="56" t="s">
        <v>8</v>
      </c>
      <c r="I934" s="55" t="s">
        <v>8</v>
      </c>
      <c r="J934" s="57">
        <v>430.68</v>
      </c>
      <c r="K934" s="56" t="s">
        <v>2058</v>
      </c>
      <c r="L934" s="56" t="s">
        <v>2059</v>
      </c>
      <c r="M934" s="55" t="s">
        <v>2060</v>
      </c>
      <c r="N934" s="56" t="s">
        <v>2061</v>
      </c>
      <c r="O934" s="53" t="s">
        <v>8</v>
      </c>
      <c r="P934" s="56" t="s">
        <v>2477</v>
      </c>
      <c r="Q934" s="57">
        <v>44400</v>
      </c>
      <c r="R934" s="58" t="s">
        <v>8</v>
      </c>
      <c r="S934" s="57" t="s">
        <v>8</v>
      </c>
      <c r="T934" s="56" t="s">
        <v>2063</v>
      </c>
    </row>
    <row r="935" spans="1:20">
      <c r="A935" s="55">
        <v>126994733000</v>
      </c>
      <c r="B935" s="53" t="s">
        <v>2055</v>
      </c>
      <c r="C935" s="54">
        <v>45921</v>
      </c>
      <c r="D935" s="55">
        <v>50543723425</v>
      </c>
      <c r="E935" s="55">
        <v>2075608337154</v>
      </c>
      <c r="F935" s="56" t="s">
        <v>2069</v>
      </c>
      <c r="G935" s="56" t="s">
        <v>2057</v>
      </c>
      <c r="H935" s="56" t="s">
        <v>8</v>
      </c>
      <c r="I935" s="55" t="s">
        <v>8</v>
      </c>
      <c r="J935" s="57">
        <v>179.45</v>
      </c>
      <c r="K935" s="56" t="s">
        <v>2058</v>
      </c>
      <c r="L935" s="56" t="s">
        <v>2059</v>
      </c>
      <c r="M935" s="55" t="s">
        <v>2060</v>
      </c>
      <c r="N935" s="56" t="s">
        <v>2061</v>
      </c>
      <c r="O935" s="53" t="s">
        <v>8</v>
      </c>
      <c r="P935" s="56" t="s">
        <v>2070</v>
      </c>
      <c r="Q935" s="57">
        <v>18500</v>
      </c>
      <c r="R935" s="58" t="s">
        <v>8</v>
      </c>
      <c r="S935" s="57" t="s">
        <v>8</v>
      </c>
      <c r="T935" s="56" t="s">
        <v>8</v>
      </c>
    </row>
    <row r="936" spans="1:20">
      <c r="A936" s="55">
        <v>126437258399</v>
      </c>
      <c r="B936" s="53" t="s">
        <v>2055</v>
      </c>
      <c r="C936" s="54">
        <v>45921</v>
      </c>
      <c r="D936" s="55">
        <v>50543726274</v>
      </c>
      <c r="E936" s="55">
        <v>2075556460871</v>
      </c>
      <c r="F936" s="56" t="s">
        <v>2056</v>
      </c>
      <c r="G936" s="56" t="s">
        <v>2057</v>
      </c>
      <c r="H936" s="56" t="s">
        <v>8</v>
      </c>
      <c r="I936" s="55" t="s">
        <v>8</v>
      </c>
      <c r="J936" s="57">
        <v>180.42</v>
      </c>
      <c r="K936" s="56" t="s">
        <v>2058</v>
      </c>
      <c r="L936" s="56" t="s">
        <v>2059</v>
      </c>
      <c r="M936" s="55" t="s">
        <v>2060</v>
      </c>
      <c r="N936" s="56" t="s">
        <v>2061</v>
      </c>
      <c r="O936" s="53" t="s">
        <v>8</v>
      </c>
      <c r="P936" s="56" t="s">
        <v>2478</v>
      </c>
      <c r="Q936" s="57">
        <v>18600</v>
      </c>
      <c r="R936" s="58" t="s">
        <v>8</v>
      </c>
      <c r="S936" s="57" t="s">
        <v>8</v>
      </c>
      <c r="T936" s="56" t="s">
        <v>2063</v>
      </c>
    </row>
    <row r="937" spans="1:20">
      <c r="A937" s="55">
        <v>126994702036</v>
      </c>
      <c r="B937" s="53" t="s">
        <v>2055</v>
      </c>
      <c r="C937" s="54">
        <v>45921</v>
      </c>
      <c r="D937" s="55">
        <v>50543750396</v>
      </c>
      <c r="E937" s="55">
        <v>2075608619282</v>
      </c>
      <c r="F937" s="56" t="s">
        <v>2056</v>
      </c>
      <c r="G937" s="56" t="s">
        <v>2057</v>
      </c>
      <c r="H937" s="56" t="s">
        <v>8</v>
      </c>
      <c r="I937" s="55" t="s">
        <v>8</v>
      </c>
      <c r="J937" s="57">
        <v>154.22999999999999</v>
      </c>
      <c r="K937" s="56" t="s">
        <v>2058</v>
      </c>
      <c r="L937" s="56" t="s">
        <v>2059</v>
      </c>
      <c r="M937" s="55" t="s">
        <v>2060</v>
      </c>
      <c r="N937" s="56" t="s">
        <v>2061</v>
      </c>
      <c r="O937" s="53" t="s">
        <v>8</v>
      </c>
      <c r="P937" s="56" t="s">
        <v>2479</v>
      </c>
      <c r="Q937" s="57">
        <v>15900</v>
      </c>
      <c r="R937" s="58" t="s">
        <v>8</v>
      </c>
      <c r="S937" s="57" t="s">
        <v>8</v>
      </c>
      <c r="T937" s="56" t="s">
        <v>2063</v>
      </c>
    </row>
    <row r="938" spans="1:20">
      <c r="A938" s="55">
        <v>126994834838</v>
      </c>
      <c r="B938" s="53" t="s">
        <v>2055</v>
      </c>
      <c r="C938" s="54">
        <v>45921</v>
      </c>
      <c r="D938" s="55">
        <v>50543795363</v>
      </c>
      <c r="E938" s="55">
        <v>2075557248107</v>
      </c>
      <c r="F938" s="56" t="s">
        <v>2066</v>
      </c>
      <c r="G938" s="56" t="s">
        <v>2057</v>
      </c>
      <c r="H938" s="56" t="s">
        <v>8</v>
      </c>
      <c r="I938" s="55" t="s">
        <v>8</v>
      </c>
      <c r="J938" s="57">
        <v>390.44</v>
      </c>
      <c r="K938" s="56" t="s">
        <v>2058</v>
      </c>
      <c r="L938" s="56" t="s">
        <v>2067</v>
      </c>
      <c r="M938" s="55" t="s">
        <v>2060</v>
      </c>
      <c r="N938" s="56" t="s">
        <v>2061</v>
      </c>
      <c r="O938" s="53" t="s">
        <v>1790</v>
      </c>
      <c r="P938" s="56" t="s">
        <v>2068</v>
      </c>
      <c r="Q938" s="57">
        <v>8600</v>
      </c>
      <c r="R938" s="58" t="s">
        <v>8</v>
      </c>
      <c r="S938" s="57" t="s">
        <v>8</v>
      </c>
      <c r="T938" s="56" t="s">
        <v>2063</v>
      </c>
    </row>
    <row r="939" spans="1:20">
      <c r="A939" s="55">
        <v>126994870920</v>
      </c>
      <c r="B939" s="53" t="s">
        <v>2055</v>
      </c>
      <c r="C939" s="54">
        <v>45921</v>
      </c>
      <c r="D939" s="55">
        <v>50543809566</v>
      </c>
      <c r="E939" s="55">
        <v>2075557721131</v>
      </c>
      <c r="F939" s="56" t="s">
        <v>2056</v>
      </c>
      <c r="G939" s="56" t="s">
        <v>2057</v>
      </c>
      <c r="H939" s="56" t="s">
        <v>8</v>
      </c>
      <c r="I939" s="55" t="s">
        <v>8</v>
      </c>
      <c r="J939" s="57">
        <v>187.21</v>
      </c>
      <c r="K939" s="56" t="s">
        <v>2058</v>
      </c>
      <c r="L939" s="56" t="s">
        <v>2059</v>
      </c>
      <c r="M939" s="55" t="s">
        <v>2060</v>
      </c>
      <c r="N939" s="56" t="s">
        <v>2061</v>
      </c>
      <c r="O939" s="53" t="s">
        <v>8</v>
      </c>
      <c r="P939" s="56" t="s">
        <v>2480</v>
      </c>
      <c r="Q939" s="57">
        <v>19300</v>
      </c>
      <c r="R939" s="58" t="s">
        <v>8</v>
      </c>
      <c r="S939" s="57" t="s">
        <v>8</v>
      </c>
      <c r="T939" s="56" t="s">
        <v>2063</v>
      </c>
    </row>
    <row r="940" spans="1:20">
      <c r="A940" s="55">
        <v>126994860808</v>
      </c>
      <c r="B940" s="53" t="s">
        <v>2055</v>
      </c>
      <c r="C940" s="54">
        <v>45921</v>
      </c>
      <c r="D940" s="55">
        <v>50543826145</v>
      </c>
      <c r="E940" s="55">
        <v>2075557575517</v>
      </c>
      <c r="F940" s="56" t="s">
        <v>2056</v>
      </c>
      <c r="G940" s="56" t="s">
        <v>2057</v>
      </c>
      <c r="H940" s="56" t="s">
        <v>8</v>
      </c>
      <c r="I940" s="55" t="s">
        <v>8</v>
      </c>
      <c r="J940" s="57">
        <v>227.95</v>
      </c>
      <c r="K940" s="56" t="s">
        <v>2058</v>
      </c>
      <c r="L940" s="56" t="s">
        <v>2059</v>
      </c>
      <c r="M940" s="55" t="s">
        <v>2060</v>
      </c>
      <c r="N940" s="56" t="s">
        <v>2061</v>
      </c>
      <c r="O940" s="53" t="s">
        <v>8</v>
      </c>
      <c r="P940" s="56" t="s">
        <v>2481</v>
      </c>
      <c r="Q940" s="57">
        <v>23500</v>
      </c>
      <c r="R940" s="58" t="s">
        <v>8</v>
      </c>
      <c r="S940" s="57" t="s">
        <v>8</v>
      </c>
      <c r="T940" s="56" t="s">
        <v>2063</v>
      </c>
    </row>
    <row r="941" spans="1:20">
      <c r="A941" s="55">
        <v>126995028620</v>
      </c>
      <c r="B941" s="53" t="s">
        <v>2055</v>
      </c>
      <c r="C941" s="54">
        <v>45921</v>
      </c>
      <c r="D941" s="55">
        <v>50543896618</v>
      </c>
      <c r="E941" s="55">
        <v>2075558321769</v>
      </c>
      <c r="F941" s="56" t="s">
        <v>2066</v>
      </c>
      <c r="G941" s="56" t="s">
        <v>2057</v>
      </c>
      <c r="H941" s="56" t="s">
        <v>8</v>
      </c>
      <c r="I941" s="55" t="s">
        <v>8</v>
      </c>
      <c r="J941" s="57">
        <v>2830.92</v>
      </c>
      <c r="K941" s="56" t="s">
        <v>2058</v>
      </c>
      <c r="L941" s="56" t="s">
        <v>2067</v>
      </c>
      <c r="M941" s="55" t="s">
        <v>2060</v>
      </c>
      <c r="N941" s="56" t="s">
        <v>2061</v>
      </c>
      <c r="O941" s="53" t="s">
        <v>1790</v>
      </c>
      <c r="P941" s="56" t="s">
        <v>2068</v>
      </c>
      <c r="Q941" s="57">
        <v>37200</v>
      </c>
      <c r="R941" s="58" t="s">
        <v>8</v>
      </c>
      <c r="S941" s="57" t="s">
        <v>8</v>
      </c>
      <c r="T941" s="56" t="s">
        <v>2063</v>
      </c>
    </row>
    <row r="942" spans="1:20">
      <c r="A942" s="55">
        <v>126498711815</v>
      </c>
      <c r="B942" s="53" t="s">
        <v>2055</v>
      </c>
      <c r="C942" s="54">
        <v>45921</v>
      </c>
      <c r="D942" s="55">
        <v>50569790971</v>
      </c>
      <c r="E942" s="55">
        <v>2075939935147</v>
      </c>
      <c r="F942" s="56" t="s">
        <v>2056</v>
      </c>
      <c r="G942" s="56" t="s">
        <v>2057</v>
      </c>
      <c r="H942" s="56" t="s">
        <v>8</v>
      </c>
      <c r="I942" s="55" t="s">
        <v>8</v>
      </c>
      <c r="J942" s="57">
        <v>83.42</v>
      </c>
      <c r="K942" s="56" t="s">
        <v>2058</v>
      </c>
      <c r="L942" s="56" t="s">
        <v>2059</v>
      </c>
      <c r="M942" s="55" t="s">
        <v>2060</v>
      </c>
      <c r="N942" s="56" t="s">
        <v>2061</v>
      </c>
      <c r="O942" s="53" t="s">
        <v>8</v>
      </c>
      <c r="P942" s="56" t="s">
        <v>2385</v>
      </c>
      <c r="Q942" s="57">
        <v>8600</v>
      </c>
      <c r="R942" s="58" t="s">
        <v>8</v>
      </c>
      <c r="S942" s="57" t="s">
        <v>8</v>
      </c>
      <c r="T942" s="56" t="s">
        <v>2063</v>
      </c>
    </row>
    <row r="943" spans="1:20">
      <c r="A943" s="55">
        <v>126499013865</v>
      </c>
      <c r="B943" s="53" t="s">
        <v>2055</v>
      </c>
      <c r="C943" s="54">
        <v>45921</v>
      </c>
      <c r="D943" s="55">
        <v>50569945605</v>
      </c>
      <c r="E943" s="55">
        <v>2075993837468</v>
      </c>
      <c r="F943" s="56" t="s">
        <v>2066</v>
      </c>
      <c r="G943" s="56" t="s">
        <v>2057</v>
      </c>
      <c r="H943" s="56" t="s">
        <v>8</v>
      </c>
      <c r="I943" s="55" t="s">
        <v>8</v>
      </c>
      <c r="J943" s="57">
        <v>240.62</v>
      </c>
      <c r="K943" s="56" t="s">
        <v>2058</v>
      </c>
      <c r="L943" s="56" t="s">
        <v>2067</v>
      </c>
      <c r="M943" s="55" t="s">
        <v>2060</v>
      </c>
      <c r="N943" s="56" t="s">
        <v>2061</v>
      </c>
      <c r="O943" s="53" t="s">
        <v>1790</v>
      </c>
      <c r="P943" s="56" t="s">
        <v>2068</v>
      </c>
      <c r="Q943" s="57">
        <v>5300</v>
      </c>
      <c r="R943" s="58" t="s">
        <v>8</v>
      </c>
      <c r="S943" s="57" t="s">
        <v>8</v>
      </c>
      <c r="T943" s="56" t="s">
        <v>2063</v>
      </c>
    </row>
    <row r="944" spans="1:20">
      <c r="A944" s="55">
        <v>127057252498</v>
      </c>
      <c r="B944" s="53" t="s">
        <v>2055</v>
      </c>
      <c r="C944" s="54">
        <v>45921</v>
      </c>
      <c r="D944" s="55">
        <v>50570085796</v>
      </c>
      <c r="E944" s="55">
        <v>2075996066236</v>
      </c>
      <c r="F944" s="56" t="s">
        <v>2056</v>
      </c>
      <c r="G944" s="56" t="s">
        <v>2057</v>
      </c>
      <c r="H944" s="56" t="s">
        <v>8</v>
      </c>
      <c r="I944" s="55" t="s">
        <v>8</v>
      </c>
      <c r="J944" s="57">
        <v>41.71</v>
      </c>
      <c r="K944" s="56" t="s">
        <v>2058</v>
      </c>
      <c r="L944" s="56" t="s">
        <v>2059</v>
      </c>
      <c r="M944" s="55" t="s">
        <v>2060</v>
      </c>
      <c r="N944" s="56" t="s">
        <v>2061</v>
      </c>
      <c r="O944" s="53" t="s">
        <v>8</v>
      </c>
      <c r="P944" s="56" t="s">
        <v>2482</v>
      </c>
      <c r="Q944" s="57">
        <v>4300</v>
      </c>
      <c r="R944" s="58" t="s">
        <v>8</v>
      </c>
      <c r="S944" s="57" t="s">
        <v>8</v>
      </c>
      <c r="T944" s="56" t="s">
        <v>2063</v>
      </c>
    </row>
    <row r="945" spans="1:20">
      <c r="A945" s="55">
        <v>126501121485</v>
      </c>
      <c r="B945" s="53" t="s">
        <v>2055</v>
      </c>
      <c r="C945" s="54">
        <v>45921</v>
      </c>
      <c r="D945" s="55">
        <v>50570765075</v>
      </c>
      <c r="E945" s="55">
        <v>2075954973587</v>
      </c>
      <c r="F945" s="56" t="s">
        <v>2066</v>
      </c>
      <c r="G945" s="56" t="s">
        <v>2057</v>
      </c>
      <c r="H945" s="56" t="s">
        <v>8</v>
      </c>
      <c r="I945" s="55" t="s">
        <v>8</v>
      </c>
      <c r="J945" s="57">
        <v>532.70000000000005</v>
      </c>
      <c r="K945" s="56" t="s">
        <v>2058</v>
      </c>
      <c r="L945" s="56" t="s">
        <v>2067</v>
      </c>
      <c r="M945" s="55" t="s">
        <v>2060</v>
      </c>
      <c r="N945" s="56" t="s">
        <v>2061</v>
      </c>
      <c r="O945" s="53" t="s">
        <v>1790</v>
      </c>
      <c r="P945" s="56" t="s">
        <v>2068</v>
      </c>
      <c r="Q945" s="57">
        <v>7000</v>
      </c>
      <c r="R945" s="58" t="s">
        <v>8</v>
      </c>
      <c r="S945" s="57" t="s">
        <v>8</v>
      </c>
      <c r="T945" s="56" t="s">
        <v>2063</v>
      </c>
    </row>
    <row r="946" spans="1:20">
      <c r="A946" s="55">
        <v>126502326417</v>
      </c>
      <c r="B946" s="53" t="s">
        <v>2055</v>
      </c>
      <c r="C946" s="54">
        <v>45921</v>
      </c>
      <c r="D946" s="55">
        <v>50571120354</v>
      </c>
      <c r="E946" s="55">
        <v>2076013315824</v>
      </c>
      <c r="F946" s="56" t="s">
        <v>2056</v>
      </c>
      <c r="G946" s="56" t="s">
        <v>2057</v>
      </c>
      <c r="H946" s="56" t="s">
        <v>8</v>
      </c>
      <c r="I946" s="55" t="s">
        <v>8</v>
      </c>
      <c r="J946" s="57">
        <v>43.65</v>
      </c>
      <c r="K946" s="56" t="s">
        <v>2058</v>
      </c>
      <c r="L946" s="56" t="s">
        <v>2059</v>
      </c>
      <c r="M946" s="55" t="s">
        <v>2060</v>
      </c>
      <c r="N946" s="56" t="s">
        <v>2061</v>
      </c>
      <c r="O946" s="53" t="s">
        <v>8</v>
      </c>
      <c r="P946" s="56" t="s">
        <v>2460</v>
      </c>
      <c r="Q946" s="57">
        <v>4500</v>
      </c>
      <c r="R946" s="58" t="s">
        <v>8</v>
      </c>
      <c r="S946" s="57" t="s">
        <v>8</v>
      </c>
      <c r="T946" s="56" t="s">
        <v>2063</v>
      </c>
    </row>
    <row r="947" spans="1:20">
      <c r="A947" s="55">
        <v>127060015374</v>
      </c>
      <c r="B947" s="53" t="s">
        <v>2055</v>
      </c>
      <c r="C947" s="54">
        <v>45921</v>
      </c>
      <c r="D947" s="55">
        <v>50571187762</v>
      </c>
      <c r="E947" s="55">
        <v>2076013937106</v>
      </c>
      <c r="F947" s="56" t="s">
        <v>2056</v>
      </c>
      <c r="G947" s="56" t="s">
        <v>2057</v>
      </c>
      <c r="H947" s="56" t="s">
        <v>8</v>
      </c>
      <c r="I947" s="55" t="s">
        <v>8</v>
      </c>
      <c r="J947" s="57">
        <v>87.3</v>
      </c>
      <c r="K947" s="56" t="s">
        <v>2058</v>
      </c>
      <c r="L947" s="56" t="s">
        <v>2059</v>
      </c>
      <c r="M947" s="55" t="s">
        <v>2060</v>
      </c>
      <c r="N947" s="56" t="s">
        <v>2061</v>
      </c>
      <c r="O947" s="53" t="s">
        <v>8</v>
      </c>
      <c r="P947" s="56" t="s">
        <v>2483</v>
      </c>
      <c r="Q947" s="57">
        <v>9000</v>
      </c>
      <c r="R947" s="58" t="s">
        <v>8</v>
      </c>
      <c r="S947" s="57" t="s">
        <v>8</v>
      </c>
      <c r="T947" s="56" t="s">
        <v>2063</v>
      </c>
    </row>
    <row r="948" spans="1:20">
      <c r="A948" s="55">
        <v>127064546278</v>
      </c>
      <c r="B948" s="53" t="s">
        <v>2055</v>
      </c>
      <c r="C948" s="54">
        <v>45921</v>
      </c>
      <c r="D948" s="55">
        <v>50572916804</v>
      </c>
      <c r="E948" s="55">
        <v>2076041692660</v>
      </c>
      <c r="F948" s="56" t="s">
        <v>2107</v>
      </c>
      <c r="G948" s="56" t="s">
        <v>2057</v>
      </c>
      <c r="H948" s="56" t="s">
        <v>8</v>
      </c>
      <c r="I948" s="55" t="s">
        <v>8</v>
      </c>
      <c r="J948" s="57">
        <v>1483.95</v>
      </c>
      <c r="K948" s="56" t="s">
        <v>2058</v>
      </c>
      <c r="L948" s="56" t="s">
        <v>2059</v>
      </c>
      <c r="M948" s="55" t="s">
        <v>2060</v>
      </c>
      <c r="N948" s="56" t="s">
        <v>2061</v>
      </c>
      <c r="O948" s="53" t="s">
        <v>8</v>
      </c>
      <c r="P948" s="56" t="s">
        <v>2484</v>
      </c>
      <c r="Q948" s="57">
        <v>19500</v>
      </c>
      <c r="R948" s="58" t="s">
        <v>8</v>
      </c>
      <c r="S948" s="57" t="s">
        <v>8</v>
      </c>
      <c r="T948" s="56" t="s">
        <v>2063</v>
      </c>
    </row>
    <row r="949" spans="1:20">
      <c r="A949" s="55">
        <v>126508269011</v>
      </c>
      <c r="B949" s="53" t="s">
        <v>2055</v>
      </c>
      <c r="C949" s="54">
        <v>45921</v>
      </c>
      <c r="D949" s="55">
        <v>50573489007</v>
      </c>
      <c r="E949" s="55">
        <v>2076050948378</v>
      </c>
      <c r="F949" s="56" t="s">
        <v>2056</v>
      </c>
      <c r="G949" s="56" t="s">
        <v>2057</v>
      </c>
      <c r="H949" s="56" t="s">
        <v>8</v>
      </c>
      <c r="I949" s="55" t="s">
        <v>8</v>
      </c>
      <c r="J949" s="57">
        <v>83.42</v>
      </c>
      <c r="K949" s="56" t="s">
        <v>2058</v>
      </c>
      <c r="L949" s="56" t="s">
        <v>2059</v>
      </c>
      <c r="M949" s="55" t="s">
        <v>2060</v>
      </c>
      <c r="N949" s="56" t="s">
        <v>2061</v>
      </c>
      <c r="O949" s="53" t="s">
        <v>8</v>
      </c>
      <c r="P949" s="56" t="s">
        <v>2385</v>
      </c>
      <c r="Q949" s="57">
        <v>8600</v>
      </c>
      <c r="R949" s="58" t="s">
        <v>8</v>
      </c>
      <c r="S949" s="57" t="s">
        <v>8</v>
      </c>
      <c r="T949" s="56" t="s">
        <v>2063</v>
      </c>
    </row>
    <row r="950" spans="1:20">
      <c r="A950" s="55">
        <v>127066369438</v>
      </c>
      <c r="B950" s="53" t="s">
        <v>2055</v>
      </c>
      <c r="C950" s="54">
        <v>45921</v>
      </c>
      <c r="D950" s="55">
        <v>50573617802</v>
      </c>
      <c r="E950" s="55">
        <v>2076001469851</v>
      </c>
      <c r="F950" s="56" t="s">
        <v>2056</v>
      </c>
      <c r="G950" s="56" t="s">
        <v>2057</v>
      </c>
      <c r="H950" s="56" t="s">
        <v>8</v>
      </c>
      <c r="I950" s="55" t="s">
        <v>8</v>
      </c>
      <c r="J950" s="57">
        <v>278.73</v>
      </c>
      <c r="K950" s="56" t="s">
        <v>2058</v>
      </c>
      <c r="L950" s="56" t="s">
        <v>2059</v>
      </c>
      <c r="M950" s="55" t="s">
        <v>2060</v>
      </c>
      <c r="N950" s="56" t="s">
        <v>2061</v>
      </c>
      <c r="O950" s="53" t="s">
        <v>8</v>
      </c>
      <c r="P950" s="56" t="s">
        <v>2485</v>
      </c>
      <c r="Q950" s="57">
        <v>17100</v>
      </c>
      <c r="R950" s="58" t="s">
        <v>8</v>
      </c>
      <c r="S950" s="57" t="s">
        <v>8</v>
      </c>
      <c r="T950" s="56" t="s">
        <v>2063</v>
      </c>
    </row>
    <row r="951" spans="1:20">
      <c r="A951" s="55">
        <v>126509739927</v>
      </c>
      <c r="B951" s="53" t="s">
        <v>2055</v>
      </c>
      <c r="C951" s="54">
        <v>45921</v>
      </c>
      <c r="D951" s="55">
        <v>50574068184</v>
      </c>
      <c r="E951" s="55">
        <v>2076008772373</v>
      </c>
      <c r="F951" s="56" t="s">
        <v>2066</v>
      </c>
      <c r="G951" s="56" t="s">
        <v>2057</v>
      </c>
      <c r="H951" s="56" t="s">
        <v>8</v>
      </c>
      <c r="I951" s="55" t="s">
        <v>8</v>
      </c>
      <c r="J951" s="57">
        <v>766.35</v>
      </c>
      <c r="K951" s="56" t="s">
        <v>2058</v>
      </c>
      <c r="L951" s="56" t="s">
        <v>2067</v>
      </c>
      <c r="M951" s="55" t="s">
        <v>2060</v>
      </c>
      <c r="N951" s="56" t="s">
        <v>2061</v>
      </c>
      <c r="O951" s="53" t="s">
        <v>1790</v>
      </c>
      <c r="P951" s="56" t="s">
        <v>2068</v>
      </c>
      <c r="Q951" s="57">
        <v>19500</v>
      </c>
      <c r="R951" s="58" t="s">
        <v>8</v>
      </c>
      <c r="S951" s="57" t="s">
        <v>8</v>
      </c>
      <c r="T951" s="56" t="s">
        <v>2063</v>
      </c>
    </row>
    <row r="952" spans="1:20">
      <c r="A952" s="55">
        <v>126510073927</v>
      </c>
      <c r="B952" s="53" t="s">
        <v>2055</v>
      </c>
      <c r="C952" s="54">
        <v>45921</v>
      </c>
      <c r="D952" s="55">
        <v>50574197719</v>
      </c>
      <c r="E952" s="55">
        <v>2076062685040</v>
      </c>
      <c r="F952" s="56" t="s">
        <v>2066</v>
      </c>
      <c r="G952" s="56" t="s">
        <v>2057</v>
      </c>
      <c r="H952" s="56" t="s">
        <v>8</v>
      </c>
      <c r="I952" s="55" t="s">
        <v>8</v>
      </c>
      <c r="J952" s="57">
        <v>1025.73</v>
      </c>
      <c r="K952" s="56" t="s">
        <v>2058</v>
      </c>
      <c r="L952" s="56" t="s">
        <v>2067</v>
      </c>
      <c r="M952" s="55" t="s">
        <v>2060</v>
      </c>
      <c r="N952" s="56" t="s">
        <v>2061</v>
      </c>
      <c r="O952" s="53" t="s">
        <v>1790</v>
      </c>
      <c r="P952" s="56" t="s">
        <v>2068</v>
      </c>
      <c r="Q952" s="57">
        <v>26100</v>
      </c>
      <c r="R952" s="58" t="s">
        <v>8</v>
      </c>
      <c r="S952" s="57" t="s">
        <v>8</v>
      </c>
      <c r="T952" s="56" t="s">
        <v>2063</v>
      </c>
    </row>
    <row r="953" spans="1:20">
      <c r="A953" s="55">
        <v>126511461547</v>
      </c>
      <c r="B953" s="53" t="s">
        <v>2055</v>
      </c>
      <c r="C953" s="54">
        <v>45921</v>
      </c>
      <c r="D953" s="55">
        <v>50574715323</v>
      </c>
      <c r="E953" s="55">
        <v>2076018974375</v>
      </c>
      <c r="F953" s="56" t="s">
        <v>2056</v>
      </c>
      <c r="G953" s="56" t="s">
        <v>2057</v>
      </c>
      <c r="H953" s="56" t="s">
        <v>8</v>
      </c>
      <c r="I953" s="55" t="s">
        <v>8</v>
      </c>
      <c r="J953" s="57">
        <v>227.95</v>
      </c>
      <c r="K953" s="56" t="s">
        <v>2058</v>
      </c>
      <c r="L953" s="56" t="s">
        <v>2059</v>
      </c>
      <c r="M953" s="55" t="s">
        <v>2060</v>
      </c>
      <c r="N953" s="56" t="s">
        <v>2061</v>
      </c>
      <c r="O953" s="53" t="s">
        <v>8</v>
      </c>
      <c r="P953" s="56" t="s">
        <v>2486</v>
      </c>
      <c r="Q953" s="57">
        <v>23500</v>
      </c>
      <c r="R953" s="58" t="s">
        <v>8</v>
      </c>
      <c r="S953" s="57" t="s">
        <v>8</v>
      </c>
      <c r="T953" s="56" t="s">
        <v>2063</v>
      </c>
    </row>
    <row r="954" spans="1:20">
      <c r="A954" s="55">
        <v>126511948803</v>
      </c>
      <c r="B954" s="53" t="s">
        <v>2055</v>
      </c>
      <c r="C954" s="54">
        <v>45921</v>
      </c>
      <c r="D954" s="55">
        <v>50574911987</v>
      </c>
      <c r="E954" s="55">
        <v>2076073867650</v>
      </c>
      <c r="F954" s="56" t="s">
        <v>2056</v>
      </c>
      <c r="G954" s="56" t="s">
        <v>2057</v>
      </c>
      <c r="H954" s="56" t="s">
        <v>8</v>
      </c>
      <c r="I954" s="55" t="s">
        <v>8</v>
      </c>
      <c r="J954" s="57">
        <v>624.67999999999995</v>
      </c>
      <c r="K954" s="56" t="s">
        <v>2058</v>
      </c>
      <c r="L954" s="56" t="s">
        <v>2059</v>
      </c>
      <c r="M954" s="55" t="s">
        <v>2060</v>
      </c>
      <c r="N954" s="56" t="s">
        <v>2061</v>
      </c>
      <c r="O954" s="53" t="s">
        <v>8</v>
      </c>
      <c r="P954" s="56" t="s">
        <v>2487</v>
      </c>
      <c r="Q954" s="57">
        <v>64400</v>
      </c>
      <c r="R954" s="58" t="s">
        <v>8</v>
      </c>
      <c r="S954" s="57" t="s">
        <v>8</v>
      </c>
      <c r="T954" s="56" t="s">
        <v>2063</v>
      </c>
    </row>
    <row r="955" spans="1:20">
      <c r="A955" s="55">
        <v>126512641065</v>
      </c>
      <c r="B955" s="53" t="s">
        <v>2055</v>
      </c>
      <c r="C955" s="54">
        <v>45921</v>
      </c>
      <c r="D955" s="55">
        <v>50575178932</v>
      </c>
      <c r="E955" s="55">
        <v>2076026316843</v>
      </c>
      <c r="F955" s="56" t="s">
        <v>2056</v>
      </c>
      <c r="G955" s="56" t="s">
        <v>2057</v>
      </c>
      <c r="H955" s="56" t="s">
        <v>8</v>
      </c>
      <c r="I955" s="55" t="s">
        <v>8</v>
      </c>
      <c r="J955" s="57">
        <v>77.599999999999994</v>
      </c>
      <c r="K955" s="56" t="s">
        <v>2058</v>
      </c>
      <c r="L955" s="56" t="s">
        <v>2059</v>
      </c>
      <c r="M955" s="55" t="s">
        <v>2060</v>
      </c>
      <c r="N955" s="56" t="s">
        <v>2061</v>
      </c>
      <c r="O955" s="53" t="s">
        <v>8</v>
      </c>
      <c r="P955" s="56" t="s">
        <v>2488</v>
      </c>
      <c r="Q955" s="57">
        <v>8000</v>
      </c>
      <c r="R955" s="58" t="s">
        <v>8</v>
      </c>
      <c r="S955" s="57" t="s">
        <v>8</v>
      </c>
      <c r="T955" s="56" t="s">
        <v>2063</v>
      </c>
    </row>
    <row r="956" spans="1:20">
      <c r="A956" s="55">
        <v>127070575668</v>
      </c>
      <c r="B956" s="53" t="s">
        <v>2055</v>
      </c>
      <c r="C956" s="54">
        <v>45921</v>
      </c>
      <c r="D956" s="55">
        <v>50575274627</v>
      </c>
      <c r="E956" s="55">
        <v>2076028014103</v>
      </c>
      <c r="F956" s="56" t="s">
        <v>2066</v>
      </c>
      <c r="G956" s="56" t="s">
        <v>2057</v>
      </c>
      <c r="H956" s="56" t="s">
        <v>8</v>
      </c>
      <c r="I956" s="55" t="s">
        <v>8</v>
      </c>
      <c r="J956" s="57">
        <v>1072.8900000000001</v>
      </c>
      <c r="K956" s="56" t="s">
        <v>2058</v>
      </c>
      <c r="L956" s="56" t="s">
        <v>2067</v>
      </c>
      <c r="M956" s="55" t="s">
        <v>2060</v>
      </c>
      <c r="N956" s="56" t="s">
        <v>2061</v>
      </c>
      <c r="O956" s="53" t="s">
        <v>1790</v>
      </c>
      <c r="P956" s="56" t="s">
        <v>2068</v>
      </c>
      <c r="Q956" s="57">
        <v>27300</v>
      </c>
      <c r="R956" s="58" t="s">
        <v>8</v>
      </c>
      <c r="S956" s="57" t="s">
        <v>8</v>
      </c>
      <c r="T956" s="56" t="s">
        <v>2063</v>
      </c>
    </row>
    <row r="957" spans="1:20">
      <c r="A957" s="55">
        <v>126514090825</v>
      </c>
      <c r="B957" s="53" t="s">
        <v>2055</v>
      </c>
      <c r="C957" s="54">
        <v>45921</v>
      </c>
      <c r="D957" s="55">
        <v>50575727301</v>
      </c>
      <c r="E957" s="55">
        <v>2076087094948</v>
      </c>
      <c r="F957" s="56" t="s">
        <v>2066</v>
      </c>
      <c r="G957" s="56" t="s">
        <v>2057</v>
      </c>
      <c r="H957" s="56" t="s">
        <v>8</v>
      </c>
      <c r="I957" s="55" t="s">
        <v>8</v>
      </c>
      <c r="J957" s="57">
        <v>601.29</v>
      </c>
      <c r="K957" s="56" t="s">
        <v>2058</v>
      </c>
      <c r="L957" s="56" t="s">
        <v>2067</v>
      </c>
      <c r="M957" s="55" t="s">
        <v>2060</v>
      </c>
      <c r="N957" s="56" t="s">
        <v>2061</v>
      </c>
      <c r="O957" s="53" t="s">
        <v>1790</v>
      </c>
      <c r="P957" s="56" t="s">
        <v>2068</v>
      </c>
      <c r="Q957" s="57">
        <v>15300</v>
      </c>
      <c r="R957" s="58" t="s">
        <v>8</v>
      </c>
      <c r="S957" s="57" t="s">
        <v>8</v>
      </c>
      <c r="T957" s="56" t="s">
        <v>2063</v>
      </c>
    </row>
    <row r="958" spans="1:20">
      <c r="A958" s="55">
        <v>127072983012</v>
      </c>
      <c r="B958" s="53" t="s">
        <v>2055</v>
      </c>
      <c r="C958" s="54">
        <v>45921</v>
      </c>
      <c r="D958" s="55">
        <v>50576182606</v>
      </c>
      <c r="E958" s="55">
        <v>2076042793011</v>
      </c>
      <c r="F958" s="56" t="s">
        <v>2066</v>
      </c>
      <c r="G958" s="56" t="s">
        <v>2057</v>
      </c>
      <c r="H958" s="56" t="s">
        <v>8</v>
      </c>
      <c r="I958" s="55" t="s">
        <v>8</v>
      </c>
      <c r="J958" s="57">
        <v>3977.04</v>
      </c>
      <c r="K958" s="56" t="s">
        <v>2058</v>
      </c>
      <c r="L958" s="56" t="s">
        <v>2067</v>
      </c>
      <c r="M958" s="55" t="s">
        <v>2060</v>
      </c>
      <c r="N958" s="56" t="s">
        <v>2061</v>
      </c>
      <c r="O958" s="53" t="s">
        <v>1790</v>
      </c>
      <c r="P958" s="56" t="s">
        <v>2068</v>
      </c>
      <c r="Q958" s="57">
        <v>87600</v>
      </c>
      <c r="R958" s="58" t="s">
        <v>8</v>
      </c>
      <c r="S958" s="57" t="s">
        <v>8</v>
      </c>
      <c r="T958" s="56" t="s">
        <v>2063</v>
      </c>
    </row>
    <row r="959" spans="1:20">
      <c r="A959" s="55">
        <v>126515332807</v>
      </c>
      <c r="B959" s="53" t="s">
        <v>2055</v>
      </c>
      <c r="C959" s="54">
        <v>45921</v>
      </c>
      <c r="D959" s="55">
        <v>50576194404</v>
      </c>
      <c r="E959" s="55">
        <v>2076094450496</v>
      </c>
      <c r="F959" s="56" t="s">
        <v>2066</v>
      </c>
      <c r="G959" s="56" t="s">
        <v>2057</v>
      </c>
      <c r="H959" s="56" t="s">
        <v>8</v>
      </c>
      <c r="I959" s="55" t="s">
        <v>8</v>
      </c>
      <c r="J959" s="57">
        <v>476.7</v>
      </c>
      <c r="K959" s="56" t="s">
        <v>2058</v>
      </c>
      <c r="L959" s="56" t="s">
        <v>2067</v>
      </c>
      <c r="M959" s="55" t="s">
        <v>2060</v>
      </c>
      <c r="N959" s="56" t="s">
        <v>2061</v>
      </c>
      <c r="O959" s="53" t="s">
        <v>1790</v>
      </c>
      <c r="P959" s="56" t="s">
        <v>2068</v>
      </c>
      <c r="Q959" s="57">
        <v>10500</v>
      </c>
      <c r="R959" s="58" t="s">
        <v>8</v>
      </c>
      <c r="S959" s="57" t="s">
        <v>8</v>
      </c>
      <c r="T959" s="56" t="s">
        <v>2063</v>
      </c>
    </row>
    <row r="960" spans="1:20">
      <c r="A960" s="55">
        <v>126515369669</v>
      </c>
      <c r="B960" s="53" t="s">
        <v>2055</v>
      </c>
      <c r="C960" s="54">
        <v>45921</v>
      </c>
      <c r="D960" s="55">
        <v>50576212794</v>
      </c>
      <c r="E960" s="55">
        <v>2076095100540</v>
      </c>
      <c r="F960" s="56" t="s">
        <v>2056</v>
      </c>
      <c r="G960" s="56" t="s">
        <v>2057</v>
      </c>
      <c r="H960" s="56" t="s">
        <v>8</v>
      </c>
      <c r="I960" s="55" t="s">
        <v>8</v>
      </c>
      <c r="J960" s="57">
        <v>549.30999999999995</v>
      </c>
      <c r="K960" s="56" t="s">
        <v>2058</v>
      </c>
      <c r="L960" s="56" t="s">
        <v>2059</v>
      </c>
      <c r="M960" s="55" t="s">
        <v>2060</v>
      </c>
      <c r="N960" s="56" t="s">
        <v>2061</v>
      </c>
      <c r="O960" s="53" t="s">
        <v>8</v>
      </c>
      <c r="P960" s="56" t="s">
        <v>2489</v>
      </c>
      <c r="Q960" s="57">
        <v>33700</v>
      </c>
      <c r="R960" s="58" t="s">
        <v>8</v>
      </c>
      <c r="S960" s="57" t="s">
        <v>8</v>
      </c>
      <c r="T960" s="56" t="s">
        <v>2063</v>
      </c>
    </row>
    <row r="961" spans="1:20">
      <c r="A961" s="55">
        <v>127073051828</v>
      </c>
      <c r="B961" s="53" t="s">
        <v>2055</v>
      </c>
      <c r="C961" s="54">
        <v>45921</v>
      </c>
      <c r="D961" s="55">
        <v>50576239916</v>
      </c>
      <c r="E961" s="55">
        <v>2076043544423</v>
      </c>
      <c r="F961" s="56" t="s">
        <v>2056</v>
      </c>
      <c r="G961" s="56" t="s">
        <v>2057</v>
      </c>
      <c r="H961" s="56" t="s">
        <v>8</v>
      </c>
      <c r="I961" s="55" t="s">
        <v>8</v>
      </c>
      <c r="J961" s="57">
        <v>102.82</v>
      </c>
      <c r="K961" s="56" t="s">
        <v>2058</v>
      </c>
      <c r="L961" s="56" t="s">
        <v>2059</v>
      </c>
      <c r="M961" s="55" t="s">
        <v>2060</v>
      </c>
      <c r="N961" s="56" t="s">
        <v>2061</v>
      </c>
      <c r="O961" s="53" t="s">
        <v>8</v>
      </c>
      <c r="P961" s="56" t="s">
        <v>2490</v>
      </c>
      <c r="Q961" s="57">
        <v>10600</v>
      </c>
      <c r="R961" s="58" t="s">
        <v>8</v>
      </c>
      <c r="S961" s="57" t="s">
        <v>8</v>
      </c>
      <c r="T961" s="56" t="s">
        <v>2063</v>
      </c>
    </row>
    <row r="962" spans="1:20">
      <c r="A962" s="55">
        <v>127073157830</v>
      </c>
      <c r="B962" s="53" t="s">
        <v>2055</v>
      </c>
      <c r="C962" s="54">
        <v>45921</v>
      </c>
      <c r="D962" s="55">
        <v>50576278262</v>
      </c>
      <c r="E962" s="55">
        <v>2076043894099</v>
      </c>
      <c r="F962" s="56" t="s">
        <v>2066</v>
      </c>
      <c r="G962" s="56" t="s">
        <v>2057</v>
      </c>
      <c r="H962" s="56" t="s">
        <v>8</v>
      </c>
      <c r="I962" s="55" t="s">
        <v>8</v>
      </c>
      <c r="J962" s="57">
        <v>2801.18</v>
      </c>
      <c r="K962" s="56" t="s">
        <v>2058</v>
      </c>
      <c r="L962" s="56" t="s">
        <v>2067</v>
      </c>
      <c r="M962" s="55" t="s">
        <v>2060</v>
      </c>
      <c r="N962" s="56" t="s">
        <v>2061</v>
      </c>
      <c r="O962" s="53" t="s">
        <v>1790</v>
      </c>
      <c r="P962" s="56" t="s">
        <v>2068</v>
      </c>
      <c r="Q962" s="57">
        <v>61700</v>
      </c>
      <c r="R962" s="58" t="s">
        <v>8</v>
      </c>
      <c r="S962" s="57" t="s">
        <v>8</v>
      </c>
      <c r="T962" s="56" t="s">
        <v>2063</v>
      </c>
    </row>
    <row r="963" spans="1:20">
      <c r="A963" s="55">
        <v>126517327301</v>
      </c>
      <c r="B963" s="53" t="s">
        <v>2055</v>
      </c>
      <c r="C963" s="54">
        <v>45921</v>
      </c>
      <c r="D963" s="55">
        <v>50576979673</v>
      </c>
      <c r="E963" s="55">
        <v>2076055652239</v>
      </c>
      <c r="F963" s="56" t="s">
        <v>2056</v>
      </c>
      <c r="G963" s="56" t="s">
        <v>2057</v>
      </c>
      <c r="H963" s="56" t="s">
        <v>8</v>
      </c>
      <c r="I963" s="55" t="s">
        <v>8</v>
      </c>
      <c r="J963" s="57">
        <v>67.900000000000006</v>
      </c>
      <c r="K963" s="56" t="s">
        <v>2058</v>
      </c>
      <c r="L963" s="56" t="s">
        <v>2059</v>
      </c>
      <c r="M963" s="55" t="s">
        <v>2060</v>
      </c>
      <c r="N963" s="56" t="s">
        <v>2061</v>
      </c>
      <c r="O963" s="53" t="s">
        <v>8</v>
      </c>
      <c r="P963" s="56" t="s">
        <v>2491</v>
      </c>
      <c r="Q963" s="57">
        <v>7000</v>
      </c>
      <c r="R963" s="58" t="s">
        <v>8</v>
      </c>
      <c r="S963" s="57" t="s">
        <v>8</v>
      </c>
      <c r="T963" s="56" t="s">
        <v>2063</v>
      </c>
    </row>
    <row r="964" spans="1:20">
      <c r="A964" s="55">
        <v>127075428606</v>
      </c>
      <c r="B964" s="53" t="s">
        <v>2055</v>
      </c>
      <c r="C964" s="54">
        <v>45921</v>
      </c>
      <c r="D964" s="55">
        <v>50577105262</v>
      </c>
      <c r="E964" s="55">
        <v>2076057401209</v>
      </c>
      <c r="F964" s="56" t="s">
        <v>2056</v>
      </c>
      <c r="G964" s="56" t="s">
        <v>2057</v>
      </c>
      <c r="H964" s="56" t="s">
        <v>8</v>
      </c>
      <c r="I964" s="55" t="s">
        <v>8</v>
      </c>
      <c r="J964" s="57">
        <v>325.92</v>
      </c>
      <c r="K964" s="56" t="s">
        <v>2058</v>
      </c>
      <c r="L964" s="56" t="s">
        <v>2059</v>
      </c>
      <c r="M964" s="55" t="s">
        <v>2060</v>
      </c>
      <c r="N964" s="56" t="s">
        <v>2061</v>
      </c>
      <c r="O964" s="53" t="s">
        <v>8</v>
      </c>
      <c r="P964" s="56" t="s">
        <v>2492</v>
      </c>
      <c r="Q964" s="57">
        <v>33600</v>
      </c>
      <c r="R964" s="58" t="s">
        <v>8</v>
      </c>
      <c r="S964" s="57" t="s">
        <v>8</v>
      </c>
      <c r="T964" s="56" t="s">
        <v>2063</v>
      </c>
    </row>
    <row r="965" spans="1:20">
      <c r="A965" s="55">
        <v>127076367736</v>
      </c>
      <c r="B965" s="53" t="s">
        <v>2055</v>
      </c>
      <c r="C965" s="54">
        <v>45921</v>
      </c>
      <c r="D965" s="55">
        <v>50577513254</v>
      </c>
      <c r="E965" s="55">
        <v>2076116017414</v>
      </c>
      <c r="F965" s="56" t="s">
        <v>2066</v>
      </c>
      <c r="G965" s="56" t="s">
        <v>2057</v>
      </c>
      <c r="H965" s="56" t="s">
        <v>8</v>
      </c>
      <c r="I965" s="55" t="s">
        <v>8</v>
      </c>
      <c r="J965" s="57">
        <v>390.44</v>
      </c>
      <c r="K965" s="56" t="s">
        <v>2058</v>
      </c>
      <c r="L965" s="56" t="s">
        <v>2067</v>
      </c>
      <c r="M965" s="55" t="s">
        <v>2060</v>
      </c>
      <c r="N965" s="56" t="s">
        <v>2061</v>
      </c>
      <c r="O965" s="53" t="s">
        <v>1790</v>
      </c>
      <c r="P965" s="56" t="s">
        <v>2068</v>
      </c>
      <c r="Q965" s="57">
        <v>8600</v>
      </c>
      <c r="R965" s="58" t="s">
        <v>8</v>
      </c>
      <c r="S965" s="57" t="s">
        <v>8</v>
      </c>
      <c r="T965" s="56" t="s">
        <v>2063</v>
      </c>
    </row>
    <row r="966" spans="1:20">
      <c r="A966" s="55">
        <v>126870127477</v>
      </c>
      <c r="B966" s="53" t="s">
        <v>2055</v>
      </c>
      <c r="C966" s="54">
        <v>45924</v>
      </c>
      <c r="D966" s="55">
        <v>50700310587</v>
      </c>
      <c r="E966" s="55">
        <v>2078606901812</v>
      </c>
      <c r="F966" s="56" t="s">
        <v>2069</v>
      </c>
      <c r="G966" s="56" t="s">
        <v>2057</v>
      </c>
      <c r="H966" s="56" t="s">
        <v>8</v>
      </c>
      <c r="I966" s="55" t="s">
        <v>8</v>
      </c>
      <c r="J966" s="57">
        <v>91.18</v>
      </c>
      <c r="K966" s="56" t="s">
        <v>2058</v>
      </c>
      <c r="L966" s="56" t="s">
        <v>2059</v>
      </c>
      <c r="M966" s="55" t="s">
        <v>2060</v>
      </c>
      <c r="N966" s="56" t="s">
        <v>2061</v>
      </c>
      <c r="O966" s="53" t="s">
        <v>8</v>
      </c>
      <c r="P966" s="56" t="s">
        <v>2070</v>
      </c>
      <c r="Q966" s="57">
        <v>9400</v>
      </c>
      <c r="R966" s="58" t="s">
        <v>8</v>
      </c>
      <c r="S966" s="57" t="s">
        <v>8</v>
      </c>
      <c r="T966" s="56" t="s">
        <v>8</v>
      </c>
    </row>
    <row r="967" spans="1:20">
      <c r="A967" s="55">
        <v>126870455355</v>
      </c>
      <c r="B967" s="53" t="s">
        <v>2055</v>
      </c>
      <c r="C967" s="54">
        <v>45924</v>
      </c>
      <c r="D967" s="55">
        <v>50700427125</v>
      </c>
      <c r="E967" s="55">
        <v>2078608652716</v>
      </c>
      <c r="F967" s="56" t="s">
        <v>2056</v>
      </c>
      <c r="G967" s="56" t="s">
        <v>2057</v>
      </c>
      <c r="H967" s="56" t="s">
        <v>8</v>
      </c>
      <c r="I967" s="55" t="s">
        <v>8</v>
      </c>
      <c r="J967" s="57">
        <v>79.540000000000006</v>
      </c>
      <c r="K967" s="56" t="s">
        <v>2058</v>
      </c>
      <c r="L967" s="56" t="s">
        <v>2059</v>
      </c>
      <c r="M967" s="55" t="s">
        <v>2060</v>
      </c>
      <c r="N967" s="56" t="s">
        <v>2061</v>
      </c>
      <c r="O967" s="53" t="s">
        <v>8</v>
      </c>
      <c r="P967" s="56" t="s">
        <v>2493</v>
      </c>
      <c r="Q967" s="57">
        <v>8200</v>
      </c>
      <c r="R967" s="58" t="s">
        <v>8</v>
      </c>
      <c r="S967" s="57" t="s">
        <v>8</v>
      </c>
      <c r="T967" s="56" t="s">
        <v>2063</v>
      </c>
    </row>
    <row r="968" spans="1:20">
      <c r="A968" s="55">
        <v>126876188659</v>
      </c>
      <c r="B968" s="53" t="s">
        <v>2055</v>
      </c>
      <c r="C968" s="54">
        <v>45924</v>
      </c>
      <c r="D968" s="55">
        <v>50702580063</v>
      </c>
      <c r="E968" s="55">
        <v>2078593946791</v>
      </c>
      <c r="F968" s="56" t="s">
        <v>2056</v>
      </c>
      <c r="G968" s="56" t="s">
        <v>2057</v>
      </c>
      <c r="H968" s="56" t="s">
        <v>8</v>
      </c>
      <c r="I968" s="55" t="s">
        <v>8</v>
      </c>
      <c r="J968" s="57">
        <v>96.03</v>
      </c>
      <c r="K968" s="56" t="s">
        <v>2058</v>
      </c>
      <c r="L968" s="56" t="s">
        <v>2059</v>
      </c>
      <c r="M968" s="55" t="s">
        <v>2060</v>
      </c>
      <c r="N968" s="56" t="s">
        <v>2061</v>
      </c>
      <c r="O968" s="53" t="s">
        <v>8</v>
      </c>
      <c r="P968" s="56" t="s">
        <v>2494</v>
      </c>
      <c r="Q968" s="57">
        <v>9900</v>
      </c>
      <c r="R968" s="58" t="s">
        <v>8</v>
      </c>
      <c r="S968" s="57" t="s">
        <v>8</v>
      </c>
      <c r="T968" s="56" t="s">
        <v>2063</v>
      </c>
    </row>
    <row r="969" spans="1:20">
      <c r="A969" s="55">
        <v>126879032923</v>
      </c>
      <c r="B969" s="53" t="s">
        <v>2055</v>
      </c>
      <c r="C969" s="54">
        <v>45924</v>
      </c>
      <c r="D969" s="55">
        <v>50703547585</v>
      </c>
      <c r="E969" s="55">
        <v>2078670025280</v>
      </c>
      <c r="F969" s="56" t="s">
        <v>2056</v>
      </c>
      <c r="G969" s="56" t="s">
        <v>2057</v>
      </c>
      <c r="H969" s="56" t="s">
        <v>8</v>
      </c>
      <c r="I969" s="55" t="s">
        <v>8</v>
      </c>
      <c r="J969" s="57">
        <v>169.75</v>
      </c>
      <c r="K969" s="56" t="s">
        <v>2058</v>
      </c>
      <c r="L969" s="56" t="s">
        <v>2059</v>
      </c>
      <c r="M969" s="55" t="s">
        <v>2060</v>
      </c>
      <c r="N969" s="56" t="s">
        <v>2061</v>
      </c>
      <c r="O969" s="53" t="s">
        <v>8</v>
      </c>
      <c r="P969" s="56" t="s">
        <v>2495</v>
      </c>
      <c r="Q969" s="57">
        <v>17500</v>
      </c>
      <c r="R969" s="58" t="s">
        <v>8</v>
      </c>
      <c r="S969" s="57" t="s">
        <v>8</v>
      </c>
      <c r="T969" s="56" t="s">
        <v>2063</v>
      </c>
    </row>
    <row r="970" spans="1:20">
      <c r="A970" s="55">
        <v>126879534625</v>
      </c>
      <c r="B970" s="53" t="s">
        <v>2055</v>
      </c>
      <c r="C970" s="54">
        <v>45924</v>
      </c>
      <c r="D970" s="55">
        <v>50703754452</v>
      </c>
      <c r="E970" s="55">
        <v>2078618675131</v>
      </c>
      <c r="F970" s="56" t="s">
        <v>2066</v>
      </c>
      <c r="G970" s="56" t="s">
        <v>2057</v>
      </c>
      <c r="H970" s="56" t="s">
        <v>8</v>
      </c>
      <c r="I970" s="55" t="s">
        <v>8</v>
      </c>
      <c r="J970" s="57">
        <v>1802.29</v>
      </c>
      <c r="K970" s="56" t="s">
        <v>2058</v>
      </c>
      <c r="L970" s="56" t="s">
        <v>2067</v>
      </c>
      <c r="M970" s="55" t="s">
        <v>2060</v>
      </c>
      <c r="N970" s="56" t="s">
        <v>2061</v>
      </c>
      <c r="O970" s="53" t="s">
        <v>1790</v>
      </c>
      <c r="P970" s="56" t="s">
        <v>2068</v>
      </c>
      <c r="Q970" s="57">
        <v>39698</v>
      </c>
      <c r="R970" s="58" t="s">
        <v>8</v>
      </c>
      <c r="S970" s="57" t="s">
        <v>8</v>
      </c>
      <c r="T970" s="56" t="s">
        <v>2063</v>
      </c>
    </row>
    <row r="971" spans="1:20">
      <c r="A971" s="55">
        <v>126885640855</v>
      </c>
      <c r="B971" s="53" t="s">
        <v>2055</v>
      </c>
      <c r="C971" s="54">
        <v>45924</v>
      </c>
      <c r="D971" s="55">
        <v>50706296052</v>
      </c>
      <c r="E971" s="55">
        <v>2078720612956</v>
      </c>
      <c r="F971" s="56" t="s">
        <v>2066</v>
      </c>
      <c r="G971" s="56" t="s">
        <v>2057</v>
      </c>
      <c r="H971" s="56" t="s">
        <v>8</v>
      </c>
      <c r="I971" s="55" t="s">
        <v>8</v>
      </c>
      <c r="J971" s="57">
        <v>1697.96</v>
      </c>
      <c r="K971" s="56" t="s">
        <v>2058</v>
      </c>
      <c r="L971" s="56" t="s">
        <v>2067</v>
      </c>
      <c r="M971" s="55" t="s">
        <v>2060</v>
      </c>
      <c r="N971" s="56" t="s">
        <v>2061</v>
      </c>
      <c r="O971" s="53" t="s">
        <v>1790</v>
      </c>
      <c r="P971" s="56" t="s">
        <v>2068</v>
      </c>
      <c r="Q971" s="57">
        <v>37400</v>
      </c>
      <c r="R971" s="58" t="s">
        <v>8</v>
      </c>
      <c r="S971" s="57" t="s">
        <v>8</v>
      </c>
      <c r="T971" s="56" t="s">
        <v>2063</v>
      </c>
    </row>
    <row r="972" spans="1:20">
      <c r="A972" s="55">
        <v>127446508562</v>
      </c>
      <c r="B972" s="53" t="s">
        <v>2055</v>
      </c>
      <c r="C972" s="54">
        <v>45924</v>
      </c>
      <c r="D972" s="55">
        <v>50706409773</v>
      </c>
      <c r="E972" s="55">
        <v>2078722439388</v>
      </c>
      <c r="F972" s="56" t="s">
        <v>2066</v>
      </c>
      <c r="G972" s="56" t="s">
        <v>2057</v>
      </c>
      <c r="H972" s="56" t="s">
        <v>8</v>
      </c>
      <c r="I972" s="55" t="s">
        <v>8</v>
      </c>
      <c r="J972" s="57">
        <v>1363.59</v>
      </c>
      <c r="K972" s="56" t="s">
        <v>2058</v>
      </c>
      <c r="L972" s="56" t="s">
        <v>2067</v>
      </c>
      <c r="M972" s="55" t="s">
        <v>2060</v>
      </c>
      <c r="N972" s="56" t="s">
        <v>2061</v>
      </c>
      <c r="O972" s="53" t="s">
        <v>1790</v>
      </c>
      <c r="P972" s="56" t="s">
        <v>2068</v>
      </c>
      <c r="Q972" s="57">
        <v>34697</v>
      </c>
      <c r="R972" s="58" t="s">
        <v>8</v>
      </c>
      <c r="S972" s="57" t="s">
        <v>8</v>
      </c>
      <c r="T972" s="56" t="s">
        <v>2063</v>
      </c>
    </row>
    <row r="973" spans="1:20">
      <c r="A973" s="55">
        <v>126886865607</v>
      </c>
      <c r="B973" s="53" t="s">
        <v>2055</v>
      </c>
      <c r="C973" s="54">
        <v>45924</v>
      </c>
      <c r="D973" s="55">
        <v>50706864300</v>
      </c>
      <c r="E973" s="55">
        <v>2078674643403</v>
      </c>
      <c r="F973" s="56" t="s">
        <v>2056</v>
      </c>
      <c r="G973" s="56" t="s">
        <v>2057</v>
      </c>
      <c r="H973" s="56" t="s">
        <v>8</v>
      </c>
      <c r="I973" s="55" t="s">
        <v>8</v>
      </c>
      <c r="J973" s="57">
        <v>853.59</v>
      </c>
      <c r="K973" s="56" t="s">
        <v>2058</v>
      </c>
      <c r="L973" s="56" t="s">
        <v>2059</v>
      </c>
      <c r="M973" s="55" t="s">
        <v>2060</v>
      </c>
      <c r="N973" s="56" t="s">
        <v>2061</v>
      </c>
      <c r="O973" s="53" t="s">
        <v>8</v>
      </c>
      <c r="P973" s="56" t="s">
        <v>2496</v>
      </c>
      <c r="Q973" s="57">
        <v>87999</v>
      </c>
      <c r="R973" s="58" t="s">
        <v>8</v>
      </c>
      <c r="S973" s="57" t="s">
        <v>8</v>
      </c>
      <c r="T973" s="56" t="s">
        <v>2063</v>
      </c>
    </row>
    <row r="974" spans="1:20">
      <c r="A974" s="55">
        <v>126887451621</v>
      </c>
      <c r="B974" s="53" t="s">
        <v>2055</v>
      </c>
      <c r="C974" s="54">
        <v>45924</v>
      </c>
      <c r="D974" s="55">
        <v>50707097104</v>
      </c>
      <c r="E974" s="55">
        <v>2078677844985</v>
      </c>
      <c r="F974" s="56" t="s">
        <v>2056</v>
      </c>
      <c r="G974" s="56" t="s">
        <v>2057</v>
      </c>
      <c r="H974" s="56" t="s">
        <v>8</v>
      </c>
      <c r="I974" s="55" t="s">
        <v>8</v>
      </c>
      <c r="J974" s="57">
        <v>299.70999999999998</v>
      </c>
      <c r="K974" s="56" t="s">
        <v>2058</v>
      </c>
      <c r="L974" s="56" t="s">
        <v>2059</v>
      </c>
      <c r="M974" s="55" t="s">
        <v>2060</v>
      </c>
      <c r="N974" s="56" t="s">
        <v>2061</v>
      </c>
      <c r="O974" s="53" t="s">
        <v>8</v>
      </c>
      <c r="P974" s="56" t="s">
        <v>2497</v>
      </c>
      <c r="Q974" s="57">
        <v>30898</v>
      </c>
      <c r="R974" s="58" t="s">
        <v>8</v>
      </c>
      <c r="S974" s="57" t="s">
        <v>8</v>
      </c>
      <c r="T974" s="56" t="s">
        <v>2063</v>
      </c>
    </row>
    <row r="975" spans="1:20">
      <c r="A975" s="55">
        <v>126887615459</v>
      </c>
      <c r="B975" s="53" t="s">
        <v>2055</v>
      </c>
      <c r="C975" s="54">
        <v>45924</v>
      </c>
      <c r="D975" s="55">
        <v>50707122228</v>
      </c>
      <c r="E975" s="55">
        <v>2078678403593</v>
      </c>
      <c r="F975" s="56" t="s">
        <v>2056</v>
      </c>
      <c r="G975" s="56" t="s">
        <v>2057</v>
      </c>
      <c r="H975" s="56" t="s">
        <v>8</v>
      </c>
      <c r="I975" s="55" t="s">
        <v>8</v>
      </c>
      <c r="J975" s="57">
        <v>193.98</v>
      </c>
      <c r="K975" s="56" t="s">
        <v>2058</v>
      </c>
      <c r="L975" s="56" t="s">
        <v>2059</v>
      </c>
      <c r="M975" s="55" t="s">
        <v>2060</v>
      </c>
      <c r="N975" s="56" t="s">
        <v>2061</v>
      </c>
      <c r="O975" s="53" t="s">
        <v>8</v>
      </c>
      <c r="P975" s="56" t="s">
        <v>2455</v>
      </c>
      <c r="Q975" s="57">
        <v>19998</v>
      </c>
      <c r="R975" s="58" t="s">
        <v>8</v>
      </c>
      <c r="S975" s="57" t="s">
        <v>8</v>
      </c>
      <c r="T975" s="56" t="s">
        <v>2063</v>
      </c>
    </row>
    <row r="976" spans="1:20">
      <c r="A976" s="55">
        <v>127448262384</v>
      </c>
      <c r="B976" s="53" t="s">
        <v>2055</v>
      </c>
      <c r="C976" s="54">
        <v>45924</v>
      </c>
      <c r="D976" s="55">
        <v>50707263748</v>
      </c>
      <c r="E976" s="55">
        <v>2078735810128</v>
      </c>
      <c r="F976" s="56" t="s">
        <v>2056</v>
      </c>
      <c r="G976" s="56" t="s">
        <v>2057</v>
      </c>
      <c r="H976" s="56" t="s">
        <v>8</v>
      </c>
      <c r="I976" s="55" t="s">
        <v>8</v>
      </c>
      <c r="J976" s="57">
        <v>256.99</v>
      </c>
      <c r="K976" s="56" t="s">
        <v>2058</v>
      </c>
      <c r="L976" s="56" t="s">
        <v>2059</v>
      </c>
      <c r="M976" s="55" t="s">
        <v>2060</v>
      </c>
      <c r="N976" s="56" t="s">
        <v>2061</v>
      </c>
      <c r="O976" s="53" t="s">
        <v>8</v>
      </c>
      <c r="P976" s="56" t="s">
        <v>2498</v>
      </c>
      <c r="Q976" s="57">
        <v>26494</v>
      </c>
      <c r="R976" s="58" t="s">
        <v>8</v>
      </c>
      <c r="S976" s="57" t="s">
        <v>8</v>
      </c>
      <c r="T976" s="56" t="s">
        <v>2063</v>
      </c>
    </row>
    <row r="977" spans="1:20">
      <c r="A977" s="55">
        <v>126890006531</v>
      </c>
      <c r="B977" s="53" t="s">
        <v>2055</v>
      </c>
      <c r="C977" s="54">
        <v>45925</v>
      </c>
      <c r="D977" s="55">
        <v>50708237136</v>
      </c>
      <c r="E977" s="55">
        <v>2078750971804</v>
      </c>
      <c r="F977" s="56" t="s">
        <v>2066</v>
      </c>
      <c r="G977" s="56" t="s">
        <v>2057</v>
      </c>
      <c r="H977" s="56" t="s">
        <v>8</v>
      </c>
      <c r="I977" s="55" t="s">
        <v>8</v>
      </c>
      <c r="J977" s="57">
        <v>1230.3399999999999</v>
      </c>
      <c r="K977" s="56" t="s">
        <v>2058</v>
      </c>
      <c r="L977" s="56" t="s">
        <v>2067</v>
      </c>
      <c r="M977" s="55" t="s">
        <v>2060</v>
      </c>
      <c r="N977" s="56" t="s">
        <v>2061</v>
      </c>
      <c r="O977" s="53" t="s">
        <v>1790</v>
      </c>
      <c r="P977" s="56" t="s">
        <v>2068</v>
      </c>
      <c r="Q977" s="57">
        <v>27100</v>
      </c>
      <c r="R977" s="58" t="s">
        <v>8</v>
      </c>
      <c r="S977" s="57" t="s">
        <v>8</v>
      </c>
      <c r="T977" s="56" t="s">
        <v>2063</v>
      </c>
    </row>
    <row r="978" spans="1:20">
      <c r="A978" s="55">
        <v>127450599184</v>
      </c>
      <c r="B978" s="53" t="s">
        <v>2055</v>
      </c>
      <c r="C978" s="54">
        <v>45925</v>
      </c>
      <c r="D978" s="55">
        <v>50708351421</v>
      </c>
      <c r="E978" s="55">
        <v>2078698841593</v>
      </c>
      <c r="F978" s="56" t="s">
        <v>2056</v>
      </c>
      <c r="G978" s="56" t="s">
        <v>2057</v>
      </c>
      <c r="H978" s="56" t="s">
        <v>8</v>
      </c>
      <c r="I978" s="55" t="s">
        <v>8</v>
      </c>
      <c r="J978" s="57">
        <v>190.12</v>
      </c>
      <c r="K978" s="56" t="s">
        <v>2058</v>
      </c>
      <c r="L978" s="56" t="s">
        <v>2059</v>
      </c>
      <c r="M978" s="55" t="s">
        <v>2060</v>
      </c>
      <c r="N978" s="56" t="s">
        <v>2061</v>
      </c>
      <c r="O978" s="53" t="s">
        <v>8</v>
      </c>
      <c r="P978" s="56" t="s">
        <v>2499</v>
      </c>
      <c r="Q978" s="57">
        <v>19600</v>
      </c>
      <c r="R978" s="58" t="s">
        <v>8</v>
      </c>
      <c r="S978" s="57" t="s">
        <v>8</v>
      </c>
      <c r="T978" s="56" t="s">
        <v>2063</v>
      </c>
    </row>
    <row r="979" spans="1:20">
      <c r="A979" s="55">
        <v>127451720802</v>
      </c>
      <c r="B979" s="53" t="s">
        <v>2055</v>
      </c>
      <c r="C979" s="54">
        <v>45925</v>
      </c>
      <c r="D979" s="55">
        <v>50708704141</v>
      </c>
      <c r="E979" s="55">
        <v>2078708080463</v>
      </c>
      <c r="F979" s="56" t="s">
        <v>2056</v>
      </c>
      <c r="G979" s="56" t="s">
        <v>2057</v>
      </c>
      <c r="H979" s="56" t="s">
        <v>8</v>
      </c>
      <c r="I979" s="55" t="s">
        <v>8</v>
      </c>
      <c r="J979" s="57">
        <v>349.2</v>
      </c>
      <c r="K979" s="56" t="s">
        <v>2058</v>
      </c>
      <c r="L979" s="56" t="s">
        <v>2059</v>
      </c>
      <c r="M979" s="55" t="s">
        <v>2060</v>
      </c>
      <c r="N979" s="56" t="s">
        <v>2061</v>
      </c>
      <c r="O979" s="53" t="s">
        <v>8</v>
      </c>
      <c r="P979" s="56" t="s">
        <v>2500</v>
      </c>
      <c r="Q979" s="57">
        <v>36000</v>
      </c>
      <c r="R979" s="58" t="s">
        <v>8</v>
      </c>
      <c r="S979" s="57" t="s">
        <v>8</v>
      </c>
      <c r="T979" s="56" t="s">
        <v>2063</v>
      </c>
    </row>
    <row r="980" spans="1:20">
      <c r="A980" s="55">
        <v>126987851295</v>
      </c>
      <c r="B980" s="53" t="s">
        <v>2055</v>
      </c>
      <c r="C980" s="54">
        <v>45925</v>
      </c>
      <c r="D980" s="55">
        <v>50742891645</v>
      </c>
      <c r="E980" s="55">
        <v>2079382634567</v>
      </c>
      <c r="F980" s="56" t="s">
        <v>2066</v>
      </c>
      <c r="G980" s="56" t="s">
        <v>2057</v>
      </c>
      <c r="H980" s="56" t="s">
        <v>8</v>
      </c>
      <c r="I980" s="55" t="s">
        <v>8</v>
      </c>
      <c r="J980" s="57">
        <v>408.6</v>
      </c>
      <c r="K980" s="56" t="s">
        <v>2058</v>
      </c>
      <c r="L980" s="56" t="s">
        <v>2067</v>
      </c>
      <c r="M980" s="55" t="s">
        <v>2060</v>
      </c>
      <c r="N980" s="56" t="s">
        <v>2061</v>
      </c>
      <c r="O980" s="53" t="s">
        <v>1790</v>
      </c>
      <c r="P980" s="56" t="s">
        <v>2068</v>
      </c>
      <c r="Q980" s="57">
        <v>9000</v>
      </c>
      <c r="R980" s="58" t="s">
        <v>8</v>
      </c>
      <c r="S980" s="57" t="s">
        <v>8</v>
      </c>
      <c r="T980" s="56" t="s">
        <v>2063</v>
      </c>
    </row>
    <row r="981" spans="1:20">
      <c r="A981" s="55">
        <v>127551863294</v>
      </c>
      <c r="B981" s="53" t="s">
        <v>2055</v>
      </c>
      <c r="C981" s="54">
        <v>45925</v>
      </c>
      <c r="D981" s="55">
        <v>50743955977</v>
      </c>
      <c r="E981" s="55">
        <v>2079457374222</v>
      </c>
      <c r="F981" s="56" t="s">
        <v>2066</v>
      </c>
      <c r="G981" s="56" t="s">
        <v>2057</v>
      </c>
      <c r="H981" s="56" t="s">
        <v>8</v>
      </c>
      <c r="I981" s="55" t="s">
        <v>8</v>
      </c>
      <c r="J981" s="57">
        <v>1603.44</v>
      </c>
      <c r="K981" s="56" t="s">
        <v>2058</v>
      </c>
      <c r="L981" s="56" t="s">
        <v>2067</v>
      </c>
      <c r="M981" s="55" t="s">
        <v>2060</v>
      </c>
      <c r="N981" s="56" t="s">
        <v>2061</v>
      </c>
      <c r="O981" s="53" t="s">
        <v>1790</v>
      </c>
      <c r="P981" s="56" t="s">
        <v>2068</v>
      </c>
      <c r="Q981" s="57">
        <v>40800</v>
      </c>
      <c r="R981" s="58" t="s">
        <v>8</v>
      </c>
      <c r="S981" s="57" t="s">
        <v>8</v>
      </c>
      <c r="T981" s="56" t="s">
        <v>2063</v>
      </c>
    </row>
    <row r="982" spans="1:20">
      <c r="A982" s="55">
        <v>126992616729</v>
      </c>
      <c r="B982" s="53" t="s">
        <v>2055</v>
      </c>
      <c r="C982" s="54">
        <v>45925</v>
      </c>
      <c r="D982" s="55">
        <v>50744568271</v>
      </c>
      <c r="E982" s="55">
        <v>2079413255647</v>
      </c>
      <c r="F982" s="56" t="s">
        <v>2056</v>
      </c>
      <c r="G982" s="56" t="s">
        <v>2057</v>
      </c>
      <c r="H982" s="56" t="s">
        <v>8</v>
      </c>
      <c r="I982" s="55" t="s">
        <v>8</v>
      </c>
      <c r="J982" s="57">
        <v>43.65</v>
      </c>
      <c r="K982" s="56" t="s">
        <v>2058</v>
      </c>
      <c r="L982" s="56" t="s">
        <v>2059</v>
      </c>
      <c r="M982" s="55" t="s">
        <v>2060</v>
      </c>
      <c r="N982" s="56" t="s">
        <v>2061</v>
      </c>
      <c r="O982" s="53" t="s">
        <v>8</v>
      </c>
      <c r="P982" s="56" t="s">
        <v>2386</v>
      </c>
      <c r="Q982" s="57">
        <v>4500</v>
      </c>
      <c r="R982" s="58" t="s">
        <v>8</v>
      </c>
      <c r="S982" s="57" t="s">
        <v>8</v>
      </c>
      <c r="T982" s="56" t="s">
        <v>2063</v>
      </c>
    </row>
    <row r="983" spans="1:20">
      <c r="A983" s="55">
        <v>126993096283</v>
      </c>
      <c r="B983" s="53" t="s">
        <v>2055</v>
      </c>
      <c r="C983" s="54">
        <v>45925</v>
      </c>
      <c r="D983" s="55">
        <v>50744736248</v>
      </c>
      <c r="E983" s="55">
        <v>2079416175553</v>
      </c>
      <c r="F983" s="56" t="s">
        <v>2056</v>
      </c>
      <c r="G983" s="56" t="s">
        <v>2057</v>
      </c>
      <c r="H983" s="56" t="s">
        <v>8</v>
      </c>
      <c r="I983" s="55" t="s">
        <v>8</v>
      </c>
      <c r="J983" s="57">
        <v>87.3</v>
      </c>
      <c r="K983" s="56" t="s">
        <v>2058</v>
      </c>
      <c r="L983" s="56" t="s">
        <v>2059</v>
      </c>
      <c r="M983" s="55" t="s">
        <v>2060</v>
      </c>
      <c r="N983" s="56" t="s">
        <v>2061</v>
      </c>
      <c r="O983" s="53" t="s">
        <v>8</v>
      </c>
      <c r="P983" s="56" t="s">
        <v>2437</v>
      </c>
      <c r="Q983" s="57">
        <v>9000</v>
      </c>
      <c r="R983" s="58" t="s">
        <v>8</v>
      </c>
      <c r="S983" s="57" t="s">
        <v>8</v>
      </c>
      <c r="T983" s="56" t="s">
        <v>2063</v>
      </c>
    </row>
    <row r="984" spans="1:20">
      <c r="A984" s="55">
        <v>126995125095</v>
      </c>
      <c r="B984" s="53" t="s">
        <v>2055</v>
      </c>
      <c r="C984" s="54">
        <v>45925</v>
      </c>
      <c r="D984" s="55">
        <v>50745530386</v>
      </c>
      <c r="E984" s="55">
        <v>2079431681903</v>
      </c>
      <c r="F984" s="56" t="s">
        <v>2056</v>
      </c>
      <c r="G984" s="56" t="s">
        <v>2057</v>
      </c>
      <c r="H984" s="56" t="s">
        <v>8</v>
      </c>
      <c r="I984" s="55" t="s">
        <v>8</v>
      </c>
      <c r="J984" s="57">
        <v>34.92</v>
      </c>
      <c r="K984" s="56" t="s">
        <v>2058</v>
      </c>
      <c r="L984" s="56" t="s">
        <v>2059</v>
      </c>
      <c r="M984" s="55" t="s">
        <v>2060</v>
      </c>
      <c r="N984" s="56" t="s">
        <v>2061</v>
      </c>
      <c r="O984" s="53" t="s">
        <v>8</v>
      </c>
      <c r="P984" s="56" t="s">
        <v>2474</v>
      </c>
      <c r="Q984" s="57">
        <v>3600</v>
      </c>
      <c r="R984" s="58" t="s">
        <v>8</v>
      </c>
      <c r="S984" s="57" t="s">
        <v>8</v>
      </c>
      <c r="T984" s="56" t="s">
        <v>2063</v>
      </c>
    </row>
    <row r="985" spans="1:20">
      <c r="A985" s="55">
        <v>127558376292</v>
      </c>
      <c r="B985" s="53" t="s">
        <v>2055</v>
      </c>
      <c r="C985" s="54">
        <v>45925</v>
      </c>
      <c r="D985" s="55">
        <v>50746256180</v>
      </c>
      <c r="E985" s="55">
        <v>2079501647176</v>
      </c>
      <c r="F985" s="56" t="s">
        <v>2066</v>
      </c>
      <c r="G985" s="56" t="s">
        <v>2057</v>
      </c>
      <c r="H985" s="56" t="s">
        <v>8</v>
      </c>
      <c r="I985" s="55" t="s">
        <v>8</v>
      </c>
      <c r="J985" s="57">
        <v>998.22</v>
      </c>
      <c r="K985" s="56" t="s">
        <v>2058</v>
      </c>
      <c r="L985" s="56" t="s">
        <v>2067</v>
      </c>
      <c r="M985" s="55" t="s">
        <v>2060</v>
      </c>
      <c r="N985" s="56" t="s">
        <v>2061</v>
      </c>
      <c r="O985" s="53" t="s">
        <v>1790</v>
      </c>
      <c r="P985" s="56" t="s">
        <v>2068</v>
      </c>
      <c r="Q985" s="57">
        <v>25400</v>
      </c>
      <c r="R985" s="58" t="s">
        <v>8</v>
      </c>
      <c r="S985" s="57" t="s">
        <v>8</v>
      </c>
      <c r="T985" s="56" t="s">
        <v>2063</v>
      </c>
    </row>
    <row r="986" spans="1:20">
      <c r="A986" s="55">
        <v>126997229679</v>
      </c>
      <c r="B986" s="53" t="s">
        <v>2055</v>
      </c>
      <c r="C986" s="54">
        <v>45925</v>
      </c>
      <c r="D986" s="55">
        <v>50746296538</v>
      </c>
      <c r="E986" s="55">
        <v>2079446179475</v>
      </c>
      <c r="F986" s="56" t="s">
        <v>2056</v>
      </c>
      <c r="G986" s="56" t="s">
        <v>2057</v>
      </c>
      <c r="H986" s="56" t="s">
        <v>8</v>
      </c>
      <c r="I986" s="55" t="s">
        <v>8</v>
      </c>
      <c r="J986" s="57">
        <v>53.35</v>
      </c>
      <c r="K986" s="56" t="s">
        <v>2058</v>
      </c>
      <c r="L986" s="56" t="s">
        <v>2059</v>
      </c>
      <c r="M986" s="55" t="s">
        <v>2060</v>
      </c>
      <c r="N986" s="56" t="s">
        <v>2061</v>
      </c>
      <c r="O986" s="53" t="s">
        <v>8</v>
      </c>
      <c r="P986" s="56" t="s">
        <v>2501</v>
      </c>
      <c r="Q986" s="57">
        <v>5500</v>
      </c>
      <c r="R986" s="58" t="s">
        <v>8</v>
      </c>
      <c r="S986" s="57" t="s">
        <v>8</v>
      </c>
      <c r="T986" s="56" t="s">
        <v>2063</v>
      </c>
    </row>
    <row r="987" spans="1:20">
      <c r="A987" s="55">
        <v>127559378722</v>
      </c>
      <c r="B987" s="53" t="s">
        <v>2055</v>
      </c>
      <c r="C987" s="54">
        <v>45925</v>
      </c>
      <c r="D987" s="55">
        <v>50746560743</v>
      </c>
      <c r="E987" s="55">
        <v>2079452298799</v>
      </c>
      <c r="F987" s="56" t="s">
        <v>2056</v>
      </c>
      <c r="G987" s="56" t="s">
        <v>2057</v>
      </c>
      <c r="H987" s="56" t="s">
        <v>8</v>
      </c>
      <c r="I987" s="55" t="s">
        <v>8</v>
      </c>
      <c r="J987" s="57">
        <v>43.65</v>
      </c>
      <c r="K987" s="56" t="s">
        <v>2058</v>
      </c>
      <c r="L987" s="56" t="s">
        <v>2059</v>
      </c>
      <c r="M987" s="55" t="s">
        <v>2060</v>
      </c>
      <c r="N987" s="56" t="s">
        <v>2061</v>
      </c>
      <c r="O987" s="53" t="s">
        <v>8</v>
      </c>
      <c r="P987" s="56" t="s">
        <v>2502</v>
      </c>
      <c r="Q987" s="57">
        <v>4500</v>
      </c>
      <c r="R987" s="58" t="s">
        <v>8</v>
      </c>
      <c r="S987" s="57" t="s">
        <v>8</v>
      </c>
      <c r="T987" s="56" t="s">
        <v>2063</v>
      </c>
    </row>
    <row r="988" spans="1:20">
      <c r="A988" s="55">
        <v>126998588149</v>
      </c>
      <c r="B988" s="53" t="s">
        <v>2055</v>
      </c>
      <c r="C988" s="54">
        <v>45925</v>
      </c>
      <c r="D988" s="55">
        <v>50746744380</v>
      </c>
      <c r="E988" s="55">
        <v>2079455545231</v>
      </c>
      <c r="F988" s="56" t="s">
        <v>2056</v>
      </c>
      <c r="G988" s="56" t="s">
        <v>2057</v>
      </c>
      <c r="H988" s="56" t="s">
        <v>8</v>
      </c>
      <c r="I988" s="55" t="s">
        <v>8</v>
      </c>
      <c r="J988" s="57">
        <v>174.6</v>
      </c>
      <c r="K988" s="56" t="s">
        <v>2058</v>
      </c>
      <c r="L988" s="56" t="s">
        <v>2059</v>
      </c>
      <c r="M988" s="55" t="s">
        <v>2060</v>
      </c>
      <c r="N988" s="56" t="s">
        <v>2061</v>
      </c>
      <c r="O988" s="53" t="s">
        <v>8</v>
      </c>
      <c r="P988" s="56" t="s">
        <v>2503</v>
      </c>
      <c r="Q988" s="57">
        <v>18000</v>
      </c>
      <c r="R988" s="58" t="s">
        <v>8</v>
      </c>
      <c r="S988" s="57" t="s">
        <v>8</v>
      </c>
      <c r="T988" s="56" t="s">
        <v>2063</v>
      </c>
    </row>
    <row r="989" spans="1:20">
      <c r="A989" s="55">
        <v>127560080358</v>
      </c>
      <c r="B989" s="53" t="s">
        <v>2055</v>
      </c>
      <c r="C989" s="54">
        <v>45925</v>
      </c>
      <c r="D989" s="55">
        <v>50746794021</v>
      </c>
      <c r="E989" s="55">
        <v>2079457804563</v>
      </c>
      <c r="F989" s="56" t="s">
        <v>2069</v>
      </c>
      <c r="G989" s="56" t="s">
        <v>2057</v>
      </c>
      <c r="H989" s="56" t="s">
        <v>8</v>
      </c>
      <c r="I989" s="55" t="s">
        <v>8</v>
      </c>
      <c r="J989" s="57">
        <v>43.65</v>
      </c>
      <c r="K989" s="56" t="s">
        <v>2058</v>
      </c>
      <c r="L989" s="56" t="s">
        <v>2059</v>
      </c>
      <c r="M989" s="55" t="s">
        <v>2060</v>
      </c>
      <c r="N989" s="56" t="s">
        <v>2061</v>
      </c>
      <c r="O989" s="53" t="s">
        <v>8</v>
      </c>
      <c r="P989" s="56" t="s">
        <v>2070</v>
      </c>
      <c r="Q989" s="57">
        <v>4500</v>
      </c>
      <c r="R989" s="58" t="s">
        <v>8</v>
      </c>
      <c r="S989" s="57" t="s">
        <v>8</v>
      </c>
      <c r="T989" s="56" t="s">
        <v>8</v>
      </c>
    </row>
    <row r="990" spans="1:20">
      <c r="A990" s="55">
        <v>126999420385</v>
      </c>
      <c r="B990" s="53" t="s">
        <v>2055</v>
      </c>
      <c r="C990" s="54">
        <v>45925</v>
      </c>
      <c r="D990" s="55">
        <v>50746996451</v>
      </c>
      <c r="E990" s="55">
        <v>2079461184599</v>
      </c>
      <c r="F990" s="56" t="s">
        <v>2056</v>
      </c>
      <c r="G990" s="56" t="s">
        <v>2057</v>
      </c>
      <c r="H990" s="56" t="s">
        <v>8</v>
      </c>
      <c r="I990" s="55" t="s">
        <v>8</v>
      </c>
      <c r="J990" s="57">
        <v>89.24</v>
      </c>
      <c r="K990" s="56" t="s">
        <v>2058</v>
      </c>
      <c r="L990" s="56" t="s">
        <v>2059</v>
      </c>
      <c r="M990" s="55" t="s">
        <v>2060</v>
      </c>
      <c r="N990" s="56" t="s">
        <v>2061</v>
      </c>
      <c r="O990" s="53" t="s">
        <v>8</v>
      </c>
      <c r="P990" s="56" t="s">
        <v>2504</v>
      </c>
      <c r="Q990" s="57">
        <v>9200</v>
      </c>
      <c r="R990" s="58" t="s">
        <v>8</v>
      </c>
      <c r="S990" s="57" t="s">
        <v>8</v>
      </c>
      <c r="T990" s="56" t="s">
        <v>2063</v>
      </c>
    </row>
    <row r="991" spans="1:20">
      <c r="A991" s="55">
        <v>127000155083</v>
      </c>
      <c r="B991" s="53" t="s">
        <v>2055</v>
      </c>
      <c r="C991" s="54">
        <v>45925</v>
      </c>
      <c r="D991" s="55">
        <v>50747316177</v>
      </c>
      <c r="E991" s="55">
        <v>2079524253662</v>
      </c>
      <c r="F991" s="56" t="s">
        <v>2069</v>
      </c>
      <c r="G991" s="56" t="s">
        <v>2057</v>
      </c>
      <c r="H991" s="56" t="s">
        <v>8</v>
      </c>
      <c r="I991" s="55" t="s">
        <v>8</v>
      </c>
      <c r="J991" s="57">
        <v>87.3</v>
      </c>
      <c r="K991" s="56" t="s">
        <v>2058</v>
      </c>
      <c r="L991" s="56" t="s">
        <v>2059</v>
      </c>
      <c r="M991" s="55" t="s">
        <v>2060</v>
      </c>
      <c r="N991" s="56" t="s">
        <v>2061</v>
      </c>
      <c r="O991" s="53" t="s">
        <v>8</v>
      </c>
      <c r="P991" s="56" t="s">
        <v>2070</v>
      </c>
      <c r="Q991" s="57">
        <v>9000</v>
      </c>
      <c r="R991" s="58" t="s">
        <v>8</v>
      </c>
      <c r="S991" s="57" t="s">
        <v>8</v>
      </c>
      <c r="T991" s="56" t="s">
        <v>8</v>
      </c>
    </row>
    <row r="992" spans="1:20">
      <c r="A992" s="55">
        <v>127562689912</v>
      </c>
      <c r="B992" s="53" t="s">
        <v>2055</v>
      </c>
      <c r="C992" s="54">
        <v>45925</v>
      </c>
      <c r="D992" s="55">
        <v>50747877442</v>
      </c>
      <c r="E992" s="55">
        <v>2079535585740</v>
      </c>
      <c r="F992" s="56" t="s">
        <v>2056</v>
      </c>
      <c r="G992" s="56" t="s">
        <v>2057</v>
      </c>
      <c r="H992" s="56" t="s">
        <v>8</v>
      </c>
      <c r="I992" s="55" t="s">
        <v>8</v>
      </c>
      <c r="J992" s="57">
        <v>120.28</v>
      </c>
      <c r="K992" s="56" t="s">
        <v>2058</v>
      </c>
      <c r="L992" s="56" t="s">
        <v>2059</v>
      </c>
      <c r="M992" s="55" t="s">
        <v>2060</v>
      </c>
      <c r="N992" s="56" t="s">
        <v>2061</v>
      </c>
      <c r="O992" s="53" t="s">
        <v>8</v>
      </c>
      <c r="P992" s="56" t="s">
        <v>2505</v>
      </c>
      <c r="Q992" s="57">
        <v>12400</v>
      </c>
      <c r="R992" s="58" t="s">
        <v>8</v>
      </c>
      <c r="S992" s="57" t="s">
        <v>8</v>
      </c>
      <c r="T992" s="56" t="s">
        <v>2063</v>
      </c>
    </row>
    <row r="993" spans="1:20">
      <c r="A993" s="55">
        <v>127562889506</v>
      </c>
      <c r="B993" s="53" t="s">
        <v>2055</v>
      </c>
      <c r="C993" s="54">
        <v>45925</v>
      </c>
      <c r="D993" s="55">
        <v>50747902185</v>
      </c>
      <c r="E993" s="55">
        <v>2079536216136</v>
      </c>
      <c r="F993" s="56" t="s">
        <v>2066</v>
      </c>
      <c r="G993" s="56" t="s">
        <v>2057</v>
      </c>
      <c r="H993" s="56" t="s">
        <v>8</v>
      </c>
      <c r="I993" s="55" t="s">
        <v>8</v>
      </c>
      <c r="J993" s="57">
        <v>3124.35</v>
      </c>
      <c r="K993" s="56" t="s">
        <v>2058</v>
      </c>
      <c r="L993" s="56" t="s">
        <v>2067</v>
      </c>
      <c r="M993" s="55" t="s">
        <v>2060</v>
      </c>
      <c r="N993" s="56" t="s">
        <v>2061</v>
      </c>
      <c r="O993" s="53" t="s">
        <v>1790</v>
      </c>
      <c r="P993" s="56" t="s">
        <v>2068</v>
      </c>
      <c r="Q993" s="57">
        <v>79500</v>
      </c>
      <c r="R993" s="58" t="s">
        <v>8</v>
      </c>
      <c r="S993" s="57" t="s">
        <v>8</v>
      </c>
      <c r="T993" s="56" t="s">
        <v>2063</v>
      </c>
    </row>
    <row r="994" spans="1:20">
      <c r="A994" s="55">
        <v>127562995342</v>
      </c>
      <c r="B994" s="53" t="s">
        <v>2055</v>
      </c>
      <c r="C994" s="54">
        <v>45925</v>
      </c>
      <c r="D994" s="55">
        <v>50747929849</v>
      </c>
      <c r="E994" s="55">
        <v>2079536822602</v>
      </c>
      <c r="F994" s="56" t="s">
        <v>2066</v>
      </c>
      <c r="G994" s="56" t="s">
        <v>2057</v>
      </c>
      <c r="H994" s="56" t="s">
        <v>8</v>
      </c>
      <c r="I994" s="55" t="s">
        <v>8</v>
      </c>
      <c r="J994" s="57">
        <v>903.46</v>
      </c>
      <c r="K994" s="56" t="s">
        <v>2058</v>
      </c>
      <c r="L994" s="56" t="s">
        <v>2067</v>
      </c>
      <c r="M994" s="55" t="s">
        <v>2060</v>
      </c>
      <c r="N994" s="56" t="s">
        <v>2061</v>
      </c>
      <c r="O994" s="53" t="s">
        <v>1790</v>
      </c>
      <c r="P994" s="56" t="s">
        <v>2068</v>
      </c>
      <c r="Q994" s="57">
        <v>19900</v>
      </c>
      <c r="R994" s="58" t="s">
        <v>8</v>
      </c>
      <c r="S994" s="57" t="s">
        <v>8</v>
      </c>
      <c r="T994" s="56" t="s">
        <v>2063</v>
      </c>
    </row>
    <row r="995" spans="1:20">
      <c r="A995" s="55">
        <v>127563396870</v>
      </c>
      <c r="B995" s="53" t="s">
        <v>2055</v>
      </c>
      <c r="C995" s="54">
        <v>45925</v>
      </c>
      <c r="D995" s="55">
        <v>50748093131</v>
      </c>
      <c r="E995" s="55">
        <v>2079483662101</v>
      </c>
      <c r="F995" s="56" t="s">
        <v>2056</v>
      </c>
      <c r="G995" s="56" t="s">
        <v>2057</v>
      </c>
      <c r="H995" s="56" t="s">
        <v>8</v>
      </c>
      <c r="I995" s="55" t="s">
        <v>8</v>
      </c>
      <c r="J995" s="57">
        <v>67.900000000000006</v>
      </c>
      <c r="K995" s="56" t="s">
        <v>2058</v>
      </c>
      <c r="L995" s="56" t="s">
        <v>2059</v>
      </c>
      <c r="M995" s="55" t="s">
        <v>2060</v>
      </c>
      <c r="N995" s="56" t="s">
        <v>2061</v>
      </c>
      <c r="O995" s="53" t="s">
        <v>8</v>
      </c>
      <c r="P995" s="56" t="s">
        <v>2388</v>
      </c>
      <c r="Q995" s="57">
        <v>7000</v>
      </c>
      <c r="R995" s="58" t="s">
        <v>8</v>
      </c>
      <c r="S995" s="57" t="s">
        <v>8</v>
      </c>
      <c r="T995" s="56" t="s">
        <v>2063</v>
      </c>
    </row>
    <row r="996" spans="1:20">
      <c r="A996" s="55">
        <v>127563642228</v>
      </c>
      <c r="B996" s="53" t="s">
        <v>2055</v>
      </c>
      <c r="C996" s="54">
        <v>45925</v>
      </c>
      <c r="D996" s="55">
        <v>50748200206</v>
      </c>
      <c r="E996" s="55">
        <v>2079541950722</v>
      </c>
      <c r="F996" s="56" t="s">
        <v>2056</v>
      </c>
      <c r="G996" s="56" t="s">
        <v>2057</v>
      </c>
      <c r="H996" s="56" t="s">
        <v>8</v>
      </c>
      <c r="I996" s="55" t="s">
        <v>8</v>
      </c>
      <c r="J996" s="57">
        <v>36.86</v>
      </c>
      <c r="K996" s="56" t="s">
        <v>2058</v>
      </c>
      <c r="L996" s="56" t="s">
        <v>2059</v>
      </c>
      <c r="M996" s="55" t="s">
        <v>2060</v>
      </c>
      <c r="N996" s="56" t="s">
        <v>2061</v>
      </c>
      <c r="O996" s="53" t="s">
        <v>8</v>
      </c>
      <c r="P996" s="56" t="s">
        <v>2183</v>
      </c>
      <c r="Q996" s="57">
        <v>3800</v>
      </c>
      <c r="R996" s="58" t="s">
        <v>8</v>
      </c>
      <c r="S996" s="57" t="s">
        <v>8</v>
      </c>
      <c r="T996" s="56" t="s">
        <v>2063</v>
      </c>
    </row>
    <row r="997" spans="1:20">
      <c r="A997" s="55">
        <v>127002660243</v>
      </c>
      <c r="B997" s="53" t="s">
        <v>2055</v>
      </c>
      <c r="C997" s="54">
        <v>45925</v>
      </c>
      <c r="D997" s="55">
        <v>50748240847</v>
      </c>
      <c r="E997" s="55">
        <v>2079542648504</v>
      </c>
      <c r="F997" s="56" t="s">
        <v>2056</v>
      </c>
      <c r="G997" s="56" t="s">
        <v>2057</v>
      </c>
      <c r="H997" s="56" t="s">
        <v>8</v>
      </c>
      <c r="I997" s="55" t="s">
        <v>8</v>
      </c>
      <c r="J997" s="57">
        <v>36.86</v>
      </c>
      <c r="K997" s="56" t="s">
        <v>2058</v>
      </c>
      <c r="L997" s="56" t="s">
        <v>2059</v>
      </c>
      <c r="M997" s="55" t="s">
        <v>2060</v>
      </c>
      <c r="N997" s="56" t="s">
        <v>2061</v>
      </c>
      <c r="O997" s="53" t="s">
        <v>8</v>
      </c>
      <c r="P997" s="56" t="s">
        <v>2506</v>
      </c>
      <c r="Q997" s="57">
        <v>3800</v>
      </c>
      <c r="R997" s="58" t="s">
        <v>8</v>
      </c>
      <c r="S997" s="57" t="s">
        <v>8</v>
      </c>
      <c r="T997" s="56" t="s">
        <v>2063</v>
      </c>
    </row>
    <row r="998" spans="1:20">
      <c r="A998" s="55">
        <v>127002777527</v>
      </c>
      <c r="B998" s="53" t="s">
        <v>2055</v>
      </c>
      <c r="C998" s="54">
        <v>45925</v>
      </c>
      <c r="D998" s="55">
        <v>50748386198</v>
      </c>
      <c r="E998" s="55">
        <v>2079489054253</v>
      </c>
      <c r="F998" s="56" t="s">
        <v>2056</v>
      </c>
      <c r="G998" s="56" t="s">
        <v>2057</v>
      </c>
      <c r="H998" s="56" t="s">
        <v>8</v>
      </c>
      <c r="I998" s="55" t="s">
        <v>8</v>
      </c>
      <c r="J998" s="57">
        <v>73.349999999999994</v>
      </c>
      <c r="K998" s="56" t="s">
        <v>2058</v>
      </c>
      <c r="L998" s="56" t="s">
        <v>2059</v>
      </c>
      <c r="M998" s="55" t="s">
        <v>2060</v>
      </c>
      <c r="N998" s="56" t="s">
        <v>2061</v>
      </c>
      <c r="O998" s="53" t="s">
        <v>8</v>
      </c>
      <c r="P998" s="56" t="s">
        <v>2507</v>
      </c>
      <c r="Q998" s="57">
        <v>4500</v>
      </c>
      <c r="R998" s="58" t="s">
        <v>8</v>
      </c>
      <c r="S998" s="57" t="s">
        <v>8</v>
      </c>
      <c r="T998" s="56" t="s">
        <v>2063</v>
      </c>
    </row>
    <row r="999" spans="1:20">
      <c r="A999" s="55">
        <v>127003432415</v>
      </c>
      <c r="B999" s="53" t="s">
        <v>2055</v>
      </c>
      <c r="C999" s="54">
        <v>45925</v>
      </c>
      <c r="D999" s="55">
        <v>50748585377</v>
      </c>
      <c r="E999" s="55">
        <v>2079549302542</v>
      </c>
      <c r="F999" s="56" t="s">
        <v>2056</v>
      </c>
      <c r="G999" s="56" t="s">
        <v>2057</v>
      </c>
      <c r="H999" s="56" t="s">
        <v>8</v>
      </c>
      <c r="I999" s="55" t="s">
        <v>8</v>
      </c>
      <c r="J999" s="57">
        <v>81.48</v>
      </c>
      <c r="K999" s="56" t="s">
        <v>2058</v>
      </c>
      <c r="L999" s="56" t="s">
        <v>2059</v>
      </c>
      <c r="M999" s="55" t="s">
        <v>2060</v>
      </c>
      <c r="N999" s="56" t="s">
        <v>2061</v>
      </c>
      <c r="O999" s="53" t="s">
        <v>8</v>
      </c>
      <c r="P999" s="56" t="s">
        <v>2508</v>
      </c>
      <c r="Q999" s="57">
        <v>8400</v>
      </c>
      <c r="R999" s="58" t="s">
        <v>8</v>
      </c>
      <c r="S999" s="57" t="s">
        <v>8</v>
      </c>
      <c r="T999" s="56" t="s">
        <v>2063</v>
      </c>
    </row>
    <row r="1000" spans="1:20">
      <c r="A1000" s="55">
        <v>127564523660</v>
      </c>
      <c r="B1000" s="53" t="s">
        <v>2055</v>
      </c>
      <c r="C1000" s="54">
        <v>45925</v>
      </c>
      <c r="D1000" s="55">
        <v>50748695105</v>
      </c>
      <c r="E1000" s="55">
        <v>2079493674823</v>
      </c>
      <c r="F1000" s="56" t="s">
        <v>2056</v>
      </c>
      <c r="G1000" s="56" t="s">
        <v>2057</v>
      </c>
      <c r="H1000" s="56" t="s">
        <v>8</v>
      </c>
      <c r="I1000" s="55" t="s">
        <v>8</v>
      </c>
      <c r="J1000" s="57">
        <v>38.799999999999997</v>
      </c>
      <c r="K1000" s="56" t="s">
        <v>2058</v>
      </c>
      <c r="L1000" s="56" t="s">
        <v>2059</v>
      </c>
      <c r="M1000" s="55" t="s">
        <v>2060</v>
      </c>
      <c r="N1000" s="56" t="s">
        <v>2061</v>
      </c>
      <c r="O1000" s="53" t="s">
        <v>8</v>
      </c>
      <c r="P1000" s="56" t="s">
        <v>2509</v>
      </c>
      <c r="Q1000" s="57">
        <v>4000</v>
      </c>
      <c r="R1000" s="58" t="s">
        <v>8</v>
      </c>
      <c r="S1000" s="57" t="s">
        <v>8</v>
      </c>
      <c r="T1000" s="56" t="s">
        <v>2063</v>
      </c>
    </row>
    <row r="1001" spans="1:20">
      <c r="A1001" s="55">
        <v>127564884982</v>
      </c>
      <c r="B1001" s="53" t="s">
        <v>2055</v>
      </c>
      <c r="C1001" s="54">
        <v>45925</v>
      </c>
      <c r="D1001" s="55">
        <v>50748732988</v>
      </c>
      <c r="E1001" s="55">
        <v>2079552511194</v>
      </c>
      <c r="F1001" s="56" t="s">
        <v>2056</v>
      </c>
      <c r="G1001" s="56" t="s">
        <v>2057</v>
      </c>
      <c r="H1001" s="56" t="s">
        <v>8</v>
      </c>
      <c r="I1001" s="55" t="s">
        <v>8</v>
      </c>
      <c r="J1001" s="57">
        <v>1270.7</v>
      </c>
      <c r="K1001" s="56" t="s">
        <v>2058</v>
      </c>
      <c r="L1001" s="56" t="s">
        <v>2059</v>
      </c>
      <c r="M1001" s="55" t="s">
        <v>2060</v>
      </c>
      <c r="N1001" s="56" t="s">
        <v>2061</v>
      </c>
      <c r="O1001" s="53" t="s">
        <v>8</v>
      </c>
      <c r="P1001" s="56" t="s">
        <v>2510</v>
      </c>
      <c r="Q1001" s="57">
        <v>131000</v>
      </c>
      <c r="R1001" s="58" t="s">
        <v>8</v>
      </c>
      <c r="S1001" s="57" t="s">
        <v>8</v>
      </c>
      <c r="T1001" s="56" t="s">
        <v>2063</v>
      </c>
    </row>
    <row r="1002" spans="1:20">
      <c r="A1002" s="55">
        <v>127003793721</v>
      </c>
      <c r="B1002" s="53" t="s">
        <v>2055</v>
      </c>
      <c r="C1002" s="54">
        <v>45925</v>
      </c>
      <c r="D1002" s="55">
        <v>50748775752</v>
      </c>
      <c r="E1002" s="55">
        <v>2079553207690</v>
      </c>
      <c r="F1002" s="56" t="s">
        <v>2066</v>
      </c>
      <c r="G1002" s="56" t="s">
        <v>2057</v>
      </c>
      <c r="H1002" s="56" t="s">
        <v>8</v>
      </c>
      <c r="I1002" s="55" t="s">
        <v>8</v>
      </c>
      <c r="J1002" s="57">
        <v>204.3</v>
      </c>
      <c r="K1002" s="56" t="s">
        <v>2058</v>
      </c>
      <c r="L1002" s="56" t="s">
        <v>2067</v>
      </c>
      <c r="M1002" s="55" t="s">
        <v>2060</v>
      </c>
      <c r="N1002" s="56" t="s">
        <v>2061</v>
      </c>
      <c r="O1002" s="53" t="s">
        <v>1790</v>
      </c>
      <c r="P1002" s="56" t="s">
        <v>2068</v>
      </c>
      <c r="Q1002" s="57">
        <v>4500</v>
      </c>
      <c r="R1002" s="58" t="s">
        <v>8</v>
      </c>
      <c r="S1002" s="57" t="s">
        <v>8</v>
      </c>
      <c r="T1002" s="56" t="s">
        <v>2063</v>
      </c>
    </row>
    <row r="1003" spans="1:20">
      <c r="A1003" s="55">
        <v>127004006243</v>
      </c>
      <c r="B1003" s="53" t="s">
        <v>2055</v>
      </c>
      <c r="C1003" s="54">
        <v>45925</v>
      </c>
      <c r="D1003" s="55">
        <v>50748784002</v>
      </c>
      <c r="E1003" s="55">
        <v>2079497409479</v>
      </c>
      <c r="F1003" s="56" t="s">
        <v>2056</v>
      </c>
      <c r="G1003" s="56" t="s">
        <v>2057</v>
      </c>
      <c r="H1003" s="56" t="s">
        <v>8</v>
      </c>
      <c r="I1003" s="55" t="s">
        <v>8</v>
      </c>
      <c r="J1003" s="57">
        <v>43.65</v>
      </c>
      <c r="K1003" s="56" t="s">
        <v>2058</v>
      </c>
      <c r="L1003" s="56" t="s">
        <v>2059</v>
      </c>
      <c r="M1003" s="55" t="s">
        <v>2060</v>
      </c>
      <c r="N1003" s="56" t="s">
        <v>2061</v>
      </c>
      <c r="O1003" s="53" t="s">
        <v>8</v>
      </c>
      <c r="P1003" s="56" t="s">
        <v>2511</v>
      </c>
      <c r="Q1003" s="57">
        <v>4500</v>
      </c>
      <c r="R1003" s="58" t="s">
        <v>8</v>
      </c>
      <c r="S1003" s="57" t="s">
        <v>8</v>
      </c>
      <c r="T1003" s="56" t="s">
        <v>2063</v>
      </c>
    </row>
    <row r="1004" spans="1:20">
      <c r="A1004" s="55">
        <v>127004301425</v>
      </c>
      <c r="B1004" s="53" t="s">
        <v>2055</v>
      </c>
      <c r="C1004" s="54">
        <v>45925</v>
      </c>
      <c r="D1004" s="55">
        <v>50748991236</v>
      </c>
      <c r="E1004" s="55">
        <v>2079557632552</v>
      </c>
      <c r="F1004" s="56" t="s">
        <v>2056</v>
      </c>
      <c r="G1004" s="56" t="s">
        <v>2057</v>
      </c>
      <c r="H1004" s="56" t="s">
        <v>8</v>
      </c>
      <c r="I1004" s="55" t="s">
        <v>8</v>
      </c>
      <c r="J1004" s="57">
        <v>39.29</v>
      </c>
      <c r="K1004" s="56" t="s">
        <v>2058</v>
      </c>
      <c r="L1004" s="56" t="s">
        <v>2059</v>
      </c>
      <c r="M1004" s="55" t="s">
        <v>2060</v>
      </c>
      <c r="N1004" s="56" t="s">
        <v>2061</v>
      </c>
      <c r="O1004" s="53" t="s">
        <v>8</v>
      </c>
      <c r="P1004" s="56" t="s">
        <v>2512</v>
      </c>
      <c r="Q1004" s="57">
        <v>4050</v>
      </c>
      <c r="R1004" s="58" t="s">
        <v>8</v>
      </c>
      <c r="S1004" s="57" t="s">
        <v>8</v>
      </c>
      <c r="T1004" s="56" t="s">
        <v>2063</v>
      </c>
    </row>
    <row r="1005" spans="1:20">
      <c r="A1005" s="55">
        <v>127565988078</v>
      </c>
      <c r="B1005" s="53" t="s">
        <v>2055</v>
      </c>
      <c r="C1005" s="54">
        <v>45925</v>
      </c>
      <c r="D1005" s="55">
        <v>50749200442</v>
      </c>
      <c r="E1005" s="55">
        <v>2079561837356</v>
      </c>
      <c r="F1005" s="56" t="s">
        <v>2056</v>
      </c>
      <c r="G1005" s="56" t="s">
        <v>2057</v>
      </c>
      <c r="H1005" s="56" t="s">
        <v>8</v>
      </c>
      <c r="I1005" s="55" t="s">
        <v>8</v>
      </c>
      <c r="J1005" s="57">
        <v>236.68</v>
      </c>
      <c r="K1005" s="56" t="s">
        <v>2058</v>
      </c>
      <c r="L1005" s="56" t="s">
        <v>2059</v>
      </c>
      <c r="M1005" s="55" t="s">
        <v>2060</v>
      </c>
      <c r="N1005" s="56" t="s">
        <v>2061</v>
      </c>
      <c r="O1005" s="53" t="s">
        <v>8</v>
      </c>
      <c r="P1005" s="56" t="s">
        <v>2183</v>
      </c>
      <c r="Q1005" s="57">
        <v>24400</v>
      </c>
      <c r="R1005" s="58" t="s">
        <v>8</v>
      </c>
      <c r="S1005" s="57" t="s">
        <v>8</v>
      </c>
      <c r="T1005" s="56" t="s">
        <v>2063</v>
      </c>
    </row>
    <row r="1006" spans="1:20">
      <c r="A1006" s="55">
        <v>127005216387</v>
      </c>
      <c r="B1006" s="53" t="s">
        <v>2055</v>
      </c>
      <c r="C1006" s="54">
        <v>45925</v>
      </c>
      <c r="D1006" s="55">
        <v>50749302133</v>
      </c>
      <c r="E1006" s="55">
        <v>2079507792269</v>
      </c>
      <c r="F1006" s="56" t="s">
        <v>2066</v>
      </c>
      <c r="G1006" s="56" t="s">
        <v>2057</v>
      </c>
      <c r="H1006" s="56" t="s">
        <v>8</v>
      </c>
      <c r="I1006" s="55" t="s">
        <v>8</v>
      </c>
      <c r="J1006" s="57">
        <v>385.9</v>
      </c>
      <c r="K1006" s="56" t="s">
        <v>2058</v>
      </c>
      <c r="L1006" s="56" t="s">
        <v>2067</v>
      </c>
      <c r="M1006" s="55" t="s">
        <v>2060</v>
      </c>
      <c r="N1006" s="56" t="s">
        <v>2061</v>
      </c>
      <c r="O1006" s="53" t="s">
        <v>1790</v>
      </c>
      <c r="P1006" s="56" t="s">
        <v>2068</v>
      </c>
      <c r="Q1006" s="57">
        <v>8500</v>
      </c>
      <c r="R1006" s="58" t="s">
        <v>8</v>
      </c>
      <c r="S1006" s="57" t="s">
        <v>8</v>
      </c>
      <c r="T1006" s="56" t="s">
        <v>2063</v>
      </c>
    </row>
    <row r="1007" spans="1:20">
      <c r="A1007" s="55">
        <v>127005490421</v>
      </c>
      <c r="B1007" s="53" t="s">
        <v>2055</v>
      </c>
      <c r="C1007" s="54">
        <v>45925</v>
      </c>
      <c r="D1007" s="55">
        <v>50749466881</v>
      </c>
      <c r="E1007" s="55">
        <v>2079566761702</v>
      </c>
      <c r="F1007" s="56" t="s">
        <v>2056</v>
      </c>
      <c r="G1007" s="56" t="s">
        <v>2057</v>
      </c>
      <c r="H1007" s="56" t="s">
        <v>8</v>
      </c>
      <c r="I1007" s="55" t="s">
        <v>8</v>
      </c>
      <c r="J1007" s="57">
        <v>48.5</v>
      </c>
      <c r="K1007" s="56" t="s">
        <v>2058</v>
      </c>
      <c r="L1007" s="56" t="s">
        <v>2059</v>
      </c>
      <c r="M1007" s="55" t="s">
        <v>2060</v>
      </c>
      <c r="N1007" s="56" t="s">
        <v>2061</v>
      </c>
      <c r="O1007" s="53" t="s">
        <v>8</v>
      </c>
      <c r="P1007" s="56" t="s">
        <v>2277</v>
      </c>
      <c r="Q1007" s="57">
        <v>5000</v>
      </c>
      <c r="R1007" s="58" t="s">
        <v>8</v>
      </c>
      <c r="S1007" s="57" t="s">
        <v>8</v>
      </c>
      <c r="T1007" s="56" t="s">
        <v>2063</v>
      </c>
    </row>
    <row r="1008" spans="1:20">
      <c r="A1008" s="55">
        <v>127005540781</v>
      </c>
      <c r="B1008" s="53" t="s">
        <v>2055</v>
      </c>
      <c r="C1008" s="54">
        <v>45925</v>
      </c>
      <c r="D1008" s="55">
        <v>50749479503</v>
      </c>
      <c r="E1008" s="55">
        <v>2079567559892</v>
      </c>
      <c r="F1008" s="56" t="s">
        <v>2069</v>
      </c>
      <c r="G1008" s="56" t="s">
        <v>2057</v>
      </c>
      <c r="H1008" s="56" t="s">
        <v>8</v>
      </c>
      <c r="I1008" s="55" t="s">
        <v>8</v>
      </c>
      <c r="J1008" s="57">
        <v>48.5</v>
      </c>
      <c r="K1008" s="56" t="s">
        <v>2058</v>
      </c>
      <c r="L1008" s="56" t="s">
        <v>2059</v>
      </c>
      <c r="M1008" s="55" t="s">
        <v>2060</v>
      </c>
      <c r="N1008" s="56" t="s">
        <v>2061</v>
      </c>
      <c r="O1008" s="53" t="s">
        <v>8</v>
      </c>
      <c r="P1008" s="56" t="s">
        <v>2070</v>
      </c>
      <c r="Q1008" s="57">
        <v>5000</v>
      </c>
      <c r="R1008" s="58" t="s">
        <v>8</v>
      </c>
      <c r="S1008" s="57" t="s">
        <v>8</v>
      </c>
      <c r="T1008" s="56" t="s">
        <v>8</v>
      </c>
    </row>
    <row r="1009" spans="1:20">
      <c r="A1009" s="55">
        <v>127006095161</v>
      </c>
      <c r="B1009" s="53" t="s">
        <v>2055</v>
      </c>
      <c r="C1009" s="54">
        <v>45925</v>
      </c>
      <c r="D1009" s="55">
        <v>50749710937</v>
      </c>
      <c r="E1009" s="55">
        <v>2079514880125</v>
      </c>
      <c r="F1009" s="56" t="s">
        <v>2056</v>
      </c>
      <c r="G1009" s="56" t="s">
        <v>2057</v>
      </c>
      <c r="H1009" s="56" t="s">
        <v>8</v>
      </c>
      <c r="I1009" s="55" t="s">
        <v>8</v>
      </c>
      <c r="J1009" s="57">
        <v>17.46</v>
      </c>
      <c r="K1009" s="56" t="s">
        <v>2058</v>
      </c>
      <c r="L1009" s="56" t="s">
        <v>2059</v>
      </c>
      <c r="M1009" s="55" t="s">
        <v>2060</v>
      </c>
      <c r="N1009" s="56" t="s">
        <v>2061</v>
      </c>
      <c r="O1009" s="53" t="s">
        <v>8</v>
      </c>
      <c r="P1009" s="56" t="s">
        <v>2509</v>
      </c>
      <c r="Q1009" s="57">
        <v>1800</v>
      </c>
      <c r="R1009" s="58" t="s">
        <v>8</v>
      </c>
      <c r="S1009" s="57" t="s">
        <v>8</v>
      </c>
      <c r="T1009" s="56" t="s">
        <v>2063</v>
      </c>
    </row>
    <row r="1010" spans="1:20">
      <c r="A1010" s="55">
        <v>127567646980</v>
      </c>
      <c r="B1010" s="53" t="s">
        <v>2055</v>
      </c>
      <c r="C1010" s="54">
        <v>45925</v>
      </c>
      <c r="D1010" s="55">
        <v>50749869636</v>
      </c>
      <c r="E1010" s="55">
        <v>2079573976224</v>
      </c>
      <c r="F1010" s="56" t="s">
        <v>2056</v>
      </c>
      <c r="G1010" s="56" t="s">
        <v>2057</v>
      </c>
      <c r="H1010" s="56" t="s">
        <v>8</v>
      </c>
      <c r="I1010" s="55" t="s">
        <v>8</v>
      </c>
      <c r="J1010" s="57">
        <v>34.92</v>
      </c>
      <c r="K1010" s="56" t="s">
        <v>2058</v>
      </c>
      <c r="L1010" s="56" t="s">
        <v>2059</v>
      </c>
      <c r="M1010" s="55" t="s">
        <v>2060</v>
      </c>
      <c r="N1010" s="56" t="s">
        <v>2061</v>
      </c>
      <c r="O1010" s="53" t="s">
        <v>8</v>
      </c>
      <c r="P1010" s="56" t="s">
        <v>2513</v>
      </c>
      <c r="Q1010" s="57">
        <v>3600</v>
      </c>
      <c r="R1010" s="58" t="s">
        <v>8</v>
      </c>
      <c r="S1010" s="57" t="s">
        <v>8</v>
      </c>
      <c r="T1010" s="56" t="s">
        <v>2063</v>
      </c>
    </row>
    <row r="1011" spans="1:20">
      <c r="A1011" s="55">
        <v>127007093447</v>
      </c>
      <c r="B1011" s="53" t="s">
        <v>2055</v>
      </c>
      <c r="C1011" s="54">
        <v>45925</v>
      </c>
      <c r="D1011" s="55">
        <v>50750108883</v>
      </c>
      <c r="E1011" s="55">
        <v>2079578542290</v>
      </c>
      <c r="F1011" s="56" t="s">
        <v>2056</v>
      </c>
      <c r="G1011" s="56" t="s">
        <v>2057</v>
      </c>
      <c r="H1011" s="56" t="s">
        <v>8</v>
      </c>
      <c r="I1011" s="55" t="s">
        <v>8</v>
      </c>
      <c r="J1011" s="57">
        <v>587.82000000000005</v>
      </c>
      <c r="K1011" s="56" t="s">
        <v>2058</v>
      </c>
      <c r="L1011" s="56" t="s">
        <v>2059</v>
      </c>
      <c r="M1011" s="55" t="s">
        <v>2060</v>
      </c>
      <c r="N1011" s="56" t="s">
        <v>2061</v>
      </c>
      <c r="O1011" s="53" t="s">
        <v>8</v>
      </c>
      <c r="P1011" s="56" t="s">
        <v>2514</v>
      </c>
      <c r="Q1011" s="57">
        <v>60600</v>
      </c>
      <c r="R1011" s="58" t="s">
        <v>8</v>
      </c>
      <c r="S1011" s="57" t="s">
        <v>8</v>
      </c>
      <c r="T1011" s="56" t="s">
        <v>2063</v>
      </c>
    </row>
    <row r="1012" spans="1:20">
      <c r="A1012" s="55">
        <v>127007204939</v>
      </c>
      <c r="B1012" s="53" t="s">
        <v>2055</v>
      </c>
      <c r="C1012" s="54">
        <v>45925</v>
      </c>
      <c r="D1012" s="55">
        <v>50750133601</v>
      </c>
      <c r="E1012" s="55">
        <v>2079579009870</v>
      </c>
      <c r="F1012" s="56" t="s">
        <v>2056</v>
      </c>
      <c r="G1012" s="56" t="s">
        <v>2057</v>
      </c>
      <c r="H1012" s="56" t="s">
        <v>8</v>
      </c>
      <c r="I1012" s="55" t="s">
        <v>8</v>
      </c>
      <c r="J1012" s="57">
        <v>43.65</v>
      </c>
      <c r="K1012" s="56" t="s">
        <v>2058</v>
      </c>
      <c r="L1012" s="56" t="s">
        <v>2059</v>
      </c>
      <c r="M1012" s="55" t="s">
        <v>2060</v>
      </c>
      <c r="N1012" s="56" t="s">
        <v>2061</v>
      </c>
      <c r="O1012" s="53" t="s">
        <v>8</v>
      </c>
      <c r="P1012" s="56" t="s">
        <v>2511</v>
      </c>
      <c r="Q1012" s="57">
        <v>4500</v>
      </c>
      <c r="R1012" s="58" t="s">
        <v>8</v>
      </c>
      <c r="S1012" s="57" t="s">
        <v>8</v>
      </c>
      <c r="T1012" s="56" t="s">
        <v>2063</v>
      </c>
    </row>
    <row r="1013" spans="1:20">
      <c r="A1013" s="55">
        <v>127568624334</v>
      </c>
      <c r="B1013" s="53" t="s">
        <v>2055</v>
      </c>
      <c r="C1013" s="54">
        <v>45925</v>
      </c>
      <c r="D1013" s="55">
        <v>50750244518</v>
      </c>
      <c r="E1013" s="55">
        <v>2079580301644</v>
      </c>
      <c r="F1013" s="56" t="s">
        <v>2066</v>
      </c>
      <c r="G1013" s="56" t="s">
        <v>2057</v>
      </c>
      <c r="H1013" s="56" t="s">
        <v>8</v>
      </c>
      <c r="I1013" s="55" t="s">
        <v>8</v>
      </c>
      <c r="J1013" s="57">
        <v>168.99</v>
      </c>
      <c r="K1013" s="56" t="s">
        <v>2058</v>
      </c>
      <c r="L1013" s="56" t="s">
        <v>2067</v>
      </c>
      <c r="M1013" s="55" t="s">
        <v>2060</v>
      </c>
      <c r="N1013" s="56" t="s">
        <v>2061</v>
      </c>
      <c r="O1013" s="53" t="s">
        <v>1790</v>
      </c>
      <c r="P1013" s="56" t="s">
        <v>2068</v>
      </c>
      <c r="Q1013" s="57">
        <v>4300</v>
      </c>
      <c r="R1013" s="58" t="s">
        <v>8</v>
      </c>
      <c r="S1013" s="57" t="s">
        <v>8</v>
      </c>
      <c r="T1013" s="56" t="s">
        <v>2063</v>
      </c>
    </row>
    <row r="1014" spans="1:20">
      <c r="A1014" s="55">
        <v>127568666708</v>
      </c>
      <c r="B1014" s="53" t="s">
        <v>2055</v>
      </c>
      <c r="C1014" s="54">
        <v>45925</v>
      </c>
      <c r="D1014" s="55">
        <v>50750267131</v>
      </c>
      <c r="E1014" s="55">
        <v>2079580968452</v>
      </c>
      <c r="F1014" s="56" t="s">
        <v>2069</v>
      </c>
      <c r="G1014" s="56" t="s">
        <v>2057</v>
      </c>
      <c r="H1014" s="56" t="s">
        <v>8</v>
      </c>
      <c r="I1014" s="55" t="s">
        <v>8</v>
      </c>
      <c r="J1014" s="57">
        <v>87.3</v>
      </c>
      <c r="K1014" s="56" t="s">
        <v>2058</v>
      </c>
      <c r="L1014" s="56" t="s">
        <v>2059</v>
      </c>
      <c r="M1014" s="55" t="s">
        <v>2060</v>
      </c>
      <c r="N1014" s="56" t="s">
        <v>2061</v>
      </c>
      <c r="O1014" s="53" t="s">
        <v>8</v>
      </c>
      <c r="P1014" s="56" t="s">
        <v>2070</v>
      </c>
      <c r="Q1014" s="57">
        <v>9000</v>
      </c>
      <c r="R1014" s="58" t="s">
        <v>8</v>
      </c>
      <c r="S1014" s="57" t="s">
        <v>8</v>
      </c>
      <c r="T1014" s="56" t="s">
        <v>8</v>
      </c>
    </row>
    <row r="1015" spans="1:20">
      <c r="A1015" s="55">
        <v>127007460091</v>
      </c>
      <c r="B1015" s="53" t="s">
        <v>2055</v>
      </c>
      <c r="C1015" s="54">
        <v>45925</v>
      </c>
      <c r="D1015" s="55">
        <v>50750290020</v>
      </c>
      <c r="E1015" s="55">
        <v>2079581708964</v>
      </c>
      <c r="F1015" s="56" t="s">
        <v>2069</v>
      </c>
      <c r="G1015" s="56" t="s">
        <v>2057</v>
      </c>
      <c r="H1015" s="56" t="s">
        <v>8</v>
      </c>
      <c r="I1015" s="55" t="s">
        <v>8</v>
      </c>
      <c r="J1015" s="57">
        <v>206.61</v>
      </c>
      <c r="K1015" s="56" t="s">
        <v>2058</v>
      </c>
      <c r="L1015" s="56" t="s">
        <v>2059</v>
      </c>
      <c r="M1015" s="55" t="s">
        <v>2060</v>
      </c>
      <c r="N1015" s="56" t="s">
        <v>2061</v>
      </c>
      <c r="O1015" s="53" t="s">
        <v>8</v>
      </c>
      <c r="P1015" s="56" t="s">
        <v>2070</v>
      </c>
      <c r="Q1015" s="57">
        <v>21300</v>
      </c>
      <c r="R1015" s="58" t="s">
        <v>8</v>
      </c>
      <c r="S1015" s="57" t="s">
        <v>8</v>
      </c>
      <c r="T1015" s="56" t="s">
        <v>8</v>
      </c>
    </row>
    <row r="1016" spans="1:20">
      <c r="A1016" s="55">
        <v>127568899816</v>
      </c>
      <c r="B1016" s="53" t="s">
        <v>2055</v>
      </c>
      <c r="C1016" s="54">
        <v>45925</v>
      </c>
      <c r="D1016" s="55">
        <v>50750363046</v>
      </c>
      <c r="E1016" s="55">
        <v>2079526971771</v>
      </c>
      <c r="F1016" s="56" t="s">
        <v>2056</v>
      </c>
      <c r="G1016" s="56" t="s">
        <v>2057</v>
      </c>
      <c r="H1016" s="56" t="s">
        <v>8</v>
      </c>
      <c r="I1016" s="55" t="s">
        <v>8</v>
      </c>
      <c r="J1016" s="57">
        <v>34.92</v>
      </c>
      <c r="K1016" s="56" t="s">
        <v>2058</v>
      </c>
      <c r="L1016" s="56" t="s">
        <v>2059</v>
      </c>
      <c r="M1016" s="55" t="s">
        <v>2060</v>
      </c>
      <c r="N1016" s="56" t="s">
        <v>2061</v>
      </c>
      <c r="O1016" s="53" t="s">
        <v>8</v>
      </c>
      <c r="P1016" s="56" t="s">
        <v>2347</v>
      </c>
      <c r="Q1016" s="57">
        <v>3600</v>
      </c>
      <c r="R1016" s="58" t="s">
        <v>8</v>
      </c>
      <c r="S1016" s="57" t="s">
        <v>8</v>
      </c>
      <c r="T1016" s="56" t="s">
        <v>2063</v>
      </c>
    </row>
    <row r="1017" spans="1:20">
      <c r="A1017" s="55">
        <v>127568769746</v>
      </c>
      <c r="B1017" s="53" t="s">
        <v>2055</v>
      </c>
      <c r="C1017" s="54">
        <v>45925</v>
      </c>
      <c r="D1017" s="55">
        <v>50750366071</v>
      </c>
      <c r="E1017" s="55">
        <v>2079526274979</v>
      </c>
      <c r="F1017" s="56" t="s">
        <v>2056</v>
      </c>
      <c r="G1017" s="56" t="s">
        <v>2057</v>
      </c>
      <c r="H1017" s="56" t="s">
        <v>8</v>
      </c>
      <c r="I1017" s="55" t="s">
        <v>8</v>
      </c>
      <c r="J1017" s="57">
        <v>387.03</v>
      </c>
      <c r="K1017" s="56" t="s">
        <v>2058</v>
      </c>
      <c r="L1017" s="56" t="s">
        <v>2059</v>
      </c>
      <c r="M1017" s="55" t="s">
        <v>2060</v>
      </c>
      <c r="N1017" s="56" t="s">
        <v>2061</v>
      </c>
      <c r="O1017" s="53" t="s">
        <v>8</v>
      </c>
      <c r="P1017" s="56" t="s">
        <v>2515</v>
      </c>
      <c r="Q1017" s="57">
        <v>39900</v>
      </c>
      <c r="R1017" s="58" t="s">
        <v>8</v>
      </c>
      <c r="S1017" s="57" t="s">
        <v>8</v>
      </c>
      <c r="T1017" s="56" t="s">
        <v>2063</v>
      </c>
    </row>
    <row r="1018" spans="1:20">
      <c r="A1018" s="55">
        <v>127007916917</v>
      </c>
      <c r="B1018" s="53" t="s">
        <v>2055</v>
      </c>
      <c r="C1018" s="54">
        <v>45925</v>
      </c>
      <c r="D1018" s="55">
        <v>50750433828</v>
      </c>
      <c r="E1018" s="55">
        <v>2079584447024</v>
      </c>
      <c r="F1018" s="56" t="s">
        <v>2056</v>
      </c>
      <c r="G1018" s="56" t="s">
        <v>2057</v>
      </c>
      <c r="H1018" s="56" t="s">
        <v>8</v>
      </c>
      <c r="I1018" s="55" t="s">
        <v>8</v>
      </c>
      <c r="J1018" s="57">
        <v>92.15</v>
      </c>
      <c r="K1018" s="56" t="s">
        <v>2058</v>
      </c>
      <c r="L1018" s="56" t="s">
        <v>2059</v>
      </c>
      <c r="M1018" s="55" t="s">
        <v>2060</v>
      </c>
      <c r="N1018" s="56" t="s">
        <v>2061</v>
      </c>
      <c r="O1018" s="53" t="s">
        <v>8</v>
      </c>
      <c r="P1018" s="56" t="s">
        <v>2277</v>
      </c>
      <c r="Q1018" s="57">
        <v>9500</v>
      </c>
      <c r="R1018" s="58" t="s">
        <v>8</v>
      </c>
      <c r="S1018" s="57" t="s">
        <v>8</v>
      </c>
      <c r="T1018" s="56" t="s">
        <v>2063</v>
      </c>
    </row>
    <row r="1019" spans="1:20">
      <c r="A1019" s="55">
        <v>127569343110</v>
      </c>
      <c r="B1019" s="53" t="s">
        <v>2055</v>
      </c>
      <c r="C1019" s="54">
        <v>45925</v>
      </c>
      <c r="D1019" s="55">
        <v>50750522676</v>
      </c>
      <c r="E1019" s="55">
        <v>2079585668944</v>
      </c>
      <c r="F1019" s="56" t="s">
        <v>2056</v>
      </c>
      <c r="G1019" s="56" t="s">
        <v>2057</v>
      </c>
      <c r="H1019" s="56" t="s">
        <v>8</v>
      </c>
      <c r="I1019" s="55" t="s">
        <v>8</v>
      </c>
      <c r="J1019" s="57">
        <v>43.65</v>
      </c>
      <c r="K1019" s="56" t="s">
        <v>2058</v>
      </c>
      <c r="L1019" s="56" t="s">
        <v>2059</v>
      </c>
      <c r="M1019" s="55" t="s">
        <v>2060</v>
      </c>
      <c r="N1019" s="56" t="s">
        <v>2061</v>
      </c>
      <c r="O1019" s="53" t="s">
        <v>8</v>
      </c>
      <c r="P1019" s="56" t="s">
        <v>2516</v>
      </c>
      <c r="Q1019" s="57">
        <v>4500</v>
      </c>
      <c r="R1019" s="58" t="s">
        <v>8</v>
      </c>
      <c r="S1019" s="57" t="s">
        <v>8</v>
      </c>
      <c r="T1019" s="56" t="s">
        <v>2063</v>
      </c>
    </row>
    <row r="1020" spans="1:20">
      <c r="A1020" s="55">
        <v>127569643602</v>
      </c>
      <c r="B1020" s="53" t="s">
        <v>2055</v>
      </c>
      <c r="C1020" s="54">
        <v>45925</v>
      </c>
      <c r="D1020" s="55">
        <v>50750700534</v>
      </c>
      <c r="E1020" s="55">
        <v>2079588451836</v>
      </c>
      <c r="F1020" s="56" t="s">
        <v>2056</v>
      </c>
      <c r="G1020" s="56" t="s">
        <v>2057</v>
      </c>
      <c r="H1020" s="56" t="s">
        <v>8</v>
      </c>
      <c r="I1020" s="55" t="s">
        <v>8</v>
      </c>
      <c r="J1020" s="57">
        <v>1014.62</v>
      </c>
      <c r="K1020" s="56" t="s">
        <v>2058</v>
      </c>
      <c r="L1020" s="56" t="s">
        <v>2059</v>
      </c>
      <c r="M1020" s="55" t="s">
        <v>2060</v>
      </c>
      <c r="N1020" s="56" t="s">
        <v>2061</v>
      </c>
      <c r="O1020" s="53" t="s">
        <v>8</v>
      </c>
      <c r="P1020" s="56" t="s">
        <v>2517</v>
      </c>
      <c r="Q1020" s="57">
        <v>104600</v>
      </c>
      <c r="R1020" s="58" t="s">
        <v>8</v>
      </c>
      <c r="S1020" s="57" t="s">
        <v>8</v>
      </c>
      <c r="T1020" s="56" t="s">
        <v>2063</v>
      </c>
    </row>
    <row r="1021" spans="1:20">
      <c r="A1021" s="55">
        <v>127569711396</v>
      </c>
      <c r="B1021" s="53" t="s">
        <v>2055</v>
      </c>
      <c r="C1021" s="54">
        <v>45925</v>
      </c>
      <c r="D1021" s="55">
        <v>50750746459</v>
      </c>
      <c r="E1021" s="55">
        <v>2079589089004</v>
      </c>
      <c r="F1021" s="56" t="s">
        <v>2056</v>
      </c>
      <c r="G1021" s="56" t="s">
        <v>2057</v>
      </c>
      <c r="H1021" s="56" t="s">
        <v>8</v>
      </c>
      <c r="I1021" s="55" t="s">
        <v>8</v>
      </c>
      <c r="J1021" s="57">
        <v>974.37</v>
      </c>
      <c r="K1021" s="56" t="s">
        <v>2058</v>
      </c>
      <c r="L1021" s="56" t="s">
        <v>2059</v>
      </c>
      <c r="M1021" s="55" t="s">
        <v>2060</v>
      </c>
      <c r="N1021" s="56" t="s">
        <v>2061</v>
      </c>
      <c r="O1021" s="53" t="s">
        <v>8</v>
      </c>
      <c r="P1021" s="56" t="s">
        <v>2518</v>
      </c>
      <c r="Q1021" s="57">
        <v>100450</v>
      </c>
      <c r="R1021" s="58" t="s">
        <v>8</v>
      </c>
      <c r="S1021" s="57" t="s">
        <v>8</v>
      </c>
      <c r="T1021" s="56" t="s">
        <v>2063</v>
      </c>
    </row>
    <row r="1022" spans="1:20">
      <c r="A1022" s="55">
        <v>127569878656</v>
      </c>
      <c r="B1022" s="53" t="s">
        <v>2055</v>
      </c>
      <c r="C1022" s="54">
        <v>45925</v>
      </c>
      <c r="D1022" s="55">
        <v>50750762498</v>
      </c>
      <c r="E1022" s="55">
        <v>2079589579664</v>
      </c>
      <c r="F1022" s="56" t="s">
        <v>2069</v>
      </c>
      <c r="G1022" s="56" t="s">
        <v>2057</v>
      </c>
      <c r="H1022" s="56" t="s">
        <v>8</v>
      </c>
      <c r="I1022" s="55" t="s">
        <v>8</v>
      </c>
      <c r="J1022" s="57">
        <v>78.569999999999993</v>
      </c>
      <c r="K1022" s="56" t="s">
        <v>2058</v>
      </c>
      <c r="L1022" s="56" t="s">
        <v>2059</v>
      </c>
      <c r="M1022" s="55" t="s">
        <v>2060</v>
      </c>
      <c r="N1022" s="56" t="s">
        <v>2061</v>
      </c>
      <c r="O1022" s="53" t="s">
        <v>8</v>
      </c>
      <c r="P1022" s="56" t="s">
        <v>2070</v>
      </c>
      <c r="Q1022" s="57">
        <v>8100</v>
      </c>
      <c r="R1022" s="58" t="s">
        <v>8</v>
      </c>
      <c r="S1022" s="57" t="s">
        <v>8</v>
      </c>
      <c r="T1022" s="56" t="s">
        <v>8</v>
      </c>
    </row>
    <row r="1023" spans="1:20">
      <c r="A1023" s="55">
        <v>127008737071</v>
      </c>
      <c r="B1023" s="53" t="s">
        <v>2055</v>
      </c>
      <c r="C1023" s="54">
        <v>45925</v>
      </c>
      <c r="D1023" s="55">
        <v>50750844095</v>
      </c>
      <c r="E1023" s="55">
        <v>2079590872734</v>
      </c>
      <c r="F1023" s="56" t="s">
        <v>2069</v>
      </c>
      <c r="G1023" s="56" t="s">
        <v>2057</v>
      </c>
      <c r="H1023" s="56" t="s">
        <v>8</v>
      </c>
      <c r="I1023" s="55" t="s">
        <v>8</v>
      </c>
      <c r="J1023" s="57">
        <v>307.98</v>
      </c>
      <c r="K1023" s="56" t="s">
        <v>2058</v>
      </c>
      <c r="L1023" s="56" t="s">
        <v>2059</v>
      </c>
      <c r="M1023" s="55" t="s">
        <v>2060</v>
      </c>
      <c r="N1023" s="56" t="s">
        <v>2061</v>
      </c>
      <c r="O1023" s="53" t="s">
        <v>8</v>
      </c>
      <c r="P1023" s="56" t="s">
        <v>2070</v>
      </c>
      <c r="Q1023" s="57">
        <v>31750</v>
      </c>
      <c r="R1023" s="58" t="s">
        <v>8</v>
      </c>
      <c r="S1023" s="57" t="s">
        <v>8</v>
      </c>
      <c r="T1023" s="56" t="s">
        <v>8</v>
      </c>
    </row>
    <row r="1024" spans="1:20">
      <c r="A1024" s="55">
        <v>127570168514</v>
      </c>
      <c r="B1024" s="53" t="s">
        <v>2055</v>
      </c>
      <c r="C1024" s="54">
        <v>45925</v>
      </c>
      <c r="D1024" s="55">
        <v>50750899352</v>
      </c>
      <c r="E1024" s="55">
        <v>2079591649542</v>
      </c>
      <c r="F1024" s="56" t="s">
        <v>2056</v>
      </c>
      <c r="G1024" s="56" t="s">
        <v>2057</v>
      </c>
      <c r="H1024" s="56" t="s">
        <v>8</v>
      </c>
      <c r="I1024" s="55" t="s">
        <v>8</v>
      </c>
      <c r="J1024" s="57">
        <v>43.65</v>
      </c>
      <c r="K1024" s="56" t="s">
        <v>2058</v>
      </c>
      <c r="L1024" s="56" t="s">
        <v>2059</v>
      </c>
      <c r="M1024" s="55" t="s">
        <v>2060</v>
      </c>
      <c r="N1024" s="56" t="s">
        <v>2061</v>
      </c>
      <c r="O1024" s="53" t="s">
        <v>8</v>
      </c>
      <c r="P1024" s="56" t="s">
        <v>2509</v>
      </c>
      <c r="Q1024" s="57">
        <v>4500</v>
      </c>
      <c r="R1024" s="58" t="s">
        <v>8</v>
      </c>
      <c r="S1024" s="57" t="s">
        <v>8</v>
      </c>
      <c r="T1024" s="56" t="s">
        <v>2063</v>
      </c>
    </row>
    <row r="1025" spans="1:20">
      <c r="A1025" s="55">
        <v>127570530222</v>
      </c>
      <c r="B1025" s="53" t="s">
        <v>2055</v>
      </c>
      <c r="C1025" s="54">
        <v>45925</v>
      </c>
      <c r="D1025" s="55">
        <v>50751045854</v>
      </c>
      <c r="E1025" s="55">
        <v>2079593456746</v>
      </c>
      <c r="F1025" s="56" t="s">
        <v>2056</v>
      </c>
      <c r="G1025" s="56" t="s">
        <v>2057</v>
      </c>
      <c r="H1025" s="56" t="s">
        <v>8</v>
      </c>
      <c r="I1025" s="55" t="s">
        <v>8</v>
      </c>
      <c r="J1025" s="57">
        <v>343.87</v>
      </c>
      <c r="K1025" s="56" t="s">
        <v>2058</v>
      </c>
      <c r="L1025" s="56" t="s">
        <v>2059</v>
      </c>
      <c r="M1025" s="55" t="s">
        <v>2060</v>
      </c>
      <c r="N1025" s="56" t="s">
        <v>2061</v>
      </c>
      <c r="O1025" s="53" t="s">
        <v>8</v>
      </c>
      <c r="P1025" s="56" t="s">
        <v>2519</v>
      </c>
      <c r="Q1025" s="57">
        <v>35450</v>
      </c>
      <c r="R1025" s="58" t="s">
        <v>8</v>
      </c>
      <c r="S1025" s="57" t="s">
        <v>8</v>
      </c>
      <c r="T1025" s="56" t="s">
        <v>2063</v>
      </c>
    </row>
    <row r="1026" spans="1:20">
      <c r="A1026" s="55">
        <v>127009741659</v>
      </c>
      <c r="B1026" s="53" t="s">
        <v>2055</v>
      </c>
      <c r="C1026" s="54">
        <v>45926</v>
      </c>
      <c r="D1026" s="55">
        <v>50751297937</v>
      </c>
      <c r="E1026" s="55">
        <v>2079597305712</v>
      </c>
      <c r="F1026" s="56" t="s">
        <v>2056</v>
      </c>
      <c r="G1026" s="56" t="s">
        <v>2057</v>
      </c>
      <c r="H1026" s="56" t="s">
        <v>8</v>
      </c>
      <c r="I1026" s="55" t="s">
        <v>8</v>
      </c>
      <c r="J1026" s="57">
        <v>73.72</v>
      </c>
      <c r="K1026" s="56" t="s">
        <v>2058</v>
      </c>
      <c r="L1026" s="56" t="s">
        <v>2059</v>
      </c>
      <c r="M1026" s="55" t="s">
        <v>2060</v>
      </c>
      <c r="N1026" s="56" t="s">
        <v>2061</v>
      </c>
      <c r="O1026" s="53" t="s">
        <v>8</v>
      </c>
      <c r="P1026" s="56" t="s">
        <v>2520</v>
      </c>
      <c r="Q1026" s="57">
        <v>7600</v>
      </c>
      <c r="R1026" s="58" t="s">
        <v>8</v>
      </c>
      <c r="S1026" s="57" t="s">
        <v>8</v>
      </c>
      <c r="T1026" s="56" t="s">
        <v>2063</v>
      </c>
    </row>
    <row r="1027" spans="1:20">
      <c r="A1027" s="55">
        <v>127571110712</v>
      </c>
      <c r="B1027" s="53" t="s">
        <v>2055</v>
      </c>
      <c r="C1027" s="54">
        <v>45926</v>
      </c>
      <c r="D1027" s="55">
        <v>50751410114</v>
      </c>
      <c r="E1027" s="55">
        <v>2079542362739</v>
      </c>
      <c r="F1027" s="56" t="s">
        <v>2069</v>
      </c>
      <c r="G1027" s="56" t="s">
        <v>2057</v>
      </c>
      <c r="H1027" s="56" t="s">
        <v>8</v>
      </c>
      <c r="I1027" s="55" t="s">
        <v>8</v>
      </c>
      <c r="J1027" s="57">
        <v>43.65</v>
      </c>
      <c r="K1027" s="56" t="s">
        <v>2058</v>
      </c>
      <c r="L1027" s="56" t="s">
        <v>2059</v>
      </c>
      <c r="M1027" s="55" t="s">
        <v>2060</v>
      </c>
      <c r="N1027" s="56" t="s">
        <v>2061</v>
      </c>
      <c r="O1027" s="53" t="s">
        <v>8</v>
      </c>
      <c r="P1027" s="56" t="s">
        <v>2070</v>
      </c>
      <c r="Q1027" s="57">
        <v>4500</v>
      </c>
      <c r="R1027" s="58" t="s">
        <v>8</v>
      </c>
      <c r="S1027" s="57" t="s">
        <v>8</v>
      </c>
      <c r="T1027" s="56" t="s">
        <v>8</v>
      </c>
    </row>
    <row r="1028" spans="1:20">
      <c r="A1028" s="55">
        <v>127009987447</v>
      </c>
      <c r="B1028" s="53" t="s">
        <v>2055</v>
      </c>
      <c r="C1028" s="54">
        <v>45926</v>
      </c>
      <c r="D1028" s="55">
        <v>50751448689</v>
      </c>
      <c r="E1028" s="55">
        <v>2079542935369</v>
      </c>
      <c r="F1028" s="56" t="s">
        <v>2069</v>
      </c>
      <c r="G1028" s="56" t="s">
        <v>2057</v>
      </c>
      <c r="H1028" s="56" t="s">
        <v>8</v>
      </c>
      <c r="I1028" s="55" t="s">
        <v>8</v>
      </c>
      <c r="J1028" s="57">
        <v>446.2</v>
      </c>
      <c r="K1028" s="56" t="s">
        <v>2058</v>
      </c>
      <c r="L1028" s="56" t="s">
        <v>2059</v>
      </c>
      <c r="M1028" s="55" t="s">
        <v>2060</v>
      </c>
      <c r="N1028" s="56" t="s">
        <v>2061</v>
      </c>
      <c r="O1028" s="53" t="s">
        <v>8</v>
      </c>
      <c r="P1028" s="56" t="s">
        <v>2070</v>
      </c>
      <c r="Q1028" s="57">
        <v>46000</v>
      </c>
      <c r="R1028" s="58" t="s">
        <v>8</v>
      </c>
      <c r="S1028" s="57" t="s">
        <v>8</v>
      </c>
      <c r="T1028" s="56" t="s">
        <v>8</v>
      </c>
    </row>
    <row r="1029" spans="1:20">
      <c r="A1029" s="55">
        <v>127010232283</v>
      </c>
      <c r="B1029" s="53" t="s">
        <v>2055</v>
      </c>
      <c r="C1029" s="54">
        <v>45926</v>
      </c>
      <c r="D1029" s="55">
        <v>50751453540</v>
      </c>
      <c r="E1029" s="55">
        <v>2079599408976</v>
      </c>
      <c r="F1029" s="56" t="s">
        <v>2069</v>
      </c>
      <c r="G1029" s="56" t="s">
        <v>2057</v>
      </c>
      <c r="H1029" s="56" t="s">
        <v>8</v>
      </c>
      <c r="I1029" s="55" t="s">
        <v>8</v>
      </c>
      <c r="J1029" s="57">
        <v>97</v>
      </c>
      <c r="K1029" s="56" t="s">
        <v>2058</v>
      </c>
      <c r="L1029" s="56" t="s">
        <v>2059</v>
      </c>
      <c r="M1029" s="55" t="s">
        <v>2060</v>
      </c>
      <c r="N1029" s="56" t="s">
        <v>2061</v>
      </c>
      <c r="O1029" s="53" t="s">
        <v>8</v>
      </c>
      <c r="P1029" s="56" t="s">
        <v>2070</v>
      </c>
      <c r="Q1029" s="57">
        <v>10000</v>
      </c>
      <c r="R1029" s="58" t="s">
        <v>8</v>
      </c>
      <c r="S1029" s="57" t="s">
        <v>8</v>
      </c>
      <c r="T1029" s="56" t="s">
        <v>8</v>
      </c>
    </row>
    <row r="1030" spans="1:20">
      <c r="A1030" s="55">
        <v>127010025919</v>
      </c>
      <c r="B1030" s="53" t="s">
        <v>2055</v>
      </c>
      <c r="C1030" s="54">
        <v>45926</v>
      </c>
      <c r="D1030" s="55">
        <v>50751507658</v>
      </c>
      <c r="E1030" s="55">
        <v>2079543456535</v>
      </c>
      <c r="F1030" s="56" t="s">
        <v>2056</v>
      </c>
      <c r="G1030" s="56" t="s">
        <v>2057</v>
      </c>
      <c r="H1030" s="56" t="s">
        <v>8</v>
      </c>
      <c r="I1030" s="55" t="s">
        <v>8</v>
      </c>
      <c r="J1030" s="57">
        <v>73.349999999999994</v>
      </c>
      <c r="K1030" s="56" t="s">
        <v>2058</v>
      </c>
      <c r="L1030" s="56" t="s">
        <v>2059</v>
      </c>
      <c r="M1030" s="55" t="s">
        <v>2060</v>
      </c>
      <c r="N1030" s="56" t="s">
        <v>2061</v>
      </c>
      <c r="O1030" s="53" t="s">
        <v>8</v>
      </c>
      <c r="P1030" s="56" t="s">
        <v>2507</v>
      </c>
      <c r="Q1030" s="57">
        <v>4500</v>
      </c>
      <c r="R1030" s="58" t="s">
        <v>8</v>
      </c>
      <c r="S1030" s="57" t="s">
        <v>8</v>
      </c>
      <c r="T1030" s="56" t="s">
        <v>2063</v>
      </c>
    </row>
    <row r="1031" spans="1:20">
      <c r="A1031" s="55">
        <v>127010211831</v>
      </c>
      <c r="B1031" s="53" t="s">
        <v>2055</v>
      </c>
      <c r="C1031" s="54">
        <v>45926</v>
      </c>
      <c r="D1031" s="55">
        <v>50751567701</v>
      </c>
      <c r="E1031" s="55">
        <v>2079544594509</v>
      </c>
      <c r="F1031" s="56" t="s">
        <v>2056</v>
      </c>
      <c r="G1031" s="56" t="s">
        <v>2057</v>
      </c>
      <c r="H1031" s="56" t="s">
        <v>8</v>
      </c>
      <c r="I1031" s="55" t="s">
        <v>8</v>
      </c>
      <c r="J1031" s="57">
        <v>148.41</v>
      </c>
      <c r="K1031" s="56" t="s">
        <v>2058</v>
      </c>
      <c r="L1031" s="56" t="s">
        <v>2059</v>
      </c>
      <c r="M1031" s="55" t="s">
        <v>2060</v>
      </c>
      <c r="N1031" s="56" t="s">
        <v>2061</v>
      </c>
      <c r="O1031" s="53" t="s">
        <v>8</v>
      </c>
      <c r="P1031" s="56" t="s">
        <v>2344</v>
      </c>
      <c r="Q1031" s="57">
        <v>15300</v>
      </c>
      <c r="R1031" s="58" t="s">
        <v>8</v>
      </c>
      <c r="S1031" s="57" t="s">
        <v>8</v>
      </c>
      <c r="T1031" s="56" t="s">
        <v>2063</v>
      </c>
    </row>
    <row r="1032" spans="1:20">
      <c r="A1032" s="55">
        <v>127571538018</v>
      </c>
      <c r="B1032" s="53" t="s">
        <v>2055</v>
      </c>
      <c r="C1032" s="54">
        <v>45926</v>
      </c>
      <c r="D1032" s="55">
        <v>50751690452</v>
      </c>
      <c r="E1032" s="55">
        <v>2079602818982</v>
      </c>
      <c r="F1032" s="56" t="s">
        <v>2066</v>
      </c>
      <c r="G1032" s="56" t="s">
        <v>2057</v>
      </c>
      <c r="H1032" s="56" t="s">
        <v>8</v>
      </c>
      <c r="I1032" s="55" t="s">
        <v>8</v>
      </c>
      <c r="J1032" s="57">
        <v>2830.92</v>
      </c>
      <c r="K1032" s="56" t="s">
        <v>2058</v>
      </c>
      <c r="L1032" s="56" t="s">
        <v>2067</v>
      </c>
      <c r="M1032" s="55" t="s">
        <v>2060</v>
      </c>
      <c r="N1032" s="56" t="s">
        <v>2061</v>
      </c>
      <c r="O1032" s="53" t="s">
        <v>1790</v>
      </c>
      <c r="P1032" s="56" t="s">
        <v>2068</v>
      </c>
      <c r="Q1032" s="57">
        <v>37200</v>
      </c>
      <c r="R1032" s="58" t="s">
        <v>8</v>
      </c>
      <c r="S1032" s="57" t="s">
        <v>8</v>
      </c>
      <c r="T1032" s="56" t="s">
        <v>2063</v>
      </c>
    </row>
    <row r="1033" spans="1:20">
      <c r="A1033" s="55">
        <v>127572103516</v>
      </c>
      <c r="B1033" s="53" t="s">
        <v>2055</v>
      </c>
      <c r="C1033" s="54">
        <v>45926</v>
      </c>
      <c r="D1033" s="55">
        <v>50751885038</v>
      </c>
      <c r="E1033" s="55">
        <v>2079549688567</v>
      </c>
      <c r="F1033" s="56" t="s">
        <v>2056</v>
      </c>
      <c r="G1033" s="56" t="s">
        <v>2057</v>
      </c>
      <c r="H1033" s="56" t="s">
        <v>8</v>
      </c>
      <c r="I1033" s="55" t="s">
        <v>8</v>
      </c>
      <c r="J1033" s="57">
        <v>42.68</v>
      </c>
      <c r="K1033" s="56" t="s">
        <v>2058</v>
      </c>
      <c r="L1033" s="56" t="s">
        <v>2059</v>
      </c>
      <c r="M1033" s="55" t="s">
        <v>2060</v>
      </c>
      <c r="N1033" s="56" t="s">
        <v>2061</v>
      </c>
      <c r="O1033" s="53" t="s">
        <v>8</v>
      </c>
      <c r="P1033" s="56" t="s">
        <v>2521</v>
      </c>
      <c r="Q1033" s="57">
        <v>4400</v>
      </c>
      <c r="R1033" s="58" t="s">
        <v>8</v>
      </c>
      <c r="S1033" s="57" t="s">
        <v>8</v>
      </c>
      <c r="T1033" s="56" t="s">
        <v>2063</v>
      </c>
    </row>
    <row r="1034" spans="1:20">
      <c r="A1034" s="55">
        <v>127572308076</v>
      </c>
      <c r="B1034" s="53" t="s">
        <v>2055</v>
      </c>
      <c r="C1034" s="54">
        <v>45926</v>
      </c>
      <c r="D1034" s="55">
        <v>50751968297</v>
      </c>
      <c r="E1034" s="55">
        <v>2079607747884</v>
      </c>
      <c r="F1034" s="56" t="s">
        <v>2069</v>
      </c>
      <c r="G1034" s="56" t="s">
        <v>2057</v>
      </c>
      <c r="H1034" s="56" t="s">
        <v>8</v>
      </c>
      <c r="I1034" s="55" t="s">
        <v>8</v>
      </c>
      <c r="J1034" s="57">
        <v>43.65</v>
      </c>
      <c r="K1034" s="56" t="s">
        <v>2058</v>
      </c>
      <c r="L1034" s="56" t="s">
        <v>2059</v>
      </c>
      <c r="M1034" s="55" t="s">
        <v>2060</v>
      </c>
      <c r="N1034" s="56" t="s">
        <v>2061</v>
      </c>
      <c r="O1034" s="53" t="s">
        <v>8</v>
      </c>
      <c r="P1034" s="56" t="s">
        <v>2070</v>
      </c>
      <c r="Q1034" s="57">
        <v>4500</v>
      </c>
      <c r="R1034" s="58" t="s">
        <v>8</v>
      </c>
      <c r="S1034" s="57" t="s">
        <v>8</v>
      </c>
      <c r="T1034" s="56" t="s">
        <v>8</v>
      </c>
    </row>
    <row r="1035" spans="1:20">
      <c r="A1035" s="55">
        <v>127010996009</v>
      </c>
      <c r="B1035" s="53" t="s">
        <v>2055</v>
      </c>
      <c r="C1035" s="54">
        <v>45926</v>
      </c>
      <c r="D1035" s="55">
        <v>50751993496</v>
      </c>
      <c r="E1035" s="55">
        <v>2079551910283</v>
      </c>
      <c r="F1035" s="56" t="s">
        <v>2056</v>
      </c>
      <c r="G1035" s="56" t="s">
        <v>2057</v>
      </c>
      <c r="H1035" s="56" t="s">
        <v>8</v>
      </c>
      <c r="I1035" s="55" t="s">
        <v>8</v>
      </c>
      <c r="J1035" s="57">
        <v>78.569999999999993</v>
      </c>
      <c r="K1035" s="56" t="s">
        <v>2058</v>
      </c>
      <c r="L1035" s="56" t="s">
        <v>2059</v>
      </c>
      <c r="M1035" s="55" t="s">
        <v>2060</v>
      </c>
      <c r="N1035" s="56" t="s">
        <v>2061</v>
      </c>
      <c r="O1035" s="53" t="s">
        <v>8</v>
      </c>
      <c r="P1035" s="56" t="s">
        <v>2522</v>
      </c>
      <c r="Q1035" s="57">
        <v>8100</v>
      </c>
      <c r="R1035" s="58" t="s">
        <v>8</v>
      </c>
      <c r="S1035" s="57" t="s">
        <v>8</v>
      </c>
      <c r="T1035" s="56" t="s">
        <v>2063</v>
      </c>
    </row>
    <row r="1036" spans="1:20">
      <c r="A1036" s="55">
        <v>127011203685</v>
      </c>
      <c r="B1036" s="53" t="s">
        <v>2055</v>
      </c>
      <c r="C1036" s="54">
        <v>45926</v>
      </c>
      <c r="D1036" s="55">
        <v>50752037792</v>
      </c>
      <c r="E1036" s="55">
        <v>2079609097762</v>
      </c>
      <c r="F1036" s="56" t="s">
        <v>2069</v>
      </c>
      <c r="G1036" s="56" t="s">
        <v>2057</v>
      </c>
      <c r="H1036" s="56" t="s">
        <v>8</v>
      </c>
      <c r="I1036" s="55" t="s">
        <v>8</v>
      </c>
      <c r="J1036" s="57">
        <v>43.65</v>
      </c>
      <c r="K1036" s="56" t="s">
        <v>2058</v>
      </c>
      <c r="L1036" s="56" t="s">
        <v>2059</v>
      </c>
      <c r="M1036" s="55" t="s">
        <v>2060</v>
      </c>
      <c r="N1036" s="56" t="s">
        <v>2061</v>
      </c>
      <c r="O1036" s="53" t="s">
        <v>8</v>
      </c>
      <c r="P1036" s="56" t="s">
        <v>2070</v>
      </c>
      <c r="Q1036" s="57">
        <v>4500</v>
      </c>
      <c r="R1036" s="58" t="s">
        <v>8</v>
      </c>
      <c r="S1036" s="57" t="s">
        <v>8</v>
      </c>
      <c r="T1036" s="56" t="s">
        <v>8</v>
      </c>
    </row>
    <row r="1037" spans="1:20">
      <c r="A1037" s="55">
        <v>127572489702</v>
      </c>
      <c r="B1037" s="53" t="s">
        <v>2055</v>
      </c>
      <c r="C1037" s="54">
        <v>45926</v>
      </c>
      <c r="D1037" s="55">
        <v>50752049759</v>
      </c>
      <c r="E1037" s="55">
        <v>2079609167332</v>
      </c>
      <c r="F1037" s="56" t="s">
        <v>2066</v>
      </c>
      <c r="G1037" s="56" t="s">
        <v>2057</v>
      </c>
      <c r="H1037" s="56" t="s">
        <v>8</v>
      </c>
      <c r="I1037" s="55" t="s">
        <v>8</v>
      </c>
      <c r="J1037" s="57">
        <v>163.44</v>
      </c>
      <c r="K1037" s="56" t="s">
        <v>2058</v>
      </c>
      <c r="L1037" s="56" t="s">
        <v>2067</v>
      </c>
      <c r="M1037" s="55" t="s">
        <v>2060</v>
      </c>
      <c r="N1037" s="56" t="s">
        <v>2061</v>
      </c>
      <c r="O1037" s="53" t="s">
        <v>1790</v>
      </c>
      <c r="P1037" s="56" t="s">
        <v>2068</v>
      </c>
      <c r="Q1037" s="57">
        <v>3600</v>
      </c>
      <c r="R1037" s="58" t="s">
        <v>8</v>
      </c>
      <c r="S1037" s="57" t="s">
        <v>8</v>
      </c>
      <c r="T1037" s="56" t="s">
        <v>2063</v>
      </c>
    </row>
    <row r="1038" spans="1:20">
      <c r="A1038" s="55">
        <v>127572547690</v>
      </c>
      <c r="B1038" s="53" t="s">
        <v>2055</v>
      </c>
      <c r="C1038" s="54">
        <v>45926</v>
      </c>
      <c r="D1038" s="55">
        <v>50752057197</v>
      </c>
      <c r="E1038" s="55">
        <v>2079553336237</v>
      </c>
      <c r="F1038" s="56" t="s">
        <v>2056</v>
      </c>
      <c r="G1038" s="56" t="s">
        <v>2057</v>
      </c>
      <c r="H1038" s="56" t="s">
        <v>8</v>
      </c>
      <c r="I1038" s="55" t="s">
        <v>8</v>
      </c>
      <c r="J1038" s="57">
        <v>829.84</v>
      </c>
      <c r="K1038" s="56" t="s">
        <v>2058</v>
      </c>
      <c r="L1038" s="56" t="s">
        <v>2059</v>
      </c>
      <c r="M1038" s="55" t="s">
        <v>2060</v>
      </c>
      <c r="N1038" s="56" t="s">
        <v>2061</v>
      </c>
      <c r="O1038" s="53" t="s">
        <v>8</v>
      </c>
      <c r="P1038" s="56" t="s">
        <v>2207</v>
      </c>
      <c r="Q1038" s="57">
        <v>85550</v>
      </c>
      <c r="R1038" s="58" t="s">
        <v>8</v>
      </c>
      <c r="S1038" s="57" t="s">
        <v>8</v>
      </c>
      <c r="T1038" s="56" t="s">
        <v>2063</v>
      </c>
    </row>
    <row r="1039" spans="1:20">
      <c r="A1039" s="55">
        <v>127572677794</v>
      </c>
      <c r="B1039" s="53" t="s">
        <v>2055</v>
      </c>
      <c r="C1039" s="54">
        <v>45926</v>
      </c>
      <c r="D1039" s="55">
        <v>50752105837</v>
      </c>
      <c r="E1039" s="55">
        <v>2079610582906</v>
      </c>
      <c r="F1039" s="56" t="s">
        <v>2056</v>
      </c>
      <c r="G1039" s="56" t="s">
        <v>2057</v>
      </c>
      <c r="H1039" s="56" t="s">
        <v>8</v>
      </c>
      <c r="I1039" s="55" t="s">
        <v>8</v>
      </c>
      <c r="J1039" s="57">
        <v>34.92</v>
      </c>
      <c r="K1039" s="56" t="s">
        <v>2058</v>
      </c>
      <c r="L1039" s="56" t="s">
        <v>2059</v>
      </c>
      <c r="M1039" s="55" t="s">
        <v>2060</v>
      </c>
      <c r="N1039" s="56" t="s">
        <v>2061</v>
      </c>
      <c r="O1039" s="53" t="s">
        <v>8</v>
      </c>
      <c r="P1039" s="56" t="s">
        <v>2417</v>
      </c>
      <c r="Q1039" s="57">
        <v>3600</v>
      </c>
      <c r="R1039" s="58" t="s">
        <v>8</v>
      </c>
      <c r="S1039" s="57" t="s">
        <v>8</v>
      </c>
      <c r="T1039" s="56" t="s">
        <v>2063</v>
      </c>
    </row>
    <row r="1040" spans="1:20">
      <c r="A1040" s="55">
        <v>127572984226</v>
      </c>
      <c r="B1040" s="53" t="s">
        <v>2055</v>
      </c>
      <c r="C1040" s="54">
        <v>45926</v>
      </c>
      <c r="D1040" s="55">
        <v>50752189330</v>
      </c>
      <c r="E1040" s="55">
        <v>2079612428394</v>
      </c>
      <c r="F1040" s="56" t="s">
        <v>2056</v>
      </c>
      <c r="G1040" s="56" t="s">
        <v>2057</v>
      </c>
      <c r="H1040" s="56" t="s">
        <v>8</v>
      </c>
      <c r="I1040" s="55" t="s">
        <v>8</v>
      </c>
      <c r="J1040" s="57">
        <v>111.55</v>
      </c>
      <c r="K1040" s="56" t="s">
        <v>2058</v>
      </c>
      <c r="L1040" s="56" t="s">
        <v>2059</v>
      </c>
      <c r="M1040" s="55" t="s">
        <v>2060</v>
      </c>
      <c r="N1040" s="56" t="s">
        <v>2061</v>
      </c>
      <c r="O1040" s="53" t="s">
        <v>8</v>
      </c>
      <c r="P1040" s="56" t="s">
        <v>2523</v>
      </c>
      <c r="Q1040" s="57">
        <v>11500</v>
      </c>
      <c r="R1040" s="58" t="s">
        <v>8</v>
      </c>
      <c r="S1040" s="57" t="s">
        <v>8</v>
      </c>
      <c r="T1040" s="56" t="s">
        <v>2063</v>
      </c>
    </row>
    <row r="1041" spans="1:20">
      <c r="A1041" s="55">
        <v>127573121230</v>
      </c>
      <c r="B1041" s="53" t="s">
        <v>2055</v>
      </c>
      <c r="C1041" s="54">
        <v>45926</v>
      </c>
      <c r="D1041" s="55">
        <v>50752252411</v>
      </c>
      <c r="E1041" s="55">
        <v>2079557951941</v>
      </c>
      <c r="F1041" s="56" t="s">
        <v>2066</v>
      </c>
      <c r="G1041" s="56" t="s">
        <v>2057</v>
      </c>
      <c r="H1041" s="56" t="s">
        <v>8</v>
      </c>
      <c r="I1041" s="55" t="s">
        <v>8</v>
      </c>
      <c r="J1041" s="57">
        <v>353.7</v>
      </c>
      <c r="K1041" s="56" t="s">
        <v>2058</v>
      </c>
      <c r="L1041" s="56" t="s">
        <v>2067</v>
      </c>
      <c r="M1041" s="55" t="s">
        <v>2060</v>
      </c>
      <c r="N1041" s="56" t="s">
        <v>2061</v>
      </c>
      <c r="O1041" s="53" t="s">
        <v>1790</v>
      </c>
      <c r="P1041" s="56" t="s">
        <v>2068</v>
      </c>
      <c r="Q1041" s="57">
        <v>9000</v>
      </c>
      <c r="R1041" s="58" t="s">
        <v>8</v>
      </c>
      <c r="S1041" s="57" t="s">
        <v>8</v>
      </c>
      <c r="T1041" s="56" t="s">
        <v>2063</v>
      </c>
    </row>
    <row r="1042" spans="1:20">
      <c r="A1042" s="55">
        <v>127573266632</v>
      </c>
      <c r="B1042" s="53" t="s">
        <v>2055</v>
      </c>
      <c r="C1042" s="54">
        <v>45926</v>
      </c>
      <c r="D1042" s="55">
        <v>50752335527</v>
      </c>
      <c r="E1042" s="55">
        <v>2079615995134</v>
      </c>
      <c r="F1042" s="56" t="s">
        <v>2056</v>
      </c>
      <c r="G1042" s="56" t="s">
        <v>2057</v>
      </c>
      <c r="H1042" s="56" t="s">
        <v>8</v>
      </c>
      <c r="I1042" s="55" t="s">
        <v>8</v>
      </c>
      <c r="J1042" s="57">
        <v>148.41</v>
      </c>
      <c r="K1042" s="56" t="s">
        <v>2058</v>
      </c>
      <c r="L1042" s="56" t="s">
        <v>2059</v>
      </c>
      <c r="M1042" s="55" t="s">
        <v>2060</v>
      </c>
      <c r="N1042" s="56" t="s">
        <v>2061</v>
      </c>
      <c r="O1042" s="53" t="s">
        <v>8</v>
      </c>
      <c r="P1042" s="56" t="s">
        <v>2344</v>
      </c>
      <c r="Q1042" s="57">
        <v>15300</v>
      </c>
      <c r="R1042" s="58" t="s">
        <v>8</v>
      </c>
      <c r="S1042" s="57" t="s">
        <v>8</v>
      </c>
      <c r="T1042" s="56" t="s">
        <v>2063</v>
      </c>
    </row>
    <row r="1043" spans="1:20">
      <c r="A1043" s="55">
        <v>127573233874</v>
      </c>
      <c r="B1043" s="53" t="s">
        <v>2055</v>
      </c>
      <c r="C1043" s="54">
        <v>45926</v>
      </c>
      <c r="D1043" s="55">
        <v>50752350340</v>
      </c>
      <c r="E1043" s="55">
        <v>2079616471590</v>
      </c>
      <c r="F1043" s="56" t="s">
        <v>2056</v>
      </c>
      <c r="G1043" s="56" t="s">
        <v>2057</v>
      </c>
      <c r="H1043" s="56" t="s">
        <v>8</v>
      </c>
      <c r="I1043" s="55" t="s">
        <v>8</v>
      </c>
      <c r="J1043" s="57">
        <v>78.569999999999993</v>
      </c>
      <c r="K1043" s="56" t="s">
        <v>2058</v>
      </c>
      <c r="L1043" s="56" t="s">
        <v>2059</v>
      </c>
      <c r="M1043" s="55" t="s">
        <v>2060</v>
      </c>
      <c r="N1043" s="56" t="s">
        <v>2061</v>
      </c>
      <c r="O1043" s="53" t="s">
        <v>8</v>
      </c>
      <c r="P1043" s="56" t="s">
        <v>2524</v>
      </c>
      <c r="Q1043" s="57">
        <v>8100</v>
      </c>
      <c r="R1043" s="58" t="s">
        <v>8</v>
      </c>
      <c r="S1043" s="57" t="s">
        <v>8</v>
      </c>
      <c r="T1043" s="56" t="s">
        <v>2063</v>
      </c>
    </row>
    <row r="1044" spans="1:20">
      <c r="A1044" s="55">
        <v>127573340062</v>
      </c>
      <c r="B1044" s="53" t="s">
        <v>2055</v>
      </c>
      <c r="C1044" s="54">
        <v>45926</v>
      </c>
      <c r="D1044" s="55">
        <v>50752436204</v>
      </c>
      <c r="E1044" s="55">
        <v>2079618045442</v>
      </c>
      <c r="F1044" s="56" t="s">
        <v>2056</v>
      </c>
      <c r="G1044" s="56" t="s">
        <v>2057</v>
      </c>
      <c r="H1044" s="56" t="s">
        <v>8</v>
      </c>
      <c r="I1044" s="55" t="s">
        <v>8</v>
      </c>
      <c r="J1044" s="57">
        <v>125.13</v>
      </c>
      <c r="K1044" s="56" t="s">
        <v>2058</v>
      </c>
      <c r="L1044" s="56" t="s">
        <v>2059</v>
      </c>
      <c r="M1044" s="55" t="s">
        <v>2060</v>
      </c>
      <c r="N1044" s="56" t="s">
        <v>2061</v>
      </c>
      <c r="O1044" s="53" t="s">
        <v>8</v>
      </c>
      <c r="P1044" s="56" t="s">
        <v>2427</v>
      </c>
      <c r="Q1044" s="57">
        <v>12900</v>
      </c>
      <c r="R1044" s="58" t="s">
        <v>8</v>
      </c>
      <c r="S1044" s="57" t="s">
        <v>8</v>
      </c>
      <c r="T1044" s="56" t="s">
        <v>2063</v>
      </c>
    </row>
    <row r="1045" spans="1:20">
      <c r="A1045" s="55">
        <v>127012562167</v>
      </c>
      <c r="B1045" s="53" t="s">
        <v>2055</v>
      </c>
      <c r="C1045" s="54">
        <v>45926</v>
      </c>
      <c r="D1045" s="55">
        <v>50752453047</v>
      </c>
      <c r="E1045" s="55">
        <v>2079562894551</v>
      </c>
      <c r="F1045" s="56" t="s">
        <v>2056</v>
      </c>
      <c r="G1045" s="56" t="s">
        <v>2057</v>
      </c>
      <c r="H1045" s="56" t="s">
        <v>8</v>
      </c>
      <c r="I1045" s="55" t="s">
        <v>8</v>
      </c>
      <c r="J1045" s="57">
        <v>43.65</v>
      </c>
      <c r="K1045" s="56" t="s">
        <v>2058</v>
      </c>
      <c r="L1045" s="56" t="s">
        <v>2059</v>
      </c>
      <c r="M1045" s="55" t="s">
        <v>2060</v>
      </c>
      <c r="N1045" s="56" t="s">
        <v>2061</v>
      </c>
      <c r="O1045" s="53" t="s">
        <v>8</v>
      </c>
      <c r="P1045" s="56" t="s">
        <v>2525</v>
      </c>
      <c r="Q1045" s="57">
        <v>4500</v>
      </c>
      <c r="R1045" s="58" t="s">
        <v>8</v>
      </c>
      <c r="S1045" s="57" t="s">
        <v>8</v>
      </c>
      <c r="T1045" s="56" t="s">
        <v>2063</v>
      </c>
    </row>
    <row r="1046" spans="1:20">
      <c r="A1046" s="55">
        <v>127573927294</v>
      </c>
      <c r="B1046" s="53" t="s">
        <v>2055</v>
      </c>
      <c r="C1046" s="54">
        <v>45926</v>
      </c>
      <c r="D1046" s="55">
        <v>50752572893</v>
      </c>
      <c r="E1046" s="55">
        <v>2079622105064</v>
      </c>
      <c r="F1046" s="56" t="s">
        <v>2056</v>
      </c>
      <c r="G1046" s="56" t="s">
        <v>2057</v>
      </c>
      <c r="H1046" s="56" t="s">
        <v>8</v>
      </c>
      <c r="I1046" s="55" t="s">
        <v>8</v>
      </c>
      <c r="J1046" s="57">
        <v>34.92</v>
      </c>
      <c r="K1046" s="56" t="s">
        <v>2058</v>
      </c>
      <c r="L1046" s="56" t="s">
        <v>2059</v>
      </c>
      <c r="M1046" s="55" t="s">
        <v>2060</v>
      </c>
      <c r="N1046" s="56" t="s">
        <v>2061</v>
      </c>
      <c r="O1046" s="53" t="s">
        <v>8</v>
      </c>
      <c r="P1046" s="56" t="s">
        <v>2526</v>
      </c>
      <c r="Q1046" s="57">
        <v>3600</v>
      </c>
      <c r="R1046" s="58" t="s">
        <v>8</v>
      </c>
      <c r="S1046" s="57" t="s">
        <v>8</v>
      </c>
      <c r="T1046" s="56" t="s">
        <v>2063</v>
      </c>
    </row>
    <row r="1047" spans="1:20">
      <c r="A1047" s="55">
        <v>127574467208</v>
      </c>
      <c r="B1047" s="53" t="s">
        <v>2055</v>
      </c>
      <c r="C1047" s="54">
        <v>45926</v>
      </c>
      <c r="D1047" s="55">
        <v>50752723305</v>
      </c>
      <c r="E1047" s="55">
        <v>2079571668943</v>
      </c>
      <c r="F1047" s="56" t="s">
        <v>2056</v>
      </c>
      <c r="G1047" s="56" t="s">
        <v>2057</v>
      </c>
      <c r="H1047" s="56" t="s">
        <v>8</v>
      </c>
      <c r="I1047" s="55" t="s">
        <v>8</v>
      </c>
      <c r="J1047" s="57">
        <v>34.92</v>
      </c>
      <c r="K1047" s="56" t="s">
        <v>2058</v>
      </c>
      <c r="L1047" s="56" t="s">
        <v>2059</v>
      </c>
      <c r="M1047" s="55" t="s">
        <v>2060</v>
      </c>
      <c r="N1047" s="56" t="s">
        <v>2061</v>
      </c>
      <c r="O1047" s="53" t="s">
        <v>8</v>
      </c>
      <c r="P1047" s="56" t="s">
        <v>2527</v>
      </c>
      <c r="Q1047" s="57">
        <v>3600</v>
      </c>
      <c r="R1047" s="58" t="s">
        <v>8</v>
      </c>
      <c r="S1047" s="57" t="s">
        <v>8</v>
      </c>
      <c r="T1047" s="56" t="s">
        <v>2063</v>
      </c>
    </row>
    <row r="1048" spans="1:20">
      <c r="A1048" s="55">
        <v>127574484086</v>
      </c>
      <c r="B1048" s="53" t="s">
        <v>2055</v>
      </c>
      <c r="C1048" s="54">
        <v>45926</v>
      </c>
      <c r="D1048" s="55">
        <v>50752788734</v>
      </c>
      <c r="E1048" s="55">
        <v>2079573324265</v>
      </c>
      <c r="F1048" s="56" t="s">
        <v>2056</v>
      </c>
      <c r="G1048" s="56" t="s">
        <v>2057</v>
      </c>
      <c r="H1048" s="56" t="s">
        <v>8</v>
      </c>
      <c r="I1048" s="55" t="s">
        <v>8</v>
      </c>
      <c r="J1048" s="57">
        <v>43.65</v>
      </c>
      <c r="K1048" s="56" t="s">
        <v>2058</v>
      </c>
      <c r="L1048" s="56" t="s">
        <v>2059</v>
      </c>
      <c r="M1048" s="55" t="s">
        <v>2060</v>
      </c>
      <c r="N1048" s="56" t="s">
        <v>2061</v>
      </c>
      <c r="O1048" s="53" t="s">
        <v>8</v>
      </c>
      <c r="P1048" s="56" t="s">
        <v>2080</v>
      </c>
      <c r="Q1048" s="57">
        <v>4500</v>
      </c>
      <c r="R1048" s="58" t="s">
        <v>8</v>
      </c>
      <c r="S1048" s="57" t="s">
        <v>8</v>
      </c>
      <c r="T1048" s="56" t="s">
        <v>2063</v>
      </c>
    </row>
    <row r="1049" spans="1:20">
      <c r="A1049" s="55">
        <v>127574760394</v>
      </c>
      <c r="B1049" s="53" t="s">
        <v>2055</v>
      </c>
      <c r="C1049" s="54">
        <v>45926</v>
      </c>
      <c r="D1049" s="55">
        <v>50752815807</v>
      </c>
      <c r="E1049" s="55">
        <v>2079574614489</v>
      </c>
      <c r="F1049" s="56" t="s">
        <v>2056</v>
      </c>
      <c r="G1049" s="56" t="s">
        <v>2057</v>
      </c>
      <c r="H1049" s="56" t="s">
        <v>8</v>
      </c>
      <c r="I1049" s="55" t="s">
        <v>8</v>
      </c>
      <c r="J1049" s="57">
        <v>104.28</v>
      </c>
      <c r="K1049" s="56" t="s">
        <v>2058</v>
      </c>
      <c r="L1049" s="56" t="s">
        <v>2059</v>
      </c>
      <c r="M1049" s="55" t="s">
        <v>2060</v>
      </c>
      <c r="N1049" s="56" t="s">
        <v>2061</v>
      </c>
      <c r="O1049" s="53" t="s">
        <v>8</v>
      </c>
      <c r="P1049" s="56" t="s">
        <v>2528</v>
      </c>
      <c r="Q1049" s="57">
        <v>10750</v>
      </c>
      <c r="R1049" s="58" t="s">
        <v>8</v>
      </c>
      <c r="S1049" s="57" t="s">
        <v>8</v>
      </c>
      <c r="T1049" s="56" t="s">
        <v>2063</v>
      </c>
    </row>
    <row r="1050" spans="1:20">
      <c r="A1050" s="55">
        <v>127013820395</v>
      </c>
      <c r="B1050" s="53" t="s">
        <v>2055</v>
      </c>
      <c r="C1050" s="54">
        <v>45926</v>
      </c>
      <c r="D1050" s="55">
        <v>50752871980</v>
      </c>
      <c r="E1050" s="55">
        <v>2079633959426</v>
      </c>
      <c r="F1050" s="56" t="s">
        <v>2056</v>
      </c>
      <c r="G1050" s="56" t="s">
        <v>2057</v>
      </c>
      <c r="H1050" s="56" t="s">
        <v>8</v>
      </c>
      <c r="I1050" s="55" t="s">
        <v>8</v>
      </c>
      <c r="J1050" s="57">
        <v>174.6</v>
      </c>
      <c r="K1050" s="56" t="s">
        <v>2058</v>
      </c>
      <c r="L1050" s="56" t="s">
        <v>2059</v>
      </c>
      <c r="M1050" s="55" t="s">
        <v>2060</v>
      </c>
      <c r="N1050" s="56" t="s">
        <v>2061</v>
      </c>
      <c r="O1050" s="53" t="s">
        <v>8</v>
      </c>
      <c r="P1050" s="56" t="s">
        <v>2405</v>
      </c>
      <c r="Q1050" s="57">
        <v>18000</v>
      </c>
      <c r="R1050" s="58" t="s">
        <v>8</v>
      </c>
      <c r="S1050" s="57" t="s">
        <v>8</v>
      </c>
      <c r="T1050" s="56" t="s">
        <v>2063</v>
      </c>
    </row>
    <row r="1051" spans="1:20">
      <c r="A1051" s="55">
        <v>127575063154</v>
      </c>
      <c r="B1051" s="53" t="s">
        <v>2055</v>
      </c>
      <c r="C1051" s="54">
        <v>45926</v>
      </c>
      <c r="D1051" s="55">
        <v>50752907426</v>
      </c>
      <c r="E1051" s="55">
        <v>2079578516985</v>
      </c>
      <c r="F1051" s="56" t="s">
        <v>2066</v>
      </c>
      <c r="G1051" s="56" t="s">
        <v>2057</v>
      </c>
      <c r="H1051" s="56" t="s">
        <v>8</v>
      </c>
      <c r="I1051" s="55" t="s">
        <v>8</v>
      </c>
      <c r="J1051" s="57">
        <v>1386.97</v>
      </c>
      <c r="K1051" s="56" t="s">
        <v>2058</v>
      </c>
      <c r="L1051" s="56" t="s">
        <v>2067</v>
      </c>
      <c r="M1051" s="55" t="s">
        <v>2060</v>
      </c>
      <c r="N1051" s="56" t="s">
        <v>2061</v>
      </c>
      <c r="O1051" s="53" t="s">
        <v>1790</v>
      </c>
      <c r="P1051" s="56" t="s">
        <v>2068</v>
      </c>
      <c r="Q1051" s="57">
        <v>30550</v>
      </c>
      <c r="R1051" s="58" t="s">
        <v>8</v>
      </c>
      <c r="S1051" s="57" t="s">
        <v>8</v>
      </c>
      <c r="T1051" s="56" t="s">
        <v>2063</v>
      </c>
    </row>
    <row r="1052" spans="1:20">
      <c r="A1052" s="55">
        <v>127575157346</v>
      </c>
      <c r="B1052" s="53" t="s">
        <v>2055</v>
      </c>
      <c r="C1052" s="54">
        <v>45926</v>
      </c>
      <c r="D1052" s="55">
        <v>50752910216</v>
      </c>
      <c r="E1052" s="55">
        <v>2079579245347</v>
      </c>
      <c r="F1052" s="56" t="s">
        <v>2056</v>
      </c>
      <c r="G1052" s="56" t="s">
        <v>2057</v>
      </c>
      <c r="H1052" s="56" t="s">
        <v>8</v>
      </c>
      <c r="I1052" s="55" t="s">
        <v>8</v>
      </c>
      <c r="J1052" s="57">
        <v>43.65</v>
      </c>
      <c r="K1052" s="56" t="s">
        <v>2058</v>
      </c>
      <c r="L1052" s="56" t="s">
        <v>2059</v>
      </c>
      <c r="M1052" s="55" t="s">
        <v>2060</v>
      </c>
      <c r="N1052" s="56" t="s">
        <v>2061</v>
      </c>
      <c r="O1052" s="53" t="s">
        <v>8</v>
      </c>
      <c r="P1052" s="56" t="s">
        <v>2529</v>
      </c>
      <c r="Q1052" s="57">
        <v>4500</v>
      </c>
      <c r="R1052" s="58" t="s">
        <v>8</v>
      </c>
      <c r="S1052" s="57" t="s">
        <v>8</v>
      </c>
      <c r="T1052" s="56" t="s">
        <v>2063</v>
      </c>
    </row>
    <row r="1053" spans="1:20">
      <c r="A1053" s="55">
        <v>127575113918</v>
      </c>
      <c r="B1053" s="53" t="s">
        <v>2055</v>
      </c>
      <c r="C1053" s="54">
        <v>45926</v>
      </c>
      <c r="D1053" s="55">
        <v>50752946394</v>
      </c>
      <c r="E1053" s="55">
        <v>2079636092414</v>
      </c>
      <c r="F1053" s="56" t="s">
        <v>2056</v>
      </c>
      <c r="G1053" s="56" t="s">
        <v>2057</v>
      </c>
      <c r="H1053" s="56" t="s">
        <v>8</v>
      </c>
      <c r="I1053" s="55" t="s">
        <v>8</v>
      </c>
      <c r="J1053" s="57">
        <v>412.25</v>
      </c>
      <c r="K1053" s="56" t="s">
        <v>2058</v>
      </c>
      <c r="L1053" s="56" t="s">
        <v>2059</v>
      </c>
      <c r="M1053" s="55" t="s">
        <v>2060</v>
      </c>
      <c r="N1053" s="56" t="s">
        <v>2061</v>
      </c>
      <c r="O1053" s="53" t="s">
        <v>8</v>
      </c>
      <c r="P1053" s="56" t="s">
        <v>2530</v>
      </c>
      <c r="Q1053" s="57">
        <v>42500</v>
      </c>
      <c r="R1053" s="58" t="s">
        <v>8</v>
      </c>
      <c r="S1053" s="57" t="s">
        <v>8</v>
      </c>
      <c r="T1053" s="56" t="s">
        <v>2063</v>
      </c>
    </row>
    <row r="1054" spans="1:20">
      <c r="A1054" s="55">
        <v>127014134823</v>
      </c>
      <c r="B1054" s="53" t="s">
        <v>2055</v>
      </c>
      <c r="C1054" s="54">
        <v>45926</v>
      </c>
      <c r="D1054" s="55">
        <v>50752968136</v>
      </c>
      <c r="E1054" s="55">
        <v>2079581963483</v>
      </c>
      <c r="F1054" s="56" t="s">
        <v>2056</v>
      </c>
      <c r="G1054" s="56" t="s">
        <v>2057</v>
      </c>
      <c r="H1054" s="56" t="s">
        <v>8</v>
      </c>
      <c r="I1054" s="55" t="s">
        <v>8</v>
      </c>
      <c r="J1054" s="57">
        <v>39.29</v>
      </c>
      <c r="K1054" s="56" t="s">
        <v>2058</v>
      </c>
      <c r="L1054" s="56" t="s">
        <v>2059</v>
      </c>
      <c r="M1054" s="55" t="s">
        <v>2060</v>
      </c>
      <c r="N1054" s="56" t="s">
        <v>2061</v>
      </c>
      <c r="O1054" s="53" t="s">
        <v>8</v>
      </c>
      <c r="P1054" s="56" t="s">
        <v>2512</v>
      </c>
      <c r="Q1054" s="57">
        <v>4050</v>
      </c>
      <c r="R1054" s="58" t="s">
        <v>8</v>
      </c>
      <c r="S1054" s="57" t="s">
        <v>8</v>
      </c>
      <c r="T1054" s="56" t="s">
        <v>2063</v>
      </c>
    </row>
    <row r="1055" spans="1:20">
      <c r="A1055" s="55">
        <v>127013893873</v>
      </c>
      <c r="B1055" s="53" t="s">
        <v>2055</v>
      </c>
      <c r="C1055" s="54">
        <v>45926</v>
      </c>
      <c r="D1055" s="55">
        <v>50752975063</v>
      </c>
      <c r="E1055" s="55">
        <v>2079637536366</v>
      </c>
      <c r="F1055" s="56" t="s">
        <v>2056</v>
      </c>
      <c r="G1055" s="56" t="s">
        <v>2057</v>
      </c>
      <c r="H1055" s="56" t="s">
        <v>8</v>
      </c>
      <c r="I1055" s="55" t="s">
        <v>8</v>
      </c>
      <c r="J1055" s="57">
        <v>148.41</v>
      </c>
      <c r="K1055" s="56" t="s">
        <v>2058</v>
      </c>
      <c r="L1055" s="56" t="s">
        <v>2059</v>
      </c>
      <c r="M1055" s="55" t="s">
        <v>2060</v>
      </c>
      <c r="N1055" s="56" t="s">
        <v>2061</v>
      </c>
      <c r="O1055" s="53" t="s">
        <v>8</v>
      </c>
      <c r="P1055" s="56" t="s">
        <v>2344</v>
      </c>
      <c r="Q1055" s="57">
        <v>15300</v>
      </c>
      <c r="R1055" s="58" t="s">
        <v>8</v>
      </c>
      <c r="S1055" s="57" t="s">
        <v>8</v>
      </c>
      <c r="T1055" s="56" t="s">
        <v>2063</v>
      </c>
    </row>
    <row r="1056" spans="1:20">
      <c r="A1056" s="55">
        <v>127575489108</v>
      </c>
      <c r="B1056" s="53" t="s">
        <v>2055</v>
      </c>
      <c r="C1056" s="54">
        <v>45926</v>
      </c>
      <c r="D1056" s="55">
        <v>50752994346</v>
      </c>
      <c r="E1056" s="55">
        <v>2079638971062</v>
      </c>
      <c r="F1056" s="56" t="s">
        <v>2056</v>
      </c>
      <c r="G1056" s="56" t="s">
        <v>2057</v>
      </c>
      <c r="H1056" s="56" t="s">
        <v>8</v>
      </c>
      <c r="I1056" s="55" t="s">
        <v>8</v>
      </c>
      <c r="J1056" s="57">
        <v>48.5</v>
      </c>
      <c r="K1056" s="56" t="s">
        <v>2058</v>
      </c>
      <c r="L1056" s="56" t="s">
        <v>2059</v>
      </c>
      <c r="M1056" s="55" t="s">
        <v>2060</v>
      </c>
      <c r="N1056" s="56" t="s">
        <v>2061</v>
      </c>
      <c r="O1056" s="53" t="s">
        <v>8</v>
      </c>
      <c r="P1056" s="56" t="s">
        <v>2531</v>
      </c>
      <c r="Q1056" s="57">
        <v>5000</v>
      </c>
      <c r="R1056" s="58" t="s">
        <v>8</v>
      </c>
      <c r="S1056" s="57" t="s">
        <v>8</v>
      </c>
      <c r="T1056" s="56" t="s">
        <v>2063</v>
      </c>
    </row>
    <row r="1057" spans="1:20">
      <c r="A1057" s="55">
        <v>127575732242</v>
      </c>
      <c r="B1057" s="53" t="s">
        <v>2055</v>
      </c>
      <c r="C1057" s="54">
        <v>45926</v>
      </c>
      <c r="D1057" s="55">
        <v>50753037693</v>
      </c>
      <c r="E1057" s="55">
        <v>2079584576175</v>
      </c>
      <c r="F1057" s="56" t="s">
        <v>2056</v>
      </c>
      <c r="G1057" s="56" t="s">
        <v>2057</v>
      </c>
      <c r="H1057" s="56" t="s">
        <v>8</v>
      </c>
      <c r="I1057" s="55" t="s">
        <v>8</v>
      </c>
      <c r="J1057" s="57">
        <v>369.57</v>
      </c>
      <c r="K1057" s="56" t="s">
        <v>2058</v>
      </c>
      <c r="L1057" s="56" t="s">
        <v>2059</v>
      </c>
      <c r="M1057" s="55" t="s">
        <v>2060</v>
      </c>
      <c r="N1057" s="56" t="s">
        <v>2061</v>
      </c>
      <c r="O1057" s="53" t="s">
        <v>8</v>
      </c>
      <c r="P1057" s="56" t="s">
        <v>2510</v>
      </c>
      <c r="Q1057" s="57">
        <v>38100</v>
      </c>
      <c r="R1057" s="58" t="s">
        <v>8</v>
      </c>
      <c r="S1057" s="57" t="s">
        <v>8</v>
      </c>
      <c r="T1057" s="56" t="s">
        <v>2063</v>
      </c>
    </row>
    <row r="1058" spans="1:20">
      <c r="A1058" s="55">
        <v>127575709104</v>
      </c>
      <c r="B1058" s="53" t="s">
        <v>2055</v>
      </c>
      <c r="C1058" s="54">
        <v>45926</v>
      </c>
      <c r="D1058" s="55">
        <v>50753058949</v>
      </c>
      <c r="E1058" s="55">
        <v>2079643010048</v>
      </c>
      <c r="F1058" s="56" t="s">
        <v>2056</v>
      </c>
      <c r="G1058" s="56" t="s">
        <v>2057</v>
      </c>
      <c r="H1058" s="56" t="s">
        <v>8</v>
      </c>
      <c r="I1058" s="55" t="s">
        <v>8</v>
      </c>
      <c r="J1058" s="57">
        <v>83.91</v>
      </c>
      <c r="K1058" s="56" t="s">
        <v>2058</v>
      </c>
      <c r="L1058" s="56" t="s">
        <v>2059</v>
      </c>
      <c r="M1058" s="55" t="s">
        <v>2060</v>
      </c>
      <c r="N1058" s="56" t="s">
        <v>2061</v>
      </c>
      <c r="O1058" s="53" t="s">
        <v>8</v>
      </c>
      <c r="P1058" s="56" t="s">
        <v>2086</v>
      </c>
      <c r="Q1058" s="57">
        <v>8650</v>
      </c>
      <c r="R1058" s="58" t="s">
        <v>8</v>
      </c>
      <c r="S1058" s="57" t="s">
        <v>8</v>
      </c>
      <c r="T1058" s="56" t="s">
        <v>2063</v>
      </c>
    </row>
    <row r="1059" spans="1:20">
      <c r="A1059" s="55">
        <v>127576498344</v>
      </c>
      <c r="B1059" s="53" t="s">
        <v>2055</v>
      </c>
      <c r="C1059" s="54">
        <v>45926</v>
      </c>
      <c r="D1059" s="55">
        <v>50753162858</v>
      </c>
      <c r="E1059" s="55">
        <v>2079593452149</v>
      </c>
      <c r="F1059" s="56" t="s">
        <v>2056</v>
      </c>
      <c r="G1059" s="56" t="s">
        <v>2057</v>
      </c>
      <c r="H1059" s="56" t="s">
        <v>8</v>
      </c>
      <c r="I1059" s="55" t="s">
        <v>8</v>
      </c>
      <c r="J1059" s="57">
        <v>521.38</v>
      </c>
      <c r="K1059" s="56" t="s">
        <v>2058</v>
      </c>
      <c r="L1059" s="56" t="s">
        <v>2059</v>
      </c>
      <c r="M1059" s="55" t="s">
        <v>2060</v>
      </c>
      <c r="N1059" s="56" t="s">
        <v>2061</v>
      </c>
      <c r="O1059" s="53" t="s">
        <v>8</v>
      </c>
      <c r="P1059" s="56" t="s">
        <v>2532</v>
      </c>
      <c r="Q1059" s="57">
        <v>53750</v>
      </c>
      <c r="R1059" s="58" t="s">
        <v>8</v>
      </c>
      <c r="S1059" s="57" t="s">
        <v>8</v>
      </c>
      <c r="T1059" s="56" t="s">
        <v>2063</v>
      </c>
    </row>
    <row r="1060" spans="1:20">
      <c r="A1060" s="55">
        <v>127576327400</v>
      </c>
      <c r="B1060" s="53" t="s">
        <v>2055</v>
      </c>
      <c r="C1060" s="54">
        <v>45926</v>
      </c>
      <c r="D1060" s="55">
        <v>50753188354</v>
      </c>
      <c r="E1060" s="55">
        <v>2079649955238</v>
      </c>
      <c r="F1060" s="56" t="s">
        <v>2056</v>
      </c>
      <c r="G1060" s="56" t="s">
        <v>2057</v>
      </c>
      <c r="H1060" s="56" t="s">
        <v>8</v>
      </c>
      <c r="I1060" s="55" t="s">
        <v>8</v>
      </c>
      <c r="J1060" s="57">
        <v>87.3</v>
      </c>
      <c r="K1060" s="56" t="s">
        <v>2058</v>
      </c>
      <c r="L1060" s="56" t="s">
        <v>2059</v>
      </c>
      <c r="M1060" s="55" t="s">
        <v>2060</v>
      </c>
      <c r="N1060" s="56" t="s">
        <v>2061</v>
      </c>
      <c r="O1060" s="53" t="s">
        <v>8</v>
      </c>
      <c r="P1060" s="56" t="s">
        <v>2533</v>
      </c>
      <c r="Q1060" s="57">
        <v>9000</v>
      </c>
      <c r="R1060" s="58" t="s">
        <v>8</v>
      </c>
      <c r="S1060" s="57" t="s">
        <v>8</v>
      </c>
      <c r="T1060" s="56" t="s">
        <v>2063</v>
      </c>
    </row>
    <row r="1061" spans="1:20">
      <c r="A1061" s="55">
        <v>127576590324</v>
      </c>
      <c r="B1061" s="53" t="s">
        <v>2055</v>
      </c>
      <c r="C1061" s="54">
        <v>45926</v>
      </c>
      <c r="D1061" s="55">
        <v>50753190760</v>
      </c>
      <c r="E1061" s="55">
        <v>2079650697896</v>
      </c>
      <c r="F1061" s="56" t="s">
        <v>2066</v>
      </c>
      <c r="G1061" s="56" t="s">
        <v>2057</v>
      </c>
      <c r="H1061" s="56" t="s">
        <v>8</v>
      </c>
      <c r="I1061" s="55" t="s">
        <v>8</v>
      </c>
      <c r="J1061" s="57">
        <v>163.44</v>
      </c>
      <c r="K1061" s="56" t="s">
        <v>2058</v>
      </c>
      <c r="L1061" s="56" t="s">
        <v>2067</v>
      </c>
      <c r="M1061" s="55" t="s">
        <v>2060</v>
      </c>
      <c r="N1061" s="56" t="s">
        <v>2061</v>
      </c>
      <c r="O1061" s="53" t="s">
        <v>1790</v>
      </c>
      <c r="P1061" s="56" t="s">
        <v>2068</v>
      </c>
      <c r="Q1061" s="57">
        <v>3600</v>
      </c>
      <c r="R1061" s="58" t="s">
        <v>8</v>
      </c>
      <c r="S1061" s="57" t="s">
        <v>8</v>
      </c>
      <c r="T1061" s="56" t="s">
        <v>2063</v>
      </c>
    </row>
    <row r="1062" spans="1:20">
      <c r="A1062" s="55">
        <v>127576545044</v>
      </c>
      <c r="B1062" s="53" t="s">
        <v>2055</v>
      </c>
      <c r="C1062" s="54">
        <v>45926</v>
      </c>
      <c r="D1062" s="55">
        <v>50753226504</v>
      </c>
      <c r="E1062" s="55">
        <v>2079595622437</v>
      </c>
      <c r="F1062" s="56" t="s">
        <v>2066</v>
      </c>
      <c r="G1062" s="56" t="s">
        <v>2057</v>
      </c>
      <c r="H1062" s="56" t="s">
        <v>8</v>
      </c>
      <c r="I1062" s="55" t="s">
        <v>8</v>
      </c>
      <c r="J1062" s="57">
        <v>295.10000000000002</v>
      </c>
      <c r="K1062" s="56" t="s">
        <v>2058</v>
      </c>
      <c r="L1062" s="56" t="s">
        <v>2067</v>
      </c>
      <c r="M1062" s="55" t="s">
        <v>2060</v>
      </c>
      <c r="N1062" s="56" t="s">
        <v>2061</v>
      </c>
      <c r="O1062" s="53" t="s">
        <v>1790</v>
      </c>
      <c r="P1062" s="56" t="s">
        <v>2068</v>
      </c>
      <c r="Q1062" s="57">
        <v>6500</v>
      </c>
      <c r="R1062" s="58" t="s">
        <v>8</v>
      </c>
      <c r="S1062" s="57" t="s">
        <v>8</v>
      </c>
      <c r="T1062" s="56" t="s">
        <v>2063</v>
      </c>
    </row>
    <row r="1063" spans="1:20">
      <c r="A1063" s="55">
        <v>127576557502</v>
      </c>
      <c r="B1063" s="53" t="s">
        <v>2055</v>
      </c>
      <c r="C1063" s="54">
        <v>45926</v>
      </c>
      <c r="D1063" s="55">
        <v>50753241261</v>
      </c>
      <c r="E1063" s="55">
        <v>2079652897122</v>
      </c>
      <c r="F1063" s="56" t="s">
        <v>2056</v>
      </c>
      <c r="G1063" s="56" t="s">
        <v>2057</v>
      </c>
      <c r="H1063" s="56" t="s">
        <v>8</v>
      </c>
      <c r="I1063" s="55" t="s">
        <v>8</v>
      </c>
      <c r="J1063" s="57">
        <v>1540.85</v>
      </c>
      <c r="K1063" s="56" t="s">
        <v>2058</v>
      </c>
      <c r="L1063" s="56" t="s">
        <v>2059</v>
      </c>
      <c r="M1063" s="55" t="s">
        <v>2060</v>
      </c>
      <c r="N1063" s="56" t="s">
        <v>2061</v>
      </c>
      <c r="O1063" s="53" t="s">
        <v>8</v>
      </c>
      <c r="P1063" s="56" t="s">
        <v>2402</v>
      </c>
      <c r="Q1063" s="57">
        <v>158850</v>
      </c>
      <c r="R1063" s="58" t="s">
        <v>8</v>
      </c>
      <c r="S1063" s="57" t="s">
        <v>8</v>
      </c>
      <c r="T1063" s="56" t="s">
        <v>2063</v>
      </c>
    </row>
    <row r="1064" spans="1:20">
      <c r="A1064" s="55">
        <v>127015620133</v>
      </c>
      <c r="B1064" s="53" t="s">
        <v>2055</v>
      </c>
      <c r="C1064" s="54">
        <v>45926</v>
      </c>
      <c r="D1064" s="55">
        <v>50753276740</v>
      </c>
      <c r="E1064" s="55">
        <v>2079597325733</v>
      </c>
      <c r="F1064" s="56" t="s">
        <v>2056</v>
      </c>
      <c r="G1064" s="56" t="s">
        <v>2057</v>
      </c>
      <c r="H1064" s="56" t="s">
        <v>8</v>
      </c>
      <c r="I1064" s="55" t="s">
        <v>8</v>
      </c>
      <c r="J1064" s="57">
        <v>130.94999999999999</v>
      </c>
      <c r="K1064" s="56" t="s">
        <v>2058</v>
      </c>
      <c r="L1064" s="56" t="s">
        <v>2059</v>
      </c>
      <c r="M1064" s="55" t="s">
        <v>2060</v>
      </c>
      <c r="N1064" s="56" t="s">
        <v>2061</v>
      </c>
      <c r="O1064" s="53" t="s">
        <v>8</v>
      </c>
      <c r="P1064" s="56" t="s">
        <v>2071</v>
      </c>
      <c r="Q1064" s="57">
        <v>13500</v>
      </c>
      <c r="R1064" s="58" t="s">
        <v>8</v>
      </c>
      <c r="S1064" s="57" t="s">
        <v>8</v>
      </c>
      <c r="T1064" s="56" t="s">
        <v>2063</v>
      </c>
    </row>
    <row r="1065" spans="1:20">
      <c r="A1065" s="55">
        <v>127015646835</v>
      </c>
      <c r="B1065" s="53" t="s">
        <v>2055</v>
      </c>
      <c r="C1065" s="54">
        <v>45926</v>
      </c>
      <c r="D1065" s="55">
        <v>50753300691</v>
      </c>
      <c r="E1065" s="55">
        <v>2079655823860</v>
      </c>
      <c r="F1065" s="56" t="s">
        <v>2069</v>
      </c>
      <c r="G1065" s="56" t="s">
        <v>2057</v>
      </c>
      <c r="H1065" s="56" t="s">
        <v>8</v>
      </c>
      <c r="I1065" s="55" t="s">
        <v>8</v>
      </c>
      <c r="J1065" s="57">
        <v>122.22</v>
      </c>
      <c r="K1065" s="56" t="s">
        <v>2058</v>
      </c>
      <c r="L1065" s="56" t="s">
        <v>2059</v>
      </c>
      <c r="M1065" s="55" t="s">
        <v>2060</v>
      </c>
      <c r="N1065" s="56" t="s">
        <v>2061</v>
      </c>
      <c r="O1065" s="53" t="s">
        <v>8</v>
      </c>
      <c r="P1065" s="56" t="s">
        <v>2070</v>
      </c>
      <c r="Q1065" s="57">
        <v>12600</v>
      </c>
      <c r="R1065" s="58" t="s">
        <v>8</v>
      </c>
      <c r="S1065" s="57" t="s">
        <v>8</v>
      </c>
      <c r="T1065" s="56" t="s">
        <v>8</v>
      </c>
    </row>
    <row r="1066" spans="1:20">
      <c r="A1066" s="55">
        <v>127015403685</v>
      </c>
      <c r="B1066" s="53" t="s">
        <v>2055</v>
      </c>
      <c r="C1066" s="54">
        <v>45926</v>
      </c>
      <c r="D1066" s="55">
        <v>50753306916</v>
      </c>
      <c r="E1066" s="55">
        <v>2079598990943</v>
      </c>
      <c r="F1066" s="56" t="s">
        <v>2056</v>
      </c>
      <c r="G1066" s="56" t="s">
        <v>2057</v>
      </c>
      <c r="H1066" s="56" t="s">
        <v>8</v>
      </c>
      <c r="I1066" s="55" t="s">
        <v>8</v>
      </c>
      <c r="J1066" s="57">
        <v>69.84</v>
      </c>
      <c r="K1066" s="56" t="s">
        <v>2058</v>
      </c>
      <c r="L1066" s="56" t="s">
        <v>2059</v>
      </c>
      <c r="M1066" s="55" t="s">
        <v>2060</v>
      </c>
      <c r="N1066" s="56" t="s">
        <v>2061</v>
      </c>
      <c r="O1066" s="53" t="s">
        <v>8</v>
      </c>
      <c r="P1066" s="56" t="s">
        <v>2534</v>
      </c>
      <c r="Q1066" s="57">
        <v>7200</v>
      </c>
      <c r="R1066" s="58" t="s">
        <v>8</v>
      </c>
      <c r="S1066" s="57" t="s">
        <v>8</v>
      </c>
      <c r="T1066" s="56" t="s">
        <v>2063</v>
      </c>
    </row>
    <row r="1067" spans="1:20">
      <c r="A1067" s="55">
        <v>127015860511</v>
      </c>
      <c r="B1067" s="53" t="s">
        <v>2055</v>
      </c>
      <c r="C1067" s="54">
        <v>45926</v>
      </c>
      <c r="D1067" s="55">
        <v>50753329933</v>
      </c>
      <c r="E1067" s="55">
        <v>2079657353424</v>
      </c>
      <c r="F1067" s="56" t="s">
        <v>2056</v>
      </c>
      <c r="G1067" s="56" t="s">
        <v>2057</v>
      </c>
      <c r="H1067" s="56" t="s">
        <v>8</v>
      </c>
      <c r="I1067" s="55" t="s">
        <v>8</v>
      </c>
      <c r="J1067" s="57">
        <v>43.65</v>
      </c>
      <c r="K1067" s="56" t="s">
        <v>2058</v>
      </c>
      <c r="L1067" s="56" t="s">
        <v>2059</v>
      </c>
      <c r="M1067" s="55" t="s">
        <v>2060</v>
      </c>
      <c r="N1067" s="56" t="s">
        <v>2061</v>
      </c>
      <c r="O1067" s="53" t="s">
        <v>8</v>
      </c>
      <c r="P1067" s="56" t="s">
        <v>2529</v>
      </c>
      <c r="Q1067" s="57">
        <v>4500</v>
      </c>
      <c r="R1067" s="58" t="s">
        <v>8</v>
      </c>
      <c r="S1067" s="57" t="s">
        <v>8</v>
      </c>
      <c r="T1067" s="56" t="s">
        <v>2063</v>
      </c>
    </row>
    <row r="1068" spans="1:20">
      <c r="A1068" s="55">
        <v>127576831188</v>
      </c>
      <c r="B1068" s="53" t="s">
        <v>2055</v>
      </c>
      <c r="C1068" s="54">
        <v>45926</v>
      </c>
      <c r="D1068" s="55">
        <v>50753356346</v>
      </c>
      <c r="E1068" s="55">
        <v>2079600085487</v>
      </c>
      <c r="F1068" s="56" t="s">
        <v>2056</v>
      </c>
      <c r="G1068" s="56" t="s">
        <v>2057</v>
      </c>
      <c r="H1068" s="56" t="s">
        <v>8</v>
      </c>
      <c r="I1068" s="55" t="s">
        <v>8</v>
      </c>
      <c r="J1068" s="57">
        <v>43.65</v>
      </c>
      <c r="K1068" s="56" t="s">
        <v>2058</v>
      </c>
      <c r="L1068" s="56" t="s">
        <v>2059</v>
      </c>
      <c r="M1068" s="55" t="s">
        <v>2060</v>
      </c>
      <c r="N1068" s="56" t="s">
        <v>2061</v>
      </c>
      <c r="O1068" s="53" t="s">
        <v>8</v>
      </c>
      <c r="P1068" s="56" t="s">
        <v>2521</v>
      </c>
      <c r="Q1068" s="57">
        <v>4500</v>
      </c>
      <c r="R1068" s="58" t="s">
        <v>8</v>
      </c>
      <c r="S1068" s="57" t="s">
        <v>8</v>
      </c>
      <c r="T1068" s="56" t="s">
        <v>2063</v>
      </c>
    </row>
    <row r="1069" spans="1:20">
      <c r="A1069" s="55">
        <v>127015606063</v>
      </c>
      <c r="B1069" s="53" t="s">
        <v>2055</v>
      </c>
      <c r="C1069" s="54">
        <v>45926</v>
      </c>
      <c r="D1069" s="55">
        <v>50753370812</v>
      </c>
      <c r="E1069" s="55">
        <v>2079658358852</v>
      </c>
      <c r="F1069" s="56" t="s">
        <v>2066</v>
      </c>
      <c r="G1069" s="56" t="s">
        <v>2057</v>
      </c>
      <c r="H1069" s="56" t="s">
        <v>8</v>
      </c>
      <c r="I1069" s="55" t="s">
        <v>8</v>
      </c>
      <c r="J1069" s="57">
        <v>281.48</v>
      </c>
      <c r="K1069" s="56" t="s">
        <v>2058</v>
      </c>
      <c r="L1069" s="56" t="s">
        <v>2067</v>
      </c>
      <c r="M1069" s="55" t="s">
        <v>2060</v>
      </c>
      <c r="N1069" s="56" t="s">
        <v>2061</v>
      </c>
      <c r="O1069" s="53" t="s">
        <v>1790</v>
      </c>
      <c r="P1069" s="56" t="s">
        <v>2068</v>
      </c>
      <c r="Q1069" s="57">
        <v>6200</v>
      </c>
      <c r="R1069" s="58" t="s">
        <v>8</v>
      </c>
      <c r="S1069" s="57" t="s">
        <v>8</v>
      </c>
      <c r="T1069" s="56" t="s">
        <v>2063</v>
      </c>
    </row>
    <row r="1070" spans="1:20">
      <c r="A1070" s="55">
        <v>127679194174</v>
      </c>
      <c r="B1070" s="53" t="s">
        <v>2055</v>
      </c>
      <c r="C1070" s="54">
        <v>45926</v>
      </c>
      <c r="D1070" s="55">
        <v>50788497189</v>
      </c>
      <c r="E1070" s="55">
        <v>2080339530870</v>
      </c>
      <c r="F1070" s="56" t="s">
        <v>2066</v>
      </c>
      <c r="G1070" s="56" t="s">
        <v>2057</v>
      </c>
      <c r="H1070" s="56" t="s">
        <v>8</v>
      </c>
      <c r="I1070" s="55" t="s">
        <v>8</v>
      </c>
      <c r="J1070" s="57">
        <v>532.70000000000005</v>
      </c>
      <c r="K1070" s="56" t="s">
        <v>2058</v>
      </c>
      <c r="L1070" s="56" t="s">
        <v>2067</v>
      </c>
      <c r="M1070" s="55" t="s">
        <v>2060</v>
      </c>
      <c r="N1070" s="56" t="s">
        <v>2061</v>
      </c>
      <c r="O1070" s="53" t="s">
        <v>1790</v>
      </c>
      <c r="P1070" s="56" t="s">
        <v>2068</v>
      </c>
      <c r="Q1070" s="57">
        <v>7000</v>
      </c>
      <c r="R1070" s="58" t="s">
        <v>8</v>
      </c>
      <c r="S1070" s="57" t="s">
        <v>8</v>
      </c>
      <c r="T1070" s="56" t="s">
        <v>2063</v>
      </c>
    </row>
    <row r="1071" spans="1:20">
      <c r="A1071" s="55">
        <v>127679388200</v>
      </c>
      <c r="B1071" s="53" t="s">
        <v>2055</v>
      </c>
      <c r="C1071" s="54">
        <v>45926</v>
      </c>
      <c r="D1071" s="55">
        <v>50788586787</v>
      </c>
      <c r="E1071" s="55">
        <v>2080341120212</v>
      </c>
      <c r="F1071" s="56" t="s">
        <v>2066</v>
      </c>
      <c r="G1071" s="56" t="s">
        <v>2057</v>
      </c>
      <c r="H1071" s="56" t="s">
        <v>8</v>
      </c>
      <c r="I1071" s="55" t="s">
        <v>8</v>
      </c>
      <c r="J1071" s="57">
        <v>510.9</v>
      </c>
      <c r="K1071" s="56" t="s">
        <v>2058</v>
      </c>
      <c r="L1071" s="56" t="s">
        <v>2067</v>
      </c>
      <c r="M1071" s="55" t="s">
        <v>2060</v>
      </c>
      <c r="N1071" s="56" t="s">
        <v>2061</v>
      </c>
      <c r="O1071" s="53" t="s">
        <v>1790</v>
      </c>
      <c r="P1071" s="56" t="s">
        <v>2068</v>
      </c>
      <c r="Q1071" s="57">
        <v>13000</v>
      </c>
      <c r="R1071" s="58" t="s">
        <v>8</v>
      </c>
      <c r="S1071" s="57" t="s">
        <v>8</v>
      </c>
      <c r="T1071" s="56" t="s">
        <v>2063</v>
      </c>
    </row>
    <row r="1072" spans="1:20">
      <c r="A1072" s="55">
        <v>127680169218</v>
      </c>
      <c r="B1072" s="53" t="s">
        <v>2055</v>
      </c>
      <c r="C1072" s="54">
        <v>45926</v>
      </c>
      <c r="D1072" s="55">
        <v>50788876826</v>
      </c>
      <c r="E1072" s="55">
        <v>2080346312708</v>
      </c>
      <c r="F1072" s="56" t="s">
        <v>2056</v>
      </c>
      <c r="G1072" s="56" t="s">
        <v>2057</v>
      </c>
      <c r="H1072" s="56" t="s">
        <v>8</v>
      </c>
      <c r="I1072" s="55" t="s">
        <v>8</v>
      </c>
      <c r="J1072" s="57">
        <v>2237.34</v>
      </c>
      <c r="K1072" s="56" t="s">
        <v>2058</v>
      </c>
      <c r="L1072" s="56" t="s">
        <v>2059</v>
      </c>
      <c r="M1072" s="55" t="s">
        <v>2060</v>
      </c>
      <c r="N1072" s="56" t="s">
        <v>2061</v>
      </c>
      <c r="O1072" s="53" t="s">
        <v>8</v>
      </c>
      <c r="P1072" s="56" t="s">
        <v>2384</v>
      </c>
      <c r="Q1072" s="57">
        <v>29400</v>
      </c>
      <c r="R1072" s="58" t="s">
        <v>8</v>
      </c>
      <c r="S1072" s="57" t="s">
        <v>8</v>
      </c>
      <c r="T1072" s="56" t="s">
        <v>2063</v>
      </c>
    </row>
    <row r="1073" spans="1:20">
      <c r="A1073" s="55">
        <v>127680295528</v>
      </c>
      <c r="B1073" s="53" t="s">
        <v>2055</v>
      </c>
      <c r="C1073" s="54">
        <v>45926</v>
      </c>
      <c r="D1073" s="55">
        <v>50788957507</v>
      </c>
      <c r="E1073" s="55">
        <v>2080347690222</v>
      </c>
      <c r="F1073" s="56" t="s">
        <v>2056</v>
      </c>
      <c r="G1073" s="56" t="s">
        <v>2057</v>
      </c>
      <c r="H1073" s="56" t="s">
        <v>8</v>
      </c>
      <c r="I1073" s="55" t="s">
        <v>8</v>
      </c>
      <c r="J1073" s="57">
        <v>1042.57</v>
      </c>
      <c r="K1073" s="56" t="s">
        <v>2058</v>
      </c>
      <c r="L1073" s="56" t="s">
        <v>2059</v>
      </c>
      <c r="M1073" s="55" t="s">
        <v>2060</v>
      </c>
      <c r="N1073" s="56" t="s">
        <v>2061</v>
      </c>
      <c r="O1073" s="53" t="s">
        <v>8</v>
      </c>
      <c r="P1073" s="56" t="s">
        <v>2147</v>
      </c>
      <c r="Q1073" s="57">
        <v>13700</v>
      </c>
      <c r="R1073" s="58" t="s">
        <v>8</v>
      </c>
      <c r="S1073" s="57" t="s">
        <v>8</v>
      </c>
      <c r="T1073" s="56" t="s">
        <v>2063</v>
      </c>
    </row>
    <row r="1074" spans="1:20">
      <c r="A1074" s="55">
        <v>127682236964</v>
      </c>
      <c r="B1074" s="53" t="s">
        <v>2055</v>
      </c>
      <c r="C1074" s="54">
        <v>45926</v>
      </c>
      <c r="D1074" s="55">
        <v>50789595294</v>
      </c>
      <c r="E1074" s="55">
        <v>2080359673708</v>
      </c>
      <c r="F1074" s="56" t="s">
        <v>2066</v>
      </c>
      <c r="G1074" s="56" t="s">
        <v>2057</v>
      </c>
      <c r="H1074" s="56" t="s">
        <v>8</v>
      </c>
      <c r="I1074" s="55" t="s">
        <v>8</v>
      </c>
      <c r="J1074" s="57">
        <v>1375.62</v>
      </c>
      <c r="K1074" s="56" t="s">
        <v>2058</v>
      </c>
      <c r="L1074" s="56" t="s">
        <v>2067</v>
      </c>
      <c r="M1074" s="55" t="s">
        <v>2060</v>
      </c>
      <c r="N1074" s="56" t="s">
        <v>2061</v>
      </c>
      <c r="O1074" s="53" t="s">
        <v>1790</v>
      </c>
      <c r="P1074" s="56" t="s">
        <v>2068</v>
      </c>
      <c r="Q1074" s="57">
        <v>30300</v>
      </c>
      <c r="R1074" s="58" t="s">
        <v>8</v>
      </c>
      <c r="S1074" s="57" t="s">
        <v>8</v>
      </c>
      <c r="T1074" s="56" t="s">
        <v>2063</v>
      </c>
    </row>
    <row r="1075" spans="1:20">
      <c r="A1075" s="55">
        <v>127685431266</v>
      </c>
      <c r="B1075" s="53" t="s">
        <v>2055</v>
      </c>
      <c r="C1075" s="54">
        <v>45926</v>
      </c>
      <c r="D1075" s="55">
        <v>50790702989</v>
      </c>
      <c r="E1075" s="55">
        <v>2080324786897</v>
      </c>
      <c r="F1075" s="56" t="s">
        <v>2056</v>
      </c>
      <c r="G1075" s="56" t="s">
        <v>2057</v>
      </c>
      <c r="H1075" s="56" t="s">
        <v>8</v>
      </c>
      <c r="I1075" s="55" t="s">
        <v>8</v>
      </c>
      <c r="J1075" s="57">
        <v>91.18</v>
      </c>
      <c r="K1075" s="56" t="s">
        <v>2058</v>
      </c>
      <c r="L1075" s="56" t="s">
        <v>2059</v>
      </c>
      <c r="M1075" s="55" t="s">
        <v>2060</v>
      </c>
      <c r="N1075" s="56" t="s">
        <v>2061</v>
      </c>
      <c r="O1075" s="53" t="s">
        <v>8</v>
      </c>
      <c r="P1075" s="56" t="s">
        <v>2535</v>
      </c>
      <c r="Q1075" s="57">
        <v>9400</v>
      </c>
      <c r="R1075" s="58" t="s">
        <v>8</v>
      </c>
      <c r="S1075" s="57" t="s">
        <v>8</v>
      </c>
      <c r="T1075" s="56" t="s">
        <v>2063</v>
      </c>
    </row>
    <row r="1076" spans="1:20">
      <c r="A1076" s="55">
        <v>127685463730</v>
      </c>
      <c r="B1076" s="53" t="s">
        <v>2055</v>
      </c>
      <c r="C1076" s="54">
        <v>45926</v>
      </c>
      <c r="D1076" s="55">
        <v>50790730923</v>
      </c>
      <c r="E1076" s="55">
        <v>2080382380650</v>
      </c>
      <c r="F1076" s="56" t="s">
        <v>2066</v>
      </c>
      <c r="G1076" s="56" t="s">
        <v>2057</v>
      </c>
      <c r="H1076" s="56" t="s">
        <v>8</v>
      </c>
      <c r="I1076" s="55" t="s">
        <v>8</v>
      </c>
      <c r="J1076" s="57">
        <v>176.85</v>
      </c>
      <c r="K1076" s="56" t="s">
        <v>2058</v>
      </c>
      <c r="L1076" s="56" t="s">
        <v>2067</v>
      </c>
      <c r="M1076" s="55" t="s">
        <v>2060</v>
      </c>
      <c r="N1076" s="56" t="s">
        <v>2061</v>
      </c>
      <c r="O1076" s="53" t="s">
        <v>1790</v>
      </c>
      <c r="P1076" s="56" t="s">
        <v>2068</v>
      </c>
      <c r="Q1076" s="57">
        <v>4500</v>
      </c>
      <c r="R1076" s="58" t="s">
        <v>8</v>
      </c>
      <c r="S1076" s="57" t="s">
        <v>8</v>
      </c>
      <c r="T1076" s="56" t="s">
        <v>2063</v>
      </c>
    </row>
    <row r="1077" spans="1:20">
      <c r="A1077" s="55">
        <v>127686983606</v>
      </c>
      <c r="B1077" s="53" t="s">
        <v>2055</v>
      </c>
      <c r="C1077" s="54">
        <v>45926</v>
      </c>
      <c r="D1077" s="55">
        <v>50791210484</v>
      </c>
      <c r="E1077" s="55">
        <v>2080335458779</v>
      </c>
      <c r="F1077" s="56" t="s">
        <v>2066</v>
      </c>
      <c r="G1077" s="56" t="s">
        <v>2057</v>
      </c>
      <c r="H1077" s="56" t="s">
        <v>8</v>
      </c>
      <c r="I1077" s="55" t="s">
        <v>8</v>
      </c>
      <c r="J1077" s="57">
        <v>204.3</v>
      </c>
      <c r="K1077" s="56" t="s">
        <v>2058</v>
      </c>
      <c r="L1077" s="56" t="s">
        <v>2067</v>
      </c>
      <c r="M1077" s="55" t="s">
        <v>2060</v>
      </c>
      <c r="N1077" s="56" t="s">
        <v>2061</v>
      </c>
      <c r="O1077" s="53" t="s">
        <v>1790</v>
      </c>
      <c r="P1077" s="56" t="s">
        <v>2068</v>
      </c>
      <c r="Q1077" s="57">
        <v>4500</v>
      </c>
      <c r="R1077" s="58" t="s">
        <v>8</v>
      </c>
      <c r="S1077" s="57" t="s">
        <v>8</v>
      </c>
      <c r="T1077" s="56" t="s">
        <v>2063</v>
      </c>
    </row>
    <row r="1078" spans="1:20">
      <c r="A1078" s="55">
        <v>127687107476</v>
      </c>
      <c r="B1078" s="53" t="s">
        <v>2055</v>
      </c>
      <c r="C1078" s="54">
        <v>45926</v>
      </c>
      <c r="D1078" s="55">
        <v>50791255993</v>
      </c>
      <c r="E1078" s="55">
        <v>2080336053227</v>
      </c>
      <c r="F1078" s="56" t="s">
        <v>2056</v>
      </c>
      <c r="G1078" s="56" t="s">
        <v>2057</v>
      </c>
      <c r="H1078" s="56" t="s">
        <v>8</v>
      </c>
      <c r="I1078" s="55" t="s">
        <v>8</v>
      </c>
      <c r="J1078" s="57">
        <v>77.599999999999994</v>
      </c>
      <c r="K1078" s="56" t="s">
        <v>2058</v>
      </c>
      <c r="L1078" s="56" t="s">
        <v>2059</v>
      </c>
      <c r="M1078" s="55" t="s">
        <v>2060</v>
      </c>
      <c r="N1078" s="56" t="s">
        <v>2061</v>
      </c>
      <c r="O1078" s="53" t="s">
        <v>8</v>
      </c>
      <c r="P1078" s="56" t="s">
        <v>2536</v>
      </c>
      <c r="Q1078" s="57">
        <v>8000</v>
      </c>
      <c r="R1078" s="58" t="s">
        <v>8</v>
      </c>
      <c r="S1078" s="57" t="s">
        <v>8</v>
      </c>
      <c r="T1078" s="56" t="s">
        <v>2063</v>
      </c>
    </row>
    <row r="1079" spans="1:20">
      <c r="A1079" s="55">
        <v>127126712461</v>
      </c>
      <c r="B1079" s="53" t="s">
        <v>2055</v>
      </c>
      <c r="C1079" s="54">
        <v>45926</v>
      </c>
      <c r="D1079" s="55">
        <v>50791610170</v>
      </c>
      <c r="E1079" s="55">
        <v>2080401100900</v>
      </c>
      <c r="F1079" s="56" t="s">
        <v>2056</v>
      </c>
      <c r="G1079" s="56" t="s">
        <v>2057</v>
      </c>
      <c r="H1079" s="56" t="s">
        <v>8</v>
      </c>
      <c r="I1079" s="55" t="s">
        <v>8</v>
      </c>
      <c r="J1079" s="57">
        <v>13621.9</v>
      </c>
      <c r="K1079" s="56" t="s">
        <v>2058</v>
      </c>
      <c r="L1079" s="56" t="s">
        <v>2059</v>
      </c>
      <c r="M1079" s="55" t="s">
        <v>2060</v>
      </c>
      <c r="N1079" s="56" t="s">
        <v>2061</v>
      </c>
      <c r="O1079" s="53" t="s">
        <v>8</v>
      </c>
      <c r="P1079" s="56" t="s">
        <v>2096</v>
      </c>
      <c r="Q1079" s="57">
        <v>179000</v>
      </c>
      <c r="R1079" s="58" t="s">
        <v>8</v>
      </c>
      <c r="S1079" s="57" t="s">
        <v>8</v>
      </c>
      <c r="T1079" s="56" t="s">
        <v>2063</v>
      </c>
    </row>
    <row r="1080" spans="1:20">
      <c r="A1080" s="55">
        <v>127688724722</v>
      </c>
      <c r="B1080" s="53" t="s">
        <v>2055</v>
      </c>
      <c r="C1080" s="54">
        <v>45926</v>
      </c>
      <c r="D1080" s="55">
        <v>50791788169</v>
      </c>
      <c r="E1080" s="55">
        <v>2080347445191</v>
      </c>
      <c r="F1080" s="56" t="s">
        <v>2066</v>
      </c>
      <c r="G1080" s="56" t="s">
        <v>2057</v>
      </c>
      <c r="H1080" s="56" t="s">
        <v>8</v>
      </c>
      <c r="I1080" s="55" t="s">
        <v>8</v>
      </c>
      <c r="J1080" s="57">
        <v>1057.17</v>
      </c>
      <c r="K1080" s="56" t="s">
        <v>2058</v>
      </c>
      <c r="L1080" s="56" t="s">
        <v>2067</v>
      </c>
      <c r="M1080" s="55" t="s">
        <v>2060</v>
      </c>
      <c r="N1080" s="56" t="s">
        <v>2061</v>
      </c>
      <c r="O1080" s="53" t="s">
        <v>1790</v>
      </c>
      <c r="P1080" s="56" t="s">
        <v>2068</v>
      </c>
      <c r="Q1080" s="57">
        <v>26900</v>
      </c>
      <c r="R1080" s="58" t="s">
        <v>8</v>
      </c>
      <c r="S1080" s="57" t="s">
        <v>8</v>
      </c>
      <c r="T1080" s="56" t="s">
        <v>2063</v>
      </c>
    </row>
    <row r="1081" spans="1:20">
      <c r="A1081" s="55">
        <v>127127545649</v>
      </c>
      <c r="B1081" s="53" t="s">
        <v>2055</v>
      </c>
      <c r="C1081" s="54">
        <v>45926</v>
      </c>
      <c r="D1081" s="55">
        <v>50791952788</v>
      </c>
      <c r="E1081" s="55">
        <v>2080351172707</v>
      </c>
      <c r="F1081" s="56" t="s">
        <v>2056</v>
      </c>
      <c r="G1081" s="56" t="s">
        <v>2057</v>
      </c>
      <c r="H1081" s="56" t="s">
        <v>8</v>
      </c>
      <c r="I1081" s="55" t="s">
        <v>8</v>
      </c>
      <c r="J1081" s="57">
        <v>595.58000000000004</v>
      </c>
      <c r="K1081" s="56" t="s">
        <v>2058</v>
      </c>
      <c r="L1081" s="56" t="s">
        <v>2059</v>
      </c>
      <c r="M1081" s="55" t="s">
        <v>2060</v>
      </c>
      <c r="N1081" s="56" t="s">
        <v>2061</v>
      </c>
      <c r="O1081" s="53" t="s">
        <v>8</v>
      </c>
      <c r="P1081" s="56" t="s">
        <v>2537</v>
      </c>
      <c r="Q1081" s="57">
        <v>61400</v>
      </c>
      <c r="R1081" s="58" t="s">
        <v>8</v>
      </c>
      <c r="S1081" s="57" t="s">
        <v>8</v>
      </c>
      <c r="T1081" s="56" t="s">
        <v>2063</v>
      </c>
    </row>
    <row r="1082" spans="1:20">
      <c r="A1082" s="55">
        <v>127130305985</v>
      </c>
      <c r="B1082" s="53" t="s">
        <v>2055</v>
      </c>
      <c r="C1082" s="54">
        <v>45926</v>
      </c>
      <c r="D1082" s="55">
        <v>50792909171</v>
      </c>
      <c r="E1082" s="55">
        <v>2080372389559</v>
      </c>
      <c r="F1082" s="56" t="s">
        <v>2056</v>
      </c>
      <c r="G1082" s="56" t="s">
        <v>2057</v>
      </c>
      <c r="H1082" s="56" t="s">
        <v>8</v>
      </c>
      <c r="I1082" s="55" t="s">
        <v>8</v>
      </c>
      <c r="J1082" s="57">
        <v>463.66</v>
      </c>
      <c r="K1082" s="56" t="s">
        <v>2058</v>
      </c>
      <c r="L1082" s="56" t="s">
        <v>2059</v>
      </c>
      <c r="M1082" s="55" t="s">
        <v>2060</v>
      </c>
      <c r="N1082" s="56" t="s">
        <v>2061</v>
      </c>
      <c r="O1082" s="53" t="s">
        <v>8</v>
      </c>
      <c r="P1082" s="56" t="s">
        <v>2538</v>
      </c>
      <c r="Q1082" s="57">
        <v>47800</v>
      </c>
      <c r="R1082" s="58" t="s">
        <v>8</v>
      </c>
      <c r="S1082" s="57" t="s">
        <v>8</v>
      </c>
      <c r="T1082" s="56" t="s">
        <v>2063</v>
      </c>
    </row>
    <row r="1083" spans="1:20">
      <c r="A1083" s="55">
        <v>127691820066</v>
      </c>
      <c r="B1083" s="53" t="s">
        <v>2055</v>
      </c>
      <c r="C1083" s="54">
        <v>45926</v>
      </c>
      <c r="D1083" s="55">
        <v>50792956263</v>
      </c>
      <c r="E1083" s="55">
        <v>2080372886969</v>
      </c>
      <c r="F1083" s="56" t="s">
        <v>2056</v>
      </c>
      <c r="G1083" s="56" t="s">
        <v>2057</v>
      </c>
      <c r="H1083" s="56" t="s">
        <v>8</v>
      </c>
      <c r="I1083" s="55" t="s">
        <v>8</v>
      </c>
      <c r="J1083" s="57">
        <v>284.20999999999998</v>
      </c>
      <c r="K1083" s="56" t="s">
        <v>2058</v>
      </c>
      <c r="L1083" s="56" t="s">
        <v>2059</v>
      </c>
      <c r="M1083" s="55" t="s">
        <v>2060</v>
      </c>
      <c r="N1083" s="56" t="s">
        <v>2061</v>
      </c>
      <c r="O1083" s="53" t="s">
        <v>8</v>
      </c>
      <c r="P1083" s="56" t="s">
        <v>2539</v>
      </c>
      <c r="Q1083" s="57">
        <v>29300</v>
      </c>
      <c r="R1083" s="58" t="s">
        <v>8</v>
      </c>
      <c r="S1083" s="57" t="s">
        <v>8</v>
      </c>
      <c r="T1083" s="56" t="s">
        <v>2063</v>
      </c>
    </row>
    <row r="1084" spans="1:20">
      <c r="A1084" s="55">
        <v>127130788563</v>
      </c>
      <c r="B1084" s="53" t="s">
        <v>2055</v>
      </c>
      <c r="C1084" s="54">
        <v>45926</v>
      </c>
      <c r="D1084" s="55">
        <v>50793019212</v>
      </c>
      <c r="E1084" s="55">
        <v>2080374828069</v>
      </c>
      <c r="F1084" s="56" t="s">
        <v>2056</v>
      </c>
      <c r="G1084" s="56" t="s">
        <v>2057</v>
      </c>
      <c r="H1084" s="56" t="s">
        <v>8</v>
      </c>
      <c r="I1084" s="55" t="s">
        <v>8</v>
      </c>
      <c r="J1084" s="57">
        <v>362.78</v>
      </c>
      <c r="K1084" s="56" t="s">
        <v>2058</v>
      </c>
      <c r="L1084" s="56" t="s">
        <v>2059</v>
      </c>
      <c r="M1084" s="55" t="s">
        <v>2060</v>
      </c>
      <c r="N1084" s="56" t="s">
        <v>2061</v>
      </c>
      <c r="O1084" s="53" t="s">
        <v>8</v>
      </c>
      <c r="P1084" s="56" t="s">
        <v>2540</v>
      </c>
      <c r="Q1084" s="57">
        <v>37400</v>
      </c>
      <c r="R1084" s="58" t="s">
        <v>8</v>
      </c>
      <c r="S1084" s="57" t="s">
        <v>8</v>
      </c>
      <c r="T1084" s="56" t="s">
        <v>2063</v>
      </c>
    </row>
    <row r="1085" spans="1:20">
      <c r="A1085" s="55">
        <v>127692414538</v>
      </c>
      <c r="B1085" s="53" t="s">
        <v>2055</v>
      </c>
      <c r="C1085" s="54">
        <v>45926</v>
      </c>
      <c r="D1085" s="55">
        <v>50793060158</v>
      </c>
      <c r="E1085" s="55">
        <v>2080375972577</v>
      </c>
      <c r="F1085" s="56" t="s">
        <v>2056</v>
      </c>
      <c r="G1085" s="56" t="s">
        <v>2057</v>
      </c>
      <c r="H1085" s="56" t="s">
        <v>8</v>
      </c>
      <c r="I1085" s="55" t="s">
        <v>8</v>
      </c>
      <c r="J1085" s="57">
        <v>1223.17</v>
      </c>
      <c r="K1085" s="56" t="s">
        <v>2058</v>
      </c>
      <c r="L1085" s="56" t="s">
        <v>2059</v>
      </c>
      <c r="M1085" s="55" t="s">
        <v>2060</v>
      </c>
      <c r="N1085" s="56" t="s">
        <v>2061</v>
      </c>
      <c r="O1085" s="53" t="s">
        <v>8</v>
      </c>
      <c r="P1085" s="56" t="s">
        <v>2541</v>
      </c>
      <c r="Q1085" s="57">
        <v>126100</v>
      </c>
      <c r="R1085" s="58" t="s">
        <v>8</v>
      </c>
      <c r="S1085" s="57" t="s">
        <v>8</v>
      </c>
      <c r="T1085" s="56" t="s">
        <v>2063</v>
      </c>
    </row>
    <row r="1086" spans="1:20">
      <c r="A1086" s="55">
        <v>127692795340</v>
      </c>
      <c r="B1086" s="53" t="s">
        <v>2055</v>
      </c>
      <c r="C1086" s="54">
        <v>45926</v>
      </c>
      <c r="D1086" s="55">
        <v>50793210463</v>
      </c>
      <c r="E1086" s="55">
        <v>2080435930048</v>
      </c>
      <c r="F1086" s="56" t="s">
        <v>2066</v>
      </c>
      <c r="G1086" s="56" t="s">
        <v>2057</v>
      </c>
      <c r="H1086" s="56" t="s">
        <v>8</v>
      </c>
      <c r="I1086" s="55" t="s">
        <v>8</v>
      </c>
      <c r="J1086" s="57">
        <v>1013.94</v>
      </c>
      <c r="K1086" s="56" t="s">
        <v>2058</v>
      </c>
      <c r="L1086" s="56" t="s">
        <v>2067</v>
      </c>
      <c r="M1086" s="55" t="s">
        <v>2060</v>
      </c>
      <c r="N1086" s="56" t="s">
        <v>2061</v>
      </c>
      <c r="O1086" s="53" t="s">
        <v>1790</v>
      </c>
      <c r="P1086" s="56" t="s">
        <v>2068</v>
      </c>
      <c r="Q1086" s="57">
        <v>25800</v>
      </c>
      <c r="R1086" s="58" t="s">
        <v>8</v>
      </c>
      <c r="S1086" s="57" t="s">
        <v>8</v>
      </c>
      <c r="T1086" s="56" t="s">
        <v>2063</v>
      </c>
    </row>
    <row r="1087" spans="1:20">
      <c r="A1087" s="55">
        <v>127132014539</v>
      </c>
      <c r="B1087" s="53" t="s">
        <v>2055</v>
      </c>
      <c r="C1087" s="54">
        <v>45926</v>
      </c>
      <c r="D1087" s="55">
        <v>50793537338</v>
      </c>
      <c r="E1087" s="55">
        <v>2080443067536</v>
      </c>
      <c r="F1087" s="56" t="s">
        <v>2066</v>
      </c>
      <c r="G1087" s="56" t="s">
        <v>2057</v>
      </c>
      <c r="H1087" s="56" t="s">
        <v>8</v>
      </c>
      <c r="I1087" s="55" t="s">
        <v>8</v>
      </c>
      <c r="J1087" s="57">
        <v>1803.87</v>
      </c>
      <c r="K1087" s="56" t="s">
        <v>2058</v>
      </c>
      <c r="L1087" s="56" t="s">
        <v>2067</v>
      </c>
      <c r="M1087" s="55" t="s">
        <v>2060</v>
      </c>
      <c r="N1087" s="56" t="s">
        <v>2061</v>
      </c>
      <c r="O1087" s="53" t="s">
        <v>1790</v>
      </c>
      <c r="P1087" s="56" t="s">
        <v>2068</v>
      </c>
      <c r="Q1087" s="57">
        <v>45900</v>
      </c>
      <c r="R1087" s="58" t="s">
        <v>8</v>
      </c>
      <c r="S1087" s="57" t="s">
        <v>8</v>
      </c>
      <c r="T1087" s="56" t="s">
        <v>2063</v>
      </c>
    </row>
    <row r="1088" spans="1:20">
      <c r="A1088" s="55">
        <v>127132281045</v>
      </c>
      <c r="B1088" s="53" t="s">
        <v>2055</v>
      </c>
      <c r="C1088" s="54">
        <v>45926</v>
      </c>
      <c r="D1088" s="55">
        <v>50793601620</v>
      </c>
      <c r="E1088" s="55">
        <v>2080445086242</v>
      </c>
      <c r="F1088" s="56" t="s">
        <v>2056</v>
      </c>
      <c r="G1088" s="56" t="s">
        <v>2057</v>
      </c>
      <c r="H1088" s="56" t="s">
        <v>8</v>
      </c>
      <c r="I1088" s="55" t="s">
        <v>8</v>
      </c>
      <c r="J1088" s="57">
        <v>425.83</v>
      </c>
      <c r="K1088" s="56" t="s">
        <v>2058</v>
      </c>
      <c r="L1088" s="56" t="s">
        <v>2059</v>
      </c>
      <c r="M1088" s="55" t="s">
        <v>2060</v>
      </c>
      <c r="N1088" s="56" t="s">
        <v>2061</v>
      </c>
      <c r="O1088" s="53" t="s">
        <v>8</v>
      </c>
      <c r="P1088" s="56" t="s">
        <v>2283</v>
      </c>
      <c r="Q1088" s="57">
        <v>43900</v>
      </c>
      <c r="R1088" s="58" t="s">
        <v>8</v>
      </c>
      <c r="S1088" s="57" t="s">
        <v>8</v>
      </c>
      <c r="T1088" s="56" t="s">
        <v>2063</v>
      </c>
    </row>
    <row r="1089" spans="1:20">
      <c r="A1089" s="55">
        <v>127693996562</v>
      </c>
      <c r="B1089" s="53" t="s">
        <v>2055</v>
      </c>
      <c r="C1089" s="54">
        <v>45926</v>
      </c>
      <c r="D1089" s="55">
        <v>50793658440</v>
      </c>
      <c r="E1089" s="55">
        <v>2080388396717</v>
      </c>
      <c r="F1089" s="56" t="s">
        <v>2066</v>
      </c>
      <c r="G1089" s="56" t="s">
        <v>2057</v>
      </c>
      <c r="H1089" s="56" t="s">
        <v>8</v>
      </c>
      <c r="I1089" s="55" t="s">
        <v>8</v>
      </c>
      <c r="J1089" s="57">
        <v>204.3</v>
      </c>
      <c r="K1089" s="56" t="s">
        <v>2058</v>
      </c>
      <c r="L1089" s="56" t="s">
        <v>2067</v>
      </c>
      <c r="M1089" s="55" t="s">
        <v>2060</v>
      </c>
      <c r="N1089" s="56" t="s">
        <v>2061</v>
      </c>
      <c r="O1089" s="53" t="s">
        <v>1790</v>
      </c>
      <c r="P1089" s="56" t="s">
        <v>2068</v>
      </c>
      <c r="Q1089" s="57">
        <v>4500</v>
      </c>
      <c r="R1089" s="58" t="s">
        <v>8</v>
      </c>
      <c r="S1089" s="57" t="s">
        <v>8</v>
      </c>
      <c r="T1089" s="56" t="s">
        <v>2063</v>
      </c>
    </row>
    <row r="1090" spans="1:20">
      <c r="A1090" s="55">
        <v>127694077596</v>
      </c>
      <c r="B1090" s="53" t="s">
        <v>2055</v>
      </c>
      <c r="C1090" s="54">
        <v>45926</v>
      </c>
      <c r="D1090" s="55">
        <v>50793729589</v>
      </c>
      <c r="E1090" s="55">
        <v>2080447173162</v>
      </c>
      <c r="F1090" s="56" t="s">
        <v>2056</v>
      </c>
      <c r="G1090" s="56" t="s">
        <v>2057</v>
      </c>
      <c r="H1090" s="56" t="s">
        <v>8</v>
      </c>
      <c r="I1090" s="55" t="s">
        <v>8</v>
      </c>
      <c r="J1090" s="57">
        <v>43.65</v>
      </c>
      <c r="K1090" s="56" t="s">
        <v>2058</v>
      </c>
      <c r="L1090" s="56" t="s">
        <v>2059</v>
      </c>
      <c r="M1090" s="55" t="s">
        <v>2060</v>
      </c>
      <c r="N1090" s="56" t="s">
        <v>2061</v>
      </c>
      <c r="O1090" s="53" t="s">
        <v>8</v>
      </c>
      <c r="P1090" s="56" t="s">
        <v>2420</v>
      </c>
      <c r="Q1090" s="57">
        <v>4500</v>
      </c>
      <c r="R1090" s="58" t="s">
        <v>8</v>
      </c>
      <c r="S1090" s="57" t="s">
        <v>8</v>
      </c>
      <c r="T1090" s="56" t="s">
        <v>2063</v>
      </c>
    </row>
    <row r="1091" spans="1:20">
      <c r="A1091" s="55">
        <v>127694163582</v>
      </c>
      <c r="B1091" s="53" t="s">
        <v>2055</v>
      </c>
      <c r="C1091" s="54">
        <v>45926</v>
      </c>
      <c r="D1091" s="55">
        <v>50793735554</v>
      </c>
      <c r="E1091" s="55">
        <v>2080390119993</v>
      </c>
      <c r="F1091" s="56" t="s">
        <v>2056</v>
      </c>
      <c r="G1091" s="56" t="s">
        <v>2057</v>
      </c>
      <c r="H1091" s="56" t="s">
        <v>8</v>
      </c>
      <c r="I1091" s="55" t="s">
        <v>8</v>
      </c>
      <c r="J1091" s="57">
        <v>309.43</v>
      </c>
      <c r="K1091" s="56" t="s">
        <v>2058</v>
      </c>
      <c r="L1091" s="56" t="s">
        <v>2059</v>
      </c>
      <c r="M1091" s="55" t="s">
        <v>2060</v>
      </c>
      <c r="N1091" s="56" t="s">
        <v>2061</v>
      </c>
      <c r="O1091" s="53" t="s">
        <v>8</v>
      </c>
      <c r="P1091" s="56" t="s">
        <v>2542</v>
      </c>
      <c r="Q1091" s="57">
        <v>31900</v>
      </c>
      <c r="R1091" s="58" t="s">
        <v>8</v>
      </c>
      <c r="S1091" s="57" t="s">
        <v>8</v>
      </c>
      <c r="T1091" s="56" t="s">
        <v>2063</v>
      </c>
    </row>
    <row r="1092" spans="1:20">
      <c r="A1092" s="55">
        <v>127694198004</v>
      </c>
      <c r="B1092" s="53" t="s">
        <v>2055</v>
      </c>
      <c r="C1092" s="54">
        <v>45926</v>
      </c>
      <c r="D1092" s="55">
        <v>50793753371</v>
      </c>
      <c r="E1092" s="55">
        <v>2080448018888</v>
      </c>
      <c r="F1092" s="56" t="s">
        <v>2056</v>
      </c>
      <c r="G1092" s="56" t="s">
        <v>2057</v>
      </c>
      <c r="H1092" s="56" t="s">
        <v>8</v>
      </c>
      <c r="I1092" s="55" t="s">
        <v>8</v>
      </c>
      <c r="J1092" s="57">
        <v>257.05</v>
      </c>
      <c r="K1092" s="56" t="s">
        <v>2058</v>
      </c>
      <c r="L1092" s="56" t="s">
        <v>2059</v>
      </c>
      <c r="M1092" s="55" t="s">
        <v>2060</v>
      </c>
      <c r="N1092" s="56" t="s">
        <v>2061</v>
      </c>
      <c r="O1092" s="53" t="s">
        <v>8</v>
      </c>
      <c r="P1092" s="56" t="s">
        <v>2543</v>
      </c>
      <c r="Q1092" s="57">
        <v>26500</v>
      </c>
      <c r="R1092" s="58" t="s">
        <v>8</v>
      </c>
      <c r="S1092" s="57" t="s">
        <v>8</v>
      </c>
      <c r="T1092" s="56" t="s">
        <v>2063</v>
      </c>
    </row>
    <row r="1093" spans="1:20">
      <c r="A1093" s="55">
        <v>127696845350</v>
      </c>
      <c r="B1093" s="53" t="s">
        <v>2055</v>
      </c>
      <c r="C1093" s="54">
        <v>45926</v>
      </c>
      <c r="D1093" s="55">
        <v>50794711564</v>
      </c>
      <c r="E1093" s="55">
        <v>2080409978307</v>
      </c>
      <c r="F1093" s="56" t="s">
        <v>2056</v>
      </c>
      <c r="G1093" s="56" t="s">
        <v>2057</v>
      </c>
      <c r="H1093" s="56" t="s">
        <v>8</v>
      </c>
      <c r="I1093" s="55" t="s">
        <v>8</v>
      </c>
      <c r="J1093" s="57">
        <v>306.52</v>
      </c>
      <c r="K1093" s="56" t="s">
        <v>2058</v>
      </c>
      <c r="L1093" s="56" t="s">
        <v>2059</v>
      </c>
      <c r="M1093" s="55" t="s">
        <v>2060</v>
      </c>
      <c r="N1093" s="56" t="s">
        <v>2061</v>
      </c>
      <c r="O1093" s="53" t="s">
        <v>8</v>
      </c>
      <c r="P1093" s="56" t="s">
        <v>2228</v>
      </c>
      <c r="Q1093" s="57">
        <v>31600</v>
      </c>
      <c r="R1093" s="58" t="s">
        <v>8</v>
      </c>
      <c r="S1093" s="57" t="s">
        <v>8</v>
      </c>
      <c r="T1093" s="56" t="s">
        <v>2063</v>
      </c>
    </row>
    <row r="1094" spans="1:20">
      <c r="A1094" s="55">
        <v>127697127812</v>
      </c>
      <c r="B1094" s="53" t="s">
        <v>2055</v>
      </c>
      <c r="C1094" s="54">
        <v>45926</v>
      </c>
      <c r="D1094" s="55">
        <v>50794879306</v>
      </c>
      <c r="E1094" s="55">
        <v>2080469933310</v>
      </c>
      <c r="F1094" s="56" t="s">
        <v>2066</v>
      </c>
      <c r="G1094" s="56" t="s">
        <v>2057</v>
      </c>
      <c r="H1094" s="56" t="s">
        <v>8</v>
      </c>
      <c r="I1094" s="55" t="s">
        <v>8</v>
      </c>
      <c r="J1094" s="57">
        <v>13393.6</v>
      </c>
      <c r="K1094" s="56" t="s">
        <v>2058</v>
      </c>
      <c r="L1094" s="56" t="s">
        <v>2067</v>
      </c>
      <c r="M1094" s="55" t="s">
        <v>2060</v>
      </c>
      <c r="N1094" s="56" t="s">
        <v>2061</v>
      </c>
      <c r="O1094" s="53" t="s">
        <v>1790</v>
      </c>
      <c r="P1094" s="56" t="s">
        <v>2068</v>
      </c>
      <c r="Q1094" s="57">
        <v>176000</v>
      </c>
      <c r="R1094" s="58" t="s">
        <v>8</v>
      </c>
      <c r="S1094" s="57" t="s">
        <v>8</v>
      </c>
      <c r="T1094" s="56" t="s">
        <v>2063</v>
      </c>
    </row>
    <row r="1095" spans="1:20">
      <c r="A1095" s="55">
        <v>127135874547</v>
      </c>
      <c r="B1095" s="53" t="s">
        <v>2055</v>
      </c>
      <c r="C1095" s="54">
        <v>45926</v>
      </c>
      <c r="D1095" s="55">
        <v>50794951103</v>
      </c>
      <c r="E1095" s="55">
        <v>2080471839358</v>
      </c>
      <c r="F1095" s="56" t="s">
        <v>2066</v>
      </c>
      <c r="G1095" s="56" t="s">
        <v>2057</v>
      </c>
      <c r="H1095" s="56" t="s">
        <v>8</v>
      </c>
      <c r="I1095" s="55" t="s">
        <v>8</v>
      </c>
      <c r="J1095" s="57">
        <v>2157.5700000000002</v>
      </c>
      <c r="K1095" s="56" t="s">
        <v>2058</v>
      </c>
      <c r="L1095" s="56" t="s">
        <v>2067</v>
      </c>
      <c r="M1095" s="55" t="s">
        <v>2060</v>
      </c>
      <c r="N1095" s="56" t="s">
        <v>2061</v>
      </c>
      <c r="O1095" s="53" t="s">
        <v>1790</v>
      </c>
      <c r="P1095" s="56" t="s">
        <v>2068</v>
      </c>
      <c r="Q1095" s="57">
        <v>54900</v>
      </c>
      <c r="R1095" s="58" t="s">
        <v>8</v>
      </c>
      <c r="S1095" s="57" t="s">
        <v>8</v>
      </c>
      <c r="T1095" s="56" t="s">
        <v>2063</v>
      </c>
    </row>
    <row r="1096" spans="1:20">
      <c r="A1096" s="55">
        <v>127135739949</v>
      </c>
      <c r="B1096" s="53" t="s">
        <v>2055</v>
      </c>
      <c r="C1096" s="54">
        <v>45926</v>
      </c>
      <c r="D1096" s="55">
        <v>50794980033</v>
      </c>
      <c r="E1096" s="55">
        <v>2080414958811</v>
      </c>
      <c r="F1096" s="56" t="s">
        <v>2056</v>
      </c>
      <c r="G1096" s="56" t="s">
        <v>2057</v>
      </c>
      <c r="H1096" s="56" t="s">
        <v>8</v>
      </c>
      <c r="I1096" s="55" t="s">
        <v>8</v>
      </c>
      <c r="J1096" s="57">
        <v>343.38</v>
      </c>
      <c r="K1096" s="56" t="s">
        <v>2058</v>
      </c>
      <c r="L1096" s="56" t="s">
        <v>2059</v>
      </c>
      <c r="M1096" s="55" t="s">
        <v>2060</v>
      </c>
      <c r="N1096" s="56" t="s">
        <v>2061</v>
      </c>
      <c r="O1096" s="53" t="s">
        <v>8</v>
      </c>
      <c r="P1096" s="56" t="s">
        <v>2544</v>
      </c>
      <c r="Q1096" s="57">
        <v>35400</v>
      </c>
      <c r="R1096" s="58" t="s">
        <v>8</v>
      </c>
      <c r="S1096" s="57" t="s">
        <v>8</v>
      </c>
      <c r="T1096" s="56" t="s">
        <v>2063</v>
      </c>
    </row>
    <row r="1097" spans="1:20">
      <c r="A1097" s="55">
        <v>127697846676</v>
      </c>
      <c r="B1097" s="53" t="s">
        <v>2055</v>
      </c>
      <c r="C1097" s="54">
        <v>45926</v>
      </c>
      <c r="D1097" s="55">
        <v>50795091501</v>
      </c>
      <c r="E1097" s="55">
        <v>2080474447664</v>
      </c>
      <c r="F1097" s="56" t="s">
        <v>2056</v>
      </c>
      <c r="G1097" s="56" t="s">
        <v>2057</v>
      </c>
      <c r="H1097" s="56" t="s">
        <v>8</v>
      </c>
      <c r="I1097" s="55" t="s">
        <v>8</v>
      </c>
      <c r="J1097" s="57">
        <v>146.47</v>
      </c>
      <c r="K1097" s="56" t="s">
        <v>2058</v>
      </c>
      <c r="L1097" s="56" t="s">
        <v>2059</v>
      </c>
      <c r="M1097" s="55" t="s">
        <v>2060</v>
      </c>
      <c r="N1097" s="56" t="s">
        <v>2061</v>
      </c>
      <c r="O1097" s="53" t="s">
        <v>8</v>
      </c>
      <c r="P1097" s="56" t="s">
        <v>2545</v>
      </c>
      <c r="Q1097" s="57">
        <v>15100</v>
      </c>
      <c r="R1097" s="58" t="s">
        <v>8</v>
      </c>
      <c r="S1097" s="57" t="s">
        <v>8</v>
      </c>
      <c r="T1097" s="56" t="s">
        <v>2063</v>
      </c>
    </row>
    <row r="1098" spans="1:20">
      <c r="A1098" s="55">
        <v>127698564448</v>
      </c>
      <c r="B1098" s="53" t="s">
        <v>2055</v>
      </c>
      <c r="C1098" s="54">
        <v>45926</v>
      </c>
      <c r="D1098" s="55">
        <v>50795323135</v>
      </c>
      <c r="E1098" s="55">
        <v>2080478844384</v>
      </c>
      <c r="F1098" s="56" t="s">
        <v>2069</v>
      </c>
      <c r="G1098" s="56" t="s">
        <v>2057</v>
      </c>
      <c r="H1098" s="56" t="s">
        <v>8</v>
      </c>
      <c r="I1098" s="55" t="s">
        <v>8</v>
      </c>
      <c r="J1098" s="57">
        <v>130.94999999999999</v>
      </c>
      <c r="K1098" s="56" t="s">
        <v>2058</v>
      </c>
      <c r="L1098" s="56" t="s">
        <v>2059</v>
      </c>
      <c r="M1098" s="55" t="s">
        <v>2060</v>
      </c>
      <c r="N1098" s="56" t="s">
        <v>2061</v>
      </c>
      <c r="O1098" s="53" t="s">
        <v>8</v>
      </c>
      <c r="P1098" s="56" t="s">
        <v>2070</v>
      </c>
      <c r="Q1098" s="57">
        <v>13500</v>
      </c>
      <c r="R1098" s="58" t="s">
        <v>8</v>
      </c>
      <c r="S1098" s="57" t="s">
        <v>8</v>
      </c>
      <c r="T1098" s="56" t="s">
        <v>8</v>
      </c>
    </row>
    <row r="1099" spans="1:20">
      <c r="A1099" s="55">
        <v>127137102327</v>
      </c>
      <c r="B1099" s="53" t="s">
        <v>2055</v>
      </c>
      <c r="C1099" s="54">
        <v>45926</v>
      </c>
      <c r="D1099" s="55">
        <v>50795363566</v>
      </c>
      <c r="E1099" s="55">
        <v>2080479630178</v>
      </c>
      <c r="F1099" s="56" t="s">
        <v>2066</v>
      </c>
      <c r="G1099" s="56" t="s">
        <v>2057</v>
      </c>
      <c r="H1099" s="56" t="s">
        <v>8</v>
      </c>
      <c r="I1099" s="55" t="s">
        <v>8</v>
      </c>
      <c r="J1099" s="57">
        <v>1568.07</v>
      </c>
      <c r="K1099" s="56" t="s">
        <v>2058</v>
      </c>
      <c r="L1099" s="56" t="s">
        <v>2067</v>
      </c>
      <c r="M1099" s="55" t="s">
        <v>2060</v>
      </c>
      <c r="N1099" s="56" t="s">
        <v>2061</v>
      </c>
      <c r="O1099" s="53" t="s">
        <v>1790</v>
      </c>
      <c r="P1099" s="56" t="s">
        <v>2068</v>
      </c>
      <c r="Q1099" s="57">
        <v>39900</v>
      </c>
      <c r="R1099" s="58" t="s">
        <v>8</v>
      </c>
      <c r="S1099" s="57" t="s">
        <v>8</v>
      </c>
      <c r="T1099" s="56" t="s">
        <v>2063</v>
      </c>
    </row>
    <row r="1100" spans="1:20">
      <c r="A1100" s="55">
        <v>127137188773</v>
      </c>
      <c r="B1100" s="53" t="s">
        <v>2055</v>
      </c>
      <c r="C1100" s="54">
        <v>45926</v>
      </c>
      <c r="D1100" s="55">
        <v>50795426542</v>
      </c>
      <c r="E1100" s="55">
        <v>2080423252361</v>
      </c>
      <c r="F1100" s="56" t="s">
        <v>2066</v>
      </c>
      <c r="G1100" s="56" t="s">
        <v>2057</v>
      </c>
      <c r="H1100" s="56" t="s">
        <v>8</v>
      </c>
      <c r="I1100" s="55" t="s">
        <v>8</v>
      </c>
      <c r="J1100" s="57">
        <v>981.69</v>
      </c>
      <c r="K1100" s="56" t="s">
        <v>2058</v>
      </c>
      <c r="L1100" s="56" t="s">
        <v>2067</v>
      </c>
      <c r="M1100" s="55" t="s">
        <v>2060</v>
      </c>
      <c r="N1100" s="56" t="s">
        <v>2061</v>
      </c>
      <c r="O1100" s="53" t="s">
        <v>1790</v>
      </c>
      <c r="P1100" s="56" t="s">
        <v>2068</v>
      </c>
      <c r="Q1100" s="57">
        <v>12900</v>
      </c>
      <c r="R1100" s="58" t="s">
        <v>8</v>
      </c>
      <c r="S1100" s="57" t="s">
        <v>8</v>
      </c>
      <c r="T1100" s="56" t="s">
        <v>2063</v>
      </c>
    </row>
    <row r="1101" spans="1:20">
      <c r="A1101" s="55">
        <v>127699173378</v>
      </c>
      <c r="B1101" s="53" t="s">
        <v>2055</v>
      </c>
      <c r="C1101" s="54">
        <v>45926</v>
      </c>
      <c r="D1101" s="55">
        <v>50795609280</v>
      </c>
      <c r="E1101" s="55">
        <v>2080426640015</v>
      </c>
      <c r="F1101" s="56" t="s">
        <v>2056</v>
      </c>
      <c r="G1101" s="56" t="s">
        <v>2057</v>
      </c>
      <c r="H1101" s="56" t="s">
        <v>8</v>
      </c>
      <c r="I1101" s="55" t="s">
        <v>8</v>
      </c>
      <c r="J1101" s="57">
        <v>257.54000000000002</v>
      </c>
      <c r="K1101" s="56" t="s">
        <v>2058</v>
      </c>
      <c r="L1101" s="56" t="s">
        <v>2059</v>
      </c>
      <c r="M1101" s="55" t="s">
        <v>2060</v>
      </c>
      <c r="N1101" s="56" t="s">
        <v>2061</v>
      </c>
      <c r="O1101" s="53" t="s">
        <v>8</v>
      </c>
      <c r="P1101" s="56" t="s">
        <v>2546</v>
      </c>
      <c r="Q1101" s="57">
        <v>15800</v>
      </c>
      <c r="R1101" s="58" t="s">
        <v>8</v>
      </c>
      <c r="S1101" s="57" t="s">
        <v>8</v>
      </c>
      <c r="T1101" s="56" t="s">
        <v>2063</v>
      </c>
    </row>
    <row r="1102" spans="1:20">
      <c r="A1102" s="55">
        <v>127699484268</v>
      </c>
      <c r="B1102" s="53" t="s">
        <v>2055</v>
      </c>
      <c r="C1102" s="54">
        <v>45926</v>
      </c>
      <c r="D1102" s="55">
        <v>50795644090</v>
      </c>
      <c r="E1102" s="55">
        <v>2080484843704</v>
      </c>
      <c r="F1102" s="56" t="s">
        <v>2066</v>
      </c>
      <c r="G1102" s="56" t="s">
        <v>2057</v>
      </c>
      <c r="H1102" s="56" t="s">
        <v>8</v>
      </c>
      <c r="I1102" s="55" t="s">
        <v>8</v>
      </c>
      <c r="J1102" s="57">
        <v>1579.86</v>
      </c>
      <c r="K1102" s="56" t="s">
        <v>2058</v>
      </c>
      <c r="L1102" s="56" t="s">
        <v>2067</v>
      </c>
      <c r="M1102" s="55" t="s">
        <v>2060</v>
      </c>
      <c r="N1102" s="56" t="s">
        <v>2061</v>
      </c>
      <c r="O1102" s="53" t="s">
        <v>1790</v>
      </c>
      <c r="P1102" s="56" t="s">
        <v>2068</v>
      </c>
      <c r="Q1102" s="57">
        <v>40200</v>
      </c>
      <c r="R1102" s="58" t="s">
        <v>8</v>
      </c>
      <c r="S1102" s="57" t="s">
        <v>8</v>
      </c>
      <c r="T1102" s="56" t="s">
        <v>2063</v>
      </c>
    </row>
    <row r="1103" spans="1:20">
      <c r="A1103" s="55">
        <v>127138460989</v>
      </c>
      <c r="B1103" s="53" t="s">
        <v>2055</v>
      </c>
      <c r="C1103" s="54">
        <v>45926</v>
      </c>
      <c r="D1103" s="55">
        <v>50795966251</v>
      </c>
      <c r="E1103" s="55">
        <v>2080490182560</v>
      </c>
      <c r="F1103" s="56" t="s">
        <v>2066</v>
      </c>
      <c r="G1103" s="56" t="s">
        <v>2057</v>
      </c>
      <c r="H1103" s="56" t="s">
        <v>8</v>
      </c>
      <c r="I1103" s="55" t="s">
        <v>8</v>
      </c>
      <c r="J1103" s="57">
        <v>1654.53</v>
      </c>
      <c r="K1103" s="56" t="s">
        <v>2058</v>
      </c>
      <c r="L1103" s="56" t="s">
        <v>2067</v>
      </c>
      <c r="M1103" s="55" t="s">
        <v>2060</v>
      </c>
      <c r="N1103" s="56" t="s">
        <v>2061</v>
      </c>
      <c r="O1103" s="53" t="s">
        <v>1790</v>
      </c>
      <c r="P1103" s="56" t="s">
        <v>2068</v>
      </c>
      <c r="Q1103" s="57">
        <v>42100</v>
      </c>
      <c r="R1103" s="58" t="s">
        <v>8</v>
      </c>
      <c r="S1103" s="57" t="s">
        <v>8</v>
      </c>
      <c r="T1103" s="56" t="s">
        <v>2063</v>
      </c>
    </row>
    <row r="1104" spans="1:20">
      <c r="A1104" s="55">
        <v>127138622917</v>
      </c>
      <c r="B1104" s="53" t="s">
        <v>2055</v>
      </c>
      <c r="C1104" s="54">
        <v>45926</v>
      </c>
      <c r="D1104" s="55">
        <v>50796011597</v>
      </c>
      <c r="E1104" s="55">
        <v>2080491282018</v>
      </c>
      <c r="F1104" s="56" t="s">
        <v>2066</v>
      </c>
      <c r="G1104" s="56" t="s">
        <v>2057</v>
      </c>
      <c r="H1104" s="56" t="s">
        <v>8</v>
      </c>
      <c r="I1104" s="55" t="s">
        <v>8</v>
      </c>
      <c r="J1104" s="57">
        <v>195.22</v>
      </c>
      <c r="K1104" s="56" t="s">
        <v>2058</v>
      </c>
      <c r="L1104" s="56" t="s">
        <v>2067</v>
      </c>
      <c r="M1104" s="55" t="s">
        <v>2060</v>
      </c>
      <c r="N1104" s="56" t="s">
        <v>2061</v>
      </c>
      <c r="O1104" s="53" t="s">
        <v>1790</v>
      </c>
      <c r="P1104" s="56" t="s">
        <v>2068</v>
      </c>
      <c r="Q1104" s="57">
        <v>4300</v>
      </c>
      <c r="R1104" s="58" t="s">
        <v>8</v>
      </c>
      <c r="S1104" s="57" t="s">
        <v>8</v>
      </c>
      <c r="T1104" s="56" t="s">
        <v>2063</v>
      </c>
    </row>
    <row r="1105" spans="1:20">
      <c r="A1105" s="55">
        <v>127138754811</v>
      </c>
      <c r="B1105" s="53" t="s">
        <v>2055</v>
      </c>
      <c r="C1105" s="54">
        <v>45926</v>
      </c>
      <c r="D1105" s="55">
        <v>50796039893</v>
      </c>
      <c r="E1105" s="55">
        <v>2080434495089</v>
      </c>
      <c r="F1105" s="56" t="s">
        <v>2069</v>
      </c>
      <c r="G1105" s="56" t="s">
        <v>2057</v>
      </c>
      <c r="H1105" s="56" t="s">
        <v>8</v>
      </c>
      <c r="I1105" s="55" t="s">
        <v>8</v>
      </c>
      <c r="J1105" s="57">
        <v>436.5</v>
      </c>
      <c r="K1105" s="56" t="s">
        <v>2058</v>
      </c>
      <c r="L1105" s="56" t="s">
        <v>2059</v>
      </c>
      <c r="M1105" s="55" t="s">
        <v>2060</v>
      </c>
      <c r="N1105" s="56" t="s">
        <v>2061</v>
      </c>
      <c r="O1105" s="53" t="s">
        <v>8</v>
      </c>
      <c r="P1105" s="56" t="s">
        <v>2070</v>
      </c>
      <c r="Q1105" s="57">
        <v>45000</v>
      </c>
      <c r="R1105" s="58" t="s">
        <v>8</v>
      </c>
      <c r="S1105" s="57" t="s">
        <v>8</v>
      </c>
      <c r="T1105" s="56" t="s">
        <v>8</v>
      </c>
    </row>
    <row r="1106" spans="1:20">
      <c r="A1106" s="55">
        <v>127138858083</v>
      </c>
      <c r="B1106" s="53" t="s">
        <v>2055</v>
      </c>
      <c r="C1106" s="54">
        <v>45926</v>
      </c>
      <c r="D1106" s="55">
        <v>50796165946</v>
      </c>
      <c r="E1106" s="55">
        <v>2080436256469</v>
      </c>
      <c r="F1106" s="56" t="s">
        <v>2056</v>
      </c>
      <c r="G1106" s="56" t="s">
        <v>2057</v>
      </c>
      <c r="H1106" s="56" t="s">
        <v>8</v>
      </c>
      <c r="I1106" s="55" t="s">
        <v>8</v>
      </c>
      <c r="J1106" s="57">
        <v>280.33</v>
      </c>
      <c r="K1106" s="56" t="s">
        <v>2058</v>
      </c>
      <c r="L1106" s="56" t="s">
        <v>2059</v>
      </c>
      <c r="M1106" s="55" t="s">
        <v>2060</v>
      </c>
      <c r="N1106" s="56" t="s">
        <v>2061</v>
      </c>
      <c r="O1106" s="53" t="s">
        <v>8</v>
      </c>
      <c r="P1106" s="56" t="s">
        <v>2375</v>
      </c>
      <c r="Q1106" s="57">
        <v>28900</v>
      </c>
      <c r="R1106" s="58" t="s">
        <v>8</v>
      </c>
      <c r="S1106" s="57" t="s">
        <v>8</v>
      </c>
      <c r="T1106" s="56" t="s">
        <v>2063</v>
      </c>
    </row>
    <row r="1107" spans="1:20">
      <c r="A1107" s="55">
        <v>127702181460</v>
      </c>
      <c r="B1107" s="53" t="s">
        <v>2055</v>
      </c>
      <c r="C1107" s="54">
        <v>45927</v>
      </c>
      <c r="D1107" s="55">
        <v>50796828800</v>
      </c>
      <c r="E1107" s="55">
        <v>2080504689480</v>
      </c>
      <c r="F1107" s="56" t="s">
        <v>2107</v>
      </c>
      <c r="G1107" s="56" t="s">
        <v>2057</v>
      </c>
      <c r="H1107" s="56" t="s">
        <v>8</v>
      </c>
      <c r="I1107" s="55" t="s">
        <v>8</v>
      </c>
      <c r="J1107" s="57">
        <v>120.62</v>
      </c>
      <c r="K1107" s="56" t="s">
        <v>2058</v>
      </c>
      <c r="L1107" s="56" t="s">
        <v>2059</v>
      </c>
      <c r="M1107" s="55" t="s">
        <v>2060</v>
      </c>
      <c r="N1107" s="56" t="s">
        <v>2061</v>
      </c>
      <c r="O1107" s="53" t="s">
        <v>8</v>
      </c>
      <c r="P1107" s="56" t="s">
        <v>2115</v>
      </c>
      <c r="Q1107" s="57">
        <v>7400</v>
      </c>
      <c r="R1107" s="58" t="s">
        <v>8</v>
      </c>
      <c r="S1107" s="57" t="s">
        <v>8</v>
      </c>
      <c r="T1107" s="56" t="s">
        <v>2063</v>
      </c>
    </row>
    <row r="1108" spans="1:20">
      <c r="A1108" s="55">
        <v>127702622786</v>
      </c>
      <c r="B1108" s="53" t="s">
        <v>2055</v>
      </c>
      <c r="C1108" s="54">
        <v>45927</v>
      </c>
      <c r="D1108" s="55">
        <v>50796979791</v>
      </c>
      <c r="E1108" s="55">
        <v>2080449478993</v>
      </c>
      <c r="F1108" s="56" t="s">
        <v>2056</v>
      </c>
      <c r="G1108" s="56" t="s">
        <v>2057</v>
      </c>
      <c r="H1108" s="56" t="s">
        <v>8</v>
      </c>
      <c r="I1108" s="55" t="s">
        <v>8</v>
      </c>
      <c r="J1108" s="57">
        <v>2225.1799999999998</v>
      </c>
      <c r="K1108" s="56" t="s">
        <v>2058</v>
      </c>
      <c r="L1108" s="56" t="s">
        <v>2059</v>
      </c>
      <c r="M1108" s="55" t="s">
        <v>2060</v>
      </c>
      <c r="N1108" s="56" t="s">
        <v>2061</v>
      </c>
      <c r="O1108" s="53" t="s">
        <v>8</v>
      </c>
      <c r="P1108" s="56" t="s">
        <v>2547</v>
      </c>
      <c r="Q1108" s="57">
        <v>229400</v>
      </c>
      <c r="R1108" s="58" t="s">
        <v>8</v>
      </c>
      <c r="S1108" s="57" t="s">
        <v>8</v>
      </c>
      <c r="T1108" s="56" t="s">
        <v>2063</v>
      </c>
    </row>
    <row r="1109" spans="1:20">
      <c r="A1109" s="55">
        <v>127702629144</v>
      </c>
      <c r="B1109" s="53" t="s">
        <v>2055</v>
      </c>
      <c r="C1109" s="54">
        <v>45927</v>
      </c>
      <c r="D1109" s="55">
        <v>50796983880</v>
      </c>
      <c r="E1109" s="55">
        <v>2080507210644</v>
      </c>
      <c r="F1109" s="56" t="s">
        <v>2056</v>
      </c>
      <c r="G1109" s="56" t="s">
        <v>2057</v>
      </c>
      <c r="H1109" s="56" t="s">
        <v>8</v>
      </c>
      <c r="I1109" s="55" t="s">
        <v>8</v>
      </c>
      <c r="J1109" s="57">
        <v>48.5</v>
      </c>
      <c r="K1109" s="56" t="s">
        <v>2058</v>
      </c>
      <c r="L1109" s="56" t="s">
        <v>2059</v>
      </c>
      <c r="M1109" s="55" t="s">
        <v>2060</v>
      </c>
      <c r="N1109" s="56" t="s">
        <v>2061</v>
      </c>
      <c r="O1109" s="53" t="s">
        <v>8</v>
      </c>
      <c r="P1109" s="56" t="s">
        <v>2548</v>
      </c>
      <c r="Q1109" s="57">
        <v>5000</v>
      </c>
      <c r="R1109" s="58" t="s">
        <v>8</v>
      </c>
      <c r="S1109" s="57" t="s">
        <v>8</v>
      </c>
      <c r="T1109" s="56" t="s">
        <v>2063</v>
      </c>
    </row>
    <row r="1110" spans="1:20">
      <c r="A1110" s="55">
        <v>127141531181</v>
      </c>
      <c r="B1110" s="53" t="s">
        <v>2055</v>
      </c>
      <c r="C1110" s="54">
        <v>45927</v>
      </c>
      <c r="D1110" s="55">
        <v>50797215601</v>
      </c>
      <c r="E1110" s="55">
        <v>2080453335949</v>
      </c>
      <c r="F1110" s="56" t="s">
        <v>2056</v>
      </c>
      <c r="G1110" s="56" t="s">
        <v>2057</v>
      </c>
      <c r="H1110" s="56" t="s">
        <v>8</v>
      </c>
      <c r="I1110" s="55" t="s">
        <v>8</v>
      </c>
      <c r="J1110" s="57">
        <v>21.34</v>
      </c>
      <c r="K1110" s="56" t="s">
        <v>2058</v>
      </c>
      <c r="L1110" s="56" t="s">
        <v>2059</v>
      </c>
      <c r="M1110" s="55" t="s">
        <v>2060</v>
      </c>
      <c r="N1110" s="56" t="s">
        <v>2061</v>
      </c>
      <c r="O1110" s="53" t="s">
        <v>8</v>
      </c>
      <c r="P1110" s="56" t="s">
        <v>2549</v>
      </c>
      <c r="Q1110" s="57">
        <v>2200</v>
      </c>
      <c r="R1110" s="58" t="s">
        <v>8</v>
      </c>
      <c r="S1110" s="57" t="s">
        <v>8</v>
      </c>
      <c r="T1110" s="56" t="s">
        <v>2063</v>
      </c>
    </row>
    <row r="1111" spans="1:20">
      <c r="A1111" s="55">
        <v>127141616145</v>
      </c>
      <c r="B1111" s="53" t="s">
        <v>2055</v>
      </c>
      <c r="C1111" s="54">
        <v>45927</v>
      </c>
      <c r="D1111" s="55">
        <v>50797218888</v>
      </c>
      <c r="E1111" s="55">
        <v>2080453546821</v>
      </c>
      <c r="F1111" s="56" t="s">
        <v>2069</v>
      </c>
      <c r="G1111" s="56" t="s">
        <v>2057</v>
      </c>
      <c r="H1111" s="56" t="s">
        <v>8</v>
      </c>
      <c r="I1111" s="55" t="s">
        <v>8</v>
      </c>
      <c r="J1111" s="57">
        <v>48.5</v>
      </c>
      <c r="K1111" s="56" t="s">
        <v>2058</v>
      </c>
      <c r="L1111" s="56" t="s">
        <v>2059</v>
      </c>
      <c r="M1111" s="55" t="s">
        <v>2060</v>
      </c>
      <c r="N1111" s="56" t="s">
        <v>2061</v>
      </c>
      <c r="O1111" s="53" t="s">
        <v>8</v>
      </c>
      <c r="P1111" s="56" t="s">
        <v>2070</v>
      </c>
      <c r="Q1111" s="57">
        <v>5000</v>
      </c>
      <c r="R1111" s="58" t="s">
        <v>8</v>
      </c>
      <c r="S1111" s="57" t="s">
        <v>8</v>
      </c>
      <c r="T1111" s="56" t="s">
        <v>8</v>
      </c>
    </row>
    <row r="1112" spans="1:20">
      <c r="A1112" s="55">
        <v>127141798509</v>
      </c>
      <c r="B1112" s="53" t="s">
        <v>2055</v>
      </c>
      <c r="C1112" s="54">
        <v>45927</v>
      </c>
      <c r="D1112" s="55">
        <v>50797310489</v>
      </c>
      <c r="E1112" s="55">
        <v>2080512447304</v>
      </c>
      <c r="F1112" s="56" t="s">
        <v>2069</v>
      </c>
      <c r="G1112" s="56" t="s">
        <v>2057</v>
      </c>
      <c r="H1112" s="56" t="s">
        <v>8</v>
      </c>
      <c r="I1112" s="55" t="s">
        <v>8</v>
      </c>
      <c r="J1112" s="57">
        <v>223.1</v>
      </c>
      <c r="K1112" s="56" t="s">
        <v>2058</v>
      </c>
      <c r="L1112" s="56" t="s">
        <v>2059</v>
      </c>
      <c r="M1112" s="55" t="s">
        <v>2060</v>
      </c>
      <c r="N1112" s="56" t="s">
        <v>2061</v>
      </c>
      <c r="O1112" s="53" t="s">
        <v>8</v>
      </c>
      <c r="P1112" s="56" t="s">
        <v>2070</v>
      </c>
      <c r="Q1112" s="57">
        <v>23000</v>
      </c>
      <c r="R1112" s="58" t="s">
        <v>8</v>
      </c>
      <c r="S1112" s="57" t="s">
        <v>8</v>
      </c>
      <c r="T1112" s="56" t="s">
        <v>8</v>
      </c>
    </row>
    <row r="1113" spans="1:20">
      <c r="A1113" s="55">
        <v>127703776340</v>
      </c>
      <c r="B1113" s="53" t="s">
        <v>2055</v>
      </c>
      <c r="C1113" s="54">
        <v>45927</v>
      </c>
      <c r="D1113" s="55">
        <v>50797400633</v>
      </c>
      <c r="E1113" s="55">
        <v>2080513911470</v>
      </c>
      <c r="F1113" s="56" t="s">
        <v>2107</v>
      </c>
      <c r="G1113" s="56" t="s">
        <v>2057</v>
      </c>
      <c r="H1113" s="56" t="s">
        <v>8</v>
      </c>
      <c r="I1113" s="55" t="s">
        <v>8</v>
      </c>
      <c r="J1113" s="57">
        <v>1988.6</v>
      </c>
      <c r="K1113" s="56" t="s">
        <v>2058</v>
      </c>
      <c r="L1113" s="56" t="s">
        <v>2059</v>
      </c>
      <c r="M1113" s="55" t="s">
        <v>2060</v>
      </c>
      <c r="N1113" s="56" t="s">
        <v>2061</v>
      </c>
      <c r="O1113" s="53" t="s">
        <v>8</v>
      </c>
      <c r="P1113" s="56" t="s">
        <v>2550</v>
      </c>
      <c r="Q1113" s="57">
        <v>122000</v>
      </c>
      <c r="R1113" s="58" t="s">
        <v>8</v>
      </c>
      <c r="S1113" s="57" t="s">
        <v>8</v>
      </c>
      <c r="T1113" s="56" t="s">
        <v>2063</v>
      </c>
    </row>
    <row r="1114" spans="1:20">
      <c r="A1114" s="55">
        <v>127141989725</v>
      </c>
      <c r="B1114" s="53" t="s">
        <v>2055</v>
      </c>
      <c r="C1114" s="54">
        <v>45927</v>
      </c>
      <c r="D1114" s="55">
        <v>50797447645</v>
      </c>
      <c r="E1114" s="55">
        <v>2080514427002</v>
      </c>
      <c r="F1114" s="56" t="s">
        <v>2056</v>
      </c>
      <c r="G1114" s="56" t="s">
        <v>2057</v>
      </c>
      <c r="H1114" s="56" t="s">
        <v>8</v>
      </c>
      <c r="I1114" s="55" t="s">
        <v>8</v>
      </c>
      <c r="J1114" s="57">
        <v>180.42</v>
      </c>
      <c r="K1114" s="56" t="s">
        <v>2058</v>
      </c>
      <c r="L1114" s="56" t="s">
        <v>2059</v>
      </c>
      <c r="M1114" s="55" t="s">
        <v>2060</v>
      </c>
      <c r="N1114" s="56" t="s">
        <v>2061</v>
      </c>
      <c r="O1114" s="53" t="s">
        <v>8</v>
      </c>
      <c r="P1114" s="56" t="s">
        <v>2551</v>
      </c>
      <c r="Q1114" s="57">
        <v>18600</v>
      </c>
      <c r="R1114" s="58" t="s">
        <v>8</v>
      </c>
      <c r="S1114" s="57" t="s">
        <v>8</v>
      </c>
      <c r="T1114" s="56" t="s">
        <v>2063</v>
      </c>
    </row>
    <row r="1115" spans="1:20">
      <c r="A1115" s="55">
        <v>127142199177</v>
      </c>
      <c r="B1115" s="53" t="s">
        <v>2055</v>
      </c>
      <c r="C1115" s="54">
        <v>45927</v>
      </c>
      <c r="D1115" s="55">
        <v>50797537039</v>
      </c>
      <c r="E1115" s="55">
        <v>2080458505357</v>
      </c>
      <c r="F1115" s="56" t="s">
        <v>2056</v>
      </c>
      <c r="G1115" s="56" t="s">
        <v>2057</v>
      </c>
      <c r="H1115" s="56" t="s">
        <v>8</v>
      </c>
      <c r="I1115" s="55" t="s">
        <v>8</v>
      </c>
      <c r="J1115" s="57">
        <v>629.17999999999995</v>
      </c>
      <c r="K1115" s="56" t="s">
        <v>2058</v>
      </c>
      <c r="L1115" s="56" t="s">
        <v>2059</v>
      </c>
      <c r="M1115" s="55" t="s">
        <v>2060</v>
      </c>
      <c r="N1115" s="56" t="s">
        <v>2061</v>
      </c>
      <c r="O1115" s="53" t="s">
        <v>8</v>
      </c>
      <c r="P1115" s="56" t="s">
        <v>2552</v>
      </c>
      <c r="Q1115" s="57">
        <v>38600</v>
      </c>
      <c r="R1115" s="58" t="s">
        <v>8</v>
      </c>
      <c r="S1115" s="57" t="s">
        <v>8</v>
      </c>
      <c r="T1115" s="56" t="s">
        <v>2063</v>
      </c>
    </row>
    <row r="1116" spans="1:20">
      <c r="A1116" s="55">
        <v>127142183777</v>
      </c>
      <c r="B1116" s="53" t="s">
        <v>2055</v>
      </c>
      <c r="C1116" s="54">
        <v>45927</v>
      </c>
      <c r="D1116" s="55">
        <v>50797563237</v>
      </c>
      <c r="E1116" s="55">
        <v>2080516374936</v>
      </c>
      <c r="F1116" s="56" t="s">
        <v>2056</v>
      </c>
      <c r="G1116" s="56" t="s">
        <v>2057</v>
      </c>
      <c r="H1116" s="56" t="s">
        <v>8</v>
      </c>
      <c r="I1116" s="55" t="s">
        <v>8</v>
      </c>
      <c r="J1116" s="57">
        <v>85.36</v>
      </c>
      <c r="K1116" s="56" t="s">
        <v>2058</v>
      </c>
      <c r="L1116" s="56" t="s">
        <v>2059</v>
      </c>
      <c r="M1116" s="55" t="s">
        <v>2060</v>
      </c>
      <c r="N1116" s="56" t="s">
        <v>2061</v>
      </c>
      <c r="O1116" s="53" t="s">
        <v>8</v>
      </c>
      <c r="P1116" s="56" t="s">
        <v>2310</v>
      </c>
      <c r="Q1116" s="57">
        <v>8800</v>
      </c>
      <c r="R1116" s="58" t="s">
        <v>8</v>
      </c>
      <c r="S1116" s="57" t="s">
        <v>8</v>
      </c>
      <c r="T1116" s="56" t="s">
        <v>2063</v>
      </c>
    </row>
    <row r="1117" spans="1:20">
      <c r="A1117" s="55">
        <v>127142483797</v>
      </c>
      <c r="B1117" s="53" t="s">
        <v>2055</v>
      </c>
      <c r="C1117" s="54">
        <v>45927</v>
      </c>
      <c r="D1117" s="55">
        <v>50797699351</v>
      </c>
      <c r="E1117" s="55">
        <v>2080518031686</v>
      </c>
      <c r="F1117" s="56" t="s">
        <v>2056</v>
      </c>
      <c r="G1117" s="56" t="s">
        <v>2057</v>
      </c>
      <c r="H1117" s="56" t="s">
        <v>8</v>
      </c>
      <c r="I1117" s="55" t="s">
        <v>8</v>
      </c>
      <c r="J1117" s="57">
        <v>407.4</v>
      </c>
      <c r="K1117" s="56" t="s">
        <v>2058</v>
      </c>
      <c r="L1117" s="56" t="s">
        <v>2059</v>
      </c>
      <c r="M1117" s="55" t="s">
        <v>2060</v>
      </c>
      <c r="N1117" s="56" t="s">
        <v>2061</v>
      </c>
      <c r="O1117" s="53" t="s">
        <v>8</v>
      </c>
      <c r="P1117" s="56" t="s">
        <v>2553</v>
      </c>
      <c r="Q1117" s="57">
        <v>42000</v>
      </c>
      <c r="R1117" s="58" t="s">
        <v>8</v>
      </c>
      <c r="S1117" s="57" t="s">
        <v>8</v>
      </c>
      <c r="T1117" s="56" t="s">
        <v>2063</v>
      </c>
    </row>
    <row r="1118" spans="1:20">
      <c r="A1118" s="55">
        <v>127704640858</v>
      </c>
      <c r="B1118" s="53" t="s">
        <v>2055</v>
      </c>
      <c r="C1118" s="54">
        <v>45927</v>
      </c>
      <c r="D1118" s="55">
        <v>50797892959</v>
      </c>
      <c r="E1118" s="55">
        <v>2080520640532</v>
      </c>
      <c r="F1118" s="56" t="s">
        <v>2056</v>
      </c>
      <c r="G1118" s="56" t="s">
        <v>2057</v>
      </c>
      <c r="H1118" s="56" t="s">
        <v>8</v>
      </c>
      <c r="I1118" s="55" t="s">
        <v>8</v>
      </c>
      <c r="J1118" s="57">
        <v>210.27</v>
      </c>
      <c r="K1118" s="56" t="s">
        <v>2058</v>
      </c>
      <c r="L1118" s="56" t="s">
        <v>2059</v>
      </c>
      <c r="M1118" s="55" t="s">
        <v>2060</v>
      </c>
      <c r="N1118" s="56" t="s">
        <v>2061</v>
      </c>
      <c r="O1118" s="53" t="s">
        <v>8</v>
      </c>
      <c r="P1118" s="56" t="s">
        <v>2554</v>
      </c>
      <c r="Q1118" s="57">
        <v>12900</v>
      </c>
      <c r="R1118" s="58" t="s">
        <v>8</v>
      </c>
      <c r="S1118" s="57" t="s">
        <v>8</v>
      </c>
      <c r="T1118" s="56" t="s">
        <v>2063</v>
      </c>
    </row>
    <row r="1119" spans="1:20">
      <c r="A1119" s="55">
        <v>127704837868</v>
      </c>
      <c r="B1119" s="53" t="s">
        <v>2055</v>
      </c>
      <c r="C1119" s="54">
        <v>45927</v>
      </c>
      <c r="D1119" s="55">
        <v>50798096935</v>
      </c>
      <c r="E1119" s="55">
        <v>2080522635436</v>
      </c>
      <c r="F1119" s="56" t="s">
        <v>2066</v>
      </c>
      <c r="G1119" s="56" t="s">
        <v>2057</v>
      </c>
      <c r="H1119" s="56" t="s">
        <v>8</v>
      </c>
      <c r="I1119" s="55" t="s">
        <v>8</v>
      </c>
      <c r="J1119" s="57">
        <v>1548.42</v>
      </c>
      <c r="K1119" s="56" t="s">
        <v>2058</v>
      </c>
      <c r="L1119" s="56" t="s">
        <v>2067</v>
      </c>
      <c r="M1119" s="55" t="s">
        <v>2060</v>
      </c>
      <c r="N1119" s="56" t="s">
        <v>2061</v>
      </c>
      <c r="O1119" s="53" t="s">
        <v>1790</v>
      </c>
      <c r="P1119" s="56" t="s">
        <v>2068</v>
      </c>
      <c r="Q1119" s="57">
        <v>39400</v>
      </c>
      <c r="R1119" s="58" t="s">
        <v>8</v>
      </c>
      <c r="S1119" s="57" t="s">
        <v>8</v>
      </c>
      <c r="T1119" s="56" t="s">
        <v>2063</v>
      </c>
    </row>
    <row r="1120" spans="1:20">
      <c r="A1120" s="55">
        <v>127705296188</v>
      </c>
      <c r="B1120" s="53" t="s">
        <v>2055</v>
      </c>
      <c r="C1120" s="54">
        <v>45927</v>
      </c>
      <c r="D1120" s="55">
        <v>50798197681</v>
      </c>
      <c r="E1120" s="55">
        <v>2080524219558</v>
      </c>
      <c r="F1120" s="56" t="s">
        <v>2056</v>
      </c>
      <c r="G1120" s="56" t="s">
        <v>2057</v>
      </c>
      <c r="H1120" s="56" t="s">
        <v>8</v>
      </c>
      <c r="I1120" s="55" t="s">
        <v>8</v>
      </c>
      <c r="J1120" s="57">
        <v>610.13</v>
      </c>
      <c r="K1120" s="56" t="s">
        <v>2058</v>
      </c>
      <c r="L1120" s="56" t="s">
        <v>2059</v>
      </c>
      <c r="M1120" s="55" t="s">
        <v>2060</v>
      </c>
      <c r="N1120" s="56" t="s">
        <v>2061</v>
      </c>
      <c r="O1120" s="53" t="s">
        <v>8</v>
      </c>
      <c r="P1120" s="56" t="s">
        <v>2555</v>
      </c>
      <c r="Q1120" s="57">
        <v>62900</v>
      </c>
      <c r="R1120" s="58" t="s">
        <v>8</v>
      </c>
      <c r="S1120" s="57" t="s">
        <v>8</v>
      </c>
      <c r="T1120" s="56" t="s">
        <v>2063</v>
      </c>
    </row>
    <row r="1121" spans="1:20">
      <c r="A1121" s="55">
        <v>127705207416</v>
      </c>
      <c r="B1121" s="53" t="s">
        <v>2055</v>
      </c>
      <c r="C1121" s="54">
        <v>45927</v>
      </c>
      <c r="D1121" s="55">
        <v>50798223620</v>
      </c>
      <c r="E1121" s="55">
        <v>2080467489249</v>
      </c>
      <c r="F1121" s="56" t="s">
        <v>2056</v>
      </c>
      <c r="G1121" s="56" t="s">
        <v>2057</v>
      </c>
      <c r="H1121" s="56" t="s">
        <v>8</v>
      </c>
      <c r="I1121" s="55" t="s">
        <v>8</v>
      </c>
      <c r="J1121" s="57">
        <v>97</v>
      </c>
      <c r="K1121" s="56" t="s">
        <v>2058</v>
      </c>
      <c r="L1121" s="56" t="s">
        <v>2059</v>
      </c>
      <c r="M1121" s="55" t="s">
        <v>2060</v>
      </c>
      <c r="N1121" s="56" t="s">
        <v>2061</v>
      </c>
      <c r="O1121" s="53" t="s">
        <v>8</v>
      </c>
      <c r="P1121" s="56" t="s">
        <v>2556</v>
      </c>
      <c r="Q1121" s="57">
        <v>10000</v>
      </c>
      <c r="R1121" s="58" t="s">
        <v>8</v>
      </c>
      <c r="S1121" s="57" t="s">
        <v>8</v>
      </c>
      <c r="T1121" s="56" t="s">
        <v>2063</v>
      </c>
    </row>
    <row r="1122" spans="1:20">
      <c r="A1122" s="55">
        <v>127143767515</v>
      </c>
      <c r="B1122" s="53" t="s">
        <v>2055</v>
      </c>
      <c r="C1122" s="54">
        <v>45927</v>
      </c>
      <c r="D1122" s="55">
        <v>50798259980</v>
      </c>
      <c r="E1122" s="55">
        <v>2080525187212</v>
      </c>
      <c r="F1122" s="56" t="s">
        <v>2056</v>
      </c>
      <c r="G1122" s="56" t="s">
        <v>2057</v>
      </c>
      <c r="H1122" s="56" t="s">
        <v>8</v>
      </c>
      <c r="I1122" s="55" t="s">
        <v>8</v>
      </c>
      <c r="J1122" s="57">
        <v>60.14</v>
      </c>
      <c r="K1122" s="56" t="s">
        <v>2058</v>
      </c>
      <c r="L1122" s="56" t="s">
        <v>2059</v>
      </c>
      <c r="M1122" s="55" t="s">
        <v>2060</v>
      </c>
      <c r="N1122" s="56" t="s">
        <v>2061</v>
      </c>
      <c r="O1122" s="53" t="s">
        <v>8</v>
      </c>
      <c r="P1122" s="56" t="s">
        <v>2551</v>
      </c>
      <c r="Q1122" s="57">
        <v>6200</v>
      </c>
      <c r="R1122" s="58" t="s">
        <v>8</v>
      </c>
      <c r="S1122" s="57" t="s">
        <v>8</v>
      </c>
      <c r="T1122" s="56" t="s">
        <v>2063</v>
      </c>
    </row>
    <row r="1123" spans="1:20">
      <c r="A1123" s="55">
        <v>127143969217</v>
      </c>
      <c r="B1123" s="53" t="s">
        <v>2055</v>
      </c>
      <c r="C1123" s="54">
        <v>45927</v>
      </c>
      <c r="D1123" s="55">
        <v>50798320658</v>
      </c>
      <c r="E1123" s="55">
        <v>2080468982933</v>
      </c>
      <c r="F1123" s="56" t="s">
        <v>2066</v>
      </c>
      <c r="G1123" s="56" t="s">
        <v>2057</v>
      </c>
      <c r="H1123" s="56" t="s">
        <v>8</v>
      </c>
      <c r="I1123" s="55" t="s">
        <v>8</v>
      </c>
      <c r="J1123" s="57">
        <v>1298.44</v>
      </c>
      <c r="K1123" s="56" t="s">
        <v>2058</v>
      </c>
      <c r="L1123" s="56" t="s">
        <v>2067</v>
      </c>
      <c r="M1123" s="55" t="s">
        <v>2060</v>
      </c>
      <c r="N1123" s="56" t="s">
        <v>2061</v>
      </c>
      <c r="O1123" s="53" t="s">
        <v>1790</v>
      </c>
      <c r="P1123" s="56" t="s">
        <v>2068</v>
      </c>
      <c r="Q1123" s="57">
        <v>28600</v>
      </c>
      <c r="R1123" s="58" t="s">
        <v>8</v>
      </c>
      <c r="S1123" s="57" t="s">
        <v>8</v>
      </c>
      <c r="T1123" s="56" t="s">
        <v>2063</v>
      </c>
    </row>
    <row r="1124" spans="1:20">
      <c r="A1124" s="55">
        <v>127705564586</v>
      </c>
      <c r="B1124" s="53" t="s">
        <v>2055</v>
      </c>
      <c r="C1124" s="54">
        <v>45927</v>
      </c>
      <c r="D1124" s="55">
        <v>50798328979</v>
      </c>
      <c r="E1124" s="55">
        <v>2080526494270</v>
      </c>
      <c r="F1124" s="56" t="s">
        <v>2066</v>
      </c>
      <c r="G1124" s="56" t="s">
        <v>2057</v>
      </c>
      <c r="H1124" s="56" t="s">
        <v>8</v>
      </c>
      <c r="I1124" s="55" t="s">
        <v>8</v>
      </c>
      <c r="J1124" s="57">
        <v>1298.44</v>
      </c>
      <c r="K1124" s="56" t="s">
        <v>2058</v>
      </c>
      <c r="L1124" s="56" t="s">
        <v>2067</v>
      </c>
      <c r="M1124" s="55" t="s">
        <v>2060</v>
      </c>
      <c r="N1124" s="56" t="s">
        <v>2061</v>
      </c>
      <c r="O1124" s="53" t="s">
        <v>1790</v>
      </c>
      <c r="P1124" s="56" t="s">
        <v>2068</v>
      </c>
      <c r="Q1124" s="57">
        <v>28600</v>
      </c>
      <c r="R1124" s="58" t="s">
        <v>8</v>
      </c>
      <c r="S1124" s="57" t="s">
        <v>8</v>
      </c>
      <c r="T1124" s="56" t="s">
        <v>2063</v>
      </c>
    </row>
    <row r="1125" spans="1:20">
      <c r="A1125" s="55">
        <v>127144387259</v>
      </c>
      <c r="B1125" s="53" t="s">
        <v>2055</v>
      </c>
      <c r="C1125" s="54">
        <v>45927</v>
      </c>
      <c r="D1125" s="55">
        <v>50798553730</v>
      </c>
      <c r="E1125" s="55">
        <v>2080529416296</v>
      </c>
      <c r="F1125" s="56" t="s">
        <v>2056</v>
      </c>
      <c r="G1125" s="56" t="s">
        <v>2057</v>
      </c>
      <c r="H1125" s="56" t="s">
        <v>8</v>
      </c>
      <c r="I1125" s="55" t="s">
        <v>8</v>
      </c>
      <c r="J1125" s="57">
        <v>153.26</v>
      </c>
      <c r="K1125" s="56" t="s">
        <v>2058</v>
      </c>
      <c r="L1125" s="56" t="s">
        <v>2059</v>
      </c>
      <c r="M1125" s="55" t="s">
        <v>2060</v>
      </c>
      <c r="N1125" s="56" t="s">
        <v>2061</v>
      </c>
      <c r="O1125" s="53" t="s">
        <v>8</v>
      </c>
      <c r="P1125" s="56" t="s">
        <v>2319</v>
      </c>
      <c r="Q1125" s="57">
        <v>15800</v>
      </c>
      <c r="R1125" s="58" t="s">
        <v>8</v>
      </c>
      <c r="S1125" s="57" t="s">
        <v>8</v>
      </c>
      <c r="T1125" s="56" t="s">
        <v>2063</v>
      </c>
    </row>
    <row r="1126" spans="1:20">
      <c r="A1126" s="55">
        <v>127144478587</v>
      </c>
      <c r="B1126" s="53" t="s">
        <v>2055</v>
      </c>
      <c r="C1126" s="54">
        <v>45927</v>
      </c>
      <c r="D1126" s="55">
        <v>50798600238</v>
      </c>
      <c r="E1126" s="55">
        <v>2080472184581</v>
      </c>
      <c r="F1126" s="56" t="s">
        <v>2056</v>
      </c>
      <c r="G1126" s="56" t="s">
        <v>2057</v>
      </c>
      <c r="H1126" s="56" t="s">
        <v>8</v>
      </c>
      <c r="I1126" s="55" t="s">
        <v>8</v>
      </c>
      <c r="J1126" s="57">
        <v>541.26</v>
      </c>
      <c r="K1126" s="56" t="s">
        <v>2058</v>
      </c>
      <c r="L1126" s="56" t="s">
        <v>2059</v>
      </c>
      <c r="M1126" s="55" t="s">
        <v>2060</v>
      </c>
      <c r="N1126" s="56" t="s">
        <v>2061</v>
      </c>
      <c r="O1126" s="53" t="s">
        <v>8</v>
      </c>
      <c r="P1126" s="56" t="s">
        <v>2557</v>
      </c>
      <c r="Q1126" s="57">
        <v>55800</v>
      </c>
      <c r="R1126" s="58" t="s">
        <v>8</v>
      </c>
      <c r="S1126" s="57" t="s">
        <v>8</v>
      </c>
      <c r="T1126" s="56" t="s">
        <v>2063</v>
      </c>
    </row>
    <row r="1127" spans="1:20">
      <c r="A1127" s="55">
        <v>127144733153</v>
      </c>
      <c r="B1127" s="53" t="s">
        <v>2055</v>
      </c>
      <c r="C1127" s="54">
        <v>45927</v>
      </c>
      <c r="D1127" s="55">
        <v>50798750407</v>
      </c>
      <c r="E1127" s="55">
        <v>2080531445422</v>
      </c>
      <c r="F1127" s="56" t="s">
        <v>2056</v>
      </c>
      <c r="G1127" s="56" t="s">
        <v>2057</v>
      </c>
      <c r="H1127" s="56" t="s">
        <v>8</v>
      </c>
      <c r="I1127" s="55" t="s">
        <v>8</v>
      </c>
      <c r="J1127" s="57">
        <v>104.76</v>
      </c>
      <c r="K1127" s="56" t="s">
        <v>2058</v>
      </c>
      <c r="L1127" s="56" t="s">
        <v>2059</v>
      </c>
      <c r="M1127" s="55" t="s">
        <v>2060</v>
      </c>
      <c r="N1127" s="56" t="s">
        <v>2061</v>
      </c>
      <c r="O1127" s="53" t="s">
        <v>8</v>
      </c>
      <c r="P1127" s="56" t="s">
        <v>2558</v>
      </c>
      <c r="Q1127" s="57">
        <v>10800</v>
      </c>
      <c r="R1127" s="58" t="s">
        <v>8</v>
      </c>
      <c r="S1127" s="57" t="s">
        <v>8</v>
      </c>
      <c r="T1127" s="56" t="s">
        <v>2063</v>
      </c>
    </row>
    <row r="1128" spans="1:20">
      <c r="A1128" s="55">
        <v>127145169313</v>
      </c>
      <c r="B1128" s="53" t="s">
        <v>2055</v>
      </c>
      <c r="C1128" s="54">
        <v>45927</v>
      </c>
      <c r="D1128" s="55">
        <v>50798949376</v>
      </c>
      <c r="E1128" s="55">
        <v>2080533864962</v>
      </c>
      <c r="F1128" s="56" t="s">
        <v>2056</v>
      </c>
      <c r="G1128" s="56" t="s">
        <v>2057</v>
      </c>
      <c r="H1128" s="56" t="s">
        <v>8</v>
      </c>
      <c r="I1128" s="55" t="s">
        <v>8</v>
      </c>
      <c r="J1128" s="57">
        <v>99.91</v>
      </c>
      <c r="K1128" s="56" t="s">
        <v>2058</v>
      </c>
      <c r="L1128" s="56" t="s">
        <v>2059</v>
      </c>
      <c r="M1128" s="55" t="s">
        <v>2060</v>
      </c>
      <c r="N1128" s="56" t="s">
        <v>2061</v>
      </c>
      <c r="O1128" s="53" t="s">
        <v>8</v>
      </c>
      <c r="P1128" s="56" t="s">
        <v>2559</v>
      </c>
      <c r="Q1128" s="57">
        <v>10300</v>
      </c>
      <c r="R1128" s="58" t="s">
        <v>8</v>
      </c>
      <c r="S1128" s="57" t="s">
        <v>8</v>
      </c>
      <c r="T1128" s="56" t="s">
        <v>2063</v>
      </c>
    </row>
    <row r="1129" spans="1:20">
      <c r="A1129" s="55">
        <v>127145306205</v>
      </c>
      <c r="B1129" s="53" t="s">
        <v>2055</v>
      </c>
      <c r="C1129" s="54">
        <v>45927</v>
      </c>
      <c r="D1129" s="55">
        <v>50798994291</v>
      </c>
      <c r="E1129" s="55">
        <v>2080477343243</v>
      </c>
      <c r="F1129" s="56" t="s">
        <v>2066</v>
      </c>
      <c r="G1129" s="56" t="s">
        <v>2057</v>
      </c>
      <c r="H1129" s="56" t="s">
        <v>8</v>
      </c>
      <c r="I1129" s="55" t="s">
        <v>8</v>
      </c>
      <c r="J1129" s="57">
        <v>1266.6600000000001</v>
      </c>
      <c r="K1129" s="56" t="s">
        <v>2058</v>
      </c>
      <c r="L1129" s="56" t="s">
        <v>2067</v>
      </c>
      <c r="M1129" s="55" t="s">
        <v>2060</v>
      </c>
      <c r="N1129" s="56" t="s">
        <v>2061</v>
      </c>
      <c r="O1129" s="53" t="s">
        <v>1790</v>
      </c>
      <c r="P1129" s="56" t="s">
        <v>2068</v>
      </c>
      <c r="Q1129" s="57">
        <v>27900</v>
      </c>
      <c r="R1129" s="58" t="s">
        <v>8</v>
      </c>
      <c r="S1129" s="57" t="s">
        <v>8</v>
      </c>
      <c r="T1129" s="56" t="s">
        <v>2063</v>
      </c>
    </row>
    <row r="1130" spans="1:20">
      <c r="A1130" s="55">
        <v>127145410663</v>
      </c>
      <c r="B1130" s="53" t="s">
        <v>2055</v>
      </c>
      <c r="C1130" s="54">
        <v>45927</v>
      </c>
      <c r="D1130" s="55">
        <v>50799064101</v>
      </c>
      <c r="E1130" s="55">
        <v>2080535485812</v>
      </c>
      <c r="F1130" s="56" t="s">
        <v>2066</v>
      </c>
      <c r="G1130" s="56" t="s">
        <v>2057</v>
      </c>
      <c r="H1130" s="56" t="s">
        <v>8</v>
      </c>
      <c r="I1130" s="55" t="s">
        <v>8</v>
      </c>
      <c r="J1130" s="57">
        <v>5313.36</v>
      </c>
      <c r="K1130" s="56" t="s">
        <v>2058</v>
      </c>
      <c r="L1130" s="56" t="s">
        <v>2067</v>
      </c>
      <c r="M1130" s="55" t="s">
        <v>2060</v>
      </c>
      <c r="N1130" s="56" t="s">
        <v>2061</v>
      </c>
      <c r="O1130" s="53" t="s">
        <v>1790</v>
      </c>
      <c r="P1130" s="56" t="s">
        <v>2068</v>
      </c>
      <c r="Q1130" s="57">
        <v>135200</v>
      </c>
      <c r="R1130" s="58" t="s">
        <v>8</v>
      </c>
      <c r="S1130" s="57" t="s">
        <v>8</v>
      </c>
      <c r="T1130" s="56" t="s">
        <v>2063</v>
      </c>
    </row>
    <row r="1131" spans="1:20">
      <c r="A1131" s="55">
        <v>127707143532</v>
      </c>
      <c r="B1131" s="53" t="s">
        <v>2055</v>
      </c>
      <c r="C1131" s="54">
        <v>45927</v>
      </c>
      <c r="D1131" s="55">
        <v>50799149437</v>
      </c>
      <c r="E1131" s="55">
        <v>2080479158115</v>
      </c>
      <c r="F1131" s="56" t="s">
        <v>2066</v>
      </c>
      <c r="G1131" s="56" t="s">
        <v>2057</v>
      </c>
      <c r="H1131" s="56" t="s">
        <v>8</v>
      </c>
      <c r="I1131" s="55" t="s">
        <v>8</v>
      </c>
      <c r="J1131" s="57">
        <v>2404.7600000000002</v>
      </c>
      <c r="K1131" s="56" t="s">
        <v>2058</v>
      </c>
      <c r="L1131" s="56" t="s">
        <v>2067</v>
      </c>
      <c r="M1131" s="55" t="s">
        <v>2060</v>
      </c>
      <c r="N1131" s="56" t="s">
        <v>2061</v>
      </c>
      <c r="O1131" s="53" t="s">
        <v>1790</v>
      </c>
      <c r="P1131" s="56" t="s">
        <v>2068</v>
      </c>
      <c r="Q1131" s="57">
        <v>31600</v>
      </c>
      <c r="R1131" s="58" t="s">
        <v>8</v>
      </c>
      <c r="S1131" s="57" t="s">
        <v>8</v>
      </c>
      <c r="T1131" s="56" t="s">
        <v>2063</v>
      </c>
    </row>
    <row r="1132" spans="1:20">
      <c r="A1132" s="55">
        <v>127707316320</v>
      </c>
      <c r="B1132" s="53" t="s">
        <v>2055</v>
      </c>
      <c r="C1132" s="54">
        <v>45927</v>
      </c>
      <c r="D1132" s="55">
        <v>50799162551</v>
      </c>
      <c r="E1132" s="55">
        <v>2080479331493</v>
      </c>
      <c r="F1132" s="56" t="s">
        <v>2056</v>
      </c>
      <c r="G1132" s="56" t="s">
        <v>2057</v>
      </c>
      <c r="H1132" s="56" t="s">
        <v>8</v>
      </c>
      <c r="I1132" s="55" t="s">
        <v>8</v>
      </c>
      <c r="J1132" s="57">
        <v>285.18</v>
      </c>
      <c r="K1132" s="56" t="s">
        <v>2058</v>
      </c>
      <c r="L1132" s="56" t="s">
        <v>2059</v>
      </c>
      <c r="M1132" s="55" t="s">
        <v>2060</v>
      </c>
      <c r="N1132" s="56" t="s">
        <v>2061</v>
      </c>
      <c r="O1132" s="53" t="s">
        <v>8</v>
      </c>
      <c r="P1132" s="56" t="s">
        <v>2560</v>
      </c>
      <c r="Q1132" s="57">
        <v>29400</v>
      </c>
      <c r="R1132" s="58" t="s">
        <v>8</v>
      </c>
      <c r="S1132" s="57" t="s">
        <v>8</v>
      </c>
      <c r="T1132" s="56" t="s">
        <v>2063</v>
      </c>
    </row>
    <row r="1133" spans="1:20">
      <c r="A1133" s="55">
        <v>127707273290</v>
      </c>
      <c r="B1133" s="53" t="s">
        <v>2055</v>
      </c>
      <c r="C1133" s="54">
        <v>45927</v>
      </c>
      <c r="D1133" s="55">
        <v>50799171045</v>
      </c>
      <c r="E1133" s="55">
        <v>2080536876454</v>
      </c>
      <c r="F1133" s="56" t="s">
        <v>2056</v>
      </c>
      <c r="G1133" s="56" t="s">
        <v>2057</v>
      </c>
      <c r="H1133" s="56" t="s">
        <v>8</v>
      </c>
      <c r="I1133" s="55" t="s">
        <v>8</v>
      </c>
      <c r="J1133" s="57">
        <v>411.28</v>
      </c>
      <c r="K1133" s="56" t="s">
        <v>2058</v>
      </c>
      <c r="L1133" s="56" t="s">
        <v>2059</v>
      </c>
      <c r="M1133" s="55" t="s">
        <v>2060</v>
      </c>
      <c r="N1133" s="56" t="s">
        <v>2061</v>
      </c>
      <c r="O1133" s="53" t="s">
        <v>8</v>
      </c>
      <c r="P1133" s="56" t="s">
        <v>2561</v>
      </c>
      <c r="Q1133" s="57">
        <v>42400</v>
      </c>
      <c r="R1133" s="58" t="s">
        <v>8</v>
      </c>
      <c r="S1133" s="57" t="s">
        <v>8</v>
      </c>
      <c r="T1133" s="56" t="s">
        <v>2063</v>
      </c>
    </row>
    <row r="1134" spans="1:20">
      <c r="A1134" s="55">
        <v>127220230833</v>
      </c>
      <c r="B1134" s="53" t="s">
        <v>2055</v>
      </c>
      <c r="C1134" s="54">
        <v>45927</v>
      </c>
      <c r="D1134" s="55">
        <v>50829638268</v>
      </c>
      <c r="E1134" s="55">
        <v>2080993450620</v>
      </c>
      <c r="F1134" s="56" t="s">
        <v>2056</v>
      </c>
      <c r="G1134" s="56" t="s">
        <v>2057</v>
      </c>
      <c r="H1134" s="56" t="s">
        <v>8</v>
      </c>
      <c r="I1134" s="55" t="s">
        <v>8</v>
      </c>
      <c r="J1134" s="57">
        <v>418.55</v>
      </c>
      <c r="K1134" s="56" t="s">
        <v>2058</v>
      </c>
      <c r="L1134" s="56" t="s">
        <v>2059</v>
      </c>
      <c r="M1134" s="55" t="s">
        <v>2060</v>
      </c>
      <c r="N1134" s="56" t="s">
        <v>2061</v>
      </c>
      <c r="O1134" s="53" t="s">
        <v>8</v>
      </c>
      <c r="P1134" s="56" t="s">
        <v>2562</v>
      </c>
      <c r="Q1134" s="57">
        <v>5500</v>
      </c>
      <c r="R1134" s="58" t="s">
        <v>8</v>
      </c>
      <c r="S1134" s="57" t="s">
        <v>8</v>
      </c>
      <c r="T1134" s="56" t="s">
        <v>2063</v>
      </c>
    </row>
    <row r="1135" spans="1:20">
      <c r="A1135" s="55">
        <v>127785471812</v>
      </c>
      <c r="B1135" s="53" t="s">
        <v>2055</v>
      </c>
      <c r="C1135" s="54">
        <v>45927</v>
      </c>
      <c r="D1135" s="55">
        <v>50830839383</v>
      </c>
      <c r="E1135" s="55">
        <v>2080956715443</v>
      </c>
      <c r="F1135" s="56" t="s">
        <v>2056</v>
      </c>
      <c r="G1135" s="56" t="s">
        <v>2057</v>
      </c>
      <c r="H1135" s="56" t="s">
        <v>8</v>
      </c>
      <c r="I1135" s="55" t="s">
        <v>8</v>
      </c>
      <c r="J1135" s="57">
        <v>130.94999999999999</v>
      </c>
      <c r="K1135" s="56" t="s">
        <v>2058</v>
      </c>
      <c r="L1135" s="56" t="s">
        <v>2059</v>
      </c>
      <c r="M1135" s="55" t="s">
        <v>2060</v>
      </c>
      <c r="N1135" s="56" t="s">
        <v>2061</v>
      </c>
      <c r="O1135" s="53" t="s">
        <v>8</v>
      </c>
      <c r="P1135" s="56" t="s">
        <v>2563</v>
      </c>
      <c r="Q1135" s="57">
        <v>13500</v>
      </c>
      <c r="R1135" s="58" t="s">
        <v>8</v>
      </c>
      <c r="S1135" s="57" t="s">
        <v>8</v>
      </c>
      <c r="T1135" s="56" t="s">
        <v>2063</v>
      </c>
    </row>
    <row r="1136" spans="1:20">
      <c r="A1136" s="55">
        <v>127787969538</v>
      </c>
      <c r="B1136" s="53" t="s">
        <v>2055</v>
      </c>
      <c r="C1136" s="54">
        <v>45927</v>
      </c>
      <c r="D1136" s="55">
        <v>50831702221</v>
      </c>
      <c r="E1136" s="55">
        <v>2081029628958</v>
      </c>
      <c r="F1136" s="56" t="s">
        <v>2066</v>
      </c>
      <c r="G1136" s="56" t="s">
        <v>2057</v>
      </c>
      <c r="H1136" s="56" t="s">
        <v>8</v>
      </c>
      <c r="I1136" s="55" t="s">
        <v>8</v>
      </c>
      <c r="J1136" s="57">
        <v>354.12</v>
      </c>
      <c r="K1136" s="56" t="s">
        <v>2058</v>
      </c>
      <c r="L1136" s="56" t="s">
        <v>2067</v>
      </c>
      <c r="M1136" s="55" t="s">
        <v>2060</v>
      </c>
      <c r="N1136" s="56" t="s">
        <v>2061</v>
      </c>
      <c r="O1136" s="53" t="s">
        <v>1790</v>
      </c>
      <c r="P1136" s="56" t="s">
        <v>2068</v>
      </c>
      <c r="Q1136" s="57">
        <v>7800</v>
      </c>
      <c r="R1136" s="58" t="s">
        <v>8</v>
      </c>
      <c r="S1136" s="57" t="s">
        <v>8</v>
      </c>
      <c r="T1136" s="56" t="s">
        <v>2063</v>
      </c>
    </row>
    <row r="1137" spans="1:20">
      <c r="A1137" s="55">
        <v>127788429684</v>
      </c>
      <c r="B1137" s="53" t="s">
        <v>2055</v>
      </c>
      <c r="C1137" s="54">
        <v>45927</v>
      </c>
      <c r="D1137" s="55">
        <v>50831905476</v>
      </c>
      <c r="E1137" s="55">
        <v>2080974622551</v>
      </c>
      <c r="F1137" s="56" t="s">
        <v>2056</v>
      </c>
      <c r="G1137" s="56" t="s">
        <v>2057</v>
      </c>
      <c r="H1137" s="56" t="s">
        <v>8</v>
      </c>
      <c r="I1137" s="55" t="s">
        <v>8</v>
      </c>
      <c r="J1137" s="57">
        <v>155.19999999999999</v>
      </c>
      <c r="K1137" s="56" t="s">
        <v>2058</v>
      </c>
      <c r="L1137" s="56" t="s">
        <v>2059</v>
      </c>
      <c r="M1137" s="55" t="s">
        <v>2060</v>
      </c>
      <c r="N1137" s="56" t="s">
        <v>2061</v>
      </c>
      <c r="O1137" s="53" t="s">
        <v>8</v>
      </c>
      <c r="P1137" s="56" t="s">
        <v>2564</v>
      </c>
      <c r="Q1137" s="57">
        <v>16000</v>
      </c>
      <c r="R1137" s="58" t="s">
        <v>8</v>
      </c>
      <c r="S1137" s="57" t="s">
        <v>8</v>
      </c>
      <c r="T1137" s="56" t="s">
        <v>2063</v>
      </c>
    </row>
    <row r="1138" spans="1:20">
      <c r="A1138" s="55">
        <v>127789821032</v>
      </c>
      <c r="B1138" s="53" t="s">
        <v>2055</v>
      </c>
      <c r="C1138" s="54">
        <v>45927</v>
      </c>
      <c r="D1138" s="55">
        <v>50832402028</v>
      </c>
      <c r="E1138" s="55">
        <v>2080983790431</v>
      </c>
      <c r="F1138" s="56" t="s">
        <v>2066</v>
      </c>
      <c r="G1138" s="56" t="s">
        <v>2057</v>
      </c>
      <c r="H1138" s="56" t="s">
        <v>8</v>
      </c>
      <c r="I1138" s="55" t="s">
        <v>8</v>
      </c>
      <c r="J1138" s="57">
        <v>334.05</v>
      </c>
      <c r="K1138" s="56" t="s">
        <v>2058</v>
      </c>
      <c r="L1138" s="56" t="s">
        <v>2067</v>
      </c>
      <c r="M1138" s="55" t="s">
        <v>2060</v>
      </c>
      <c r="N1138" s="56" t="s">
        <v>2061</v>
      </c>
      <c r="O1138" s="53" t="s">
        <v>1790</v>
      </c>
      <c r="P1138" s="56" t="s">
        <v>2068</v>
      </c>
      <c r="Q1138" s="57">
        <v>8500</v>
      </c>
      <c r="R1138" s="58" t="s">
        <v>8</v>
      </c>
      <c r="S1138" s="57" t="s">
        <v>8</v>
      </c>
      <c r="T1138" s="56" t="s">
        <v>2063</v>
      </c>
    </row>
    <row r="1139" spans="1:20">
      <c r="A1139" s="55">
        <v>127228416533</v>
      </c>
      <c r="B1139" s="53" t="s">
        <v>2055</v>
      </c>
      <c r="C1139" s="54">
        <v>45927</v>
      </c>
      <c r="D1139" s="55">
        <v>50832587466</v>
      </c>
      <c r="E1139" s="55">
        <v>2081044613988</v>
      </c>
      <c r="F1139" s="56" t="s">
        <v>2056</v>
      </c>
      <c r="G1139" s="56" t="s">
        <v>2057</v>
      </c>
      <c r="H1139" s="56" t="s">
        <v>8</v>
      </c>
      <c r="I1139" s="55" t="s">
        <v>8</v>
      </c>
      <c r="J1139" s="57">
        <v>244.44</v>
      </c>
      <c r="K1139" s="56" t="s">
        <v>2058</v>
      </c>
      <c r="L1139" s="56" t="s">
        <v>2059</v>
      </c>
      <c r="M1139" s="55" t="s">
        <v>2060</v>
      </c>
      <c r="N1139" s="56" t="s">
        <v>2061</v>
      </c>
      <c r="O1139" s="53" t="s">
        <v>8</v>
      </c>
      <c r="P1139" s="56" t="s">
        <v>2565</v>
      </c>
      <c r="Q1139" s="57">
        <v>25200</v>
      </c>
      <c r="R1139" s="58" t="s">
        <v>8</v>
      </c>
      <c r="S1139" s="57" t="s">
        <v>8</v>
      </c>
      <c r="T1139" s="56" t="s">
        <v>2063</v>
      </c>
    </row>
    <row r="1140" spans="1:20">
      <c r="A1140" s="55">
        <v>127228393663</v>
      </c>
      <c r="B1140" s="53" t="s">
        <v>2055</v>
      </c>
      <c r="C1140" s="54">
        <v>45927</v>
      </c>
      <c r="D1140" s="55">
        <v>50832609206</v>
      </c>
      <c r="E1140" s="55">
        <v>2080987331911</v>
      </c>
      <c r="F1140" s="56" t="s">
        <v>2056</v>
      </c>
      <c r="G1140" s="56" t="s">
        <v>2057</v>
      </c>
      <c r="H1140" s="56" t="s">
        <v>8</v>
      </c>
      <c r="I1140" s="55" t="s">
        <v>8</v>
      </c>
      <c r="J1140" s="57">
        <v>91.18</v>
      </c>
      <c r="K1140" s="56" t="s">
        <v>2058</v>
      </c>
      <c r="L1140" s="56" t="s">
        <v>2059</v>
      </c>
      <c r="M1140" s="55" t="s">
        <v>2060</v>
      </c>
      <c r="N1140" s="56" t="s">
        <v>2061</v>
      </c>
      <c r="O1140" s="53" t="s">
        <v>8</v>
      </c>
      <c r="P1140" s="56" t="s">
        <v>2566</v>
      </c>
      <c r="Q1140" s="57">
        <v>9400</v>
      </c>
      <c r="R1140" s="58" t="s">
        <v>8</v>
      </c>
      <c r="S1140" s="57" t="s">
        <v>8</v>
      </c>
      <c r="T1140" s="56" t="s">
        <v>2063</v>
      </c>
    </row>
    <row r="1141" spans="1:20">
      <c r="A1141" s="55">
        <v>127229216263</v>
      </c>
      <c r="B1141" s="53" t="s">
        <v>2055</v>
      </c>
      <c r="C1141" s="54">
        <v>45927</v>
      </c>
      <c r="D1141" s="55">
        <v>50832883999</v>
      </c>
      <c r="E1141" s="55">
        <v>2080992303525</v>
      </c>
      <c r="F1141" s="56" t="s">
        <v>2069</v>
      </c>
      <c r="G1141" s="56" t="s">
        <v>2057</v>
      </c>
      <c r="H1141" s="56" t="s">
        <v>8</v>
      </c>
      <c r="I1141" s="55" t="s">
        <v>8</v>
      </c>
      <c r="J1141" s="57">
        <v>160.05000000000001</v>
      </c>
      <c r="K1141" s="56" t="s">
        <v>2058</v>
      </c>
      <c r="L1141" s="56" t="s">
        <v>2059</v>
      </c>
      <c r="M1141" s="55" t="s">
        <v>2060</v>
      </c>
      <c r="N1141" s="56" t="s">
        <v>2061</v>
      </c>
      <c r="O1141" s="53" t="s">
        <v>8</v>
      </c>
      <c r="P1141" s="56" t="s">
        <v>2070</v>
      </c>
      <c r="Q1141" s="57">
        <v>16500</v>
      </c>
      <c r="R1141" s="58" t="s">
        <v>8</v>
      </c>
      <c r="S1141" s="57" t="s">
        <v>8</v>
      </c>
      <c r="T1141" s="56" t="s">
        <v>8</v>
      </c>
    </row>
    <row r="1142" spans="1:20">
      <c r="A1142" s="55">
        <v>127791466702</v>
      </c>
      <c r="B1142" s="53" t="s">
        <v>2055</v>
      </c>
      <c r="C1142" s="54">
        <v>45927</v>
      </c>
      <c r="D1142" s="55">
        <v>50832948795</v>
      </c>
      <c r="E1142" s="55">
        <v>2080993191093</v>
      </c>
      <c r="F1142" s="56" t="s">
        <v>2069</v>
      </c>
      <c r="G1142" s="56" t="s">
        <v>2057</v>
      </c>
      <c r="H1142" s="56" t="s">
        <v>8</v>
      </c>
      <c r="I1142" s="55" t="s">
        <v>8</v>
      </c>
      <c r="J1142" s="57">
        <v>105.73</v>
      </c>
      <c r="K1142" s="56" t="s">
        <v>2058</v>
      </c>
      <c r="L1142" s="56" t="s">
        <v>2059</v>
      </c>
      <c r="M1142" s="55" t="s">
        <v>2060</v>
      </c>
      <c r="N1142" s="56" t="s">
        <v>2061</v>
      </c>
      <c r="O1142" s="53" t="s">
        <v>8</v>
      </c>
      <c r="P1142" s="56" t="s">
        <v>2070</v>
      </c>
      <c r="Q1142" s="57">
        <v>10900</v>
      </c>
      <c r="R1142" s="58" t="s">
        <v>8</v>
      </c>
      <c r="S1142" s="57" t="s">
        <v>8</v>
      </c>
      <c r="T1142" s="56" t="s">
        <v>8</v>
      </c>
    </row>
    <row r="1143" spans="1:20">
      <c r="A1143" s="55">
        <v>127792154848</v>
      </c>
      <c r="B1143" s="53" t="s">
        <v>2055</v>
      </c>
      <c r="C1143" s="54">
        <v>45927</v>
      </c>
      <c r="D1143" s="55">
        <v>50833240386</v>
      </c>
      <c r="E1143" s="55">
        <v>2081055720442</v>
      </c>
      <c r="F1143" s="56" t="s">
        <v>2066</v>
      </c>
      <c r="G1143" s="56" t="s">
        <v>2057</v>
      </c>
      <c r="H1143" s="56" t="s">
        <v>8</v>
      </c>
      <c r="I1143" s="55" t="s">
        <v>8</v>
      </c>
      <c r="J1143" s="57">
        <v>353.7</v>
      </c>
      <c r="K1143" s="56" t="s">
        <v>2058</v>
      </c>
      <c r="L1143" s="56" t="s">
        <v>2067</v>
      </c>
      <c r="M1143" s="55" t="s">
        <v>2060</v>
      </c>
      <c r="N1143" s="56" t="s">
        <v>2061</v>
      </c>
      <c r="O1143" s="53" t="s">
        <v>1790</v>
      </c>
      <c r="P1143" s="56" t="s">
        <v>2068</v>
      </c>
      <c r="Q1143" s="57">
        <v>9000</v>
      </c>
      <c r="R1143" s="58" t="s">
        <v>8</v>
      </c>
      <c r="S1143" s="57" t="s">
        <v>8</v>
      </c>
      <c r="T1143" s="56" t="s">
        <v>2063</v>
      </c>
    </row>
    <row r="1144" spans="1:20">
      <c r="A1144" s="55">
        <v>127231821275</v>
      </c>
      <c r="B1144" s="53" t="s">
        <v>2055</v>
      </c>
      <c r="C1144" s="54">
        <v>45927</v>
      </c>
      <c r="D1144" s="55">
        <v>50833855402</v>
      </c>
      <c r="E1144" s="55">
        <v>2081008726741</v>
      </c>
      <c r="F1144" s="56" t="s">
        <v>2056</v>
      </c>
      <c r="G1144" s="56" t="s">
        <v>2057</v>
      </c>
      <c r="H1144" s="56" t="s">
        <v>8</v>
      </c>
      <c r="I1144" s="55" t="s">
        <v>8</v>
      </c>
      <c r="J1144" s="57">
        <v>45.59</v>
      </c>
      <c r="K1144" s="56" t="s">
        <v>2058</v>
      </c>
      <c r="L1144" s="56" t="s">
        <v>2059</v>
      </c>
      <c r="M1144" s="55" t="s">
        <v>2060</v>
      </c>
      <c r="N1144" s="56" t="s">
        <v>2061</v>
      </c>
      <c r="O1144" s="53" t="s">
        <v>8</v>
      </c>
      <c r="P1144" s="56" t="s">
        <v>2567</v>
      </c>
      <c r="Q1144" s="57">
        <v>4700</v>
      </c>
      <c r="R1144" s="58" t="s">
        <v>8</v>
      </c>
      <c r="S1144" s="57" t="s">
        <v>8</v>
      </c>
      <c r="T1144" s="56" t="s">
        <v>2063</v>
      </c>
    </row>
    <row r="1145" spans="1:20">
      <c r="A1145" s="55">
        <v>127794328414</v>
      </c>
      <c r="B1145" s="53" t="s">
        <v>2055</v>
      </c>
      <c r="C1145" s="54">
        <v>45927</v>
      </c>
      <c r="D1145" s="55">
        <v>50833984715</v>
      </c>
      <c r="E1145" s="55">
        <v>2081010826761</v>
      </c>
      <c r="F1145" s="56" t="s">
        <v>2056</v>
      </c>
      <c r="G1145" s="56" t="s">
        <v>2057</v>
      </c>
      <c r="H1145" s="56" t="s">
        <v>8</v>
      </c>
      <c r="I1145" s="55" t="s">
        <v>8</v>
      </c>
      <c r="J1145" s="57">
        <v>123.19</v>
      </c>
      <c r="K1145" s="56" t="s">
        <v>2058</v>
      </c>
      <c r="L1145" s="56" t="s">
        <v>2059</v>
      </c>
      <c r="M1145" s="55" t="s">
        <v>2060</v>
      </c>
      <c r="N1145" s="56" t="s">
        <v>2061</v>
      </c>
      <c r="O1145" s="53" t="s">
        <v>8</v>
      </c>
      <c r="P1145" s="56" t="s">
        <v>2568</v>
      </c>
      <c r="Q1145" s="57">
        <v>12700</v>
      </c>
      <c r="R1145" s="58" t="s">
        <v>8</v>
      </c>
      <c r="S1145" s="57" t="s">
        <v>8</v>
      </c>
      <c r="T1145" s="56" t="s">
        <v>2063</v>
      </c>
    </row>
    <row r="1146" spans="1:20">
      <c r="A1146" s="55">
        <v>127794377100</v>
      </c>
      <c r="B1146" s="53" t="s">
        <v>2055</v>
      </c>
      <c r="C1146" s="54">
        <v>45927</v>
      </c>
      <c r="D1146" s="55">
        <v>50834010918</v>
      </c>
      <c r="E1146" s="55">
        <v>2081069021418</v>
      </c>
      <c r="F1146" s="56" t="s">
        <v>2056</v>
      </c>
      <c r="G1146" s="56" t="s">
        <v>2057</v>
      </c>
      <c r="H1146" s="56" t="s">
        <v>8</v>
      </c>
      <c r="I1146" s="55" t="s">
        <v>8</v>
      </c>
      <c r="J1146" s="57">
        <v>2404.7600000000002</v>
      </c>
      <c r="K1146" s="56" t="s">
        <v>2058</v>
      </c>
      <c r="L1146" s="56" t="s">
        <v>2059</v>
      </c>
      <c r="M1146" s="55" t="s">
        <v>2060</v>
      </c>
      <c r="N1146" s="56" t="s">
        <v>2061</v>
      </c>
      <c r="O1146" s="53" t="s">
        <v>8</v>
      </c>
      <c r="P1146" s="56" t="s">
        <v>2569</v>
      </c>
      <c r="Q1146" s="57">
        <v>31600</v>
      </c>
      <c r="R1146" s="58" t="s">
        <v>8</v>
      </c>
      <c r="S1146" s="57" t="s">
        <v>8</v>
      </c>
      <c r="T1146" s="56" t="s">
        <v>2063</v>
      </c>
    </row>
    <row r="1147" spans="1:20">
      <c r="A1147" s="55">
        <v>127233151759</v>
      </c>
      <c r="B1147" s="53" t="s">
        <v>2055</v>
      </c>
      <c r="C1147" s="54">
        <v>45927</v>
      </c>
      <c r="D1147" s="55">
        <v>50834264265</v>
      </c>
      <c r="E1147" s="55">
        <v>2081073794530</v>
      </c>
      <c r="F1147" s="56" t="s">
        <v>2056</v>
      </c>
      <c r="G1147" s="56" t="s">
        <v>2057</v>
      </c>
      <c r="H1147" s="56" t="s">
        <v>8</v>
      </c>
      <c r="I1147" s="55" t="s">
        <v>8</v>
      </c>
      <c r="J1147" s="57">
        <v>53.35</v>
      </c>
      <c r="K1147" s="56" t="s">
        <v>2058</v>
      </c>
      <c r="L1147" s="56" t="s">
        <v>2059</v>
      </c>
      <c r="M1147" s="55" t="s">
        <v>2060</v>
      </c>
      <c r="N1147" s="56" t="s">
        <v>2061</v>
      </c>
      <c r="O1147" s="53" t="s">
        <v>8</v>
      </c>
      <c r="P1147" s="56" t="s">
        <v>2570</v>
      </c>
      <c r="Q1147" s="57">
        <v>5500</v>
      </c>
      <c r="R1147" s="58" t="s">
        <v>8</v>
      </c>
      <c r="S1147" s="57" t="s">
        <v>8</v>
      </c>
      <c r="T1147" s="56" t="s">
        <v>2063</v>
      </c>
    </row>
    <row r="1148" spans="1:20">
      <c r="A1148" s="55">
        <v>127233936785</v>
      </c>
      <c r="B1148" s="53" t="s">
        <v>2055</v>
      </c>
      <c r="C1148" s="54">
        <v>45927</v>
      </c>
      <c r="D1148" s="55">
        <v>50834574801</v>
      </c>
      <c r="E1148" s="55">
        <v>2081021272187</v>
      </c>
      <c r="F1148" s="56" t="s">
        <v>2066</v>
      </c>
      <c r="G1148" s="56" t="s">
        <v>2057</v>
      </c>
      <c r="H1148" s="56" t="s">
        <v>8</v>
      </c>
      <c r="I1148" s="55" t="s">
        <v>8</v>
      </c>
      <c r="J1148" s="57">
        <v>353.7</v>
      </c>
      <c r="K1148" s="56" t="s">
        <v>2058</v>
      </c>
      <c r="L1148" s="56" t="s">
        <v>2067</v>
      </c>
      <c r="M1148" s="55" t="s">
        <v>2060</v>
      </c>
      <c r="N1148" s="56" t="s">
        <v>2061</v>
      </c>
      <c r="O1148" s="53" t="s">
        <v>1790</v>
      </c>
      <c r="P1148" s="56" t="s">
        <v>2068</v>
      </c>
      <c r="Q1148" s="57">
        <v>9000</v>
      </c>
      <c r="R1148" s="58" t="s">
        <v>8</v>
      </c>
      <c r="S1148" s="57" t="s">
        <v>8</v>
      </c>
      <c r="T1148" s="56" t="s">
        <v>2063</v>
      </c>
    </row>
    <row r="1149" spans="1:20">
      <c r="A1149" s="55">
        <v>127234256045</v>
      </c>
      <c r="B1149" s="53" t="s">
        <v>2055</v>
      </c>
      <c r="C1149" s="54">
        <v>45927</v>
      </c>
      <c r="D1149" s="55">
        <v>50834710777</v>
      </c>
      <c r="E1149" s="55">
        <v>2081023901735</v>
      </c>
      <c r="F1149" s="56" t="s">
        <v>2066</v>
      </c>
      <c r="G1149" s="56" t="s">
        <v>2057</v>
      </c>
      <c r="H1149" s="56" t="s">
        <v>8</v>
      </c>
      <c r="I1149" s="55" t="s">
        <v>8</v>
      </c>
      <c r="J1149" s="57">
        <v>258.77999999999997</v>
      </c>
      <c r="K1149" s="56" t="s">
        <v>2058</v>
      </c>
      <c r="L1149" s="56" t="s">
        <v>2067</v>
      </c>
      <c r="M1149" s="55" t="s">
        <v>2060</v>
      </c>
      <c r="N1149" s="56" t="s">
        <v>2061</v>
      </c>
      <c r="O1149" s="53" t="s">
        <v>1790</v>
      </c>
      <c r="P1149" s="56" t="s">
        <v>2068</v>
      </c>
      <c r="Q1149" s="57">
        <v>5700</v>
      </c>
      <c r="R1149" s="58" t="s">
        <v>8</v>
      </c>
      <c r="S1149" s="57" t="s">
        <v>8</v>
      </c>
      <c r="T1149" s="56" t="s">
        <v>2063</v>
      </c>
    </row>
    <row r="1150" spans="1:20">
      <c r="A1150" s="55">
        <v>127796618374</v>
      </c>
      <c r="B1150" s="53" t="s">
        <v>2055</v>
      </c>
      <c r="C1150" s="54">
        <v>45927</v>
      </c>
      <c r="D1150" s="55">
        <v>50834750499</v>
      </c>
      <c r="E1150" s="55">
        <v>2081024568177</v>
      </c>
      <c r="F1150" s="56" t="s">
        <v>2056</v>
      </c>
      <c r="G1150" s="56" t="s">
        <v>2057</v>
      </c>
      <c r="H1150" s="56" t="s">
        <v>8</v>
      </c>
      <c r="I1150" s="55" t="s">
        <v>8</v>
      </c>
      <c r="J1150" s="57">
        <v>71.78</v>
      </c>
      <c r="K1150" s="56" t="s">
        <v>2058</v>
      </c>
      <c r="L1150" s="56" t="s">
        <v>2059</v>
      </c>
      <c r="M1150" s="55" t="s">
        <v>2060</v>
      </c>
      <c r="N1150" s="56" t="s">
        <v>2061</v>
      </c>
      <c r="O1150" s="53" t="s">
        <v>8</v>
      </c>
      <c r="P1150" s="56" t="s">
        <v>2571</v>
      </c>
      <c r="Q1150" s="57">
        <v>7400</v>
      </c>
      <c r="R1150" s="58" t="s">
        <v>8</v>
      </c>
      <c r="S1150" s="57" t="s">
        <v>8</v>
      </c>
      <c r="T1150" s="56" t="s">
        <v>2063</v>
      </c>
    </row>
    <row r="1151" spans="1:20">
      <c r="A1151" s="55">
        <v>127234704203</v>
      </c>
      <c r="B1151" s="53" t="s">
        <v>2055</v>
      </c>
      <c r="C1151" s="54">
        <v>45927</v>
      </c>
      <c r="D1151" s="55">
        <v>50834817144</v>
      </c>
      <c r="E1151" s="55">
        <v>2081083195616</v>
      </c>
      <c r="F1151" s="56" t="s">
        <v>2056</v>
      </c>
      <c r="G1151" s="56" t="s">
        <v>2057</v>
      </c>
      <c r="H1151" s="56" t="s">
        <v>8</v>
      </c>
      <c r="I1151" s="55" t="s">
        <v>8</v>
      </c>
      <c r="J1151" s="57">
        <v>265.77999999999997</v>
      </c>
      <c r="K1151" s="56" t="s">
        <v>2058</v>
      </c>
      <c r="L1151" s="56" t="s">
        <v>2059</v>
      </c>
      <c r="M1151" s="55" t="s">
        <v>2060</v>
      </c>
      <c r="N1151" s="56" t="s">
        <v>2061</v>
      </c>
      <c r="O1151" s="53" t="s">
        <v>8</v>
      </c>
      <c r="P1151" s="56" t="s">
        <v>2572</v>
      </c>
      <c r="Q1151" s="57">
        <v>27400</v>
      </c>
      <c r="R1151" s="58" t="s">
        <v>8</v>
      </c>
      <c r="S1151" s="57" t="s">
        <v>8</v>
      </c>
      <c r="T1151" s="56" t="s">
        <v>2063</v>
      </c>
    </row>
    <row r="1152" spans="1:20">
      <c r="A1152" s="55">
        <v>127799026568</v>
      </c>
      <c r="B1152" s="53" t="s">
        <v>2055</v>
      </c>
      <c r="C1152" s="54">
        <v>45927</v>
      </c>
      <c r="D1152" s="55">
        <v>50835613157</v>
      </c>
      <c r="E1152" s="55">
        <v>2081096757926</v>
      </c>
      <c r="F1152" s="56" t="s">
        <v>2069</v>
      </c>
      <c r="G1152" s="56" t="s">
        <v>2057</v>
      </c>
      <c r="H1152" s="56" t="s">
        <v>8</v>
      </c>
      <c r="I1152" s="55" t="s">
        <v>8</v>
      </c>
      <c r="J1152" s="57">
        <v>83.42</v>
      </c>
      <c r="K1152" s="56" t="s">
        <v>2058</v>
      </c>
      <c r="L1152" s="56" t="s">
        <v>2059</v>
      </c>
      <c r="M1152" s="55" t="s">
        <v>2060</v>
      </c>
      <c r="N1152" s="56" t="s">
        <v>2061</v>
      </c>
      <c r="O1152" s="53" t="s">
        <v>8</v>
      </c>
      <c r="P1152" s="56" t="s">
        <v>2070</v>
      </c>
      <c r="Q1152" s="57">
        <v>8600</v>
      </c>
      <c r="R1152" s="58" t="s">
        <v>8</v>
      </c>
      <c r="S1152" s="57" t="s">
        <v>8</v>
      </c>
      <c r="T1152" s="56" t="s">
        <v>8</v>
      </c>
    </row>
    <row r="1153" spans="1:20">
      <c r="A1153" s="55">
        <v>127238351915</v>
      </c>
      <c r="B1153" s="53" t="s">
        <v>2055</v>
      </c>
      <c r="C1153" s="54">
        <v>45927</v>
      </c>
      <c r="D1153" s="55">
        <v>50836134320</v>
      </c>
      <c r="E1153" s="55">
        <v>2081048009601</v>
      </c>
      <c r="F1153" s="56" t="s">
        <v>2069</v>
      </c>
      <c r="G1153" s="56" t="s">
        <v>2057</v>
      </c>
      <c r="H1153" s="56" t="s">
        <v>8</v>
      </c>
      <c r="I1153" s="55" t="s">
        <v>8</v>
      </c>
      <c r="J1153" s="57">
        <v>329.8</v>
      </c>
      <c r="K1153" s="56" t="s">
        <v>2058</v>
      </c>
      <c r="L1153" s="56" t="s">
        <v>2059</v>
      </c>
      <c r="M1153" s="55" t="s">
        <v>2060</v>
      </c>
      <c r="N1153" s="56" t="s">
        <v>2061</v>
      </c>
      <c r="O1153" s="53" t="s">
        <v>8</v>
      </c>
      <c r="P1153" s="56" t="s">
        <v>2070</v>
      </c>
      <c r="Q1153" s="57">
        <v>34000</v>
      </c>
      <c r="R1153" s="58" t="s">
        <v>8</v>
      </c>
      <c r="S1153" s="57" t="s">
        <v>8</v>
      </c>
      <c r="T1153" s="56" t="s">
        <v>8</v>
      </c>
    </row>
    <row r="1154" spans="1:20">
      <c r="A1154" s="55">
        <v>127238466519</v>
      </c>
      <c r="B1154" s="53" t="s">
        <v>2055</v>
      </c>
      <c r="C1154" s="54">
        <v>45927</v>
      </c>
      <c r="D1154" s="55">
        <v>50836159999</v>
      </c>
      <c r="E1154" s="55">
        <v>2081105955396</v>
      </c>
      <c r="F1154" s="56" t="s">
        <v>2107</v>
      </c>
      <c r="G1154" s="56" t="s">
        <v>2057</v>
      </c>
      <c r="H1154" s="56" t="s">
        <v>8</v>
      </c>
      <c r="I1154" s="55" t="s">
        <v>8</v>
      </c>
      <c r="J1154" s="57">
        <v>2587.4</v>
      </c>
      <c r="K1154" s="56" t="s">
        <v>2058</v>
      </c>
      <c r="L1154" s="56" t="s">
        <v>2059</v>
      </c>
      <c r="M1154" s="55" t="s">
        <v>2060</v>
      </c>
      <c r="N1154" s="56" t="s">
        <v>2061</v>
      </c>
      <c r="O1154" s="53" t="s">
        <v>8</v>
      </c>
      <c r="P1154" s="56" t="s">
        <v>2197</v>
      </c>
      <c r="Q1154" s="57">
        <v>34000</v>
      </c>
      <c r="R1154" s="58" t="s">
        <v>8</v>
      </c>
      <c r="S1154" s="57" t="s">
        <v>8</v>
      </c>
      <c r="T1154" s="56" t="s">
        <v>2063</v>
      </c>
    </row>
    <row r="1155" spans="1:20">
      <c r="A1155" s="55">
        <v>127800943318</v>
      </c>
      <c r="B1155" s="53" t="s">
        <v>2055</v>
      </c>
      <c r="C1155" s="54">
        <v>45927</v>
      </c>
      <c r="D1155" s="55">
        <v>50836326936</v>
      </c>
      <c r="E1155" s="55">
        <v>2081108692272</v>
      </c>
      <c r="F1155" s="56" t="s">
        <v>2056</v>
      </c>
      <c r="G1155" s="56" t="s">
        <v>2057</v>
      </c>
      <c r="H1155" s="56" t="s">
        <v>8</v>
      </c>
      <c r="I1155" s="55" t="s">
        <v>8</v>
      </c>
      <c r="J1155" s="57">
        <v>364.72</v>
      </c>
      <c r="K1155" s="56" t="s">
        <v>2058</v>
      </c>
      <c r="L1155" s="56" t="s">
        <v>2059</v>
      </c>
      <c r="M1155" s="55" t="s">
        <v>2060</v>
      </c>
      <c r="N1155" s="56" t="s">
        <v>2061</v>
      </c>
      <c r="O1155" s="53" t="s">
        <v>8</v>
      </c>
      <c r="P1155" s="56" t="s">
        <v>2573</v>
      </c>
      <c r="Q1155" s="57">
        <v>37600</v>
      </c>
      <c r="R1155" s="58" t="s">
        <v>8</v>
      </c>
      <c r="S1155" s="57" t="s">
        <v>8</v>
      </c>
      <c r="T1155" s="56" t="s">
        <v>2063</v>
      </c>
    </row>
    <row r="1156" spans="1:20">
      <c r="A1156" s="55">
        <v>127239227751</v>
      </c>
      <c r="B1156" s="53" t="s">
        <v>2055</v>
      </c>
      <c r="C1156" s="54">
        <v>45927</v>
      </c>
      <c r="D1156" s="55">
        <v>50836494393</v>
      </c>
      <c r="E1156" s="55">
        <v>2081053644755</v>
      </c>
      <c r="F1156" s="56" t="s">
        <v>2066</v>
      </c>
      <c r="G1156" s="56" t="s">
        <v>2057</v>
      </c>
      <c r="H1156" s="56" t="s">
        <v>8</v>
      </c>
      <c r="I1156" s="55" t="s">
        <v>8</v>
      </c>
      <c r="J1156" s="57">
        <v>911.76</v>
      </c>
      <c r="K1156" s="56" t="s">
        <v>2058</v>
      </c>
      <c r="L1156" s="56" t="s">
        <v>2067</v>
      </c>
      <c r="M1156" s="55" t="s">
        <v>2060</v>
      </c>
      <c r="N1156" s="56" t="s">
        <v>2061</v>
      </c>
      <c r="O1156" s="53" t="s">
        <v>1790</v>
      </c>
      <c r="P1156" s="56" t="s">
        <v>2068</v>
      </c>
      <c r="Q1156" s="57">
        <v>23200</v>
      </c>
      <c r="R1156" s="58" t="s">
        <v>8</v>
      </c>
      <c r="S1156" s="57" t="s">
        <v>8</v>
      </c>
      <c r="T1156" s="56" t="s">
        <v>2063</v>
      </c>
    </row>
    <row r="1157" spans="1:20">
      <c r="A1157" s="55">
        <v>127239351455</v>
      </c>
      <c r="B1157" s="53" t="s">
        <v>2055</v>
      </c>
      <c r="C1157" s="54">
        <v>45927</v>
      </c>
      <c r="D1157" s="55">
        <v>50836500605</v>
      </c>
      <c r="E1157" s="55">
        <v>2081054380233</v>
      </c>
      <c r="F1157" s="56" t="s">
        <v>2056</v>
      </c>
      <c r="G1157" s="56" t="s">
        <v>2057</v>
      </c>
      <c r="H1157" s="56" t="s">
        <v>8</v>
      </c>
      <c r="I1157" s="55" t="s">
        <v>8</v>
      </c>
      <c r="J1157" s="57">
        <v>221.16</v>
      </c>
      <c r="K1157" s="56" t="s">
        <v>2058</v>
      </c>
      <c r="L1157" s="56" t="s">
        <v>2059</v>
      </c>
      <c r="M1157" s="55" t="s">
        <v>2060</v>
      </c>
      <c r="N1157" s="56" t="s">
        <v>2061</v>
      </c>
      <c r="O1157" s="53" t="s">
        <v>8</v>
      </c>
      <c r="P1157" s="56" t="s">
        <v>2535</v>
      </c>
      <c r="Q1157" s="57">
        <v>22800</v>
      </c>
      <c r="R1157" s="58" t="s">
        <v>8</v>
      </c>
      <c r="S1157" s="57" t="s">
        <v>8</v>
      </c>
      <c r="T1157" s="56" t="s">
        <v>2063</v>
      </c>
    </row>
    <row r="1158" spans="1:20">
      <c r="A1158" s="55">
        <v>127239518551</v>
      </c>
      <c r="B1158" s="53" t="s">
        <v>2055</v>
      </c>
      <c r="C1158" s="54">
        <v>45927</v>
      </c>
      <c r="D1158" s="55">
        <v>50836545155</v>
      </c>
      <c r="E1158" s="55">
        <v>2081112085228</v>
      </c>
      <c r="F1158" s="56" t="s">
        <v>2066</v>
      </c>
      <c r="G1158" s="56" t="s">
        <v>2057</v>
      </c>
      <c r="H1158" s="56" t="s">
        <v>8</v>
      </c>
      <c r="I1158" s="55" t="s">
        <v>8</v>
      </c>
      <c r="J1158" s="57">
        <v>1910.11</v>
      </c>
      <c r="K1158" s="56" t="s">
        <v>2058</v>
      </c>
      <c r="L1158" s="56" t="s">
        <v>2067</v>
      </c>
      <c r="M1158" s="55" t="s">
        <v>2060</v>
      </c>
      <c r="N1158" s="56" t="s">
        <v>2061</v>
      </c>
      <c r="O1158" s="53" t="s">
        <v>1790</v>
      </c>
      <c r="P1158" s="56" t="s">
        <v>2068</v>
      </c>
      <c r="Q1158" s="57">
        <v>25100</v>
      </c>
      <c r="R1158" s="58" t="s">
        <v>8</v>
      </c>
      <c r="S1158" s="57" t="s">
        <v>8</v>
      </c>
      <c r="T1158" s="56" t="s">
        <v>2063</v>
      </c>
    </row>
    <row r="1159" spans="1:20">
      <c r="A1159" s="55">
        <v>127239890865</v>
      </c>
      <c r="B1159" s="53" t="s">
        <v>2055</v>
      </c>
      <c r="C1159" s="54">
        <v>45927</v>
      </c>
      <c r="D1159" s="55">
        <v>50836675534</v>
      </c>
      <c r="E1159" s="55">
        <v>2081056821791</v>
      </c>
      <c r="F1159" s="56" t="s">
        <v>2056</v>
      </c>
      <c r="G1159" s="56" t="s">
        <v>2057</v>
      </c>
      <c r="H1159" s="56" t="s">
        <v>8</v>
      </c>
      <c r="I1159" s="55" t="s">
        <v>8</v>
      </c>
      <c r="J1159" s="57">
        <v>2450.42</v>
      </c>
      <c r="K1159" s="56" t="s">
        <v>2058</v>
      </c>
      <c r="L1159" s="56" t="s">
        <v>2059</v>
      </c>
      <c r="M1159" s="55" t="s">
        <v>2060</v>
      </c>
      <c r="N1159" s="56" t="s">
        <v>2061</v>
      </c>
      <c r="O1159" s="53" t="s">
        <v>8</v>
      </c>
      <c r="P1159" s="56" t="s">
        <v>2446</v>
      </c>
      <c r="Q1159" s="57">
        <v>32200</v>
      </c>
      <c r="R1159" s="58" t="s">
        <v>8</v>
      </c>
      <c r="S1159" s="57" t="s">
        <v>8</v>
      </c>
      <c r="T1159" s="56" t="s">
        <v>2063</v>
      </c>
    </row>
    <row r="1160" spans="1:20">
      <c r="A1160" s="55">
        <v>127802564664</v>
      </c>
      <c r="B1160" s="53" t="s">
        <v>2055</v>
      </c>
      <c r="C1160" s="54">
        <v>45927</v>
      </c>
      <c r="D1160" s="55">
        <v>50836883502</v>
      </c>
      <c r="E1160" s="55">
        <v>2081118353076</v>
      </c>
      <c r="F1160" s="56" t="s">
        <v>2066</v>
      </c>
      <c r="G1160" s="56" t="s">
        <v>2057</v>
      </c>
      <c r="H1160" s="56" t="s">
        <v>8</v>
      </c>
      <c r="I1160" s="55" t="s">
        <v>8</v>
      </c>
      <c r="J1160" s="57">
        <v>601.19000000000005</v>
      </c>
      <c r="K1160" s="56" t="s">
        <v>2058</v>
      </c>
      <c r="L1160" s="56" t="s">
        <v>2067</v>
      </c>
      <c r="M1160" s="55" t="s">
        <v>2060</v>
      </c>
      <c r="N1160" s="56" t="s">
        <v>2061</v>
      </c>
      <c r="O1160" s="53" t="s">
        <v>1790</v>
      </c>
      <c r="P1160" s="56" t="s">
        <v>2068</v>
      </c>
      <c r="Q1160" s="57">
        <v>7900</v>
      </c>
      <c r="R1160" s="58" t="s">
        <v>8</v>
      </c>
      <c r="S1160" s="57" t="s">
        <v>8</v>
      </c>
      <c r="T1160" s="56" t="s">
        <v>2063</v>
      </c>
    </row>
    <row r="1161" spans="1:20">
      <c r="A1161" s="55">
        <v>127803309066</v>
      </c>
      <c r="B1161" s="53" t="s">
        <v>2055</v>
      </c>
      <c r="C1161" s="54">
        <v>45927</v>
      </c>
      <c r="D1161" s="55">
        <v>50837180555</v>
      </c>
      <c r="E1161" s="55">
        <v>2081065307099</v>
      </c>
      <c r="F1161" s="56" t="s">
        <v>2056</v>
      </c>
      <c r="G1161" s="56" t="s">
        <v>2057</v>
      </c>
      <c r="H1161" s="56" t="s">
        <v>8</v>
      </c>
      <c r="I1161" s="55" t="s">
        <v>8</v>
      </c>
      <c r="J1161" s="57">
        <v>718.77</v>
      </c>
      <c r="K1161" s="56" t="s">
        <v>2058</v>
      </c>
      <c r="L1161" s="56" t="s">
        <v>2059</v>
      </c>
      <c r="M1161" s="55" t="s">
        <v>2060</v>
      </c>
      <c r="N1161" s="56" t="s">
        <v>2061</v>
      </c>
      <c r="O1161" s="53" t="s">
        <v>8</v>
      </c>
      <c r="P1161" s="56" t="s">
        <v>2574</v>
      </c>
      <c r="Q1161" s="57">
        <v>74100</v>
      </c>
      <c r="R1161" s="58" t="s">
        <v>8</v>
      </c>
      <c r="S1161" s="57" t="s">
        <v>8</v>
      </c>
      <c r="T1161" s="56" t="s">
        <v>2063</v>
      </c>
    </row>
    <row r="1162" spans="1:20">
      <c r="A1162" s="55">
        <v>127241451265</v>
      </c>
      <c r="B1162" s="53" t="s">
        <v>2055</v>
      </c>
      <c r="C1162" s="54">
        <v>45927</v>
      </c>
      <c r="D1162" s="55">
        <v>50837250505</v>
      </c>
      <c r="E1162" s="55">
        <v>2081066815855</v>
      </c>
      <c r="F1162" s="56" t="s">
        <v>2056</v>
      </c>
      <c r="G1162" s="56" t="s">
        <v>2057</v>
      </c>
      <c r="H1162" s="56" t="s">
        <v>8</v>
      </c>
      <c r="I1162" s="55" t="s">
        <v>8</v>
      </c>
      <c r="J1162" s="57">
        <v>143.56</v>
      </c>
      <c r="K1162" s="56" t="s">
        <v>2058</v>
      </c>
      <c r="L1162" s="56" t="s">
        <v>2059</v>
      </c>
      <c r="M1162" s="55" t="s">
        <v>2060</v>
      </c>
      <c r="N1162" s="56" t="s">
        <v>2061</v>
      </c>
      <c r="O1162" s="53" t="s">
        <v>8</v>
      </c>
      <c r="P1162" s="56" t="s">
        <v>2575</v>
      </c>
      <c r="Q1162" s="57">
        <v>14800</v>
      </c>
      <c r="R1162" s="58" t="s">
        <v>8</v>
      </c>
      <c r="S1162" s="57" t="s">
        <v>8</v>
      </c>
      <c r="T1162" s="56" t="s">
        <v>2063</v>
      </c>
    </row>
    <row r="1163" spans="1:20">
      <c r="A1163" s="55">
        <v>127803525440</v>
      </c>
      <c r="B1163" s="53" t="s">
        <v>2055</v>
      </c>
      <c r="C1163" s="54">
        <v>45927</v>
      </c>
      <c r="D1163" s="55">
        <v>50837286348</v>
      </c>
      <c r="E1163" s="55">
        <v>2081066972029</v>
      </c>
      <c r="F1163" s="56" t="s">
        <v>2056</v>
      </c>
      <c r="G1163" s="56" t="s">
        <v>2057</v>
      </c>
      <c r="H1163" s="56" t="s">
        <v>8</v>
      </c>
      <c r="I1163" s="55" t="s">
        <v>8</v>
      </c>
      <c r="J1163" s="57">
        <v>82.45</v>
      </c>
      <c r="K1163" s="56" t="s">
        <v>2058</v>
      </c>
      <c r="L1163" s="56" t="s">
        <v>2059</v>
      </c>
      <c r="M1163" s="55" t="s">
        <v>2060</v>
      </c>
      <c r="N1163" s="56" t="s">
        <v>2061</v>
      </c>
      <c r="O1163" s="53" t="s">
        <v>8</v>
      </c>
      <c r="P1163" s="56" t="s">
        <v>2576</v>
      </c>
      <c r="Q1163" s="57">
        <v>8500</v>
      </c>
      <c r="R1163" s="58" t="s">
        <v>8</v>
      </c>
      <c r="S1163" s="57" t="s">
        <v>8</v>
      </c>
      <c r="T1163" s="56" t="s">
        <v>2063</v>
      </c>
    </row>
    <row r="1164" spans="1:20">
      <c r="A1164" s="55">
        <v>127242722135</v>
      </c>
      <c r="B1164" s="53" t="s">
        <v>2055</v>
      </c>
      <c r="C1164" s="54">
        <v>45927</v>
      </c>
      <c r="D1164" s="55">
        <v>50837707314</v>
      </c>
      <c r="E1164" s="55">
        <v>2081131978400</v>
      </c>
      <c r="F1164" s="56" t="s">
        <v>2056</v>
      </c>
      <c r="G1164" s="56" t="s">
        <v>2057</v>
      </c>
      <c r="H1164" s="56" t="s">
        <v>8</v>
      </c>
      <c r="I1164" s="55" t="s">
        <v>8</v>
      </c>
      <c r="J1164" s="57">
        <v>132.88999999999999</v>
      </c>
      <c r="K1164" s="56" t="s">
        <v>2058</v>
      </c>
      <c r="L1164" s="56" t="s">
        <v>2059</v>
      </c>
      <c r="M1164" s="55" t="s">
        <v>2060</v>
      </c>
      <c r="N1164" s="56" t="s">
        <v>2061</v>
      </c>
      <c r="O1164" s="53" t="s">
        <v>8</v>
      </c>
      <c r="P1164" s="56" t="s">
        <v>2295</v>
      </c>
      <c r="Q1164" s="57">
        <v>13700</v>
      </c>
      <c r="R1164" s="58" t="s">
        <v>8</v>
      </c>
      <c r="S1164" s="57" t="s">
        <v>8</v>
      </c>
      <c r="T1164" s="56" t="s">
        <v>2063</v>
      </c>
    </row>
    <row r="1165" spans="1:20">
      <c r="A1165" s="55">
        <v>127242782269</v>
      </c>
      <c r="B1165" s="53" t="s">
        <v>2055</v>
      </c>
      <c r="C1165" s="54">
        <v>45927</v>
      </c>
      <c r="D1165" s="55">
        <v>50837736263</v>
      </c>
      <c r="E1165" s="55">
        <v>2081074572581</v>
      </c>
      <c r="F1165" s="56" t="s">
        <v>2066</v>
      </c>
      <c r="G1165" s="56" t="s">
        <v>2057</v>
      </c>
      <c r="H1165" s="56" t="s">
        <v>8</v>
      </c>
      <c r="I1165" s="55" t="s">
        <v>8</v>
      </c>
      <c r="J1165" s="57">
        <v>1485.54</v>
      </c>
      <c r="K1165" s="56" t="s">
        <v>2058</v>
      </c>
      <c r="L1165" s="56" t="s">
        <v>2067</v>
      </c>
      <c r="M1165" s="55" t="s">
        <v>2060</v>
      </c>
      <c r="N1165" s="56" t="s">
        <v>2061</v>
      </c>
      <c r="O1165" s="53" t="s">
        <v>1790</v>
      </c>
      <c r="P1165" s="56" t="s">
        <v>2068</v>
      </c>
      <c r="Q1165" s="57">
        <v>37800</v>
      </c>
      <c r="R1165" s="58" t="s">
        <v>8</v>
      </c>
      <c r="S1165" s="57" t="s">
        <v>8</v>
      </c>
      <c r="T1165" s="56" t="s">
        <v>2063</v>
      </c>
    </row>
    <row r="1166" spans="1:20">
      <c r="A1166" s="55">
        <v>127804919688</v>
      </c>
      <c r="B1166" s="53" t="s">
        <v>2055</v>
      </c>
      <c r="C1166" s="54">
        <v>45927</v>
      </c>
      <c r="D1166" s="55">
        <v>50837765198</v>
      </c>
      <c r="E1166" s="55">
        <v>2081132728662</v>
      </c>
      <c r="F1166" s="56" t="s">
        <v>2056</v>
      </c>
      <c r="G1166" s="56" t="s">
        <v>2057</v>
      </c>
      <c r="H1166" s="56" t="s">
        <v>8</v>
      </c>
      <c r="I1166" s="55" t="s">
        <v>8</v>
      </c>
      <c r="J1166" s="57">
        <v>43.65</v>
      </c>
      <c r="K1166" s="56" t="s">
        <v>2058</v>
      </c>
      <c r="L1166" s="56" t="s">
        <v>2059</v>
      </c>
      <c r="M1166" s="55" t="s">
        <v>2060</v>
      </c>
      <c r="N1166" s="56" t="s">
        <v>2061</v>
      </c>
      <c r="O1166" s="53" t="s">
        <v>8</v>
      </c>
      <c r="P1166" s="56" t="s">
        <v>2577</v>
      </c>
      <c r="Q1166" s="57">
        <v>4500</v>
      </c>
      <c r="R1166" s="58" t="s">
        <v>8</v>
      </c>
      <c r="S1166" s="57" t="s">
        <v>8</v>
      </c>
      <c r="T1166" s="56" t="s">
        <v>2063</v>
      </c>
    </row>
    <row r="1167" spans="1:20">
      <c r="A1167" s="55">
        <v>127242950363</v>
      </c>
      <c r="B1167" s="53" t="s">
        <v>2055</v>
      </c>
      <c r="C1167" s="54">
        <v>45927</v>
      </c>
      <c r="D1167" s="55">
        <v>50837779653</v>
      </c>
      <c r="E1167" s="55">
        <v>2081133412036</v>
      </c>
      <c r="F1167" s="56" t="s">
        <v>2056</v>
      </c>
      <c r="G1167" s="56" t="s">
        <v>2057</v>
      </c>
      <c r="H1167" s="56" t="s">
        <v>8</v>
      </c>
      <c r="I1167" s="55" t="s">
        <v>8</v>
      </c>
      <c r="J1167" s="57">
        <v>357.93</v>
      </c>
      <c r="K1167" s="56" t="s">
        <v>2058</v>
      </c>
      <c r="L1167" s="56" t="s">
        <v>2059</v>
      </c>
      <c r="M1167" s="55" t="s">
        <v>2060</v>
      </c>
      <c r="N1167" s="56" t="s">
        <v>2061</v>
      </c>
      <c r="O1167" s="53" t="s">
        <v>8</v>
      </c>
      <c r="P1167" s="56" t="s">
        <v>2578</v>
      </c>
      <c r="Q1167" s="57">
        <v>36900</v>
      </c>
      <c r="R1167" s="58" t="s">
        <v>8</v>
      </c>
      <c r="S1167" s="57" t="s">
        <v>8</v>
      </c>
      <c r="T1167" s="56" t="s">
        <v>2063</v>
      </c>
    </row>
    <row r="1168" spans="1:20">
      <c r="A1168" s="55">
        <v>127243294621</v>
      </c>
      <c r="B1168" s="53" t="s">
        <v>2055</v>
      </c>
      <c r="C1168" s="54">
        <v>45927</v>
      </c>
      <c r="D1168" s="55">
        <v>50837890636</v>
      </c>
      <c r="E1168" s="55">
        <v>2081135143280</v>
      </c>
      <c r="F1168" s="56" t="s">
        <v>2056</v>
      </c>
      <c r="G1168" s="56" t="s">
        <v>2057</v>
      </c>
      <c r="H1168" s="56" t="s">
        <v>8</v>
      </c>
      <c r="I1168" s="55" t="s">
        <v>8</v>
      </c>
      <c r="J1168" s="57">
        <v>502.46</v>
      </c>
      <c r="K1168" s="56" t="s">
        <v>2058</v>
      </c>
      <c r="L1168" s="56" t="s">
        <v>2059</v>
      </c>
      <c r="M1168" s="55" t="s">
        <v>2060</v>
      </c>
      <c r="N1168" s="56" t="s">
        <v>2061</v>
      </c>
      <c r="O1168" s="53" t="s">
        <v>8</v>
      </c>
      <c r="P1168" s="56" t="s">
        <v>2579</v>
      </c>
      <c r="Q1168" s="57">
        <v>51800</v>
      </c>
      <c r="R1168" s="58" t="s">
        <v>8</v>
      </c>
      <c r="S1168" s="57" t="s">
        <v>8</v>
      </c>
      <c r="T1168" s="56" t="s">
        <v>2063</v>
      </c>
    </row>
    <row r="1169" spans="1:20">
      <c r="A1169" s="55">
        <v>127243983795</v>
      </c>
      <c r="B1169" s="53" t="s">
        <v>2055</v>
      </c>
      <c r="C1169" s="54">
        <v>45927</v>
      </c>
      <c r="D1169" s="55">
        <v>50838149483</v>
      </c>
      <c r="E1169" s="55">
        <v>2081081881063</v>
      </c>
      <c r="F1169" s="56" t="s">
        <v>2066</v>
      </c>
      <c r="G1169" s="56" t="s">
        <v>2057</v>
      </c>
      <c r="H1169" s="56" t="s">
        <v>8</v>
      </c>
      <c r="I1169" s="55" t="s">
        <v>8</v>
      </c>
      <c r="J1169" s="57">
        <v>839.9</v>
      </c>
      <c r="K1169" s="56" t="s">
        <v>2058</v>
      </c>
      <c r="L1169" s="56" t="s">
        <v>2067</v>
      </c>
      <c r="M1169" s="55" t="s">
        <v>2060</v>
      </c>
      <c r="N1169" s="56" t="s">
        <v>2061</v>
      </c>
      <c r="O1169" s="53" t="s">
        <v>1790</v>
      </c>
      <c r="P1169" s="56" t="s">
        <v>2068</v>
      </c>
      <c r="Q1169" s="57">
        <v>18500</v>
      </c>
      <c r="R1169" s="58" t="s">
        <v>8</v>
      </c>
      <c r="S1169" s="57" t="s">
        <v>8</v>
      </c>
      <c r="T1169" s="56" t="s">
        <v>2063</v>
      </c>
    </row>
    <row r="1170" spans="1:20">
      <c r="A1170" s="55">
        <v>127806240328</v>
      </c>
      <c r="B1170" s="53" t="s">
        <v>2055</v>
      </c>
      <c r="C1170" s="54">
        <v>45927</v>
      </c>
      <c r="D1170" s="55">
        <v>50838204116</v>
      </c>
      <c r="E1170" s="55">
        <v>2081140738912</v>
      </c>
      <c r="F1170" s="56" t="s">
        <v>2066</v>
      </c>
      <c r="G1170" s="56" t="s">
        <v>2057</v>
      </c>
      <c r="H1170" s="56" t="s">
        <v>8</v>
      </c>
      <c r="I1170" s="55" t="s">
        <v>8</v>
      </c>
      <c r="J1170" s="57">
        <v>310.47000000000003</v>
      </c>
      <c r="K1170" s="56" t="s">
        <v>2058</v>
      </c>
      <c r="L1170" s="56" t="s">
        <v>2067</v>
      </c>
      <c r="M1170" s="55" t="s">
        <v>2060</v>
      </c>
      <c r="N1170" s="56" t="s">
        <v>2061</v>
      </c>
      <c r="O1170" s="53" t="s">
        <v>1790</v>
      </c>
      <c r="P1170" s="56" t="s">
        <v>2068</v>
      </c>
      <c r="Q1170" s="57">
        <v>7900</v>
      </c>
      <c r="R1170" s="58" t="s">
        <v>8</v>
      </c>
      <c r="S1170" s="57" t="s">
        <v>8</v>
      </c>
      <c r="T1170" s="56" t="s">
        <v>2063</v>
      </c>
    </row>
    <row r="1171" spans="1:20">
      <c r="A1171" s="55">
        <v>127806286920</v>
      </c>
      <c r="B1171" s="53" t="s">
        <v>2055</v>
      </c>
      <c r="C1171" s="54">
        <v>45927</v>
      </c>
      <c r="D1171" s="55">
        <v>50838250034</v>
      </c>
      <c r="E1171" s="55">
        <v>2081141230634</v>
      </c>
      <c r="F1171" s="56" t="s">
        <v>2056</v>
      </c>
      <c r="G1171" s="56" t="s">
        <v>2057</v>
      </c>
      <c r="H1171" s="56" t="s">
        <v>8</v>
      </c>
      <c r="I1171" s="55" t="s">
        <v>8</v>
      </c>
      <c r="J1171" s="57">
        <v>102.82</v>
      </c>
      <c r="K1171" s="56" t="s">
        <v>2058</v>
      </c>
      <c r="L1171" s="56" t="s">
        <v>2059</v>
      </c>
      <c r="M1171" s="55" t="s">
        <v>2060</v>
      </c>
      <c r="N1171" s="56" t="s">
        <v>2061</v>
      </c>
      <c r="O1171" s="53" t="s">
        <v>8</v>
      </c>
      <c r="P1171" s="56" t="s">
        <v>2580</v>
      </c>
      <c r="Q1171" s="57">
        <v>10600</v>
      </c>
      <c r="R1171" s="58" t="s">
        <v>8</v>
      </c>
      <c r="S1171" s="57" t="s">
        <v>8</v>
      </c>
      <c r="T1171" s="56" t="s">
        <v>2063</v>
      </c>
    </row>
    <row r="1172" spans="1:20">
      <c r="A1172" s="55">
        <v>127806313302</v>
      </c>
      <c r="B1172" s="53" t="s">
        <v>2055</v>
      </c>
      <c r="C1172" s="54">
        <v>45927</v>
      </c>
      <c r="D1172" s="55">
        <v>50838254000</v>
      </c>
      <c r="E1172" s="55">
        <v>2081141651114</v>
      </c>
      <c r="F1172" s="56" t="s">
        <v>2066</v>
      </c>
      <c r="G1172" s="56" t="s">
        <v>2057</v>
      </c>
      <c r="H1172" s="56" t="s">
        <v>8</v>
      </c>
      <c r="I1172" s="55" t="s">
        <v>8</v>
      </c>
      <c r="J1172" s="57">
        <v>1155.42</v>
      </c>
      <c r="K1172" s="56" t="s">
        <v>2058</v>
      </c>
      <c r="L1172" s="56" t="s">
        <v>2067</v>
      </c>
      <c r="M1172" s="55" t="s">
        <v>2060</v>
      </c>
      <c r="N1172" s="56" t="s">
        <v>2061</v>
      </c>
      <c r="O1172" s="53" t="s">
        <v>1790</v>
      </c>
      <c r="P1172" s="56" t="s">
        <v>2068</v>
      </c>
      <c r="Q1172" s="57">
        <v>29400</v>
      </c>
      <c r="R1172" s="58" t="s">
        <v>8</v>
      </c>
      <c r="S1172" s="57" t="s">
        <v>8</v>
      </c>
      <c r="T1172" s="56" t="s">
        <v>2063</v>
      </c>
    </row>
    <row r="1173" spans="1:20">
      <c r="A1173" s="55">
        <v>127244912805</v>
      </c>
      <c r="B1173" s="53" t="s">
        <v>2055</v>
      </c>
      <c r="C1173" s="54">
        <v>45927</v>
      </c>
      <c r="D1173" s="55">
        <v>50838512155</v>
      </c>
      <c r="E1173" s="55">
        <v>2081145525436</v>
      </c>
      <c r="F1173" s="56" t="s">
        <v>2069</v>
      </c>
      <c r="G1173" s="56" t="s">
        <v>2057</v>
      </c>
      <c r="H1173" s="56" t="s">
        <v>8</v>
      </c>
      <c r="I1173" s="55" t="s">
        <v>8</v>
      </c>
      <c r="J1173" s="57">
        <v>92.15</v>
      </c>
      <c r="K1173" s="56" t="s">
        <v>2058</v>
      </c>
      <c r="L1173" s="56" t="s">
        <v>2059</v>
      </c>
      <c r="M1173" s="55" t="s">
        <v>2060</v>
      </c>
      <c r="N1173" s="56" t="s">
        <v>2061</v>
      </c>
      <c r="O1173" s="53" t="s">
        <v>8</v>
      </c>
      <c r="P1173" s="56" t="s">
        <v>2070</v>
      </c>
      <c r="Q1173" s="57">
        <v>9500</v>
      </c>
      <c r="R1173" s="58" t="s">
        <v>8</v>
      </c>
      <c r="S1173" s="57" t="s">
        <v>8</v>
      </c>
      <c r="T1173" s="56" t="s">
        <v>8</v>
      </c>
    </row>
    <row r="1174" spans="1:20">
      <c r="A1174" s="55">
        <v>127807055040</v>
      </c>
      <c r="B1174" s="53" t="s">
        <v>2055</v>
      </c>
      <c r="C1174" s="54">
        <v>45927</v>
      </c>
      <c r="D1174" s="55">
        <v>50838539063</v>
      </c>
      <c r="E1174" s="55">
        <v>2081088119767</v>
      </c>
      <c r="F1174" s="56" t="s">
        <v>2056</v>
      </c>
      <c r="G1174" s="56" t="s">
        <v>2057</v>
      </c>
      <c r="H1174" s="56" t="s">
        <v>8</v>
      </c>
      <c r="I1174" s="55" t="s">
        <v>8</v>
      </c>
      <c r="J1174" s="57">
        <v>599.84</v>
      </c>
      <c r="K1174" s="56" t="s">
        <v>2058</v>
      </c>
      <c r="L1174" s="56" t="s">
        <v>2059</v>
      </c>
      <c r="M1174" s="55" t="s">
        <v>2060</v>
      </c>
      <c r="N1174" s="56" t="s">
        <v>2061</v>
      </c>
      <c r="O1174" s="53" t="s">
        <v>8</v>
      </c>
      <c r="P1174" s="56" t="s">
        <v>2581</v>
      </c>
      <c r="Q1174" s="57">
        <v>36800</v>
      </c>
      <c r="R1174" s="58" t="s">
        <v>8</v>
      </c>
      <c r="S1174" s="57" t="s">
        <v>8</v>
      </c>
      <c r="T1174" s="56" t="s">
        <v>2063</v>
      </c>
    </row>
    <row r="1175" spans="1:20">
      <c r="A1175" s="55">
        <v>127807178114</v>
      </c>
      <c r="B1175" s="53" t="s">
        <v>2055</v>
      </c>
      <c r="C1175" s="54">
        <v>45927</v>
      </c>
      <c r="D1175" s="55">
        <v>50838547638</v>
      </c>
      <c r="E1175" s="55">
        <v>2081088683941</v>
      </c>
      <c r="F1175" s="56" t="s">
        <v>2056</v>
      </c>
      <c r="G1175" s="56" t="s">
        <v>2057</v>
      </c>
      <c r="H1175" s="56" t="s">
        <v>8</v>
      </c>
      <c r="I1175" s="55" t="s">
        <v>8</v>
      </c>
      <c r="J1175" s="57">
        <v>1218.32</v>
      </c>
      <c r="K1175" s="56" t="s">
        <v>2058</v>
      </c>
      <c r="L1175" s="56" t="s">
        <v>2059</v>
      </c>
      <c r="M1175" s="55" t="s">
        <v>2060</v>
      </c>
      <c r="N1175" s="56" t="s">
        <v>2061</v>
      </c>
      <c r="O1175" s="53" t="s">
        <v>8</v>
      </c>
      <c r="P1175" s="56" t="s">
        <v>2582</v>
      </c>
      <c r="Q1175" s="57">
        <v>125600</v>
      </c>
      <c r="R1175" s="58" t="s">
        <v>8</v>
      </c>
      <c r="S1175" s="57" t="s">
        <v>8</v>
      </c>
      <c r="T1175" s="56" t="s">
        <v>2063</v>
      </c>
    </row>
    <row r="1176" spans="1:20">
      <c r="A1176" s="55">
        <v>127245029875</v>
      </c>
      <c r="B1176" s="53" t="s">
        <v>2055</v>
      </c>
      <c r="C1176" s="54">
        <v>45927</v>
      </c>
      <c r="D1176" s="55">
        <v>50838561031</v>
      </c>
      <c r="E1176" s="55">
        <v>2081146405926</v>
      </c>
      <c r="F1176" s="56" t="s">
        <v>2056</v>
      </c>
      <c r="G1176" s="56" t="s">
        <v>2057</v>
      </c>
      <c r="H1176" s="56" t="s">
        <v>8</v>
      </c>
      <c r="I1176" s="55" t="s">
        <v>8</v>
      </c>
      <c r="J1176" s="57">
        <v>104.76</v>
      </c>
      <c r="K1176" s="56" t="s">
        <v>2058</v>
      </c>
      <c r="L1176" s="56" t="s">
        <v>2059</v>
      </c>
      <c r="M1176" s="55" t="s">
        <v>2060</v>
      </c>
      <c r="N1176" s="56" t="s">
        <v>2061</v>
      </c>
      <c r="O1176" s="53" t="s">
        <v>8</v>
      </c>
      <c r="P1176" s="56" t="s">
        <v>2583</v>
      </c>
      <c r="Q1176" s="57">
        <v>10800</v>
      </c>
      <c r="R1176" s="58" t="s">
        <v>8</v>
      </c>
      <c r="S1176" s="57" t="s">
        <v>8</v>
      </c>
      <c r="T1176" s="56" t="s">
        <v>2063</v>
      </c>
    </row>
    <row r="1177" spans="1:20">
      <c r="A1177" s="55">
        <v>127807303014</v>
      </c>
      <c r="B1177" s="53" t="s">
        <v>2055</v>
      </c>
      <c r="C1177" s="54">
        <v>45927</v>
      </c>
      <c r="D1177" s="55">
        <v>50838645587</v>
      </c>
      <c r="E1177" s="55">
        <v>2081090234699</v>
      </c>
      <c r="F1177" s="56" t="s">
        <v>2066</v>
      </c>
      <c r="G1177" s="56" t="s">
        <v>2057</v>
      </c>
      <c r="H1177" s="56" t="s">
        <v>8</v>
      </c>
      <c r="I1177" s="55" t="s">
        <v>8</v>
      </c>
      <c r="J1177" s="57">
        <v>3812.61</v>
      </c>
      <c r="K1177" s="56" t="s">
        <v>2058</v>
      </c>
      <c r="L1177" s="56" t="s">
        <v>2067</v>
      </c>
      <c r="M1177" s="55" t="s">
        <v>2060</v>
      </c>
      <c r="N1177" s="56" t="s">
        <v>2061</v>
      </c>
      <c r="O1177" s="53" t="s">
        <v>1790</v>
      </c>
      <c r="P1177" s="56" t="s">
        <v>2068</v>
      </c>
      <c r="Q1177" s="57">
        <v>50100</v>
      </c>
      <c r="R1177" s="58" t="s">
        <v>8</v>
      </c>
      <c r="S1177" s="57" t="s">
        <v>8</v>
      </c>
      <c r="T1177" s="56" t="s">
        <v>2063</v>
      </c>
    </row>
    <row r="1178" spans="1:20">
      <c r="A1178" s="55">
        <v>127807371108</v>
      </c>
      <c r="B1178" s="53" t="s">
        <v>2055</v>
      </c>
      <c r="C1178" s="54">
        <v>45927</v>
      </c>
      <c r="D1178" s="55">
        <v>50838681267</v>
      </c>
      <c r="E1178" s="55">
        <v>2081090517737</v>
      </c>
      <c r="F1178" s="56" t="s">
        <v>2066</v>
      </c>
      <c r="G1178" s="56" t="s">
        <v>2057</v>
      </c>
      <c r="H1178" s="56" t="s">
        <v>8</v>
      </c>
      <c r="I1178" s="55" t="s">
        <v>8</v>
      </c>
      <c r="J1178" s="57">
        <v>481.24</v>
      </c>
      <c r="K1178" s="56" t="s">
        <v>2058</v>
      </c>
      <c r="L1178" s="56" t="s">
        <v>2067</v>
      </c>
      <c r="M1178" s="55" t="s">
        <v>2060</v>
      </c>
      <c r="N1178" s="56" t="s">
        <v>2061</v>
      </c>
      <c r="O1178" s="53" t="s">
        <v>1790</v>
      </c>
      <c r="P1178" s="56" t="s">
        <v>2068</v>
      </c>
      <c r="Q1178" s="57">
        <v>10600</v>
      </c>
      <c r="R1178" s="58" t="s">
        <v>8</v>
      </c>
      <c r="S1178" s="57" t="s">
        <v>8</v>
      </c>
      <c r="T1178" s="56" t="s">
        <v>2063</v>
      </c>
    </row>
    <row r="1179" spans="1:20">
      <c r="A1179" s="55">
        <v>127245659321</v>
      </c>
      <c r="B1179" s="53" t="s">
        <v>2055</v>
      </c>
      <c r="C1179" s="54">
        <v>45928</v>
      </c>
      <c r="D1179" s="55">
        <v>50838758779</v>
      </c>
      <c r="E1179" s="55">
        <v>2081091864901</v>
      </c>
      <c r="F1179" s="56" t="s">
        <v>2069</v>
      </c>
      <c r="G1179" s="56" t="s">
        <v>2057</v>
      </c>
      <c r="H1179" s="56" t="s">
        <v>8</v>
      </c>
      <c r="I1179" s="55" t="s">
        <v>8</v>
      </c>
      <c r="J1179" s="57">
        <v>111.55</v>
      </c>
      <c r="K1179" s="56" t="s">
        <v>2058</v>
      </c>
      <c r="L1179" s="56" t="s">
        <v>2059</v>
      </c>
      <c r="M1179" s="55" t="s">
        <v>2060</v>
      </c>
      <c r="N1179" s="56" t="s">
        <v>2061</v>
      </c>
      <c r="O1179" s="53" t="s">
        <v>8</v>
      </c>
      <c r="P1179" s="56" t="s">
        <v>2070</v>
      </c>
      <c r="Q1179" s="57">
        <v>11500</v>
      </c>
      <c r="R1179" s="58" t="s">
        <v>8</v>
      </c>
      <c r="S1179" s="57" t="s">
        <v>8</v>
      </c>
      <c r="T1179" s="56" t="s">
        <v>8</v>
      </c>
    </row>
    <row r="1180" spans="1:20">
      <c r="A1180" s="55">
        <v>127807611922</v>
      </c>
      <c r="B1180" s="53" t="s">
        <v>2055</v>
      </c>
      <c r="C1180" s="54">
        <v>45928</v>
      </c>
      <c r="D1180" s="55">
        <v>50838788650</v>
      </c>
      <c r="E1180" s="55">
        <v>2081150165442</v>
      </c>
      <c r="F1180" s="56" t="s">
        <v>2056</v>
      </c>
      <c r="G1180" s="56" t="s">
        <v>2057</v>
      </c>
      <c r="H1180" s="56" t="s">
        <v>8</v>
      </c>
      <c r="I1180" s="55" t="s">
        <v>8</v>
      </c>
      <c r="J1180" s="57">
        <v>386.06</v>
      </c>
      <c r="K1180" s="56" t="s">
        <v>2058</v>
      </c>
      <c r="L1180" s="56" t="s">
        <v>2059</v>
      </c>
      <c r="M1180" s="55" t="s">
        <v>2060</v>
      </c>
      <c r="N1180" s="56" t="s">
        <v>2061</v>
      </c>
      <c r="O1180" s="53" t="s">
        <v>8</v>
      </c>
      <c r="P1180" s="56" t="s">
        <v>2584</v>
      </c>
      <c r="Q1180" s="57">
        <v>39800</v>
      </c>
      <c r="R1180" s="58" t="s">
        <v>8</v>
      </c>
      <c r="S1180" s="57" t="s">
        <v>8</v>
      </c>
      <c r="T1180" s="56" t="s">
        <v>2063</v>
      </c>
    </row>
    <row r="1181" spans="1:20">
      <c r="A1181" s="55">
        <v>127246033175</v>
      </c>
      <c r="B1181" s="53" t="s">
        <v>2055</v>
      </c>
      <c r="C1181" s="54">
        <v>45928</v>
      </c>
      <c r="D1181" s="55">
        <v>50838932331</v>
      </c>
      <c r="E1181" s="55">
        <v>2081152385958</v>
      </c>
      <c r="F1181" s="56" t="s">
        <v>2066</v>
      </c>
      <c r="G1181" s="56" t="s">
        <v>2057</v>
      </c>
      <c r="H1181" s="56" t="s">
        <v>8</v>
      </c>
      <c r="I1181" s="55" t="s">
        <v>8</v>
      </c>
      <c r="J1181" s="57">
        <v>337.98</v>
      </c>
      <c r="K1181" s="56" t="s">
        <v>2058</v>
      </c>
      <c r="L1181" s="56" t="s">
        <v>2067</v>
      </c>
      <c r="M1181" s="55" t="s">
        <v>2060</v>
      </c>
      <c r="N1181" s="56" t="s">
        <v>2061</v>
      </c>
      <c r="O1181" s="53" t="s">
        <v>1790</v>
      </c>
      <c r="P1181" s="56" t="s">
        <v>2068</v>
      </c>
      <c r="Q1181" s="57">
        <v>8600</v>
      </c>
      <c r="R1181" s="58" t="s">
        <v>8</v>
      </c>
      <c r="S1181" s="57" t="s">
        <v>8</v>
      </c>
      <c r="T1181" s="56" t="s">
        <v>2063</v>
      </c>
    </row>
    <row r="1182" spans="1:20">
      <c r="A1182" s="55">
        <v>127808394028</v>
      </c>
      <c r="B1182" s="53" t="s">
        <v>2055</v>
      </c>
      <c r="C1182" s="54">
        <v>45928</v>
      </c>
      <c r="D1182" s="55">
        <v>50839060330</v>
      </c>
      <c r="E1182" s="55">
        <v>2081096594263</v>
      </c>
      <c r="F1182" s="56" t="s">
        <v>2056</v>
      </c>
      <c r="G1182" s="56" t="s">
        <v>2057</v>
      </c>
      <c r="H1182" s="56" t="s">
        <v>8</v>
      </c>
      <c r="I1182" s="55" t="s">
        <v>8</v>
      </c>
      <c r="J1182" s="57">
        <v>589.76</v>
      </c>
      <c r="K1182" s="56" t="s">
        <v>2058</v>
      </c>
      <c r="L1182" s="56" t="s">
        <v>2059</v>
      </c>
      <c r="M1182" s="55" t="s">
        <v>2060</v>
      </c>
      <c r="N1182" s="56" t="s">
        <v>2061</v>
      </c>
      <c r="O1182" s="53" t="s">
        <v>8</v>
      </c>
      <c r="P1182" s="56" t="s">
        <v>2585</v>
      </c>
      <c r="Q1182" s="57">
        <v>60800</v>
      </c>
      <c r="R1182" s="58" t="s">
        <v>8</v>
      </c>
      <c r="S1182" s="57" t="s">
        <v>8</v>
      </c>
      <c r="T1182" s="56" t="s">
        <v>2063</v>
      </c>
    </row>
    <row r="1183" spans="1:20">
      <c r="A1183" s="55">
        <v>127246970897</v>
      </c>
      <c r="B1183" s="53" t="s">
        <v>2055</v>
      </c>
      <c r="C1183" s="54">
        <v>45928</v>
      </c>
      <c r="D1183" s="55">
        <v>50839243678</v>
      </c>
      <c r="E1183" s="55">
        <v>2081157464802</v>
      </c>
      <c r="F1183" s="56" t="s">
        <v>2066</v>
      </c>
      <c r="G1183" s="56" t="s">
        <v>2057</v>
      </c>
      <c r="H1183" s="56" t="s">
        <v>8</v>
      </c>
      <c r="I1183" s="55" t="s">
        <v>8</v>
      </c>
      <c r="J1183" s="57">
        <v>4657.32</v>
      </c>
      <c r="K1183" s="56" t="s">
        <v>2058</v>
      </c>
      <c r="L1183" s="56" t="s">
        <v>2067</v>
      </c>
      <c r="M1183" s="55" t="s">
        <v>2060</v>
      </c>
      <c r="N1183" s="56" t="s">
        <v>2061</v>
      </c>
      <c r="O1183" s="53" t="s">
        <v>1790</v>
      </c>
      <c r="P1183" s="56" t="s">
        <v>2068</v>
      </c>
      <c r="Q1183" s="57">
        <v>61200</v>
      </c>
      <c r="R1183" s="58" t="s">
        <v>8</v>
      </c>
      <c r="S1183" s="57" t="s">
        <v>8</v>
      </c>
      <c r="T1183" s="56" t="s">
        <v>2063</v>
      </c>
    </row>
    <row r="1184" spans="1:20">
      <c r="A1184" s="55">
        <v>127246949555</v>
      </c>
      <c r="B1184" s="53" t="s">
        <v>2055</v>
      </c>
      <c r="C1184" s="54">
        <v>45928</v>
      </c>
      <c r="D1184" s="55">
        <v>50839250205</v>
      </c>
      <c r="E1184" s="55">
        <v>2081100038449</v>
      </c>
      <c r="F1184" s="56" t="s">
        <v>2066</v>
      </c>
      <c r="G1184" s="56" t="s">
        <v>2057</v>
      </c>
      <c r="H1184" s="56" t="s">
        <v>8</v>
      </c>
      <c r="I1184" s="55" t="s">
        <v>8</v>
      </c>
      <c r="J1184" s="57">
        <v>3395.92</v>
      </c>
      <c r="K1184" s="56" t="s">
        <v>2058</v>
      </c>
      <c r="L1184" s="56" t="s">
        <v>2067</v>
      </c>
      <c r="M1184" s="55" t="s">
        <v>2060</v>
      </c>
      <c r="N1184" s="56" t="s">
        <v>2061</v>
      </c>
      <c r="O1184" s="53" t="s">
        <v>1790</v>
      </c>
      <c r="P1184" s="56" t="s">
        <v>2068</v>
      </c>
      <c r="Q1184" s="57">
        <v>74800</v>
      </c>
      <c r="R1184" s="58" t="s">
        <v>8</v>
      </c>
      <c r="S1184" s="57" t="s">
        <v>8</v>
      </c>
      <c r="T1184" s="56" t="s">
        <v>2063</v>
      </c>
    </row>
    <row r="1185" spans="1:20">
      <c r="A1185" s="55">
        <v>127247172953</v>
      </c>
      <c r="B1185" s="53" t="s">
        <v>2055</v>
      </c>
      <c r="C1185" s="54">
        <v>45928</v>
      </c>
      <c r="D1185" s="55">
        <v>50839311794</v>
      </c>
      <c r="E1185" s="55">
        <v>2081158667060</v>
      </c>
      <c r="F1185" s="56" t="s">
        <v>2056</v>
      </c>
      <c r="G1185" s="56" t="s">
        <v>2057</v>
      </c>
      <c r="H1185" s="56" t="s">
        <v>8</v>
      </c>
      <c r="I1185" s="55" t="s">
        <v>8</v>
      </c>
      <c r="J1185" s="57">
        <v>48.5</v>
      </c>
      <c r="K1185" s="56" t="s">
        <v>2058</v>
      </c>
      <c r="L1185" s="56" t="s">
        <v>2059</v>
      </c>
      <c r="M1185" s="55" t="s">
        <v>2060</v>
      </c>
      <c r="N1185" s="56" t="s">
        <v>2061</v>
      </c>
      <c r="O1185" s="53" t="s">
        <v>8</v>
      </c>
      <c r="P1185" s="56" t="s">
        <v>2586</v>
      </c>
      <c r="Q1185" s="57">
        <v>5000</v>
      </c>
      <c r="R1185" s="58" t="s">
        <v>8</v>
      </c>
      <c r="S1185" s="57" t="s">
        <v>8</v>
      </c>
      <c r="T1185" s="56" t="s">
        <v>2063</v>
      </c>
    </row>
    <row r="1186" spans="1:20">
      <c r="A1186" s="55">
        <v>127247017257</v>
      </c>
      <c r="B1186" s="53" t="s">
        <v>2055</v>
      </c>
      <c r="C1186" s="54">
        <v>45928</v>
      </c>
      <c r="D1186" s="55">
        <v>50839316508</v>
      </c>
      <c r="E1186" s="55">
        <v>2081158153232</v>
      </c>
      <c r="F1186" s="56" t="s">
        <v>2066</v>
      </c>
      <c r="G1186" s="56" t="s">
        <v>2057</v>
      </c>
      <c r="H1186" s="56" t="s">
        <v>8</v>
      </c>
      <c r="I1186" s="55" t="s">
        <v>8</v>
      </c>
      <c r="J1186" s="57">
        <v>495.18</v>
      </c>
      <c r="K1186" s="56" t="s">
        <v>2058</v>
      </c>
      <c r="L1186" s="56" t="s">
        <v>2067</v>
      </c>
      <c r="M1186" s="55" t="s">
        <v>2060</v>
      </c>
      <c r="N1186" s="56" t="s">
        <v>2061</v>
      </c>
      <c r="O1186" s="53" t="s">
        <v>1790</v>
      </c>
      <c r="P1186" s="56" t="s">
        <v>2068</v>
      </c>
      <c r="Q1186" s="57">
        <v>12600</v>
      </c>
      <c r="R1186" s="58" t="s">
        <v>8</v>
      </c>
      <c r="S1186" s="57" t="s">
        <v>8</v>
      </c>
      <c r="T1186" s="56" t="s">
        <v>2063</v>
      </c>
    </row>
    <row r="1187" spans="1:20">
      <c r="A1187" s="55">
        <v>127809109126</v>
      </c>
      <c r="B1187" s="53" t="s">
        <v>2055</v>
      </c>
      <c r="C1187" s="54">
        <v>45928</v>
      </c>
      <c r="D1187" s="55">
        <v>50839335551</v>
      </c>
      <c r="E1187" s="55">
        <v>2081101351039</v>
      </c>
      <c r="F1187" s="56" t="s">
        <v>2066</v>
      </c>
      <c r="G1187" s="56" t="s">
        <v>2057</v>
      </c>
      <c r="H1187" s="56" t="s">
        <v>8</v>
      </c>
      <c r="I1187" s="55" t="s">
        <v>8</v>
      </c>
      <c r="J1187" s="57">
        <v>2124.7199999999998</v>
      </c>
      <c r="K1187" s="56" t="s">
        <v>2058</v>
      </c>
      <c r="L1187" s="56" t="s">
        <v>2067</v>
      </c>
      <c r="M1187" s="55" t="s">
        <v>2060</v>
      </c>
      <c r="N1187" s="56" t="s">
        <v>2061</v>
      </c>
      <c r="O1187" s="53" t="s">
        <v>1790</v>
      </c>
      <c r="P1187" s="56" t="s">
        <v>2068</v>
      </c>
      <c r="Q1187" s="57">
        <v>46800</v>
      </c>
      <c r="R1187" s="58" t="s">
        <v>8</v>
      </c>
      <c r="S1187" s="57" t="s">
        <v>8</v>
      </c>
      <c r="T1187" s="56" t="s">
        <v>2063</v>
      </c>
    </row>
    <row r="1188" spans="1:20">
      <c r="A1188" s="55">
        <v>127809918652</v>
      </c>
      <c r="B1188" s="53" t="s">
        <v>2055</v>
      </c>
      <c r="C1188" s="54">
        <v>45928</v>
      </c>
      <c r="D1188" s="55">
        <v>50839567259</v>
      </c>
      <c r="E1188" s="55">
        <v>2081162905708</v>
      </c>
      <c r="F1188" s="56" t="s">
        <v>2066</v>
      </c>
      <c r="G1188" s="56" t="s">
        <v>2057</v>
      </c>
      <c r="H1188" s="56" t="s">
        <v>8</v>
      </c>
      <c r="I1188" s="55" t="s">
        <v>8</v>
      </c>
      <c r="J1188" s="57">
        <v>2739.21</v>
      </c>
      <c r="K1188" s="56" t="s">
        <v>2058</v>
      </c>
      <c r="L1188" s="56" t="s">
        <v>2067</v>
      </c>
      <c r="M1188" s="55" t="s">
        <v>2060</v>
      </c>
      <c r="N1188" s="56" t="s">
        <v>2061</v>
      </c>
      <c r="O1188" s="53" t="s">
        <v>1790</v>
      </c>
      <c r="P1188" s="56" t="s">
        <v>2068</v>
      </c>
      <c r="Q1188" s="57">
        <v>69700</v>
      </c>
      <c r="R1188" s="58" t="s">
        <v>8</v>
      </c>
      <c r="S1188" s="57" t="s">
        <v>8</v>
      </c>
      <c r="T1188" s="56" t="s">
        <v>2063</v>
      </c>
    </row>
    <row r="1189" spans="1:20">
      <c r="A1189" s="55">
        <v>127810129960</v>
      </c>
      <c r="B1189" s="53" t="s">
        <v>2055</v>
      </c>
      <c r="C1189" s="54">
        <v>45928</v>
      </c>
      <c r="D1189" s="55">
        <v>50839697923</v>
      </c>
      <c r="E1189" s="55">
        <v>2081164950018</v>
      </c>
      <c r="F1189" s="56" t="s">
        <v>2056</v>
      </c>
      <c r="G1189" s="56" t="s">
        <v>2057</v>
      </c>
      <c r="H1189" s="56" t="s">
        <v>8</v>
      </c>
      <c r="I1189" s="55" t="s">
        <v>8</v>
      </c>
      <c r="J1189" s="57">
        <v>43.65</v>
      </c>
      <c r="K1189" s="56" t="s">
        <v>2058</v>
      </c>
      <c r="L1189" s="56" t="s">
        <v>2059</v>
      </c>
      <c r="M1189" s="55" t="s">
        <v>2060</v>
      </c>
      <c r="N1189" s="56" t="s">
        <v>2061</v>
      </c>
      <c r="O1189" s="53" t="s">
        <v>8</v>
      </c>
      <c r="P1189" s="56" t="s">
        <v>2587</v>
      </c>
      <c r="Q1189" s="57">
        <v>4500</v>
      </c>
      <c r="R1189" s="58" t="s">
        <v>8</v>
      </c>
      <c r="S1189" s="57" t="s">
        <v>8</v>
      </c>
      <c r="T1189" s="56" t="s">
        <v>2063</v>
      </c>
    </row>
    <row r="1190" spans="1:20">
      <c r="A1190" s="55">
        <v>127248087839</v>
      </c>
      <c r="B1190" s="53" t="s">
        <v>2055</v>
      </c>
      <c r="C1190" s="54">
        <v>45928</v>
      </c>
      <c r="D1190" s="55">
        <v>50839726369</v>
      </c>
      <c r="E1190" s="55">
        <v>2081107588257</v>
      </c>
      <c r="F1190" s="56" t="s">
        <v>2056</v>
      </c>
      <c r="G1190" s="56" t="s">
        <v>2057</v>
      </c>
      <c r="H1190" s="56" t="s">
        <v>8</v>
      </c>
      <c r="I1190" s="55" t="s">
        <v>8</v>
      </c>
      <c r="J1190" s="57">
        <v>102.82</v>
      </c>
      <c r="K1190" s="56" t="s">
        <v>2058</v>
      </c>
      <c r="L1190" s="56" t="s">
        <v>2059</v>
      </c>
      <c r="M1190" s="55" t="s">
        <v>2060</v>
      </c>
      <c r="N1190" s="56" t="s">
        <v>2061</v>
      </c>
      <c r="O1190" s="53" t="s">
        <v>8</v>
      </c>
      <c r="P1190" s="56" t="s">
        <v>2588</v>
      </c>
      <c r="Q1190" s="57">
        <v>10600</v>
      </c>
      <c r="R1190" s="58" t="s">
        <v>8</v>
      </c>
      <c r="S1190" s="57" t="s">
        <v>8</v>
      </c>
      <c r="T1190" s="56" t="s">
        <v>2063</v>
      </c>
    </row>
    <row r="1191" spans="1:20">
      <c r="A1191" s="55">
        <v>127810283682</v>
      </c>
      <c r="B1191" s="53" t="s">
        <v>2055</v>
      </c>
      <c r="C1191" s="54">
        <v>45928</v>
      </c>
      <c r="D1191" s="55">
        <v>50839766527</v>
      </c>
      <c r="E1191" s="55">
        <v>2081108213631</v>
      </c>
      <c r="F1191" s="56" t="s">
        <v>2069</v>
      </c>
      <c r="G1191" s="56" t="s">
        <v>2057</v>
      </c>
      <c r="H1191" s="56" t="s">
        <v>8</v>
      </c>
      <c r="I1191" s="55" t="s">
        <v>8</v>
      </c>
      <c r="J1191" s="57">
        <v>66.930000000000007</v>
      </c>
      <c r="K1191" s="56" t="s">
        <v>2058</v>
      </c>
      <c r="L1191" s="56" t="s">
        <v>2059</v>
      </c>
      <c r="M1191" s="55" t="s">
        <v>2060</v>
      </c>
      <c r="N1191" s="56" t="s">
        <v>2061</v>
      </c>
      <c r="O1191" s="53" t="s">
        <v>8</v>
      </c>
      <c r="P1191" s="56" t="s">
        <v>2070</v>
      </c>
      <c r="Q1191" s="57">
        <v>6900</v>
      </c>
      <c r="R1191" s="58" t="s">
        <v>8</v>
      </c>
      <c r="S1191" s="57" t="s">
        <v>8</v>
      </c>
      <c r="T1191" s="56" t="s">
        <v>8</v>
      </c>
    </row>
    <row r="1192" spans="1:20">
      <c r="A1192" s="55">
        <v>127810531122</v>
      </c>
      <c r="B1192" s="53" t="s">
        <v>2055</v>
      </c>
      <c r="C1192" s="54">
        <v>45928</v>
      </c>
      <c r="D1192" s="55">
        <v>50839858711</v>
      </c>
      <c r="E1192" s="55">
        <v>2081167693330</v>
      </c>
      <c r="F1192" s="56" t="s">
        <v>2056</v>
      </c>
      <c r="G1192" s="56" t="s">
        <v>2057</v>
      </c>
      <c r="H1192" s="56" t="s">
        <v>8</v>
      </c>
      <c r="I1192" s="55" t="s">
        <v>8</v>
      </c>
      <c r="J1192" s="57">
        <v>67.900000000000006</v>
      </c>
      <c r="K1192" s="56" t="s">
        <v>2058</v>
      </c>
      <c r="L1192" s="56" t="s">
        <v>2059</v>
      </c>
      <c r="M1192" s="55" t="s">
        <v>2060</v>
      </c>
      <c r="N1192" s="56" t="s">
        <v>2061</v>
      </c>
      <c r="O1192" s="53" t="s">
        <v>8</v>
      </c>
      <c r="P1192" s="56" t="s">
        <v>2589</v>
      </c>
      <c r="Q1192" s="57">
        <v>7000</v>
      </c>
      <c r="R1192" s="58" t="s">
        <v>8</v>
      </c>
      <c r="S1192" s="57" t="s">
        <v>8</v>
      </c>
      <c r="T1192" s="56" t="s">
        <v>2063</v>
      </c>
    </row>
    <row r="1193" spans="1:20">
      <c r="A1193" s="55">
        <v>127248587365</v>
      </c>
      <c r="B1193" s="53" t="s">
        <v>2055</v>
      </c>
      <c r="C1193" s="54">
        <v>45928</v>
      </c>
      <c r="D1193" s="55">
        <v>50839867683</v>
      </c>
      <c r="E1193" s="55">
        <v>2081167583678</v>
      </c>
      <c r="F1193" s="56" t="s">
        <v>2066</v>
      </c>
      <c r="G1193" s="56" t="s">
        <v>2057</v>
      </c>
      <c r="H1193" s="56" t="s">
        <v>8</v>
      </c>
      <c r="I1193" s="55" t="s">
        <v>8</v>
      </c>
      <c r="J1193" s="57">
        <v>888.18</v>
      </c>
      <c r="K1193" s="56" t="s">
        <v>2058</v>
      </c>
      <c r="L1193" s="56" t="s">
        <v>2067</v>
      </c>
      <c r="M1193" s="55" t="s">
        <v>2060</v>
      </c>
      <c r="N1193" s="56" t="s">
        <v>2061</v>
      </c>
      <c r="O1193" s="53" t="s">
        <v>1790</v>
      </c>
      <c r="P1193" s="56" t="s">
        <v>2068</v>
      </c>
      <c r="Q1193" s="57">
        <v>22600</v>
      </c>
      <c r="R1193" s="58" t="s">
        <v>8</v>
      </c>
      <c r="S1193" s="57" t="s">
        <v>8</v>
      </c>
      <c r="T1193" s="56" t="s">
        <v>2063</v>
      </c>
    </row>
    <row r="1194" spans="1:20">
      <c r="A1194" s="55">
        <v>127810601972</v>
      </c>
      <c r="B1194" s="53" t="s">
        <v>2055</v>
      </c>
      <c r="C1194" s="54">
        <v>45928</v>
      </c>
      <c r="D1194" s="55">
        <v>50839893733</v>
      </c>
      <c r="E1194" s="55">
        <v>2081110845569</v>
      </c>
      <c r="F1194" s="56" t="s">
        <v>2056</v>
      </c>
      <c r="G1194" s="56" t="s">
        <v>2057</v>
      </c>
      <c r="H1194" s="56" t="s">
        <v>8</v>
      </c>
      <c r="I1194" s="55" t="s">
        <v>8</v>
      </c>
      <c r="J1194" s="57">
        <v>174.6</v>
      </c>
      <c r="K1194" s="56" t="s">
        <v>2058</v>
      </c>
      <c r="L1194" s="56" t="s">
        <v>2059</v>
      </c>
      <c r="M1194" s="55" t="s">
        <v>2060</v>
      </c>
      <c r="N1194" s="56" t="s">
        <v>2061</v>
      </c>
      <c r="O1194" s="53" t="s">
        <v>8</v>
      </c>
      <c r="P1194" s="56" t="s">
        <v>2590</v>
      </c>
      <c r="Q1194" s="57">
        <v>18000</v>
      </c>
      <c r="R1194" s="58" t="s">
        <v>8</v>
      </c>
      <c r="S1194" s="57" t="s">
        <v>8</v>
      </c>
      <c r="T1194" s="56" t="s">
        <v>2063</v>
      </c>
    </row>
    <row r="1195" spans="1:20">
      <c r="A1195" s="55">
        <v>127810660446</v>
      </c>
      <c r="B1195" s="53" t="s">
        <v>2055</v>
      </c>
      <c r="C1195" s="54">
        <v>45928</v>
      </c>
      <c r="D1195" s="55">
        <v>50839895826</v>
      </c>
      <c r="E1195" s="55">
        <v>2081168190302</v>
      </c>
      <c r="F1195" s="56" t="s">
        <v>2069</v>
      </c>
      <c r="G1195" s="56" t="s">
        <v>2057</v>
      </c>
      <c r="H1195" s="56" t="s">
        <v>8</v>
      </c>
      <c r="I1195" s="55" t="s">
        <v>8</v>
      </c>
      <c r="J1195" s="57">
        <v>109.61</v>
      </c>
      <c r="K1195" s="56" t="s">
        <v>2058</v>
      </c>
      <c r="L1195" s="56" t="s">
        <v>2059</v>
      </c>
      <c r="M1195" s="55" t="s">
        <v>2060</v>
      </c>
      <c r="N1195" s="56" t="s">
        <v>2061</v>
      </c>
      <c r="O1195" s="53" t="s">
        <v>8</v>
      </c>
      <c r="P1195" s="56" t="s">
        <v>2070</v>
      </c>
      <c r="Q1195" s="57">
        <v>11300</v>
      </c>
      <c r="R1195" s="58" t="s">
        <v>8</v>
      </c>
      <c r="S1195" s="57" t="s">
        <v>8</v>
      </c>
      <c r="T1195" s="56" t="s">
        <v>8</v>
      </c>
    </row>
    <row r="1196" spans="1:20">
      <c r="A1196" s="55">
        <v>127248792915</v>
      </c>
      <c r="B1196" s="53" t="s">
        <v>2055</v>
      </c>
      <c r="C1196" s="54">
        <v>45928</v>
      </c>
      <c r="D1196" s="55">
        <v>50839949999</v>
      </c>
      <c r="E1196" s="55">
        <v>2081111054611</v>
      </c>
      <c r="F1196" s="56" t="s">
        <v>2066</v>
      </c>
      <c r="G1196" s="56" t="s">
        <v>2057</v>
      </c>
      <c r="H1196" s="56" t="s">
        <v>8</v>
      </c>
      <c r="I1196" s="55" t="s">
        <v>8</v>
      </c>
      <c r="J1196" s="57">
        <v>546.27</v>
      </c>
      <c r="K1196" s="56" t="s">
        <v>2058</v>
      </c>
      <c r="L1196" s="56" t="s">
        <v>2067</v>
      </c>
      <c r="M1196" s="55" t="s">
        <v>2060</v>
      </c>
      <c r="N1196" s="56" t="s">
        <v>2061</v>
      </c>
      <c r="O1196" s="53" t="s">
        <v>1790</v>
      </c>
      <c r="P1196" s="56" t="s">
        <v>2068</v>
      </c>
      <c r="Q1196" s="57">
        <v>13900</v>
      </c>
      <c r="R1196" s="58" t="s">
        <v>8</v>
      </c>
      <c r="S1196" s="57" t="s">
        <v>8</v>
      </c>
      <c r="T1196" s="56" t="s">
        <v>2063</v>
      </c>
    </row>
    <row r="1197" spans="1:20">
      <c r="A1197" s="55">
        <v>127810724012</v>
      </c>
      <c r="B1197" s="53" t="s">
        <v>2055</v>
      </c>
      <c r="C1197" s="54">
        <v>45928</v>
      </c>
      <c r="D1197" s="55">
        <v>50839958419</v>
      </c>
      <c r="E1197" s="55">
        <v>2081111473361</v>
      </c>
      <c r="F1197" s="56" t="s">
        <v>2066</v>
      </c>
      <c r="G1197" s="56" t="s">
        <v>2057</v>
      </c>
      <c r="H1197" s="56" t="s">
        <v>8</v>
      </c>
      <c r="I1197" s="55" t="s">
        <v>8</v>
      </c>
      <c r="J1197" s="57">
        <v>373.35</v>
      </c>
      <c r="K1197" s="56" t="s">
        <v>2058</v>
      </c>
      <c r="L1197" s="56" t="s">
        <v>2067</v>
      </c>
      <c r="M1197" s="55" t="s">
        <v>2060</v>
      </c>
      <c r="N1197" s="56" t="s">
        <v>2061</v>
      </c>
      <c r="O1197" s="53" t="s">
        <v>1790</v>
      </c>
      <c r="P1197" s="56" t="s">
        <v>2068</v>
      </c>
      <c r="Q1197" s="57">
        <v>9500</v>
      </c>
      <c r="R1197" s="58" t="s">
        <v>8</v>
      </c>
      <c r="S1197" s="57" t="s">
        <v>8</v>
      </c>
      <c r="T1197" s="56" t="s">
        <v>2063</v>
      </c>
    </row>
    <row r="1198" spans="1:20">
      <c r="A1198" s="55">
        <v>127248897113</v>
      </c>
      <c r="B1198" s="53" t="s">
        <v>2055</v>
      </c>
      <c r="C1198" s="54">
        <v>45928</v>
      </c>
      <c r="D1198" s="55">
        <v>50840000488</v>
      </c>
      <c r="E1198" s="55">
        <v>2081169703072</v>
      </c>
      <c r="F1198" s="56" t="s">
        <v>2066</v>
      </c>
      <c r="G1198" s="56" t="s">
        <v>2057</v>
      </c>
      <c r="H1198" s="56" t="s">
        <v>8</v>
      </c>
      <c r="I1198" s="55" t="s">
        <v>8</v>
      </c>
      <c r="J1198" s="57">
        <v>1766.06</v>
      </c>
      <c r="K1198" s="56" t="s">
        <v>2058</v>
      </c>
      <c r="L1198" s="56" t="s">
        <v>2067</v>
      </c>
      <c r="M1198" s="55" t="s">
        <v>2060</v>
      </c>
      <c r="N1198" s="56" t="s">
        <v>2061</v>
      </c>
      <c r="O1198" s="53" t="s">
        <v>1790</v>
      </c>
      <c r="P1198" s="56" t="s">
        <v>2068</v>
      </c>
      <c r="Q1198" s="57">
        <v>38900</v>
      </c>
      <c r="R1198" s="58" t="s">
        <v>8</v>
      </c>
      <c r="S1198" s="57" t="s">
        <v>8</v>
      </c>
      <c r="T1198" s="56" t="s">
        <v>2063</v>
      </c>
    </row>
    <row r="1199" spans="1:20">
      <c r="A1199" s="55">
        <v>127248937077</v>
      </c>
      <c r="B1199" s="53" t="s">
        <v>2055</v>
      </c>
      <c r="C1199" s="54">
        <v>45928</v>
      </c>
      <c r="D1199" s="55">
        <v>50840007028</v>
      </c>
      <c r="E1199" s="55">
        <v>2081169829986</v>
      </c>
      <c r="F1199" s="56" t="s">
        <v>2069</v>
      </c>
      <c r="G1199" s="56" t="s">
        <v>2057</v>
      </c>
      <c r="H1199" s="56" t="s">
        <v>8</v>
      </c>
      <c r="I1199" s="55" t="s">
        <v>8</v>
      </c>
      <c r="J1199" s="57">
        <v>1119.3800000000001</v>
      </c>
      <c r="K1199" s="56" t="s">
        <v>2058</v>
      </c>
      <c r="L1199" s="56" t="s">
        <v>2059</v>
      </c>
      <c r="M1199" s="55" t="s">
        <v>2060</v>
      </c>
      <c r="N1199" s="56" t="s">
        <v>2061</v>
      </c>
      <c r="O1199" s="53" t="s">
        <v>8</v>
      </c>
      <c r="P1199" s="56" t="s">
        <v>2070</v>
      </c>
      <c r="Q1199" s="57">
        <v>115400</v>
      </c>
      <c r="R1199" s="58" t="s">
        <v>8</v>
      </c>
      <c r="S1199" s="57" t="s">
        <v>8</v>
      </c>
      <c r="T1199" s="56" t="s">
        <v>8</v>
      </c>
    </row>
    <row r="1200" spans="1:20">
      <c r="A1200" s="55">
        <v>127811071464</v>
      </c>
      <c r="B1200" s="53" t="s">
        <v>2055</v>
      </c>
      <c r="C1200" s="54">
        <v>45928</v>
      </c>
      <c r="D1200" s="55">
        <v>50840057233</v>
      </c>
      <c r="E1200" s="55">
        <v>2081170609510</v>
      </c>
      <c r="F1200" s="56" t="s">
        <v>2056</v>
      </c>
      <c r="G1200" s="56" t="s">
        <v>2057</v>
      </c>
      <c r="H1200" s="56" t="s">
        <v>8</v>
      </c>
      <c r="I1200" s="55" t="s">
        <v>8</v>
      </c>
      <c r="J1200" s="57">
        <v>230.86</v>
      </c>
      <c r="K1200" s="56" t="s">
        <v>2058</v>
      </c>
      <c r="L1200" s="56" t="s">
        <v>2059</v>
      </c>
      <c r="M1200" s="55" t="s">
        <v>2060</v>
      </c>
      <c r="N1200" s="56" t="s">
        <v>2061</v>
      </c>
      <c r="O1200" s="53" t="s">
        <v>8</v>
      </c>
      <c r="P1200" s="56" t="s">
        <v>2591</v>
      </c>
      <c r="Q1200" s="57">
        <v>23800</v>
      </c>
      <c r="R1200" s="58" t="s">
        <v>8</v>
      </c>
      <c r="S1200" s="57" t="s">
        <v>8</v>
      </c>
      <c r="T1200" s="56" t="s">
        <v>2063</v>
      </c>
    </row>
    <row r="1201" spans="1:20">
      <c r="A1201" s="55">
        <v>127811111728</v>
      </c>
      <c r="B1201" s="53" t="s">
        <v>2055</v>
      </c>
      <c r="C1201" s="54">
        <v>45928</v>
      </c>
      <c r="D1201" s="55">
        <v>50840060799</v>
      </c>
      <c r="E1201" s="55">
        <v>2081113464769</v>
      </c>
      <c r="F1201" s="56" t="s">
        <v>2066</v>
      </c>
      <c r="G1201" s="56" t="s">
        <v>2057</v>
      </c>
      <c r="H1201" s="56" t="s">
        <v>8</v>
      </c>
      <c r="I1201" s="55" t="s">
        <v>8</v>
      </c>
      <c r="J1201" s="57">
        <v>431.3</v>
      </c>
      <c r="K1201" s="56" t="s">
        <v>2058</v>
      </c>
      <c r="L1201" s="56" t="s">
        <v>2067</v>
      </c>
      <c r="M1201" s="55" t="s">
        <v>2060</v>
      </c>
      <c r="N1201" s="56" t="s">
        <v>2061</v>
      </c>
      <c r="O1201" s="53" t="s">
        <v>1790</v>
      </c>
      <c r="P1201" s="56" t="s">
        <v>2068</v>
      </c>
      <c r="Q1201" s="57">
        <v>9500</v>
      </c>
      <c r="R1201" s="58" t="s">
        <v>8</v>
      </c>
      <c r="S1201" s="57" t="s">
        <v>8</v>
      </c>
      <c r="T1201" s="56" t="s">
        <v>2063</v>
      </c>
    </row>
    <row r="1202" spans="1:20">
      <c r="A1202" s="55">
        <v>127811226742</v>
      </c>
      <c r="B1202" s="53" t="s">
        <v>2055</v>
      </c>
      <c r="C1202" s="54">
        <v>45928</v>
      </c>
      <c r="D1202" s="55">
        <v>50840071910</v>
      </c>
      <c r="E1202" s="55">
        <v>2081171307282</v>
      </c>
      <c r="F1202" s="56" t="s">
        <v>2069</v>
      </c>
      <c r="G1202" s="56" t="s">
        <v>2057</v>
      </c>
      <c r="H1202" s="56" t="s">
        <v>8</v>
      </c>
      <c r="I1202" s="55" t="s">
        <v>8</v>
      </c>
      <c r="J1202" s="57">
        <v>92.15</v>
      </c>
      <c r="K1202" s="56" t="s">
        <v>2058</v>
      </c>
      <c r="L1202" s="56" t="s">
        <v>2059</v>
      </c>
      <c r="M1202" s="55" t="s">
        <v>2060</v>
      </c>
      <c r="N1202" s="56" t="s">
        <v>2061</v>
      </c>
      <c r="O1202" s="53" t="s">
        <v>8</v>
      </c>
      <c r="P1202" s="56" t="s">
        <v>2070</v>
      </c>
      <c r="Q1202" s="57">
        <v>9500</v>
      </c>
      <c r="R1202" s="58" t="s">
        <v>8</v>
      </c>
      <c r="S1202" s="57" t="s">
        <v>8</v>
      </c>
      <c r="T1202" s="56" t="s">
        <v>8</v>
      </c>
    </row>
    <row r="1203" spans="1:20">
      <c r="A1203" s="55">
        <v>127811499056</v>
      </c>
      <c r="B1203" s="53" t="s">
        <v>2055</v>
      </c>
      <c r="C1203" s="54">
        <v>45928</v>
      </c>
      <c r="D1203" s="55">
        <v>50840183861</v>
      </c>
      <c r="E1203" s="55">
        <v>2081172998834</v>
      </c>
      <c r="F1203" s="56" t="s">
        <v>2056</v>
      </c>
      <c r="G1203" s="56" t="s">
        <v>2057</v>
      </c>
      <c r="H1203" s="56" t="s">
        <v>8</v>
      </c>
      <c r="I1203" s="55" t="s">
        <v>8</v>
      </c>
      <c r="J1203" s="57">
        <v>97</v>
      </c>
      <c r="K1203" s="56" t="s">
        <v>2058</v>
      </c>
      <c r="L1203" s="56" t="s">
        <v>2059</v>
      </c>
      <c r="M1203" s="55" t="s">
        <v>2060</v>
      </c>
      <c r="N1203" s="56" t="s">
        <v>2061</v>
      </c>
      <c r="O1203" s="53" t="s">
        <v>8</v>
      </c>
      <c r="P1203" s="56" t="s">
        <v>2592</v>
      </c>
      <c r="Q1203" s="57">
        <v>10000</v>
      </c>
      <c r="R1203" s="58" t="s">
        <v>8</v>
      </c>
      <c r="S1203" s="57" t="s">
        <v>8</v>
      </c>
      <c r="T1203" s="56" t="s">
        <v>2063</v>
      </c>
    </row>
    <row r="1204" spans="1:20">
      <c r="A1204" s="55">
        <v>127250134163</v>
      </c>
      <c r="B1204" s="53" t="s">
        <v>2055</v>
      </c>
      <c r="C1204" s="54">
        <v>45928</v>
      </c>
      <c r="D1204" s="55">
        <v>50840433523</v>
      </c>
      <c r="E1204" s="55">
        <v>2081177016106</v>
      </c>
      <c r="F1204" s="56" t="s">
        <v>2107</v>
      </c>
      <c r="G1204" s="56" t="s">
        <v>2057</v>
      </c>
      <c r="H1204" s="56" t="s">
        <v>8</v>
      </c>
      <c r="I1204" s="55" t="s">
        <v>8</v>
      </c>
      <c r="J1204" s="57">
        <v>3646.31</v>
      </c>
      <c r="K1204" s="56" t="s">
        <v>2058</v>
      </c>
      <c r="L1204" s="56" t="s">
        <v>2059</v>
      </c>
      <c r="M1204" s="55" t="s">
        <v>2060</v>
      </c>
      <c r="N1204" s="56" t="s">
        <v>2061</v>
      </c>
      <c r="O1204" s="53" t="s">
        <v>8</v>
      </c>
      <c r="P1204" s="56" t="s">
        <v>2115</v>
      </c>
      <c r="Q1204" s="57">
        <v>223700</v>
      </c>
      <c r="R1204" s="58" t="s">
        <v>8</v>
      </c>
      <c r="S1204" s="57" t="s">
        <v>8</v>
      </c>
      <c r="T1204" s="56" t="s">
        <v>2063</v>
      </c>
    </row>
    <row r="1205" spans="1:20">
      <c r="A1205" s="55">
        <v>127812138404</v>
      </c>
      <c r="B1205" s="53" t="s">
        <v>2055</v>
      </c>
      <c r="C1205" s="54">
        <v>45928</v>
      </c>
      <c r="D1205" s="55">
        <v>50840449472</v>
      </c>
      <c r="E1205" s="55">
        <v>2081119404967</v>
      </c>
      <c r="F1205" s="56" t="s">
        <v>2056</v>
      </c>
      <c r="G1205" s="56" t="s">
        <v>2057</v>
      </c>
      <c r="H1205" s="56" t="s">
        <v>8</v>
      </c>
      <c r="I1205" s="55" t="s">
        <v>8</v>
      </c>
      <c r="J1205" s="57">
        <v>224.07</v>
      </c>
      <c r="K1205" s="56" t="s">
        <v>2058</v>
      </c>
      <c r="L1205" s="56" t="s">
        <v>2059</v>
      </c>
      <c r="M1205" s="55" t="s">
        <v>2060</v>
      </c>
      <c r="N1205" s="56" t="s">
        <v>2061</v>
      </c>
      <c r="O1205" s="53" t="s">
        <v>8</v>
      </c>
      <c r="P1205" s="56" t="s">
        <v>2593</v>
      </c>
      <c r="Q1205" s="57">
        <v>23100</v>
      </c>
      <c r="R1205" s="58" t="s">
        <v>8</v>
      </c>
      <c r="S1205" s="57" t="s">
        <v>8</v>
      </c>
      <c r="T1205" s="56" t="s">
        <v>2063</v>
      </c>
    </row>
    <row r="1206" spans="1:20">
      <c r="A1206" s="55">
        <v>127250308065</v>
      </c>
      <c r="B1206" s="53" t="s">
        <v>2055</v>
      </c>
      <c r="C1206" s="54">
        <v>45928</v>
      </c>
      <c r="D1206" s="55">
        <v>50840563815</v>
      </c>
      <c r="E1206" s="55">
        <v>2081121468277</v>
      </c>
      <c r="F1206" s="56" t="s">
        <v>2066</v>
      </c>
      <c r="G1206" s="56" t="s">
        <v>2057</v>
      </c>
      <c r="H1206" s="56" t="s">
        <v>8</v>
      </c>
      <c r="I1206" s="55" t="s">
        <v>8</v>
      </c>
      <c r="J1206" s="57">
        <v>776.34</v>
      </c>
      <c r="K1206" s="56" t="s">
        <v>2058</v>
      </c>
      <c r="L1206" s="56" t="s">
        <v>2067</v>
      </c>
      <c r="M1206" s="55" t="s">
        <v>2060</v>
      </c>
      <c r="N1206" s="56" t="s">
        <v>2061</v>
      </c>
      <c r="O1206" s="53" t="s">
        <v>1790</v>
      </c>
      <c r="P1206" s="56" t="s">
        <v>2068</v>
      </c>
      <c r="Q1206" s="57">
        <v>17100</v>
      </c>
      <c r="R1206" s="58" t="s">
        <v>8</v>
      </c>
      <c r="S1206" s="57" t="s">
        <v>8</v>
      </c>
      <c r="T1206" s="56" t="s">
        <v>2063</v>
      </c>
    </row>
    <row r="1207" spans="1:20">
      <c r="A1207" s="55">
        <v>127812503352</v>
      </c>
      <c r="B1207" s="53" t="s">
        <v>2055</v>
      </c>
      <c r="C1207" s="54">
        <v>45928</v>
      </c>
      <c r="D1207" s="55">
        <v>50840584028</v>
      </c>
      <c r="E1207" s="55">
        <v>2081179468748</v>
      </c>
      <c r="F1207" s="56" t="s">
        <v>2066</v>
      </c>
      <c r="G1207" s="56" t="s">
        <v>2057</v>
      </c>
      <c r="H1207" s="56" t="s">
        <v>8</v>
      </c>
      <c r="I1207" s="55" t="s">
        <v>8</v>
      </c>
      <c r="J1207" s="57">
        <v>213.38</v>
      </c>
      <c r="K1207" s="56" t="s">
        <v>2058</v>
      </c>
      <c r="L1207" s="56" t="s">
        <v>2067</v>
      </c>
      <c r="M1207" s="55" t="s">
        <v>2060</v>
      </c>
      <c r="N1207" s="56" t="s">
        <v>2061</v>
      </c>
      <c r="O1207" s="53" t="s">
        <v>1790</v>
      </c>
      <c r="P1207" s="56" t="s">
        <v>2068</v>
      </c>
      <c r="Q1207" s="57">
        <v>4700</v>
      </c>
      <c r="R1207" s="58" t="s">
        <v>8</v>
      </c>
      <c r="S1207" s="57" t="s">
        <v>8</v>
      </c>
      <c r="T1207" s="56" t="s">
        <v>2063</v>
      </c>
    </row>
    <row r="1208" spans="1:20">
      <c r="A1208" s="55">
        <v>127812707210</v>
      </c>
      <c r="B1208" s="53" t="s">
        <v>2055</v>
      </c>
      <c r="C1208" s="54">
        <v>45928</v>
      </c>
      <c r="D1208" s="55">
        <v>50840688617</v>
      </c>
      <c r="E1208" s="55">
        <v>2081122801347</v>
      </c>
      <c r="F1208" s="56" t="s">
        <v>2056</v>
      </c>
      <c r="G1208" s="56" t="s">
        <v>2057</v>
      </c>
      <c r="H1208" s="56" t="s">
        <v>8</v>
      </c>
      <c r="I1208" s="55" t="s">
        <v>8</v>
      </c>
      <c r="J1208" s="57">
        <v>194</v>
      </c>
      <c r="K1208" s="56" t="s">
        <v>2058</v>
      </c>
      <c r="L1208" s="56" t="s">
        <v>2059</v>
      </c>
      <c r="M1208" s="55" t="s">
        <v>2060</v>
      </c>
      <c r="N1208" s="56" t="s">
        <v>2061</v>
      </c>
      <c r="O1208" s="53" t="s">
        <v>8</v>
      </c>
      <c r="P1208" s="56" t="s">
        <v>2594</v>
      </c>
      <c r="Q1208" s="57">
        <v>20000</v>
      </c>
      <c r="R1208" s="58" t="s">
        <v>8</v>
      </c>
      <c r="S1208" s="57" t="s">
        <v>8</v>
      </c>
      <c r="T1208" s="56" t="s">
        <v>2063</v>
      </c>
    </row>
    <row r="1209" spans="1:20">
      <c r="A1209" s="55">
        <v>127812796320</v>
      </c>
      <c r="B1209" s="53" t="s">
        <v>2055</v>
      </c>
      <c r="C1209" s="54">
        <v>45928</v>
      </c>
      <c r="D1209" s="55">
        <v>50840693813</v>
      </c>
      <c r="E1209" s="55">
        <v>2081123266717</v>
      </c>
      <c r="F1209" s="56" t="s">
        <v>2056</v>
      </c>
      <c r="G1209" s="56" t="s">
        <v>2057</v>
      </c>
      <c r="H1209" s="56" t="s">
        <v>8</v>
      </c>
      <c r="I1209" s="55" t="s">
        <v>8</v>
      </c>
      <c r="J1209" s="57">
        <v>51.41</v>
      </c>
      <c r="K1209" s="56" t="s">
        <v>2058</v>
      </c>
      <c r="L1209" s="56" t="s">
        <v>2059</v>
      </c>
      <c r="M1209" s="55" t="s">
        <v>2060</v>
      </c>
      <c r="N1209" s="56" t="s">
        <v>2061</v>
      </c>
      <c r="O1209" s="53" t="s">
        <v>8</v>
      </c>
      <c r="P1209" s="56" t="s">
        <v>2592</v>
      </c>
      <c r="Q1209" s="57">
        <v>5300</v>
      </c>
      <c r="R1209" s="58" t="s">
        <v>8</v>
      </c>
      <c r="S1209" s="57" t="s">
        <v>8</v>
      </c>
      <c r="T1209" s="56" t="s">
        <v>2063</v>
      </c>
    </row>
    <row r="1210" spans="1:20">
      <c r="A1210" s="55">
        <v>127251212637</v>
      </c>
      <c r="B1210" s="53" t="s">
        <v>2055</v>
      </c>
      <c r="C1210" s="54">
        <v>45928</v>
      </c>
      <c r="D1210" s="55">
        <v>50840935414</v>
      </c>
      <c r="E1210" s="55">
        <v>2081126218659</v>
      </c>
      <c r="F1210" s="56" t="s">
        <v>2056</v>
      </c>
      <c r="G1210" s="56" t="s">
        <v>2057</v>
      </c>
      <c r="H1210" s="56" t="s">
        <v>8</v>
      </c>
      <c r="I1210" s="55" t="s">
        <v>8</v>
      </c>
      <c r="J1210" s="57">
        <v>45.59</v>
      </c>
      <c r="K1210" s="56" t="s">
        <v>2058</v>
      </c>
      <c r="L1210" s="56" t="s">
        <v>2059</v>
      </c>
      <c r="M1210" s="55" t="s">
        <v>2060</v>
      </c>
      <c r="N1210" s="56" t="s">
        <v>2061</v>
      </c>
      <c r="O1210" s="53" t="s">
        <v>8</v>
      </c>
      <c r="P1210" s="56" t="s">
        <v>2592</v>
      </c>
      <c r="Q1210" s="57">
        <v>4700</v>
      </c>
      <c r="R1210" s="58" t="s">
        <v>8</v>
      </c>
      <c r="S1210" s="57" t="s">
        <v>8</v>
      </c>
      <c r="T1210" s="56" t="s">
        <v>2063</v>
      </c>
    </row>
    <row r="1211" spans="1:20">
      <c r="A1211" s="55">
        <v>127813504204</v>
      </c>
      <c r="B1211" s="53" t="s">
        <v>2055</v>
      </c>
      <c r="C1211" s="54">
        <v>45928</v>
      </c>
      <c r="D1211" s="55">
        <v>50841029792</v>
      </c>
      <c r="E1211" s="55">
        <v>2081185422498</v>
      </c>
      <c r="F1211" s="56" t="s">
        <v>2069</v>
      </c>
      <c r="G1211" s="56" t="s">
        <v>2057</v>
      </c>
      <c r="H1211" s="56" t="s">
        <v>8</v>
      </c>
      <c r="I1211" s="55" t="s">
        <v>8</v>
      </c>
      <c r="J1211" s="57">
        <v>196.91</v>
      </c>
      <c r="K1211" s="56" t="s">
        <v>2058</v>
      </c>
      <c r="L1211" s="56" t="s">
        <v>2059</v>
      </c>
      <c r="M1211" s="55" t="s">
        <v>2060</v>
      </c>
      <c r="N1211" s="56" t="s">
        <v>2061</v>
      </c>
      <c r="O1211" s="53" t="s">
        <v>8</v>
      </c>
      <c r="P1211" s="56" t="s">
        <v>2070</v>
      </c>
      <c r="Q1211" s="57">
        <v>20300</v>
      </c>
      <c r="R1211" s="58" t="s">
        <v>8</v>
      </c>
      <c r="S1211" s="57" t="s">
        <v>8</v>
      </c>
      <c r="T1211" s="56" t="s">
        <v>8</v>
      </c>
    </row>
    <row r="1212" spans="1:20">
      <c r="A1212" s="55">
        <v>127813395904</v>
      </c>
      <c r="B1212" s="53" t="s">
        <v>2055</v>
      </c>
      <c r="C1212" s="54">
        <v>45928</v>
      </c>
      <c r="D1212" s="55">
        <v>50841033884</v>
      </c>
      <c r="E1212" s="55">
        <v>2081185619908</v>
      </c>
      <c r="F1212" s="56" t="s">
        <v>2056</v>
      </c>
      <c r="G1212" s="56" t="s">
        <v>2057</v>
      </c>
      <c r="H1212" s="56" t="s">
        <v>8</v>
      </c>
      <c r="I1212" s="55" t="s">
        <v>8</v>
      </c>
      <c r="J1212" s="57">
        <v>82.45</v>
      </c>
      <c r="K1212" s="56" t="s">
        <v>2058</v>
      </c>
      <c r="L1212" s="56" t="s">
        <v>2059</v>
      </c>
      <c r="M1212" s="55" t="s">
        <v>2060</v>
      </c>
      <c r="N1212" s="56" t="s">
        <v>2061</v>
      </c>
      <c r="O1212" s="53" t="s">
        <v>8</v>
      </c>
      <c r="P1212" s="56" t="s">
        <v>2595</v>
      </c>
      <c r="Q1212" s="57">
        <v>8500</v>
      </c>
      <c r="R1212" s="58" t="s">
        <v>8</v>
      </c>
      <c r="S1212" s="57" t="s">
        <v>8</v>
      </c>
      <c r="T1212" s="56" t="s">
        <v>2063</v>
      </c>
    </row>
    <row r="1213" spans="1:20">
      <c r="A1213" s="55">
        <v>127251614945</v>
      </c>
      <c r="B1213" s="53" t="s">
        <v>2055</v>
      </c>
      <c r="C1213" s="54">
        <v>45928</v>
      </c>
      <c r="D1213" s="55">
        <v>50841135823</v>
      </c>
      <c r="E1213" s="55">
        <v>2081186850808</v>
      </c>
      <c r="F1213" s="56" t="s">
        <v>2056</v>
      </c>
      <c r="G1213" s="56" t="s">
        <v>2057</v>
      </c>
      <c r="H1213" s="56" t="s">
        <v>8</v>
      </c>
      <c r="I1213" s="55" t="s">
        <v>8</v>
      </c>
      <c r="J1213" s="57">
        <v>207.58</v>
      </c>
      <c r="K1213" s="56" t="s">
        <v>2058</v>
      </c>
      <c r="L1213" s="56" t="s">
        <v>2059</v>
      </c>
      <c r="M1213" s="55" t="s">
        <v>2060</v>
      </c>
      <c r="N1213" s="56" t="s">
        <v>2061</v>
      </c>
      <c r="O1213" s="53" t="s">
        <v>8</v>
      </c>
      <c r="P1213" s="56" t="s">
        <v>2583</v>
      </c>
      <c r="Q1213" s="57">
        <v>21400</v>
      </c>
      <c r="R1213" s="58" t="s">
        <v>8</v>
      </c>
      <c r="S1213" s="57" t="s">
        <v>8</v>
      </c>
      <c r="T1213" s="56" t="s">
        <v>2063</v>
      </c>
    </row>
    <row r="1214" spans="1:20">
      <c r="A1214" s="55">
        <v>127251757799</v>
      </c>
      <c r="B1214" s="53" t="s">
        <v>2055</v>
      </c>
      <c r="C1214" s="54">
        <v>45928</v>
      </c>
      <c r="D1214" s="55">
        <v>50841189629</v>
      </c>
      <c r="E1214" s="55">
        <v>2081188105026</v>
      </c>
      <c r="F1214" s="56" t="s">
        <v>2056</v>
      </c>
      <c r="G1214" s="56" t="s">
        <v>2057</v>
      </c>
      <c r="H1214" s="56" t="s">
        <v>8</v>
      </c>
      <c r="I1214" s="55" t="s">
        <v>8</v>
      </c>
      <c r="J1214" s="57">
        <v>140.65</v>
      </c>
      <c r="K1214" s="56" t="s">
        <v>2058</v>
      </c>
      <c r="L1214" s="56" t="s">
        <v>2059</v>
      </c>
      <c r="M1214" s="55" t="s">
        <v>2060</v>
      </c>
      <c r="N1214" s="56" t="s">
        <v>2061</v>
      </c>
      <c r="O1214" s="53" t="s">
        <v>8</v>
      </c>
      <c r="P1214" s="56" t="s">
        <v>2596</v>
      </c>
      <c r="Q1214" s="57">
        <v>14500</v>
      </c>
      <c r="R1214" s="58" t="s">
        <v>8</v>
      </c>
      <c r="S1214" s="57" t="s">
        <v>8</v>
      </c>
      <c r="T1214" s="56" t="s">
        <v>2063</v>
      </c>
    </row>
    <row r="1215" spans="1:20">
      <c r="A1215" s="55">
        <v>127813895138</v>
      </c>
      <c r="B1215" s="53" t="s">
        <v>2055</v>
      </c>
      <c r="C1215" s="54">
        <v>45928</v>
      </c>
      <c r="D1215" s="55">
        <v>50841190798</v>
      </c>
      <c r="E1215" s="55">
        <v>2081188540704</v>
      </c>
      <c r="F1215" s="56" t="s">
        <v>2056</v>
      </c>
      <c r="G1215" s="56" t="s">
        <v>2057</v>
      </c>
      <c r="H1215" s="56" t="s">
        <v>8</v>
      </c>
      <c r="I1215" s="55" t="s">
        <v>8</v>
      </c>
      <c r="J1215" s="57">
        <v>221.16</v>
      </c>
      <c r="K1215" s="56" t="s">
        <v>2058</v>
      </c>
      <c r="L1215" s="56" t="s">
        <v>2059</v>
      </c>
      <c r="M1215" s="55" t="s">
        <v>2060</v>
      </c>
      <c r="N1215" s="56" t="s">
        <v>2061</v>
      </c>
      <c r="O1215" s="53" t="s">
        <v>8</v>
      </c>
      <c r="P1215" s="56" t="s">
        <v>2597</v>
      </c>
      <c r="Q1215" s="57">
        <v>22800</v>
      </c>
      <c r="R1215" s="58" t="s">
        <v>8</v>
      </c>
      <c r="S1215" s="57" t="s">
        <v>8</v>
      </c>
      <c r="T1215" s="56" t="s">
        <v>2063</v>
      </c>
    </row>
    <row r="1216" spans="1:20">
      <c r="A1216" s="55">
        <v>127813946890</v>
      </c>
      <c r="B1216" s="53" t="s">
        <v>2055</v>
      </c>
      <c r="C1216" s="54">
        <v>45928</v>
      </c>
      <c r="D1216" s="55">
        <v>50841222871</v>
      </c>
      <c r="E1216" s="55">
        <v>2081130826277</v>
      </c>
      <c r="F1216" s="56" t="s">
        <v>2056</v>
      </c>
      <c r="G1216" s="56" t="s">
        <v>2057</v>
      </c>
      <c r="H1216" s="56" t="s">
        <v>8</v>
      </c>
      <c r="I1216" s="55" t="s">
        <v>8</v>
      </c>
      <c r="J1216" s="57">
        <v>9398.35</v>
      </c>
      <c r="K1216" s="56" t="s">
        <v>2058</v>
      </c>
      <c r="L1216" s="56" t="s">
        <v>2059</v>
      </c>
      <c r="M1216" s="55" t="s">
        <v>2060</v>
      </c>
      <c r="N1216" s="56" t="s">
        <v>2061</v>
      </c>
      <c r="O1216" s="53" t="s">
        <v>8</v>
      </c>
      <c r="P1216" s="56" t="s">
        <v>2598</v>
      </c>
      <c r="Q1216" s="57">
        <v>123500</v>
      </c>
      <c r="R1216" s="58" t="s">
        <v>8</v>
      </c>
      <c r="S1216" s="57" t="s">
        <v>8</v>
      </c>
      <c r="T1216" s="56" t="s">
        <v>2063</v>
      </c>
    </row>
    <row r="1217" spans="1:20">
      <c r="A1217" s="55">
        <v>127813968884</v>
      </c>
      <c r="B1217" s="53" t="s">
        <v>2055</v>
      </c>
      <c r="C1217" s="54">
        <v>45928</v>
      </c>
      <c r="D1217" s="55">
        <v>50841226718</v>
      </c>
      <c r="E1217" s="55">
        <v>2081131283059</v>
      </c>
      <c r="F1217" s="56" t="s">
        <v>2056</v>
      </c>
      <c r="G1217" s="56" t="s">
        <v>2057</v>
      </c>
      <c r="H1217" s="56" t="s">
        <v>8</v>
      </c>
      <c r="I1217" s="55" t="s">
        <v>8</v>
      </c>
      <c r="J1217" s="57">
        <v>180.42</v>
      </c>
      <c r="K1217" s="56" t="s">
        <v>2058</v>
      </c>
      <c r="L1217" s="56" t="s">
        <v>2059</v>
      </c>
      <c r="M1217" s="55" t="s">
        <v>2060</v>
      </c>
      <c r="N1217" s="56" t="s">
        <v>2061</v>
      </c>
      <c r="O1217" s="53" t="s">
        <v>8</v>
      </c>
      <c r="P1217" s="56" t="s">
        <v>2441</v>
      </c>
      <c r="Q1217" s="57">
        <v>18600</v>
      </c>
      <c r="R1217" s="58" t="s">
        <v>8</v>
      </c>
      <c r="S1217" s="57" t="s">
        <v>8</v>
      </c>
      <c r="T1217" s="56" t="s">
        <v>2063</v>
      </c>
    </row>
    <row r="1218" spans="1:20">
      <c r="A1218" s="55">
        <v>127814092122</v>
      </c>
      <c r="B1218" s="53" t="s">
        <v>2055</v>
      </c>
      <c r="C1218" s="54">
        <v>45928</v>
      </c>
      <c r="D1218" s="55">
        <v>50841241847</v>
      </c>
      <c r="E1218" s="55">
        <v>2081189585582</v>
      </c>
      <c r="F1218" s="56" t="s">
        <v>2069</v>
      </c>
      <c r="G1218" s="56" t="s">
        <v>2057</v>
      </c>
      <c r="H1218" s="56" t="s">
        <v>8</v>
      </c>
      <c r="I1218" s="55" t="s">
        <v>8</v>
      </c>
      <c r="J1218" s="57">
        <v>129.01</v>
      </c>
      <c r="K1218" s="56" t="s">
        <v>2058</v>
      </c>
      <c r="L1218" s="56" t="s">
        <v>2059</v>
      </c>
      <c r="M1218" s="55" t="s">
        <v>2060</v>
      </c>
      <c r="N1218" s="56" t="s">
        <v>2061</v>
      </c>
      <c r="O1218" s="53" t="s">
        <v>8</v>
      </c>
      <c r="P1218" s="56" t="s">
        <v>2070</v>
      </c>
      <c r="Q1218" s="57">
        <v>13300</v>
      </c>
      <c r="R1218" s="58" t="s">
        <v>8</v>
      </c>
      <c r="S1218" s="57" t="s">
        <v>8</v>
      </c>
      <c r="T1218" s="56" t="s">
        <v>8</v>
      </c>
    </row>
    <row r="1219" spans="1:20">
      <c r="A1219" s="55">
        <v>127814011646</v>
      </c>
      <c r="B1219" s="53" t="s">
        <v>2055</v>
      </c>
      <c r="C1219" s="54">
        <v>45928</v>
      </c>
      <c r="D1219" s="55">
        <v>50841276887</v>
      </c>
      <c r="E1219" s="55">
        <v>2081189584106</v>
      </c>
      <c r="F1219" s="56" t="s">
        <v>2056</v>
      </c>
      <c r="G1219" s="56" t="s">
        <v>2057</v>
      </c>
      <c r="H1219" s="56" t="s">
        <v>8</v>
      </c>
      <c r="I1219" s="55" t="s">
        <v>8</v>
      </c>
      <c r="J1219" s="57">
        <v>108.64</v>
      </c>
      <c r="K1219" s="56" t="s">
        <v>2058</v>
      </c>
      <c r="L1219" s="56" t="s">
        <v>2059</v>
      </c>
      <c r="M1219" s="55" t="s">
        <v>2060</v>
      </c>
      <c r="N1219" s="56" t="s">
        <v>2061</v>
      </c>
      <c r="O1219" s="53" t="s">
        <v>8</v>
      </c>
      <c r="P1219" s="56" t="s">
        <v>2599</v>
      </c>
      <c r="Q1219" s="57">
        <v>11200</v>
      </c>
      <c r="R1219" s="58" t="s">
        <v>8</v>
      </c>
      <c r="S1219" s="57" t="s">
        <v>8</v>
      </c>
      <c r="T1219" s="56" t="s">
        <v>2063</v>
      </c>
    </row>
    <row r="1220" spans="1:20">
      <c r="A1220" s="55">
        <v>127252116403</v>
      </c>
      <c r="B1220" s="53" t="s">
        <v>2055</v>
      </c>
      <c r="C1220" s="54">
        <v>45928</v>
      </c>
      <c r="D1220" s="55">
        <v>50841278981</v>
      </c>
      <c r="E1220" s="55">
        <v>2081189512134</v>
      </c>
      <c r="F1220" s="56" t="s">
        <v>2056</v>
      </c>
      <c r="G1220" s="56" t="s">
        <v>2057</v>
      </c>
      <c r="H1220" s="56" t="s">
        <v>8</v>
      </c>
      <c r="I1220" s="55" t="s">
        <v>8</v>
      </c>
      <c r="J1220" s="57">
        <v>45.59</v>
      </c>
      <c r="K1220" s="56" t="s">
        <v>2058</v>
      </c>
      <c r="L1220" s="56" t="s">
        <v>2059</v>
      </c>
      <c r="M1220" s="55" t="s">
        <v>2060</v>
      </c>
      <c r="N1220" s="56" t="s">
        <v>2061</v>
      </c>
      <c r="O1220" s="53" t="s">
        <v>8</v>
      </c>
      <c r="P1220" s="56" t="s">
        <v>2592</v>
      </c>
      <c r="Q1220" s="57">
        <v>4700</v>
      </c>
      <c r="R1220" s="58" t="s">
        <v>8</v>
      </c>
      <c r="S1220" s="57" t="s">
        <v>8</v>
      </c>
      <c r="T1220" s="56" t="s">
        <v>2063</v>
      </c>
    </row>
    <row r="1221" spans="1:20">
      <c r="A1221" s="55">
        <v>127252236479</v>
      </c>
      <c r="B1221" s="53" t="s">
        <v>2055</v>
      </c>
      <c r="C1221" s="54">
        <v>45928</v>
      </c>
      <c r="D1221" s="55">
        <v>50841346716</v>
      </c>
      <c r="E1221" s="55">
        <v>2081190458776</v>
      </c>
      <c r="F1221" s="56" t="s">
        <v>2066</v>
      </c>
      <c r="G1221" s="56" t="s">
        <v>2057</v>
      </c>
      <c r="H1221" s="56" t="s">
        <v>8</v>
      </c>
      <c r="I1221" s="55" t="s">
        <v>8</v>
      </c>
      <c r="J1221" s="57">
        <v>1917.72</v>
      </c>
      <c r="K1221" s="56" t="s">
        <v>2058</v>
      </c>
      <c r="L1221" s="56" t="s">
        <v>2067</v>
      </c>
      <c r="M1221" s="55" t="s">
        <v>2060</v>
      </c>
      <c r="N1221" s="56" t="s">
        <v>2061</v>
      </c>
      <c r="O1221" s="53" t="s">
        <v>1790</v>
      </c>
      <c r="P1221" s="56" t="s">
        <v>2068</v>
      </c>
      <c r="Q1221" s="57">
        <v>25200</v>
      </c>
      <c r="R1221" s="58" t="s">
        <v>8</v>
      </c>
      <c r="S1221" s="57" t="s">
        <v>8</v>
      </c>
      <c r="T1221" s="56" t="s">
        <v>2063</v>
      </c>
    </row>
    <row r="1222" spans="1:20">
      <c r="A1222" s="55">
        <v>127814289146</v>
      </c>
      <c r="B1222" s="53" t="s">
        <v>2055</v>
      </c>
      <c r="C1222" s="54">
        <v>45928</v>
      </c>
      <c r="D1222" s="55">
        <v>50841383097</v>
      </c>
      <c r="E1222" s="55">
        <v>2081191107648</v>
      </c>
      <c r="F1222" s="56" t="s">
        <v>2056</v>
      </c>
      <c r="G1222" s="56" t="s">
        <v>2057</v>
      </c>
      <c r="H1222" s="56" t="s">
        <v>8</v>
      </c>
      <c r="I1222" s="55" t="s">
        <v>8</v>
      </c>
      <c r="J1222" s="57">
        <v>1217.5999999999999</v>
      </c>
      <c r="K1222" s="56" t="s">
        <v>2058</v>
      </c>
      <c r="L1222" s="56" t="s">
        <v>2059</v>
      </c>
      <c r="M1222" s="55" t="s">
        <v>2060</v>
      </c>
      <c r="N1222" s="56" t="s">
        <v>2061</v>
      </c>
      <c r="O1222" s="53" t="s">
        <v>8</v>
      </c>
      <c r="P1222" s="56" t="s">
        <v>2546</v>
      </c>
      <c r="Q1222" s="57">
        <v>16000</v>
      </c>
      <c r="R1222" s="58" t="s">
        <v>8</v>
      </c>
      <c r="S1222" s="57" t="s">
        <v>8</v>
      </c>
      <c r="T1222" s="56" t="s">
        <v>2063</v>
      </c>
    </row>
    <row r="1223" spans="1:20">
      <c r="A1223" s="55">
        <v>127814176098</v>
      </c>
      <c r="B1223" s="53" t="s">
        <v>2055</v>
      </c>
      <c r="C1223" s="54">
        <v>45928</v>
      </c>
      <c r="D1223" s="55">
        <v>50841392002</v>
      </c>
      <c r="E1223" s="55">
        <v>2081133237167</v>
      </c>
      <c r="F1223" s="56" t="s">
        <v>2056</v>
      </c>
      <c r="G1223" s="56" t="s">
        <v>2057</v>
      </c>
      <c r="H1223" s="56" t="s">
        <v>8</v>
      </c>
      <c r="I1223" s="55" t="s">
        <v>8</v>
      </c>
      <c r="J1223" s="57">
        <v>195.94</v>
      </c>
      <c r="K1223" s="56" t="s">
        <v>2058</v>
      </c>
      <c r="L1223" s="56" t="s">
        <v>2059</v>
      </c>
      <c r="M1223" s="55" t="s">
        <v>2060</v>
      </c>
      <c r="N1223" s="56" t="s">
        <v>2061</v>
      </c>
      <c r="O1223" s="53" t="s">
        <v>8</v>
      </c>
      <c r="P1223" s="56" t="s">
        <v>2600</v>
      </c>
      <c r="Q1223" s="57">
        <v>20200</v>
      </c>
      <c r="R1223" s="58" t="s">
        <v>8</v>
      </c>
      <c r="S1223" s="57" t="s">
        <v>8</v>
      </c>
      <c r="T1223" s="56" t="s">
        <v>2063</v>
      </c>
    </row>
    <row r="1224" spans="1:20">
      <c r="A1224" s="55">
        <v>127870626052</v>
      </c>
      <c r="B1224" s="53" t="s">
        <v>2055</v>
      </c>
      <c r="C1224" s="54">
        <v>45928</v>
      </c>
      <c r="D1224" s="55">
        <v>50866418190</v>
      </c>
      <c r="E1224" s="55">
        <v>2081532704968</v>
      </c>
      <c r="F1224" s="56" t="s">
        <v>2056</v>
      </c>
      <c r="G1224" s="56" t="s">
        <v>2057</v>
      </c>
      <c r="H1224" s="56" t="s">
        <v>8</v>
      </c>
      <c r="I1224" s="55" t="s">
        <v>8</v>
      </c>
      <c r="J1224" s="57">
        <v>91.18</v>
      </c>
      <c r="K1224" s="56" t="s">
        <v>2058</v>
      </c>
      <c r="L1224" s="56" t="s">
        <v>2059</v>
      </c>
      <c r="M1224" s="55" t="s">
        <v>2060</v>
      </c>
      <c r="N1224" s="56" t="s">
        <v>2061</v>
      </c>
      <c r="O1224" s="53" t="s">
        <v>8</v>
      </c>
      <c r="P1224" s="56" t="s">
        <v>2601</v>
      </c>
      <c r="Q1224" s="57">
        <v>9400</v>
      </c>
      <c r="R1224" s="58" t="s">
        <v>8</v>
      </c>
      <c r="S1224" s="57" t="s">
        <v>8</v>
      </c>
      <c r="T1224" s="56" t="s">
        <v>2063</v>
      </c>
    </row>
    <row r="1225" spans="1:20">
      <c r="A1225" s="55">
        <v>127873552906</v>
      </c>
      <c r="B1225" s="53" t="s">
        <v>2055</v>
      </c>
      <c r="C1225" s="54">
        <v>45928</v>
      </c>
      <c r="D1225" s="55">
        <v>50867675313</v>
      </c>
      <c r="E1225" s="55">
        <v>2081550159596</v>
      </c>
      <c r="F1225" s="56" t="s">
        <v>2056</v>
      </c>
      <c r="G1225" s="56" t="s">
        <v>2057</v>
      </c>
      <c r="H1225" s="56" t="s">
        <v>8</v>
      </c>
      <c r="I1225" s="55" t="s">
        <v>8</v>
      </c>
      <c r="J1225" s="57">
        <v>91.18</v>
      </c>
      <c r="K1225" s="56" t="s">
        <v>2058</v>
      </c>
      <c r="L1225" s="56" t="s">
        <v>2059</v>
      </c>
      <c r="M1225" s="55" t="s">
        <v>2060</v>
      </c>
      <c r="N1225" s="56" t="s">
        <v>2061</v>
      </c>
      <c r="O1225" s="53" t="s">
        <v>8</v>
      </c>
      <c r="P1225" s="56" t="s">
        <v>2602</v>
      </c>
      <c r="Q1225" s="57">
        <v>9400</v>
      </c>
      <c r="R1225" s="58" t="s">
        <v>8</v>
      </c>
      <c r="S1225" s="57" t="s">
        <v>8</v>
      </c>
      <c r="T1225" s="56" t="s">
        <v>2063</v>
      </c>
    </row>
    <row r="1226" spans="1:20">
      <c r="A1226" s="55">
        <v>127876039514</v>
      </c>
      <c r="B1226" s="53" t="s">
        <v>2055</v>
      </c>
      <c r="C1226" s="54">
        <v>45928</v>
      </c>
      <c r="D1226" s="55">
        <v>50868792785</v>
      </c>
      <c r="E1226" s="55">
        <v>2081507581891</v>
      </c>
      <c r="F1226" s="56" t="s">
        <v>2056</v>
      </c>
      <c r="G1226" s="56" t="s">
        <v>2057</v>
      </c>
      <c r="H1226" s="56" t="s">
        <v>8</v>
      </c>
      <c r="I1226" s="55" t="s">
        <v>8</v>
      </c>
      <c r="J1226" s="57">
        <v>73.72</v>
      </c>
      <c r="K1226" s="56" t="s">
        <v>2058</v>
      </c>
      <c r="L1226" s="56" t="s">
        <v>2059</v>
      </c>
      <c r="M1226" s="55" t="s">
        <v>2060</v>
      </c>
      <c r="N1226" s="56" t="s">
        <v>2061</v>
      </c>
      <c r="O1226" s="53" t="s">
        <v>8</v>
      </c>
      <c r="P1226" s="56" t="s">
        <v>2603</v>
      </c>
      <c r="Q1226" s="57">
        <v>7600</v>
      </c>
      <c r="R1226" s="58" t="s">
        <v>8</v>
      </c>
      <c r="S1226" s="57" t="s">
        <v>8</v>
      </c>
      <c r="T1226" s="56" t="s">
        <v>2063</v>
      </c>
    </row>
    <row r="1227" spans="1:20">
      <c r="A1227" s="55">
        <v>127315514443</v>
      </c>
      <c r="B1227" s="53" t="s">
        <v>2055</v>
      </c>
      <c r="C1227" s="54">
        <v>45928</v>
      </c>
      <c r="D1227" s="55">
        <v>50869607403</v>
      </c>
      <c r="E1227" s="55">
        <v>2081576868016</v>
      </c>
      <c r="F1227" s="56" t="s">
        <v>2066</v>
      </c>
      <c r="G1227" s="56" t="s">
        <v>2057</v>
      </c>
      <c r="H1227" s="56" t="s">
        <v>8</v>
      </c>
      <c r="I1227" s="55" t="s">
        <v>8</v>
      </c>
      <c r="J1227" s="57">
        <v>326.88</v>
      </c>
      <c r="K1227" s="56" t="s">
        <v>2058</v>
      </c>
      <c r="L1227" s="56" t="s">
        <v>2067</v>
      </c>
      <c r="M1227" s="55" t="s">
        <v>2060</v>
      </c>
      <c r="N1227" s="56" t="s">
        <v>2061</v>
      </c>
      <c r="O1227" s="53" t="s">
        <v>1790</v>
      </c>
      <c r="P1227" s="56" t="s">
        <v>2068</v>
      </c>
      <c r="Q1227" s="57">
        <v>7200</v>
      </c>
      <c r="R1227" s="58" t="s">
        <v>8</v>
      </c>
      <c r="S1227" s="57" t="s">
        <v>8</v>
      </c>
      <c r="T1227" s="56" t="s">
        <v>2063</v>
      </c>
    </row>
    <row r="1228" spans="1:20">
      <c r="A1228" s="55">
        <v>127878828956</v>
      </c>
      <c r="B1228" s="53" t="s">
        <v>2055</v>
      </c>
      <c r="C1228" s="54">
        <v>45928</v>
      </c>
      <c r="D1228" s="55">
        <v>50869980584</v>
      </c>
      <c r="E1228" s="55">
        <v>2081582424552</v>
      </c>
      <c r="F1228" s="56" t="s">
        <v>2056</v>
      </c>
      <c r="G1228" s="56" t="s">
        <v>2057</v>
      </c>
      <c r="H1228" s="56" t="s">
        <v>8</v>
      </c>
      <c r="I1228" s="55" t="s">
        <v>8</v>
      </c>
      <c r="J1228" s="57">
        <v>38.799999999999997</v>
      </c>
      <c r="K1228" s="56" t="s">
        <v>2058</v>
      </c>
      <c r="L1228" s="56" t="s">
        <v>2059</v>
      </c>
      <c r="M1228" s="55" t="s">
        <v>2060</v>
      </c>
      <c r="N1228" s="56" t="s">
        <v>2061</v>
      </c>
      <c r="O1228" s="53" t="s">
        <v>8</v>
      </c>
      <c r="P1228" s="56" t="s">
        <v>2568</v>
      </c>
      <c r="Q1228" s="57">
        <v>4000</v>
      </c>
      <c r="R1228" s="58" t="s">
        <v>8</v>
      </c>
      <c r="S1228" s="57" t="s">
        <v>8</v>
      </c>
      <c r="T1228" s="56" t="s">
        <v>2063</v>
      </c>
    </row>
    <row r="1229" spans="1:20">
      <c r="A1229" s="55">
        <v>127317375181</v>
      </c>
      <c r="B1229" s="53" t="s">
        <v>2055</v>
      </c>
      <c r="C1229" s="54">
        <v>45928</v>
      </c>
      <c r="D1229" s="55">
        <v>50870346662</v>
      </c>
      <c r="E1229" s="55">
        <v>2081587621580</v>
      </c>
      <c r="F1229" s="56" t="s">
        <v>2056</v>
      </c>
      <c r="G1229" s="56" t="s">
        <v>2057</v>
      </c>
      <c r="H1229" s="56" t="s">
        <v>8</v>
      </c>
      <c r="I1229" s="55" t="s">
        <v>8</v>
      </c>
      <c r="J1229" s="57">
        <v>167.42</v>
      </c>
      <c r="K1229" s="56" t="s">
        <v>2058</v>
      </c>
      <c r="L1229" s="56" t="s">
        <v>2059</v>
      </c>
      <c r="M1229" s="55" t="s">
        <v>2060</v>
      </c>
      <c r="N1229" s="56" t="s">
        <v>2061</v>
      </c>
      <c r="O1229" s="53" t="s">
        <v>8</v>
      </c>
      <c r="P1229" s="56" t="s">
        <v>2546</v>
      </c>
      <c r="Q1229" s="57">
        <v>2200</v>
      </c>
      <c r="R1229" s="58" t="s">
        <v>8</v>
      </c>
      <c r="S1229" s="57" t="s">
        <v>8</v>
      </c>
      <c r="T1229" s="56" t="s">
        <v>2063</v>
      </c>
    </row>
    <row r="1230" spans="1:20">
      <c r="A1230" s="55">
        <v>127880430416</v>
      </c>
      <c r="B1230" s="53" t="s">
        <v>2055</v>
      </c>
      <c r="C1230" s="54">
        <v>45928</v>
      </c>
      <c r="D1230" s="55">
        <v>50870575649</v>
      </c>
      <c r="E1230" s="55">
        <v>2081591221550</v>
      </c>
      <c r="F1230" s="56" t="s">
        <v>2066</v>
      </c>
      <c r="G1230" s="56" t="s">
        <v>2057</v>
      </c>
      <c r="H1230" s="56" t="s">
        <v>8</v>
      </c>
      <c r="I1230" s="55" t="s">
        <v>8</v>
      </c>
      <c r="J1230" s="57">
        <v>569.85</v>
      </c>
      <c r="K1230" s="56" t="s">
        <v>2058</v>
      </c>
      <c r="L1230" s="56" t="s">
        <v>2067</v>
      </c>
      <c r="M1230" s="55" t="s">
        <v>2060</v>
      </c>
      <c r="N1230" s="56" t="s">
        <v>2061</v>
      </c>
      <c r="O1230" s="53" t="s">
        <v>1790</v>
      </c>
      <c r="P1230" s="56" t="s">
        <v>2068</v>
      </c>
      <c r="Q1230" s="57">
        <v>14500</v>
      </c>
      <c r="R1230" s="58" t="s">
        <v>8</v>
      </c>
      <c r="S1230" s="57" t="s">
        <v>8</v>
      </c>
      <c r="T1230" s="56" t="s">
        <v>2063</v>
      </c>
    </row>
    <row r="1231" spans="1:20">
      <c r="A1231" s="55">
        <v>127317995411</v>
      </c>
      <c r="B1231" s="53" t="s">
        <v>2055</v>
      </c>
      <c r="C1231" s="54">
        <v>45928</v>
      </c>
      <c r="D1231" s="55">
        <v>50870621588</v>
      </c>
      <c r="E1231" s="55">
        <v>2081592478894</v>
      </c>
      <c r="F1231" s="56" t="s">
        <v>2066</v>
      </c>
      <c r="G1231" s="56" t="s">
        <v>2057</v>
      </c>
      <c r="H1231" s="56" t="s">
        <v>8</v>
      </c>
      <c r="I1231" s="55" t="s">
        <v>8</v>
      </c>
      <c r="J1231" s="57">
        <v>621.98</v>
      </c>
      <c r="K1231" s="56" t="s">
        <v>2058</v>
      </c>
      <c r="L1231" s="56" t="s">
        <v>2067</v>
      </c>
      <c r="M1231" s="55" t="s">
        <v>2060</v>
      </c>
      <c r="N1231" s="56" t="s">
        <v>2061</v>
      </c>
      <c r="O1231" s="53" t="s">
        <v>1790</v>
      </c>
      <c r="P1231" s="56" t="s">
        <v>2068</v>
      </c>
      <c r="Q1231" s="57">
        <v>13700</v>
      </c>
      <c r="R1231" s="58" t="s">
        <v>8</v>
      </c>
      <c r="S1231" s="57" t="s">
        <v>8</v>
      </c>
      <c r="T1231" s="56" t="s">
        <v>2063</v>
      </c>
    </row>
    <row r="1232" spans="1:20">
      <c r="A1232" s="55">
        <v>127880854096</v>
      </c>
      <c r="B1232" s="53" t="s">
        <v>2055</v>
      </c>
      <c r="C1232" s="54">
        <v>45928</v>
      </c>
      <c r="D1232" s="55">
        <v>50870815280</v>
      </c>
      <c r="E1232" s="55">
        <v>2081536908485</v>
      </c>
      <c r="F1232" s="56" t="s">
        <v>2107</v>
      </c>
      <c r="G1232" s="56" t="s">
        <v>2057</v>
      </c>
      <c r="H1232" s="56" t="s">
        <v>8</v>
      </c>
      <c r="I1232" s="55" t="s">
        <v>8</v>
      </c>
      <c r="J1232" s="57">
        <v>676.45</v>
      </c>
      <c r="K1232" s="56" t="s">
        <v>2058</v>
      </c>
      <c r="L1232" s="56" t="s">
        <v>2059</v>
      </c>
      <c r="M1232" s="55" t="s">
        <v>2060</v>
      </c>
      <c r="N1232" s="56" t="s">
        <v>2061</v>
      </c>
      <c r="O1232" s="53" t="s">
        <v>8</v>
      </c>
      <c r="P1232" s="56" t="s">
        <v>2550</v>
      </c>
      <c r="Q1232" s="57">
        <v>41500</v>
      </c>
      <c r="R1232" s="58" t="s">
        <v>8</v>
      </c>
      <c r="S1232" s="57" t="s">
        <v>8</v>
      </c>
      <c r="T1232" s="56" t="s">
        <v>2063</v>
      </c>
    </row>
    <row r="1233" spans="1:20">
      <c r="A1233" s="55">
        <v>127881631044</v>
      </c>
      <c r="B1233" s="53" t="s">
        <v>2055</v>
      </c>
      <c r="C1233" s="54">
        <v>45928</v>
      </c>
      <c r="D1233" s="55">
        <v>50871119642</v>
      </c>
      <c r="E1233" s="55">
        <v>2081541996883</v>
      </c>
      <c r="F1233" s="56" t="s">
        <v>2056</v>
      </c>
      <c r="G1233" s="56" t="s">
        <v>2057</v>
      </c>
      <c r="H1233" s="56" t="s">
        <v>8</v>
      </c>
      <c r="I1233" s="55" t="s">
        <v>8</v>
      </c>
      <c r="J1233" s="57">
        <v>69.84</v>
      </c>
      <c r="K1233" s="56" t="s">
        <v>2058</v>
      </c>
      <c r="L1233" s="56" t="s">
        <v>2059</v>
      </c>
      <c r="M1233" s="55" t="s">
        <v>2060</v>
      </c>
      <c r="N1233" s="56" t="s">
        <v>2061</v>
      </c>
      <c r="O1233" s="53" t="s">
        <v>8</v>
      </c>
      <c r="P1233" s="56" t="s">
        <v>2604</v>
      </c>
      <c r="Q1233" s="57">
        <v>7200</v>
      </c>
      <c r="R1233" s="58" t="s">
        <v>8</v>
      </c>
      <c r="S1233" s="57" t="s">
        <v>8</v>
      </c>
      <c r="T1233" s="56" t="s">
        <v>2063</v>
      </c>
    </row>
    <row r="1234" spans="1:20">
      <c r="A1234" s="55">
        <v>127319553663</v>
      </c>
      <c r="B1234" s="53" t="s">
        <v>2055</v>
      </c>
      <c r="C1234" s="54">
        <v>45928</v>
      </c>
      <c r="D1234" s="55">
        <v>50871230387</v>
      </c>
      <c r="E1234" s="55">
        <v>2081543342015</v>
      </c>
      <c r="F1234" s="56" t="s">
        <v>2066</v>
      </c>
      <c r="G1234" s="56" t="s">
        <v>2057</v>
      </c>
      <c r="H1234" s="56" t="s">
        <v>8</v>
      </c>
      <c r="I1234" s="55" t="s">
        <v>8</v>
      </c>
      <c r="J1234" s="57">
        <v>2640.67</v>
      </c>
      <c r="K1234" s="56" t="s">
        <v>2058</v>
      </c>
      <c r="L1234" s="56" t="s">
        <v>2067</v>
      </c>
      <c r="M1234" s="55" t="s">
        <v>2060</v>
      </c>
      <c r="N1234" s="56" t="s">
        <v>2061</v>
      </c>
      <c r="O1234" s="53" t="s">
        <v>1790</v>
      </c>
      <c r="P1234" s="56" t="s">
        <v>2068</v>
      </c>
      <c r="Q1234" s="57">
        <v>34700</v>
      </c>
      <c r="R1234" s="58" t="s">
        <v>8</v>
      </c>
      <c r="S1234" s="57" t="s">
        <v>8</v>
      </c>
      <c r="T1234" s="56" t="s">
        <v>2063</v>
      </c>
    </row>
    <row r="1235" spans="1:20">
      <c r="A1235" s="55">
        <v>127319914109</v>
      </c>
      <c r="B1235" s="53" t="s">
        <v>2055</v>
      </c>
      <c r="C1235" s="54">
        <v>45928</v>
      </c>
      <c r="D1235" s="55">
        <v>50871358948</v>
      </c>
      <c r="E1235" s="55">
        <v>2081545268841</v>
      </c>
      <c r="F1235" s="56" t="s">
        <v>2066</v>
      </c>
      <c r="G1235" s="56" t="s">
        <v>2057</v>
      </c>
      <c r="H1235" s="56" t="s">
        <v>8</v>
      </c>
      <c r="I1235" s="55" t="s">
        <v>8</v>
      </c>
      <c r="J1235" s="57">
        <v>1866.75</v>
      </c>
      <c r="K1235" s="56" t="s">
        <v>2058</v>
      </c>
      <c r="L1235" s="56" t="s">
        <v>2067</v>
      </c>
      <c r="M1235" s="55" t="s">
        <v>2060</v>
      </c>
      <c r="N1235" s="56" t="s">
        <v>2061</v>
      </c>
      <c r="O1235" s="53" t="s">
        <v>1790</v>
      </c>
      <c r="P1235" s="56" t="s">
        <v>2068</v>
      </c>
      <c r="Q1235" s="57">
        <v>47500</v>
      </c>
      <c r="R1235" s="58" t="s">
        <v>8</v>
      </c>
      <c r="S1235" s="57" t="s">
        <v>8</v>
      </c>
      <c r="T1235" s="56" t="s">
        <v>2063</v>
      </c>
    </row>
    <row r="1236" spans="1:20">
      <c r="A1236" s="55">
        <v>127321523307</v>
      </c>
      <c r="B1236" s="53" t="s">
        <v>2055</v>
      </c>
      <c r="C1236" s="54">
        <v>45928</v>
      </c>
      <c r="D1236" s="55">
        <v>50871994530</v>
      </c>
      <c r="E1236" s="55">
        <v>2081555063597</v>
      </c>
      <c r="F1236" s="56" t="s">
        <v>2066</v>
      </c>
      <c r="G1236" s="56" t="s">
        <v>2057</v>
      </c>
      <c r="H1236" s="56" t="s">
        <v>8</v>
      </c>
      <c r="I1236" s="55" t="s">
        <v>8</v>
      </c>
      <c r="J1236" s="57">
        <v>2515.1999999999998</v>
      </c>
      <c r="K1236" s="56" t="s">
        <v>2058</v>
      </c>
      <c r="L1236" s="56" t="s">
        <v>2067</v>
      </c>
      <c r="M1236" s="55" t="s">
        <v>2060</v>
      </c>
      <c r="N1236" s="56" t="s">
        <v>2061</v>
      </c>
      <c r="O1236" s="53" t="s">
        <v>1790</v>
      </c>
      <c r="P1236" s="56" t="s">
        <v>2068</v>
      </c>
      <c r="Q1236" s="57">
        <v>64000</v>
      </c>
      <c r="R1236" s="58" t="s">
        <v>8</v>
      </c>
      <c r="S1236" s="57" t="s">
        <v>8</v>
      </c>
      <c r="T1236" s="56" t="s">
        <v>2063</v>
      </c>
    </row>
    <row r="1237" spans="1:20">
      <c r="A1237" s="55">
        <v>127321838171</v>
      </c>
      <c r="B1237" s="53" t="s">
        <v>2055</v>
      </c>
      <c r="C1237" s="54">
        <v>45928</v>
      </c>
      <c r="D1237" s="55">
        <v>50872081506</v>
      </c>
      <c r="E1237" s="55">
        <v>2081614092028</v>
      </c>
      <c r="F1237" s="56" t="s">
        <v>2056</v>
      </c>
      <c r="G1237" s="56" t="s">
        <v>2057</v>
      </c>
      <c r="H1237" s="56" t="s">
        <v>8</v>
      </c>
      <c r="I1237" s="55" t="s">
        <v>8</v>
      </c>
      <c r="J1237" s="57">
        <v>87.3</v>
      </c>
      <c r="K1237" s="56" t="s">
        <v>2058</v>
      </c>
      <c r="L1237" s="56" t="s">
        <v>2059</v>
      </c>
      <c r="M1237" s="55" t="s">
        <v>2060</v>
      </c>
      <c r="N1237" s="56" t="s">
        <v>2061</v>
      </c>
      <c r="O1237" s="53" t="s">
        <v>8</v>
      </c>
      <c r="P1237" s="56" t="s">
        <v>2605</v>
      </c>
      <c r="Q1237" s="57">
        <v>9000</v>
      </c>
      <c r="R1237" s="58" t="s">
        <v>8</v>
      </c>
      <c r="S1237" s="57" t="s">
        <v>8</v>
      </c>
      <c r="T1237" s="56" t="s">
        <v>2063</v>
      </c>
    </row>
    <row r="1238" spans="1:20">
      <c r="A1238" s="55">
        <v>127886300768</v>
      </c>
      <c r="B1238" s="53" t="s">
        <v>2055</v>
      </c>
      <c r="C1238" s="54">
        <v>45928</v>
      </c>
      <c r="D1238" s="55">
        <v>50872996938</v>
      </c>
      <c r="E1238" s="55">
        <v>2081569786301</v>
      </c>
      <c r="F1238" s="56" t="s">
        <v>2056</v>
      </c>
      <c r="G1238" s="56" t="s">
        <v>2057</v>
      </c>
      <c r="H1238" s="56" t="s">
        <v>8</v>
      </c>
      <c r="I1238" s="55" t="s">
        <v>8</v>
      </c>
      <c r="J1238" s="57">
        <v>51.41</v>
      </c>
      <c r="K1238" s="56" t="s">
        <v>2058</v>
      </c>
      <c r="L1238" s="56" t="s">
        <v>2059</v>
      </c>
      <c r="M1238" s="55" t="s">
        <v>2060</v>
      </c>
      <c r="N1238" s="56" t="s">
        <v>2061</v>
      </c>
      <c r="O1238" s="53" t="s">
        <v>8</v>
      </c>
      <c r="P1238" s="56" t="s">
        <v>2606</v>
      </c>
      <c r="Q1238" s="57">
        <v>5300</v>
      </c>
      <c r="R1238" s="58" t="s">
        <v>8</v>
      </c>
      <c r="S1238" s="57" t="s">
        <v>8</v>
      </c>
      <c r="T1238" s="56" t="s">
        <v>2063</v>
      </c>
    </row>
    <row r="1239" spans="1:20">
      <c r="A1239" s="55">
        <v>127886596694</v>
      </c>
      <c r="B1239" s="53" t="s">
        <v>2055</v>
      </c>
      <c r="C1239" s="54">
        <v>45928</v>
      </c>
      <c r="D1239" s="55">
        <v>50873083812</v>
      </c>
      <c r="E1239" s="55">
        <v>2081571372223</v>
      </c>
      <c r="F1239" s="56" t="s">
        <v>2056</v>
      </c>
      <c r="G1239" s="56" t="s">
        <v>2057</v>
      </c>
      <c r="H1239" s="56" t="s">
        <v>8</v>
      </c>
      <c r="I1239" s="55" t="s">
        <v>8</v>
      </c>
      <c r="J1239" s="57">
        <v>170.72</v>
      </c>
      <c r="K1239" s="56" t="s">
        <v>2058</v>
      </c>
      <c r="L1239" s="56" t="s">
        <v>2059</v>
      </c>
      <c r="M1239" s="55" t="s">
        <v>2060</v>
      </c>
      <c r="N1239" s="56" t="s">
        <v>2061</v>
      </c>
      <c r="O1239" s="53" t="s">
        <v>8</v>
      </c>
      <c r="P1239" s="56" t="s">
        <v>2071</v>
      </c>
      <c r="Q1239" s="57">
        <v>17600</v>
      </c>
      <c r="R1239" s="58" t="s">
        <v>8</v>
      </c>
      <c r="S1239" s="57" t="s">
        <v>8</v>
      </c>
      <c r="T1239" s="56" t="s">
        <v>2063</v>
      </c>
    </row>
    <row r="1240" spans="1:20">
      <c r="A1240" s="55">
        <v>127886777148</v>
      </c>
      <c r="B1240" s="53" t="s">
        <v>2055</v>
      </c>
      <c r="C1240" s="54">
        <v>45928</v>
      </c>
      <c r="D1240" s="55">
        <v>50873175162</v>
      </c>
      <c r="E1240" s="55">
        <v>2081630087008</v>
      </c>
      <c r="F1240" s="56" t="s">
        <v>2056</v>
      </c>
      <c r="G1240" s="56" t="s">
        <v>2057</v>
      </c>
      <c r="H1240" s="56" t="s">
        <v>8</v>
      </c>
      <c r="I1240" s="55" t="s">
        <v>8</v>
      </c>
      <c r="J1240" s="57">
        <v>724.59</v>
      </c>
      <c r="K1240" s="56" t="s">
        <v>2058</v>
      </c>
      <c r="L1240" s="56" t="s">
        <v>2059</v>
      </c>
      <c r="M1240" s="55" t="s">
        <v>2060</v>
      </c>
      <c r="N1240" s="56" t="s">
        <v>2061</v>
      </c>
      <c r="O1240" s="53" t="s">
        <v>8</v>
      </c>
      <c r="P1240" s="56" t="s">
        <v>2156</v>
      </c>
      <c r="Q1240" s="57">
        <v>74700</v>
      </c>
      <c r="R1240" s="58" t="s">
        <v>8</v>
      </c>
      <c r="S1240" s="57" t="s">
        <v>8</v>
      </c>
      <c r="T1240" s="56" t="s">
        <v>2063</v>
      </c>
    </row>
    <row r="1241" spans="1:20">
      <c r="A1241" s="55">
        <v>127324806483</v>
      </c>
      <c r="B1241" s="53" t="s">
        <v>2055</v>
      </c>
      <c r="C1241" s="54">
        <v>45928</v>
      </c>
      <c r="D1241" s="55">
        <v>50873311521</v>
      </c>
      <c r="E1241" s="55">
        <v>2081632432886</v>
      </c>
      <c r="F1241" s="56" t="s">
        <v>2056</v>
      </c>
      <c r="G1241" s="56" t="s">
        <v>2057</v>
      </c>
      <c r="H1241" s="56" t="s">
        <v>8</v>
      </c>
      <c r="I1241" s="55" t="s">
        <v>8</v>
      </c>
      <c r="J1241" s="57">
        <v>258.99</v>
      </c>
      <c r="K1241" s="56" t="s">
        <v>2058</v>
      </c>
      <c r="L1241" s="56" t="s">
        <v>2059</v>
      </c>
      <c r="M1241" s="55" t="s">
        <v>2060</v>
      </c>
      <c r="N1241" s="56" t="s">
        <v>2061</v>
      </c>
      <c r="O1241" s="53" t="s">
        <v>8</v>
      </c>
      <c r="P1241" s="56" t="s">
        <v>2607</v>
      </c>
      <c r="Q1241" s="57">
        <v>26700</v>
      </c>
      <c r="R1241" s="58" t="s">
        <v>8</v>
      </c>
      <c r="S1241" s="57" t="s">
        <v>8</v>
      </c>
      <c r="T1241" s="56" t="s">
        <v>2063</v>
      </c>
    </row>
    <row r="1242" spans="1:20">
      <c r="A1242" s="55">
        <v>127887369754</v>
      </c>
      <c r="B1242" s="53" t="s">
        <v>2055</v>
      </c>
      <c r="C1242" s="54">
        <v>45928</v>
      </c>
      <c r="D1242" s="55">
        <v>50873415799</v>
      </c>
      <c r="E1242" s="55">
        <v>2081575536199</v>
      </c>
      <c r="F1242" s="56" t="s">
        <v>2066</v>
      </c>
      <c r="G1242" s="56" t="s">
        <v>2057</v>
      </c>
      <c r="H1242" s="56" t="s">
        <v>8</v>
      </c>
      <c r="I1242" s="55" t="s">
        <v>8</v>
      </c>
      <c r="J1242" s="57">
        <v>1894.89</v>
      </c>
      <c r="K1242" s="56" t="s">
        <v>2058</v>
      </c>
      <c r="L1242" s="56" t="s">
        <v>2067</v>
      </c>
      <c r="M1242" s="55" t="s">
        <v>2060</v>
      </c>
      <c r="N1242" s="56" t="s">
        <v>2061</v>
      </c>
      <c r="O1242" s="53" t="s">
        <v>1790</v>
      </c>
      <c r="P1242" s="56" t="s">
        <v>2068</v>
      </c>
      <c r="Q1242" s="57">
        <v>24900</v>
      </c>
      <c r="R1242" s="58" t="s">
        <v>8</v>
      </c>
      <c r="S1242" s="57" t="s">
        <v>8</v>
      </c>
      <c r="T1242" s="56" t="s">
        <v>2063</v>
      </c>
    </row>
    <row r="1243" spans="1:20">
      <c r="A1243" s="55">
        <v>127887531604</v>
      </c>
      <c r="B1243" s="53" t="s">
        <v>2055</v>
      </c>
      <c r="C1243" s="54">
        <v>45928</v>
      </c>
      <c r="D1243" s="55">
        <v>50873477593</v>
      </c>
      <c r="E1243" s="55">
        <v>2081634310414</v>
      </c>
      <c r="F1243" s="56" t="s">
        <v>2056</v>
      </c>
      <c r="G1243" s="56" t="s">
        <v>2057</v>
      </c>
      <c r="H1243" s="56" t="s">
        <v>8</v>
      </c>
      <c r="I1243" s="55" t="s">
        <v>8</v>
      </c>
      <c r="J1243" s="57">
        <v>454.93</v>
      </c>
      <c r="K1243" s="56" t="s">
        <v>2058</v>
      </c>
      <c r="L1243" s="56" t="s">
        <v>2059</v>
      </c>
      <c r="M1243" s="55" t="s">
        <v>2060</v>
      </c>
      <c r="N1243" s="56" t="s">
        <v>2061</v>
      </c>
      <c r="O1243" s="53" t="s">
        <v>8</v>
      </c>
      <c r="P1243" s="56" t="s">
        <v>2608</v>
      </c>
      <c r="Q1243" s="57">
        <v>46900</v>
      </c>
      <c r="R1243" s="58" t="s">
        <v>8</v>
      </c>
      <c r="S1243" s="57" t="s">
        <v>8</v>
      </c>
      <c r="T1243" s="56" t="s">
        <v>2063</v>
      </c>
    </row>
    <row r="1244" spans="1:20">
      <c r="A1244" s="55">
        <v>127327134359</v>
      </c>
      <c r="B1244" s="53" t="s">
        <v>2055</v>
      </c>
      <c r="C1244" s="54">
        <v>45928</v>
      </c>
      <c r="D1244" s="55">
        <v>50874260062</v>
      </c>
      <c r="E1244" s="55">
        <v>2081588418903</v>
      </c>
      <c r="F1244" s="56" t="s">
        <v>2056</v>
      </c>
      <c r="G1244" s="56" t="s">
        <v>2057</v>
      </c>
      <c r="H1244" s="56" t="s">
        <v>8</v>
      </c>
      <c r="I1244" s="55" t="s">
        <v>8</v>
      </c>
      <c r="J1244" s="57">
        <v>45.59</v>
      </c>
      <c r="K1244" s="56" t="s">
        <v>2058</v>
      </c>
      <c r="L1244" s="56" t="s">
        <v>2059</v>
      </c>
      <c r="M1244" s="55" t="s">
        <v>2060</v>
      </c>
      <c r="N1244" s="56" t="s">
        <v>2061</v>
      </c>
      <c r="O1244" s="53" t="s">
        <v>8</v>
      </c>
      <c r="P1244" s="56" t="s">
        <v>2577</v>
      </c>
      <c r="Q1244" s="57">
        <v>4700</v>
      </c>
      <c r="R1244" s="58" t="s">
        <v>8</v>
      </c>
      <c r="S1244" s="57" t="s">
        <v>8</v>
      </c>
      <c r="T1244" s="56" t="s">
        <v>2063</v>
      </c>
    </row>
    <row r="1245" spans="1:20">
      <c r="A1245" s="55">
        <v>127890550192</v>
      </c>
      <c r="B1245" s="53" t="s">
        <v>2055</v>
      </c>
      <c r="C1245" s="54">
        <v>45928</v>
      </c>
      <c r="D1245" s="55">
        <v>50874681504</v>
      </c>
      <c r="E1245" s="55">
        <v>2081594643377</v>
      </c>
      <c r="F1245" s="56" t="s">
        <v>2056</v>
      </c>
      <c r="G1245" s="56" t="s">
        <v>2057</v>
      </c>
      <c r="H1245" s="56" t="s">
        <v>8</v>
      </c>
      <c r="I1245" s="55" t="s">
        <v>8</v>
      </c>
      <c r="J1245" s="57">
        <v>53.35</v>
      </c>
      <c r="K1245" s="56" t="s">
        <v>2058</v>
      </c>
      <c r="L1245" s="56" t="s">
        <v>2059</v>
      </c>
      <c r="M1245" s="55" t="s">
        <v>2060</v>
      </c>
      <c r="N1245" s="56" t="s">
        <v>2061</v>
      </c>
      <c r="O1245" s="53" t="s">
        <v>8</v>
      </c>
      <c r="P1245" s="56" t="s">
        <v>2564</v>
      </c>
      <c r="Q1245" s="57">
        <v>5500</v>
      </c>
      <c r="R1245" s="58" t="s">
        <v>8</v>
      </c>
      <c r="S1245" s="57" t="s">
        <v>8</v>
      </c>
      <c r="T1245" s="56" t="s">
        <v>2063</v>
      </c>
    </row>
    <row r="1246" spans="1:20">
      <c r="A1246" s="55">
        <v>127328690661</v>
      </c>
      <c r="B1246" s="53" t="s">
        <v>2055</v>
      </c>
      <c r="C1246" s="54">
        <v>45928</v>
      </c>
      <c r="D1246" s="55">
        <v>50874893215</v>
      </c>
      <c r="E1246" s="55">
        <v>2081655304388</v>
      </c>
      <c r="F1246" s="56" t="s">
        <v>2069</v>
      </c>
      <c r="G1246" s="56" t="s">
        <v>2057</v>
      </c>
      <c r="H1246" s="56" t="s">
        <v>8</v>
      </c>
      <c r="I1246" s="55" t="s">
        <v>8</v>
      </c>
      <c r="J1246" s="57">
        <v>250.26</v>
      </c>
      <c r="K1246" s="56" t="s">
        <v>2058</v>
      </c>
      <c r="L1246" s="56" t="s">
        <v>2059</v>
      </c>
      <c r="M1246" s="55" t="s">
        <v>2060</v>
      </c>
      <c r="N1246" s="56" t="s">
        <v>2061</v>
      </c>
      <c r="O1246" s="53" t="s">
        <v>8</v>
      </c>
      <c r="P1246" s="56" t="s">
        <v>2070</v>
      </c>
      <c r="Q1246" s="57">
        <v>25800</v>
      </c>
      <c r="R1246" s="58" t="s">
        <v>8</v>
      </c>
      <c r="S1246" s="57" t="s">
        <v>8</v>
      </c>
      <c r="T1246" s="56" t="s">
        <v>8</v>
      </c>
    </row>
    <row r="1247" spans="1:20">
      <c r="A1247" s="55">
        <v>127891287160</v>
      </c>
      <c r="B1247" s="53" t="s">
        <v>2055</v>
      </c>
      <c r="C1247" s="54">
        <v>45928</v>
      </c>
      <c r="D1247" s="55">
        <v>50874981761</v>
      </c>
      <c r="E1247" s="55">
        <v>2081656556658</v>
      </c>
      <c r="F1247" s="56" t="s">
        <v>2066</v>
      </c>
      <c r="G1247" s="56" t="s">
        <v>2057</v>
      </c>
      <c r="H1247" s="56" t="s">
        <v>8</v>
      </c>
      <c r="I1247" s="55" t="s">
        <v>8</v>
      </c>
      <c r="J1247" s="57">
        <v>1237.95</v>
      </c>
      <c r="K1247" s="56" t="s">
        <v>2058</v>
      </c>
      <c r="L1247" s="56" t="s">
        <v>2067</v>
      </c>
      <c r="M1247" s="55" t="s">
        <v>2060</v>
      </c>
      <c r="N1247" s="56" t="s">
        <v>2061</v>
      </c>
      <c r="O1247" s="53" t="s">
        <v>1790</v>
      </c>
      <c r="P1247" s="56" t="s">
        <v>2068</v>
      </c>
      <c r="Q1247" s="57">
        <v>31500</v>
      </c>
      <c r="R1247" s="58" t="s">
        <v>8</v>
      </c>
      <c r="S1247" s="57" t="s">
        <v>8</v>
      </c>
      <c r="T1247" s="56" t="s">
        <v>2063</v>
      </c>
    </row>
    <row r="1248" spans="1:20">
      <c r="A1248" s="55">
        <v>127328855521</v>
      </c>
      <c r="B1248" s="53" t="s">
        <v>2055</v>
      </c>
      <c r="C1248" s="54">
        <v>45928</v>
      </c>
      <c r="D1248" s="55">
        <v>50875009859</v>
      </c>
      <c r="E1248" s="55">
        <v>2081656752712</v>
      </c>
      <c r="F1248" s="56" t="s">
        <v>2056</v>
      </c>
      <c r="G1248" s="56" t="s">
        <v>2057</v>
      </c>
      <c r="H1248" s="56" t="s">
        <v>8</v>
      </c>
      <c r="I1248" s="55" t="s">
        <v>8</v>
      </c>
      <c r="J1248" s="57">
        <v>2587.4</v>
      </c>
      <c r="K1248" s="56" t="s">
        <v>2058</v>
      </c>
      <c r="L1248" s="56" t="s">
        <v>2059</v>
      </c>
      <c r="M1248" s="55" t="s">
        <v>2060</v>
      </c>
      <c r="N1248" s="56" t="s">
        <v>2061</v>
      </c>
      <c r="O1248" s="53" t="s">
        <v>8</v>
      </c>
      <c r="P1248" s="56" t="s">
        <v>2485</v>
      </c>
      <c r="Q1248" s="57">
        <v>34000</v>
      </c>
      <c r="R1248" s="58" t="s">
        <v>8</v>
      </c>
      <c r="S1248" s="57" t="s">
        <v>8</v>
      </c>
      <c r="T1248" s="56" t="s">
        <v>2063</v>
      </c>
    </row>
    <row r="1249" spans="1:20">
      <c r="A1249" s="55">
        <v>127329293865</v>
      </c>
      <c r="B1249" s="53" t="s">
        <v>2055</v>
      </c>
      <c r="C1249" s="54">
        <v>45928</v>
      </c>
      <c r="D1249" s="55">
        <v>50875173864</v>
      </c>
      <c r="E1249" s="55">
        <v>2081601417403</v>
      </c>
      <c r="F1249" s="56" t="s">
        <v>2066</v>
      </c>
      <c r="G1249" s="56" t="s">
        <v>2057</v>
      </c>
      <c r="H1249" s="56" t="s">
        <v>8</v>
      </c>
      <c r="I1249" s="55" t="s">
        <v>8</v>
      </c>
      <c r="J1249" s="57">
        <v>1465.89</v>
      </c>
      <c r="K1249" s="56" t="s">
        <v>2058</v>
      </c>
      <c r="L1249" s="56" t="s">
        <v>2067</v>
      </c>
      <c r="M1249" s="55" t="s">
        <v>2060</v>
      </c>
      <c r="N1249" s="56" t="s">
        <v>2061</v>
      </c>
      <c r="O1249" s="53" t="s">
        <v>1790</v>
      </c>
      <c r="P1249" s="56" t="s">
        <v>2068</v>
      </c>
      <c r="Q1249" s="57">
        <v>37300</v>
      </c>
      <c r="R1249" s="58" t="s">
        <v>8</v>
      </c>
      <c r="S1249" s="57" t="s">
        <v>8</v>
      </c>
      <c r="T1249" s="56" t="s">
        <v>2063</v>
      </c>
    </row>
    <row r="1250" spans="1:20">
      <c r="A1250" s="55">
        <v>127891727240</v>
      </c>
      <c r="B1250" s="53" t="s">
        <v>2055</v>
      </c>
      <c r="C1250" s="54">
        <v>45928</v>
      </c>
      <c r="D1250" s="55">
        <v>50875174141</v>
      </c>
      <c r="E1250" s="55">
        <v>2081601555639</v>
      </c>
      <c r="F1250" s="56" t="s">
        <v>2069</v>
      </c>
      <c r="G1250" s="56" t="s">
        <v>2057</v>
      </c>
      <c r="H1250" s="56" t="s">
        <v>8</v>
      </c>
      <c r="I1250" s="55" t="s">
        <v>8</v>
      </c>
      <c r="J1250" s="57">
        <v>331.74</v>
      </c>
      <c r="K1250" s="56" t="s">
        <v>2058</v>
      </c>
      <c r="L1250" s="56" t="s">
        <v>2059</v>
      </c>
      <c r="M1250" s="55" t="s">
        <v>2060</v>
      </c>
      <c r="N1250" s="56" t="s">
        <v>2061</v>
      </c>
      <c r="O1250" s="53" t="s">
        <v>8</v>
      </c>
      <c r="P1250" s="56" t="s">
        <v>2070</v>
      </c>
      <c r="Q1250" s="57">
        <v>34200</v>
      </c>
      <c r="R1250" s="58" t="s">
        <v>8</v>
      </c>
      <c r="S1250" s="57" t="s">
        <v>8</v>
      </c>
      <c r="T1250" s="56" t="s">
        <v>8</v>
      </c>
    </row>
    <row r="1251" spans="1:20">
      <c r="A1251" s="55">
        <v>127329483271</v>
      </c>
      <c r="B1251" s="53" t="s">
        <v>2055</v>
      </c>
      <c r="C1251" s="54">
        <v>45928</v>
      </c>
      <c r="D1251" s="55">
        <v>50875231557</v>
      </c>
      <c r="E1251" s="55">
        <v>2081602506601</v>
      </c>
      <c r="F1251" s="56" t="s">
        <v>2066</v>
      </c>
      <c r="G1251" s="56" t="s">
        <v>2057</v>
      </c>
      <c r="H1251" s="56" t="s">
        <v>8</v>
      </c>
      <c r="I1251" s="55" t="s">
        <v>8</v>
      </c>
      <c r="J1251" s="57">
        <v>1650.6</v>
      </c>
      <c r="K1251" s="56" t="s">
        <v>2058</v>
      </c>
      <c r="L1251" s="56" t="s">
        <v>2067</v>
      </c>
      <c r="M1251" s="55" t="s">
        <v>2060</v>
      </c>
      <c r="N1251" s="56" t="s">
        <v>2061</v>
      </c>
      <c r="O1251" s="53" t="s">
        <v>1790</v>
      </c>
      <c r="P1251" s="56" t="s">
        <v>2068</v>
      </c>
      <c r="Q1251" s="57">
        <v>42000</v>
      </c>
      <c r="R1251" s="58" t="s">
        <v>8</v>
      </c>
      <c r="S1251" s="57" t="s">
        <v>8</v>
      </c>
      <c r="T1251" s="56" t="s">
        <v>2063</v>
      </c>
    </row>
    <row r="1252" spans="1:20">
      <c r="A1252" s="55">
        <v>127891938390</v>
      </c>
      <c r="B1252" s="53" t="s">
        <v>2055</v>
      </c>
      <c r="C1252" s="54">
        <v>45928</v>
      </c>
      <c r="D1252" s="55">
        <v>50875240818</v>
      </c>
      <c r="E1252" s="55">
        <v>2081602625785</v>
      </c>
      <c r="F1252" s="56" t="s">
        <v>2056</v>
      </c>
      <c r="G1252" s="56" t="s">
        <v>2057</v>
      </c>
      <c r="H1252" s="56" t="s">
        <v>8</v>
      </c>
      <c r="I1252" s="55" t="s">
        <v>8</v>
      </c>
      <c r="J1252" s="57">
        <v>321.07</v>
      </c>
      <c r="K1252" s="56" t="s">
        <v>2058</v>
      </c>
      <c r="L1252" s="56" t="s">
        <v>2059</v>
      </c>
      <c r="M1252" s="55" t="s">
        <v>2060</v>
      </c>
      <c r="N1252" s="56" t="s">
        <v>2061</v>
      </c>
      <c r="O1252" s="53" t="s">
        <v>8</v>
      </c>
      <c r="P1252" s="56" t="s">
        <v>2609</v>
      </c>
      <c r="Q1252" s="57">
        <v>33100</v>
      </c>
      <c r="R1252" s="58" t="s">
        <v>8</v>
      </c>
      <c r="S1252" s="57" t="s">
        <v>8</v>
      </c>
      <c r="T1252" s="56" t="s">
        <v>2063</v>
      </c>
    </row>
    <row r="1253" spans="1:20">
      <c r="A1253" s="55">
        <v>127329669179</v>
      </c>
      <c r="B1253" s="53" t="s">
        <v>2055</v>
      </c>
      <c r="C1253" s="54">
        <v>45928</v>
      </c>
      <c r="D1253" s="55">
        <v>50875291176</v>
      </c>
      <c r="E1253" s="55">
        <v>2081661096598</v>
      </c>
      <c r="F1253" s="56" t="s">
        <v>2056</v>
      </c>
      <c r="G1253" s="56" t="s">
        <v>2057</v>
      </c>
      <c r="H1253" s="56" t="s">
        <v>8</v>
      </c>
      <c r="I1253" s="55" t="s">
        <v>8</v>
      </c>
      <c r="J1253" s="57">
        <v>2244.9499999999998</v>
      </c>
      <c r="K1253" s="56" t="s">
        <v>2058</v>
      </c>
      <c r="L1253" s="56" t="s">
        <v>2059</v>
      </c>
      <c r="M1253" s="55" t="s">
        <v>2060</v>
      </c>
      <c r="N1253" s="56" t="s">
        <v>2061</v>
      </c>
      <c r="O1253" s="53" t="s">
        <v>8</v>
      </c>
      <c r="P1253" s="56" t="s">
        <v>2610</v>
      </c>
      <c r="Q1253" s="57">
        <v>29500</v>
      </c>
      <c r="R1253" s="58" t="s">
        <v>8</v>
      </c>
      <c r="S1253" s="57" t="s">
        <v>8</v>
      </c>
      <c r="T1253" s="56" t="s">
        <v>2063</v>
      </c>
    </row>
    <row r="1254" spans="1:20">
      <c r="A1254" s="55">
        <v>127330733001</v>
      </c>
      <c r="B1254" s="53" t="s">
        <v>2055</v>
      </c>
      <c r="C1254" s="54">
        <v>45928</v>
      </c>
      <c r="D1254" s="55">
        <v>50875733963</v>
      </c>
      <c r="E1254" s="55">
        <v>2081667777708</v>
      </c>
      <c r="F1254" s="56" t="s">
        <v>2069</v>
      </c>
      <c r="G1254" s="56" t="s">
        <v>2057</v>
      </c>
      <c r="H1254" s="56" t="s">
        <v>8</v>
      </c>
      <c r="I1254" s="55" t="s">
        <v>8</v>
      </c>
      <c r="J1254" s="57">
        <v>353.08</v>
      </c>
      <c r="K1254" s="56" t="s">
        <v>2058</v>
      </c>
      <c r="L1254" s="56" t="s">
        <v>2059</v>
      </c>
      <c r="M1254" s="55" t="s">
        <v>2060</v>
      </c>
      <c r="N1254" s="56" t="s">
        <v>2061</v>
      </c>
      <c r="O1254" s="53" t="s">
        <v>8</v>
      </c>
      <c r="P1254" s="56" t="s">
        <v>2070</v>
      </c>
      <c r="Q1254" s="57">
        <v>36400</v>
      </c>
      <c r="R1254" s="58" t="s">
        <v>8</v>
      </c>
      <c r="S1254" s="57" t="s">
        <v>8</v>
      </c>
      <c r="T1254" s="56" t="s">
        <v>8</v>
      </c>
    </row>
    <row r="1255" spans="1:20">
      <c r="A1255" s="55">
        <v>127893248554</v>
      </c>
      <c r="B1255" s="53" t="s">
        <v>2055</v>
      </c>
      <c r="C1255" s="54">
        <v>45928</v>
      </c>
      <c r="D1255" s="55">
        <v>50875766495</v>
      </c>
      <c r="E1255" s="55">
        <v>2081667956834</v>
      </c>
      <c r="F1255" s="56" t="s">
        <v>2066</v>
      </c>
      <c r="G1255" s="56" t="s">
        <v>2057</v>
      </c>
      <c r="H1255" s="56" t="s">
        <v>8</v>
      </c>
      <c r="I1255" s="55" t="s">
        <v>8</v>
      </c>
      <c r="J1255" s="57">
        <v>919.62</v>
      </c>
      <c r="K1255" s="56" t="s">
        <v>2058</v>
      </c>
      <c r="L1255" s="56" t="s">
        <v>2067</v>
      </c>
      <c r="M1255" s="55" t="s">
        <v>2060</v>
      </c>
      <c r="N1255" s="56" t="s">
        <v>2061</v>
      </c>
      <c r="O1255" s="53" t="s">
        <v>1790</v>
      </c>
      <c r="P1255" s="56" t="s">
        <v>2068</v>
      </c>
      <c r="Q1255" s="57">
        <v>23400</v>
      </c>
      <c r="R1255" s="58" t="s">
        <v>8</v>
      </c>
      <c r="S1255" s="57" t="s">
        <v>8</v>
      </c>
      <c r="T1255" s="56" t="s">
        <v>2063</v>
      </c>
    </row>
    <row r="1256" spans="1:20">
      <c r="A1256" s="55">
        <v>127330998645</v>
      </c>
      <c r="B1256" s="53" t="s">
        <v>2055</v>
      </c>
      <c r="C1256" s="54">
        <v>45928</v>
      </c>
      <c r="D1256" s="55">
        <v>50875864405</v>
      </c>
      <c r="E1256" s="55">
        <v>2081668801488</v>
      </c>
      <c r="F1256" s="56" t="s">
        <v>2066</v>
      </c>
      <c r="G1256" s="56" t="s">
        <v>2057</v>
      </c>
      <c r="H1256" s="56" t="s">
        <v>8</v>
      </c>
      <c r="I1256" s="55" t="s">
        <v>8</v>
      </c>
      <c r="J1256" s="57">
        <v>1559.42</v>
      </c>
      <c r="K1256" s="56" t="s">
        <v>2058</v>
      </c>
      <c r="L1256" s="56" t="s">
        <v>2067</v>
      </c>
      <c r="M1256" s="55" t="s">
        <v>2060</v>
      </c>
      <c r="N1256" s="56" t="s">
        <v>2061</v>
      </c>
      <c r="O1256" s="53" t="s">
        <v>1790</v>
      </c>
      <c r="P1256" s="56" t="s">
        <v>2068</v>
      </c>
      <c r="Q1256" s="57">
        <v>39680</v>
      </c>
      <c r="R1256" s="58" t="s">
        <v>8</v>
      </c>
      <c r="S1256" s="57" t="s">
        <v>8</v>
      </c>
      <c r="T1256" s="56" t="s">
        <v>2063</v>
      </c>
    </row>
    <row r="1257" spans="1:20">
      <c r="A1257" s="55">
        <v>127331234613</v>
      </c>
      <c r="B1257" s="53" t="s">
        <v>2055</v>
      </c>
      <c r="C1257" s="54">
        <v>45928</v>
      </c>
      <c r="D1257" s="55">
        <v>50875928411</v>
      </c>
      <c r="E1257" s="55">
        <v>2081612264069</v>
      </c>
      <c r="F1257" s="56" t="s">
        <v>2056</v>
      </c>
      <c r="G1257" s="56" t="s">
        <v>2057</v>
      </c>
      <c r="H1257" s="56" t="s">
        <v>8</v>
      </c>
      <c r="I1257" s="55" t="s">
        <v>8</v>
      </c>
      <c r="J1257" s="57">
        <v>349.2</v>
      </c>
      <c r="K1257" s="56" t="s">
        <v>2058</v>
      </c>
      <c r="L1257" s="56" t="s">
        <v>2059</v>
      </c>
      <c r="M1257" s="55" t="s">
        <v>2060</v>
      </c>
      <c r="N1257" s="56" t="s">
        <v>2061</v>
      </c>
      <c r="O1257" s="53" t="s">
        <v>8</v>
      </c>
      <c r="P1257" s="56" t="s">
        <v>2611</v>
      </c>
      <c r="Q1257" s="57">
        <v>36000</v>
      </c>
      <c r="R1257" s="58" t="s">
        <v>8</v>
      </c>
      <c r="S1257" s="57" t="s">
        <v>8</v>
      </c>
      <c r="T1257" s="56" t="s">
        <v>2063</v>
      </c>
    </row>
    <row r="1258" spans="1:20">
      <c r="A1258" s="55">
        <v>127331380259</v>
      </c>
      <c r="B1258" s="53" t="s">
        <v>2055</v>
      </c>
      <c r="C1258" s="54">
        <v>45928</v>
      </c>
      <c r="D1258" s="55">
        <v>50875976745</v>
      </c>
      <c r="E1258" s="55">
        <v>2081670755062</v>
      </c>
      <c r="F1258" s="56" t="s">
        <v>2056</v>
      </c>
      <c r="G1258" s="56" t="s">
        <v>2057</v>
      </c>
      <c r="H1258" s="56" t="s">
        <v>8</v>
      </c>
      <c r="I1258" s="55" t="s">
        <v>8</v>
      </c>
      <c r="J1258" s="57">
        <v>340.47</v>
      </c>
      <c r="K1258" s="56" t="s">
        <v>2058</v>
      </c>
      <c r="L1258" s="56" t="s">
        <v>2059</v>
      </c>
      <c r="M1258" s="55" t="s">
        <v>2060</v>
      </c>
      <c r="N1258" s="56" t="s">
        <v>2061</v>
      </c>
      <c r="O1258" s="53" t="s">
        <v>8</v>
      </c>
      <c r="P1258" s="56" t="s">
        <v>2612</v>
      </c>
      <c r="Q1258" s="57">
        <v>35100</v>
      </c>
      <c r="R1258" s="58" t="s">
        <v>8</v>
      </c>
      <c r="S1258" s="57" t="s">
        <v>8</v>
      </c>
      <c r="T1258" s="56" t="s">
        <v>2063</v>
      </c>
    </row>
    <row r="1259" spans="1:20">
      <c r="A1259" s="55">
        <v>127331363373</v>
      </c>
      <c r="B1259" s="53" t="s">
        <v>2055</v>
      </c>
      <c r="C1259" s="54">
        <v>45928</v>
      </c>
      <c r="D1259" s="55">
        <v>50875983199</v>
      </c>
      <c r="E1259" s="55">
        <v>2081671184062</v>
      </c>
      <c r="F1259" s="56" t="s">
        <v>2056</v>
      </c>
      <c r="G1259" s="56" t="s">
        <v>2057</v>
      </c>
      <c r="H1259" s="56" t="s">
        <v>8</v>
      </c>
      <c r="I1259" s="55" t="s">
        <v>8</v>
      </c>
      <c r="J1259" s="57">
        <v>728.47</v>
      </c>
      <c r="K1259" s="56" t="s">
        <v>2058</v>
      </c>
      <c r="L1259" s="56" t="s">
        <v>2059</v>
      </c>
      <c r="M1259" s="55" t="s">
        <v>2060</v>
      </c>
      <c r="N1259" s="56" t="s">
        <v>2061</v>
      </c>
      <c r="O1259" s="53" t="s">
        <v>8</v>
      </c>
      <c r="P1259" s="56" t="s">
        <v>2613</v>
      </c>
      <c r="Q1259" s="57">
        <v>75100</v>
      </c>
      <c r="R1259" s="58" t="s">
        <v>8</v>
      </c>
      <c r="S1259" s="57" t="s">
        <v>8</v>
      </c>
      <c r="T1259" s="56" t="s">
        <v>2063</v>
      </c>
    </row>
    <row r="1260" spans="1:20">
      <c r="A1260" s="55">
        <v>127331361971</v>
      </c>
      <c r="B1260" s="53" t="s">
        <v>2055</v>
      </c>
      <c r="C1260" s="54">
        <v>45928</v>
      </c>
      <c r="D1260" s="55">
        <v>50876008260</v>
      </c>
      <c r="E1260" s="55">
        <v>2081613626283</v>
      </c>
      <c r="F1260" s="56" t="s">
        <v>2056</v>
      </c>
      <c r="G1260" s="56" t="s">
        <v>2057</v>
      </c>
      <c r="H1260" s="56" t="s">
        <v>8</v>
      </c>
      <c r="I1260" s="55" t="s">
        <v>8</v>
      </c>
      <c r="J1260" s="57">
        <v>2633.06</v>
      </c>
      <c r="K1260" s="56" t="s">
        <v>2058</v>
      </c>
      <c r="L1260" s="56" t="s">
        <v>2059</v>
      </c>
      <c r="M1260" s="55" t="s">
        <v>2060</v>
      </c>
      <c r="N1260" s="56" t="s">
        <v>2061</v>
      </c>
      <c r="O1260" s="53" t="s">
        <v>8</v>
      </c>
      <c r="P1260" s="56" t="s">
        <v>2382</v>
      </c>
      <c r="Q1260" s="57">
        <v>34600</v>
      </c>
      <c r="R1260" s="58" t="s">
        <v>8</v>
      </c>
      <c r="S1260" s="57" t="s">
        <v>8</v>
      </c>
      <c r="T1260" s="56" t="s">
        <v>2063</v>
      </c>
    </row>
    <row r="1261" spans="1:20">
      <c r="A1261" s="55">
        <v>127894050264</v>
      </c>
      <c r="B1261" s="53" t="s">
        <v>2055</v>
      </c>
      <c r="C1261" s="54">
        <v>45928</v>
      </c>
      <c r="D1261" s="55">
        <v>50876120513</v>
      </c>
      <c r="E1261" s="55">
        <v>2081615241089</v>
      </c>
      <c r="F1261" s="56" t="s">
        <v>2056</v>
      </c>
      <c r="G1261" s="56" t="s">
        <v>2057</v>
      </c>
      <c r="H1261" s="56" t="s">
        <v>8</v>
      </c>
      <c r="I1261" s="55" t="s">
        <v>8</v>
      </c>
      <c r="J1261" s="57">
        <v>512.16</v>
      </c>
      <c r="K1261" s="56" t="s">
        <v>2058</v>
      </c>
      <c r="L1261" s="56" t="s">
        <v>2059</v>
      </c>
      <c r="M1261" s="55" t="s">
        <v>2060</v>
      </c>
      <c r="N1261" s="56" t="s">
        <v>2061</v>
      </c>
      <c r="O1261" s="53" t="s">
        <v>8</v>
      </c>
      <c r="P1261" s="56" t="s">
        <v>2614</v>
      </c>
      <c r="Q1261" s="57">
        <v>52800</v>
      </c>
      <c r="R1261" s="58" t="s">
        <v>8</v>
      </c>
      <c r="S1261" s="57" t="s">
        <v>8</v>
      </c>
      <c r="T1261" s="56" t="s">
        <v>2063</v>
      </c>
    </row>
    <row r="1262" spans="1:20">
      <c r="A1262" s="55">
        <v>127894055512</v>
      </c>
      <c r="B1262" s="53" t="s">
        <v>2055</v>
      </c>
      <c r="C1262" s="54">
        <v>45929</v>
      </c>
      <c r="D1262" s="55">
        <v>50876170515</v>
      </c>
      <c r="E1262" s="55">
        <v>2081673712982</v>
      </c>
      <c r="F1262" s="56" t="s">
        <v>2056</v>
      </c>
      <c r="G1262" s="56" t="s">
        <v>2057</v>
      </c>
      <c r="H1262" s="56" t="s">
        <v>8</v>
      </c>
      <c r="I1262" s="55" t="s">
        <v>8</v>
      </c>
      <c r="J1262" s="57">
        <v>97</v>
      </c>
      <c r="K1262" s="56" t="s">
        <v>2058</v>
      </c>
      <c r="L1262" s="56" t="s">
        <v>2059</v>
      </c>
      <c r="M1262" s="55" t="s">
        <v>2060</v>
      </c>
      <c r="N1262" s="56" t="s">
        <v>2061</v>
      </c>
      <c r="O1262" s="53" t="s">
        <v>8</v>
      </c>
      <c r="P1262" s="56" t="s">
        <v>2615</v>
      </c>
      <c r="Q1262" s="57">
        <v>10000</v>
      </c>
      <c r="R1262" s="58" t="s">
        <v>8</v>
      </c>
      <c r="S1262" s="57" t="s">
        <v>8</v>
      </c>
      <c r="T1262" s="56" t="s">
        <v>2063</v>
      </c>
    </row>
    <row r="1263" spans="1:20">
      <c r="A1263" s="55">
        <v>127894447792</v>
      </c>
      <c r="B1263" s="53" t="s">
        <v>2055</v>
      </c>
      <c r="C1263" s="54">
        <v>45929</v>
      </c>
      <c r="D1263" s="55">
        <v>50876335129</v>
      </c>
      <c r="E1263" s="55">
        <v>2081617633137</v>
      </c>
      <c r="F1263" s="56" t="s">
        <v>2066</v>
      </c>
      <c r="G1263" s="56" t="s">
        <v>2057</v>
      </c>
      <c r="H1263" s="56" t="s">
        <v>8</v>
      </c>
      <c r="I1263" s="55" t="s">
        <v>8</v>
      </c>
      <c r="J1263" s="57">
        <v>334.05</v>
      </c>
      <c r="K1263" s="56" t="s">
        <v>2058</v>
      </c>
      <c r="L1263" s="56" t="s">
        <v>2067</v>
      </c>
      <c r="M1263" s="55" t="s">
        <v>2060</v>
      </c>
      <c r="N1263" s="56" t="s">
        <v>2061</v>
      </c>
      <c r="O1263" s="53" t="s">
        <v>1790</v>
      </c>
      <c r="P1263" s="56" t="s">
        <v>2068</v>
      </c>
      <c r="Q1263" s="57">
        <v>8500</v>
      </c>
      <c r="R1263" s="58" t="s">
        <v>8</v>
      </c>
      <c r="S1263" s="57" t="s">
        <v>8</v>
      </c>
      <c r="T1263" s="56" t="s">
        <v>2063</v>
      </c>
    </row>
    <row r="1264" spans="1:20">
      <c r="A1264" s="55">
        <v>127332392351</v>
      </c>
      <c r="B1264" s="53" t="s">
        <v>2055</v>
      </c>
      <c r="C1264" s="54">
        <v>45929</v>
      </c>
      <c r="D1264" s="55">
        <v>50876450572</v>
      </c>
      <c r="E1264" s="55">
        <v>2081619177513</v>
      </c>
      <c r="F1264" s="56" t="s">
        <v>2066</v>
      </c>
      <c r="G1264" s="56" t="s">
        <v>2057</v>
      </c>
      <c r="H1264" s="56" t="s">
        <v>8</v>
      </c>
      <c r="I1264" s="55" t="s">
        <v>8</v>
      </c>
      <c r="J1264" s="57">
        <v>3973.23</v>
      </c>
      <c r="K1264" s="56" t="s">
        <v>2058</v>
      </c>
      <c r="L1264" s="56" t="s">
        <v>2067</v>
      </c>
      <c r="M1264" s="55" t="s">
        <v>2060</v>
      </c>
      <c r="N1264" s="56" t="s">
        <v>2061</v>
      </c>
      <c r="O1264" s="53" t="s">
        <v>1790</v>
      </c>
      <c r="P1264" s="56" t="s">
        <v>2068</v>
      </c>
      <c r="Q1264" s="57">
        <v>101100</v>
      </c>
      <c r="R1264" s="58" t="s">
        <v>8</v>
      </c>
      <c r="S1264" s="57" t="s">
        <v>8</v>
      </c>
      <c r="T1264" s="56" t="s">
        <v>2063</v>
      </c>
    </row>
    <row r="1265" spans="1:20">
      <c r="A1265" s="55">
        <v>127894737706</v>
      </c>
      <c r="B1265" s="53" t="s">
        <v>2055</v>
      </c>
      <c r="C1265" s="54">
        <v>45929</v>
      </c>
      <c r="D1265" s="55">
        <v>50876466227</v>
      </c>
      <c r="E1265" s="55">
        <v>2081619191121</v>
      </c>
      <c r="F1265" s="56" t="s">
        <v>2056</v>
      </c>
      <c r="G1265" s="56" t="s">
        <v>2057</v>
      </c>
      <c r="H1265" s="56" t="s">
        <v>8</v>
      </c>
      <c r="I1265" s="55" t="s">
        <v>8</v>
      </c>
      <c r="J1265" s="57">
        <v>234.74</v>
      </c>
      <c r="K1265" s="56" t="s">
        <v>2058</v>
      </c>
      <c r="L1265" s="56" t="s">
        <v>2059</v>
      </c>
      <c r="M1265" s="55" t="s">
        <v>2060</v>
      </c>
      <c r="N1265" s="56" t="s">
        <v>2061</v>
      </c>
      <c r="O1265" s="53" t="s">
        <v>8</v>
      </c>
      <c r="P1265" s="56" t="s">
        <v>2126</v>
      </c>
      <c r="Q1265" s="57">
        <v>24200</v>
      </c>
      <c r="R1265" s="58" t="s">
        <v>8</v>
      </c>
      <c r="S1265" s="57" t="s">
        <v>8</v>
      </c>
      <c r="T1265" s="56" t="s">
        <v>2063</v>
      </c>
    </row>
    <row r="1266" spans="1:20">
      <c r="A1266" s="55">
        <v>127894833394</v>
      </c>
      <c r="B1266" s="53" t="s">
        <v>2055</v>
      </c>
      <c r="C1266" s="54">
        <v>45929</v>
      </c>
      <c r="D1266" s="55">
        <v>50876485437</v>
      </c>
      <c r="E1266" s="55">
        <v>2081677482998</v>
      </c>
      <c r="F1266" s="56" t="s">
        <v>2069</v>
      </c>
      <c r="G1266" s="56" t="s">
        <v>2057</v>
      </c>
      <c r="H1266" s="56" t="s">
        <v>8</v>
      </c>
      <c r="I1266" s="55" t="s">
        <v>8</v>
      </c>
      <c r="J1266" s="57">
        <v>262.87</v>
      </c>
      <c r="K1266" s="56" t="s">
        <v>2058</v>
      </c>
      <c r="L1266" s="56" t="s">
        <v>2059</v>
      </c>
      <c r="M1266" s="55" t="s">
        <v>2060</v>
      </c>
      <c r="N1266" s="56" t="s">
        <v>2061</v>
      </c>
      <c r="O1266" s="53" t="s">
        <v>8</v>
      </c>
      <c r="P1266" s="56" t="s">
        <v>2070</v>
      </c>
      <c r="Q1266" s="57">
        <v>27100</v>
      </c>
      <c r="R1266" s="58" t="s">
        <v>8</v>
      </c>
      <c r="S1266" s="57" t="s">
        <v>8</v>
      </c>
      <c r="T1266" s="56" t="s">
        <v>8</v>
      </c>
    </row>
    <row r="1267" spans="1:20">
      <c r="A1267" s="55">
        <v>127894879810</v>
      </c>
      <c r="B1267" s="53" t="s">
        <v>2055</v>
      </c>
      <c r="C1267" s="54">
        <v>45929</v>
      </c>
      <c r="D1267" s="55">
        <v>50876500597</v>
      </c>
      <c r="E1267" s="55">
        <v>2081620106509</v>
      </c>
      <c r="F1267" s="56" t="s">
        <v>2069</v>
      </c>
      <c r="G1267" s="56" t="s">
        <v>2057</v>
      </c>
      <c r="H1267" s="56" t="s">
        <v>8</v>
      </c>
      <c r="I1267" s="55" t="s">
        <v>8</v>
      </c>
      <c r="J1267" s="57">
        <v>481.12</v>
      </c>
      <c r="K1267" s="56" t="s">
        <v>2058</v>
      </c>
      <c r="L1267" s="56" t="s">
        <v>2059</v>
      </c>
      <c r="M1267" s="55" t="s">
        <v>2060</v>
      </c>
      <c r="N1267" s="56" t="s">
        <v>2061</v>
      </c>
      <c r="O1267" s="53" t="s">
        <v>8</v>
      </c>
      <c r="P1267" s="56" t="s">
        <v>2070</v>
      </c>
      <c r="Q1267" s="57">
        <v>49600</v>
      </c>
      <c r="R1267" s="58" t="s">
        <v>8</v>
      </c>
      <c r="S1267" s="57" t="s">
        <v>8</v>
      </c>
      <c r="T1267" s="56" t="s">
        <v>8</v>
      </c>
    </row>
    <row r="1268" spans="1:20">
      <c r="A1268" s="55">
        <v>127332484489</v>
      </c>
      <c r="B1268" s="53" t="s">
        <v>2055</v>
      </c>
      <c r="C1268" s="54">
        <v>45929</v>
      </c>
      <c r="D1268" s="55">
        <v>50876507249</v>
      </c>
      <c r="E1268" s="55">
        <v>2081677906708</v>
      </c>
      <c r="F1268" s="56" t="s">
        <v>2066</v>
      </c>
      <c r="G1268" s="56" t="s">
        <v>2057</v>
      </c>
      <c r="H1268" s="56" t="s">
        <v>8</v>
      </c>
      <c r="I1268" s="55" t="s">
        <v>8</v>
      </c>
      <c r="J1268" s="57">
        <v>1053.24</v>
      </c>
      <c r="K1268" s="56" t="s">
        <v>2058</v>
      </c>
      <c r="L1268" s="56" t="s">
        <v>2067</v>
      </c>
      <c r="M1268" s="55" t="s">
        <v>2060</v>
      </c>
      <c r="N1268" s="56" t="s">
        <v>2061</v>
      </c>
      <c r="O1268" s="53" t="s">
        <v>1790</v>
      </c>
      <c r="P1268" s="56" t="s">
        <v>2068</v>
      </c>
      <c r="Q1268" s="57">
        <v>26800</v>
      </c>
      <c r="R1268" s="58" t="s">
        <v>8</v>
      </c>
      <c r="S1268" s="57" t="s">
        <v>8</v>
      </c>
      <c r="T1268" s="56" t="s">
        <v>2063</v>
      </c>
    </row>
    <row r="1269" spans="1:20">
      <c r="A1269" s="55">
        <v>127332445685</v>
      </c>
      <c r="B1269" s="53" t="s">
        <v>2055</v>
      </c>
      <c r="C1269" s="54">
        <v>45929</v>
      </c>
      <c r="D1269" s="55">
        <v>50876525914</v>
      </c>
      <c r="E1269" s="55">
        <v>2081678120762</v>
      </c>
      <c r="F1269" s="56" t="s">
        <v>2066</v>
      </c>
      <c r="G1269" s="56" t="s">
        <v>2057</v>
      </c>
      <c r="H1269" s="56" t="s">
        <v>8</v>
      </c>
      <c r="I1269" s="55" t="s">
        <v>8</v>
      </c>
      <c r="J1269" s="57">
        <v>2601.66</v>
      </c>
      <c r="K1269" s="56" t="s">
        <v>2058</v>
      </c>
      <c r="L1269" s="56" t="s">
        <v>2067</v>
      </c>
      <c r="M1269" s="55" t="s">
        <v>2060</v>
      </c>
      <c r="N1269" s="56" t="s">
        <v>2061</v>
      </c>
      <c r="O1269" s="53" t="s">
        <v>1790</v>
      </c>
      <c r="P1269" s="56" t="s">
        <v>2068</v>
      </c>
      <c r="Q1269" s="57">
        <v>66200</v>
      </c>
      <c r="R1269" s="58" t="s">
        <v>8</v>
      </c>
      <c r="S1269" s="57" t="s">
        <v>8</v>
      </c>
      <c r="T1269" s="56" t="s">
        <v>2063</v>
      </c>
    </row>
    <row r="1270" spans="1:20">
      <c r="A1270" s="55">
        <v>127895243454</v>
      </c>
      <c r="B1270" s="53" t="s">
        <v>2055</v>
      </c>
      <c r="C1270" s="54">
        <v>45929</v>
      </c>
      <c r="D1270" s="55">
        <v>50876678518</v>
      </c>
      <c r="E1270" s="55">
        <v>2081680871072</v>
      </c>
      <c r="F1270" s="56" t="s">
        <v>2066</v>
      </c>
      <c r="G1270" s="56" t="s">
        <v>2057</v>
      </c>
      <c r="H1270" s="56" t="s">
        <v>8</v>
      </c>
      <c r="I1270" s="55" t="s">
        <v>8</v>
      </c>
      <c r="J1270" s="57">
        <v>393</v>
      </c>
      <c r="K1270" s="56" t="s">
        <v>2058</v>
      </c>
      <c r="L1270" s="56" t="s">
        <v>2067</v>
      </c>
      <c r="M1270" s="55" t="s">
        <v>2060</v>
      </c>
      <c r="N1270" s="56" t="s">
        <v>2061</v>
      </c>
      <c r="O1270" s="53" t="s">
        <v>1790</v>
      </c>
      <c r="P1270" s="56" t="s">
        <v>2068</v>
      </c>
      <c r="Q1270" s="57">
        <v>10000</v>
      </c>
      <c r="R1270" s="58" t="s">
        <v>8</v>
      </c>
      <c r="S1270" s="57" t="s">
        <v>8</v>
      </c>
      <c r="T1270" s="56" t="s">
        <v>2063</v>
      </c>
    </row>
    <row r="1271" spans="1:20">
      <c r="A1271" s="55">
        <v>127895360758</v>
      </c>
      <c r="B1271" s="53" t="s">
        <v>2055</v>
      </c>
      <c r="C1271" s="54">
        <v>45929</v>
      </c>
      <c r="D1271" s="55">
        <v>50876682031</v>
      </c>
      <c r="E1271" s="55">
        <v>2081681210114</v>
      </c>
      <c r="F1271" s="56" t="s">
        <v>2056</v>
      </c>
      <c r="G1271" s="56" t="s">
        <v>2057</v>
      </c>
      <c r="H1271" s="56" t="s">
        <v>8</v>
      </c>
      <c r="I1271" s="55" t="s">
        <v>8</v>
      </c>
      <c r="J1271" s="57">
        <v>304.58</v>
      </c>
      <c r="K1271" s="56" t="s">
        <v>2058</v>
      </c>
      <c r="L1271" s="56" t="s">
        <v>2059</v>
      </c>
      <c r="M1271" s="55" t="s">
        <v>2060</v>
      </c>
      <c r="N1271" s="56" t="s">
        <v>2061</v>
      </c>
      <c r="O1271" s="53" t="s">
        <v>8</v>
      </c>
      <c r="P1271" s="56" t="s">
        <v>2616</v>
      </c>
      <c r="Q1271" s="57">
        <v>31400</v>
      </c>
      <c r="R1271" s="58" t="s">
        <v>8</v>
      </c>
      <c r="S1271" s="57" t="s">
        <v>8</v>
      </c>
      <c r="T1271" s="56" t="s">
        <v>2063</v>
      </c>
    </row>
    <row r="1272" spans="1:20">
      <c r="A1272" s="55">
        <v>127895269884</v>
      </c>
      <c r="B1272" s="53" t="s">
        <v>2055</v>
      </c>
      <c r="C1272" s="54">
        <v>45929</v>
      </c>
      <c r="D1272" s="55">
        <v>50876714781</v>
      </c>
      <c r="E1272" s="55">
        <v>2081681318846</v>
      </c>
      <c r="F1272" s="56" t="s">
        <v>2066</v>
      </c>
      <c r="G1272" s="56" t="s">
        <v>2057</v>
      </c>
      <c r="H1272" s="56" t="s">
        <v>8</v>
      </c>
      <c r="I1272" s="55" t="s">
        <v>8</v>
      </c>
      <c r="J1272" s="57">
        <v>3470.19</v>
      </c>
      <c r="K1272" s="56" t="s">
        <v>2058</v>
      </c>
      <c r="L1272" s="56" t="s">
        <v>2067</v>
      </c>
      <c r="M1272" s="55" t="s">
        <v>2060</v>
      </c>
      <c r="N1272" s="56" t="s">
        <v>2061</v>
      </c>
      <c r="O1272" s="53" t="s">
        <v>1790</v>
      </c>
      <c r="P1272" s="56" t="s">
        <v>2068</v>
      </c>
      <c r="Q1272" s="57">
        <v>88300</v>
      </c>
      <c r="R1272" s="58" t="s">
        <v>8</v>
      </c>
      <c r="S1272" s="57" t="s">
        <v>8</v>
      </c>
      <c r="T1272" s="56" t="s">
        <v>2063</v>
      </c>
    </row>
    <row r="1273" spans="1:20">
      <c r="A1273" s="55">
        <v>127333073127</v>
      </c>
      <c r="B1273" s="53" t="s">
        <v>2055</v>
      </c>
      <c r="C1273" s="54">
        <v>45929</v>
      </c>
      <c r="D1273" s="55">
        <v>50876730075</v>
      </c>
      <c r="E1273" s="55">
        <v>2081624314867</v>
      </c>
      <c r="F1273" s="56" t="s">
        <v>2056</v>
      </c>
      <c r="G1273" s="56" t="s">
        <v>2057</v>
      </c>
      <c r="H1273" s="56" t="s">
        <v>8</v>
      </c>
      <c r="I1273" s="55" t="s">
        <v>8</v>
      </c>
      <c r="J1273" s="57">
        <v>276.45</v>
      </c>
      <c r="K1273" s="56" t="s">
        <v>2058</v>
      </c>
      <c r="L1273" s="56" t="s">
        <v>2059</v>
      </c>
      <c r="M1273" s="55" t="s">
        <v>2060</v>
      </c>
      <c r="N1273" s="56" t="s">
        <v>2061</v>
      </c>
      <c r="O1273" s="53" t="s">
        <v>8</v>
      </c>
      <c r="P1273" s="56" t="s">
        <v>2617</v>
      </c>
      <c r="Q1273" s="57">
        <v>28500</v>
      </c>
      <c r="R1273" s="58" t="s">
        <v>8</v>
      </c>
      <c r="S1273" s="57" t="s">
        <v>8</v>
      </c>
      <c r="T1273" s="56" t="s">
        <v>2063</v>
      </c>
    </row>
    <row r="1274" spans="1:20">
      <c r="A1274" s="55">
        <v>127895917768</v>
      </c>
      <c r="B1274" s="53" t="s">
        <v>2055</v>
      </c>
      <c r="C1274" s="54">
        <v>45929</v>
      </c>
      <c r="D1274" s="55">
        <v>50876913758</v>
      </c>
      <c r="E1274" s="55">
        <v>2081686113914</v>
      </c>
      <c r="F1274" s="56" t="s">
        <v>2107</v>
      </c>
      <c r="G1274" s="56" t="s">
        <v>2057</v>
      </c>
      <c r="H1274" s="56" t="s">
        <v>8</v>
      </c>
      <c r="I1274" s="55" t="s">
        <v>8</v>
      </c>
      <c r="J1274" s="57">
        <v>169.52</v>
      </c>
      <c r="K1274" s="56" t="s">
        <v>2058</v>
      </c>
      <c r="L1274" s="56" t="s">
        <v>2059</v>
      </c>
      <c r="M1274" s="55" t="s">
        <v>2060</v>
      </c>
      <c r="N1274" s="56" t="s">
        <v>2061</v>
      </c>
      <c r="O1274" s="53" t="s">
        <v>8</v>
      </c>
      <c r="P1274" s="56" t="s">
        <v>2197</v>
      </c>
      <c r="Q1274" s="57">
        <v>10400</v>
      </c>
      <c r="R1274" s="58" t="s">
        <v>8</v>
      </c>
      <c r="S1274" s="57" t="s">
        <v>8</v>
      </c>
      <c r="T1274" s="56" t="s">
        <v>2063</v>
      </c>
    </row>
    <row r="1275" spans="1:20">
      <c r="A1275" s="55">
        <v>127334214297</v>
      </c>
      <c r="B1275" s="53" t="s">
        <v>2055</v>
      </c>
      <c r="C1275" s="54">
        <v>45929</v>
      </c>
      <c r="D1275" s="55">
        <v>50877070919</v>
      </c>
      <c r="E1275" s="55">
        <v>2081632332725</v>
      </c>
      <c r="F1275" s="56" t="s">
        <v>2069</v>
      </c>
      <c r="G1275" s="56" t="s">
        <v>2057</v>
      </c>
      <c r="H1275" s="56" t="s">
        <v>8</v>
      </c>
      <c r="I1275" s="55" t="s">
        <v>8</v>
      </c>
      <c r="J1275" s="57">
        <v>375.39</v>
      </c>
      <c r="K1275" s="56" t="s">
        <v>2058</v>
      </c>
      <c r="L1275" s="56" t="s">
        <v>2059</v>
      </c>
      <c r="M1275" s="55" t="s">
        <v>2060</v>
      </c>
      <c r="N1275" s="56" t="s">
        <v>2061</v>
      </c>
      <c r="O1275" s="53" t="s">
        <v>8</v>
      </c>
      <c r="P1275" s="56" t="s">
        <v>2070</v>
      </c>
      <c r="Q1275" s="57">
        <v>38700</v>
      </c>
      <c r="R1275" s="58" t="s">
        <v>8</v>
      </c>
      <c r="S1275" s="57" t="s">
        <v>8</v>
      </c>
      <c r="T1275" s="56" t="s">
        <v>8</v>
      </c>
    </row>
    <row r="1276" spans="1:20">
      <c r="A1276" s="55">
        <v>127334292265</v>
      </c>
      <c r="B1276" s="53" t="s">
        <v>2055</v>
      </c>
      <c r="C1276" s="54">
        <v>45929</v>
      </c>
      <c r="D1276" s="55">
        <v>50877098014</v>
      </c>
      <c r="E1276" s="55">
        <v>2081632549027</v>
      </c>
      <c r="F1276" s="56" t="s">
        <v>2056</v>
      </c>
      <c r="G1276" s="56" t="s">
        <v>2057</v>
      </c>
      <c r="H1276" s="56" t="s">
        <v>8</v>
      </c>
      <c r="I1276" s="55" t="s">
        <v>8</v>
      </c>
      <c r="J1276" s="57">
        <v>478.21</v>
      </c>
      <c r="K1276" s="56" t="s">
        <v>2058</v>
      </c>
      <c r="L1276" s="56" t="s">
        <v>2059</v>
      </c>
      <c r="M1276" s="55" t="s">
        <v>2060</v>
      </c>
      <c r="N1276" s="56" t="s">
        <v>2061</v>
      </c>
      <c r="O1276" s="53" t="s">
        <v>8</v>
      </c>
      <c r="P1276" s="56" t="s">
        <v>2618</v>
      </c>
      <c r="Q1276" s="57">
        <v>49300</v>
      </c>
      <c r="R1276" s="58" t="s">
        <v>8</v>
      </c>
      <c r="S1276" s="57" t="s">
        <v>8</v>
      </c>
      <c r="T1276" s="56" t="s">
        <v>2063</v>
      </c>
    </row>
    <row r="1277" spans="1:20">
      <c r="A1277" s="55">
        <v>127334832777</v>
      </c>
      <c r="B1277" s="53" t="s">
        <v>2055</v>
      </c>
      <c r="C1277" s="54">
        <v>45929</v>
      </c>
      <c r="D1277" s="55">
        <v>50877294721</v>
      </c>
      <c r="E1277" s="55">
        <v>2081637733705</v>
      </c>
      <c r="F1277" s="56" t="s">
        <v>2066</v>
      </c>
      <c r="G1277" s="56" t="s">
        <v>2057</v>
      </c>
      <c r="H1277" s="56" t="s">
        <v>8</v>
      </c>
      <c r="I1277" s="55" t="s">
        <v>8</v>
      </c>
      <c r="J1277" s="57">
        <v>1605.71</v>
      </c>
      <c r="K1277" s="56" t="s">
        <v>2058</v>
      </c>
      <c r="L1277" s="56" t="s">
        <v>2067</v>
      </c>
      <c r="M1277" s="55" t="s">
        <v>2060</v>
      </c>
      <c r="N1277" s="56" t="s">
        <v>2061</v>
      </c>
      <c r="O1277" s="53" t="s">
        <v>1790</v>
      </c>
      <c r="P1277" s="56" t="s">
        <v>2068</v>
      </c>
      <c r="Q1277" s="57">
        <v>21100</v>
      </c>
      <c r="R1277" s="58" t="s">
        <v>8</v>
      </c>
      <c r="S1277" s="57" t="s">
        <v>8</v>
      </c>
      <c r="T1277" s="56" t="s">
        <v>2063</v>
      </c>
    </row>
    <row r="1278" spans="1:20">
      <c r="A1278" s="55">
        <v>127897506320</v>
      </c>
      <c r="B1278" s="53" t="s">
        <v>2055</v>
      </c>
      <c r="C1278" s="54">
        <v>45929</v>
      </c>
      <c r="D1278" s="55">
        <v>50877347543</v>
      </c>
      <c r="E1278" s="55">
        <v>2081697924834</v>
      </c>
      <c r="F1278" s="56" t="s">
        <v>2066</v>
      </c>
      <c r="G1278" s="56" t="s">
        <v>2057</v>
      </c>
      <c r="H1278" s="56" t="s">
        <v>8</v>
      </c>
      <c r="I1278" s="55" t="s">
        <v>8</v>
      </c>
      <c r="J1278" s="57">
        <v>393</v>
      </c>
      <c r="K1278" s="56" t="s">
        <v>2058</v>
      </c>
      <c r="L1278" s="56" t="s">
        <v>2067</v>
      </c>
      <c r="M1278" s="55" t="s">
        <v>2060</v>
      </c>
      <c r="N1278" s="56" t="s">
        <v>2061</v>
      </c>
      <c r="O1278" s="53" t="s">
        <v>1790</v>
      </c>
      <c r="P1278" s="56" t="s">
        <v>2068</v>
      </c>
      <c r="Q1278" s="57">
        <v>10000</v>
      </c>
      <c r="R1278" s="58" t="s">
        <v>8</v>
      </c>
      <c r="S1278" s="57" t="s">
        <v>8</v>
      </c>
      <c r="T1278" s="56" t="s">
        <v>2063</v>
      </c>
    </row>
    <row r="1279" spans="1:20">
      <c r="A1279" s="55">
        <v>127898260894</v>
      </c>
      <c r="B1279" s="53" t="s">
        <v>2055</v>
      </c>
      <c r="C1279" s="54">
        <v>45929</v>
      </c>
      <c r="D1279" s="55">
        <v>50877528537</v>
      </c>
      <c r="E1279" s="55">
        <v>2081705376744</v>
      </c>
      <c r="F1279" s="56" t="s">
        <v>2056</v>
      </c>
      <c r="G1279" s="56" t="s">
        <v>2057</v>
      </c>
      <c r="H1279" s="56" t="s">
        <v>8</v>
      </c>
      <c r="I1279" s="55" t="s">
        <v>8</v>
      </c>
      <c r="J1279" s="57">
        <v>87.3</v>
      </c>
      <c r="K1279" s="56" t="s">
        <v>2058</v>
      </c>
      <c r="L1279" s="56" t="s">
        <v>2059</v>
      </c>
      <c r="M1279" s="55" t="s">
        <v>2060</v>
      </c>
      <c r="N1279" s="56" t="s">
        <v>2061</v>
      </c>
      <c r="O1279" s="53" t="s">
        <v>8</v>
      </c>
      <c r="P1279" s="56" t="s">
        <v>2619</v>
      </c>
      <c r="Q1279" s="57">
        <v>9000</v>
      </c>
      <c r="R1279" s="58" t="s">
        <v>8</v>
      </c>
      <c r="S1279" s="57" t="s">
        <v>8</v>
      </c>
      <c r="T1279" s="56" t="s">
        <v>2063</v>
      </c>
    </row>
    <row r="1280" spans="1:20">
      <c r="A1280" s="55">
        <v>127898519072</v>
      </c>
      <c r="B1280" s="53" t="s">
        <v>2055</v>
      </c>
      <c r="C1280" s="54">
        <v>45929</v>
      </c>
      <c r="D1280" s="55">
        <v>50877604500</v>
      </c>
      <c r="E1280" s="55">
        <v>2081650682739</v>
      </c>
      <c r="F1280" s="56" t="s">
        <v>2056</v>
      </c>
      <c r="G1280" s="56" t="s">
        <v>2057</v>
      </c>
      <c r="H1280" s="56" t="s">
        <v>8</v>
      </c>
      <c r="I1280" s="55" t="s">
        <v>8</v>
      </c>
      <c r="J1280" s="57">
        <v>227.95</v>
      </c>
      <c r="K1280" s="56" t="s">
        <v>2058</v>
      </c>
      <c r="L1280" s="56" t="s">
        <v>2059</v>
      </c>
      <c r="M1280" s="55" t="s">
        <v>2060</v>
      </c>
      <c r="N1280" s="56" t="s">
        <v>2061</v>
      </c>
      <c r="O1280" s="53" t="s">
        <v>8</v>
      </c>
      <c r="P1280" s="56" t="s">
        <v>2620</v>
      </c>
      <c r="Q1280" s="57">
        <v>23500</v>
      </c>
      <c r="R1280" s="58" t="s">
        <v>8</v>
      </c>
      <c r="S1280" s="57" t="s">
        <v>8</v>
      </c>
      <c r="T1280" s="56" t="s">
        <v>2063</v>
      </c>
    </row>
    <row r="1281" spans="1:20">
      <c r="A1281" s="55">
        <v>127898594082</v>
      </c>
      <c r="B1281" s="53" t="s">
        <v>2055</v>
      </c>
      <c r="C1281" s="54">
        <v>45929</v>
      </c>
      <c r="D1281" s="55">
        <v>50877631272</v>
      </c>
      <c r="E1281" s="55">
        <v>2081710742666</v>
      </c>
      <c r="F1281" s="56" t="s">
        <v>2069</v>
      </c>
      <c r="G1281" s="56" t="s">
        <v>2057</v>
      </c>
      <c r="H1281" s="56" t="s">
        <v>8</v>
      </c>
      <c r="I1281" s="55" t="s">
        <v>8</v>
      </c>
      <c r="J1281" s="57">
        <v>358.9</v>
      </c>
      <c r="K1281" s="56" t="s">
        <v>2058</v>
      </c>
      <c r="L1281" s="56" t="s">
        <v>2059</v>
      </c>
      <c r="M1281" s="55" t="s">
        <v>2060</v>
      </c>
      <c r="N1281" s="56" t="s">
        <v>2061</v>
      </c>
      <c r="O1281" s="53" t="s">
        <v>8</v>
      </c>
      <c r="P1281" s="56" t="s">
        <v>2070</v>
      </c>
      <c r="Q1281" s="57">
        <v>37000</v>
      </c>
      <c r="R1281" s="58" t="s">
        <v>8</v>
      </c>
      <c r="S1281" s="57" t="s">
        <v>8</v>
      </c>
      <c r="T1281" s="56" t="s">
        <v>8</v>
      </c>
    </row>
    <row r="1282" spans="1:20" s="35" customFormat="1">
      <c r="A1282" s="55"/>
      <c r="B1282" s="53"/>
      <c r="C1282" s="54"/>
      <c r="D1282" s="55"/>
      <c r="E1282" s="55"/>
      <c r="F1282" s="56"/>
      <c r="G1282" s="56"/>
      <c r="H1282" s="56"/>
      <c r="I1282" s="55"/>
      <c r="J1282" s="57"/>
      <c r="K1282" s="56"/>
      <c r="L1282" s="56"/>
      <c r="M1282" s="55"/>
      <c r="N1282" s="56"/>
      <c r="O1282" s="53"/>
      <c r="P1282" s="56"/>
      <c r="Q1282" s="57"/>
      <c r="R1282" s="58"/>
      <c r="S1282" s="57"/>
      <c r="T1282" s="56"/>
    </row>
    <row r="1283" spans="1:20" s="35" customFormat="1">
      <c r="A1283" s="55"/>
      <c r="B1283" s="53"/>
      <c r="C1283" s="54"/>
      <c r="D1283" s="55"/>
      <c r="E1283" s="55"/>
      <c r="F1283" s="56"/>
      <c r="G1283" s="56"/>
      <c r="H1283" s="56"/>
      <c r="I1283" s="55"/>
      <c r="J1283" s="100">
        <f>SUM(J9:J1282)</f>
        <v>796794.13000000024</v>
      </c>
      <c r="K1283" s="56"/>
      <c r="L1283" s="56"/>
      <c r="M1283" s="55"/>
      <c r="N1283" s="56"/>
      <c r="O1283" s="53"/>
      <c r="P1283" s="56"/>
      <c r="Q1283" s="100">
        <f>SUM(Q9:Q1282)</f>
        <v>33256795.990000002</v>
      </c>
      <c r="R1283" s="58"/>
      <c r="S1283" s="57"/>
      <c r="T1283" s="56"/>
    </row>
    <row r="1284" spans="1:20" s="35" customFormat="1">
      <c r="A1284" s="55"/>
      <c r="B1284" s="53"/>
      <c r="C1284" s="54"/>
      <c r="D1284" s="55"/>
      <c r="E1284" s="55"/>
      <c r="F1284" s="56"/>
      <c r="G1284" s="56"/>
      <c r="H1284" s="56"/>
      <c r="I1284" s="55"/>
      <c r="J1284" s="57"/>
      <c r="K1284" s="56"/>
      <c r="L1284" s="56"/>
      <c r="M1284" s="55"/>
      <c r="N1284" s="56"/>
      <c r="O1284" s="53"/>
      <c r="P1284" s="56"/>
      <c r="Q1284" s="57"/>
      <c r="R1284" s="58"/>
      <c r="S1284" s="57"/>
      <c r="T1284" s="56"/>
    </row>
    <row r="1285" spans="1:20" s="35" customFormat="1">
      <c r="A1285" s="55"/>
      <c r="B1285" s="53"/>
      <c r="C1285" s="54"/>
      <c r="D1285" s="55"/>
      <c r="E1285" s="55"/>
      <c r="F1285" s="56"/>
      <c r="G1285" s="56"/>
      <c r="H1285" s="56"/>
      <c r="I1285" s="55"/>
      <c r="J1285" s="57"/>
      <c r="K1285" s="56"/>
      <c r="L1285" s="56"/>
      <c r="M1285" s="55"/>
      <c r="N1285" s="56"/>
      <c r="O1285" s="53"/>
      <c r="P1285" s="56"/>
      <c r="Q1285" s="57"/>
      <c r="R1285" s="58"/>
      <c r="S1285" s="57"/>
      <c r="T1285" s="56"/>
    </row>
    <row r="1286" spans="1:20" s="35" customFormat="1">
      <c r="A1286" s="55"/>
      <c r="B1286" s="53"/>
      <c r="C1286" s="54"/>
      <c r="D1286" s="55"/>
      <c r="E1286" s="55"/>
      <c r="F1286" s="56"/>
      <c r="G1286" s="56"/>
      <c r="H1286" s="56"/>
      <c r="I1286" s="55"/>
      <c r="J1286" s="57"/>
      <c r="K1286" s="56"/>
      <c r="L1286" s="56"/>
      <c r="M1286" s="55"/>
      <c r="N1286" s="56"/>
      <c r="O1286" s="53"/>
      <c r="P1286" s="56"/>
      <c r="Q1286" s="57"/>
      <c r="R1286" s="58"/>
      <c r="S1286" s="57"/>
      <c r="T1286" s="56"/>
    </row>
    <row r="1287" spans="1:20" s="35" customFormat="1">
      <c r="A1287" s="55"/>
      <c r="B1287" s="53"/>
      <c r="C1287" s="54"/>
      <c r="D1287" s="55"/>
      <c r="E1287" s="55"/>
      <c r="F1287" s="56"/>
      <c r="G1287" s="56"/>
      <c r="H1287" s="56"/>
      <c r="I1287" s="55"/>
      <c r="J1287" s="57"/>
      <c r="K1287" s="56"/>
      <c r="L1287" s="56"/>
      <c r="M1287" s="55"/>
      <c r="N1287" s="56"/>
      <c r="O1287" s="53"/>
      <c r="P1287" s="56"/>
      <c r="Q1287" s="57"/>
      <c r="R1287" s="58"/>
      <c r="S1287" s="57"/>
      <c r="T1287" s="56"/>
    </row>
    <row r="1288" spans="1:20">
      <c r="A1288" s="55">
        <v>127694553001</v>
      </c>
      <c r="B1288" s="53" t="s">
        <v>2055</v>
      </c>
      <c r="C1288" s="54">
        <v>45931</v>
      </c>
      <c r="D1288" s="55">
        <v>51014460439</v>
      </c>
      <c r="E1288" s="55">
        <v>2084126327393</v>
      </c>
      <c r="F1288" s="56" t="s">
        <v>2066</v>
      </c>
      <c r="G1288" s="56" t="s">
        <v>2057</v>
      </c>
      <c r="H1288" s="56" t="s">
        <v>8</v>
      </c>
      <c r="I1288" s="55" t="s">
        <v>8</v>
      </c>
      <c r="J1288" s="57">
        <v>353.7</v>
      </c>
      <c r="K1288" s="56" t="s">
        <v>2058</v>
      </c>
      <c r="L1288" s="56" t="s">
        <v>2067</v>
      </c>
      <c r="M1288" s="55" t="s">
        <v>2060</v>
      </c>
      <c r="N1288" s="56" t="s">
        <v>2061</v>
      </c>
      <c r="O1288" s="53" t="s">
        <v>1790</v>
      </c>
      <c r="P1288" s="56" t="s">
        <v>2068</v>
      </c>
      <c r="Q1288" s="57">
        <v>9000</v>
      </c>
      <c r="R1288" s="58" t="s">
        <v>8</v>
      </c>
      <c r="S1288" s="57" t="s">
        <v>8</v>
      </c>
      <c r="T1288" s="56" t="s">
        <v>2063</v>
      </c>
    </row>
    <row r="1289" spans="1:20">
      <c r="A1289" s="55">
        <v>127706300651</v>
      </c>
      <c r="B1289" s="53" t="s">
        <v>2055</v>
      </c>
      <c r="C1289" s="54">
        <v>45931</v>
      </c>
      <c r="D1289" s="55">
        <v>51018944973</v>
      </c>
      <c r="E1289" s="55">
        <v>2084203218691</v>
      </c>
      <c r="F1289" s="56" t="s">
        <v>2056</v>
      </c>
      <c r="G1289" s="56" t="s">
        <v>2057</v>
      </c>
      <c r="H1289" s="56" t="s">
        <v>8</v>
      </c>
      <c r="I1289" s="55" t="s">
        <v>8</v>
      </c>
      <c r="J1289" s="57">
        <v>77.599999999999994</v>
      </c>
      <c r="K1289" s="56" t="s">
        <v>2058</v>
      </c>
      <c r="L1289" s="56" t="s">
        <v>2059</v>
      </c>
      <c r="M1289" s="55" t="s">
        <v>2060</v>
      </c>
      <c r="N1289" s="56" t="s">
        <v>2061</v>
      </c>
      <c r="O1289" s="53" t="s">
        <v>8</v>
      </c>
      <c r="P1289" s="56" t="s">
        <v>2621</v>
      </c>
      <c r="Q1289" s="57">
        <v>8000</v>
      </c>
      <c r="R1289" s="58" t="s">
        <v>8</v>
      </c>
      <c r="S1289" s="57" t="s">
        <v>8</v>
      </c>
      <c r="T1289" s="56" t="s">
        <v>2063</v>
      </c>
    </row>
    <row r="1290" spans="1:20">
      <c r="A1290" s="55">
        <v>127707346037</v>
      </c>
      <c r="B1290" s="53" t="s">
        <v>2055</v>
      </c>
      <c r="C1290" s="54">
        <v>45931</v>
      </c>
      <c r="D1290" s="55">
        <v>51019339506</v>
      </c>
      <c r="E1290" s="55">
        <v>2084211208519</v>
      </c>
      <c r="F1290" s="56" t="s">
        <v>2056</v>
      </c>
      <c r="G1290" s="56" t="s">
        <v>2057</v>
      </c>
      <c r="H1290" s="56" t="s">
        <v>8</v>
      </c>
      <c r="I1290" s="55" t="s">
        <v>8</v>
      </c>
      <c r="J1290" s="57">
        <v>87.3</v>
      </c>
      <c r="K1290" s="56" t="s">
        <v>2058</v>
      </c>
      <c r="L1290" s="56" t="s">
        <v>2059</v>
      </c>
      <c r="M1290" s="55" t="s">
        <v>2060</v>
      </c>
      <c r="N1290" s="56" t="s">
        <v>2061</v>
      </c>
      <c r="O1290" s="53" t="s">
        <v>8</v>
      </c>
      <c r="P1290" s="56" t="s">
        <v>2622</v>
      </c>
      <c r="Q1290" s="57">
        <v>9000</v>
      </c>
      <c r="R1290" s="58" t="s">
        <v>8</v>
      </c>
      <c r="S1290" s="57" t="s">
        <v>8</v>
      </c>
      <c r="T1290" s="56" t="s">
        <v>2063</v>
      </c>
    </row>
    <row r="1291" spans="1:20">
      <c r="A1291" s="55">
        <v>128274716662</v>
      </c>
      <c r="B1291" s="53" t="s">
        <v>2055</v>
      </c>
      <c r="C1291" s="54">
        <v>45931</v>
      </c>
      <c r="D1291" s="55">
        <v>51020088068</v>
      </c>
      <c r="E1291" s="55">
        <v>2084225283917</v>
      </c>
      <c r="F1291" s="56" t="s">
        <v>2056</v>
      </c>
      <c r="G1291" s="56" t="s">
        <v>2057</v>
      </c>
      <c r="H1291" s="56" t="s">
        <v>8</v>
      </c>
      <c r="I1291" s="55" t="s">
        <v>8</v>
      </c>
      <c r="J1291" s="57">
        <v>108.64</v>
      </c>
      <c r="K1291" s="56" t="s">
        <v>2058</v>
      </c>
      <c r="L1291" s="56" t="s">
        <v>2059</v>
      </c>
      <c r="M1291" s="55" t="s">
        <v>2060</v>
      </c>
      <c r="N1291" s="56" t="s">
        <v>2061</v>
      </c>
      <c r="O1291" s="53" t="s">
        <v>8</v>
      </c>
      <c r="P1291" s="56" t="s">
        <v>2357</v>
      </c>
      <c r="Q1291" s="57">
        <v>11200</v>
      </c>
      <c r="R1291" s="58" t="s">
        <v>8</v>
      </c>
      <c r="S1291" s="57" t="s">
        <v>8</v>
      </c>
      <c r="T1291" s="56" t="s">
        <v>2063</v>
      </c>
    </row>
    <row r="1292" spans="1:20">
      <c r="A1292" s="55">
        <v>128275855374</v>
      </c>
      <c r="B1292" s="53" t="s">
        <v>2055</v>
      </c>
      <c r="C1292" s="54">
        <v>45931</v>
      </c>
      <c r="D1292" s="55">
        <v>51020539495</v>
      </c>
      <c r="E1292" s="55">
        <v>2084233597469</v>
      </c>
      <c r="F1292" s="56" t="s">
        <v>2056</v>
      </c>
      <c r="G1292" s="56" t="s">
        <v>2057</v>
      </c>
      <c r="H1292" s="56" t="s">
        <v>8</v>
      </c>
      <c r="I1292" s="55" t="s">
        <v>8</v>
      </c>
      <c r="J1292" s="57">
        <v>439.37</v>
      </c>
      <c r="K1292" s="56" t="s">
        <v>2058</v>
      </c>
      <c r="L1292" s="56" t="s">
        <v>2059</v>
      </c>
      <c r="M1292" s="55" t="s">
        <v>2060</v>
      </c>
      <c r="N1292" s="56" t="s">
        <v>2061</v>
      </c>
      <c r="O1292" s="53" t="s">
        <v>8</v>
      </c>
      <c r="P1292" s="56" t="s">
        <v>2503</v>
      </c>
      <c r="Q1292" s="57">
        <v>45296</v>
      </c>
      <c r="R1292" s="58" t="s">
        <v>8</v>
      </c>
      <c r="S1292" s="57" t="s">
        <v>8</v>
      </c>
      <c r="T1292" s="56" t="s">
        <v>2063</v>
      </c>
    </row>
    <row r="1293" spans="1:20">
      <c r="A1293" s="55">
        <v>127713602167</v>
      </c>
      <c r="B1293" s="53" t="s">
        <v>2055</v>
      </c>
      <c r="C1293" s="54">
        <v>45931</v>
      </c>
      <c r="D1293" s="55">
        <v>51021737062</v>
      </c>
      <c r="E1293" s="55">
        <v>2084315133774</v>
      </c>
      <c r="F1293" s="56" t="s">
        <v>2056</v>
      </c>
      <c r="G1293" s="56" t="s">
        <v>2057</v>
      </c>
      <c r="H1293" s="56" t="s">
        <v>8</v>
      </c>
      <c r="I1293" s="55" t="s">
        <v>8</v>
      </c>
      <c r="J1293" s="57">
        <v>4.8499999999999996</v>
      </c>
      <c r="K1293" s="56" t="s">
        <v>2058</v>
      </c>
      <c r="L1293" s="56" t="s">
        <v>2059</v>
      </c>
      <c r="M1293" s="55" t="s">
        <v>2060</v>
      </c>
      <c r="N1293" s="56" t="s">
        <v>2061</v>
      </c>
      <c r="O1293" s="53" t="s">
        <v>8</v>
      </c>
      <c r="P1293" s="56" t="s">
        <v>2623</v>
      </c>
      <c r="Q1293" s="57">
        <v>500</v>
      </c>
      <c r="R1293" s="58" t="s">
        <v>8</v>
      </c>
      <c r="S1293" s="57" t="s">
        <v>8</v>
      </c>
      <c r="T1293" s="56" t="s">
        <v>2063</v>
      </c>
    </row>
    <row r="1294" spans="1:20">
      <c r="A1294" s="55">
        <v>127715107443</v>
      </c>
      <c r="B1294" s="53" t="s">
        <v>2055</v>
      </c>
      <c r="C1294" s="54">
        <v>45931</v>
      </c>
      <c r="D1294" s="55">
        <v>51022393777</v>
      </c>
      <c r="E1294" s="55">
        <v>2084266151099</v>
      </c>
      <c r="F1294" s="56" t="s">
        <v>2056</v>
      </c>
      <c r="G1294" s="56" t="s">
        <v>2057</v>
      </c>
      <c r="H1294" s="56" t="s">
        <v>8</v>
      </c>
      <c r="I1294" s="55" t="s">
        <v>8</v>
      </c>
      <c r="J1294" s="57">
        <v>299.70999999999998</v>
      </c>
      <c r="K1294" s="56" t="s">
        <v>2058</v>
      </c>
      <c r="L1294" s="56" t="s">
        <v>2059</v>
      </c>
      <c r="M1294" s="55" t="s">
        <v>2060</v>
      </c>
      <c r="N1294" s="56" t="s">
        <v>2061</v>
      </c>
      <c r="O1294" s="53" t="s">
        <v>8</v>
      </c>
      <c r="P1294" s="56" t="s">
        <v>2624</v>
      </c>
      <c r="Q1294" s="57">
        <v>30898</v>
      </c>
      <c r="R1294" s="58" t="s">
        <v>8</v>
      </c>
      <c r="S1294" s="57" t="s">
        <v>8</v>
      </c>
      <c r="T1294" s="56" t="s">
        <v>2063</v>
      </c>
    </row>
    <row r="1295" spans="1:20">
      <c r="A1295" s="55">
        <v>127715769581</v>
      </c>
      <c r="B1295" s="53" t="s">
        <v>2055</v>
      </c>
      <c r="C1295" s="54">
        <v>45931</v>
      </c>
      <c r="D1295" s="55">
        <v>51022672306</v>
      </c>
      <c r="E1295" s="55">
        <v>2084331355744</v>
      </c>
      <c r="F1295" s="56" t="s">
        <v>2056</v>
      </c>
      <c r="G1295" s="56" t="s">
        <v>2057</v>
      </c>
      <c r="H1295" s="56" t="s">
        <v>8</v>
      </c>
      <c r="I1295" s="55" t="s">
        <v>8</v>
      </c>
      <c r="J1295" s="57">
        <v>651.92999999999995</v>
      </c>
      <c r="K1295" s="56" t="s">
        <v>2058</v>
      </c>
      <c r="L1295" s="56" t="s">
        <v>2059</v>
      </c>
      <c r="M1295" s="55" t="s">
        <v>2060</v>
      </c>
      <c r="N1295" s="56" t="s">
        <v>2061</v>
      </c>
      <c r="O1295" s="53" t="s">
        <v>8</v>
      </c>
      <c r="P1295" s="56" t="s">
        <v>2625</v>
      </c>
      <c r="Q1295" s="57">
        <v>39996</v>
      </c>
      <c r="R1295" s="58" t="s">
        <v>8</v>
      </c>
      <c r="S1295" s="57" t="s">
        <v>8</v>
      </c>
      <c r="T1295" s="56" t="s">
        <v>2063</v>
      </c>
    </row>
    <row r="1296" spans="1:20">
      <c r="A1296" s="55">
        <v>128281546618</v>
      </c>
      <c r="B1296" s="53" t="s">
        <v>2055</v>
      </c>
      <c r="C1296" s="54">
        <v>45931</v>
      </c>
      <c r="D1296" s="55">
        <v>51022869175</v>
      </c>
      <c r="E1296" s="55">
        <v>2084334575916</v>
      </c>
      <c r="F1296" s="56" t="s">
        <v>2056</v>
      </c>
      <c r="G1296" s="56" t="s">
        <v>2057</v>
      </c>
      <c r="H1296" s="56" t="s">
        <v>8</v>
      </c>
      <c r="I1296" s="55" t="s">
        <v>8</v>
      </c>
      <c r="J1296" s="57">
        <v>256.08</v>
      </c>
      <c r="K1296" s="56" t="s">
        <v>2058</v>
      </c>
      <c r="L1296" s="56" t="s">
        <v>2059</v>
      </c>
      <c r="M1296" s="55" t="s">
        <v>2060</v>
      </c>
      <c r="N1296" s="56" t="s">
        <v>2061</v>
      </c>
      <c r="O1296" s="53" t="s">
        <v>8</v>
      </c>
      <c r="P1296" s="56" t="s">
        <v>2147</v>
      </c>
      <c r="Q1296" s="57">
        <v>26400</v>
      </c>
      <c r="R1296" s="58" t="s">
        <v>8</v>
      </c>
      <c r="S1296" s="57" t="s">
        <v>8</v>
      </c>
      <c r="T1296" s="56" t="s">
        <v>2063</v>
      </c>
    </row>
    <row r="1297" spans="1:20">
      <c r="A1297" s="55">
        <v>128281806306</v>
      </c>
      <c r="B1297" s="53" t="s">
        <v>2055</v>
      </c>
      <c r="C1297" s="54">
        <v>45931</v>
      </c>
      <c r="D1297" s="55">
        <v>51022961871</v>
      </c>
      <c r="E1297" s="55">
        <v>2084275970685</v>
      </c>
      <c r="F1297" s="56" t="s">
        <v>2056</v>
      </c>
      <c r="G1297" s="56" t="s">
        <v>2057</v>
      </c>
      <c r="H1297" s="56" t="s">
        <v>8</v>
      </c>
      <c r="I1297" s="55" t="s">
        <v>8</v>
      </c>
      <c r="J1297" s="57">
        <v>126.1</v>
      </c>
      <c r="K1297" s="56" t="s">
        <v>2058</v>
      </c>
      <c r="L1297" s="56" t="s">
        <v>2059</v>
      </c>
      <c r="M1297" s="55" t="s">
        <v>2060</v>
      </c>
      <c r="N1297" s="56" t="s">
        <v>2061</v>
      </c>
      <c r="O1297" s="53" t="s">
        <v>8</v>
      </c>
      <c r="P1297" s="56" t="s">
        <v>2388</v>
      </c>
      <c r="Q1297" s="57">
        <v>13000</v>
      </c>
      <c r="R1297" s="58" t="s">
        <v>8</v>
      </c>
      <c r="S1297" s="57" t="s">
        <v>8</v>
      </c>
      <c r="T1297" s="56" t="s">
        <v>2063</v>
      </c>
    </row>
    <row r="1298" spans="1:20">
      <c r="A1298" s="55">
        <v>128282615258</v>
      </c>
      <c r="B1298" s="53" t="s">
        <v>2055</v>
      </c>
      <c r="C1298" s="54">
        <v>45931</v>
      </c>
      <c r="D1298" s="55">
        <v>51023319638</v>
      </c>
      <c r="E1298" s="55">
        <v>2084342831756</v>
      </c>
      <c r="F1298" s="56" t="s">
        <v>2066</v>
      </c>
      <c r="G1298" s="56" t="s">
        <v>2057</v>
      </c>
      <c r="H1298" s="56" t="s">
        <v>8</v>
      </c>
      <c r="I1298" s="55" t="s">
        <v>8</v>
      </c>
      <c r="J1298" s="57">
        <v>840.98</v>
      </c>
      <c r="K1298" s="56" t="s">
        <v>2058</v>
      </c>
      <c r="L1298" s="56" t="s">
        <v>2067</v>
      </c>
      <c r="M1298" s="55" t="s">
        <v>2060</v>
      </c>
      <c r="N1298" s="56" t="s">
        <v>2061</v>
      </c>
      <c r="O1298" s="53" t="s">
        <v>1790</v>
      </c>
      <c r="P1298" s="56" t="s">
        <v>2068</v>
      </c>
      <c r="Q1298" s="57">
        <v>21399</v>
      </c>
      <c r="R1298" s="58" t="s">
        <v>8</v>
      </c>
      <c r="S1298" s="57" t="s">
        <v>8</v>
      </c>
      <c r="T1298" s="56" t="s">
        <v>2063</v>
      </c>
    </row>
    <row r="1299" spans="1:20">
      <c r="A1299" s="55">
        <v>127717828761</v>
      </c>
      <c r="B1299" s="53" t="s">
        <v>2055</v>
      </c>
      <c r="C1299" s="54">
        <v>45931</v>
      </c>
      <c r="D1299" s="55">
        <v>51023567216</v>
      </c>
      <c r="E1299" s="55">
        <v>2084346996672</v>
      </c>
      <c r="F1299" s="56" t="s">
        <v>2066</v>
      </c>
      <c r="G1299" s="56" t="s">
        <v>2057</v>
      </c>
      <c r="H1299" s="56" t="s">
        <v>8</v>
      </c>
      <c r="I1299" s="55" t="s">
        <v>8</v>
      </c>
      <c r="J1299" s="57">
        <v>3708.98</v>
      </c>
      <c r="K1299" s="56" t="s">
        <v>2058</v>
      </c>
      <c r="L1299" s="56" t="s">
        <v>2067</v>
      </c>
      <c r="M1299" s="55" t="s">
        <v>2060</v>
      </c>
      <c r="N1299" s="56" t="s">
        <v>2061</v>
      </c>
      <c r="O1299" s="53" t="s">
        <v>1790</v>
      </c>
      <c r="P1299" s="56" t="s">
        <v>2068</v>
      </c>
      <c r="Q1299" s="57">
        <v>32998</v>
      </c>
      <c r="R1299" s="58" t="s">
        <v>8</v>
      </c>
      <c r="S1299" s="57" t="s">
        <v>8</v>
      </c>
      <c r="T1299" s="56" t="s">
        <v>2063</v>
      </c>
    </row>
    <row r="1300" spans="1:20">
      <c r="A1300" s="55">
        <v>127719464653</v>
      </c>
      <c r="B1300" s="53" t="s">
        <v>2055</v>
      </c>
      <c r="C1300" s="54">
        <v>45931</v>
      </c>
      <c r="D1300" s="55">
        <v>51024212327</v>
      </c>
      <c r="E1300" s="55">
        <v>2084358274976</v>
      </c>
      <c r="F1300" s="56" t="s">
        <v>2056</v>
      </c>
      <c r="G1300" s="56" t="s">
        <v>2057</v>
      </c>
      <c r="H1300" s="56" t="s">
        <v>8</v>
      </c>
      <c r="I1300" s="55" t="s">
        <v>8</v>
      </c>
      <c r="J1300" s="57">
        <v>221.68</v>
      </c>
      <c r="K1300" s="56" t="s">
        <v>2058</v>
      </c>
      <c r="L1300" s="56" t="s">
        <v>2059</v>
      </c>
      <c r="M1300" s="55" t="s">
        <v>2060</v>
      </c>
      <c r="N1300" s="56" t="s">
        <v>2061</v>
      </c>
      <c r="O1300" s="53" t="s">
        <v>8</v>
      </c>
      <c r="P1300" s="56" t="s">
        <v>2626</v>
      </c>
      <c r="Q1300" s="57">
        <v>13600</v>
      </c>
      <c r="R1300" s="58" t="s">
        <v>8</v>
      </c>
      <c r="S1300" s="57" t="s">
        <v>8</v>
      </c>
      <c r="T1300" s="56" t="s">
        <v>2063</v>
      </c>
    </row>
    <row r="1301" spans="1:20">
      <c r="A1301" s="55">
        <v>127719431701</v>
      </c>
      <c r="B1301" s="53" t="s">
        <v>2055</v>
      </c>
      <c r="C1301" s="54">
        <v>45931</v>
      </c>
      <c r="D1301" s="55">
        <v>51024243433</v>
      </c>
      <c r="E1301" s="55">
        <v>2084297895527</v>
      </c>
      <c r="F1301" s="56" t="s">
        <v>2056</v>
      </c>
      <c r="G1301" s="56" t="s">
        <v>2057</v>
      </c>
      <c r="H1301" s="56" t="s">
        <v>8</v>
      </c>
      <c r="I1301" s="55" t="s">
        <v>8</v>
      </c>
      <c r="J1301" s="57">
        <v>193.98</v>
      </c>
      <c r="K1301" s="56" t="s">
        <v>2058</v>
      </c>
      <c r="L1301" s="56" t="s">
        <v>2059</v>
      </c>
      <c r="M1301" s="55" t="s">
        <v>2060</v>
      </c>
      <c r="N1301" s="56" t="s">
        <v>2061</v>
      </c>
      <c r="O1301" s="53" t="s">
        <v>8</v>
      </c>
      <c r="P1301" s="56" t="s">
        <v>2288</v>
      </c>
      <c r="Q1301" s="57">
        <v>19998</v>
      </c>
      <c r="R1301" s="58" t="s">
        <v>8</v>
      </c>
      <c r="S1301" s="57" t="s">
        <v>8</v>
      </c>
      <c r="T1301" s="56" t="s">
        <v>2063</v>
      </c>
    </row>
    <row r="1302" spans="1:20">
      <c r="A1302" s="55">
        <v>128285003346</v>
      </c>
      <c r="B1302" s="53" t="s">
        <v>2055</v>
      </c>
      <c r="C1302" s="54">
        <v>45931</v>
      </c>
      <c r="D1302" s="55">
        <v>51024343281</v>
      </c>
      <c r="E1302" s="55">
        <v>2084360435996</v>
      </c>
      <c r="F1302" s="56" t="s">
        <v>2069</v>
      </c>
      <c r="G1302" s="56" t="s">
        <v>2057</v>
      </c>
      <c r="H1302" s="56" t="s">
        <v>8</v>
      </c>
      <c r="I1302" s="55" t="s">
        <v>8</v>
      </c>
      <c r="J1302" s="57">
        <v>246.38</v>
      </c>
      <c r="K1302" s="56" t="s">
        <v>2058</v>
      </c>
      <c r="L1302" s="56" t="s">
        <v>2059</v>
      </c>
      <c r="M1302" s="55" t="s">
        <v>2060</v>
      </c>
      <c r="N1302" s="56" t="s">
        <v>2061</v>
      </c>
      <c r="O1302" s="53" t="s">
        <v>8</v>
      </c>
      <c r="P1302" s="56" t="s">
        <v>2070</v>
      </c>
      <c r="Q1302" s="57">
        <v>25400</v>
      </c>
      <c r="R1302" s="58" t="s">
        <v>8</v>
      </c>
      <c r="S1302" s="57" t="s">
        <v>8</v>
      </c>
      <c r="T1302" s="56" t="s">
        <v>8</v>
      </c>
    </row>
    <row r="1303" spans="1:20">
      <c r="A1303" s="55">
        <v>127719758089</v>
      </c>
      <c r="B1303" s="53" t="s">
        <v>2055</v>
      </c>
      <c r="C1303" s="54">
        <v>45931</v>
      </c>
      <c r="D1303" s="55">
        <v>51024399946</v>
      </c>
      <c r="E1303" s="55">
        <v>2084300414123</v>
      </c>
      <c r="F1303" s="56" t="s">
        <v>2056</v>
      </c>
      <c r="G1303" s="56" t="s">
        <v>2057</v>
      </c>
      <c r="H1303" s="56" t="s">
        <v>8</v>
      </c>
      <c r="I1303" s="55" t="s">
        <v>8</v>
      </c>
      <c r="J1303" s="57">
        <v>731.35</v>
      </c>
      <c r="K1303" s="56" t="s">
        <v>2058</v>
      </c>
      <c r="L1303" s="56" t="s">
        <v>2059</v>
      </c>
      <c r="M1303" s="55" t="s">
        <v>2060</v>
      </c>
      <c r="N1303" s="56" t="s">
        <v>2061</v>
      </c>
      <c r="O1303" s="53" t="s">
        <v>8</v>
      </c>
      <c r="P1303" s="56" t="s">
        <v>2496</v>
      </c>
      <c r="Q1303" s="57">
        <v>75397</v>
      </c>
      <c r="R1303" s="58" t="s">
        <v>8</v>
      </c>
      <c r="S1303" s="57" t="s">
        <v>8</v>
      </c>
      <c r="T1303" s="56" t="s">
        <v>2063</v>
      </c>
    </row>
    <row r="1304" spans="1:20">
      <c r="A1304" s="55">
        <v>128285683510</v>
      </c>
      <c r="B1304" s="53" t="s">
        <v>2055</v>
      </c>
      <c r="C1304" s="54">
        <v>45931</v>
      </c>
      <c r="D1304" s="55">
        <v>51024686385</v>
      </c>
      <c r="E1304" s="55">
        <v>2084304513879</v>
      </c>
      <c r="F1304" s="56" t="s">
        <v>2056</v>
      </c>
      <c r="G1304" s="56" t="s">
        <v>2057</v>
      </c>
      <c r="H1304" s="56" t="s">
        <v>8</v>
      </c>
      <c r="I1304" s="55" t="s">
        <v>8</v>
      </c>
      <c r="J1304" s="57">
        <v>388</v>
      </c>
      <c r="K1304" s="56" t="s">
        <v>2058</v>
      </c>
      <c r="L1304" s="56" t="s">
        <v>2059</v>
      </c>
      <c r="M1304" s="55" t="s">
        <v>2060</v>
      </c>
      <c r="N1304" s="56" t="s">
        <v>2061</v>
      </c>
      <c r="O1304" s="53" t="s">
        <v>8</v>
      </c>
      <c r="P1304" s="56" t="s">
        <v>2435</v>
      </c>
      <c r="Q1304" s="57">
        <v>40000</v>
      </c>
      <c r="R1304" s="58" t="s">
        <v>8</v>
      </c>
      <c r="S1304" s="57" t="s">
        <v>8</v>
      </c>
      <c r="T1304" s="56" t="s">
        <v>2063</v>
      </c>
    </row>
    <row r="1305" spans="1:20">
      <c r="A1305" s="55">
        <v>127720557799</v>
      </c>
      <c r="B1305" s="53" t="s">
        <v>2055</v>
      </c>
      <c r="C1305" s="54">
        <v>45931</v>
      </c>
      <c r="D1305" s="55">
        <v>51024777311</v>
      </c>
      <c r="E1305" s="55">
        <v>2084366779882</v>
      </c>
      <c r="F1305" s="56" t="s">
        <v>2069</v>
      </c>
      <c r="G1305" s="56" t="s">
        <v>2057</v>
      </c>
      <c r="H1305" s="56" t="s">
        <v>8</v>
      </c>
      <c r="I1305" s="55" t="s">
        <v>8</v>
      </c>
      <c r="J1305" s="57">
        <v>290.97000000000003</v>
      </c>
      <c r="K1305" s="56" t="s">
        <v>2058</v>
      </c>
      <c r="L1305" s="56" t="s">
        <v>2059</v>
      </c>
      <c r="M1305" s="55" t="s">
        <v>2060</v>
      </c>
      <c r="N1305" s="56" t="s">
        <v>2061</v>
      </c>
      <c r="O1305" s="53" t="s">
        <v>8</v>
      </c>
      <c r="P1305" s="56" t="s">
        <v>2070</v>
      </c>
      <c r="Q1305" s="57">
        <v>29997</v>
      </c>
      <c r="R1305" s="58" t="s">
        <v>8</v>
      </c>
      <c r="S1305" s="57" t="s">
        <v>8</v>
      </c>
      <c r="T1305" s="56" t="s">
        <v>8</v>
      </c>
    </row>
    <row r="1306" spans="1:20">
      <c r="A1306" s="55">
        <v>128286715036</v>
      </c>
      <c r="B1306" s="53" t="s">
        <v>2055</v>
      </c>
      <c r="C1306" s="54">
        <v>45931</v>
      </c>
      <c r="D1306" s="55">
        <v>51025120194</v>
      </c>
      <c r="E1306" s="55">
        <v>2084311552191</v>
      </c>
      <c r="F1306" s="56" t="s">
        <v>2069</v>
      </c>
      <c r="G1306" s="56" t="s">
        <v>2057</v>
      </c>
      <c r="H1306" s="56" t="s">
        <v>8</v>
      </c>
      <c r="I1306" s="55" t="s">
        <v>8</v>
      </c>
      <c r="J1306" s="57">
        <v>169.75</v>
      </c>
      <c r="K1306" s="56" t="s">
        <v>2058</v>
      </c>
      <c r="L1306" s="56" t="s">
        <v>2059</v>
      </c>
      <c r="M1306" s="55" t="s">
        <v>2060</v>
      </c>
      <c r="N1306" s="56" t="s">
        <v>2061</v>
      </c>
      <c r="O1306" s="53" t="s">
        <v>8</v>
      </c>
      <c r="P1306" s="56" t="s">
        <v>2070</v>
      </c>
      <c r="Q1306" s="57">
        <v>17500</v>
      </c>
      <c r="R1306" s="58" t="s">
        <v>8</v>
      </c>
      <c r="S1306" s="57" t="s">
        <v>8</v>
      </c>
      <c r="T1306" s="56" t="s">
        <v>8</v>
      </c>
    </row>
    <row r="1307" spans="1:20">
      <c r="A1307" s="55">
        <v>128287489024</v>
      </c>
      <c r="B1307" s="53" t="s">
        <v>2055</v>
      </c>
      <c r="C1307" s="54">
        <v>45932</v>
      </c>
      <c r="D1307" s="55">
        <v>51025508118</v>
      </c>
      <c r="E1307" s="55">
        <v>2084317078519</v>
      </c>
      <c r="F1307" s="56" t="s">
        <v>2056</v>
      </c>
      <c r="G1307" s="56" t="s">
        <v>2057</v>
      </c>
      <c r="H1307" s="56" t="s">
        <v>8</v>
      </c>
      <c r="I1307" s="55" t="s">
        <v>8</v>
      </c>
      <c r="J1307" s="57">
        <v>96.03</v>
      </c>
      <c r="K1307" s="56" t="s">
        <v>2058</v>
      </c>
      <c r="L1307" s="56" t="s">
        <v>2059</v>
      </c>
      <c r="M1307" s="55" t="s">
        <v>2060</v>
      </c>
      <c r="N1307" s="56" t="s">
        <v>2061</v>
      </c>
      <c r="O1307" s="53" t="s">
        <v>8</v>
      </c>
      <c r="P1307" s="56" t="s">
        <v>2627</v>
      </c>
      <c r="Q1307" s="57">
        <v>9900</v>
      </c>
      <c r="R1307" s="58" t="s">
        <v>8</v>
      </c>
      <c r="S1307" s="57" t="s">
        <v>8</v>
      </c>
      <c r="T1307" s="56" t="s">
        <v>2063</v>
      </c>
    </row>
    <row r="1308" spans="1:20">
      <c r="A1308" s="55">
        <v>128287673862</v>
      </c>
      <c r="B1308" s="53" t="s">
        <v>2055</v>
      </c>
      <c r="C1308" s="54">
        <v>45932</v>
      </c>
      <c r="D1308" s="55">
        <v>51025630028</v>
      </c>
      <c r="E1308" s="55">
        <v>2084379150672</v>
      </c>
      <c r="F1308" s="56" t="s">
        <v>2056</v>
      </c>
      <c r="G1308" s="56" t="s">
        <v>2057</v>
      </c>
      <c r="H1308" s="56" t="s">
        <v>8</v>
      </c>
      <c r="I1308" s="55" t="s">
        <v>8</v>
      </c>
      <c r="J1308" s="57">
        <v>142.58000000000001</v>
      </c>
      <c r="K1308" s="56" t="s">
        <v>2058</v>
      </c>
      <c r="L1308" s="56" t="s">
        <v>2059</v>
      </c>
      <c r="M1308" s="55" t="s">
        <v>2060</v>
      </c>
      <c r="N1308" s="56" t="s">
        <v>2061</v>
      </c>
      <c r="O1308" s="53" t="s">
        <v>8</v>
      </c>
      <c r="P1308" s="56" t="s">
        <v>2628</v>
      </c>
      <c r="Q1308" s="57">
        <v>14699</v>
      </c>
      <c r="R1308" s="58" t="s">
        <v>8</v>
      </c>
      <c r="S1308" s="57" t="s">
        <v>8</v>
      </c>
      <c r="T1308" s="56" t="s">
        <v>2063</v>
      </c>
    </row>
    <row r="1309" spans="1:20">
      <c r="A1309" s="55">
        <v>127722493817</v>
      </c>
      <c r="B1309" s="53" t="s">
        <v>2055</v>
      </c>
      <c r="C1309" s="54">
        <v>45932</v>
      </c>
      <c r="D1309" s="55">
        <v>51025769014</v>
      </c>
      <c r="E1309" s="55">
        <v>2084320044239</v>
      </c>
      <c r="F1309" s="56" t="s">
        <v>2066</v>
      </c>
      <c r="G1309" s="56" t="s">
        <v>2057</v>
      </c>
      <c r="H1309" s="56" t="s">
        <v>8</v>
      </c>
      <c r="I1309" s="55" t="s">
        <v>8</v>
      </c>
      <c r="J1309" s="57">
        <v>1371.57</v>
      </c>
      <c r="K1309" s="56" t="s">
        <v>2058</v>
      </c>
      <c r="L1309" s="56" t="s">
        <v>2067</v>
      </c>
      <c r="M1309" s="55" t="s">
        <v>2060</v>
      </c>
      <c r="N1309" s="56" t="s">
        <v>2061</v>
      </c>
      <c r="O1309" s="53" t="s">
        <v>1790</v>
      </c>
      <c r="P1309" s="56" t="s">
        <v>2068</v>
      </c>
      <c r="Q1309" s="57">
        <v>34900</v>
      </c>
      <c r="R1309" s="58" t="s">
        <v>8</v>
      </c>
      <c r="S1309" s="57" t="s">
        <v>8</v>
      </c>
      <c r="T1309" s="56" t="s">
        <v>2063</v>
      </c>
    </row>
    <row r="1310" spans="1:20">
      <c r="A1310" s="55">
        <v>128288249068</v>
      </c>
      <c r="B1310" s="53" t="s">
        <v>2055</v>
      </c>
      <c r="C1310" s="54">
        <v>45932</v>
      </c>
      <c r="D1310" s="55">
        <v>51025888777</v>
      </c>
      <c r="E1310" s="55">
        <v>2084322046705</v>
      </c>
      <c r="F1310" s="56" t="s">
        <v>2107</v>
      </c>
      <c r="G1310" s="56" t="s">
        <v>2057</v>
      </c>
      <c r="H1310" s="56" t="s">
        <v>8</v>
      </c>
      <c r="I1310" s="55" t="s">
        <v>8</v>
      </c>
      <c r="J1310" s="57">
        <v>559.09</v>
      </c>
      <c r="K1310" s="56" t="s">
        <v>2058</v>
      </c>
      <c r="L1310" s="56" t="s">
        <v>2059</v>
      </c>
      <c r="M1310" s="55" t="s">
        <v>2060</v>
      </c>
      <c r="N1310" s="56" t="s">
        <v>2061</v>
      </c>
      <c r="O1310" s="53" t="s">
        <v>8</v>
      </c>
      <c r="P1310" s="56" t="s">
        <v>2197</v>
      </c>
      <c r="Q1310" s="57">
        <v>34300</v>
      </c>
      <c r="R1310" s="58" t="s">
        <v>8</v>
      </c>
      <c r="S1310" s="57" t="s">
        <v>8</v>
      </c>
      <c r="T1310" s="56" t="s">
        <v>2063</v>
      </c>
    </row>
    <row r="1311" spans="1:20">
      <c r="A1311" s="55">
        <v>127724766231</v>
      </c>
      <c r="B1311" s="53" t="s">
        <v>2055</v>
      </c>
      <c r="C1311" s="54">
        <v>45932</v>
      </c>
      <c r="D1311" s="55">
        <v>51026805316</v>
      </c>
      <c r="E1311" s="55">
        <v>2084336458985</v>
      </c>
      <c r="F1311" s="56" t="s">
        <v>2056</v>
      </c>
      <c r="G1311" s="56" t="s">
        <v>2057</v>
      </c>
      <c r="H1311" s="56" t="s">
        <v>8</v>
      </c>
      <c r="I1311" s="55" t="s">
        <v>8</v>
      </c>
      <c r="J1311" s="57">
        <v>73.349999999999994</v>
      </c>
      <c r="K1311" s="56" t="s">
        <v>2058</v>
      </c>
      <c r="L1311" s="56" t="s">
        <v>2059</v>
      </c>
      <c r="M1311" s="55" t="s">
        <v>2060</v>
      </c>
      <c r="N1311" s="56" t="s">
        <v>2061</v>
      </c>
      <c r="O1311" s="53" t="s">
        <v>8</v>
      </c>
      <c r="P1311" s="56" t="s">
        <v>2546</v>
      </c>
      <c r="Q1311" s="57">
        <v>4500</v>
      </c>
      <c r="R1311" s="58" t="s">
        <v>8</v>
      </c>
      <c r="S1311" s="57" t="s">
        <v>8</v>
      </c>
      <c r="T1311" s="56" t="s">
        <v>2063</v>
      </c>
    </row>
    <row r="1312" spans="1:20">
      <c r="A1312" s="55">
        <v>127826757701</v>
      </c>
      <c r="B1312" s="53" t="s">
        <v>2055</v>
      </c>
      <c r="C1312" s="54">
        <v>45932</v>
      </c>
      <c r="D1312" s="55">
        <v>51065013549</v>
      </c>
      <c r="E1312" s="55">
        <v>2085097455188</v>
      </c>
      <c r="F1312" s="56" t="s">
        <v>2056</v>
      </c>
      <c r="G1312" s="56" t="s">
        <v>2057</v>
      </c>
      <c r="H1312" s="56" t="s">
        <v>8</v>
      </c>
      <c r="I1312" s="55" t="s">
        <v>8</v>
      </c>
      <c r="J1312" s="57">
        <v>95.06</v>
      </c>
      <c r="K1312" s="56" t="s">
        <v>2058</v>
      </c>
      <c r="L1312" s="56" t="s">
        <v>2059</v>
      </c>
      <c r="M1312" s="55" t="s">
        <v>2060</v>
      </c>
      <c r="N1312" s="56" t="s">
        <v>2061</v>
      </c>
      <c r="O1312" s="53" t="s">
        <v>8</v>
      </c>
      <c r="P1312" s="56" t="s">
        <v>2601</v>
      </c>
      <c r="Q1312" s="57">
        <v>9800</v>
      </c>
      <c r="R1312" s="58" t="s">
        <v>8</v>
      </c>
      <c r="S1312" s="57" t="s">
        <v>8</v>
      </c>
      <c r="T1312" s="56" t="s">
        <v>2063</v>
      </c>
    </row>
    <row r="1313" spans="1:20">
      <c r="A1313" s="55">
        <v>128398739964</v>
      </c>
      <c r="B1313" s="53" t="s">
        <v>2055</v>
      </c>
      <c r="C1313" s="54">
        <v>45932</v>
      </c>
      <c r="D1313" s="55">
        <v>51067161325</v>
      </c>
      <c r="E1313" s="55">
        <v>2085072197011</v>
      </c>
      <c r="F1313" s="56" t="s">
        <v>2056</v>
      </c>
      <c r="G1313" s="56" t="s">
        <v>2057</v>
      </c>
      <c r="H1313" s="56" t="s">
        <v>8</v>
      </c>
      <c r="I1313" s="55" t="s">
        <v>8</v>
      </c>
      <c r="J1313" s="57">
        <v>93.12</v>
      </c>
      <c r="K1313" s="56" t="s">
        <v>2058</v>
      </c>
      <c r="L1313" s="56" t="s">
        <v>2059</v>
      </c>
      <c r="M1313" s="55" t="s">
        <v>2060</v>
      </c>
      <c r="N1313" s="56" t="s">
        <v>2061</v>
      </c>
      <c r="O1313" s="53" t="s">
        <v>8</v>
      </c>
      <c r="P1313" s="56" t="s">
        <v>2460</v>
      </c>
      <c r="Q1313" s="57">
        <v>9600</v>
      </c>
      <c r="R1313" s="58" t="s">
        <v>8</v>
      </c>
      <c r="S1313" s="57" t="s">
        <v>8</v>
      </c>
      <c r="T1313" s="56" t="s">
        <v>2063</v>
      </c>
    </row>
    <row r="1314" spans="1:20">
      <c r="A1314" s="55">
        <v>127834309851</v>
      </c>
      <c r="B1314" s="53" t="s">
        <v>2055</v>
      </c>
      <c r="C1314" s="54">
        <v>45932</v>
      </c>
      <c r="D1314" s="55">
        <v>51067798581</v>
      </c>
      <c r="E1314" s="55">
        <v>2085144795666</v>
      </c>
      <c r="F1314" s="56" t="s">
        <v>2056</v>
      </c>
      <c r="G1314" s="56" t="s">
        <v>2057</v>
      </c>
      <c r="H1314" s="56" t="s">
        <v>8</v>
      </c>
      <c r="I1314" s="55" t="s">
        <v>8</v>
      </c>
      <c r="J1314" s="57">
        <v>138.71</v>
      </c>
      <c r="K1314" s="56" t="s">
        <v>2058</v>
      </c>
      <c r="L1314" s="56" t="s">
        <v>2059</v>
      </c>
      <c r="M1314" s="55" t="s">
        <v>2060</v>
      </c>
      <c r="N1314" s="56" t="s">
        <v>2061</v>
      </c>
      <c r="O1314" s="53" t="s">
        <v>8</v>
      </c>
      <c r="P1314" s="56" t="s">
        <v>2629</v>
      </c>
      <c r="Q1314" s="57">
        <v>14300</v>
      </c>
      <c r="R1314" s="58" t="s">
        <v>8</v>
      </c>
      <c r="S1314" s="57" t="s">
        <v>8</v>
      </c>
      <c r="T1314" s="56" t="s">
        <v>2063</v>
      </c>
    </row>
    <row r="1315" spans="1:20">
      <c r="A1315" s="55">
        <v>128402388274</v>
      </c>
      <c r="B1315" s="53" t="s">
        <v>2055</v>
      </c>
      <c r="C1315" s="54">
        <v>45932</v>
      </c>
      <c r="D1315" s="55">
        <v>51068449111</v>
      </c>
      <c r="E1315" s="55">
        <v>2085094938511</v>
      </c>
      <c r="F1315" s="56" t="s">
        <v>2056</v>
      </c>
      <c r="G1315" s="56" t="s">
        <v>2057</v>
      </c>
      <c r="H1315" s="56" t="s">
        <v>8</v>
      </c>
      <c r="I1315" s="55" t="s">
        <v>8</v>
      </c>
      <c r="J1315" s="57">
        <v>129.01</v>
      </c>
      <c r="K1315" s="56" t="s">
        <v>2058</v>
      </c>
      <c r="L1315" s="56" t="s">
        <v>2059</v>
      </c>
      <c r="M1315" s="55" t="s">
        <v>2060</v>
      </c>
      <c r="N1315" s="56" t="s">
        <v>2061</v>
      </c>
      <c r="O1315" s="53" t="s">
        <v>8</v>
      </c>
      <c r="P1315" s="56" t="s">
        <v>2630</v>
      </c>
      <c r="Q1315" s="57">
        <v>13300</v>
      </c>
      <c r="R1315" s="58" t="s">
        <v>8</v>
      </c>
      <c r="S1315" s="57" t="s">
        <v>8</v>
      </c>
      <c r="T1315" s="56" t="s">
        <v>2063</v>
      </c>
    </row>
    <row r="1316" spans="1:20">
      <c r="A1316" s="55">
        <v>127836305261</v>
      </c>
      <c r="B1316" s="53" t="s">
        <v>2055</v>
      </c>
      <c r="C1316" s="54">
        <v>45932</v>
      </c>
      <c r="D1316" s="55">
        <v>51068461860</v>
      </c>
      <c r="E1316" s="55">
        <v>2085095314531</v>
      </c>
      <c r="F1316" s="56" t="s">
        <v>2066</v>
      </c>
      <c r="G1316" s="56" t="s">
        <v>2057</v>
      </c>
      <c r="H1316" s="56" t="s">
        <v>8</v>
      </c>
      <c r="I1316" s="55" t="s">
        <v>8</v>
      </c>
      <c r="J1316" s="57">
        <v>1480.04</v>
      </c>
      <c r="K1316" s="56" t="s">
        <v>2058</v>
      </c>
      <c r="L1316" s="56" t="s">
        <v>2067</v>
      </c>
      <c r="M1316" s="55" t="s">
        <v>2060</v>
      </c>
      <c r="N1316" s="56" t="s">
        <v>2061</v>
      </c>
      <c r="O1316" s="53" t="s">
        <v>1790</v>
      </c>
      <c r="P1316" s="56" t="s">
        <v>2068</v>
      </c>
      <c r="Q1316" s="57">
        <v>32600</v>
      </c>
      <c r="R1316" s="58" t="s">
        <v>8</v>
      </c>
      <c r="S1316" s="57" t="s">
        <v>8</v>
      </c>
      <c r="T1316" s="56" t="s">
        <v>2063</v>
      </c>
    </row>
    <row r="1317" spans="1:20">
      <c r="A1317" s="55">
        <v>128408491342</v>
      </c>
      <c r="B1317" s="53" t="s">
        <v>2055</v>
      </c>
      <c r="C1317" s="54">
        <v>45932</v>
      </c>
      <c r="D1317" s="55">
        <v>51070698024</v>
      </c>
      <c r="E1317" s="55">
        <v>2085199834342</v>
      </c>
      <c r="F1317" s="56" t="s">
        <v>2056</v>
      </c>
      <c r="G1317" s="56" t="s">
        <v>2057</v>
      </c>
      <c r="H1317" s="56" t="s">
        <v>8</v>
      </c>
      <c r="I1317" s="55" t="s">
        <v>8</v>
      </c>
      <c r="J1317" s="57">
        <v>46.56</v>
      </c>
      <c r="K1317" s="56" t="s">
        <v>2058</v>
      </c>
      <c r="L1317" s="56" t="s">
        <v>2059</v>
      </c>
      <c r="M1317" s="55" t="s">
        <v>2060</v>
      </c>
      <c r="N1317" s="56" t="s">
        <v>2061</v>
      </c>
      <c r="O1317" s="53" t="s">
        <v>8</v>
      </c>
      <c r="P1317" s="56" t="s">
        <v>2631</v>
      </c>
      <c r="Q1317" s="57">
        <v>4800</v>
      </c>
      <c r="R1317" s="58" t="s">
        <v>8</v>
      </c>
      <c r="S1317" s="57" t="s">
        <v>8</v>
      </c>
      <c r="T1317" s="56" t="s">
        <v>2063</v>
      </c>
    </row>
    <row r="1318" spans="1:20">
      <c r="A1318" s="55">
        <v>128408853332</v>
      </c>
      <c r="B1318" s="53" t="s">
        <v>2055</v>
      </c>
      <c r="C1318" s="54">
        <v>45932</v>
      </c>
      <c r="D1318" s="55">
        <v>51070854546</v>
      </c>
      <c r="E1318" s="55">
        <v>2085140680053</v>
      </c>
      <c r="F1318" s="56" t="s">
        <v>2066</v>
      </c>
      <c r="G1318" s="56" t="s">
        <v>2057</v>
      </c>
      <c r="H1318" s="56" t="s">
        <v>8</v>
      </c>
      <c r="I1318" s="55" t="s">
        <v>8</v>
      </c>
      <c r="J1318" s="57">
        <v>188.64</v>
      </c>
      <c r="K1318" s="56" t="s">
        <v>2058</v>
      </c>
      <c r="L1318" s="56" t="s">
        <v>2067</v>
      </c>
      <c r="M1318" s="55" t="s">
        <v>2060</v>
      </c>
      <c r="N1318" s="56" t="s">
        <v>2061</v>
      </c>
      <c r="O1318" s="53" t="s">
        <v>1790</v>
      </c>
      <c r="P1318" s="56" t="s">
        <v>2068</v>
      </c>
      <c r="Q1318" s="57">
        <v>4800</v>
      </c>
      <c r="R1318" s="58" t="s">
        <v>8</v>
      </c>
      <c r="S1318" s="57" t="s">
        <v>8</v>
      </c>
      <c r="T1318" s="56" t="s">
        <v>2063</v>
      </c>
    </row>
    <row r="1319" spans="1:20">
      <c r="A1319" s="55">
        <v>127843829541</v>
      </c>
      <c r="B1319" s="53" t="s">
        <v>2055</v>
      </c>
      <c r="C1319" s="54">
        <v>45932</v>
      </c>
      <c r="D1319" s="55">
        <v>51071274580</v>
      </c>
      <c r="E1319" s="55">
        <v>2085210592958</v>
      </c>
      <c r="F1319" s="56" t="s">
        <v>2056</v>
      </c>
      <c r="G1319" s="56" t="s">
        <v>2057</v>
      </c>
      <c r="H1319" s="56" t="s">
        <v>8</v>
      </c>
      <c r="I1319" s="55" t="s">
        <v>8</v>
      </c>
      <c r="J1319" s="57">
        <v>375.39</v>
      </c>
      <c r="K1319" s="56" t="s">
        <v>2058</v>
      </c>
      <c r="L1319" s="56" t="s">
        <v>2059</v>
      </c>
      <c r="M1319" s="55" t="s">
        <v>2060</v>
      </c>
      <c r="N1319" s="56" t="s">
        <v>2061</v>
      </c>
      <c r="O1319" s="53" t="s">
        <v>8</v>
      </c>
      <c r="P1319" s="56" t="s">
        <v>2632</v>
      </c>
      <c r="Q1319" s="57">
        <v>38700</v>
      </c>
      <c r="R1319" s="58" t="s">
        <v>8</v>
      </c>
      <c r="S1319" s="57" t="s">
        <v>8</v>
      </c>
      <c r="T1319" s="56" t="s">
        <v>2063</v>
      </c>
    </row>
    <row r="1320" spans="1:20">
      <c r="A1320" s="55">
        <v>127845010923</v>
      </c>
      <c r="B1320" s="53" t="s">
        <v>2055</v>
      </c>
      <c r="C1320" s="54">
        <v>45932</v>
      </c>
      <c r="D1320" s="55">
        <v>51071698369</v>
      </c>
      <c r="E1320" s="55">
        <v>2085218923540</v>
      </c>
      <c r="F1320" s="56" t="s">
        <v>2056</v>
      </c>
      <c r="G1320" s="56" t="s">
        <v>2057</v>
      </c>
      <c r="H1320" s="56" t="s">
        <v>8</v>
      </c>
      <c r="I1320" s="55" t="s">
        <v>8</v>
      </c>
      <c r="J1320" s="57">
        <v>87.3</v>
      </c>
      <c r="K1320" s="56" t="s">
        <v>2058</v>
      </c>
      <c r="L1320" s="56" t="s">
        <v>2059</v>
      </c>
      <c r="M1320" s="55" t="s">
        <v>2060</v>
      </c>
      <c r="N1320" s="56" t="s">
        <v>2061</v>
      </c>
      <c r="O1320" s="53" t="s">
        <v>8</v>
      </c>
      <c r="P1320" s="56" t="s">
        <v>2633</v>
      </c>
      <c r="Q1320" s="57">
        <v>9000</v>
      </c>
      <c r="R1320" s="58" t="s">
        <v>8</v>
      </c>
      <c r="S1320" s="57" t="s">
        <v>8</v>
      </c>
      <c r="T1320" s="56" t="s">
        <v>2063</v>
      </c>
    </row>
    <row r="1321" spans="1:20">
      <c r="A1321" s="55">
        <v>127845412065</v>
      </c>
      <c r="B1321" s="53" t="s">
        <v>2055</v>
      </c>
      <c r="C1321" s="54">
        <v>45932</v>
      </c>
      <c r="D1321" s="55">
        <v>51071840848</v>
      </c>
      <c r="E1321" s="55">
        <v>2085160334591</v>
      </c>
      <c r="F1321" s="56" t="s">
        <v>2056</v>
      </c>
      <c r="G1321" s="56" t="s">
        <v>2057</v>
      </c>
      <c r="H1321" s="56" t="s">
        <v>8</v>
      </c>
      <c r="I1321" s="55" t="s">
        <v>8</v>
      </c>
      <c r="J1321" s="57">
        <v>46.56</v>
      </c>
      <c r="K1321" s="56" t="s">
        <v>2058</v>
      </c>
      <c r="L1321" s="56" t="s">
        <v>2059</v>
      </c>
      <c r="M1321" s="55" t="s">
        <v>2060</v>
      </c>
      <c r="N1321" s="56" t="s">
        <v>2061</v>
      </c>
      <c r="O1321" s="53" t="s">
        <v>8</v>
      </c>
      <c r="P1321" s="56" t="s">
        <v>2634</v>
      </c>
      <c r="Q1321" s="57">
        <v>4800</v>
      </c>
      <c r="R1321" s="58" t="s">
        <v>8</v>
      </c>
      <c r="S1321" s="57" t="s">
        <v>8</v>
      </c>
      <c r="T1321" s="56" t="s">
        <v>2063</v>
      </c>
    </row>
    <row r="1322" spans="1:20">
      <c r="A1322" s="55">
        <v>127845621093</v>
      </c>
      <c r="B1322" s="53" t="s">
        <v>2055</v>
      </c>
      <c r="C1322" s="54">
        <v>45932</v>
      </c>
      <c r="D1322" s="55">
        <v>51071924758</v>
      </c>
      <c r="E1322" s="55">
        <v>2085223062718</v>
      </c>
      <c r="F1322" s="56" t="s">
        <v>2056</v>
      </c>
      <c r="G1322" s="56" t="s">
        <v>2057</v>
      </c>
      <c r="H1322" s="56" t="s">
        <v>8</v>
      </c>
      <c r="I1322" s="55" t="s">
        <v>8</v>
      </c>
      <c r="J1322" s="57">
        <v>42.68</v>
      </c>
      <c r="K1322" s="56" t="s">
        <v>2058</v>
      </c>
      <c r="L1322" s="56" t="s">
        <v>2059</v>
      </c>
      <c r="M1322" s="55" t="s">
        <v>2060</v>
      </c>
      <c r="N1322" s="56" t="s">
        <v>2061</v>
      </c>
      <c r="O1322" s="53" t="s">
        <v>8</v>
      </c>
      <c r="P1322" s="56" t="s">
        <v>2635</v>
      </c>
      <c r="Q1322" s="57">
        <v>4400</v>
      </c>
      <c r="R1322" s="58" t="s">
        <v>8</v>
      </c>
      <c r="S1322" s="57" t="s">
        <v>8</v>
      </c>
      <c r="T1322" s="56" t="s">
        <v>2063</v>
      </c>
    </row>
    <row r="1323" spans="1:20">
      <c r="A1323" s="55">
        <v>127846108405</v>
      </c>
      <c r="B1323" s="53" t="s">
        <v>2055</v>
      </c>
      <c r="C1323" s="54">
        <v>45932</v>
      </c>
      <c r="D1323" s="55">
        <v>51072099422</v>
      </c>
      <c r="E1323" s="55">
        <v>2085165091419</v>
      </c>
      <c r="F1323" s="56" t="s">
        <v>2066</v>
      </c>
      <c r="G1323" s="56" t="s">
        <v>2057</v>
      </c>
      <c r="H1323" s="56" t="s">
        <v>8</v>
      </c>
      <c r="I1323" s="55" t="s">
        <v>8</v>
      </c>
      <c r="J1323" s="57">
        <v>165.06</v>
      </c>
      <c r="K1323" s="56" t="s">
        <v>2058</v>
      </c>
      <c r="L1323" s="56" t="s">
        <v>2067</v>
      </c>
      <c r="M1323" s="55" t="s">
        <v>2060</v>
      </c>
      <c r="N1323" s="56" t="s">
        <v>2061</v>
      </c>
      <c r="O1323" s="53" t="s">
        <v>1790</v>
      </c>
      <c r="P1323" s="56" t="s">
        <v>2068</v>
      </c>
      <c r="Q1323" s="57">
        <v>4200</v>
      </c>
      <c r="R1323" s="58" t="s">
        <v>8</v>
      </c>
      <c r="S1323" s="57" t="s">
        <v>8</v>
      </c>
      <c r="T1323" s="56" t="s">
        <v>2063</v>
      </c>
    </row>
    <row r="1324" spans="1:20">
      <c r="A1324" s="55">
        <v>127846250789</v>
      </c>
      <c r="B1324" s="53" t="s">
        <v>2055</v>
      </c>
      <c r="C1324" s="54">
        <v>45932</v>
      </c>
      <c r="D1324" s="55">
        <v>51072196991</v>
      </c>
      <c r="E1324" s="55">
        <v>2085166593759</v>
      </c>
      <c r="F1324" s="56" t="s">
        <v>2066</v>
      </c>
      <c r="G1324" s="56" t="s">
        <v>2057</v>
      </c>
      <c r="H1324" s="56" t="s">
        <v>8</v>
      </c>
      <c r="I1324" s="55" t="s">
        <v>8</v>
      </c>
      <c r="J1324" s="57">
        <v>165.06</v>
      </c>
      <c r="K1324" s="56" t="s">
        <v>2058</v>
      </c>
      <c r="L1324" s="56" t="s">
        <v>2067</v>
      </c>
      <c r="M1324" s="55" t="s">
        <v>2060</v>
      </c>
      <c r="N1324" s="56" t="s">
        <v>2061</v>
      </c>
      <c r="O1324" s="53" t="s">
        <v>1790</v>
      </c>
      <c r="P1324" s="56" t="s">
        <v>2068</v>
      </c>
      <c r="Q1324" s="57">
        <v>4200</v>
      </c>
      <c r="R1324" s="58" t="s">
        <v>8</v>
      </c>
      <c r="S1324" s="57" t="s">
        <v>8</v>
      </c>
      <c r="T1324" s="56" t="s">
        <v>2063</v>
      </c>
    </row>
    <row r="1325" spans="1:20">
      <c r="A1325" s="55">
        <v>128412427806</v>
      </c>
      <c r="B1325" s="53" t="s">
        <v>2055</v>
      </c>
      <c r="C1325" s="54">
        <v>45932</v>
      </c>
      <c r="D1325" s="55">
        <v>51072236357</v>
      </c>
      <c r="E1325" s="55">
        <v>2085167340209</v>
      </c>
      <c r="F1325" s="56" t="s">
        <v>2066</v>
      </c>
      <c r="G1325" s="56" t="s">
        <v>2057</v>
      </c>
      <c r="H1325" s="56" t="s">
        <v>8</v>
      </c>
      <c r="I1325" s="55" t="s">
        <v>8</v>
      </c>
      <c r="J1325" s="57">
        <v>1225.8</v>
      </c>
      <c r="K1325" s="56" t="s">
        <v>2058</v>
      </c>
      <c r="L1325" s="56" t="s">
        <v>2067</v>
      </c>
      <c r="M1325" s="55" t="s">
        <v>2060</v>
      </c>
      <c r="N1325" s="56" t="s">
        <v>2061</v>
      </c>
      <c r="O1325" s="53" t="s">
        <v>1790</v>
      </c>
      <c r="P1325" s="56" t="s">
        <v>2068</v>
      </c>
      <c r="Q1325" s="57">
        <v>27000</v>
      </c>
      <c r="R1325" s="58" t="s">
        <v>8</v>
      </c>
      <c r="S1325" s="57" t="s">
        <v>8</v>
      </c>
      <c r="T1325" s="56" t="s">
        <v>2063</v>
      </c>
    </row>
    <row r="1326" spans="1:20">
      <c r="A1326" s="55">
        <v>127847014705</v>
      </c>
      <c r="B1326" s="53" t="s">
        <v>2055</v>
      </c>
      <c r="C1326" s="54">
        <v>45932</v>
      </c>
      <c r="D1326" s="55">
        <v>51072515266</v>
      </c>
      <c r="E1326" s="55">
        <v>2085234008940</v>
      </c>
      <c r="F1326" s="56" t="s">
        <v>2056</v>
      </c>
      <c r="G1326" s="56" t="s">
        <v>2057</v>
      </c>
      <c r="H1326" s="56" t="s">
        <v>8</v>
      </c>
      <c r="I1326" s="55" t="s">
        <v>8</v>
      </c>
      <c r="J1326" s="57">
        <v>142.59</v>
      </c>
      <c r="K1326" s="56" t="s">
        <v>2058</v>
      </c>
      <c r="L1326" s="56" t="s">
        <v>2059</v>
      </c>
      <c r="M1326" s="55" t="s">
        <v>2060</v>
      </c>
      <c r="N1326" s="56" t="s">
        <v>2061</v>
      </c>
      <c r="O1326" s="53" t="s">
        <v>8</v>
      </c>
      <c r="P1326" s="56" t="s">
        <v>2636</v>
      </c>
      <c r="Q1326" s="57">
        <v>14700</v>
      </c>
      <c r="R1326" s="58" t="s">
        <v>8</v>
      </c>
      <c r="S1326" s="57" t="s">
        <v>8</v>
      </c>
      <c r="T1326" s="56" t="s">
        <v>2063</v>
      </c>
    </row>
    <row r="1327" spans="1:20">
      <c r="A1327" s="55">
        <v>128413285526</v>
      </c>
      <c r="B1327" s="53" t="s">
        <v>2055</v>
      </c>
      <c r="C1327" s="54">
        <v>45932</v>
      </c>
      <c r="D1327" s="55">
        <v>51072555831</v>
      </c>
      <c r="E1327" s="55">
        <v>2085172947327</v>
      </c>
      <c r="F1327" s="56" t="s">
        <v>2066</v>
      </c>
      <c r="G1327" s="56" t="s">
        <v>2057</v>
      </c>
      <c r="H1327" s="56" t="s">
        <v>8</v>
      </c>
      <c r="I1327" s="55" t="s">
        <v>8</v>
      </c>
      <c r="J1327" s="57">
        <v>188.64</v>
      </c>
      <c r="K1327" s="56" t="s">
        <v>2058</v>
      </c>
      <c r="L1327" s="56" t="s">
        <v>2067</v>
      </c>
      <c r="M1327" s="55" t="s">
        <v>2060</v>
      </c>
      <c r="N1327" s="56" t="s">
        <v>2061</v>
      </c>
      <c r="O1327" s="53" t="s">
        <v>1790</v>
      </c>
      <c r="P1327" s="56" t="s">
        <v>2068</v>
      </c>
      <c r="Q1327" s="57">
        <v>4800</v>
      </c>
      <c r="R1327" s="58" t="s">
        <v>8</v>
      </c>
      <c r="S1327" s="57" t="s">
        <v>8</v>
      </c>
      <c r="T1327" s="56" t="s">
        <v>2063</v>
      </c>
    </row>
    <row r="1328" spans="1:20">
      <c r="A1328" s="55">
        <v>127847143045</v>
      </c>
      <c r="B1328" s="53" t="s">
        <v>2055</v>
      </c>
      <c r="C1328" s="54">
        <v>45932</v>
      </c>
      <c r="D1328" s="55">
        <v>51072586350</v>
      </c>
      <c r="E1328" s="55">
        <v>2085173844383</v>
      </c>
      <c r="F1328" s="56" t="s">
        <v>2056</v>
      </c>
      <c r="G1328" s="56" t="s">
        <v>2057</v>
      </c>
      <c r="H1328" s="56" t="s">
        <v>8</v>
      </c>
      <c r="I1328" s="55" t="s">
        <v>8</v>
      </c>
      <c r="J1328" s="57">
        <v>46.56</v>
      </c>
      <c r="K1328" s="56" t="s">
        <v>2058</v>
      </c>
      <c r="L1328" s="56" t="s">
        <v>2059</v>
      </c>
      <c r="M1328" s="55" t="s">
        <v>2060</v>
      </c>
      <c r="N1328" s="56" t="s">
        <v>2061</v>
      </c>
      <c r="O1328" s="53" t="s">
        <v>8</v>
      </c>
      <c r="P1328" s="56" t="s">
        <v>2637</v>
      </c>
      <c r="Q1328" s="57">
        <v>4800</v>
      </c>
      <c r="R1328" s="58" t="s">
        <v>8</v>
      </c>
      <c r="S1328" s="57" t="s">
        <v>8</v>
      </c>
      <c r="T1328" s="56" t="s">
        <v>2063</v>
      </c>
    </row>
    <row r="1329" spans="1:20">
      <c r="A1329" s="55">
        <v>128413748622</v>
      </c>
      <c r="B1329" s="53" t="s">
        <v>2055</v>
      </c>
      <c r="C1329" s="54">
        <v>45932</v>
      </c>
      <c r="D1329" s="55">
        <v>51072713993</v>
      </c>
      <c r="E1329" s="55">
        <v>2085238000716</v>
      </c>
      <c r="F1329" s="56" t="s">
        <v>2056</v>
      </c>
      <c r="G1329" s="56" t="s">
        <v>2057</v>
      </c>
      <c r="H1329" s="56" t="s">
        <v>8</v>
      </c>
      <c r="I1329" s="55" t="s">
        <v>8</v>
      </c>
      <c r="J1329" s="57">
        <v>97</v>
      </c>
      <c r="K1329" s="56" t="s">
        <v>2058</v>
      </c>
      <c r="L1329" s="56" t="s">
        <v>2059</v>
      </c>
      <c r="M1329" s="55" t="s">
        <v>2060</v>
      </c>
      <c r="N1329" s="56" t="s">
        <v>2061</v>
      </c>
      <c r="O1329" s="53" t="s">
        <v>8</v>
      </c>
      <c r="P1329" s="56" t="s">
        <v>2638</v>
      </c>
      <c r="Q1329" s="57">
        <v>10000</v>
      </c>
      <c r="R1329" s="58" t="s">
        <v>8</v>
      </c>
      <c r="S1329" s="57" t="s">
        <v>8</v>
      </c>
      <c r="T1329" s="56" t="s">
        <v>2063</v>
      </c>
    </row>
    <row r="1330" spans="1:20">
      <c r="A1330" s="55">
        <v>127847979869</v>
      </c>
      <c r="B1330" s="53" t="s">
        <v>2055</v>
      </c>
      <c r="C1330" s="54">
        <v>45932</v>
      </c>
      <c r="D1330" s="55">
        <v>51072893244</v>
      </c>
      <c r="E1330" s="55">
        <v>2085241422152</v>
      </c>
      <c r="F1330" s="56" t="s">
        <v>2107</v>
      </c>
      <c r="G1330" s="56" t="s">
        <v>2057</v>
      </c>
      <c r="H1330" s="56" t="s">
        <v>8</v>
      </c>
      <c r="I1330" s="55" t="s">
        <v>8</v>
      </c>
      <c r="J1330" s="57">
        <v>2450.42</v>
      </c>
      <c r="K1330" s="56" t="s">
        <v>2058</v>
      </c>
      <c r="L1330" s="56" t="s">
        <v>2059</v>
      </c>
      <c r="M1330" s="55" t="s">
        <v>2060</v>
      </c>
      <c r="N1330" s="56" t="s">
        <v>2061</v>
      </c>
      <c r="O1330" s="53" t="s">
        <v>8</v>
      </c>
      <c r="P1330" s="56" t="s">
        <v>2108</v>
      </c>
      <c r="Q1330" s="57">
        <v>32200</v>
      </c>
      <c r="R1330" s="58" t="s">
        <v>8</v>
      </c>
      <c r="S1330" s="57" t="s">
        <v>8</v>
      </c>
      <c r="T1330" s="56" t="s">
        <v>2063</v>
      </c>
    </row>
    <row r="1331" spans="1:20">
      <c r="A1331" s="55">
        <v>127848195943</v>
      </c>
      <c r="B1331" s="53" t="s">
        <v>2055</v>
      </c>
      <c r="C1331" s="54">
        <v>45932</v>
      </c>
      <c r="D1331" s="55">
        <v>51072976223</v>
      </c>
      <c r="E1331" s="55">
        <v>2085181177151</v>
      </c>
      <c r="F1331" s="56" t="s">
        <v>2056</v>
      </c>
      <c r="G1331" s="56" t="s">
        <v>2057</v>
      </c>
      <c r="H1331" s="56" t="s">
        <v>8</v>
      </c>
      <c r="I1331" s="55" t="s">
        <v>8</v>
      </c>
      <c r="J1331" s="57">
        <v>337.56</v>
      </c>
      <c r="K1331" s="56" t="s">
        <v>2058</v>
      </c>
      <c r="L1331" s="56" t="s">
        <v>2059</v>
      </c>
      <c r="M1331" s="55" t="s">
        <v>2060</v>
      </c>
      <c r="N1331" s="56" t="s">
        <v>2061</v>
      </c>
      <c r="O1331" s="53" t="s">
        <v>8</v>
      </c>
      <c r="P1331" s="56" t="s">
        <v>2628</v>
      </c>
      <c r="Q1331" s="57">
        <v>34800</v>
      </c>
      <c r="R1331" s="58" t="s">
        <v>8</v>
      </c>
      <c r="S1331" s="57" t="s">
        <v>8</v>
      </c>
      <c r="T1331" s="56" t="s">
        <v>2063</v>
      </c>
    </row>
    <row r="1332" spans="1:20">
      <c r="A1332" s="55">
        <v>128414602122</v>
      </c>
      <c r="B1332" s="53" t="s">
        <v>2055</v>
      </c>
      <c r="C1332" s="54">
        <v>45932</v>
      </c>
      <c r="D1332" s="55">
        <v>51073043510</v>
      </c>
      <c r="E1332" s="55">
        <v>2085244589088</v>
      </c>
      <c r="F1332" s="56" t="s">
        <v>2066</v>
      </c>
      <c r="G1332" s="56" t="s">
        <v>2057</v>
      </c>
      <c r="H1332" s="56" t="s">
        <v>8</v>
      </c>
      <c r="I1332" s="55" t="s">
        <v>8</v>
      </c>
      <c r="J1332" s="57">
        <v>471.82</v>
      </c>
      <c r="K1332" s="56" t="s">
        <v>2058</v>
      </c>
      <c r="L1332" s="56" t="s">
        <v>2067</v>
      </c>
      <c r="M1332" s="55" t="s">
        <v>2060</v>
      </c>
      <c r="N1332" s="56" t="s">
        <v>2061</v>
      </c>
      <c r="O1332" s="53" t="s">
        <v>1790</v>
      </c>
      <c r="P1332" s="56" t="s">
        <v>2068</v>
      </c>
      <c r="Q1332" s="57">
        <v>6200</v>
      </c>
      <c r="R1332" s="58" t="s">
        <v>8</v>
      </c>
      <c r="S1332" s="57" t="s">
        <v>8</v>
      </c>
      <c r="T1332" s="56" t="s">
        <v>2063</v>
      </c>
    </row>
    <row r="1333" spans="1:20">
      <c r="A1333" s="55">
        <v>127848730441</v>
      </c>
      <c r="B1333" s="53" t="s">
        <v>2055</v>
      </c>
      <c r="C1333" s="54">
        <v>45932</v>
      </c>
      <c r="D1333" s="55">
        <v>51073144177</v>
      </c>
      <c r="E1333" s="55">
        <v>2085185132833</v>
      </c>
      <c r="F1333" s="56" t="s">
        <v>2056</v>
      </c>
      <c r="G1333" s="56" t="s">
        <v>2057</v>
      </c>
      <c r="H1333" s="56" t="s">
        <v>8</v>
      </c>
      <c r="I1333" s="55" t="s">
        <v>8</v>
      </c>
      <c r="J1333" s="57">
        <v>87.3</v>
      </c>
      <c r="K1333" s="56" t="s">
        <v>2058</v>
      </c>
      <c r="L1333" s="56" t="s">
        <v>2059</v>
      </c>
      <c r="M1333" s="55" t="s">
        <v>2060</v>
      </c>
      <c r="N1333" s="56" t="s">
        <v>2061</v>
      </c>
      <c r="O1333" s="53" t="s">
        <v>8</v>
      </c>
      <c r="P1333" s="56" t="s">
        <v>2633</v>
      </c>
      <c r="Q1333" s="57">
        <v>9000</v>
      </c>
      <c r="R1333" s="58" t="s">
        <v>8</v>
      </c>
      <c r="S1333" s="57" t="s">
        <v>8</v>
      </c>
      <c r="T1333" s="56" t="s">
        <v>2063</v>
      </c>
    </row>
    <row r="1334" spans="1:20">
      <c r="A1334" s="55">
        <v>127849129705</v>
      </c>
      <c r="B1334" s="53" t="s">
        <v>2055</v>
      </c>
      <c r="C1334" s="54">
        <v>45932</v>
      </c>
      <c r="D1334" s="55">
        <v>51073369185</v>
      </c>
      <c r="E1334" s="55">
        <v>2085250679430</v>
      </c>
      <c r="F1334" s="56" t="s">
        <v>2056</v>
      </c>
      <c r="G1334" s="56" t="s">
        <v>2057</v>
      </c>
      <c r="H1334" s="56" t="s">
        <v>8</v>
      </c>
      <c r="I1334" s="55" t="s">
        <v>8</v>
      </c>
      <c r="J1334" s="57">
        <v>46.56</v>
      </c>
      <c r="K1334" s="56" t="s">
        <v>2058</v>
      </c>
      <c r="L1334" s="56" t="s">
        <v>2059</v>
      </c>
      <c r="M1334" s="55" t="s">
        <v>2060</v>
      </c>
      <c r="N1334" s="56" t="s">
        <v>2061</v>
      </c>
      <c r="O1334" s="53" t="s">
        <v>8</v>
      </c>
      <c r="P1334" s="56" t="s">
        <v>2634</v>
      </c>
      <c r="Q1334" s="57">
        <v>4800</v>
      </c>
      <c r="R1334" s="58" t="s">
        <v>8</v>
      </c>
      <c r="S1334" s="57" t="s">
        <v>8</v>
      </c>
      <c r="T1334" s="56" t="s">
        <v>2063</v>
      </c>
    </row>
    <row r="1335" spans="1:20">
      <c r="A1335" s="55">
        <v>128415782272</v>
      </c>
      <c r="B1335" s="53" t="s">
        <v>2055</v>
      </c>
      <c r="C1335" s="54">
        <v>45932</v>
      </c>
      <c r="D1335" s="55">
        <v>51073486283</v>
      </c>
      <c r="E1335" s="55">
        <v>2085252678710</v>
      </c>
      <c r="F1335" s="56" t="s">
        <v>2056</v>
      </c>
      <c r="G1335" s="56" t="s">
        <v>2057</v>
      </c>
      <c r="H1335" s="56" t="s">
        <v>8</v>
      </c>
      <c r="I1335" s="55" t="s">
        <v>8</v>
      </c>
      <c r="J1335" s="57">
        <v>38.799999999999997</v>
      </c>
      <c r="K1335" s="56" t="s">
        <v>2058</v>
      </c>
      <c r="L1335" s="56" t="s">
        <v>2059</v>
      </c>
      <c r="M1335" s="55" t="s">
        <v>2060</v>
      </c>
      <c r="N1335" s="56" t="s">
        <v>2061</v>
      </c>
      <c r="O1335" s="53" t="s">
        <v>8</v>
      </c>
      <c r="P1335" s="56" t="s">
        <v>2639</v>
      </c>
      <c r="Q1335" s="57">
        <v>4000</v>
      </c>
      <c r="R1335" s="58" t="s">
        <v>8</v>
      </c>
      <c r="S1335" s="57" t="s">
        <v>8</v>
      </c>
      <c r="T1335" s="56" t="s">
        <v>2063</v>
      </c>
    </row>
    <row r="1336" spans="1:20">
      <c r="A1336" s="55">
        <v>127850379377</v>
      </c>
      <c r="B1336" s="53" t="s">
        <v>2055</v>
      </c>
      <c r="C1336" s="54">
        <v>45932</v>
      </c>
      <c r="D1336" s="55">
        <v>51073845232</v>
      </c>
      <c r="E1336" s="55">
        <v>2085260059778</v>
      </c>
      <c r="F1336" s="56" t="s">
        <v>2069</v>
      </c>
      <c r="G1336" s="56" t="s">
        <v>2057</v>
      </c>
      <c r="H1336" s="56" t="s">
        <v>8</v>
      </c>
      <c r="I1336" s="55" t="s">
        <v>8</v>
      </c>
      <c r="J1336" s="57">
        <v>112.52</v>
      </c>
      <c r="K1336" s="56" t="s">
        <v>2058</v>
      </c>
      <c r="L1336" s="56" t="s">
        <v>2059</v>
      </c>
      <c r="M1336" s="55" t="s">
        <v>2060</v>
      </c>
      <c r="N1336" s="56" t="s">
        <v>2061</v>
      </c>
      <c r="O1336" s="53" t="s">
        <v>8</v>
      </c>
      <c r="P1336" s="56" t="s">
        <v>2070</v>
      </c>
      <c r="Q1336" s="57">
        <v>11600</v>
      </c>
      <c r="R1336" s="58" t="s">
        <v>8</v>
      </c>
      <c r="S1336" s="57" t="s">
        <v>8</v>
      </c>
      <c r="T1336" s="56" t="s">
        <v>8</v>
      </c>
    </row>
    <row r="1337" spans="1:20">
      <c r="A1337" s="55">
        <v>127850602909</v>
      </c>
      <c r="B1337" s="53" t="s">
        <v>2055</v>
      </c>
      <c r="C1337" s="54">
        <v>45932</v>
      </c>
      <c r="D1337" s="55">
        <v>51073905240</v>
      </c>
      <c r="E1337" s="55">
        <v>2085199414377</v>
      </c>
      <c r="F1337" s="56" t="s">
        <v>2056</v>
      </c>
      <c r="G1337" s="56" t="s">
        <v>2057</v>
      </c>
      <c r="H1337" s="56" t="s">
        <v>8</v>
      </c>
      <c r="I1337" s="55" t="s">
        <v>8</v>
      </c>
      <c r="J1337" s="57">
        <v>38.799999999999997</v>
      </c>
      <c r="K1337" s="56" t="s">
        <v>2058</v>
      </c>
      <c r="L1337" s="56" t="s">
        <v>2059</v>
      </c>
      <c r="M1337" s="55" t="s">
        <v>2060</v>
      </c>
      <c r="N1337" s="56" t="s">
        <v>2061</v>
      </c>
      <c r="O1337" s="53" t="s">
        <v>8</v>
      </c>
      <c r="P1337" s="56" t="s">
        <v>2640</v>
      </c>
      <c r="Q1337" s="57">
        <v>4000</v>
      </c>
      <c r="R1337" s="58" t="s">
        <v>8</v>
      </c>
      <c r="S1337" s="57" t="s">
        <v>8</v>
      </c>
      <c r="T1337" s="56" t="s">
        <v>2063</v>
      </c>
    </row>
    <row r="1338" spans="1:20">
      <c r="A1338" s="55">
        <v>127850717607</v>
      </c>
      <c r="B1338" s="53" t="s">
        <v>2055</v>
      </c>
      <c r="C1338" s="54">
        <v>45932</v>
      </c>
      <c r="D1338" s="55">
        <v>51073958760</v>
      </c>
      <c r="E1338" s="55">
        <v>2085262323988</v>
      </c>
      <c r="F1338" s="56" t="s">
        <v>2066</v>
      </c>
      <c r="G1338" s="56" t="s">
        <v>2057</v>
      </c>
      <c r="H1338" s="56" t="s">
        <v>8</v>
      </c>
      <c r="I1338" s="55" t="s">
        <v>8</v>
      </c>
      <c r="J1338" s="57">
        <v>540.26</v>
      </c>
      <c r="K1338" s="56" t="s">
        <v>2058</v>
      </c>
      <c r="L1338" s="56" t="s">
        <v>2067</v>
      </c>
      <c r="M1338" s="55" t="s">
        <v>2060</v>
      </c>
      <c r="N1338" s="56" t="s">
        <v>2061</v>
      </c>
      <c r="O1338" s="53" t="s">
        <v>1790</v>
      </c>
      <c r="P1338" s="56" t="s">
        <v>2068</v>
      </c>
      <c r="Q1338" s="57">
        <v>11900</v>
      </c>
      <c r="R1338" s="58" t="s">
        <v>8</v>
      </c>
      <c r="S1338" s="57" t="s">
        <v>8</v>
      </c>
      <c r="T1338" s="56" t="s">
        <v>2063</v>
      </c>
    </row>
    <row r="1339" spans="1:20">
      <c r="A1339" s="55">
        <v>128416983560</v>
      </c>
      <c r="B1339" s="53" t="s">
        <v>2055</v>
      </c>
      <c r="C1339" s="54">
        <v>45932</v>
      </c>
      <c r="D1339" s="55">
        <v>51074044454</v>
      </c>
      <c r="E1339" s="55">
        <v>2085263792080</v>
      </c>
      <c r="F1339" s="56" t="s">
        <v>2056</v>
      </c>
      <c r="G1339" s="56" t="s">
        <v>2057</v>
      </c>
      <c r="H1339" s="56" t="s">
        <v>8</v>
      </c>
      <c r="I1339" s="55" t="s">
        <v>8</v>
      </c>
      <c r="J1339" s="57">
        <v>73.72</v>
      </c>
      <c r="K1339" s="56" t="s">
        <v>2058</v>
      </c>
      <c r="L1339" s="56" t="s">
        <v>2059</v>
      </c>
      <c r="M1339" s="55" t="s">
        <v>2060</v>
      </c>
      <c r="N1339" s="56" t="s">
        <v>2061</v>
      </c>
      <c r="O1339" s="53" t="s">
        <v>8</v>
      </c>
      <c r="P1339" s="56" t="s">
        <v>2641</v>
      </c>
      <c r="Q1339" s="57">
        <v>7600</v>
      </c>
      <c r="R1339" s="58" t="s">
        <v>8</v>
      </c>
      <c r="S1339" s="57" t="s">
        <v>8</v>
      </c>
      <c r="T1339" s="56" t="s">
        <v>2063</v>
      </c>
    </row>
    <row r="1340" spans="1:20">
      <c r="A1340" s="55">
        <v>128417090472</v>
      </c>
      <c r="B1340" s="53" t="s">
        <v>2055</v>
      </c>
      <c r="C1340" s="54">
        <v>45932</v>
      </c>
      <c r="D1340" s="55">
        <v>51074051714</v>
      </c>
      <c r="E1340" s="55">
        <v>2085202513559</v>
      </c>
      <c r="F1340" s="56" t="s">
        <v>2056</v>
      </c>
      <c r="G1340" s="56" t="s">
        <v>2057</v>
      </c>
      <c r="H1340" s="56" t="s">
        <v>8</v>
      </c>
      <c r="I1340" s="55" t="s">
        <v>8</v>
      </c>
      <c r="J1340" s="57">
        <v>2846.14</v>
      </c>
      <c r="K1340" s="56" t="s">
        <v>2058</v>
      </c>
      <c r="L1340" s="56" t="s">
        <v>2059</v>
      </c>
      <c r="M1340" s="55" t="s">
        <v>2060</v>
      </c>
      <c r="N1340" s="56" t="s">
        <v>2061</v>
      </c>
      <c r="O1340" s="53" t="s">
        <v>8</v>
      </c>
      <c r="P1340" s="56" t="s">
        <v>2642</v>
      </c>
      <c r="Q1340" s="57">
        <v>37400</v>
      </c>
      <c r="R1340" s="58" t="s">
        <v>8</v>
      </c>
      <c r="S1340" s="57" t="s">
        <v>8</v>
      </c>
      <c r="T1340" s="56" t="s">
        <v>2063</v>
      </c>
    </row>
    <row r="1341" spans="1:20">
      <c r="A1341" s="55">
        <v>128417478168</v>
      </c>
      <c r="B1341" s="53" t="s">
        <v>2055</v>
      </c>
      <c r="C1341" s="54">
        <v>45932</v>
      </c>
      <c r="D1341" s="55">
        <v>51074215056</v>
      </c>
      <c r="E1341" s="55">
        <v>2085266862062</v>
      </c>
      <c r="F1341" s="56" t="s">
        <v>2056</v>
      </c>
      <c r="G1341" s="56" t="s">
        <v>2057</v>
      </c>
      <c r="H1341" s="56" t="s">
        <v>8</v>
      </c>
      <c r="I1341" s="55" t="s">
        <v>8</v>
      </c>
      <c r="J1341" s="57">
        <v>43.65</v>
      </c>
      <c r="K1341" s="56" t="s">
        <v>2058</v>
      </c>
      <c r="L1341" s="56" t="s">
        <v>2059</v>
      </c>
      <c r="M1341" s="55" t="s">
        <v>2060</v>
      </c>
      <c r="N1341" s="56" t="s">
        <v>2061</v>
      </c>
      <c r="O1341" s="53" t="s">
        <v>8</v>
      </c>
      <c r="P1341" s="56" t="s">
        <v>2256</v>
      </c>
      <c r="Q1341" s="57">
        <v>4500</v>
      </c>
      <c r="R1341" s="58" t="s">
        <v>8</v>
      </c>
      <c r="S1341" s="57" t="s">
        <v>8</v>
      </c>
      <c r="T1341" s="56" t="s">
        <v>2063</v>
      </c>
    </row>
    <row r="1342" spans="1:20">
      <c r="A1342" s="55">
        <v>127851297553</v>
      </c>
      <c r="B1342" s="53" t="s">
        <v>2055</v>
      </c>
      <c r="C1342" s="54">
        <v>45932</v>
      </c>
      <c r="D1342" s="55">
        <v>51074220836</v>
      </c>
      <c r="E1342" s="55">
        <v>2085205412193</v>
      </c>
      <c r="F1342" s="56" t="s">
        <v>2066</v>
      </c>
      <c r="G1342" s="56" t="s">
        <v>2057</v>
      </c>
      <c r="H1342" s="56" t="s">
        <v>8</v>
      </c>
      <c r="I1342" s="55" t="s">
        <v>8</v>
      </c>
      <c r="J1342" s="57">
        <v>165.06</v>
      </c>
      <c r="K1342" s="56" t="s">
        <v>2058</v>
      </c>
      <c r="L1342" s="56" t="s">
        <v>2067</v>
      </c>
      <c r="M1342" s="55" t="s">
        <v>2060</v>
      </c>
      <c r="N1342" s="56" t="s">
        <v>2061</v>
      </c>
      <c r="O1342" s="53" t="s">
        <v>1790</v>
      </c>
      <c r="P1342" s="56" t="s">
        <v>2068</v>
      </c>
      <c r="Q1342" s="57">
        <v>4200</v>
      </c>
      <c r="R1342" s="58" t="s">
        <v>8</v>
      </c>
      <c r="S1342" s="57" t="s">
        <v>8</v>
      </c>
      <c r="T1342" s="56" t="s">
        <v>2063</v>
      </c>
    </row>
    <row r="1343" spans="1:20">
      <c r="A1343" s="55">
        <v>127851529137</v>
      </c>
      <c r="B1343" s="53" t="s">
        <v>2055</v>
      </c>
      <c r="C1343" s="54">
        <v>45932</v>
      </c>
      <c r="D1343" s="55">
        <v>51074283341</v>
      </c>
      <c r="E1343" s="55">
        <v>2085207128339</v>
      </c>
      <c r="F1343" s="56" t="s">
        <v>2056</v>
      </c>
      <c r="G1343" s="56" t="s">
        <v>2057</v>
      </c>
      <c r="H1343" s="56" t="s">
        <v>8</v>
      </c>
      <c r="I1343" s="55" t="s">
        <v>8</v>
      </c>
      <c r="J1343" s="57">
        <v>97</v>
      </c>
      <c r="K1343" s="56" t="s">
        <v>2058</v>
      </c>
      <c r="L1343" s="56" t="s">
        <v>2059</v>
      </c>
      <c r="M1343" s="55" t="s">
        <v>2060</v>
      </c>
      <c r="N1343" s="56" t="s">
        <v>2061</v>
      </c>
      <c r="O1343" s="53" t="s">
        <v>8</v>
      </c>
      <c r="P1343" s="56" t="s">
        <v>2638</v>
      </c>
      <c r="Q1343" s="57">
        <v>10000</v>
      </c>
      <c r="R1343" s="58" t="s">
        <v>8</v>
      </c>
      <c r="S1343" s="57" t="s">
        <v>8</v>
      </c>
      <c r="T1343" s="56" t="s">
        <v>2063</v>
      </c>
    </row>
    <row r="1344" spans="1:20">
      <c r="A1344" s="55">
        <v>127852042311</v>
      </c>
      <c r="B1344" s="53" t="s">
        <v>2055</v>
      </c>
      <c r="C1344" s="54">
        <v>45932</v>
      </c>
      <c r="D1344" s="55">
        <v>51074498467</v>
      </c>
      <c r="E1344" s="55">
        <v>2085271773062</v>
      </c>
      <c r="F1344" s="56" t="s">
        <v>2056</v>
      </c>
      <c r="G1344" s="56" t="s">
        <v>2057</v>
      </c>
      <c r="H1344" s="56" t="s">
        <v>8</v>
      </c>
      <c r="I1344" s="55" t="s">
        <v>8</v>
      </c>
      <c r="J1344" s="57">
        <v>23.28</v>
      </c>
      <c r="K1344" s="56" t="s">
        <v>2058</v>
      </c>
      <c r="L1344" s="56" t="s">
        <v>2059</v>
      </c>
      <c r="M1344" s="55" t="s">
        <v>2060</v>
      </c>
      <c r="N1344" s="56" t="s">
        <v>2061</v>
      </c>
      <c r="O1344" s="53" t="s">
        <v>8</v>
      </c>
      <c r="P1344" s="56" t="s">
        <v>2643</v>
      </c>
      <c r="Q1344" s="57">
        <v>2400</v>
      </c>
      <c r="R1344" s="58" t="s">
        <v>8</v>
      </c>
      <c r="S1344" s="57" t="s">
        <v>8</v>
      </c>
      <c r="T1344" s="56" t="s">
        <v>2063</v>
      </c>
    </row>
    <row r="1345" spans="1:20">
      <c r="A1345" s="55">
        <v>127852662327</v>
      </c>
      <c r="B1345" s="53" t="s">
        <v>2055</v>
      </c>
      <c r="C1345" s="54">
        <v>45932</v>
      </c>
      <c r="D1345" s="55">
        <v>51074740234</v>
      </c>
      <c r="E1345" s="55">
        <v>2085214164687</v>
      </c>
      <c r="F1345" s="56" t="s">
        <v>2056</v>
      </c>
      <c r="G1345" s="56" t="s">
        <v>2057</v>
      </c>
      <c r="H1345" s="56" t="s">
        <v>8</v>
      </c>
      <c r="I1345" s="55" t="s">
        <v>8</v>
      </c>
      <c r="J1345" s="57">
        <v>297.79000000000002</v>
      </c>
      <c r="K1345" s="56" t="s">
        <v>2058</v>
      </c>
      <c r="L1345" s="56" t="s">
        <v>2059</v>
      </c>
      <c r="M1345" s="55" t="s">
        <v>2060</v>
      </c>
      <c r="N1345" s="56" t="s">
        <v>2061</v>
      </c>
      <c r="O1345" s="53" t="s">
        <v>8</v>
      </c>
      <c r="P1345" s="56" t="s">
        <v>2644</v>
      </c>
      <c r="Q1345" s="57">
        <v>30700</v>
      </c>
      <c r="R1345" s="58" t="s">
        <v>8</v>
      </c>
      <c r="S1345" s="57" t="s">
        <v>8</v>
      </c>
      <c r="T1345" s="56" t="s">
        <v>2063</v>
      </c>
    </row>
    <row r="1346" spans="1:20">
      <c r="A1346" s="55">
        <v>128418794938</v>
      </c>
      <c r="B1346" s="53" t="s">
        <v>2055</v>
      </c>
      <c r="C1346" s="54">
        <v>45932</v>
      </c>
      <c r="D1346" s="55">
        <v>51074769774</v>
      </c>
      <c r="E1346" s="55">
        <v>2085214695545</v>
      </c>
      <c r="F1346" s="56" t="s">
        <v>2056</v>
      </c>
      <c r="G1346" s="56" t="s">
        <v>2057</v>
      </c>
      <c r="H1346" s="56" t="s">
        <v>8</v>
      </c>
      <c r="I1346" s="55" t="s">
        <v>8</v>
      </c>
      <c r="J1346" s="57">
        <v>38.799999999999997</v>
      </c>
      <c r="K1346" s="56" t="s">
        <v>2058</v>
      </c>
      <c r="L1346" s="56" t="s">
        <v>2059</v>
      </c>
      <c r="M1346" s="55" t="s">
        <v>2060</v>
      </c>
      <c r="N1346" s="56" t="s">
        <v>2061</v>
      </c>
      <c r="O1346" s="53" t="s">
        <v>8</v>
      </c>
      <c r="P1346" s="56" t="s">
        <v>2633</v>
      </c>
      <c r="Q1346" s="57">
        <v>4000</v>
      </c>
      <c r="R1346" s="58" t="s">
        <v>8</v>
      </c>
      <c r="S1346" s="57" t="s">
        <v>8</v>
      </c>
      <c r="T1346" s="56" t="s">
        <v>2063</v>
      </c>
    </row>
    <row r="1347" spans="1:20">
      <c r="A1347" s="55">
        <v>127852972373</v>
      </c>
      <c r="B1347" s="53" t="s">
        <v>2055</v>
      </c>
      <c r="C1347" s="54">
        <v>45932</v>
      </c>
      <c r="D1347" s="55">
        <v>51074839610</v>
      </c>
      <c r="E1347" s="55">
        <v>2085277787734</v>
      </c>
      <c r="F1347" s="56" t="s">
        <v>2069</v>
      </c>
      <c r="G1347" s="56" t="s">
        <v>2057</v>
      </c>
      <c r="H1347" s="56" t="s">
        <v>8</v>
      </c>
      <c r="I1347" s="55" t="s">
        <v>8</v>
      </c>
      <c r="J1347" s="57">
        <v>46.56</v>
      </c>
      <c r="K1347" s="56" t="s">
        <v>2058</v>
      </c>
      <c r="L1347" s="56" t="s">
        <v>2059</v>
      </c>
      <c r="M1347" s="55" t="s">
        <v>2060</v>
      </c>
      <c r="N1347" s="56" t="s">
        <v>2061</v>
      </c>
      <c r="O1347" s="53" t="s">
        <v>8</v>
      </c>
      <c r="P1347" s="56" t="s">
        <v>2070</v>
      </c>
      <c r="Q1347" s="57">
        <v>4800</v>
      </c>
      <c r="R1347" s="58" t="s">
        <v>8</v>
      </c>
      <c r="S1347" s="57" t="s">
        <v>8</v>
      </c>
      <c r="T1347" s="56" t="s">
        <v>8</v>
      </c>
    </row>
    <row r="1348" spans="1:20">
      <c r="A1348" s="55">
        <v>128419226662</v>
      </c>
      <c r="B1348" s="53" t="s">
        <v>2055</v>
      </c>
      <c r="C1348" s="54">
        <v>45932</v>
      </c>
      <c r="D1348" s="55">
        <v>51074929612</v>
      </c>
      <c r="E1348" s="55">
        <v>2085279175928</v>
      </c>
      <c r="F1348" s="56" t="s">
        <v>2066</v>
      </c>
      <c r="G1348" s="56" t="s">
        <v>2057</v>
      </c>
      <c r="H1348" s="56" t="s">
        <v>8</v>
      </c>
      <c r="I1348" s="55" t="s">
        <v>8</v>
      </c>
      <c r="J1348" s="57">
        <v>165.06</v>
      </c>
      <c r="K1348" s="56" t="s">
        <v>2058</v>
      </c>
      <c r="L1348" s="56" t="s">
        <v>2067</v>
      </c>
      <c r="M1348" s="55" t="s">
        <v>2060</v>
      </c>
      <c r="N1348" s="56" t="s">
        <v>2061</v>
      </c>
      <c r="O1348" s="53" t="s">
        <v>1790</v>
      </c>
      <c r="P1348" s="56" t="s">
        <v>2068</v>
      </c>
      <c r="Q1348" s="57">
        <v>4200</v>
      </c>
      <c r="R1348" s="58" t="s">
        <v>8</v>
      </c>
      <c r="S1348" s="57" t="s">
        <v>8</v>
      </c>
      <c r="T1348" s="56" t="s">
        <v>2063</v>
      </c>
    </row>
    <row r="1349" spans="1:20">
      <c r="A1349" s="55">
        <v>128419350310</v>
      </c>
      <c r="B1349" s="53" t="s">
        <v>2055</v>
      </c>
      <c r="C1349" s="54">
        <v>45932</v>
      </c>
      <c r="D1349" s="55">
        <v>51074996784</v>
      </c>
      <c r="E1349" s="55">
        <v>2085218218651</v>
      </c>
      <c r="F1349" s="56" t="s">
        <v>2056</v>
      </c>
      <c r="G1349" s="56" t="s">
        <v>2057</v>
      </c>
      <c r="H1349" s="56" t="s">
        <v>8</v>
      </c>
      <c r="I1349" s="55" t="s">
        <v>8</v>
      </c>
      <c r="J1349" s="57">
        <v>934.11</v>
      </c>
      <c r="K1349" s="56" t="s">
        <v>2058</v>
      </c>
      <c r="L1349" s="56" t="s">
        <v>2059</v>
      </c>
      <c r="M1349" s="55" t="s">
        <v>2060</v>
      </c>
      <c r="N1349" s="56" t="s">
        <v>2061</v>
      </c>
      <c r="O1349" s="53" t="s">
        <v>8</v>
      </c>
      <c r="P1349" s="56" t="s">
        <v>2441</v>
      </c>
      <c r="Q1349" s="57">
        <v>96300</v>
      </c>
      <c r="R1349" s="58" t="s">
        <v>8</v>
      </c>
      <c r="S1349" s="57" t="s">
        <v>8</v>
      </c>
      <c r="T1349" s="56" t="s">
        <v>2063</v>
      </c>
    </row>
    <row r="1350" spans="1:20">
      <c r="A1350" s="55">
        <v>128419431770</v>
      </c>
      <c r="B1350" s="53" t="s">
        <v>2055</v>
      </c>
      <c r="C1350" s="54">
        <v>45932</v>
      </c>
      <c r="D1350" s="55">
        <v>51075078022</v>
      </c>
      <c r="E1350" s="55">
        <v>2085219650395</v>
      </c>
      <c r="F1350" s="56" t="s">
        <v>2056</v>
      </c>
      <c r="G1350" s="56" t="s">
        <v>2057</v>
      </c>
      <c r="H1350" s="56" t="s">
        <v>8</v>
      </c>
      <c r="I1350" s="55" t="s">
        <v>8</v>
      </c>
      <c r="J1350" s="57">
        <v>236.68</v>
      </c>
      <c r="K1350" s="56" t="s">
        <v>2058</v>
      </c>
      <c r="L1350" s="56" t="s">
        <v>2059</v>
      </c>
      <c r="M1350" s="55" t="s">
        <v>2060</v>
      </c>
      <c r="N1350" s="56" t="s">
        <v>2061</v>
      </c>
      <c r="O1350" s="53" t="s">
        <v>8</v>
      </c>
      <c r="P1350" s="56" t="s">
        <v>2645</v>
      </c>
      <c r="Q1350" s="57">
        <v>24400</v>
      </c>
      <c r="R1350" s="58" t="s">
        <v>8</v>
      </c>
      <c r="S1350" s="57" t="s">
        <v>8</v>
      </c>
      <c r="T1350" s="56" t="s">
        <v>2063</v>
      </c>
    </row>
    <row r="1351" spans="1:20">
      <c r="A1351" s="55">
        <v>128419732970</v>
      </c>
      <c r="B1351" s="53" t="s">
        <v>2055</v>
      </c>
      <c r="C1351" s="54">
        <v>45932</v>
      </c>
      <c r="D1351" s="55">
        <v>51075195068</v>
      </c>
      <c r="E1351" s="55">
        <v>2085282955246</v>
      </c>
      <c r="F1351" s="56" t="s">
        <v>2056</v>
      </c>
      <c r="G1351" s="56" t="s">
        <v>2057</v>
      </c>
      <c r="H1351" s="56" t="s">
        <v>8</v>
      </c>
      <c r="I1351" s="55" t="s">
        <v>8</v>
      </c>
      <c r="J1351" s="57">
        <v>46.56</v>
      </c>
      <c r="K1351" s="56" t="s">
        <v>2058</v>
      </c>
      <c r="L1351" s="56" t="s">
        <v>2059</v>
      </c>
      <c r="M1351" s="55" t="s">
        <v>2060</v>
      </c>
      <c r="N1351" s="56" t="s">
        <v>2061</v>
      </c>
      <c r="O1351" s="53" t="s">
        <v>8</v>
      </c>
      <c r="P1351" s="56" t="s">
        <v>2646</v>
      </c>
      <c r="Q1351" s="57">
        <v>4800</v>
      </c>
      <c r="R1351" s="58" t="s">
        <v>8</v>
      </c>
      <c r="S1351" s="57" t="s">
        <v>8</v>
      </c>
      <c r="T1351" s="56" t="s">
        <v>2063</v>
      </c>
    </row>
    <row r="1352" spans="1:20">
      <c r="A1352" s="55">
        <v>127853704713</v>
      </c>
      <c r="B1352" s="53" t="s">
        <v>2055</v>
      </c>
      <c r="C1352" s="54">
        <v>45932</v>
      </c>
      <c r="D1352" s="55">
        <v>51075232500</v>
      </c>
      <c r="E1352" s="55">
        <v>2085222175109</v>
      </c>
      <c r="F1352" s="56" t="s">
        <v>2056</v>
      </c>
      <c r="G1352" s="56" t="s">
        <v>2057</v>
      </c>
      <c r="H1352" s="56" t="s">
        <v>8</v>
      </c>
      <c r="I1352" s="55" t="s">
        <v>8</v>
      </c>
      <c r="J1352" s="57">
        <v>97</v>
      </c>
      <c r="K1352" s="56" t="s">
        <v>2058</v>
      </c>
      <c r="L1352" s="56" t="s">
        <v>2059</v>
      </c>
      <c r="M1352" s="55" t="s">
        <v>2060</v>
      </c>
      <c r="N1352" s="56" t="s">
        <v>2061</v>
      </c>
      <c r="O1352" s="53" t="s">
        <v>8</v>
      </c>
      <c r="P1352" s="56" t="s">
        <v>2647</v>
      </c>
      <c r="Q1352" s="57">
        <v>10000</v>
      </c>
      <c r="R1352" s="58" t="s">
        <v>8</v>
      </c>
      <c r="S1352" s="57" t="s">
        <v>8</v>
      </c>
      <c r="T1352" s="56" t="s">
        <v>2063</v>
      </c>
    </row>
    <row r="1353" spans="1:20">
      <c r="A1353" s="55">
        <v>127853815447</v>
      </c>
      <c r="B1353" s="53" t="s">
        <v>2055</v>
      </c>
      <c r="C1353" s="54">
        <v>45932</v>
      </c>
      <c r="D1353" s="55">
        <v>51075281569</v>
      </c>
      <c r="E1353" s="55">
        <v>2085223146617</v>
      </c>
      <c r="F1353" s="56" t="s">
        <v>2056</v>
      </c>
      <c r="G1353" s="56" t="s">
        <v>2057</v>
      </c>
      <c r="H1353" s="56" t="s">
        <v>8</v>
      </c>
      <c r="I1353" s="55" t="s">
        <v>8</v>
      </c>
      <c r="J1353" s="57">
        <v>180.42</v>
      </c>
      <c r="K1353" s="56" t="s">
        <v>2058</v>
      </c>
      <c r="L1353" s="56" t="s">
        <v>2059</v>
      </c>
      <c r="M1353" s="55" t="s">
        <v>2060</v>
      </c>
      <c r="N1353" s="56" t="s">
        <v>2061</v>
      </c>
      <c r="O1353" s="53" t="s">
        <v>8</v>
      </c>
      <c r="P1353" s="56" t="s">
        <v>2276</v>
      </c>
      <c r="Q1353" s="57">
        <v>18600</v>
      </c>
      <c r="R1353" s="58" t="s">
        <v>8</v>
      </c>
      <c r="S1353" s="57" t="s">
        <v>8</v>
      </c>
      <c r="T1353" s="56" t="s">
        <v>2063</v>
      </c>
    </row>
    <row r="1354" spans="1:20">
      <c r="A1354" s="55">
        <v>128420232980</v>
      </c>
      <c r="B1354" s="53" t="s">
        <v>2055</v>
      </c>
      <c r="C1354" s="54">
        <v>45932</v>
      </c>
      <c r="D1354" s="55">
        <v>51075365368</v>
      </c>
      <c r="E1354" s="55">
        <v>2085224164907</v>
      </c>
      <c r="F1354" s="56" t="s">
        <v>2066</v>
      </c>
      <c r="G1354" s="56" t="s">
        <v>2057</v>
      </c>
      <c r="H1354" s="56" t="s">
        <v>8</v>
      </c>
      <c r="I1354" s="55" t="s">
        <v>8</v>
      </c>
      <c r="J1354" s="57">
        <v>1733.13</v>
      </c>
      <c r="K1354" s="56" t="s">
        <v>2058</v>
      </c>
      <c r="L1354" s="56" t="s">
        <v>2067</v>
      </c>
      <c r="M1354" s="55" t="s">
        <v>2060</v>
      </c>
      <c r="N1354" s="56" t="s">
        <v>2061</v>
      </c>
      <c r="O1354" s="53" t="s">
        <v>1790</v>
      </c>
      <c r="P1354" s="56" t="s">
        <v>2068</v>
      </c>
      <c r="Q1354" s="57">
        <v>44100</v>
      </c>
      <c r="R1354" s="58" t="s">
        <v>8</v>
      </c>
      <c r="S1354" s="57" t="s">
        <v>8</v>
      </c>
      <c r="T1354" s="56" t="s">
        <v>2063</v>
      </c>
    </row>
    <row r="1355" spans="1:20">
      <c r="A1355" s="55">
        <v>127854076319</v>
      </c>
      <c r="B1355" s="53" t="s">
        <v>2055</v>
      </c>
      <c r="C1355" s="54">
        <v>45932</v>
      </c>
      <c r="D1355" s="55">
        <v>51075386088</v>
      </c>
      <c r="E1355" s="55">
        <v>2085286173518</v>
      </c>
      <c r="F1355" s="56" t="s">
        <v>2056</v>
      </c>
      <c r="G1355" s="56" t="s">
        <v>2057</v>
      </c>
      <c r="H1355" s="56" t="s">
        <v>8</v>
      </c>
      <c r="I1355" s="55" t="s">
        <v>8</v>
      </c>
      <c r="J1355" s="57">
        <v>61.11</v>
      </c>
      <c r="K1355" s="56" t="s">
        <v>2058</v>
      </c>
      <c r="L1355" s="56" t="s">
        <v>2059</v>
      </c>
      <c r="M1355" s="55" t="s">
        <v>2060</v>
      </c>
      <c r="N1355" s="56" t="s">
        <v>2061</v>
      </c>
      <c r="O1355" s="53" t="s">
        <v>8</v>
      </c>
      <c r="P1355" s="56" t="s">
        <v>2648</v>
      </c>
      <c r="Q1355" s="57">
        <v>6300</v>
      </c>
      <c r="R1355" s="58" t="s">
        <v>8</v>
      </c>
      <c r="S1355" s="57" t="s">
        <v>8</v>
      </c>
      <c r="T1355" s="56" t="s">
        <v>2063</v>
      </c>
    </row>
    <row r="1356" spans="1:20">
      <c r="A1356" s="55">
        <v>128420407042</v>
      </c>
      <c r="B1356" s="53" t="s">
        <v>2055</v>
      </c>
      <c r="C1356" s="54">
        <v>45932</v>
      </c>
      <c r="D1356" s="55">
        <v>51075465472</v>
      </c>
      <c r="E1356" s="55">
        <v>2085287326594</v>
      </c>
      <c r="F1356" s="56" t="s">
        <v>2066</v>
      </c>
      <c r="G1356" s="56" t="s">
        <v>2057</v>
      </c>
      <c r="H1356" s="56" t="s">
        <v>8</v>
      </c>
      <c r="I1356" s="55" t="s">
        <v>8</v>
      </c>
      <c r="J1356" s="57">
        <v>10174.14</v>
      </c>
      <c r="K1356" s="56" t="s">
        <v>2058</v>
      </c>
      <c r="L1356" s="56" t="s">
        <v>2067</v>
      </c>
      <c r="M1356" s="55" t="s">
        <v>2060</v>
      </c>
      <c r="N1356" s="56" t="s">
        <v>2061</v>
      </c>
      <c r="O1356" s="53" t="s">
        <v>1790</v>
      </c>
      <c r="P1356" s="56" t="s">
        <v>2068</v>
      </c>
      <c r="Q1356" s="57">
        <v>224100</v>
      </c>
      <c r="R1356" s="58" t="s">
        <v>8</v>
      </c>
      <c r="S1356" s="57" t="s">
        <v>8</v>
      </c>
      <c r="T1356" s="56" t="s">
        <v>2063</v>
      </c>
    </row>
    <row r="1357" spans="1:20">
      <c r="A1357" s="55">
        <v>127854278121</v>
      </c>
      <c r="B1357" s="53" t="s">
        <v>2055</v>
      </c>
      <c r="C1357" s="54">
        <v>45932</v>
      </c>
      <c r="D1357" s="55">
        <v>51075495766</v>
      </c>
      <c r="E1357" s="55">
        <v>2085226017327</v>
      </c>
      <c r="F1357" s="56" t="s">
        <v>2056</v>
      </c>
      <c r="G1357" s="56" t="s">
        <v>2057</v>
      </c>
      <c r="H1357" s="56" t="s">
        <v>8</v>
      </c>
      <c r="I1357" s="55" t="s">
        <v>8</v>
      </c>
      <c r="J1357" s="57">
        <v>61.11</v>
      </c>
      <c r="K1357" s="56" t="s">
        <v>2058</v>
      </c>
      <c r="L1357" s="56" t="s">
        <v>2059</v>
      </c>
      <c r="M1357" s="55" t="s">
        <v>2060</v>
      </c>
      <c r="N1357" s="56" t="s">
        <v>2061</v>
      </c>
      <c r="O1357" s="53" t="s">
        <v>8</v>
      </c>
      <c r="P1357" s="56" t="s">
        <v>2648</v>
      </c>
      <c r="Q1357" s="57">
        <v>6300</v>
      </c>
      <c r="R1357" s="58" t="s">
        <v>8</v>
      </c>
      <c r="S1357" s="57" t="s">
        <v>8</v>
      </c>
      <c r="T1357" s="56" t="s">
        <v>2063</v>
      </c>
    </row>
    <row r="1358" spans="1:20">
      <c r="A1358" s="55">
        <v>128420454022</v>
      </c>
      <c r="B1358" s="53" t="s">
        <v>2055</v>
      </c>
      <c r="C1358" s="54">
        <v>45932</v>
      </c>
      <c r="D1358" s="55">
        <v>51075502755</v>
      </c>
      <c r="E1358" s="55">
        <v>2085226497795</v>
      </c>
      <c r="F1358" s="56" t="s">
        <v>2069</v>
      </c>
      <c r="G1358" s="56" t="s">
        <v>2057</v>
      </c>
      <c r="H1358" s="56" t="s">
        <v>8</v>
      </c>
      <c r="I1358" s="55" t="s">
        <v>8</v>
      </c>
      <c r="J1358" s="57">
        <v>97</v>
      </c>
      <c r="K1358" s="56" t="s">
        <v>2058</v>
      </c>
      <c r="L1358" s="56" t="s">
        <v>2059</v>
      </c>
      <c r="M1358" s="55" t="s">
        <v>2060</v>
      </c>
      <c r="N1358" s="56" t="s">
        <v>2061</v>
      </c>
      <c r="O1358" s="53" t="s">
        <v>8</v>
      </c>
      <c r="P1358" s="56" t="s">
        <v>2070</v>
      </c>
      <c r="Q1358" s="57">
        <v>10000</v>
      </c>
      <c r="R1358" s="58" t="s">
        <v>8</v>
      </c>
      <c r="S1358" s="57" t="s">
        <v>8</v>
      </c>
      <c r="T1358" s="56" t="s">
        <v>8</v>
      </c>
    </row>
    <row r="1359" spans="1:20">
      <c r="A1359" s="55">
        <v>127854437157</v>
      </c>
      <c r="B1359" s="53" t="s">
        <v>2055</v>
      </c>
      <c r="C1359" s="54">
        <v>45932</v>
      </c>
      <c r="D1359" s="55">
        <v>51075573186</v>
      </c>
      <c r="E1359" s="55">
        <v>2085289416098</v>
      </c>
      <c r="F1359" s="56" t="s">
        <v>2069</v>
      </c>
      <c r="G1359" s="56" t="s">
        <v>2057</v>
      </c>
      <c r="H1359" s="56" t="s">
        <v>8</v>
      </c>
      <c r="I1359" s="55" t="s">
        <v>8</v>
      </c>
      <c r="J1359" s="57">
        <v>461.72</v>
      </c>
      <c r="K1359" s="56" t="s">
        <v>2058</v>
      </c>
      <c r="L1359" s="56" t="s">
        <v>2059</v>
      </c>
      <c r="M1359" s="55" t="s">
        <v>2060</v>
      </c>
      <c r="N1359" s="56" t="s">
        <v>2061</v>
      </c>
      <c r="O1359" s="53" t="s">
        <v>8</v>
      </c>
      <c r="P1359" s="56" t="s">
        <v>2070</v>
      </c>
      <c r="Q1359" s="57">
        <v>47600</v>
      </c>
      <c r="R1359" s="58" t="s">
        <v>8</v>
      </c>
      <c r="S1359" s="57" t="s">
        <v>8</v>
      </c>
      <c r="T1359" s="56" t="s">
        <v>8</v>
      </c>
    </row>
    <row r="1360" spans="1:20">
      <c r="A1360" s="55">
        <v>128420793726</v>
      </c>
      <c r="B1360" s="53" t="s">
        <v>2055</v>
      </c>
      <c r="C1360" s="54">
        <v>45932</v>
      </c>
      <c r="D1360" s="55">
        <v>51075694431</v>
      </c>
      <c r="E1360" s="55">
        <v>2085228926727</v>
      </c>
      <c r="F1360" s="56" t="s">
        <v>2056</v>
      </c>
      <c r="G1360" s="56" t="s">
        <v>2057</v>
      </c>
      <c r="H1360" s="56" t="s">
        <v>8</v>
      </c>
      <c r="I1360" s="55" t="s">
        <v>8</v>
      </c>
      <c r="J1360" s="57">
        <v>70.81</v>
      </c>
      <c r="K1360" s="56" t="s">
        <v>2058</v>
      </c>
      <c r="L1360" s="56" t="s">
        <v>2059</v>
      </c>
      <c r="M1360" s="55" t="s">
        <v>2060</v>
      </c>
      <c r="N1360" s="56" t="s">
        <v>2061</v>
      </c>
      <c r="O1360" s="53" t="s">
        <v>8</v>
      </c>
      <c r="P1360" s="56" t="s">
        <v>2649</v>
      </c>
      <c r="Q1360" s="57">
        <v>7300</v>
      </c>
      <c r="R1360" s="58" t="s">
        <v>8</v>
      </c>
      <c r="S1360" s="57" t="s">
        <v>8</v>
      </c>
      <c r="T1360" s="56" t="s">
        <v>2063</v>
      </c>
    </row>
    <row r="1361" spans="1:20">
      <c r="A1361" s="55">
        <v>127854884711</v>
      </c>
      <c r="B1361" s="53" t="s">
        <v>2055</v>
      </c>
      <c r="C1361" s="54">
        <v>45933</v>
      </c>
      <c r="D1361" s="55">
        <v>51075722797</v>
      </c>
      <c r="E1361" s="55">
        <v>2085291534300</v>
      </c>
      <c r="F1361" s="56" t="s">
        <v>2056</v>
      </c>
      <c r="G1361" s="56" t="s">
        <v>2057</v>
      </c>
      <c r="H1361" s="56" t="s">
        <v>8</v>
      </c>
      <c r="I1361" s="55" t="s">
        <v>8</v>
      </c>
      <c r="J1361" s="57">
        <v>48.5</v>
      </c>
      <c r="K1361" s="56" t="s">
        <v>2058</v>
      </c>
      <c r="L1361" s="56" t="s">
        <v>2059</v>
      </c>
      <c r="M1361" s="55" t="s">
        <v>2060</v>
      </c>
      <c r="N1361" s="56" t="s">
        <v>2061</v>
      </c>
      <c r="O1361" s="53" t="s">
        <v>8</v>
      </c>
      <c r="P1361" s="56" t="s">
        <v>2650</v>
      </c>
      <c r="Q1361" s="57">
        <v>5000</v>
      </c>
      <c r="R1361" s="58" t="s">
        <v>8</v>
      </c>
      <c r="S1361" s="57" t="s">
        <v>8</v>
      </c>
      <c r="T1361" s="56" t="s">
        <v>2063</v>
      </c>
    </row>
    <row r="1362" spans="1:20">
      <c r="A1362" s="55">
        <v>127854922579</v>
      </c>
      <c r="B1362" s="53" t="s">
        <v>2055</v>
      </c>
      <c r="C1362" s="54">
        <v>45933</v>
      </c>
      <c r="D1362" s="55">
        <v>51075756052</v>
      </c>
      <c r="E1362" s="55">
        <v>2085230249263</v>
      </c>
      <c r="F1362" s="56" t="s">
        <v>2056</v>
      </c>
      <c r="G1362" s="56" t="s">
        <v>2057</v>
      </c>
      <c r="H1362" s="56" t="s">
        <v>8</v>
      </c>
      <c r="I1362" s="55" t="s">
        <v>8</v>
      </c>
      <c r="J1362" s="57">
        <v>2480.86</v>
      </c>
      <c r="K1362" s="56" t="s">
        <v>2058</v>
      </c>
      <c r="L1362" s="56" t="s">
        <v>2059</v>
      </c>
      <c r="M1362" s="55" t="s">
        <v>2060</v>
      </c>
      <c r="N1362" s="56" t="s">
        <v>2061</v>
      </c>
      <c r="O1362" s="53" t="s">
        <v>8</v>
      </c>
      <c r="P1362" s="56" t="s">
        <v>2651</v>
      </c>
      <c r="Q1362" s="57">
        <v>32600</v>
      </c>
      <c r="R1362" s="58" t="s">
        <v>8</v>
      </c>
      <c r="S1362" s="57" t="s">
        <v>8</v>
      </c>
      <c r="T1362" s="56" t="s">
        <v>2063</v>
      </c>
    </row>
    <row r="1363" spans="1:20">
      <c r="A1363" s="55">
        <v>127854974679</v>
      </c>
      <c r="B1363" s="53" t="s">
        <v>2055</v>
      </c>
      <c r="C1363" s="54">
        <v>45933</v>
      </c>
      <c r="D1363" s="55">
        <v>51075797540</v>
      </c>
      <c r="E1363" s="55">
        <v>2085292620384</v>
      </c>
      <c r="F1363" s="56" t="s">
        <v>2069</v>
      </c>
      <c r="G1363" s="56" t="s">
        <v>2057</v>
      </c>
      <c r="H1363" s="56" t="s">
        <v>8</v>
      </c>
      <c r="I1363" s="55" t="s">
        <v>8</v>
      </c>
      <c r="J1363" s="57">
        <v>182.36</v>
      </c>
      <c r="K1363" s="56" t="s">
        <v>2058</v>
      </c>
      <c r="L1363" s="56" t="s">
        <v>2059</v>
      </c>
      <c r="M1363" s="55" t="s">
        <v>2060</v>
      </c>
      <c r="N1363" s="56" t="s">
        <v>2061</v>
      </c>
      <c r="O1363" s="53" t="s">
        <v>8</v>
      </c>
      <c r="P1363" s="56" t="s">
        <v>2070</v>
      </c>
      <c r="Q1363" s="57">
        <v>18800</v>
      </c>
      <c r="R1363" s="58" t="s">
        <v>8</v>
      </c>
      <c r="S1363" s="57" t="s">
        <v>8</v>
      </c>
      <c r="T1363" s="56" t="s">
        <v>8</v>
      </c>
    </row>
    <row r="1364" spans="1:20">
      <c r="A1364" s="55">
        <v>128421075828</v>
      </c>
      <c r="B1364" s="53" t="s">
        <v>2055</v>
      </c>
      <c r="C1364" s="54">
        <v>45933</v>
      </c>
      <c r="D1364" s="55">
        <v>51075823571</v>
      </c>
      <c r="E1364" s="55">
        <v>2085292833910</v>
      </c>
      <c r="F1364" s="56" t="s">
        <v>2066</v>
      </c>
      <c r="G1364" s="56" t="s">
        <v>2136</v>
      </c>
      <c r="H1364" s="56" t="s">
        <v>2137</v>
      </c>
      <c r="I1364" s="55" t="s">
        <v>8</v>
      </c>
      <c r="J1364" s="57">
        <v>5161.9799999999996</v>
      </c>
      <c r="K1364" s="56" t="s">
        <v>2058</v>
      </c>
      <c r="L1364" s="56" t="s">
        <v>2067</v>
      </c>
      <c r="M1364" s="55" t="s">
        <v>2060</v>
      </c>
      <c r="N1364" s="56" t="s">
        <v>2061</v>
      </c>
      <c r="O1364" s="53" t="s">
        <v>1790</v>
      </c>
      <c r="P1364" s="56" t="s">
        <v>2068</v>
      </c>
      <c r="Q1364" s="57">
        <v>113700</v>
      </c>
      <c r="R1364" s="58" t="s">
        <v>8</v>
      </c>
      <c r="S1364" s="57" t="s">
        <v>8</v>
      </c>
      <c r="T1364" s="56" t="s">
        <v>2063</v>
      </c>
    </row>
    <row r="1365" spans="1:20">
      <c r="A1365" s="55">
        <v>128421266626</v>
      </c>
      <c r="B1365" s="53" t="s">
        <v>2055</v>
      </c>
      <c r="C1365" s="54">
        <v>45933</v>
      </c>
      <c r="D1365" s="55">
        <v>51075897848</v>
      </c>
      <c r="E1365" s="55">
        <v>2085232092175</v>
      </c>
      <c r="F1365" s="56" t="s">
        <v>2069</v>
      </c>
      <c r="G1365" s="56" t="s">
        <v>2057</v>
      </c>
      <c r="H1365" s="56" t="s">
        <v>8</v>
      </c>
      <c r="I1365" s="55" t="s">
        <v>8</v>
      </c>
      <c r="J1365" s="57">
        <v>41.71</v>
      </c>
      <c r="K1365" s="56" t="s">
        <v>2058</v>
      </c>
      <c r="L1365" s="56" t="s">
        <v>2059</v>
      </c>
      <c r="M1365" s="55" t="s">
        <v>2060</v>
      </c>
      <c r="N1365" s="56" t="s">
        <v>2061</v>
      </c>
      <c r="O1365" s="53" t="s">
        <v>8</v>
      </c>
      <c r="P1365" s="56" t="s">
        <v>2070</v>
      </c>
      <c r="Q1365" s="57">
        <v>4300</v>
      </c>
      <c r="R1365" s="58" t="s">
        <v>8</v>
      </c>
      <c r="S1365" s="57" t="s">
        <v>8</v>
      </c>
      <c r="T1365" s="56" t="s">
        <v>8</v>
      </c>
    </row>
    <row r="1366" spans="1:20">
      <c r="A1366" s="55">
        <v>128421434434</v>
      </c>
      <c r="B1366" s="53" t="s">
        <v>2055</v>
      </c>
      <c r="C1366" s="54">
        <v>45933</v>
      </c>
      <c r="D1366" s="55">
        <v>51075972722</v>
      </c>
      <c r="E1366" s="55">
        <v>2085233390737</v>
      </c>
      <c r="F1366" s="56" t="s">
        <v>2056</v>
      </c>
      <c r="G1366" s="56" t="s">
        <v>2057</v>
      </c>
      <c r="H1366" s="56" t="s">
        <v>8</v>
      </c>
      <c r="I1366" s="55" t="s">
        <v>8</v>
      </c>
      <c r="J1366" s="57">
        <v>93.12</v>
      </c>
      <c r="K1366" s="56" t="s">
        <v>2058</v>
      </c>
      <c r="L1366" s="56" t="s">
        <v>2059</v>
      </c>
      <c r="M1366" s="55" t="s">
        <v>2060</v>
      </c>
      <c r="N1366" s="56" t="s">
        <v>2061</v>
      </c>
      <c r="O1366" s="53" t="s">
        <v>8</v>
      </c>
      <c r="P1366" s="56" t="s">
        <v>2415</v>
      </c>
      <c r="Q1366" s="57">
        <v>9600</v>
      </c>
      <c r="R1366" s="58" t="s">
        <v>8</v>
      </c>
      <c r="S1366" s="57" t="s">
        <v>8</v>
      </c>
      <c r="T1366" s="56" t="s">
        <v>2063</v>
      </c>
    </row>
    <row r="1367" spans="1:20">
      <c r="A1367" s="55">
        <v>128421490336</v>
      </c>
      <c r="B1367" s="53" t="s">
        <v>2055</v>
      </c>
      <c r="C1367" s="54">
        <v>45933</v>
      </c>
      <c r="D1367" s="55">
        <v>51075994138</v>
      </c>
      <c r="E1367" s="55">
        <v>2085233728069</v>
      </c>
      <c r="F1367" s="56" t="s">
        <v>2056</v>
      </c>
      <c r="G1367" s="56" t="s">
        <v>2057</v>
      </c>
      <c r="H1367" s="56" t="s">
        <v>8</v>
      </c>
      <c r="I1367" s="55" t="s">
        <v>8</v>
      </c>
      <c r="J1367" s="57">
        <v>131.91999999999999</v>
      </c>
      <c r="K1367" s="56" t="s">
        <v>2058</v>
      </c>
      <c r="L1367" s="56" t="s">
        <v>2059</v>
      </c>
      <c r="M1367" s="55" t="s">
        <v>2060</v>
      </c>
      <c r="N1367" s="56" t="s">
        <v>2061</v>
      </c>
      <c r="O1367" s="53" t="s">
        <v>8</v>
      </c>
      <c r="P1367" s="56" t="s">
        <v>2652</v>
      </c>
      <c r="Q1367" s="57">
        <v>13600</v>
      </c>
      <c r="R1367" s="58" t="s">
        <v>8</v>
      </c>
      <c r="S1367" s="57" t="s">
        <v>8</v>
      </c>
      <c r="T1367" s="56" t="s">
        <v>2063</v>
      </c>
    </row>
    <row r="1368" spans="1:20">
      <c r="A1368" s="55">
        <v>128421501412</v>
      </c>
      <c r="B1368" s="53" t="s">
        <v>2055</v>
      </c>
      <c r="C1368" s="54">
        <v>45933</v>
      </c>
      <c r="D1368" s="55">
        <v>51076067301</v>
      </c>
      <c r="E1368" s="55">
        <v>2085296128556</v>
      </c>
      <c r="F1368" s="56" t="s">
        <v>2066</v>
      </c>
      <c r="G1368" s="56" t="s">
        <v>2057</v>
      </c>
      <c r="H1368" s="56" t="s">
        <v>8</v>
      </c>
      <c r="I1368" s="55" t="s">
        <v>8</v>
      </c>
      <c r="J1368" s="57">
        <v>12929.39</v>
      </c>
      <c r="K1368" s="56" t="s">
        <v>2058</v>
      </c>
      <c r="L1368" s="56" t="s">
        <v>2067</v>
      </c>
      <c r="M1368" s="55" t="s">
        <v>2060</v>
      </c>
      <c r="N1368" s="56" t="s">
        <v>2061</v>
      </c>
      <c r="O1368" s="53" t="s">
        <v>1790</v>
      </c>
      <c r="P1368" s="56" t="s">
        <v>2068</v>
      </c>
      <c r="Q1368" s="57">
        <v>169900</v>
      </c>
      <c r="R1368" s="58" t="s">
        <v>8</v>
      </c>
      <c r="S1368" s="57" t="s">
        <v>8</v>
      </c>
      <c r="T1368" s="56" t="s">
        <v>2063</v>
      </c>
    </row>
    <row r="1369" spans="1:20">
      <c r="A1369" s="55">
        <v>127855461023</v>
      </c>
      <c r="B1369" s="53" t="s">
        <v>2055</v>
      </c>
      <c r="C1369" s="54">
        <v>45933</v>
      </c>
      <c r="D1369" s="55">
        <v>51076097235</v>
      </c>
      <c r="E1369" s="55">
        <v>2085234669479</v>
      </c>
      <c r="F1369" s="56" t="s">
        <v>2066</v>
      </c>
      <c r="G1369" s="56" t="s">
        <v>2057</v>
      </c>
      <c r="H1369" s="56" t="s">
        <v>8</v>
      </c>
      <c r="I1369" s="55" t="s">
        <v>8</v>
      </c>
      <c r="J1369" s="57">
        <v>632.73</v>
      </c>
      <c r="K1369" s="56" t="s">
        <v>2058</v>
      </c>
      <c r="L1369" s="56" t="s">
        <v>2067</v>
      </c>
      <c r="M1369" s="55" t="s">
        <v>2060</v>
      </c>
      <c r="N1369" s="56" t="s">
        <v>2061</v>
      </c>
      <c r="O1369" s="53" t="s">
        <v>1790</v>
      </c>
      <c r="P1369" s="56" t="s">
        <v>2068</v>
      </c>
      <c r="Q1369" s="57">
        <v>16100</v>
      </c>
      <c r="R1369" s="58" t="s">
        <v>8</v>
      </c>
      <c r="S1369" s="57" t="s">
        <v>8</v>
      </c>
      <c r="T1369" s="56" t="s">
        <v>2063</v>
      </c>
    </row>
    <row r="1370" spans="1:20">
      <c r="A1370" s="55">
        <v>127855560075</v>
      </c>
      <c r="B1370" s="53" t="s">
        <v>2055</v>
      </c>
      <c r="C1370" s="54">
        <v>45933</v>
      </c>
      <c r="D1370" s="55">
        <v>51076184214</v>
      </c>
      <c r="E1370" s="55">
        <v>2085297929572</v>
      </c>
      <c r="F1370" s="56" t="s">
        <v>2066</v>
      </c>
      <c r="G1370" s="56" t="s">
        <v>2057</v>
      </c>
      <c r="H1370" s="56" t="s">
        <v>8</v>
      </c>
      <c r="I1370" s="55" t="s">
        <v>8</v>
      </c>
      <c r="J1370" s="57">
        <v>1216.72</v>
      </c>
      <c r="K1370" s="56" t="s">
        <v>2058</v>
      </c>
      <c r="L1370" s="56" t="s">
        <v>2067</v>
      </c>
      <c r="M1370" s="55" t="s">
        <v>2060</v>
      </c>
      <c r="N1370" s="56" t="s">
        <v>2061</v>
      </c>
      <c r="O1370" s="53" t="s">
        <v>1790</v>
      </c>
      <c r="P1370" s="56" t="s">
        <v>2068</v>
      </c>
      <c r="Q1370" s="57">
        <v>26800</v>
      </c>
      <c r="R1370" s="58" t="s">
        <v>8</v>
      </c>
      <c r="S1370" s="57" t="s">
        <v>8</v>
      </c>
      <c r="T1370" s="56" t="s">
        <v>2063</v>
      </c>
    </row>
    <row r="1371" spans="1:20">
      <c r="A1371" s="55">
        <v>127855916129</v>
      </c>
      <c r="B1371" s="53" t="s">
        <v>2055</v>
      </c>
      <c r="C1371" s="54">
        <v>45933</v>
      </c>
      <c r="D1371" s="55">
        <v>51076271763</v>
      </c>
      <c r="E1371" s="55">
        <v>2085299269916</v>
      </c>
      <c r="F1371" s="56" t="s">
        <v>2056</v>
      </c>
      <c r="G1371" s="56" t="s">
        <v>2057</v>
      </c>
      <c r="H1371" s="56" t="s">
        <v>8</v>
      </c>
      <c r="I1371" s="55" t="s">
        <v>8</v>
      </c>
      <c r="J1371" s="57">
        <v>74.69</v>
      </c>
      <c r="K1371" s="56" t="s">
        <v>2058</v>
      </c>
      <c r="L1371" s="56" t="s">
        <v>2059</v>
      </c>
      <c r="M1371" s="55" t="s">
        <v>2060</v>
      </c>
      <c r="N1371" s="56" t="s">
        <v>2061</v>
      </c>
      <c r="O1371" s="53" t="s">
        <v>8</v>
      </c>
      <c r="P1371" s="56" t="s">
        <v>2248</v>
      </c>
      <c r="Q1371" s="57">
        <v>7700</v>
      </c>
      <c r="R1371" s="58" t="s">
        <v>8</v>
      </c>
      <c r="S1371" s="57" t="s">
        <v>8</v>
      </c>
      <c r="T1371" s="56" t="s">
        <v>2063</v>
      </c>
    </row>
    <row r="1372" spans="1:20">
      <c r="A1372" s="55">
        <v>128422197004</v>
      </c>
      <c r="B1372" s="53" t="s">
        <v>2055</v>
      </c>
      <c r="C1372" s="54">
        <v>45933</v>
      </c>
      <c r="D1372" s="55">
        <v>51076333606</v>
      </c>
      <c r="E1372" s="55">
        <v>2085238650807</v>
      </c>
      <c r="F1372" s="56" t="s">
        <v>2056</v>
      </c>
      <c r="G1372" s="56" t="s">
        <v>2057</v>
      </c>
      <c r="H1372" s="56" t="s">
        <v>8</v>
      </c>
      <c r="I1372" s="55" t="s">
        <v>8</v>
      </c>
      <c r="J1372" s="57">
        <v>38.799999999999997</v>
      </c>
      <c r="K1372" s="56" t="s">
        <v>2058</v>
      </c>
      <c r="L1372" s="56" t="s">
        <v>2059</v>
      </c>
      <c r="M1372" s="55" t="s">
        <v>2060</v>
      </c>
      <c r="N1372" s="56" t="s">
        <v>2061</v>
      </c>
      <c r="O1372" s="53" t="s">
        <v>8</v>
      </c>
      <c r="P1372" s="56" t="s">
        <v>2653</v>
      </c>
      <c r="Q1372" s="57">
        <v>4000</v>
      </c>
      <c r="R1372" s="58" t="s">
        <v>8</v>
      </c>
      <c r="S1372" s="57" t="s">
        <v>8</v>
      </c>
      <c r="T1372" s="56" t="s">
        <v>2063</v>
      </c>
    </row>
    <row r="1373" spans="1:20">
      <c r="A1373" s="55">
        <v>128421075828</v>
      </c>
      <c r="B1373" s="53" t="s">
        <v>2055</v>
      </c>
      <c r="C1373" s="54">
        <v>45933</v>
      </c>
      <c r="D1373" s="55">
        <v>51076343582</v>
      </c>
      <c r="E1373" s="55">
        <v>2085238848693</v>
      </c>
      <c r="F1373" s="56" t="s">
        <v>2654</v>
      </c>
      <c r="G1373" s="56" t="s">
        <v>2136</v>
      </c>
      <c r="H1373" s="56" t="s">
        <v>8</v>
      </c>
      <c r="I1373" s="55">
        <v>51075823571</v>
      </c>
      <c r="J1373" s="57">
        <v>-5161.9799999999996</v>
      </c>
      <c r="K1373" s="56" t="s">
        <v>2058</v>
      </c>
      <c r="L1373" s="56" t="s">
        <v>2067</v>
      </c>
      <c r="M1373" s="55" t="s">
        <v>2060</v>
      </c>
      <c r="N1373" s="56" t="s">
        <v>2061</v>
      </c>
      <c r="O1373" s="53" t="s">
        <v>1790</v>
      </c>
      <c r="P1373" s="56" t="s">
        <v>2068</v>
      </c>
      <c r="Q1373" s="57">
        <v>113700</v>
      </c>
      <c r="R1373" s="58" t="s">
        <v>8</v>
      </c>
      <c r="S1373" s="57" t="s">
        <v>8</v>
      </c>
      <c r="T1373" s="56" t="s">
        <v>8</v>
      </c>
    </row>
    <row r="1374" spans="1:20">
      <c r="A1374" s="55">
        <v>127856005159</v>
      </c>
      <c r="B1374" s="53" t="s">
        <v>2055</v>
      </c>
      <c r="C1374" s="54">
        <v>45933</v>
      </c>
      <c r="D1374" s="55">
        <v>51076371296</v>
      </c>
      <c r="E1374" s="55">
        <v>2085300884234</v>
      </c>
      <c r="F1374" s="56" t="s">
        <v>2069</v>
      </c>
      <c r="G1374" s="56" t="s">
        <v>2057</v>
      </c>
      <c r="H1374" s="56" t="s">
        <v>8</v>
      </c>
      <c r="I1374" s="55" t="s">
        <v>8</v>
      </c>
      <c r="J1374" s="57">
        <v>93.12</v>
      </c>
      <c r="K1374" s="56" t="s">
        <v>2058</v>
      </c>
      <c r="L1374" s="56" t="s">
        <v>2059</v>
      </c>
      <c r="M1374" s="55" t="s">
        <v>2060</v>
      </c>
      <c r="N1374" s="56" t="s">
        <v>2061</v>
      </c>
      <c r="O1374" s="53" t="s">
        <v>8</v>
      </c>
      <c r="P1374" s="56" t="s">
        <v>2070</v>
      </c>
      <c r="Q1374" s="57">
        <v>9600</v>
      </c>
      <c r="R1374" s="58" t="s">
        <v>8</v>
      </c>
      <c r="S1374" s="57" t="s">
        <v>8</v>
      </c>
      <c r="T1374" s="56" t="s">
        <v>8</v>
      </c>
    </row>
    <row r="1375" spans="1:20">
      <c r="A1375" s="55">
        <v>127856064757</v>
      </c>
      <c r="B1375" s="53" t="s">
        <v>2055</v>
      </c>
      <c r="C1375" s="54">
        <v>45933</v>
      </c>
      <c r="D1375" s="55">
        <v>51076415056</v>
      </c>
      <c r="E1375" s="55">
        <v>2085239238421</v>
      </c>
      <c r="F1375" s="56" t="s">
        <v>2066</v>
      </c>
      <c r="G1375" s="56" t="s">
        <v>2057</v>
      </c>
      <c r="H1375" s="56" t="s">
        <v>8</v>
      </c>
      <c r="I1375" s="55" t="s">
        <v>8</v>
      </c>
      <c r="J1375" s="57">
        <v>1661.64</v>
      </c>
      <c r="K1375" s="56" t="s">
        <v>2058</v>
      </c>
      <c r="L1375" s="56" t="s">
        <v>2067</v>
      </c>
      <c r="M1375" s="55" t="s">
        <v>2060</v>
      </c>
      <c r="N1375" s="56" t="s">
        <v>2061</v>
      </c>
      <c r="O1375" s="53" t="s">
        <v>1790</v>
      </c>
      <c r="P1375" s="56" t="s">
        <v>2068</v>
      </c>
      <c r="Q1375" s="57">
        <v>36600</v>
      </c>
      <c r="R1375" s="58" t="s">
        <v>8</v>
      </c>
      <c r="S1375" s="57" t="s">
        <v>8</v>
      </c>
      <c r="T1375" s="56" t="s">
        <v>2063</v>
      </c>
    </row>
    <row r="1376" spans="1:20">
      <c r="A1376" s="55">
        <v>127856418189</v>
      </c>
      <c r="B1376" s="53" t="s">
        <v>2055</v>
      </c>
      <c r="C1376" s="54">
        <v>45933</v>
      </c>
      <c r="D1376" s="55">
        <v>51076504649</v>
      </c>
      <c r="E1376" s="55">
        <v>2085240981129</v>
      </c>
      <c r="F1376" s="56" t="s">
        <v>2056</v>
      </c>
      <c r="G1376" s="56" t="s">
        <v>2057</v>
      </c>
      <c r="H1376" s="56" t="s">
        <v>8</v>
      </c>
      <c r="I1376" s="55" t="s">
        <v>8</v>
      </c>
      <c r="J1376" s="57">
        <v>67.900000000000006</v>
      </c>
      <c r="K1376" s="56" t="s">
        <v>2058</v>
      </c>
      <c r="L1376" s="56" t="s">
        <v>2059</v>
      </c>
      <c r="M1376" s="55" t="s">
        <v>2060</v>
      </c>
      <c r="N1376" s="56" t="s">
        <v>2061</v>
      </c>
      <c r="O1376" s="53" t="s">
        <v>8</v>
      </c>
      <c r="P1376" s="56" t="s">
        <v>2277</v>
      </c>
      <c r="Q1376" s="57">
        <v>7000</v>
      </c>
      <c r="R1376" s="58" t="s">
        <v>8</v>
      </c>
      <c r="S1376" s="57" t="s">
        <v>8</v>
      </c>
      <c r="T1376" s="56" t="s">
        <v>2063</v>
      </c>
    </row>
    <row r="1377" spans="1:20">
      <c r="A1377" s="55">
        <v>127856497497</v>
      </c>
      <c r="B1377" s="53" t="s">
        <v>2055</v>
      </c>
      <c r="C1377" s="54">
        <v>45933</v>
      </c>
      <c r="D1377" s="55">
        <v>51076548535</v>
      </c>
      <c r="E1377" s="55">
        <v>2085303889488</v>
      </c>
      <c r="F1377" s="56" t="s">
        <v>2056</v>
      </c>
      <c r="G1377" s="56" t="s">
        <v>2057</v>
      </c>
      <c r="H1377" s="56" t="s">
        <v>8</v>
      </c>
      <c r="I1377" s="55" t="s">
        <v>8</v>
      </c>
      <c r="J1377" s="57">
        <v>40.74</v>
      </c>
      <c r="K1377" s="56" t="s">
        <v>2058</v>
      </c>
      <c r="L1377" s="56" t="s">
        <v>2059</v>
      </c>
      <c r="M1377" s="55" t="s">
        <v>2060</v>
      </c>
      <c r="N1377" s="56" t="s">
        <v>2061</v>
      </c>
      <c r="O1377" s="53" t="s">
        <v>8</v>
      </c>
      <c r="P1377" s="56" t="s">
        <v>2655</v>
      </c>
      <c r="Q1377" s="57">
        <v>4200</v>
      </c>
      <c r="R1377" s="58" t="s">
        <v>8</v>
      </c>
      <c r="S1377" s="57" t="s">
        <v>8</v>
      </c>
      <c r="T1377" s="56" t="s">
        <v>2063</v>
      </c>
    </row>
    <row r="1378" spans="1:20">
      <c r="A1378" s="55">
        <v>128422949584</v>
      </c>
      <c r="B1378" s="53" t="s">
        <v>2055</v>
      </c>
      <c r="C1378" s="54">
        <v>45933</v>
      </c>
      <c r="D1378" s="55">
        <v>51076716350</v>
      </c>
      <c r="E1378" s="55">
        <v>2085307029798</v>
      </c>
      <c r="F1378" s="56" t="s">
        <v>2056</v>
      </c>
      <c r="G1378" s="56" t="s">
        <v>2057</v>
      </c>
      <c r="H1378" s="56" t="s">
        <v>8</v>
      </c>
      <c r="I1378" s="55" t="s">
        <v>8</v>
      </c>
      <c r="J1378" s="57">
        <v>580.05999999999995</v>
      </c>
      <c r="K1378" s="56" t="s">
        <v>2058</v>
      </c>
      <c r="L1378" s="56" t="s">
        <v>2059</v>
      </c>
      <c r="M1378" s="55" t="s">
        <v>2060</v>
      </c>
      <c r="N1378" s="56" t="s">
        <v>2061</v>
      </c>
      <c r="O1378" s="53" t="s">
        <v>8</v>
      </c>
      <c r="P1378" s="56" t="s">
        <v>2656</v>
      </c>
      <c r="Q1378" s="57">
        <v>59800</v>
      </c>
      <c r="R1378" s="58" t="s">
        <v>8</v>
      </c>
      <c r="S1378" s="57" t="s">
        <v>8</v>
      </c>
      <c r="T1378" s="56" t="s">
        <v>2063</v>
      </c>
    </row>
    <row r="1379" spans="1:20">
      <c r="A1379" s="55">
        <v>127856899443</v>
      </c>
      <c r="B1379" s="53" t="s">
        <v>2055</v>
      </c>
      <c r="C1379" s="54">
        <v>45933</v>
      </c>
      <c r="D1379" s="55">
        <v>51076756213</v>
      </c>
      <c r="E1379" s="55">
        <v>2085308111738</v>
      </c>
      <c r="F1379" s="56" t="s">
        <v>2066</v>
      </c>
      <c r="G1379" s="56" t="s">
        <v>2057</v>
      </c>
      <c r="H1379" s="56" t="s">
        <v>8</v>
      </c>
      <c r="I1379" s="55" t="s">
        <v>8</v>
      </c>
      <c r="J1379" s="57">
        <v>399.52</v>
      </c>
      <c r="K1379" s="56" t="s">
        <v>2058</v>
      </c>
      <c r="L1379" s="56" t="s">
        <v>2067</v>
      </c>
      <c r="M1379" s="55" t="s">
        <v>2060</v>
      </c>
      <c r="N1379" s="56" t="s">
        <v>2061</v>
      </c>
      <c r="O1379" s="53" t="s">
        <v>1790</v>
      </c>
      <c r="P1379" s="56" t="s">
        <v>2068</v>
      </c>
      <c r="Q1379" s="57">
        <v>8800</v>
      </c>
      <c r="R1379" s="58" t="s">
        <v>8</v>
      </c>
      <c r="S1379" s="57" t="s">
        <v>8</v>
      </c>
      <c r="T1379" s="56" t="s">
        <v>2063</v>
      </c>
    </row>
    <row r="1380" spans="1:20">
      <c r="A1380" s="55">
        <v>128423208738</v>
      </c>
      <c r="B1380" s="53" t="s">
        <v>2055</v>
      </c>
      <c r="C1380" s="54">
        <v>45933</v>
      </c>
      <c r="D1380" s="55">
        <v>51076766921</v>
      </c>
      <c r="E1380" s="55">
        <v>2085246316743</v>
      </c>
      <c r="F1380" s="56" t="s">
        <v>2066</v>
      </c>
      <c r="G1380" s="56" t="s">
        <v>2057</v>
      </c>
      <c r="H1380" s="56" t="s">
        <v>8</v>
      </c>
      <c r="I1380" s="55" t="s">
        <v>8</v>
      </c>
      <c r="J1380" s="57">
        <v>188.64</v>
      </c>
      <c r="K1380" s="56" t="s">
        <v>2058</v>
      </c>
      <c r="L1380" s="56" t="s">
        <v>2067</v>
      </c>
      <c r="M1380" s="55" t="s">
        <v>2060</v>
      </c>
      <c r="N1380" s="56" t="s">
        <v>2061</v>
      </c>
      <c r="O1380" s="53" t="s">
        <v>1790</v>
      </c>
      <c r="P1380" s="56" t="s">
        <v>2068</v>
      </c>
      <c r="Q1380" s="57">
        <v>4800</v>
      </c>
      <c r="R1380" s="58" t="s">
        <v>8</v>
      </c>
      <c r="S1380" s="57" t="s">
        <v>8</v>
      </c>
      <c r="T1380" s="56" t="s">
        <v>2063</v>
      </c>
    </row>
    <row r="1381" spans="1:20">
      <c r="A1381" s="55">
        <v>127857063969</v>
      </c>
      <c r="B1381" s="53" t="s">
        <v>2055</v>
      </c>
      <c r="C1381" s="54">
        <v>45933</v>
      </c>
      <c r="D1381" s="55">
        <v>51076813741</v>
      </c>
      <c r="E1381" s="55">
        <v>2085247875641</v>
      </c>
      <c r="F1381" s="56" t="s">
        <v>2056</v>
      </c>
      <c r="G1381" s="56" t="s">
        <v>2057</v>
      </c>
      <c r="H1381" s="56" t="s">
        <v>8</v>
      </c>
      <c r="I1381" s="55" t="s">
        <v>8</v>
      </c>
      <c r="J1381" s="57">
        <v>99.91</v>
      </c>
      <c r="K1381" s="56" t="s">
        <v>2058</v>
      </c>
      <c r="L1381" s="56" t="s">
        <v>2059</v>
      </c>
      <c r="M1381" s="55" t="s">
        <v>2060</v>
      </c>
      <c r="N1381" s="56" t="s">
        <v>2061</v>
      </c>
      <c r="O1381" s="53" t="s">
        <v>8</v>
      </c>
      <c r="P1381" s="56" t="s">
        <v>2657</v>
      </c>
      <c r="Q1381" s="57">
        <v>10300</v>
      </c>
      <c r="R1381" s="58" t="s">
        <v>8</v>
      </c>
      <c r="S1381" s="57" t="s">
        <v>8</v>
      </c>
      <c r="T1381" s="56" t="s">
        <v>2063</v>
      </c>
    </row>
    <row r="1382" spans="1:20">
      <c r="A1382" s="55">
        <v>128423356546</v>
      </c>
      <c r="B1382" s="53" t="s">
        <v>2055</v>
      </c>
      <c r="C1382" s="54">
        <v>45933</v>
      </c>
      <c r="D1382" s="55">
        <v>51076818857</v>
      </c>
      <c r="E1382" s="55">
        <v>2085247523599</v>
      </c>
      <c r="F1382" s="56" t="s">
        <v>2069</v>
      </c>
      <c r="G1382" s="56" t="s">
        <v>2057</v>
      </c>
      <c r="H1382" s="56" t="s">
        <v>8</v>
      </c>
      <c r="I1382" s="55" t="s">
        <v>8</v>
      </c>
      <c r="J1382" s="57">
        <v>126.1</v>
      </c>
      <c r="K1382" s="56" t="s">
        <v>2058</v>
      </c>
      <c r="L1382" s="56" t="s">
        <v>2059</v>
      </c>
      <c r="M1382" s="55" t="s">
        <v>2060</v>
      </c>
      <c r="N1382" s="56" t="s">
        <v>2061</v>
      </c>
      <c r="O1382" s="53" t="s">
        <v>8</v>
      </c>
      <c r="P1382" s="56" t="s">
        <v>2070</v>
      </c>
      <c r="Q1382" s="57">
        <v>13000</v>
      </c>
      <c r="R1382" s="58" t="s">
        <v>8</v>
      </c>
      <c r="S1382" s="57" t="s">
        <v>8</v>
      </c>
      <c r="T1382" s="56" t="s">
        <v>8</v>
      </c>
    </row>
    <row r="1383" spans="1:20">
      <c r="A1383" s="55">
        <v>127857363213</v>
      </c>
      <c r="B1383" s="53" t="s">
        <v>2055</v>
      </c>
      <c r="C1383" s="54">
        <v>45933</v>
      </c>
      <c r="D1383" s="55">
        <v>51076893577</v>
      </c>
      <c r="E1383" s="55">
        <v>2085311513972</v>
      </c>
      <c r="F1383" s="56" t="s">
        <v>2069</v>
      </c>
      <c r="G1383" s="56" t="s">
        <v>2057</v>
      </c>
      <c r="H1383" s="56" t="s">
        <v>8</v>
      </c>
      <c r="I1383" s="55" t="s">
        <v>8</v>
      </c>
      <c r="J1383" s="57">
        <v>51.41</v>
      </c>
      <c r="K1383" s="56" t="s">
        <v>2058</v>
      </c>
      <c r="L1383" s="56" t="s">
        <v>2059</v>
      </c>
      <c r="M1383" s="55" t="s">
        <v>2060</v>
      </c>
      <c r="N1383" s="56" t="s">
        <v>2061</v>
      </c>
      <c r="O1383" s="53" t="s">
        <v>8</v>
      </c>
      <c r="P1383" s="56" t="s">
        <v>2070</v>
      </c>
      <c r="Q1383" s="57">
        <v>5300</v>
      </c>
      <c r="R1383" s="58" t="s">
        <v>8</v>
      </c>
      <c r="S1383" s="57" t="s">
        <v>8</v>
      </c>
      <c r="T1383" s="56" t="s">
        <v>8</v>
      </c>
    </row>
    <row r="1384" spans="1:20">
      <c r="A1384" s="55">
        <v>128423642872</v>
      </c>
      <c r="B1384" s="53" t="s">
        <v>2055</v>
      </c>
      <c r="C1384" s="54">
        <v>45933</v>
      </c>
      <c r="D1384" s="55">
        <v>51076951050</v>
      </c>
      <c r="E1384" s="55">
        <v>2085250620295</v>
      </c>
      <c r="F1384" s="56" t="s">
        <v>2056</v>
      </c>
      <c r="G1384" s="56" t="s">
        <v>2057</v>
      </c>
      <c r="H1384" s="56" t="s">
        <v>8</v>
      </c>
      <c r="I1384" s="55" t="s">
        <v>8</v>
      </c>
      <c r="J1384" s="57">
        <v>510.22</v>
      </c>
      <c r="K1384" s="56" t="s">
        <v>2058</v>
      </c>
      <c r="L1384" s="56" t="s">
        <v>2059</v>
      </c>
      <c r="M1384" s="55" t="s">
        <v>2060</v>
      </c>
      <c r="N1384" s="56" t="s">
        <v>2061</v>
      </c>
      <c r="O1384" s="53" t="s">
        <v>8</v>
      </c>
      <c r="P1384" s="56" t="s">
        <v>2658</v>
      </c>
      <c r="Q1384" s="57">
        <v>52600</v>
      </c>
      <c r="R1384" s="58" t="s">
        <v>8</v>
      </c>
      <c r="S1384" s="57" t="s">
        <v>8</v>
      </c>
      <c r="T1384" s="56" t="s">
        <v>2063</v>
      </c>
    </row>
    <row r="1385" spans="1:20">
      <c r="A1385" s="55">
        <v>128423577732</v>
      </c>
      <c r="B1385" s="53" t="s">
        <v>2055</v>
      </c>
      <c r="C1385" s="54">
        <v>45933</v>
      </c>
      <c r="D1385" s="55">
        <v>51076984733</v>
      </c>
      <c r="E1385" s="55">
        <v>2085312727326</v>
      </c>
      <c r="F1385" s="56" t="s">
        <v>2056</v>
      </c>
      <c r="G1385" s="56" t="s">
        <v>2057</v>
      </c>
      <c r="H1385" s="56" t="s">
        <v>8</v>
      </c>
      <c r="I1385" s="55" t="s">
        <v>8</v>
      </c>
      <c r="J1385" s="57">
        <v>685.79</v>
      </c>
      <c r="K1385" s="56" t="s">
        <v>2058</v>
      </c>
      <c r="L1385" s="56" t="s">
        <v>2059</v>
      </c>
      <c r="M1385" s="55" t="s">
        <v>2060</v>
      </c>
      <c r="N1385" s="56" t="s">
        <v>2061</v>
      </c>
      <c r="O1385" s="53" t="s">
        <v>8</v>
      </c>
      <c r="P1385" s="56" t="s">
        <v>2659</v>
      </c>
      <c r="Q1385" s="57">
        <v>70700</v>
      </c>
      <c r="R1385" s="58" t="s">
        <v>8</v>
      </c>
      <c r="S1385" s="57" t="s">
        <v>8</v>
      </c>
      <c r="T1385" s="56" t="s">
        <v>2063</v>
      </c>
    </row>
    <row r="1386" spans="1:20">
      <c r="A1386" s="55">
        <v>127857712847</v>
      </c>
      <c r="B1386" s="53" t="s">
        <v>2055</v>
      </c>
      <c r="C1386" s="54">
        <v>45933</v>
      </c>
      <c r="D1386" s="55">
        <v>51077036011</v>
      </c>
      <c r="E1386" s="55">
        <v>2085252579147</v>
      </c>
      <c r="F1386" s="56" t="s">
        <v>2056</v>
      </c>
      <c r="G1386" s="56" t="s">
        <v>2057</v>
      </c>
      <c r="H1386" s="56" t="s">
        <v>8</v>
      </c>
      <c r="I1386" s="55" t="s">
        <v>8</v>
      </c>
      <c r="J1386" s="57">
        <v>46.56</v>
      </c>
      <c r="K1386" s="56" t="s">
        <v>2058</v>
      </c>
      <c r="L1386" s="56" t="s">
        <v>2059</v>
      </c>
      <c r="M1386" s="55" t="s">
        <v>2060</v>
      </c>
      <c r="N1386" s="56" t="s">
        <v>2061</v>
      </c>
      <c r="O1386" s="53" t="s">
        <v>8</v>
      </c>
      <c r="P1386" s="56" t="s">
        <v>2524</v>
      </c>
      <c r="Q1386" s="57">
        <v>4800</v>
      </c>
      <c r="R1386" s="58" t="s">
        <v>8</v>
      </c>
      <c r="S1386" s="57" t="s">
        <v>8</v>
      </c>
      <c r="T1386" s="56" t="s">
        <v>2063</v>
      </c>
    </row>
    <row r="1387" spans="1:20">
      <c r="A1387" s="55">
        <v>127857862671</v>
      </c>
      <c r="B1387" s="53" t="s">
        <v>2055</v>
      </c>
      <c r="C1387" s="54">
        <v>45933</v>
      </c>
      <c r="D1387" s="55">
        <v>51077115042</v>
      </c>
      <c r="E1387" s="55">
        <v>2085315941768</v>
      </c>
      <c r="F1387" s="56" t="s">
        <v>2056</v>
      </c>
      <c r="G1387" s="56" t="s">
        <v>2057</v>
      </c>
      <c r="H1387" s="56" t="s">
        <v>8</v>
      </c>
      <c r="I1387" s="55" t="s">
        <v>8</v>
      </c>
      <c r="J1387" s="57">
        <v>161.99</v>
      </c>
      <c r="K1387" s="56" t="s">
        <v>2058</v>
      </c>
      <c r="L1387" s="56" t="s">
        <v>2059</v>
      </c>
      <c r="M1387" s="55" t="s">
        <v>2060</v>
      </c>
      <c r="N1387" s="56" t="s">
        <v>2061</v>
      </c>
      <c r="O1387" s="53" t="s">
        <v>8</v>
      </c>
      <c r="P1387" s="56" t="s">
        <v>2660</v>
      </c>
      <c r="Q1387" s="57">
        <v>16700</v>
      </c>
      <c r="R1387" s="58" t="s">
        <v>8</v>
      </c>
      <c r="S1387" s="57" t="s">
        <v>8</v>
      </c>
      <c r="T1387" s="56" t="s">
        <v>2063</v>
      </c>
    </row>
    <row r="1388" spans="1:20">
      <c r="A1388" s="55">
        <v>127857973671</v>
      </c>
      <c r="B1388" s="53" t="s">
        <v>2055</v>
      </c>
      <c r="C1388" s="54">
        <v>45933</v>
      </c>
      <c r="D1388" s="55">
        <v>51077204394</v>
      </c>
      <c r="E1388" s="55">
        <v>2085256528765</v>
      </c>
      <c r="F1388" s="56" t="s">
        <v>2056</v>
      </c>
      <c r="G1388" s="56" t="s">
        <v>2057</v>
      </c>
      <c r="H1388" s="56" t="s">
        <v>8</v>
      </c>
      <c r="I1388" s="55" t="s">
        <v>8</v>
      </c>
      <c r="J1388" s="57">
        <v>97</v>
      </c>
      <c r="K1388" s="56" t="s">
        <v>2058</v>
      </c>
      <c r="L1388" s="56" t="s">
        <v>2059</v>
      </c>
      <c r="M1388" s="55" t="s">
        <v>2060</v>
      </c>
      <c r="N1388" s="56" t="s">
        <v>2061</v>
      </c>
      <c r="O1388" s="53" t="s">
        <v>8</v>
      </c>
      <c r="P1388" s="56" t="s">
        <v>2661</v>
      </c>
      <c r="Q1388" s="57">
        <v>10000</v>
      </c>
      <c r="R1388" s="58" t="s">
        <v>8</v>
      </c>
      <c r="S1388" s="57" t="s">
        <v>8</v>
      </c>
      <c r="T1388" s="56" t="s">
        <v>2063</v>
      </c>
    </row>
    <row r="1389" spans="1:20">
      <c r="A1389" s="55">
        <v>128424504454</v>
      </c>
      <c r="B1389" s="53" t="s">
        <v>2055</v>
      </c>
      <c r="C1389" s="54">
        <v>45933</v>
      </c>
      <c r="D1389" s="55">
        <v>51077288637</v>
      </c>
      <c r="E1389" s="55">
        <v>2085320084114</v>
      </c>
      <c r="F1389" s="56" t="s">
        <v>2056</v>
      </c>
      <c r="G1389" s="56" t="s">
        <v>2057</v>
      </c>
      <c r="H1389" s="56" t="s">
        <v>8</v>
      </c>
      <c r="I1389" s="55" t="s">
        <v>8</v>
      </c>
      <c r="J1389" s="57">
        <v>124.16</v>
      </c>
      <c r="K1389" s="56" t="s">
        <v>2058</v>
      </c>
      <c r="L1389" s="56" t="s">
        <v>2059</v>
      </c>
      <c r="M1389" s="55" t="s">
        <v>2060</v>
      </c>
      <c r="N1389" s="56" t="s">
        <v>2061</v>
      </c>
      <c r="O1389" s="53" t="s">
        <v>8</v>
      </c>
      <c r="P1389" s="56" t="s">
        <v>2532</v>
      </c>
      <c r="Q1389" s="57">
        <v>12800</v>
      </c>
      <c r="R1389" s="58" t="s">
        <v>8</v>
      </c>
      <c r="S1389" s="57" t="s">
        <v>8</v>
      </c>
      <c r="T1389" s="56" t="s">
        <v>2063</v>
      </c>
    </row>
    <row r="1390" spans="1:20">
      <c r="A1390" s="55">
        <v>127858454489</v>
      </c>
      <c r="B1390" s="53" t="s">
        <v>2055</v>
      </c>
      <c r="C1390" s="54">
        <v>45933</v>
      </c>
      <c r="D1390" s="55">
        <v>51077332779</v>
      </c>
      <c r="E1390" s="55">
        <v>2085259384027</v>
      </c>
      <c r="F1390" s="56" t="s">
        <v>2056</v>
      </c>
      <c r="G1390" s="56" t="s">
        <v>2057</v>
      </c>
      <c r="H1390" s="56" t="s">
        <v>8</v>
      </c>
      <c r="I1390" s="55" t="s">
        <v>8</v>
      </c>
      <c r="J1390" s="57">
        <v>46.56</v>
      </c>
      <c r="K1390" s="56" t="s">
        <v>2058</v>
      </c>
      <c r="L1390" s="56" t="s">
        <v>2059</v>
      </c>
      <c r="M1390" s="55" t="s">
        <v>2060</v>
      </c>
      <c r="N1390" s="56" t="s">
        <v>2061</v>
      </c>
      <c r="O1390" s="53" t="s">
        <v>8</v>
      </c>
      <c r="P1390" s="56" t="s">
        <v>2080</v>
      </c>
      <c r="Q1390" s="57">
        <v>4800</v>
      </c>
      <c r="R1390" s="58" t="s">
        <v>8</v>
      </c>
      <c r="S1390" s="57" t="s">
        <v>8</v>
      </c>
      <c r="T1390" s="56" t="s">
        <v>2063</v>
      </c>
    </row>
    <row r="1391" spans="1:20">
      <c r="A1391" s="55">
        <v>128424874738</v>
      </c>
      <c r="B1391" s="53" t="s">
        <v>2055</v>
      </c>
      <c r="C1391" s="54">
        <v>45933</v>
      </c>
      <c r="D1391" s="55">
        <v>51077435770</v>
      </c>
      <c r="E1391" s="55">
        <v>2085261931869</v>
      </c>
      <c r="F1391" s="56" t="s">
        <v>2056</v>
      </c>
      <c r="G1391" s="56" t="s">
        <v>2057</v>
      </c>
      <c r="H1391" s="56" t="s">
        <v>8</v>
      </c>
      <c r="I1391" s="55" t="s">
        <v>8</v>
      </c>
      <c r="J1391" s="57">
        <v>200.79</v>
      </c>
      <c r="K1391" s="56" t="s">
        <v>2058</v>
      </c>
      <c r="L1391" s="56" t="s">
        <v>2059</v>
      </c>
      <c r="M1391" s="55" t="s">
        <v>2060</v>
      </c>
      <c r="N1391" s="56" t="s">
        <v>2061</v>
      </c>
      <c r="O1391" s="53" t="s">
        <v>8</v>
      </c>
      <c r="P1391" s="56" t="s">
        <v>2634</v>
      </c>
      <c r="Q1391" s="57">
        <v>20700</v>
      </c>
      <c r="R1391" s="58" t="s">
        <v>8</v>
      </c>
      <c r="S1391" s="57" t="s">
        <v>8</v>
      </c>
      <c r="T1391" s="56" t="s">
        <v>2063</v>
      </c>
    </row>
    <row r="1392" spans="1:20">
      <c r="A1392" s="55">
        <v>127858844639</v>
      </c>
      <c r="B1392" s="53" t="s">
        <v>2055</v>
      </c>
      <c r="C1392" s="54">
        <v>45933</v>
      </c>
      <c r="D1392" s="55">
        <v>51077496713</v>
      </c>
      <c r="E1392" s="55">
        <v>2085325485124</v>
      </c>
      <c r="F1392" s="56" t="s">
        <v>2056</v>
      </c>
      <c r="G1392" s="56" t="s">
        <v>2057</v>
      </c>
      <c r="H1392" s="56" t="s">
        <v>8</v>
      </c>
      <c r="I1392" s="55" t="s">
        <v>8</v>
      </c>
      <c r="J1392" s="57">
        <v>431.65</v>
      </c>
      <c r="K1392" s="56" t="s">
        <v>2058</v>
      </c>
      <c r="L1392" s="56" t="s">
        <v>2059</v>
      </c>
      <c r="M1392" s="55" t="s">
        <v>2060</v>
      </c>
      <c r="N1392" s="56" t="s">
        <v>2061</v>
      </c>
      <c r="O1392" s="53" t="s">
        <v>8</v>
      </c>
      <c r="P1392" s="56" t="s">
        <v>2662</v>
      </c>
      <c r="Q1392" s="57">
        <v>44500</v>
      </c>
      <c r="R1392" s="58" t="s">
        <v>8</v>
      </c>
      <c r="S1392" s="57" t="s">
        <v>8</v>
      </c>
      <c r="T1392" s="56" t="s">
        <v>2063</v>
      </c>
    </row>
    <row r="1393" spans="1:20">
      <c r="A1393" s="55">
        <v>127859163129</v>
      </c>
      <c r="B1393" s="53" t="s">
        <v>2055</v>
      </c>
      <c r="C1393" s="54">
        <v>45933</v>
      </c>
      <c r="D1393" s="55">
        <v>51077624113</v>
      </c>
      <c r="E1393" s="55">
        <v>2085329234854</v>
      </c>
      <c r="F1393" s="56" t="s">
        <v>2056</v>
      </c>
      <c r="G1393" s="56" t="s">
        <v>2057</v>
      </c>
      <c r="H1393" s="56" t="s">
        <v>8</v>
      </c>
      <c r="I1393" s="55" t="s">
        <v>8</v>
      </c>
      <c r="J1393" s="57">
        <v>40.74</v>
      </c>
      <c r="K1393" s="56" t="s">
        <v>2058</v>
      </c>
      <c r="L1393" s="56" t="s">
        <v>2059</v>
      </c>
      <c r="M1393" s="55" t="s">
        <v>2060</v>
      </c>
      <c r="N1393" s="56" t="s">
        <v>2061</v>
      </c>
      <c r="O1393" s="53" t="s">
        <v>8</v>
      </c>
      <c r="P1393" s="56" t="s">
        <v>2425</v>
      </c>
      <c r="Q1393" s="57">
        <v>4200</v>
      </c>
      <c r="R1393" s="58" t="s">
        <v>8</v>
      </c>
      <c r="S1393" s="57" t="s">
        <v>8</v>
      </c>
      <c r="T1393" s="56" t="s">
        <v>2063</v>
      </c>
    </row>
    <row r="1394" spans="1:20">
      <c r="A1394" s="55">
        <v>128425421186</v>
      </c>
      <c r="B1394" s="53" t="s">
        <v>2055</v>
      </c>
      <c r="C1394" s="54">
        <v>45933</v>
      </c>
      <c r="D1394" s="55">
        <v>51077657699</v>
      </c>
      <c r="E1394" s="55">
        <v>2085268488455</v>
      </c>
      <c r="F1394" s="56" t="s">
        <v>2056</v>
      </c>
      <c r="G1394" s="56" t="s">
        <v>2057</v>
      </c>
      <c r="H1394" s="56" t="s">
        <v>8</v>
      </c>
      <c r="I1394" s="55" t="s">
        <v>8</v>
      </c>
      <c r="J1394" s="57">
        <v>23.28</v>
      </c>
      <c r="K1394" s="56" t="s">
        <v>2058</v>
      </c>
      <c r="L1394" s="56" t="s">
        <v>2059</v>
      </c>
      <c r="M1394" s="55" t="s">
        <v>2060</v>
      </c>
      <c r="N1394" s="56" t="s">
        <v>2061</v>
      </c>
      <c r="O1394" s="53" t="s">
        <v>8</v>
      </c>
      <c r="P1394" s="56" t="s">
        <v>2663</v>
      </c>
      <c r="Q1394" s="57">
        <v>2400</v>
      </c>
      <c r="R1394" s="58" t="s">
        <v>8</v>
      </c>
      <c r="S1394" s="57" t="s">
        <v>8</v>
      </c>
      <c r="T1394" s="56" t="s">
        <v>2063</v>
      </c>
    </row>
    <row r="1395" spans="1:20">
      <c r="A1395" s="55">
        <v>127859446439</v>
      </c>
      <c r="B1395" s="53" t="s">
        <v>2055</v>
      </c>
      <c r="C1395" s="54">
        <v>45933</v>
      </c>
      <c r="D1395" s="55">
        <v>51077698921</v>
      </c>
      <c r="E1395" s="55">
        <v>2085331922356</v>
      </c>
      <c r="F1395" s="56" t="s">
        <v>2069</v>
      </c>
      <c r="G1395" s="56" t="s">
        <v>2057</v>
      </c>
      <c r="H1395" s="56" t="s">
        <v>8</v>
      </c>
      <c r="I1395" s="55" t="s">
        <v>8</v>
      </c>
      <c r="J1395" s="57">
        <v>125.13</v>
      </c>
      <c r="K1395" s="56" t="s">
        <v>2058</v>
      </c>
      <c r="L1395" s="56" t="s">
        <v>2059</v>
      </c>
      <c r="M1395" s="55" t="s">
        <v>2060</v>
      </c>
      <c r="N1395" s="56" t="s">
        <v>2061</v>
      </c>
      <c r="O1395" s="53" t="s">
        <v>8</v>
      </c>
      <c r="P1395" s="56" t="s">
        <v>2070</v>
      </c>
      <c r="Q1395" s="57">
        <v>12900</v>
      </c>
      <c r="R1395" s="58" t="s">
        <v>8</v>
      </c>
      <c r="S1395" s="57" t="s">
        <v>8</v>
      </c>
      <c r="T1395" s="56" t="s">
        <v>8</v>
      </c>
    </row>
    <row r="1396" spans="1:20">
      <c r="A1396" s="55">
        <v>128425586550</v>
      </c>
      <c r="B1396" s="53" t="s">
        <v>2055</v>
      </c>
      <c r="C1396" s="54">
        <v>45933</v>
      </c>
      <c r="D1396" s="55">
        <v>51077706194</v>
      </c>
      <c r="E1396" s="55">
        <v>2085269464231</v>
      </c>
      <c r="F1396" s="56" t="s">
        <v>2066</v>
      </c>
      <c r="G1396" s="56" t="s">
        <v>2057</v>
      </c>
      <c r="H1396" s="56" t="s">
        <v>8</v>
      </c>
      <c r="I1396" s="55" t="s">
        <v>8</v>
      </c>
      <c r="J1396" s="57">
        <v>1575.38</v>
      </c>
      <c r="K1396" s="56" t="s">
        <v>2058</v>
      </c>
      <c r="L1396" s="56" t="s">
        <v>2067</v>
      </c>
      <c r="M1396" s="55" t="s">
        <v>2060</v>
      </c>
      <c r="N1396" s="56" t="s">
        <v>2061</v>
      </c>
      <c r="O1396" s="53" t="s">
        <v>1790</v>
      </c>
      <c r="P1396" s="56" t="s">
        <v>2068</v>
      </c>
      <c r="Q1396" s="57">
        <v>34700</v>
      </c>
      <c r="R1396" s="58" t="s">
        <v>8</v>
      </c>
      <c r="S1396" s="57" t="s">
        <v>8</v>
      </c>
      <c r="T1396" s="56" t="s">
        <v>2063</v>
      </c>
    </row>
    <row r="1397" spans="1:20">
      <c r="A1397" s="55">
        <v>127859588493</v>
      </c>
      <c r="B1397" s="53" t="s">
        <v>2055</v>
      </c>
      <c r="C1397" s="54">
        <v>45933</v>
      </c>
      <c r="D1397" s="55">
        <v>51077723573</v>
      </c>
      <c r="E1397" s="55">
        <v>2085270892097</v>
      </c>
      <c r="F1397" s="56" t="s">
        <v>2056</v>
      </c>
      <c r="G1397" s="56" t="s">
        <v>2057</v>
      </c>
      <c r="H1397" s="56" t="s">
        <v>8</v>
      </c>
      <c r="I1397" s="55" t="s">
        <v>8</v>
      </c>
      <c r="J1397" s="57">
        <v>1556.85</v>
      </c>
      <c r="K1397" s="56" t="s">
        <v>2058</v>
      </c>
      <c r="L1397" s="56" t="s">
        <v>2059</v>
      </c>
      <c r="M1397" s="55" t="s">
        <v>2060</v>
      </c>
      <c r="N1397" s="56" t="s">
        <v>2061</v>
      </c>
      <c r="O1397" s="53" t="s">
        <v>8</v>
      </c>
      <c r="P1397" s="56" t="s">
        <v>2664</v>
      </c>
      <c r="Q1397" s="57">
        <v>160500</v>
      </c>
      <c r="R1397" s="58" t="s">
        <v>8</v>
      </c>
      <c r="S1397" s="57" t="s">
        <v>8</v>
      </c>
      <c r="T1397" s="56" t="s">
        <v>2063</v>
      </c>
    </row>
    <row r="1398" spans="1:20">
      <c r="A1398" s="55">
        <v>128425881632</v>
      </c>
      <c r="B1398" s="53" t="s">
        <v>2055</v>
      </c>
      <c r="C1398" s="54">
        <v>45933</v>
      </c>
      <c r="D1398" s="55">
        <v>51077830951</v>
      </c>
      <c r="E1398" s="55">
        <v>2085336438926</v>
      </c>
      <c r="F1398" s="56" t="s">
        <v>2069</v>
      </c>
      <c r="G1398" s="56" t="s">
        <v>2057</v>
      </c>
      <c r="H1398" s="56" t="s">
        <v>8</v>
      </c>
      <c r="I1398" s="55" t="s">
        <v>8</v>
      </c>
      <c r="J1398" s="57">
        <v>145.5</v>
      </c>
      <c r="K1398" s="56" t="s">
        <v>2058</v>
      </c>
      <c r="L1398" s="56" t="s">
        <v>2059</v>
      </c>
      <c r="M1398" s="55" t="s">
        <v>2060</v>
      </c>
      <c r="N1398" s="56" t="s">
        <v>2061</v>
      </c>
      <c r="O1398" s="53" t="s">
        <v>8</v>
      </c>
      <c r="P1398" s="56" t="s">
        <v>2070</v>
      </c>
      <c r="Q1398" s="57">
        <v>15000</v>
      </c>
      <c r="R1398" s="58" t="s">
        <v>8</v>
      </c>
      <c r="S1398" s="57" t="s">
        <v>8</v>
      </c>
      <c r="T1398" s="56" t="s">
        <v>8</v>
      </c>
    </row>
    <row r="1399" spans="1:20">
      <c r="A1399" s="55">
        <v>128425855926</v>
      </c>
      <c r="B1399" s="53" t="s">
        <v>2055</v>
      </c>
      <c r="C1399" s="54">
        <v>45933</v>
      </c>
      <c r="D1399" s="55">
        <v>51077855664</v>
      </c>
      <c r="E1399" s="55">
        <v>2085274854025</v>
      </c>
      <c r="F1399" s="56" t="s">
        <v>2066</v>
      </c>
      <c r="G1399" s="56" t="s">
        <v>2057</v>
      </c>
      <c r="H1399" s="56" t="s">
        <v>8</v>
      </c>
      <c r="I1399" s="55" t="s">
        <v>8</v>
      </c>
      <c r="J1399" s="57">
        <v>176.85</v>
      </c>
      <c r="K1399" s="56" t="s">
        <v>2058</v>
      </c>
      <c r="L1399" s="56" t="s">
        <v>2067</v>
      </c>
      <c r="M1399" s="55" t="s">
        <v>2060</v>
      </c>
      <c r="N1399" s="56" t="s">
        <v>2061</v>
      </c>
      <c r="O1399" s="53" t="s">
        <v>1790</v>
      </c>
      <c r="P1399" s="56" t="s">
        <v>2068</v>
      </c>
      <c r="Q1399" s="57">
        <v>4500</v>
      </c>
      <c r="R1399" s="58" t="s">
        <v>8</v>
      </c>
      <c r="S1399" s="57" t="s">
        <v>8</v>
      </c>
      <c r="T1399" s="56" t="s">
        <v>2063</v>
      </c>
    </row>
    <row r="1400" spans="1:20">
      <c r="A1400" s="55">
        <v>127859910765</v>
      </c>
      <c r="B1400" s="53" t="s">
        <v>2055</v>
      </c>
      <c r="C1400" s="54">
        <v>45933</v>
      </c>
      <c r="D1400" s="55">
        <v>51077884630</v>
      </c>
      <c r="E1400" s="55">
        <v>2085276185317</v>
      </c>
      <c r="F1400" s="56" t="s">
        <v>2056</v>
      </c>
      <c r="G1400" s="56" t="s">
        <v>2057</v>
      </c>
      <c r="H1400" s="56" t="s">
        <v>8</v>
      </c>
      <c r="I1400" s="55" t="s">
        <v>8</v>
      </c>
      <c r="J1400" s="57">
        <v>43.65</v>
      </c>
      <c r="K1400" s="56" t="s">
        <v>2058</v>
      </c>
      <c r="L1400" s="56" t="s">
        <v>2059</v>
      </c>
      <c r="M1400" s="55" t="s">
        <v>2060</v>
      </c>
      <c r="N1400" s="56" t="s">
        <v>2061</v>
      </c>
      <c r="O1400" s="53" t="s">
        <v>8</v>
      </c>
      <c r="P1400" s="56" t="s">
        <v>2190</v>
      </c>
      <c r="Q1400" s="57">
        <v>4500</v>
      </c>
      <c r="R1400" s="58" t="s">
        <v>8</v>
      </c>
      <c r="S1400" s="57" t="s">
        <v>8</v>
      </c>
      <c r="T1400" s="56" t="s">
        <v>2063</v>
      </c>
    </row>
    <row r="1401" spans="1:20">
      <c r="A1401" s="55">
        <v>128426216768</v>
      </c>
      <c r="B1401" s="53" t="s">
        <v>2055</v>
      </c>
      <c r="C1401" s="54">
        <v>45933</v>
      </c>
      <c r="D1401" s="55">
        <v>51077901558</v>
      </c>
      <c r="E1401" s="55">
        <v>2085338809292</v>
      </c>
      <c r="F1401" s="56" t="s">
        <v>2056</v>
      </c>
      <c r="G1401" s="56" t="s">
        <v>2057</v>
      </c>
      <c r="H1401" s="56" t="s">
        <v>8</v>
      </c>
      <c r="I1401" s="55" t="s">
        <v>8</v>
      </c>
      <c r="J1401" s="57">
        <v>46.56</v>
      </c>
      <c r="K1401" s="56" t="s">
        <v>2058</v>
      </c>
      <c r="L1401" s="56" t="s">
        <v>2059</v>
      </c>
      <c r="M1401" s="55" t="s">
        <v>2060</v>
      </c>
      <c r="N1401" s="56" t="s">
        <v>2061</v>
      </c>
      <c r="O1401" s="53" t="s">
        <v>8</v>
      </c>
      <c r="P1401" s="56" t="s">
        <v>2074</v>
      </c>
      <c r="Q1401" s="57">
        <v>4800</v>
      </c>
      <c r="R1401" s="58" t="s">
        <v>8</v>
      </c>
      <c r="S1401" s="57" t="s">
        <v>8</v>
      </c>
      <c r="T1401" s="56" t="s">
        <v>2063</v>
      </c>
    </row>
    <row r="1402" spans="1:20">
      <c r="A1402" s="55">
        <v>128426358946</v>
      </c>
      <c r="B1402" s="53" t="s">
        <v>2055</v>
      </c>
      <c r="C1402" s="54">
        <v>45933</v>
      </c>
      <c r="D1402" s="55">
        <v>51077969805</v>
      </c>
      <c r="E1402" s="55">
        <v>2085341017592</v>
      </c>
      <c r="F1402" s="56" t="s">
        <v>2066</v>
      </c>
      <c r="G1402" s="56" t="s">
        <v>2057</v>
      </c>
      <c r="H1402" s="56" t="s">
        <v>8</v>
      </c>
      <c r="I1402" s="55" t="s">
        <v>8</v>
      </c>
      <c r="J1402" s="57">
        <v>1658.98</v>
      </c>
      <c r="K1402" s="56" t="s">
        <v>2058</v>
      </c>
      <c r="L1402" s="56" t="s">
        <v>2067</v>
      </c>
      <c r="M1402" s="55" t="s">
        <v>2060</v>
      </c>
      <c r="N1402" s="56" t="s">
        <v>2061</v>
      </c>
      <c r="O1402" s="53" t="s">
        <v>1790</v>
      </c>
      <c r="P1402" s="56" t="s">
        <v>2068</v>
      </c>
      <c r="Q1402" s="57">
        <v>21800</v>
      </c>
      <c r="R1402" s="58" t="s">
        <v>8</v>
      </c>
      <c r="S1402" s="57" t="s">
        <v>8</v>
      </c>
      <c r="T1402" s="56" t="s">
        <v>2063</v>
      </c>
    </row>
    <row r="1403" spans="1:20">
      <c r="A1403" s="55">
        <v>127860445179</v>
      </c>
      <c r="B1403" s="53" t="s">
        <v>2055</v>
      </c>
      <c r="C1403" s="54">
        <v>45933</v>
      </c>
      <c r="D1403" s="55">
        <v>51078091018</v>
      </c>
      <c r="E1403" s="55">
        <v>2085282912043</v>
      </c>
      <c r="F1403" s="56" t="s">
        <v>2056</v>
      </c>
      <c r="G1403" s="56" t="s">
        <v>2057</v>
      </c>
      <c r="H1403" s="56" t="s">
        <v>8</v>
      </c>
      <c r="I1403" s="55" t="s">
        <v>8</v>
      </c>
      <c r="J1403" s="57">
        <v>226.98</v>
      </c>
      <c r="K1403" s="56" t="s">
        <v>2058</v>
      </c>
      <c r="L1403" s="56" t="s">
        <v>2059</v>
      </c>
      <c r="M1403" s="55" t="s">
        <v>2060</v>
      </c>
      <c r="N1403" s="56" t="s">
        <v>2061</v>
      </c>
      <c r="O1403" s="53" t="s">
        <v>8</v>
      </c>
      <c r="P1403" s="56" t="s">
        <v>2405</v>
      </c>
      <c r="Q1403" s="57">
        <v>23400</v>
      </c>
      <c r="R1403" s="58" t="s">
        <v>8</v>
      </c>
      <c r="S1403" s="57" t="s">
        <v>8</v>
      </c>
      <c r="T1403" s="56" t="s">
        <v>2063</v>
      </c>
    </row>
    <row r="1404" spans="1:20">
      <c r="A1404" s="55">
        <v>128426737424</v>
      </c>
      <c r="B1404" s="53" t="s">
        <v>2055</v>
      </c>
      <c r="C1404" s="54">
        <v>45933</v>
      </c>
      <c r="D1404" s="55">
        <v>51078123640</v>
      </c>
      <c r="E1404" s="55">
        <v>2085284261671</v>
      </c>
      <c r="F1404" s="56" t="s">
        <v>2056</v>
      </c>
      <c r="G1404" s="56" t="s">
        <v>2057</v>
      </c>
      <c r="H1404" s="56" t="s">
        <v>8</v>
      </c>
      <c r="I1404" s="55" t="s">
        <v>8</v>
      </c>
      <c r="J1404" s="57">
        <v>761</v>
      </c>
      <c r="K1404" s="56" t="s">
        <v>2058</v>
      </c>
      <c r="L1404" s="56" t="s">
        <v>2059</v>
      </c>
      <c r="M1404" s="55" t="s">
        <v>2060</v>
      </c>
      <c r="N1404" s="56" t="s">
        <v>2061</v>
      </c>
      <c r="O1404" s="53" t="s">
        <v>8</v>
      </c>
      <c r="P1404" s="56" t="s">
        <v>2472</v>
      </c>
      <c r="Q1404" s="57">
        <v>10000</v>
      </c>
      <c r="R1404" s="58" t="s">
        <v>8</v>
      </c>
      <c r="S1404" s="57" t="s">
        <v>8</v>
      </c>
      <c r="T1404" s="56" t="s">
        <v>2063</v>
      </c>
    </row>
    <row r="1405" spans="1:20">
      <c r="A1405" s="55">
        <v>128426740974</v>
      </c>
      <c r="B1405" s="53" t="s">
        <v>2055</v>
      </c>
      <c r="C1405" s="54">
        <v>45933</v>
      </c>
      <c r="D1405" s="55">
        <v>51078125776</v>
      </c>
      <c r="E1405" s="55">
        <v>2085345250416</v>
      </c>
      <c r="F1405" s="56" t="s">
        <v>2056</v>
      </c>
      <c r="G1405" s="56" t="s">
        <v>2057</v>
      </c>
      <c r="H1405" s="56" t="s">
        <v>8</v>
      </c>
      <c r="I1405" s="55" t="s">
        <v>8</v>
      </c>
      <c r="J1405" s="57">
        <v>135.80000000000001</v>
      </c>
      <c r="K1405" s="56" t="s">
        <v>2058</v>
      </c>
      <c r="L1405" s="56" t="s">
        <v>2059</v>
      </c>
      <c r="M1405" s="55" t="s">
        <v>2060</v>
      </c>
      <c r="N1405" s="56" t="s">
        <v>2061</v>
      </c>
      <c r="O1405" s="53" t="s">
        <v>8</v>
      </c>
      <c r="P1405" s="56" t="s">
        <v>2522</v>
      </c>
      <c r="Q1405" s="57">
        <v>14000</v>
      </c>
      <c r="R1405" s="58" t="s">
        <v>8</v>
      </c>
      <c r="S1405" s="57" t="s">
        <v>8</v>
      </c>
      <c r="T1405" s="56" t="s">
        <v>2063</v>
      </c>
    </row>
    <row r="1406" spans="1:20">
      <c r="A1406" s="55">
        <v>128426964542</v>
      </c>
      <c r="B1406" s="53" t="s">
        <v>2055</v>
      </c>
      <c r="C1406" s="54">
        <v>45933</v>
      </c>
      <c r="D1406" s="55">
        <v>51078187330</v>
      </c>
      <c r="E1406" s="55">
        <v>2085347424098</v>
      </c>
      <c r="F1406" s="56" t="s">
        <v>2056</v>
      </c>
      <c r="G1406" s="56" t="s">
        <v>2057</v>
      </c>
      <c r="H1406" s="56" t="s">
        <v>8</v>
      </c>
      <c r="I1406" s="55" t="s">
        <v>8</v>
      </c>
      <c r="J1406" s="57">
        <v>188.18</v>
      </c>
      <c r="K1406" s="56" t="s">
        <v>2058</v>
      </c>
      <c r="L1406" s="56" t="s">
        <v>2059</v>
      </c>
      <c r="M1406" s="55" t="s">
        <v>2060</v>
      </c>
      <c r="N1406" s="56" t="s">
        <v>2061</v>
      </c>
      <c r="O1406" s="53" t="s">
        <v>8</v>
      </c>
      <c r="P1406" s="56" t="s">
        <v>2665</v>
      </c>
      <c r="Q1406" s="57">
        <v>19400</v>
      </c>
      <c r="R1406" s="58" t="s">
        <v>8</v>
      </c>
      <c r="S1406" s="57" t="s">
        <v>8</v>
      </c>
      <c r="T1406" s="56" t="s">
        <v>2063</v>
      </c>
    </row>
    <row r="1407" spans="1:20">
      <c r="A1407" s="55">
        <v>128426857870</v>
      </c>
      <c r="B1407" s="53" t="s">
        <v>2055</v>
      </c>
      <c r="C1407" s="54">
        <v>45933</v>
      </c>
      <c r="D1407" s="55">
        <v>51078215402</v>
      </c>
      <c r="E1407" s="55">
        <v>2085348669930</v>
      </c>
      <c r="F1407" s="56" t="s">
        <v>2056</v>
      </c>
      <c r="G1407" s="56" t="s">
        <v>2057</v>
      </c>
      <c r="H1407" s="56" t="s">
        <v>8</v>
      </c>
      <c r="I1407" s="55" t="s">
        <v>8</v>
      </c>
      <c r="J1407" s="57">
        <v>140.65</v>
      </c>
      <c r="K1407" s="56" t="s">
        <v>2058</v>
      </c>
      <c r="L1407" s="56" t="s">
        <v>2059</v>
      </c>
      <c r="M1407" s="55" t="s">
        <v>2060</v>
      </c>
      <c r="N1407" s="56" t="s">
        <v>2061</v>
      </c>
      <c r="O1407" s="53" t="s">
        <v>8</v>
      </c>
      <c r="P1407" s="56" t="s">
        <v>2666</v>
      </c>
      <c r="Q1407" s="57">
        <v>14500</v>
      </c>
      <c r="R1407" s="58" t="s">
        <v>8</v>
      </c>
      <c r="S1407" s="57" t="s">
        <v>8</v>
      </c>
      <c r="T1407" s="56" t="s">
        <v>2063</v>
      </c>
    </row>
    <row r="1408" spans="1:20">
      <c r="A1408" s="55">
        <v>127860773495</v>
      </c>
      <c r="B1408" s="53" t="s">
        <v>2055</v>
      </c>
      <c r="C1408" s="54">
        <v>45933</v>
      </c>
      <c r="D1408" s="55">
        <v>51078245780</v>
      </c>
      <c r="E1408" s="55">
        <v>2085287142761</v>
      </c>
      <c r="F1408" s="56" t="s">
        <v>2056</v>
      </c>
      <c r="G1408" s="56" t="s">
        <v>2057</v>
      </c>
      <c r="H1408" s="56" t="s">
        <v>8</v>
      </c>
      <c r="I1408" s="55" t="s">
        <v>8</v>
      </c>
      <c r="J1408" s="57">
        <v>40.74</v>
      </c>
      <c r="K1408" s="56" t="s">
        <v>2058</v>
      </c>
      <c r="L1408" s="56" t="s">
        <v>2059</v>
      </c>
      <c r="M1408" s="55" t="s">
        <v>2060</v>
      </c>
      <c r="N1408" s="56" t="s">
        <v>2061</v>
      </c>
      <c r="O1408" s="53" t="s">
        <v>8</v>
      </c>
      <c r="P1408" s="56" t="s">
        <v>2248</v>
      </c>
      <c r="Q1408" s="57">
        <v>4200</v>
      </c>
      <c r="R1408" s="58" t="s">
        <v>8</v>
      </c>
      <c r="S1408" s="57" t="s">
        <v>8</v>
      </c>
      <c r="T1408" s="56" t="s">
        <v>2063</v>
      </c>
    </row>
    <row r="1409" spans="1:20">
      <c r="A1409" s="55">
        <v>128427183126</v>
      </c>
      <c r="B1409" s="53" t="s">
        <v>2055</v>
      </c>
      <c r="C1409" s="54">
        <v>45933</v>
      </c>
      <c r="D1409" s="55">
        <v>51078296179</v>
      </c>
      <c r="E1409" s="55">
        <v>2085289424373</v>
      </c>
      <c r="F1409" s="56" t="s">
        <v>2056</v>
      </c>
      <c r="G1409" s="56" t="s">
        <v>2057</v>
      </c>
      <c r="H1409" s="56" t="s">
        <v>8</v>
      </c>
      <c r="I1409" s="55" t="s">
        <v>8</v>
      </c>
      <c r="J1409" s="57">
        <v>378.3</v>
      </c>
      <c r="K1409" s="56" t="s">
        <v>2058</v>
      </c>
      <c r="L1409" s="56" t="s">
        <v>2059</v>
      </c>
      <c r="M1409" s="55" t="s">
        <v>2060</v>
      </c>
      <c r="N1409" s="56" t="s">
        <v>2061</v>
      </c>
      <c r="O1409" s="53" t="s">
        <v>8</v>
      </c>
      <c r="P1409" s="56" t="s">
        <v>2667</v>
      </c>
      <c r="Q1409" s="57">
        <v>39000</v>
      </c>
      <c r="R1409" s="58" t="s">
        <v>8</v>
      </c>
      <c r="S1409" s="57" t="s">
        <v>8</v>
      </c>
      <c r="T1409" s="56" t="s">
        <v>2063</v>
      </c>
    </row>
    <row r="1410" spans="1:20">
      <c r="A1410" s="55">
        <v>128427296372</v>
      </c>
      <c r="B1410" s="53" t="s">
        <v>2055</v>
      </c>
      <c r="C1410" s="54">
        <v>45933</v>
      </c>
      <c r="D1410" s="55">
        <v>51078309863</v>
      </c>
      <c r="E1410" s="55">
        <v>2085289836065</v>
      </c>
      <c r="F1410" s="56" t="s">
        <v>2056</v>
      </c>
      <c r="G1410" s="56" t="s">
        <v>2057</v>
      </c>
      <c r="H1410" s="56" t="s">
        <v>8</v>
      </c>
      <c r="I1410" s="55" t="s">
        <v>8</v>
      </c>
      <c r="J1410" s="57">
        <v>271.60000000000002</v>
      </c>
      <c r="K1410" s="56" t="s">
        <v>2058</v>
      </c>
      <c r="L1410" s="56" t="s">
        <v>2059</v>
      </c>
      <c r="M1410" s="55" t="s">
        <v>2060</v>
      </c>
      <c r="N1410" s="56" t="s">
        <v>2061</v>
      </c>
      <c r="O1410" s="53" t="s">
        <v>8</v>
      </c>
      <c r="P1410" s="56" t="s">
        <v>2077</v>
      </c>
      <c r="Q1410" s="57">
        <v>28000</v>
      </c>
      <c r="R1410" s="58" t="s">
        <v>8</v>
      </c>
      <c r="S1410" s="57" t="s">
        <v>8</v>
      </c>
      <c r="T1410" s="56" t="s">
        <v>2063</v>
      </c>
    </row>
    <row r="1411" spans="1:20">
      <c r="A1411" s="55">
        <v>128532328060</v>
      </c>
      <c r="B1411" s="53" t="s">
        <v>2055</v>
      </c>
      <c r="C1411" s="54">
        <v>45933</v>
      </c>
      <c r="D1411" s="55">
        <v>51115802717</v>
      </c>
      <c r="E1411" s="55">
        <v>2086036173056</v>
      </c>
      <c r="F1411" s="56" t="s">
        <v>2066</v>
      </c>
      <c r="G1411" s="56" t="s">
        <v>2057</v>
      </c>
      <c r="H1411" s="56" t="s">
        <v>8</v>
      </c>
      <c r="I1411" s="55" t="s">
        <v>8</v>
      </c>
      <c r="J1411" s="57">
        <v>1454.1</v>
      </c>
      <c r="K1411" s="56" t="s">
        <v>2058</v>
      </c>
      <c r="L1411" s="56" t="s">
        <v>2067</v>
      </c>
      <c r="M1411" s="55" t="s">
        <v>2060</v>
      </c>
      <c r="N1411" s="56" t="s">
        <v>2061</v>
      </c>
      <c r="O1411" s="53" t="s">
        <v>1790</v>
      </c>
      <c r="P1411" s="56" t="s">
        <v>2068</v>
      </c>
      <c r="Q1411" s="57">
        <v>37000</v>
      </c>
      <c r="R1411" s="58" t="s">
        <v>8</v>
      </c>
      <c r="S1411" s="57" t="s">
        <v>8</v>
      </c>
      <c r="T1411" s="56" t="s">
        <v>2063</v>
      </c>
    </row>
    <row r="1412" spans="1:20">
      <c r="A1412" s="55">
        <v>128538963780</v>
      </c>
      <c r="B1412" s="53" t="s">
        <v>2055</v>
      </c>
      <c r="C1412" s="54">
        <v>45933</v>
      </c>
      <c r="D1412" s="55">
        <v>51118134676</v>
      </c>
      <c r="E1412" s="55">
        <v>2086013506383</v>
      </c>
      <c r="F1412" s="56" t="s">
        <v>2056</v>
      </c>
      <c r="G1412" s="56" t="s">
        <v>2057</v>
      </c>
      <c r="H1412" s="56" t="s">
        <v>8</v>
      </c>
      <c r="I1412" s="55" t="s">
        <v>8</v>
      </c>
      <c r="J1412" s="57">
        <v>93.12</v>
      </c>
      <c r="K1412" s="56" t="s">
        <v>2058</v>
      </c>
      <c r="L1412" s="56" t="s">
        <v>2059</v>
      </c>
      <c r="M1412" s="55" t="s">
        <v>2060</v>
      </c>
      <c r="N1412" s="56" t="s">
        <v>2061</v>
      </c>
      <c r="O1412" s="53" t="s">
        <v>8</v>
      </c>
      <c r="P1412" s="56" t="s">
        <v>2460</v>
      </c>
      <c r="Q1412" s="57">
        <v>9600</v>
      </c>
      <c r="R1412" s="58" t="s">
        <v>8</v>
      </c>
      <c r="S1412" s="57" t="s">
        <v>8</v>
      </c>
      <c r="T1412" s="56" t="s">
        <v>2063</v>
      </c>
    </row>
    <row r="1413" spans="1:20">
      <c r="A1413" s="55">
        <v>128541606502</v>
      </c>
      <c r="B1413" s="53" t="s">
        <v>2055</v>
      </c>
      <c r="C1413" s="54">
        <v>45933</v>
      </c>
      <c r="D1413" s="55">
        <v>51119071969</v>
      </c>
      <c r="E1413" s="55">
        <v>2086029531471</v>
      </c>
      <c r="F1413" s="56" t="s">
        <v>2056</v>
      </c>
      <c r="G1413" s="56" t="s">
        <v>2057</v>
      </c>
      <c r="H1413" s="56" t="s">
        <v>8</v>
      </c>
      <c r="I1413" s="55" t="s">
        <v>8</v>
      </c>
      <c r="J1413" s="57">
        <v>3234.25</v>
      </c>
      <c r="K1413" s="56" t="s">
        <v>2058</v>
      </c>
      <c r="L1413" s="56" t="s">
        <v>2059</v>
      </c>
      <c r="M1413" s="55" t="s">
        <v>2060</v>
      </c>
      <c r="N1413" s="56" t="s">
        <v>2061</v>
      </c>
      <c r="O1413" s="53" t="s">
        <v>8</v>
      </c>
      <c r="P1413" s="56" t="s">
        <v>2384</v>
      </c>
      <c r="Q1413" s="57">
        <v>42500</v>
      </c>
      <c r="R1413" s="58" t="s">
        <v>8</v>
      </c>
      <c r="S1413" s="57" t="s">
        <v>8</v>
      </c>
      <c r="T1413" s="56" t="s">
        <v>2063</v>
      </c>
    </row>
    <row r="1414" spans="1:20">
      <c r="A1414" s="55">
        <v>127975227343</v>
      </c>
      <c r="B1414" s="53" t="s">
        <v>2055</v>
      </c>
      <c r="C1414" s="54">
        <v>45933</v>
      </c>
      <c r="D1414" s="55">
        <v>51119357105</v>
      </c>
      <c r="E1414" s="55">
        <v>2086034616713</v>
      </c>
      <c r="F1414" s="56" t="s">
        <v>2056</v>
      </c>
      <c r="G1414" s="56" t="s">
        <v>2057</v>
      </c>
      <c r="H1414" s="56" t="s">
        <v>8</v>
      </c>
      <c r="I1414" s="55" t="s">
        <v>8</v>
      </c>
      <c r="J1414" s="57">
        <v>95.06</v>
      </c>
      <c r="K1414" s="56" t="s">
        <v>2058</v>
      </c>
      <c r="L1414" s="56" t="s">
        <v>2059</v>
      </c>
      <c r="M1414" s="55" t="s">
        <v>2060</v>
      </c>
      <c r="N1414" s="56" t="s">
        <v>2061</v>
      </c>
      <c r="O1414" s="53" t="s">
        <v>8</v>
      </c>
      <c r="P1414" s="56" t="s">
        <v>2668</v>
      </c>
      <c r="Q1414" s="57">
        <v>9800</v>
      </c>
      <c r="R1414" s="58" t="s">
        <v>8</v>
      </c>
      <c r="S1414" s="57" t="s">
        <v>8</v>
      </c>
      <c r="T1414" s="56" t="s">
        <v>2063</v>
      </c>
    </row>
    <row r="1415" spans="1:20">
      <c r="A1415" s="55">
        <v>127975543977</v>
      </c>
      <c r="B1415" s="53" t="s">
        <v>2055</v>
      </c>
      <c r="C1415" s="54">
        <v>45933</v>
      </c>
      <c r="D1415" s="55">
        <v>51119504805</v>
      </c>
      <c r="E1415" s="55">
        <v>2086099586848</v>
      </c>
      <c r="F1415" s="56" t="s">
        <v>2056</v>
      </c>
      <c r="G1415" s="56" t="s">
        <v>2057</v>
      </c>
      <c r="H1415" s="56" t="s">
        <v>8</v>
      </c>
      <c r="I1415" s="55" t="s">
        <v>8</v>
      </c>
      <c r="J1415" s="57">
        <v>129.01</v>
      </c>
      <c r="K1415" s="56" t="s">
        <v>2058</v>
      </c>
      <c r="L1415" s="56" t="s">
        <v>2059</v>
      </c>
      <c r="M1415" s="55" t="s">
        <v>2060</v>
      </c>
      <c r="N1415" s="56" t="s">
        <v>2061</v>
      </c>
      <c r="O1415" s="53" t="s">
        <v>8</v>
      </c>
      <c r="P1415" s="56" t="s">
        <v>2669</v>
      </c>
      <c r="Q1415" s="57">
        <v>13300</v>
      </c>
      <c r="R1415" s="58" t="s">
        <v>8</v>
      </c>
      <c r="S1415" s="57" t="s">
        <v>8</v>
      </c>
      <c r="T1415" s="56" t="s">
        <v>2063</v>
      </c>
    </row>
    <row r="1416" spans="1:20">
      <c r="A1416" s="55">
        <v>128544354086</v>
      </c>
      <c r="B1416" s="53" t="s">
        <v>2055</v>
      </c>
      <c r="C1416" s="54">
        <v>45933</v>
      </c>
      <c r="D1416" s="55">
        <v>51120089039</v>
      </c>
      <c r="E1416" s="55">
        <v>2086048074339</v>
      </c>
      <c r="F1416" s="56" t="s">
        <v>2066</v>
      </c>
      <c r="G1416" s="56" t="s">
        <v>2057</v>
      </c>
      <c r="H1416" s="56" t="s">
        <v>8</v>
      </c>
      <c r="I1416" s="55" t="s">
        <v>8</v>
      </c>
      <c r="J1416" s="57">
        <v>1127.9100000000001</v>
      </c>
      <c r="K1416" s="56" t="s">
        <v>2058</v>
      </c>
      <c r="L1416" s="56" t="s">
        <v>2067</v>
      </c>
      <c r="M1416" s="55" t="s">
        <v>2060</v>
      </c>
      <c r="N1416" s="56" t="s">
        <v>2061</v>
      </c>
      <c r="O1416" s="53" t="s">
        <v>1790</v>
      </c>
      <c r="P1416" s="56" t="s">
        <v>2068</v>
      </c>
      <c r="Q1416" s="57">
        <v>28700</v>
      </c>
      <c r="R1416" s="58" t="s">
        <v>8</v>
      </c>
      <c r="S1416" s="57" t="s">
        <v>8</v>
      </c>
      <c r="T1416" s="56" t="s">
        <v>2063</v>
      </c>
    </row>
    <row r="1417" spans="1:20">
      <c r="A1417" s="55">
        <v>127978952503</v>
      </c>
      <c r="B1417" s="53" t="s">
        <v>2055</v>
      </c>
      <c r="C1417" s="54">
        <v>45933</v>
      </c>
      <c r="D1417" s="55">
        <v>51120584180</v>
      </c>
      <c r="E1417" s="55">
        <v>2086120471634</v>
      </c>
      <c r="F1417" s="56" t="s">
        <v>2056</v>
      </c>
      <c r="G1417" s="56" t="s">
        <v>2057</v>
      </c>
      <c r="H1417" s="56" t="s">
        <v>8</v>
      </c>
      <c r="I1417" s="55" t="s">
        <v>8</v>
      </c>
      <c r="J1417" s="57">
        <v>149.38</v>
      </c>
      <c r="K1417" s="56" t="s">
        <v>2058</v>
      </c>
      <c r="L1417" s="56" t="s">
        <v>2059</v>
      </c>
      <c r="M1417" s="55" t="s">
        <v>2060</v>
      </c>
      <c r="N1417" s="56" t="s">
        <v>2061</v>
      </c>
      <c r="O1417" s="53" t="s">
        <v>8</v>
      </c>
      <c r="P1417" s="56" t="s">
        <v>2670</v>
      </c>
      <c r="Q1417" s="57">
        <v>15400</v>
      </c>
      <c r="R1417" s="58" t="s">
        <v>8</v>
      </c>
      <c r="S1417" s="57" t="s">
        <v>8</v>
      </c>
      <c r="T1417" s="56" t="s">
        <v>2063</v>
      </c>
    </row>
    <row r="1418" spans="1:20">
      <c r="A1418" s="55">
        <v>127978785635</v>
      </c>
      <c r="B1418" s="53" t="s">
        <v>2055</v>
      </c>
      <c r="C1418" s="54">
        <v>45933</v>
      </c>
      <c r="D1418" s="55">
        <v>51120591358</v>
      </c>
      <c r="E1418" s="55">
        <v>2086120360536</v>
      </c>
      <c r="F1418" s="56" t="s">
        <v>2056</v>
      </c>
      <c r="G1418" s="56" t="s">
        <v>2057</v>
      </c>
      <c r="H1418" s="56" t="s">
        <v>8</v>
      </c>
      <c r="I1418" s="55" t="s">
        <v>8</v>
      </c>
      <c r="J1418" s="57">
        <v>77.599999999999994</v>
      </c>
      <c r="K1418" s="56" t="s">
        <v>2058</v>
      </c>
      <c r="L1418" s="56" t="s">
        <v>2059</v>
      </c>
      <c r="M1418" s="55" t="s">
        <v>2060</v>
      </c>
      <c r="N1418" s="56" t="s">
        <v>2061</v>
      </c>
      <c r="O1418" s="53" t="s">
        <v>8</v>
      </c>
      <c r="P1418" s="56" t="s">
        <v>2671</v>
      </c>
      <c r="Q1418" s="57">
        <v>8000</v>
      </c>
      <c r="R1418" s="58" t="s">
        <v>8</v>
      </c>
      <c r="S1418" s="57" t="s">
        <v>8</v>
      </c>
      <c r="T1418" s="56" t="s">
        <v>2063</v>
      </c>
    </row>
    <row r="1419" spans="1:20">
      <c r="A1419" s="55">
        <v>128546191150</v>
      </c>
      <c r="B1419" s="53" t="s">
        <v>2055</v>
      </c>
      <c r="C1419" s="54">
        <v>45933</v>
      </c>
      <c r="D1419" s="55">
        <v>51120624090</v>
      </c>
      <c r="E1419" s="55">
        <v>2086058709589</v>
      </c>
      <c r="F1419" s="56" t="s">
        <v>2056</v>
      </c>
      <c r="G1419" s="56" t="s">
        <v>2057</v>
      </c>
      <c r="H1419" s="56" t="s">
        <v>8</v>
      </c>
      <c r="I1419" s="55" t="s">
        <v>8</v>
      </c>
      <c r="J1419" s="57">
        <v>93.12</v>
      </c>
      <c r="K1419" s="56" t="s">
        <v>2058</v>
      </c>
      <c r="L1419" s="56" t="s">
        <v>2059</v>
      </c>
      <c r="M1419" s="55" t="s">
        <v>2060</v>
      </c>
      <c r="N1419" s="56" t="s">
        <v>2061</v>
      </c>
      <c r="O1419" s="53" t="s">
        <v>8</v>
      </c>
      <c r="P1419" s="56" t="s">
        <v>2672</v>
      </c>
      <c r="Q1419" s="57">
        <v>9600</v>
      </c>
      <c r="R1419" s="58" t="s">
        <v>8</v>
      </c>
      <c r="S1419" s="57" t="s">
        <v>8</v>
      </c>
      <c r="T1419" s="56" t="s">
        <v>2063</v>
      </c>
    </row>
    <row r="1420" spans="1:20">
      <c r="A1420" s="55">
        <v>127979226453</v>
      </c>
      <c r="B1420" s="53" t="s">
        <v>2055</v>
      </c>
      <c r="C1420" s="54">
        <v>45933</v>
      </c>
      <c r="D1420" s="55">
        <v>51120671162</v>
      </c>
      <c r="E1420" s="55">
        <v>2086059336259</v>
      </c>
      <c r="F1420" s="56" t="s">
        <v>2066</v>
      </c>
      <c r="G1420" s="56" t="s">
        <v>2057</v>
      </c>
      <c r="H1420" s="56" t="s">
        <v>8</v>
      </c>
      <c r="I1420" s="55" t="s">
        <v>8</v>
      </c>
      <c r="J1420" s="57">
        <v>330.12</v>
      </c>
      <c r="K1420" s="56" t="s">
        <v>2058</v>
      </c>
      <c r="L1420" s="56" t="s">
        <v>2067</v>
      </c>
      <c r="M1420" s="55" t="s">
        <v>2060</v>
      </c>
      <c r="N1420" s="56" t="s">
        <v>2061</v>
      </c>
      <c r="O1420" s="53" t="s">
        <v>1790</v>
      </c>
      <c r="P1420" s="56" t="s">
        <v>2068</v>
      </c>
      <c r="Q1420" s="57">
        <v>8400</v>
      </c>
      <c r="R1420" s="58" t="s">
        <v>8</v>
      </c>
      <c r="S1420" s="57" t="s">
        <v>8</v>
      </c>
      <c r="T1420" s="56" t="s">
        <v>2063</v>
      </c>
    </row>
    <row r="1421" spans="1:20">
      <c r="A1421" s="55">
        <v>128552186160</v>
      </c>
      <c r="B1421" s="53" t="s">
        <v>2055</v>
      </c>
      <c r="C1421" s="54">
        <v>45933</v>
      </c>
      <c r="D1421" s="55">
        <v>51122618011</v>
      </c>
      <c r="E1421" s="55">
        <v>2086098646421</v>
      </c>
      <c r="F1421" s="56" t="s">
        <v>2056</v>
      </c>
      <c r="G1421" s="56" t="s">
        <v>2057</v>
      </c>
      <c r="H1421" s="56" t="s">
        <v>8</v>
      </c>
      <c r="I1421" s="55" t="s">
        <v>8</v>
      </c>
      <c r="J1421" s="57">
        <v>22.31</v>
      </c>
      <c r="K1421" s="56" t="s">
        <v>2058</v>
      </c>
      <c r="L1421" s="56" t="s">
        <v>2059</v>
      </c>
      <c r="M1421" s="55" t="s">
        <v>2060</v>
      </c>
      <c r="N1421" s="56" t="s">
        <v>2061</v>
      </c>
      <c r="O1421" s="53" t="s">
        <v>8</v>
      </c>
      <c r="P1421" s="56" t="s">
        <v>2673</v>
      </c>
      <c r="Q1421" s="57">
        <v>2300</v>
      </c>
      <c r="R1421" s="58" t="s">
        <v>8</v>
      </c>
      <c r="S1421" s="57" t="s">
        <v>8</v>
      </c>
      <c r="T1421" s="56" t="s">
        <v>2063</v>
      </c>
    </row>
    <row r="1422" spans="1:20">
      <c r="A1422" s="55">
        <v>128553170088</v>
      </c>
      <c r="B1422" s="53" t="s">
        <v>2055</v>
      </c>
      <c r="C1422" s="54">
        <v>45933</v>
      </c>
      <c r="D1422" s="55">
        <v>51122972630</v>
      </c>
      <c r="E1422" s="55">
        <v>2086169654132</v>
      </c>
      <c r="F1422" s="56" t="s">
        <v>2056</v>
      </c>
      <c r="G1422" s="56" t="s">
        <v>2057</v>
      </c>
      <c r="H1422" s="56" t="s">
        <v>8</v>
      </c>
      <c r="I1422" s="55" t="s">
        <v>8</v>
      </c>
      <c r="J1422" s="57">
        <v>97</v>
      </c>
      <c r="K1422" s="56" t="s">
        <v>2058</v>
      </c>
      <c r="L1422" s="56" t="s">
        <v>2059</v>
      </c>
      <c r="M1422" s="55" t="s">
        <v>2060</v>
      </c>
      <c r="N1422" s="56" t="s">
        <v>2061</v>
      </c>
      <c r="O1422" s="53" t="s">
        <v>8</v>
      </c>
      <c r="P1422" s="56" t="s">
        <v>2674</v>
      </c>
      <c r="Q1422" s="57">
        <v>10000</v>
      </c>
      <c r="R1422" s="58" t="s">
        <v>8</v>
      </c>
      <c r="S1422" s="57" t="s">
        <v>8</v>
      </c>
      <c r="T1422" s="56" t="s">
        <v>2063</v>
      </c>
    </row>
    <row r="1423" spans="1:20">
      <c r="A1423" s="55">
        <v>127987036961</v>
      </c>
      <c r="B1423" s="53" t="s">
        <v>2055</v>
      </c>
      <c r="C1423" s="54">
        <v>45933</v>
      </c>
      <c r="D1423" s="55">
        <v>51123295230</v>
      </c>
      <c r="E1423" s="55">
        <v>2086175406372</v>
      </c>
      <c r="F1423" s="56" t="s">
        <v>2066</v>
      </c>
      <c r="G1423" s="56" t="s">
        <v>2057</v>
      </c>
      <c r="H1423" s="56" t="s">
        <v>8</v>
      </c>
      <c r="I1423" s="55" t="s">
        <v>8</v>
      </c>
      <c r="J1423" s="57">
        <v>381.36</v>
      </c>
      <c r="K1423" s="56" t="s">
        <v>2058</v>
      </c>
      <c r="L1423" s="56" t="s">
        <v>2067</v>
      </c>
      <c r="M1423" s="55" t="s">
        <v>2060</v>
      </c>
      <c r="N1423" s="56" t="s">
        <v>2061</v>
      </c>
      <c r="O1423" s="53" t="s">
        <v>1790</v>
      </c>
      <c r="P1423" s="56" t="s">
        <v>2068</v>
      </c>
      <c r="Q1423" s="57">
        <v>8400</v>
      </c>
      <c r="R1423" s="58" t="s">
        <v>8</v>
      </c>
      <c r="S1423" s="57" t="s">
        <v>8</v>
      </c>
      <c r="T1423" s="56" t="s">
        <v>2063</v>
      </c>
    </row>
    <row r="1424" spans="1:20">
      <c r="A1424" s="55">
        <v>128554292288</v>
      </c>
      <c r="B1424" s="53" t="s">
        <v>2055</v>
      </c>
      <c r="C1424" s="54">
        <v>45933</v>
      </c>
      <c r="D1424" s="55">
        <v>51123360340</v>
      </c>
      <c r="E1424" s="55">
        <v>2086114554533</v>
      </c>
      <c r="F1424" s="56" t="s">
        <v>2056</v>
      </c>
      <c r="G1424" s="56" t="s">
        <v>2057</v>
      </c>
      <c r="H1424" s="56" t="s">
        <v>8</v>
      </c>
      <c r="I1424" s="55" t="s">
        <v>8</v>
      </c>
      <c r="J1424" s="57">
        <v>47.53</v>
      </c>
      <c r="K1424" s="56" t="s">
        <v>2058</v>
      </c>
      <c r="L1424" s="56" t="s">
        <v>2059</v>
      </c>
      <c r="M1424" s="55" t="s">
        <v>2060</v>
      </c>
      <c r="N1424" s="56" t="s">
        <v>2061</v>
      </c>
      <c r="O1424" s="53" t="s">
        <v>8</v>
      </c>
      <c r="P1424" s="56" t="s">
        <v>2675</v>
      </c>
      <c r="Q1424" s="57">
        <v>4900</v>
      </c>
      <c r="R1424" s="58" t="s">
        <v>8</v>
      </c>
      <c r="S1424" s="57" t="s">
        <v>8</v>
      </c>
      <c r="T1424" s="56" t="s">
        <v>2063</v>
      </c>
    </row>
    <row r="1425" spans="1:20">
      <c r="A1425" s="55">
        <v>127988026707</v>
      </c>
      <c r="B1425" s="53" t="s">
        <v>2055</v>
      </c>
      <c r="C1425" s="54">
        <v>45933</v>
      </c>
      <c r="D1425" s="55">
        <v>51123658020</v>
      </c>
      <c r="E1425" s="55">
        <v>2086183323430</v>
      </c>
      <c r="F1425" s="56" t="s">
        <v>2107</v>
      </c>
      <c r="G1425" s="56" t="s">
        <v>2057</v>
      </c>
      <c r="H1425" s="56" t="s">
        <v>8</v>
      </c>
      <c r="I1425" s="55" t="s">
        <v>8</v>
      </c>
      <c r="J1425" s="57">
        <v>697.64</v>
      </c>
      <c r="K1425" s="56" t="s">
        <v>2058</v>
      </c>
      <c r="L1425" s="56" t="s">
        <v>2059</v>
      </c>
      <c r="M1425" s="55" t="s">
        <v>2060</v>
      </c>
      <c r="N1425" s="56" t="s">
        <v>2061</v>
      </c>
      <c r="O1425" s="53" t="s">
        <v>8</v>
      </c>
      <c r="P1425" s="56" t="s">
        <v>2197</v>
      </c>
      <c r="Q1425" s="57">
        <v>42800</v>
      </c>
      <c r="R1425" s="58" t="s">
        <v>8</v>
      </c>
      <c r="S1425" s="57" t="s">
        <v>8</v>
      </c>
      <c r="T1425" s="56" t="s">
        <v>2063</v>
      </c>
    </row>
    <row r="1426" spans="1:20">
      <c r="A1426" s="55">
        <v>128557855134</v>
      </c>
      <c r="B1426" s="53" t="s">
        <v>2055</v>
      </c>
      <c r="C1426" s="54">
        <v>45933</v>
      </c>
      <c r="D1426" s="55">
        <v>51124603360</v>
      </c>
      <c r="E1426" s="55">
        <v>2086140675203</v>
      </c>
      <c r="F1426" s="56" t="s">
        <v>2056</v>
      </c>
      <c r="G1426" s="56" t="s">
        <v>2057</v>
      </c>
      <c r="H1426" s="56" t="s">
        <v>8</v>
      </c>
      <c r="I1426" s="55" t="s">
        <v>8</v>
      </c>
      <c r="J1426" s="57">
        <v>334.65</v>
      </c>
      <c r="K1426" s="56" t="s">
        <v>2058</v>
      </c>
      <c r="L1426" s="56" t="s">
        <v>2059</v>
      </c>
      <c r="M1426" s="55" t="s">
        <v>2060</v>
      </c>
      <c r="N1426" s="56" t="s">
        <v>2061</v>
      </c>
      <c r="O1426" s="53" t="s">
        <v>8</v>
      </c>
      <c r="P1426" s="56" t="s">
        <v>2676</v>
      </c>
      <c r="Q1426" s="57">
        <v>34500</v>
      </c>
      <c r="R1426" s="58" t="s">
        <v>8</v>
      </c>
      <c r="S1426" s="57" t="s">
        <v>8</v>
      </c>
      <c r="T1426" s="56" t="s">
        <v>2063</v>
      </c>
    </row>
    <row r="1427" spans="1:20">
      <c r="A1427" s="55">
        <v>128557987022</v>
      </c>
      <c r="B1427" s="53" t="s">
        <v>2055</v>
      </c>
      <c r="C1427" s="54">
        <v>45933</v>
      </c>
      <c r="D1427" s="55">
        <v>51124686808</v>
      </c>
      <c r="E1427" s="55">
        <v>2086141795075</v>
      </c>
      <c r="F1427" s="56" t="s">
        <v>2056</v>
      </c>
      <c r="G1427" s="56" t="s">
        <v>2057</v>
      </c>
      <c r="H1427" s="56" t="s">
        <v>8</v>
      </c>
      <c r="I1427" s="55" t="s">
        <v>8</v>
      </c>
      <c r="J1427" s="57">
        <v>46.56</v>
      </c>
      <c r="K1427" s="56" t="s">
        <v>2058</v>
      </c>
      <c r="L1427" s="56" t="s">
        <v>2059</v>
      </c>
      <c r="M1427" s="55" t="s">
        <v>2060</v>
      </c>
      <c r="N1427" s="56" t="s">
        <v>2061</v>
      </c>
      <c r="O1427" s="53" t="s">
        <v>8</v>
      </c>
      <c r="P1427" s="56" t="s">
        <v>2677</v>
      </c>
      <c r="Q1427" s="57">
        <v>4800</v>
      </c>
      <c r="R1427" s="58" t="s">
        <v>8</v>
      </c>
      <c r="S1427" s="57" t="s">
        <v>8</v>
      </c>
      <c r="T1427" s="56" t="s">
        <v>2063</v>
      </c>
    </row>
    <row r="1428" spans="1:20">
      <c r="A1428" s="55">
        <v>128558595664</v>
      </c>
      <c r="B1428" s="53" t="s">
        <v>2055</v>
      </c>
      <c r="C1428" s="54">
        <v>45933</v>
      </c>
      <c r="D1428" s="55">
        <v>51124884034</v>
      </c>
      <c r="E1428" s="55">
        <v>2086209330890</v>
      </c>
      <c r="F1428" s="56" t="s">
        <v>2056</v>
      </c>
      <c r="G1428" s="56" t="s">
        <v>2057</v>
      </c>
      <c r="H1428" s="56" t="s">
        <v>8</v>
      </c>
      <c r="I1428" s="55" t="s">
        <v>8</v>
      </c>
      <c r="J1428" s="57">
        <v>190.12</v>
      </c>
      <c r="K1428" s="56" t="s">
        <v>2058</v>
      </c>
      <c r="L1428" s="56" t="s">
        <v>2059</v>
      </c>
      <c r="M1428" s="55" t="s">
        <v>2060</v>
      </c>
      <c r="N1428" s="56" t="s">
        <v>2061</v>
      </c>
      <c r="O1428" s="53" t="s">
        <v>8</v>
      </c>
      <c r="P1428" s="56" t="s">
        <v>2678</v>
      </c>
      <c r="Q1428" s="57">
        <v>19600</v>
      </c>
      <c r="R1428" s="58" t="s">
        <v>8</v>
      </c>
      <c r="S1428" s="57" t="s">
        <v>8</v>
      </c>
      <c r="T1428" s="56" t="s">
        <v>2063</v>
      </c>
    </row>
    <row r="1429" spans="1:20">
      <c r="A1429" s="55">
        <v>128558731210</v>
      </c>
      <c r="B1429" s="53" t="s">
        <v>2055</v>
      </c>
      <c r="C1429" s="54">
        <v>45933</v>
      </c>
      <c r="D1429" s="55">
        <v>51124939066</v>
      </c>
      <c r="E1429" s="55">
        <v>2086147191525</v>
      </c>
      <c r="F1429" s="56" t="s">
        <v>2056</v>
      </c>
      <c r="G1429" s="56" t="s">
        <v>2057</v>
      </c>
      <c r="H1429" s="56" t="s">
        <v>8</v>
      </c>
      <c r="I1429" s="55" t="s">
        <v>8</v>
      </c>
      <c r="J1429" s="57">
        <v>428.74</v>
      </c>
      <c r="K1429" s="56" t="s">
        <v>2058</v>
      </c>
      <c r="L1429" s="56" t="s">
        <v>2059</v>
      </c>
      <c r="M1429" s="55" t="s">
        <v>2060</v>
      </c>
      <c r="N1429" s="56" t="s">
        <v>2061</v>
      </c>
      <c r="O1429" s="53" t="s">
        <v>8</v>
      </c>
      <c r="P1429" s="56" t="s">
        <v>2679</v>
      </c>
      <c r="Q1429" s="57">
        <v>44200</v>
      </c>
      <c r="R1429" s="58" t="s">
        <v>8</v>
      </c>
      <c r="S1429" s="57" t="s">
        <v>8</v>
      </c>
      <c r="T1429" s="56" t="s">
        <v>2063</v>
      </c>
    </row>
    <row r="1430" spans="1:20">
      <c r="A1430" s="55">
        <v>127994543007</v>
      </c>
      <c r="B1430" s="53" t="s">
        <v>2055</v>
      </c>
      <c r="C1430" s="54">
        <v>45933</v>
      </c>
      <c r="D1430" s="55">
        <v>51125967663</v>
      </c>
      <c r="E1430" s="55">
        <v>2086168502289</v>
      </c>
      <c r="F1430" s="56" t="s">
        <v>2056</v>
      </c>
      <c r="G1430" s="56" t="s">
        <v>2057</v>
      </c>
      <c r="H1430" s="56" t="s">
        <v>8</v>
      </c>
      <c r="I1430" s="55" t="s">
        <v>8</v>
      </c>
      <c r="J1430" s="57">
        <v>624.67999999999995</v>
      </c>
      <c r="K1430" s="56" t="s">
        <v>2058</v>
      </c>
      <c r="L1430" s="56" t="s">
        <v>2059</v>
      </c>
      <c r="M1430" s="55" t="s">
        <v>2060</v>
      </c>
      <c r="N1430" s="56" t="s">
        <v>2061</v>
      </c>
      <c r="O1430" s="53" t="s">
        <v>8</v>
      </c>
      <c r="P1430" s="56" t="s">
        <v>2680</v>
      </c>
      <c r="Q1430" s="57">
        <v>64400</v>
      </c>
      <c r="R1430" s="58" t="s">
        <v>8</v>
      </c>
      <c r="S1430" s="57" t="s">
        <v>8</v>
      </c>
      <c r="T1430" s="56" t="s">
        <v>2063</v>
      </c>
    </row>
    <row r="1431" spans="1:20">
      <c r="A1431" s="55">
        <v>127995227521</v>
      </c>
      <c r="B1431" s="53" t="s">
        <v>2055</v>
      </c>
      <c r="C1431" s="54">
        <v>45933</v>
      </c>
      <c r="D1431" s="55">
        <v>51126221396</v>
      </c>
      <c r="E1431" s="55">
        <v>2086173695971</v>
      </c>
      <c r="F1431" s="56" t="s">
        <v>2066</v>
      </c>
      <c r="G1431" s="56" t="s">
        <v>2057</v>
      </c>
      <c r="H1431" s="56" t="s">
        <v>8</v>
      </c>
      <c r="I1431" s="55" t="s">
        <v>8</v>
      </c>
      <c r="J1431" s="57">
        <v>2118.27</v>
      </c>
      <c r="K1431" s="56" t="s">
        <v>2058</v>
      </c>
      <c r="L1431" s="56" t="s">
        <v>2067</v>
      </c>
      <c r="M1431" s="55" t="s">
        <v>2060</v>
      </c>
      <c r="N1431" s="56" t="s">
        <v>2061</v>
      </c>
      <c r="O1431" s="53" t="s">
        <v>1790</v>
      </c>
      <c r="P1431" s="56" t="s">
        <v>2068</v>
      </c>
      <c r="Q1431" s="57">
        <v>53900</v>
      </c>
      <c r="R1431" s="58" t="s">
        <v>8</v>
      </c>
      <c r="S1431" s="57" t="s">
        <v>8</v>
      </c>
      <c r="T1431" s="56" t="s">
        <v>2063</v>
      </c>
    </row>
    <row r="1432" spans="1:20">
      <c r="A1432" s="55">
        <v>127996004657</v>
      </c>
      <c r="B1432" s="53" t="s">
        <v>2055</v>
      </c>
      <c r="C1432" s="54">
        <v>45933</v>
      </c>
      <c r="D1432" s="55">
        <v>51126503699</v>
      </c>
      <c r="E1432" s="55">
        <v>2086241954676</v>
      </c>
      <c r="F1432" s="56" t="s">
        <v>2066</v>
      </c>
      <c r="G1432" s="56" t="s">
        <v>2057</v>
      </c>
      <c r="H1432" s="56" t="s">
        <v>8</v>
      </c>
      <c r="I1432" s="55" t="s">
        <v>8</v>
      </c>
      <c r="J1432" s="57">
        <v>1697.76</v>
      </c>
      <c r="K1432" s="56" t="s">
        <v>2058</v>
      </c>
      <c r="L1432" s="56" t="s">
        <v>2067</v>
      </c>
      <c r="M1432" s="55" t="s">
        <v>2060</v>
      </c>
      <c r="N1432" s="56" t="s">
        <v>2061</v>
      </c>
      <c r="O1432" s="53" t="s">
        <v>1790</v>
      </c>
      <c r="P1432" s="56" t="s">
        <v>2068</v>
      </c>
      <c r="Q1432" s="57">
        <v>43200</v>
      </c>
      <c r="R1432" s="58" t="s">
        <v>8</v>
      </c>
      <c r="S1432" s="57" t="s">
        <v>8</v>
      </c>
      <c r="T1432" s="56" t="s">
        <v>2063</v>
      </c>
    </row>
    <row r="1433" spans="1:20">
      <c r="A1433" s="55">
        <v>127996122285</v>
      </c>
      <c r="B1433" s="53" t="s">
        <v>2055</v>
      </c>
      <c r="C1433" s="54">
        <v>45933</v>
      </c>
      <c r="D1433" s="55">
        <v>51126561398</v>
      </c>
      <c r="E1433" s="55">
        <v>2086242704702</v>
      </c>
      <c r="F1433" s="56" t="s">
        <v>2069</v>
      </c>
      <c r="G1433" s="56" t="s">
        <v>2057</v>
      </c>
      <c r="H1433" s="56" t="s">
        <v>8</v>
      </c>
      <c r="I1433" s="55" t="s">
        <v>8</v>
      </c>
      <c r="J1433" s="57">
        <v>87.3</v>
      </c>
      <c r="K1433" s="56" t="s">
        <v>2058</v>
      </c>
      <c r="L1433" s="56" t="s">
        <v>2059</v>
      </c>
      <c r="M1433" s="55" t="s">
        <v>2060</v>
      </c>
      <c r="N1433" s="56" t="s">
        <v>2061</v>
      </c>
      <c r="O1433" s="53" t="s">
        <v>8</v>
      </c>
      <c r="P1433" s="56" t="s">
        <v>2070</v>
      </c>
      <c r="Q1433" s="57">
        <v>9000</v>
      </c>
      <c r="R1433" s="58" t="s">
        <v>8</v>
      </c>
      <c r="S1433" s="57" t="s">
        <v>8</v>
      </c>
      <c r="T1433" s="56" t="s">
        <v>8</v>
      </c>
    </row>
    <row r="1434" spans="1:20">
      <c r="A1434" s="55">
        <v>128563250040</v>
      </c>
      <c r="B1434" s="53" t="s">
        <v>2055</v>
      </c>
      <c r="C1434" s="54">
        <v>45933</v>
      </c>
      <c r="D1434" s="55">
        <v>51126607365</v>
      </c>
      <c r="E1434" s="55">
        <v>2086243723202</v>
      </c>
      <c r="F1434" s="56" t="s">
        <v>2107</v>
      </c>
      <c r="G1434" s="56" t="s">
        <v>2057</v>
      </c>
      <c r="H1434" s="56" t="s">
        <v>8</v>
      </c>
      <c r="I1434" s="55" t="s">
        <v>8</v>
      </c>
      <c r="J1434" s="57">
        <v>81.5</v>
      </c>
      <c r="K1434" s="56" t="s">
        <v>2058</v>
      </c>
      <c r="L1434" s="56" t="s">
        <v>2059</v>
      </c>
      <c r="M1434" s="55" t="s">
        <v>2060</v>
      </c>
      <c r="N1434" s="56" t="s">
        <v>2061</v>
      </c>
      <c r="O1434" s="53" t="s">
        <v>8</v>
      </c>
      <c r="P1434" s="56" t="s">
        <v>2197</v>
      </c>
      <c r="Q1434" s="57">
        <v>5000</v>
      </c>
      <c r="R1434" s="58" t="s">
        <v>8</v>
      </c>
      <c r="S1434" s="57" t="s">
        <v>8</v>
      </c>
      <c r="T1434" s="56" t="s">
        <v>2063</v>
      </c>
    </row>
    <row r="1435" spans="1:20">
      <c r="A1435" s="55">
        <v>127996361007</v>
      </c>
      <c r="B1435" s="53" t="s">
        <v>2055</v>
      </c>
      <c r="C1435" s="54">
        <v>45933</v>
      </c>
      <c r="D1435" s="55">
        <v>51126644221</v>
      </c>
      <c r="E1435" s="55">
        <v>2086244653912</v>
      </c>
      <c r="F1435" s="56" t="s">
        <v>2056</v>
      </c>
      <c r="G1435" s="56" t="s">
        <v>2057</v>
      </c>
      <c r="H1435" s="56" t="s">
        <v>8</v>
      </c>
      <c r="I1435" s="55" t="s">
        <v>8</v>
      </c>
      <c r="J1435" s="57">
        <v>660.57</v>
      </c>
      <c r="K1435" s="56" t="s">
        <v>2058</v>
      </c>
      <c r="L1435" s="56" t="s">
        <v>2059</v>
      </c>
      <c r="M1435" s="55" t="s">
        <v>2060</v>
      </c>
      <c r="N1435" s="56" t="s">
        <v>2061</v>
      </c>
      <c r="O1435" s="53" t="s">
        <v>8</v>
      </c>
      <c r="P1435" s="56" t="s">
        <v>2681</v>
      </c>
      <c r="Q1435" s="57">
        <v>68100</v>
      </c>
      <c r="R1435" s="58" t="s">
        <v>8</v>
      </c>
      <c r="S1435" s="57" t="s">
        <v>8</v>
      </c>
      <c r="T1435" s="56" t="s">
        <v>2063</v>
      </c>
    </row>
    <row r="1436" spans="1:20">
      <c r="A1436" s="55">
        <v>127996450215</v>
      </c>
      <c r="B1436" s="53" t="s">
        <v>2055</v>
      </c>
      <c r="C1436" s="54">
        <v>45933</v>
      </c>
      <c r="D1436" s="55">
        <v>51126696572</v>
      </c>
      <c r="E1436" s="55">
        <v>2086244996826</v>
      </c>
      <c r="F1436" s="56" t="s">
        <v>2107</v>
      </c>
      <c r="G1436" s="56" t="s">
        <v>2057</v>
      </c>
      <c r="H1436" s="56" t="s">
        <v>8</v>
      </c>
      <c r="I1436" s="55" t="s">
        <v>8</v>
      </c>
      <c r="J1436" s="57">
        <v>86.39</v>
      </c>
      <c r="K1436" s="56" t="s">
        <v>2058</v>
      </c>
      <c r="L1436" s="56" t="s">
        <v>2059</v>
      </c>
      <c r="M1436" s="55" t="s">
        <v>2060</v>
      </c>
      <c r="N1436" s="56" t="s">
        <v>2061</v>
      </c>
      <c r="O1436" s="53" t="s">
        <v>8</v>
      </c>
      <c r="P1436" s="56" t="s">
        <v>2115</v>
      </c>
      <c r="Q1436" s="57">
        <v>5300</v>
      </c>
      <c r="R1436" s="58" t="s">
        <v>8</v>
      </c>
      <c r="S1436" s="57" t="s">
        <v>8</v>
      </c>
      <c r="T1436" s="56" t="s">
        <v>2063</v>
      </c>
    </row>
    <row r="1437" spans="1:20">
      <c r="A1437" s="55">
        <v>128563797988</v>
      </c>
      <c r="B1437" s="53" t="s">
        <v>2055</v>
      </c>
      <c r="C1437" s="54">
        <v>45933</v>
      </c>
      <c r="D1437" s="55">
        <v>51126836071</v>
      </c>
      <c r="E1437" s="55">
        <v>2086247336138</v>
      </c>
      <c r="F1437" s="56" t="s">
        <v>2056</v>
      </c>
      <c r="G1437" s="56" t="s">
        <v>2057</v>
      </c>
      <c r="H1437" s="56" t="s">
        <v>8</v>
      </c>
      <c r="I1437" s="55" t="s">
        <v>8</v>
      </c>
      <c r="J1437" s="57">
        <v>161.99</v>
      </c>
      <c r="K1437" s="56" t="s">
        <v>2058</v>
      </c>
      <c r="L1437" s="56" t="s">
        <v>2059</v>
      </c>
      <c r="M1437" s="55" t="s">
        <v>2060</v>
      </c>
      <c r="N1437" s="56" t="s">
        <v>2061</v>
      </c>
      <c r="O1437" s="53" t="s">
        <v>8</v>
      </c>
      <c r="P1437" s="56" t="s">
        <v>2682</v>
      </c>
      <c r="Q1437" s="57">
        <v>16700</v>
      </c>
      <c r="R1437" s="58" t="s">
        <v>8</v>
      </c>
      <c r="S1437" s="57" t="s">
        <v>8</v>
      </c>
      <c r="T1437" s="56" t="s">
        <v>2063</v>
      </c>
    </row>
    <row r="1438" spans="1:20">
      <c r="A1438" s="55">
        <v>128564070590</v>
      </c>
      <c r="B1438" s="53" t="s">
        <v>2055</v>
      </c>
      <c r="C1438" s="54">
        <v>45933</v>
      </c>
      <c r="D1438" s="55">
        <v>51126907213</v>
      </c>
      <c r="E1438" s="55">
        <v>2086185968027</v>
      </c>
      <c r="F1438" s="56" t="s">
        <v>2056</v>
      </c>
      <c r="G1438" s="56" t="s">
        <v>2136</v>
      </c>
      <c r="H1438" s="56" t="s">
        <v>2137</v>
      </c>
      <c r="I1438" s="55" t="s">
        <v>8</v>
      </c>
      <c r="J1438" s="57">
        <v>425.83</v>
      </c>
      <c r="K1438" s="56" t="s">
        <v>2058</v>
      </c>
      <c r="L1438" s="56" t="s">
        <v>2059</v>
      </c>
      <c r="M1438" s="55" t="s">
        <v>2060</v>
      </c>
      <c r="N1438" s="56" t="s">
        <v>2061</v>
      </c>
      <c r="O1438" s="53" t="s">
        <v>8</v>
      </c>
      <c r="P1438" s="56" t="s">
        <v>2082</v>
      </c>
      <c r="Q1438" s="57">
        <v>43900</v>
      </c>
      <c r="R1438" s="58" t="s">
        <v>8</v>
      </c>
      <c r="S1438" s="57" t="s">
        <v>8</v>
      </c>
      <c r="T1438" s="56" t="s">
        <v>2063</v>
      </c>
    </row>
    <row r="1439" spans="1:20">
      <c r="A1439" s="55">
        <v>128564105462</v>
      </c>
      <c r="B1439" s="53" t="s">
        <v>2055</v>
      </c>
      <c r="C1439" s="54">
        <v>45933</v>
      </c>
      <c r="D1439" s="55">
        <v>51126933405</v>
      </c>
      <c r="E1439" s="55">
        <v>2086249375054</v>
      </c>
      <c r="F1439" s="56" t="s">
        <v>2056</v>
      </c>
      <c r="G1439" s="56" t="s">
        <v>2057</v>
      </c>
      <c r="H1439" s="56" t="s">
        <v>8</v>
      </c>
      <c r="I1439" s="55" t="s">
        <v>8</v>
      </c>
      <c r="J1439" s="57">
        <v>87.3</v>
      </c>
      <c r="K1439" s="56" t="s">
        <v>2058</v>
      </c>
      <c r="L1439" s="56" t="s">
        <v>2059</v>
      </c>
      <c r="M1439" s="55" t="s">
        <v>2060</v>
      </c>
      <c r="N1439" s="56" t="s">
        <v>2061</v>
      </c>
      <c r="O1439" s="53" t="s">
        <v>8</v>
      </c>
      <c r="P1439" s="56" t="s">
        <v>2683</v>
      </c>
      <c r="Q1439" s="57">
        <v>9000</v>
      </c>
      <c r="R1439" s="58" t="s">
        <v>8</v>
      </c>
      <c r="S1439" s="57" t="s">
        <v>8</v>
      </c>
      <c r="T1439" s="56" t="s">
        <v>2063</v>
      </c>
    </row>
    <row r="1440" spans="1:20">
      <c r="A1440" s="55">
        <v>127997252239</v>
      </c>
      <c r="B1440" s="53" t="s">
        <v>2055</v>
      </c>
      <c r="C1440" s="54">
        <v>45933</v>
      </c>
      <c r="D1440" s="55">
        <v>51126970482</v>
      </c>
      <c r="E1440" s="55">
        <v>2086186941581</v>
      </c>
      <c r="F1440" s="56" t="s">
        <v>2066</v>
      </c>
      <c r="G1440" s="56" t="s">
        <v>2057</v>
      </c>
      <c r="H1440" s="56" t="s">
        <v>8</v>
      </c>
      <c r="I1440" s="55" t="s">
        <v>8</v>
      </c>
      <c r="J1440" s="57">
        <v>440.38</v>
      </c>
      <c r="K1440" s="56" t="s">
        <v>2058</v>
      </c>
      <c r="L1440" s="56" t="s">
        <v>2067</v>
      </c>
      <c r="M1440" s="55" t="s">
        <v>2060</v>
      </c>
      <c r="N1440" s="56" t="s">
        <v>2061</v>
      </c>
      <c r="O1440" s="53" t="s">
        <v>1790</v>
      </c>
      <c r="P1440" s="56" t="s">
        <v>2068</v>
      </c>
      <c r="Q1440" s="57">
        <v>9700</v>
      </c>
      <c r="R1440" s="58" t="s">
        <v>8</v>
      </c>
      <c r="S1440" s="57" t="s">
        <v>8</v>
      </c>
      <c r="T1440" s="56" t="s">
        <v>2063</v>
      </c>
    </row>
    <row r="1441" spans="1:20">
      <c r="A1441" s="55">
        <v>128564070590</v>
      </c>
      <c r="B1441" s="53" t="s">
        <v>2055</v>
      </c>
      <c r="C1441" s="54">
        <v>45933</v>
      </c>
      <c r="D1441" s="55">
        <v>51127012089</v>
      </c>
      <c r="E1441" s="55">
        <v>2086188000439</v>
      </c>
      <c r="F1441" s="56" t="s">
        <v>2139</v>
      </c>
      <c r="G1441" s="56" t="s">
        <v>2136</v>
      </c>
      <c r="H1441" s="56" t="s">
        <v>8</v>
      </c>
      <c r="I1441" s="55">
        <v>51126907213</v>
      </c>
      <c r="J1441" s="57">
        <v>-425.83</v>
      </c>
      <c r="K1441" s="56" t="s">
        <v>2058</v>
      </c>
      <c r="L1441" s="56" t="s">
        <v>2059</v>
      </c>
      <c r="M1441" s="55" t="s">
        <v>2060</v>
      </c>
      <c r="N1441" s="56" t="s">
        <v>2061</v>
      </c>
      <c r="O1441" s="53" t="s">
        <v>8</v>
      </c>
      <c r="P1441" s="56" t="s">
        <v>2082</v>
      </c>
      <c r="Q1441" s="57">
        <v>43900</v>
      </c>
      <c r="R1441" s="58" t="s">
        <v>8</v>
      </c>
      <c r="S1441" s="57" t="s">
        <v>8</v>
      </c>
      <c r="T1441" s="56" t="s">
        <v>8</v>
      </c>
    </row>
    <row r="1442" spans="1:20">
      <c r="A1442" s="55">
        <v>127997540269</v>
      </c>
      <c r="B1442" s="53" t="s">
        <v>2055</v>
      </c>
      <c r="C1442" s="54">
        <v>45933</v>
      </c>
      <c r="D1442" s="55">
        <v>51127105765</v>
      </c>
      <c r="E1442" s="55">
        <v>2086251745716</v>
      </c>
      <c r="F1442" s="56" t="s">
        <v>2056</v>
      </c>
      <c r="G1442" s="56" t="s">
        <v>2057</v>
      </c>
      <c r="H1442" s="56" t="s">
        <v>8</v>
      </c>
      <c r="I1442" s="55" t="s">
        <v>8</v>
      </c>
      <c r="J1442" s="57">
        <v>336.59</v>
      </c>
      <c r="K1442" s="56" t="s">
        <v>2058</v>
      </c>
      <c r="L1442" s="56" t="s">
        <v>2059</v>
      </c>
      <c r="M1442" s="55" t="s">
        <v>2060</v>
      </c>
      <c r="N1442" s="56" t="s">
        <v>2061</v>
      </c>
      <c r="O1442" s="53" t="s">
        <v>8</v>
      </c>
      <c r="P1442" s="56" t="s">
        <v>2082</v>
      </c>
      <c r="Q1442" s="57">
        <v>34700</v>
      </c>
      <c r="R1442" s="58" t="s">
        <v>8</v>
      </c>
      <c r="S1442" s="57" t="s">
        <v>8</v>
      </c>
      <c r="T1442" s="56" t="s">
        <v>2063</v>
      </c>
    </row>
    <row r="1443" spans="1:20">
      <c r="A1443" s="55">
        <v>128564579028</v>
      </c>
      <c r="B1443" s="53" t="s">
        <v>2055</v>
      </c>
      <c r="C1443" s="54">
        <v>45933</v>
      </c>
      <c r="D1443" s="55">
        <v>51127168512</v>
      </c>
      <c r="E1443" s="55">
        <v>2086189891703</v>
      </c>
      <c r="F1443" s="56" t="s">
        <v>2056</v>
      </c>
      <c r="G1443" s="56" t="s">
        <v>2057</v>
      </c>
      <c r="H1443" s="56" t="s">
        <v>8</v>
      </c>
      <c r="I1443" s="55" t="s">
        <v>8</v>
      </c>
      <c r="J1443" s="57">
        <v>294.88</v>
      </c>
      <c r="K1443" s="56" t="s">
        <v>2058</v>
      </c>
      <c r="L1443" s="56" t="s">
        <v>2059</v>
      </c>
      <c r="M1443" s="55" t="s">
        <v>2060</v>
      </c>
      <c r="N1443" s="56" t="s">
        <v>2061</v>
      </c>
      <c r="O1443" s="53" t="s">
        <v>8</v>
      </c>
      <c r="P1443" s="56" t="s">
        <v>2684</v>
      </c>
      <c r="Q1443" s="57">
        <v>30400</v>
      </c>
      <c r="R1443" s="58" t="s">
        <v>8</v>
      </c>
      <c r="S1443" s="57" t="s">
        <v>8</v>
      </c>
      <c r="T1443" s="56" t="s">
        <v>2063</v>
      </c>
    </row>
    <row r="1444" spans="1:20">
      <c r="A1444" s="55">
        <v>128564877302</v>
      </c>
      <c r="B1444" s="53" t="s">
        <v>2055</v>
      </c>
      <c r="C1444" s="54">
        <v>45933</v>
      </c>
      <c r="D1444" s="55">
        <v>51127262411</v>
      </c>
      <c r="E1444" s="55">
        <v>2086192202291</v>
      </c>
      <c r="F1444" s="56" t="s">
        <v>2056</v>
      </c>
      <c r="G1444" s="56" t="s">
        <v>2057</v>
      </c>
      <c r="H1444" s="56" t="s">
        <v>8</v>
      </c>
      <c r="I1444" s="55" t="s">
        <v>8</v>
      </c>
      <c r="J1444" s="57">
        <v>287.12</v>
      </c>
      <c r="K1444" s="56" t="s">
        <v>2058</v>
      </c>
      <c r="L1444" s="56" t="s">
        <v>2059</v>
      </c>
      <c r="M1444" s="55" t="s">
        <v>2060</v>
      </c>
      <c r="N1444" s="56" t="s">
        <v>2061</v>
      </c>
      <c r="O1444" s="53" t="s">
        <v>8</v>
      </c>
      <c r="P1444" s="56" t="s">
        <v>2283</v>
      </c>
      <c r="Q1444" s="57">
        <v>29600</v>
      </c>
      <c r="R1444" s="58" t="s">
        <v>8</v>
      </c>
      <c r="S1444" s="57" t="s">
        <v>8</v>
      </c>
      <c r="T1444" s="56" t="s">
        <v>2063</v>
      </c>
    </row>
    <row r="1445" spans="1:20">
      <c r="A1445" s="55">
        <v>127998034681</v>
      </c>
      <c r="B1445" s="53" t="s">
        <v>2055</v>
      </c>
      <c r="C1445" s="54">
        <v>45933</v>
      </c>
      <c r="D1445" s="55">
        <v>51127319691</v>
      </c>
      <c r="E1445" s="55">
        <v>2086192846033</v>
      </c>
      <c r="F1445" s="56" t="s">
        <v>2056</v>
      </c>
      <c r="G1445" s="56" t="s">
        <v>2057</v>
      </c>
      <c r="H1445" s="56" t="s">
        <v>8</v>
      </c>
      <c r="I1445" s="55" t="s">
        <v>8</v>
      </c>
      <c r="J1445" s="57">
        <v>314.27999999999997</v>
      </c>
      <c r="K1445" s="56" t="s">
        <v>2058</v>
      </c>
      <c r="L1445" s="56" t="s">
        <v>2059</v>
      </c>
      <c r="M1445" s="55" t="s">
        <v>2060</v>
      </c>
      <c r="N1445" s="56" t="s">
        <v>2061</v>
      </c>
      <c r="O1445" s="53" t="s">
        <v>8</v>
      </c>
      <c r="P1445" s="56" t="s">
        <v>2677</v>
      </c>
      <c r="Q1445" s="57">
        <v>32400</v>
      </c>
      <c r="R1445" s="58" t="s">
        <v>8</v>
      </c>
      <c r="S1445" s="57" t="s">
        <v>8</v>
      </c>
      <c r="T1445" s="56" t="s">
        <v>2063</v>
      </c>
    </row>
    <row r="1446" spans="1:20">
      <c r="A1446" s="55">
        <v>127998422719</v>
      </c>
      <c r="B1446" s="53" t="s">
        <v>2055</v>
      </c>
      <c r="C1446" s="54">
        <v>45933</v>
      </c>
      <c r="D1446" s="55">
        <v>51127463794</v>
      </c>
      <c r="E1446" s="55">
        <v>2086195590575</v>
      </c>
      <c r="F1446" s="56" t="s">
        <v>2056</v>
      </c>
      <c r="G1446" s="56" t="s">
        <v>2057</v>
      </c>
      <c r="H1446" s="56" t="s">
        <v>8</v>
      </c>
      <c r="I1446" s="55" t="s">
        <v>8</v>
      </c>
      <c r="J1446" s="57">
        <v>396.73</v>
      </c>
      <c r="K1446" s="56" t="s">
        <v>2058</v>
      </c>
      <c r="L1446" s="56" t="s">
        <v>2059</v>
      </c>
      <c r="M1446" s="55" t="s">
        <v>2060</v>
      </c>
      <c r="N1446" s="56" t="s">
        <v>2061</v>
      </c>
      <c r="O1446" s="53" t="s">
        <v>8</v>
      </c>
      <c r="P1446" s="56" t="s">
        <v>2685</v>
      </c>
      <c r="Q1446" s="57">
        <v>40900</v>
      </c>
      <c r="R1446" s="58" t="s">
        <v>8</v>
      </c>
      <c r="S1446" s="57" t="s">
        <v>8</v>
      </c>
      <c r="T1446" s="56" t="s">
        <v>2063</v>
      </c>
    </row>
    <row r="1447" spans="1:20">
      <c r="A1447" s="55">
        <v>127998530233</v>
      </c>
      <c r="B1447" s="53" t="s">
        <v>2055</v>
      </c>
      <c r="C1447" s="54">
        <v>45933</v>
      </c>
      <c r="D1447" s="55">
        <v>51127521818</v>
      </c>
      <c r="E1447" s="55">
        <v>2086196567517</v>
      </c>
      <c r="F1447" s="56" t="s">
        <v>2069</v>
      </c>
      <c r="G1447" s="56" t="s">
        <v>2057</v>
      </c>
      <c r="H1447" s="56" t="s">
        <v>8</v>
      </c>
      <c r="I1447" s="55" t="s">
        <v>8</v>
      </c>
      <c r="J1447" s="57">
        <v>231.83</v>
      </c>
      <c r="K1447" s="56" t="s">
        <v>2058</v>
      </c>
      <c r="L1447" s="56" t="s">
        <v>2059</v>
      </c>
      <c r="M1447" s="55" t="s">
        <v>2060</v>
      </c>
      <c r="N1447" s="56" t="s">
        <v>2061</v>
      </c>
      <c r="O1447" s="53" t="s">
        <v>8</v>
      </c>
      <c r="P1447" s="56" t="s">
        <v>2070</v>
      </c>
      <c r="Q1447" s="57">
        <v>23900</v>
      </c>
      <c r="R1447" s="58" t="s">
        <v>8</v>
      </c>
      <c r="S1447" s="57" t="s">
        <v>8</v>
      </c>
      <c r="T1447" s="56" t="s">
        <v>8</v>
      </c>
    </row>
    <row r="1448" spans="1:20">
      <c r="A1448" s="55">
        <v>127998690249</v>
      </c>
      <c r="B1448" s="53" t="s">
        <v>2055</v>
      </c>
      <c r="C1448" s="54">
        <v>45933</v>
      </c>
      <c r="D1448" s="55">
        <v>51127581290</v>
      </c>
      <c r="E1448" s="55">
        <v>2086260079766</v>
      </c>
      <c r="F1448" s="56" t="s">
        <v>2069</v>
      </c>
      <c r="G1448" s="56" t="s">
        <v>2057</v>
      </c>
      <c r="H1448" s="56" t="s">
        <v>8</v>
      </c>
      <c r="I1448" s="55" t="s">
        <v>8</v>
      </c>
      <c r="J1448" s="57">
        <v>85.36</v>
      </c>
      <c r="K1448" s="56" t="s">
        <v>2058</v>
      </c>
      <c r="L1448" s="56" t="s">
        <v>2059</v>
      </c>
      <c r="M1448" s="55" t="s">
        <v>2060</v>
      </c>
      <c r="N1448" s="56" t="s">
        <v>2061</v>
      </c>
      <c r="O1448" s="53" t="s">
        <v>8</v>
      </c>
      <c r="P1448" s="56" t="s">
        <v>2070</v>
      </c>
      <c r="Q1448" s="57">
        <v>8800</v>
      </c>
      <c r="R1448" s="58" t="s">
        <v>8</v>
      </c>
      <c r="S1448" s="57" t="s">
        <v>8</v>
      </c>
      <c r="T1448" s="56" t="s">
        <v>8</v>
      </c>
    </row>
    <row r="1449" spans="1:20">
      <c r="A1449" s="55">
        <v>127998789467</v>
      </c>
      <c r="B1449" s="53" t="s">
        <v>2055</v>
      </c>
      <c r="C1449" s="54">
        <v>45933</v>
      </c>
      <c r="D1449" s="55">
        <v>51127618751</v>
      </c>
      <c r="E1449" s="55">
        <v>2086261528916</v>
      </c>
      <c r="F1449" s="56" t="s">
        <v>2066</v>
      </c>
      <c r="G1449" s="56" t="s">
        <v>2057</v>
      </c>
      <c r="H1449" s="56" t="s">
        <v>8</v>
      </c>
      <c r="I1449" s="55" t="s">
        <v>8</v>
      </c>
      <c r="J1449" s="57">
        <v>3226.53</v>
      </c>
      <c r="K1449" s="56" t="s">
        <v>2058</v>
      </c>
      <c r="L1449" s="56" t="s">
        <v>2067</v>
      </c>
      <c r="M1449" s="55" t="s">
        <v>2060</v>
      </c>
      <c r="N1449" s="56" t="s">
        <v>2061</v>
      </c>
      <c r="O1449" s="53" t="s">
        <v>1790</v>
      </c>
      <c r="P1449" s="56" t="s">
        <v>2068</v>
      </c>
      <c r="Q1449" s="57">
        <v>82100</v>
      </c>
      <c r="R1449" s="58" t="s">
        <v>8</v>
      </c>
      <c r="S1449" s="57" t="s">
        <v>8</v>
      </c>
      <c r="T1449" s="56" t="s">
        <v>2063</v>
      </c>
    </row>
    <row r="1450" spans="1:20">
      <c r="A1450" s="55">
        <v>127998715475</v>
      </c>
      <c r="B1450" s="53" t="s">
        <v>2055</v>
      </c>
      <c r="C1450" s="54">
        <v>45933</v>
      </c>
      <c r="D1450" s="55">
        <v>51127624405</v>
      </c>
      <c r="E1450" s="55">
        <v>2086198197537</v>
      </c>
      <c r="F1450" s="56" t="s">
        <v>2056</v>
      </c>
      <c r="G1450" s="56" t="s">
        <v>2057</v>
      </c>
      <c r="H1450" s="56" t="s">
        <v>8</v>
      </c>
      <c r="I1450" s="55" t="s">
        <v>8</v>
      </c>
      <c r="J1450" s="57">
        <v>856.51</v>
      </c>
      <c r="K1450" s="56" t="s">
        <v>2058</v>
      </c>
      <c r="L1450" s="56" t="s">
        <v>2059</v>
      </c>
      <c r="M1450" s="55" t="s">
        <v>2060</v>
      </c>
      <c r="N1450" s="56" t="s">
        <v>2061</v>
      </c>
      <c r="O1450" s="53" t="s">
        <v>8</v>
      </c>
      <c r="P1450" s="56" t="s">
        <v>2686</v>
      </c>
      <c r="Q1450" s="57">
        <v>88300</v>
      </c>
      <c r="R1450" s="58" t="s">
        <v>8</v>
      </c>
      <c r="S1450" s="57" t="s">
        <v>8</v>
      </c>
      <c r="T1450" s="56" t="s">
        <v>2063</v>
      </c>
    </row>
    <row r="1451" spans="1:20">
      <c r="A1451" s="55">
        <v>127998958295</v>
      </c>
      <c r="B1451" s="53" t="s">
        <v>2055</v>
      </c>
      <c r="C1451" s="54">
        <v>45933</v>
      </c>
      <c r="D1451" s="55">
        <v>51127652000</v>
      </c>
      <c r="E1451" s="55">
        <v>2086199222561</v>
      </c>
      <c r="F1451" s="56" t="s">
        <v>2056</v>
      </c>
      <c r="G1451" s="56" t="s">
        <v>2057</v>
      </c>
      <c r="H1451" s="56" t="s">
        <v>8</v>
      </c>
      <c r="I1451" s="55" t="s">
        <v>8</v>
      </c>
      <c r="J1451" s="57">
        <v>729.44</v>
      </c>
      <c r="K1451" s="56" t="s">
        <v>2058</v>
      </c>
      <c r="L1451" s="56" t="s">
        <v>2059</v>
      </c>
      <c r="M1451" s="55" t="s">
        <v>2060</v>
      </c>
      <c r="N1451" s="56" t="s">
        <v>2061</v>
      </c>
      <c r="O1451" s="53" t="s">
        <v>8</v>
      </c>
      <c r="P1451" s="56" t="s">
        <v>2467</v>
      </c>
      <c r="Q1451" s="57">
        <v>75200</v>
      </c>
      <c r="R1451" s="58" t="s">
        <v>8</v>
      </c>
      <c r="S1451" s="57" t="s">
        <v>8</v>
      </c>
      <c r="T1451" s="56" t="s">
        <v>2063</v>
      </c>
    </row>
    <row r="1452" spans="1:20">
      <c r="A1452" s="55">
        <v>127999228319</v>
      </c>
      <c r="B1452" s="53" t="s">
        <v>2055</v>
      </c>
      <c r="C1452" s="54">
        <v>45933</v>
      </c>
      <c r="D1452" s="55">
        <v>51127765400</v>
      </c>
      <c r="E1452" s="55">
        <v>2086263385010</v>
      </c>
      <c r="F1452" s="56" t="s">
        <v>2056</v>
      </c>
      <c r="G1452" s="56" t="s">
        <v>2057</v>
      </c>
      <c r="H1452" s="56" t="s">
        <v>8</v>
      </c>
      <c r="I1452" s="55" t="s">
        <v>8</v>
      </c>
      <c r="J1452" s="57">
        <v>615.95000000000005</v>
      </c>
      <c r="K1452" s="56" t="s">
        <v>2058</v>
      </c>
      <c r="L1452" s="56" t="s">
        <v>2059</v>
      </c>
      <c r="M1452" s="55" t="s">
        <v>2060</v>
      </c>
      <c r="N1452" s="56" t="s">
        <v>2061</v>
      </c>
      <c r="O1452" s="53" t="s">
        <v>8</v>
      </c>
      <c r="P1452" s="56" t="s">
        <v>2687</v>
      </c>
      <c r="Q1452" s="57">
        <v>63500</v>
      </c>
      <c r="R1452" s="58" t="s">
        <v>8</v>
      </c>
      <c r="S1452" s="57" t="s">
        <v>8</v>
      </c>
      <c r="T1452" s="56" t="s">
        <v>2063</v>
      </c>
    </row>
    <row r="1453" spans="1:20">
      <c r="A1453" s="55">
        <v>128566674792</v>
      </c>
      <c r="B1453" s="53" t="s">
        <v>2055</v>
      </c>
      <c r="C1453" s="54">
        <v>45933</v>
      </c>
      <c r="D1453" s="55">
        <v>51127913011</v>
      </c>
      <c r="E1453" s="55">
        <v>2086203856627</v>
      </c>
      <c r="F1453" s="56" t="s">
        <v>2056</v>
      </c>
      <c r="G1453" s="56" t="s">
        <v>2057</v>
      </c>
      <c r="H1453" s="56" t="s">
        <v>8</v>
      </c>
      <c r="I1453" s="55" t="s">
        <v>8</v>
      </c>
      <c r="J1453" s="57">
        <v>47.53</v>
      </c>
      <c r="K1453" s="56" t="s">
        <v>2058</v>
      </c>
      <c r="L1453" s="56" t="s">
        <v>2059</v>
      </c>
      <c r="M1453" s="55" t="s">
        <v>2060</v>
      </c>
      <c r="N1453" s="56" t="s">
        <v>2061</v>
      </c>
      <c r="O1453" s="53" t="s">
        <v>8</v>
      </c>
      <c r="P1453" s="56" t="s">
        <v>2688</v>
      </c>
      <c r="Q1453" s="57">
        <v>4900</v>
      </c>
      <c r="R1453" s="58" t="s">
        <v>8</v>
      </c>
      <c r="S1453" s="57" t="s">
        <v>8</v>
      </c>
      <c r="T1453" s="56" t="s">
        <v>2063</v>
      </c>
    </row>
    <row r="1454" spans="1:20">
      <c r="A1454" s="55">
        <v>128566760368</v>
      </c>
      <c r="B1454" s="53" t="s">
        <v>2055</v>
      </c>
      <c r="C1454" s="54">
        <v>45933</v>
      </c>
      <c r="D1454" s="55">
        <v>51127936813</v>
      </c>
      <c r="E1454" s="55">
        <v>2086204371009</v>
      </c>
      <c r="F1454" s="56" t="s">
        <v>2056</v>
      </c>
      <c r="G1454" s="56" t="s">
        <v>2057</v>
      </c>
      <c r="H1454" s="56" t="s">
        <v>8</v>
      </c>
      <c r="I1454" s="55" t="s">
        <v>8</v>
      </c>
      <c r="J1454" s="57">
        <v>1011.71</v>
      </c>
      <c r="K1454" s="56" t="s">
        <v>2058</v>
      </c>
      <c r="L1454" s="56" t="s">
        <v>2059</v>
      </c>
      <c r="M1454" s="55" t="s">
        <v>2060</v>
      </c>
      <c r="N1454" s="56" t="s">
        <v>2061</v>
      </c>
      <c r="O1454" s="53" t="s">
        <v>8</v>
      </c>
      <c r="P1454" s="56" t="s">
        <v>2689</v>
      </c>
      <c r="Q1454" s="57">
        <v>104300</v>
      </c>
      <c r="R1454" s="58" t="s">
        <v>8</v>
      </c>
      <c r="S1454" s="57" t="s">
        <v>8</v>
      </c>
      <c r="T1454" s="56" t="s">
        <v>2063</v>
      </c>
    </row>
    <row r="1455" spans="1:20">
      <c r="A1455" s="55">
        <v>128000200419</v>
      </c>
      <c r="B1455" s="53" t="s">
        <v>2055</v>
      </c>
      <c r="C1455" s="54">
        <v>45933</v>
      </c>
      <c r="D1455" s="55">
        <v>51128072843</v>
      </c>
      <c r="E1455" s="55">
        <v>2086269994864</v>
      </c>
      <c r="F1455" s="56" t="s">
        <v>2056</v>
      </c>
      <c r="G1455" s="56" t="s">
        <v>2057</v>
      </c>
      <c r="H1455" s="56" t="s">
        <v>8</v>
      </c>
      <c r="I1455" s="55" t="s">
        <v>8</v>
      </c>
      <c r="J1455" s="57">
        <v>393.82</v>
      </c>
      <c r="K1455" s="56" t="s">
        <v>2058</v>
      </c>
      <c r="L1455" s="56" t="s">
        <v>2059</v>
      </c>
      <c r="M1455" s="55" t="s">
        <v>2060</v>
      </c>
      <c r="N1455" s="56" t="s">
        <v>2061</v>
      </c>
      <c r="O1455" s="53" t="s">
        <v>8</v>
      </c>
      <c r="P1455" s="56" t="s">
        <v>2690</v>
      </c>
      <c r="Q1455" s="57">
        <v>40600</v>
      </c>
      <c r="R1455" s="58" t="s">
        <v>8</v>
      </c>
      <c r="S1455" s="57" t="s">
        <v>8</v>
      </c>
      <c r="T1455" s="56" t="s">
        <v>2063</v>
      </c>
    </row>
    <row r="1456" spans="1:20">
      <c r="A1456" s="55">
        <v>128567047402</v>
      </c>
      <c r="B1456" s="53" t="s">
        <v>2055</v>
      </c>
      <c r="C1456" s="54">
        <v>45933</v>
      </c>
      <c r="D1456" s="55">
        <v>51128078480</v>
      </c>
      <c r="E1456" s="55">
        <v>2086269389318</v>
      </c>
      <c r="F1456" s="56" t="s">
        <v>2056</v>
      </c>
      <c r="G1456" s="56" t="s">
        <v>2057</v>
      </c>
      <c r="H1456" s="56" t="s">
        <v>8</v>
      </c>
      <c r="I1456" s="55" t="s">
        <v>8</v>
      </c>
      <c r="J1456" s="57">
        <v>128.04</v>
      </c>
      <c r="K1456" s="56" t="s">
        <v>2058</v>
      </c>
      <c r="L1456" s="56" t="s">
        <v>2059</v>
      </c>
      <c r="M1456" s="55" t="s">
        <v>2060</v>
      </c>
      <c r="N1456" s="56" t="s">
        <v>2061</v>
      </c>
      <c r="O1456" s="53" t="s">
        <v>8</v>
      </c>
      <c r="P1456" s="56" t="s">
        <v>2691</v>
      </c>
      <c r="Q1456" s="57">
        <v>13200</v>
      </c>
      <c r="R1456" s="58" t="s">
        <v>8</v>
      </c>
      <c r="S1456" s="57" t="s">
        <v>8</v>
      </c>
      <c r="T1456" s="56" t="s">
        <v>2063</v>
      </c>
    </row>
    <row r="1457" spans="1:20">
      <c r="A1457" s="55">
        <v>128000430537</v>
      </c>
      <c r="B1457" s="53" t="s">
        <v>2055</v>
      </c>
      <c r="C1457" s="54">
        <v>45933</v>
      </c>
      <c r="D1457" s="55">
        <v>51128228251</v>
      </c>
      <c r="E1457" s="55">
        <v>2086271921482</v>
      </c>
      <c r="F1457" s="56" t="s">
        <v>2066</v>
      </c>
      <c r="G1457" s="56" t="s">
        <v>2057</v>
      </c>
      <c r="H1457" s="56" t="s">
        <v>8</v>
      </c>
      <c r="I1457" s="55" t="s">
        <v>8</v>
      </c>
      <c r="J1457" s="57">
        <v>894.38</v>
      </c>
      <c r="K1457" s="56" t="s">
        <v>2058</v>
      </c>
      <c r="L1457" s="56" t="s">
        <v>2067</v>
      </c>
      <c r="M1457" s="55" t="s">
        <v>2060</v>
      </c>
      <c r="N1457" s="56" t="s">
        <v>2061</v>
      </c>
      <c r="O1457" s="53" t="s">
        <v>1790</v>
      </c>
      <c r="P1457" s="56" t="s">
        <v>2068</v>
      </c>
      <c r="Q1457" s="57">
        <v>19700</v>
      </c>
      <c r="R1457" s="58" t="s">
        <v>8</v>
      </c>
      <c r="S1457" s="57" t="s">
        <v>8</v>
      </c>
      <c r="T1457" s="56" t="s">
        <v>2063</v>
      </c>
    </row>
    <row r="1458" spans="1:20">
      <c r="A1458" s="55">
        <v>128000465631</v>
      </c>
      <c r="B1458" s="53" t="s">
        <v>2055</v>
      </c>
      <c r="C1458" s="54">
        <v>45934</v>
      </c>
      <c r="D1458" s="55">
        <v>51128286206</v>
      </c>
      <c r="E1458" s="55">
        <v>2086210120381</v>
      </c>
      <c r="F1458" s="56" t="s">
        <v>2066</v>
      </c>
      <c r="G1458" s="56" t="s">
        <v>2057</v>
      </c>
      <c r="H1458" s="56" t="s">
        <v>8</v>
      </c>
      <c r="I1458" s="55" t="s">
        <v>8</v>
      </c>
      <c r="J1458" s="57">
        <v>2381.58</v>
      </c>
      <c r="K1458" s="56" t="s">
        <v>2058</v>
      </c>
      <c r="L1458" s="56" t="s">
        <v>2067</v>
      </c>
      <c r="M1458" s="55" t="s">
        <v>2060</v>
      </c>
      <c r="N1458" s="56" t="s">
        <v>2061</v>
      </c>
      <c r="O1458" s="53" t="s">
        <v>1790</v>
      </c>
      <c r="P1458" s="56" t="s">
        <v>2068</v>
      </c>
      <c r="Q1458" s="57">
        <v>60600</v>
      </c>
      <c r="R1458" s="58" t="s">
        <v>8</v>
      </c>
      <c r="S1458" s="57" t="s">
        <v>8</v>
      </c>
      <c r="T1458" s="56" t="s">
        <v>2063</v>
      </c>
    </row>
    <row r="1459" spans="1:20">
      <c r="A1459" s="55">
        <v>128568081896</v>
      </c>
      <c r="B1459" s="53" t="s">
        <v>2055</v>
      </c>
      <c r="C1459" s="54">
        <v>45934</v>
      </c>
      <c r="D1459" s="55">
        <v>51128480774</v>
      </c>
      <c r="E1459" s="55">
        <v>2086276095920</v>
      </c>
      <c r="F1459" s="56" t="s">
        <v>2069</v>
      </c>
      <c r="G1459" s="56" t="s">
        <v>2057</v>
      </c>
      <c r="H1459" s="56" t="s">
        <v>8</v>
      </c>
      <c r="I1459" s="55" t="s">
        <v>8</v>
      </c>
      <c r="J1459" s="57">
        <v>85.36</v>
      </c>
      <c r="K1459" s="56" t="s">
        <v>2058</v>
      </c>
      <c r="L1459" s="56" t="s">
        <v>2059</v>
      </c>
      <c r="M1459" s="55" t="s">
        <v>2060</v>
      </c>
      <c r="N1459" s="56" t="s">
        <v>2061</v>
      </c>
      <c r="O1459" s="53" t="s">
        <v>8</v>
      </c>
      <c r="P1459" s="56" t="s">
        <v>2070</v>
      </c>
      <c r="Q1459" s="57">
        <v>8800</v>
      </c>
      <c r="R1459" s="58" t="s">
        <v>8</v>
      </c>
      <c r="S1459" s="57" t="s">
        <v>8</v>
      </c>
      <c r="T1459" s="56" t="s">
        <v>8</v>
      </c>
    </row>
    <row r="1460" spans="1:20">
      <c r="A1460" s="55">
        <v>128001058955</v>
      </c>
      <c r="B1460" s="53" t="s">
        <v>2055</v>
      </c>
      <c r="C1460" s="54">
        <v>45934</v>
      </c>
      <c r="D1460" s="55">
        <v>51128525275</v>
      </c>
      <c r="E1460" s="55">
        <v>2086213858783</v>
      </c>
      <c r="F1460" s="56" t="s">
        <v>2069</v>
      </c>
      <c r="G1460" s="56" t="s">
        <v>2057</v>
      </c>
      <c r="H1460" s="56" t="s">
        <v>8</v>
      </c>
      <c r="I1460" s="55" t="s">
        <v>8</v>
      </c>
      <c r="J1460" s="57">
        <v>377.33</v>
      </c>
      <c r="K1460" s="56" t="s">
        <v>2058</v>
      </c>
      <c r="L1460" s="56" t="s">
        <v>2059</v>
      </c>
      <c r="M1460" s="55" t="s">
        <v>2060</v>
      </c>
      <c r="N1460" s="56" t="s">
        <v>2061</v>
      </c>
      <c r="O1460" s="53" t="s">
        <v>8</v>
      </c>
      <c r="P1460" s="56" t="s">
        <v>2070</v>
      </c>
      <c r="Q1460" s="57">
        <v>38900</v>
      </c>
      <c r="R1460" s="58" t="s">
        <v>8</v>
      </c>
      <c r="S1460" s="57" t="s">
        <v>8</v>
      </c>
      <c r="T1460" s="56" t="s">
        <v>8</v>
      </c>
    </row>
    <row r="1461" spans="1:20">
      <c r="A1461" s="55">
        <v>128001109327</v>
      </c>
      <c r="B1461" s="53" t="s">
        <v>2055</v>
      </c>
      <c r="C1461" s="54">
        <v>45934</v>
      </c>
      <c r="D1461" s="55">
        <v>51128554369</v>
      </c>
      <c r="E1461" s="55">
        <v>2086214369921</v>
      </c>
      <c r="F1461" s="56" t="s">
        <v>2056</v>
      </c>
      <c r="G1461" s="56" t="s">
        <v>2057</v>
      </c>
      <c r="H1461" s="56" t="s">
        <v>8</v>
      </c>
      <c r="I1461" s="55" t="s">
        <v>8</v>
      </c>
      <c r="J1461" s="57">
        <v>382.18</v>
      </c>
      <c r="K1461" s="56" t="s">
        <v>2058</v>
      </c>
      <c r="L1461" s="56" t="s">
        <v>2059</v>
      </c>
      <c r="M1461" s="55" t="s">
        <v>2060</v>
      </c>
      <c r="N1461" s="56" t="s">
        <v>2061</v>
      </c>
      <c r="O1461" s="53" t="s">
        <v>8</v>
      </c>
      <c r="P1461" s="56" t="s">
        <v>2692</v>
      </c>
      <c r="Q1461" s="57">
        <v>39400</v>
      </c>
      <c r="R1461" s="58" t="s">
        <v>8</v>
      </c>
      <c r="S1461" s="57" t="s">
        <v>8</v>
      </c>
      <c r="T1461" s="56" t="s">
        <v>2063</v>
      </c>
    </row>
    <row r="1462" spans="1:20">
      <c r="A1462" s="55">
        <v>128001440707</v>
      </c>
      <c r="B1462" s="53" t="s">
        <v>2055</v>
      </c>
      <c r="C1462" s="54">
        <v>45934</v>
      </c>
      <c r="D1462" s="55">
        <v>51128617031</v>
      </c>
      <c r="E1462" s="55">
        <v>2086215700265</v>
      </c>
      <c r="F1462" s="56" t="s">
        <v>2066</v>
      </c>
      <c r="G1462" s="56" t="s">
        <v>2057</v>
      </c>
      <c r="H1462" s="56" t="s">
        <v>8</v>
      </c>
      <c r="I1462" s="55" t="s">
        <v>8</v>
      </c>
      <c r="J1462" s="57">
        <v>3036.39</v>
      </c>
      <c r="K1462" s="56" t="s">
        <v>2058</v>
      </c>
      <c r="L1462" s="56" t="s">
        <v>2067</v>
      </c>
      <c r="M1462" s="55" t="s">
        <v>2060</v>
      </c>
      <c r="N1462" s="56" t="s">
        <v>2061</v>
      </c>
      <c r="O1462" s="53" t="s">
        <v>1790</v>
      </c>
      <c r="P1462" s="56" t="s">
        <v>2068</v>
      </c>
      <c r="Q1462" s="57">
        <v>39900</v>
      </c>
      <c r="R1462" s="58" t="s">
        <v>8</v>
      </c>
      <c r="S1462" s="57" t="s">
        <v>8</v>
      </c>
      <c r="T1462" s="56" t="s">
        <v>2063</v>
      </c>
    </row>
    <row r="1463" spans="1:20">
      <c r="A1463" s="55">
        <v>128001644287</v>
      </c>
      <c r="B1463" s="53" t="s">
        <v>2055</v>
      </c>
      <c r="C1463" s="54">
        <v>45934</v>
      </c>
      <c r="D1463" s="55">
        <v>51128695368</v>
      </c>
      <c r="E1463" s="55">
        <v>2086279621614</v>
      </c>
      <c r="F1463" s="56" t="s">
        <v>2056</v>
      </c>
      <c r="G1463" s="56" t="s">
        <v>2057</v>
      </c>
      <c r="H1463" s="56" t="s">
        <v>8</v>
      </c>
      <c r="I1463" s="55" t="s">
        <v>8</v>
      </c>
      <c r="J1463" s="57">
        <v>334.65</v>
      </c>
      <c r="K1463" s="56" t="s">
        <v>2058</v>
      </c>
      <c r="L1463" s="56" t="s">
        <v>2059</v>
      </c>
      <c r="M1463" s="55" t="s">
        <v>2060</v>
      </c>
      <c r="N1463" s="56" t="s">
        <v>2061</v>
      </c>
      <c r="O1463" s="53" t="s">
        <v>8</v>
      </c>
      <c r="P1463" s="56" t="s">
        <v>2693</v>
      </c>
      <c r="Q1463" s="57">
        <v>34500</v>
      </c>
      <c r="R1463" s="58" t="s">
        <v>8</v>
      </c>
      <c r="S1463" s="57" t="s">
        <v>8</v>
      </c>
      <c r="T1463" s="56" t="s">
        <v>2063</v>
      </c>
    </row>
    <row r="1464" spans="1:20">
      <c r="A1464" s="55">
        <v>128569096724</v>
      </c>
      <c r="B1464" s="53" t="s">
        <v>2055</v>
      </c>
      <c r="C1464" s="54">
        <v>45934</v>
      </c>
      <c r="D1464" s="55">
        <v>51128870602</v>
      </c>
      <c r="E1464" s="55">
        <v>2086283989668</v>
      </c>
      <c r="F1464" s="56" t="s">
        <v>2056</v>
      </c>
      <c r="G1464" s="56" t="s">
        <v>2057</v>
      </c>
      <c r="H1464" s="56" t="s">
        <v>8</v>
      </c>
      <c r="I1464" s="55" t="s">
        <v>8</v>
      </c>
      <c r="J1464" s="57">
        <v>170.72</v>
      </c>
      <c r="K1464" s="56" t="s">
        <v>2058</v>
      </c>
      <c r="L1464" s="56" t="s">
        <v>2059</v>
      </c>
      <c r="M1464" s="55" t="s">
        <v>2060</v>
      </c>
      <c r="N1464" s="56" t="s">
        <v>2061</v>
      </c>
      <c r="O1464" s="53" t="s">
        <v>8</v>
      </c>
      <c r="P1464" s="56" t="s">
        <v>2694</v>
      </c>
      <c r="Q1464" s="57">
        <v>17600</v>
      </c>
      <c r="R1464" s="58" t="s">
        <v>8</v>
      </c>
      <c r="S1464" s="57" t="s">
        <v>8</v>
      </c>
      <c r="T1464" s="56" t="s">
        <v>2063</v>
      </c>
    </row>
    <row r="1465" spans="1:20">
      <c r="A1465" s="55">
        <v>128569194344</v>
      </c>
      <c r="B1465" s="53" t="s">
        <v>2055</v>
      </c>
      <c r="C1465" s="54">
        <v>45934</v>
      </c>
      <c r="D1465" s="55">
        <v>51128905560</v>
      </c>
      <c r="E1465" s="55">
        <v>2086221667405</v>
      </c>
      <c r="F1465" s="56" t="s">
        <v>2056</v>
      </c>
      <c r="G1465" s="56" t="s">
        <v>2057</v>
      </c>
      <c r="H1465" s="56" t="s">
        <v>8</v>
      </c>
      <c r="I1465" s="55" t="s">
        <v>8</v>
      </c>
      <c r="J1465" s="57">
        <v>313.31</v>
      </c>
      <c r="K1465" s="56" t="s">
        <v>2058</v>
      </c>
      <c r="L1465" s="56" t="s">
        <v>2059</v>
      </c>
      <c r="M1465" s="55" t="s">
        <v>2060</v>
      </c>
      <c r="N1465" s="56" t="s">
        <v>2061</v>
      </c>
      <c r="O1465" s="53" t="s">
        <v>8</v>
      </c>
      <c r="P1465" s="56" t="s">
        <v>2695</v>
      </c>
      <c r="Q1465" s="57">
        <v>32300</v>
      </c>
      <c r="R1465" s="58" t="s">
        <v>8</v>
      </c>
      <c r="S1465" s="57" t="s">
        <v>8</v>
      </c>
      <c r="T1465" s="56" t="s">
        <v>2063</v>
      </c>
    </row>
    <row r="1466" spans="1:20">
      <c r="A1466" s="55">
        <v>128569976332</v>
      </c>
      <c r="B1466" s="53" t="s">
        <v>2055</v>
      </c>
      <c r="C1466" s="54">
        <v>45934</v>
      </c>
      <c r="D1466" s="55">
        <v>51129180621</v>
      </c>
      <c r="E1466" s="55">
        <v>2086289695232</v>
      </c>
      <c r="F1466" s="56" t="s">
        <v>2066</v>
      </c>
      <c r="G1466" s="56" t="s">
        <v>2057</v>
      </c>
      <c r="H1466" s="56" t="s">
        <v>8</v>
      </c>
      <c r="I1466" s="55" t="s">
        <v>8</v>
      </c>
      <c r="J1466" s="57">
        <v>1017.87</v>
      </c>
      <c r="K1466" s="56" t="s">
        <v>2058</v>
      </c>
      <c r="L1466" s="56" t="s">
        <v>2067</v>
      </c>
      <c r="M1466" s="55" t="s">
        <v>2060</v>
      </c>
      <c r="N1466" s="56" t="s">
        <v>2061</v>
      </c>
      <c r="O1466" s="53" t="s">
        <v>1790</v>
      </c>
      <c r="P1466" s="56" t="s">
        <v>2068</v>
      </c>
      <c r="Q1466" s="57">
        <v>25900</v>
      </c>
      <c r="R1466" s="58" t="s">
        <v>8</v>
      </c>
      <c r="S1466" s="57" t="s">
        <v>8</v>
      </c>
      <c r="T1466" s="56" t="s">
        <v>2063</v>
      </c>
    </row>
    <row r="1467" spans="1:20">
      <c r="A1467" s="55">
        <v>128570461436</v>
      </c>
      <c r="B1467" s="53" t="s">
        <v>2055</v>
      </c>
      <c r="C1467" s="54">
        <v>45934</v>
      </c>
      <c r="D1467" s="55">
        <v>51129484447</v>
      </c>
      <c r="E1467" s="55">
        <v>2086294235510</v>
      </c>
      <c r="F1467" s="56" t="s">
        <v>2056</v>
      </c>
      <c r="G1467" s="56" t="s">
        <v>2057</v>
      </c>
      <c r="H1467" s="56" t="s">
        <v>8</v>
      </c>
      <c r="I1467" s="55" t="s">
        <v>8</v>
      </c>
      <c r="J1467" s="57">
        <v>102.82</v>
      </c>
      <c r="K1467" s="56" t="s">
        <v>2058</v>
      </c>
      <c r="L1467" s="56" t="s">
        <v>2059</v>
      </c>
      <c r="M1467" s="55" t="s">
        <v>2060</v>
      </c>
      <c r="N1467" s="56" t="s">
        <v>2061</v>
      </c>
      <c r="O1467" s="53" t="s">
        <v>8</v>
      </c>
      <c r="P1467" s="56" t="s">
        <v>2696</v>
      </c>
      <c r="Q1467" s="57">
        <v>10600</v>
      </c>
      <c r="R1467" s="58" t="s">
        <v>8</v>
      </c>
      <c r="S1467" s="57" t="s">
        <v>8</v>
      </c>
      <c r="T1467" s="56" t="s">
        <v>2063</v>
      </c>
    </row>
    <row r="1468" spans="1:20">
      <c r="A1468" s="55">
        <v>128571344170</v>
      </c>
      <c r="B1468" s="53" t="s">
        <v>2055</v>
      </c>
      <c r="C1468" s="54">
        <v>45934</v>
      </c>
      <c r="D1468" s="55">
        <v>51129763850</v>
      </c>
      <c r="E1468" s="55">
        <v>2086298738918</v>
      </c>
      <c r="F1468" s="56" t="s">
        <v>2069</v>
      </c>
      <c r="G1468" s="56" t="s">
        <v>2057</v>
      </c>
      <c r="H1468" s="56" t="s">
        <v>8</v>
      </c>
      <c r="I1468" s="55" t="s">
        <v>8</v>
      </c>
      <c r="J1468" s="57">
        <v>225.04</v>
      </c>
      <c r="K1468" s="56" t="s">
        <v>2058</v>
      </c>
      <c r="L1468" s="56" t="s">
        <v>2059</v>
      </c>
      <c r="M1468" s="55" t="s">
        <v>2060</v>
      </c>
      <c r="N1468" s="56" t="s">
        <v>2061</v>
      </c>
      <c r="O1468" s="53" t="s">
        <v>8</v>
      </c>
      <c r="P1468" s="56" t="s">
        <v>2070</v>
      </c>
      <c r="Q1468" s="57">
        <v>23200</v>
      </c>
      <c r="R1468" s="58" t="s">
        <v>8</v>
      </c>
      <c r="S1468" s="57" t="s">
        <v>8</v>
      </c>
      <c r="T1468" s="56" t="s">
        <v>8</v>
      </c>
    </row>
    <row r="1469" spans="1:20">
      <c r="A1469" s="55">
        <v>128571825428</v>
      </c>
      <c r="B1469" s="53" t="s">
        <v>2055</v>
      </c>
      <c r="C1469" s="54">
        <v>45934</v>
      </c>
      <c r="D1469" s="55">
        <v>51130055042</v>
      </c>
      <c r="E1469" s="55">
        <v>2086302799454</v>
      </c>
      <c r="F1469" s="56" t="s">
        <v>2056</v>
      </c>
      <c r="G1469" s="56" t="s">
        <v>2057</v>
      </c>
      <c r="H1469" s="56" t="s">
        <v>8</v>
      </c>
      <c r="I1469" s="55" t="s">
        <v>8</v>
      </c>
      <c r="J1469" s="57">
        <v>373.45</v>
      </c>
      <c r="K1469" s="56" t="s">
        <v>2058</v>
      </c>
      <c r="L1469" s="56" t="s">
        <v>2059</v>
      </c>
      <c r="M1469" s="55" t="s">
        <v>2060</v>
      </c>
      <c r="N1469" s="56" t="s">
        <v>2061</v>
      </c>
      <c r="O1469" s="53" t="s">
        <v>8</v>
      </c>
      <c r="P1469" s="56" t="s">
        <v>2264</v>
      </c>
      <c r="Q1469" s="57">
        <v>38500</v>
      </c>
      <c r="R1469" s="58" t="s">
        <v>8</v>
      </c>
      <c r="S1469" s="57" t="s">
        <v>8</v>
      </c>
      <c r="T1469" s="56" t="s">
        <v>2063</v>
      </c>
    </row>
    <row r="1470" spans="1:20">
      <c r="A1470" s="55">
        <v>128005151107</v>
      </c>
      <c r="B1470" s="53" t="s">
        <v>2055</v>
      </c>
      <c r="C1470" s="54">
        <v>45934</v>
      </c>
      <c r="D1470" s="55">
        <v>51130227965</v>
      </c>
      <c r="E1470" s="55">
        <v>2086305062550</v>
      </c>
      <c r="F1470" s="56" t="s">
        <v>2056</v>
      </c>
      <c r="G1470" s="56" t="s">
        <v>2057</v>
      </c>
      <c r="H1470" s="56" t="s">
        <v>8</v>
      </c>
      <c r="I1470" s="55" t="s">
        <v>8</v>
      </c>
      <c r="J1470" s="57">
        <v>751.75</v>
      </c>
      <c r="K1470" s="56" t="s">
        <v>2058</v>
      </c>
      <c r="L1470" s="56" t="s">
        <v>2059</v>
      </c>
      <c r="M1470" s="55" t="s">
        <v>2060</v>
      </c>
      <c r="N1470" s="56" t="s">
        <v>2061</v>
      </c>
      <c r="O1470" s="53" t="s">
        <v>8</v>
      </c>
      <c r="P1470" s="56" t="s">
        <v>2697</v>
      </c>
      <c r="Q1470" s="57">
        <v>77500</v>
      </c>
      <c r="R1470" s="58" t="s">
        <v>8</v>
      </c>
      <c r="S1470" s="57" t="s">
        <v>8</v>
      </c>
      <c r="T1470" s="56" t="s">
        <v>2063</v>
      </c>
    </row>
    <row r="1471" spans="1:20">
      <c r="A1471" s="55">
        <v>128572165456</v>
      </c>
      <c r="B1471" s="53" t="s">
        <v>2055</v>
      </c>
      <c r="C1471" s="54">
        <v>45934</v>
      </c>
      <c r="D1471" s="55">
        <v>51130231328</v>
      </c>
      <c r="E1471" s="55">
        <v>2086242632037</v>
      </c>
      <c r="F1471" s="56" t="s">
        <v>2066</v>
      </c>
      <c r="G1471" s="56" t="s">
        <v>2057</v>
      </c>
      <c r="H1471" s="56" t="s">
        <v>8</v>
      </c>
      <c r="I1471" s="55" t="s">
        <v>8</v>
      </c>
      <c r="J1471" s="57">
        <v>322.26</v>
      </c>
      <c r="K1471" s="56" t="s">
        <v>2058</v>
      </c>
      <c r="L1471" s="56" t="s">
        <v>2067</v>
      </c>
      <c r="M1471" s="55" t="s">
        <v>2060</v>
      </c>
      <c r="N1471" s="56" t="s">
        <v>2061</v>
      </c>
      <c r="O1471" s="53" t="s">
        <v>1790</v>
      </c>
      <c r="P1471" s="56" t="s">
        <v>2068</v>
      </c>
      <c r="Q1471" s="57">
        <v>8200</v>
      </c>
      <c r="R1471" s="58" t="s">
        <v>8</v>
      </c>
      <c r="S1471" s="57" t="s">
        <v>8</v>
      </c>
      <c r="T1471" s="56" t="s">
        <v>2063</v>
      </c>
    </row>
    <row r="1472" spans="1:20">
      <c r="A1472" s="55">
        <v>128572181400</v>
      </c>
      <c r="B1472" s="53" t="s">
        <v>2055</v>
      </c>
      <c r="C1472" s="54">
        <v>45934</v>
      </c>
      <c r="D1472" s="55">
        <v>51130234001</v>
      </c>
      <c r="E1472" s="55">
        <v>2086305400038</v>
      </c>
      <c r="F1472" s="56" t="s">
        <v>2066</v>
      </c>
      <c r="G1472" s="56" t="s">
        <v>2057</v>
      </c>
      <c r="H1472" s="56" t="s">
        <v>8</v>
      </c>
      <c r="I1472" s="55" t="s">
        <v>8</v>
      </c>
      <c r="J1472" s="57">
        <v>923.55</v>
      </c>
      <c r="K1472" s="56" t="s">
        <v>2058</v>
      </c>
      <c r="L1472" s="56" t="s">
        <v>2067</v>
      </c>
      <c r="M1472" s="55" t="s">
        <v>2060</v>
      </c>
      <c r="N1472" s="56" t="s">
        <v>2061</v>
      </c>
      <c r="O1472" s="53" t="s">
        <v>1790</v>
      </c>
      <c r="P1472" s="56" t="s">
        <v>2068</v>
      </c>
      <c r="Q1472" s="57">
        <v>23500</v>
      </c>
      <c r="R1472" s="58" t="s">
        <v>8</v>
      </c>
      <c r="S1472" s="57" t="s">
        <v>8</v>
      </c>
      <c r="T1472" s="56" t="s">
        <v>2063</v>
      </c>
    </row>
    <row r="1473" spans="1:20">
      <c r="A1473" s="55">
        <v>128005247119</v>
      </c>
      <c r="B1473" s="53" t="s">
        <v>2055</v>
      </c>
      <c r="C1473" s="54">
        <v>45934</v>
      </c>
      <c r="D1473" s="55">
        <v>51130250652</v>
      </c>
      <c r="E1473" s="55">
        <v>2086305737442</v>
      </c>
      <c r="F1473" s="56" t="s">
        <v>2066</v>
      </c>
      <c r="G1473" s="56" t="s">
        <v>2057</v>
      </c>
      <c r="H1473" s="56" t="s">
        <v>8</v>
      </c>
      <c r="I1473" s="55" t="s">
        <v>8</v>
      </c>
      <c r="J1473" s="57">
        <v>1662.39</v>
      </c>
      <c r="K1473" s="56" t="s">
        <v>2058</v>
      </c>
      <c r="L1473" s="56" t="s">
        <v>2067</v>
      </c>
      <c r="M1473" s="55" t="s">
        <v>2060</v>
      </c>
      <c r="N1473" s="56" t="s">
        <v>2061</v>
      </c>
      <c r="O1473" s="53" t="s">
        <v>1790</v>
      </c>
      <c r="P1473" s="56" t="s">
        <v>2068</v>
      </c>
      <c r="Q1473" s="57">
        <v>42300</v>
      </c>
      <c r="R1473" s="58" t="s">
        <v>8</v>
      </c>
      <c r="S1473" s="57" t="s">
        <v>8</v>
      </c>
      <c r="T1473" s="56" t="s">
        <v>2063</v>
      </c>
    </row>
    <row r="1474" spans="1:20">
      <c r="A1474" s="55">
        <v>128005159549</v>
      </c>
      <c r="B1474" s="53" t="s">
        <v>2055</v>
      </c>
      <c r="C1474" s="54">
        <v>45934</v>
      </c>
      <c r="D1474" s="55">
        <v>51130254346</v>
      </c>
      <c r="E1474" s="55">
        <v>2086305239872</v>
      </c>
      <c r="F1474" s="56" t="s">
        <v>2069</v>
      </c>
      <c r="G1474" s="56" t="s">
        <v>2057</v>
      </c>
      <c r="H1474" s="56" t="s">
        <v>8</v>
      </c>
      <c r="I1474" s="55" t="s">
        <v>8</v>
      </c>
      <c r="J1474" s="57">
        <v>963.21</v>
      </c>
      <c r="K1474" s="56" t="s">
        <v>2058</v>
      </c>
      <c r="L1474" s="56" t="s">
        <v>2059</v>
      </c>
      <c r="M1474" s="55" t="s">
        <v>2060</v>
      </c>
      <c r="N1474" s="56" t="s">
        <v>2061</v>
      </c>
      <c r="O1474" s="53" t="s">
        <v>8</v>
      </c>
      <c r="P1474" s="56" t="s">
        <v>2070</v>
      </c>
      <c r="Q1474" s="57">
        <v>99300</v>
      </c>
      <c r="R1474" s="58" t="s">
        <v>8</v>
      </c>
      <c r="S1474" s="57" t="s">
        <v>8</v>
      </c>
      <c r="T1474" s="56" t="s">
        <v>8</v>
      </c>
    </row>
    <row r="1475" spans="1:20">
      <c r="A1475" s="55">
        <v>128005725859</v>
      </c>
      <c r="B1475" s="53" t="s">
        <v>2055</v>
      </c>
      <c r="C1475" s="54">
        <v>45934</v>
      </c>
      <c r="D1475" s="55">
        <v>51130512087</v>
      </c>
      <c r="E1475" s="55">
        <v>2086309480312</v>
      </c>
      <c r="F1475" s="56" t="s">
        <v>2056</v>
      </c>
      <c r="G1475" s="56" t="s">
        <v>2057</v>
      </c>
      <c r="H1475" s="56" t="s">
        <v>8</v>
      </c>
      <c r="I1475" s="55" t="s">
        <v>8</v>
      </c>
      <c r="J1475" s="57">
        <v>379.27</v>
      </c>
      <c r="K1475" s="56" t="s">
        <v>2058</v>
      </c>
      <c r="L1475" s="56" t="s">
        <v>2059</v>
      </c>
      <c r="M1475" s="55" t="s">
        <v>2060</v>
      </c>
      <c r="N1475" s="56" t="s">
        <v>2061</v>
      </c>
      <c r="O1475" s="53" t="s">
        <v>8</v>
      </c>
      <c r="P1475" s="56" t="s">
        <v>2698</v>
      </c>
      <c r="Q1475" s="57">
        <v>39100</v>
      </c>
      <c r="R1475" s="58" t="s">
        <v>8</v>
      </c>
      <c r="S1475" s="57" t="s">
        <v>8</v>
      </c>
      <c r="T1475" s="56" t="s">
        <v>2063</v>
      </c>
    </row>
    <row r="1476" spans="1:20">
      <c r="A1476" s="55">
        <v>128005948841</v>
      </c>
      <c r="B1476" s="53" t="s">
        <v>2055</v>
      </c>
      <c r="C1476" s="54">
        <v>45934</v>
      </c>
      <c r="D1476" s="55">
        <v>51130628116</v>
      </c>
      <c r="E1476" s="55">
        <v>2086248081097</v>
      </c>
      <c r="F1476" s="56" t="s">
        <v>2056</v>
      </c>
      <c r="G1476" s="56" t="s">
        <v>2057</v>
      </c>
      <c r="H1476" s="56" t="s">
        <v>8</v>
      </c>
      <c r="I1476" s="55" t="s">
        <v>8</v>
      </c>
      <c r="J1476" s="57">
        <v>355.02</v>
      </c>
      <c r="K1476" s="56" t="s">
        <v>2058</v>
      </c>
      <c r="L1476" s="56" t="s">
        <v>2059</v>
      </c>
      <c r="M1476" s="55" t="s">
        <v>2060</v>
      </c>
      <c r="N1476" s="56" t="s">
        <v>2061</v>
      </c>
      <c r="O1476" s="53" t="s">
        <v>8</v>
      </c>
      <c r="P1476" s="56" t="s">
        <v>2699</v>
      </c>
      <c r="Q1476" s="57">
        <v>36600</v>
      </c>
      <c r="R1476" s="58" t="s">
        <v>8</v>
      </c>
      <c r="S1476" s="57" t="s">
        <v>8</v>
      </c>
      <c r="T1476" s="56" t="s">
        <v>2063</v>
      </c>
    </row>
    <row r="1477" spans="1:20">
      <c r="A1477" s="55">
        <v>128005944893</v>
      </c>
      <c r="B1477" s="53" t="s">
        <v>2055</v>
      </c>
      <c r="C1477" s="54">
        <v>45934</v>
      </c>
      <c r="D1477" s="55">
        <v>51130636170</v>
      </c>
      <c r="E1477" s="55">
        <v>2086248125757</v>
      </c>
      <c r="F1477" s="56" t="s">
        <v>2066</v>
      </c>
      <c r="G1477" s="56" t="s">
        <v>2057</v>
      </c>
      <c r="H1477" s="56" t="s">
        <v>8</v>
      </c>
      <c r="I1477" s="55" t="s">
        <v>8</v>
      </c>
      <c r="J1477" s="57">
        <v>188.64</v>
      </c>
      <c r="K1477" s="56" t="s">
        <v>2058</v>
      </c>
      <c r="L1477" s="56" t="s">
        <v>2067</v>
      </c>
      <c r="M1477" s="55" t="s">
        <v>2060</v>
      </c>
      <c r="N1477" s="56" t="s">
        <v>2061</v>
      </c>
      <c r="O1477" s="53" t="s">
        <v>1790</v>
      </c>
      <c r="P1477" s="56" t="s">
        <v>2068</v>
      </c>
      <c r="Q1477" s="57">
        <v>4800</v>
      </c>
      <c r="R1477" s="58" t="s">
        <v>8</v>
      </c>
      <c r="S1477" s="57" t="s">
        <v>8</v>
      </c>
      <c r="T1477" s="56" t="s">
        <v>2063</v>
      </c>
    </row>
    <row r="1478" spans="1:20">
      <c r="A1478" s="55">
        <v>128006056141</v>
      </c>
      <c r="B1478" s="53" t="s">
        <v>2055</v>
      </c>
      <c r="C1478" s="54">
        <v>45934</v>
      </c>
      <c r="D1478" s="55">
        <v>51130642321</v>
      </c>
      <c r="E1478" s="55">
        <v>2086310917726</v>
      </c>
      <c r="F1478" s="56" t="s">
        <v>2107</v>
      </c>
      <c r="G1478" s="56" t="s">
        <v>2057</v>
      </c>
      <c r="H1478" s="56" t="s">
        <v>8</v>
      </c>
      <c r="I1478" s="55" t="s">
        <v>8</v>
      </c>
      <c r="J1478" s="57">
        <v>249.39</v>
      </c>
      <c r="K1478" s="56" t="s">
        <v>2058</v>
      </c>
      <c r="L1478" s="56" t="s">
        <v>2059</v>
      </c>
      <c r="M1478" s="55" t="s">
        <v>2060</v>
      </c>
      <c r="N1478" s="56" t="s">
        <v>2061</v>
      </c>
      <c r="O1478" s="53" t="s">
        <v>8</v>
      </c>
      <c r="P1478" s="56" t="s">
        <v>2197</v>
      </c>
      <c r="Q1478" s="57">
        <v>15300</v>
      </c>
      <c r="R1478" s="58" t="s">
        <v>8</v>
      </c>
      <c r="S1478" s="57" t="s">
        <v>8</v>
      </c>
      <c r="T1478" s="56" t="s">
        <v>2063</v>
      </c>
    </row>
    <row r="1479" spans="1:20">
      <c r="A1479" s="55">
        <v>128006270955</v>
      </c>
      <c r="B1479" s="53" t="s">
        <v>2055</v>
      </c>
      <c r="C1479" s="54">
        <v>45934</v>
      </c>
      <c r="D1479" s="55">
        <v>51130776120</v>
      </c>
      <c r="E1479" s="55">
        <v>2086312511616</v>
      </c>
      <c r="F1479" s="56" t="s">
        <v>2056</v>
      </c>
      <c r="G1479" s="56" t="s">
        <v>2057</v>
      </c>
      <c r="H1479" s="56" t="s">
        <v>8</v>
      </c>
      <c r="I1479" s="55" t="s">
        <v>8</v>
      </c>
      <c r="J1479" s="57">
        <v>256.08</v>
      </c>
      <c r="K1479" s="56" t="s">
        <v>2058</v>
      </c>
      <c r="L1479" s="56" t="s">
        <v>2059</v>
      </c>
      <c r="M1479" s="55" t="s">
        <v>2060</v>
      </c>
      <c r="N1479" s="56" t="s">
        <v>2061</v>
      </c>
      <c r="O1479" s="53" t="s">
        <v>8</v>
      </c>
      <c r="P1479" s="56" t="s">
        <v>2700</v>
      </c>
      <c r="Q1479" s="57">
        <v>26400</v>
      </c>
      <c r="R1479" s="58" t="s">
        <v>8</v>
      </c>
      <c r="S1479" s="57" t="s">
        <v>8</v>
      </c>
      <c r="T1479" s="56" t="s">
        <v>2063</v>
      </c>
    </row>
    <row r="1480" spans="1:20">
      <c r="A1480" s="55">
        <v>128573428634</v>
      </c>
      <c r="B1480" s="53" t="s">
        <v>2055</v>
      </c>
      <c r="C1480" s="54">
        <v>45934</v>
      </c>
      <c r="D1480" s="55">
        <v>51130793305</v>
      </c>
      <c r="E1480" s="55">
        <v>2086312727606</v>
      </c>
      <c r="F1480" s="56" t="s">
        <v>2056</v>
      </c>
      <c r="G1480" s="56" t="s">
        <v>2057</v>
      </c>
      <c r="H1480" s="56" t="s">
        <v>8</v>
      </c>
      <c r="I1480" s="55" t="s">
        <v>8</v>
      </c>
      <c r="J1480" s="57">
        <v>93.12</v>
      </c>
      <c r="K1480" s="56" t="s">
        <v>2058</v>
      </c>
      <c r="L1480" s="56" t="s">
        <v>2059</v>
      </c>
      <c r="M1480" s="55" t="s">
        <v>2060</v>
      </c>
      <c r="N1480" s="56" t="s">
        <v>2061</v>
      </c>
      <c r="O1480" s="53" t="s">
        <v>8</v>
      </c>
      <c r="P1480" s="56" t="s">
        <v>2701</v>
      </c>
      <c r="Q1480" s="57">
        <v>9600</v>
      </c>
      <c r="R1480" s="58" t="s">
        <v>8</v>
      </c>
      <c r="S1480" s="57" t="s">
        <v>8</v>
      </c>
      <c r="T1480" s="56" t="s">
        <v>2063</v>
      </c>
    </row>
    <row r="1481" spans="1:20">
      <c r="A1481" s="55">
        <v>128006450347</v>
      </c>
      <c r="B1481" s="53" t="s">
        <v>2055</v>
      </c>
      <c r="C1481" s="54">
        <v>45934</v>
      </c>
      <c r="D1481" s="55">
        <v>51130835626</v>
      </c>
      <c r="E1481" s="55">
        <v>2086313213780</v>
      </c>
      <c r="F1481" s="56" t="s">
        <v>2056</v>
      </c>
      <c r="G1481" s="56" t="s">
        <v>2057</v>
      </c>
      <c r="H1481" s="56" t="s">
        <v>8</v>
      </c>
      <c r="I1481" s="55" t="s">
        <v>8</v>
      </c>
      <c r="J1481" s="57">
        <v>364.72</v>
      </c>
      <c r="K1481" s="56" t="s">
        <v>2058</v>
      </c>
      <c r="L1481" s="56" t="s">
        <v>2059</v>
      </c>
      <c r="M1481" s="55" t="s">
        <v>2060</v>
      </c>
      <c r="N1481" s="56" t="s">
        <v>2061</v>
      </c>
      <c r="O1481" s="53" t="s">
        <v>8</v>
      </c>
      <c r="P1481" s="56" t="s">
        <v>2702</v>
      </c>
      <c r="Q1481" s="57">
        <v>37600</v>
      </c>
      <c r="R1481" s="58" t="s">
        <v>8</v>
      </c>
      <c r="S1481" s="57" t="s">
        <v>8</v>
      </c>
      <c r="T1481" s="56" t="s">
        <v>2063</v>
      </c>
    </row>
    <row r="1482" spans="1:20">
      <c r="A1482" s="55">
        <v>128006450901</v>
      </c>
      <c r="B1482" s="53" t="s">
        <v>2055</v>
      </c>
      <c r="C1482" s="54">
        <v>45934</v>
      </c>
      <c r="D1482" s="55">
        <v>51130855135</v>
      </c>
      <c r="E1482" s="55">
        <v>2086313477366</v>
      </c>
      <c r="F1482" s="56" t="s">
        <v>2107</v>
      </c>
      <c r="G1482" s="56" t="s">
        <v>2057</v>
      </c>
      <c r="H1482" s="56" t="s">
        <v>8</v>
      </c>
      <c r="I1482" s="55" t="s">
        <v>8</v>
      </c>
      <c r="J1482" s="57">
        <v>202.12</v>
      </c>
      <c r="K1482" s="56" t="s">
        <v>2058</v>
      </c>
      <c r="L1482" s="56" t="s">
        <v>2059</v>
      </c>
      <c r="M1482" s="55" t="s">
        <v>2060</v>
      </c>
      <c r="N1482" s="56" t="s">
        <v>2061</v>
      </c>
      <c r="O1482" s="53" t="s">
        <v>8</v>
      </c>
      <c r="P1482" s="56" t="s">
        <v>2197</v>
      </c>
      <c r="Q1482" s="57">
        <v>12400</v>
      </c>
      <c r="R1482" s="58" t="s">
        <v>8</v>
      </c>
      <c r="S1482" s="57" t="s">
        <v>8</v>
      </c>
      <c r="T1482" s="56" t="s">
        <v>2063</v>
      </c>
    </row>
    <row r="1483" spans="1:20">
      <c r="A1483" s="55">
        <v>128006790639</v>
      </c>
      <c r="B1483" s="53" t="s">
        <v>2055</v>
      </c>
      <c r="C1483" s="54">
        <v>45934</v>
      </c>
      <c r="D1483" s="55">
        <v>51131025980</v>
      </c>
      <c r="E1483" s="55">
        <v>2086315652672</v>
      </c>
      <c r="F1483" s="56" t="s">
        <v>2069</v>
      </c>
      <c r="G1483" s="56" t="s">
        <v>2057</v>
      </c>
      <c r="H1483" s="56" t="s">
        <v>8</v>
      </c>
      <c r="I1483" s="55" t="s">
        <v>8</v>
      </c>
      <c r="J1483" s="57">
        <v>85.36</v>
      </c>
      <c r="K1483" s="56" t="s">
        <v>2058</v>
      </c>
      <c r="L1483" s="56" t="s">
        <v>2059</v>
      </c>
      <c r="M1483" s="55" t="s">
        <v>2060</v>
      </c>
      <c r="N1483" s="56" t="s">
        <v>2061</v>
      </c>
      <c r="O1483" s="53" t="s">
        <v>8</v>
      </c>
      <c r="P1483" s="56" t="s">
        <v>2070</v>
      </c>
      <c r="Q1483" s="57">
        <v>8800</v>
      </c>
      <c r="R1483" s="58" t="s">
        <v>8</v>
      </c>
      <c r="S1483" s="57" t="s">
        <v>8</v>
      </c>
      <c r="T1483" s="56" t="s">
        <v>8</v>
      </c>
    </row>
    <row r="1484" spans="1:20">
      <c r="A1484" s="55">
        <v>128574660704</v>
      </c>
      <c r="B1484" s="53" t="s">
        <v>2055</v>
      </c>
      <c r="C1484" s="54">
        <v>45934</v>
      </c>
      <c r="D1484" s="55">
        <v>51131461603</v>
      </c>
      <c r="E1484" s="55">
        <v>2086321215434</v>
      </c>
      <c r="F1484" s="56" t="s">
        <v>2056</v>
      </c>
      <c r="G1484" s="56" t="s">
        <v>2057</v>
      </c>
      <c r="H1484" s="56" t="s">
        <v>8</v>
      </c>
      <c r="I1484" s="55" t="s">
        <v>8</v>
      </c>
      <c r="J1484" s="57">
        <v>251.23</v>
      </c>
      <c r="K1484" s="56" t="s">
        <v>2058</v>
      </c>
      <c r="L1484" s="56" t="s">
        <v>2059</v>
      </c>
      <c r="M1484" s="55" t="s">
        <v>2060</v>
      </c>
      <c r="N1484" s="56" t="s">
        <v>2061</v>
      </c>
      <c r="O1484" s="53" t="s">
        <v>8</v>
      </c>
      <c r="P1484" s="56" t="s">
        <v>2703</v>
      </c>
      <c r="Q1484" s="57">
        <v>25900</v>
      </c>
      <c r="R1484" s="58" t="s">
        <v>8</v>
      </c>
      <c r="S1484" s="57" t="s">
        <v>8</v>
      </c>
      <c r="T1484" s="56" t="s">
        <v>2063</v>
      </c>
    </row>
    <row r="1485" spans="1:20">
      <c r="A1485" s="55">
        <v>128007866123</v>
      </c>
      <c r="B1485" s="53" t="s">
        <v>2055</v>
      </c>
      <c r="C1485" s="54">
        <v>45934</v>
      </c>
      <c r="D1485" s="55">
        <v>51131575493</v>
      </c>
      <c r="E1485" s="55">
        <v>2086259768797</v>
      </c>
      <c r="F1485" s="56" t="s">
        <v>2056</v>
      </c>
      <c r="G1485" s="56" t="s">
        <v>2057</v>
      </c>
      <c r="H1485" s="56" t="s">
        <v>8</v>
      </c>
      <c r="I1485" s="55" t="s">
        <v>8</v>
      </c>
      <c r="J1485" s="57">
        <v>93.12</v>
      </c>
      <c r="K1485" s="56" t="s">
        <v>2058</v>
      </c>
      <c r="L1485" s="56" t="s">
        <v>2059</v>
      </c>
      <c r="M1485" s="55" t="s">
        <v>2060</v>
      </c>
      <c r="N1485" s="56" t="s">
        <v>2061</v>
      </c>
      <c r="O1485" s="53" t="s">
        <v>8</v>
      </c>
      <c r="P1485" s="56" t="s">
        <v>2701</v>
      </c>
      <c r="Q1485" s="57">
        <v>9600</v>
      </c>
      <c r="R1485" s="58" t="s">
        <v>8</v>
      </c>
      <c r="S1485" s="57" t="s">
        <v>8</v>
      </c>
      <c r="T1485" s="56" t="s">
        <v>2063</v>
      </c>
    </row>
    <row r="1486" spans="1:20">
      <c r="A1486" s="55">
        <v>128008144261</v>
      </c>
      <c r="B1486" s="53" t="s">
        <v>2055</v>
      </c>
      <c r="C1486" s="54">
        <v>45934</v>
      </c>
      <c r="D1486" s="55">
        <v>51131768298</v>
      </c>
      <c r="E1486" s="55">
        <v>2086325001010</v>
      </c>
      <c r="F1486" s="56" t="s">
        <v>2056</v>
      </c>
      <c r="G1486" s="56" t="s">
        <v>2057</v>
      </c>
      <c r="H1486" s="56" t="s">
        <v>8</v>
      </c>
      <c r="I1486" s="55" t="s">
        <v>8</v>
      </c>
      <c r="J1486" s="57">
        <v>563.57000000000005</v>
      </c>
      <c r="K1486" s="56" t="s">
        <v>2058</v>
      </c>
      <c r="L1486" s="56" t="s">
        <v>2059</v>
      </c>
      <c r="M1486" s="55" t="s">
        <v>2060</v>
      </c>
      <c r="N1486" s="56" t="s">
        <v>2061</v>
      </c>
      <c r="O1486" s="53" t="s">
        <v>8</v>
      </c>
      <c r="P1486" s="56" t="s">
        <v>2704</v>
      </c>
      <c r="Q1486" s="57">
        <v>58100</v>
      </c>
      <c r="R1486" s="58" t="s">
        <v>8</v>
      </c>
      <c r="S1486" s="57" t="s">
        <v>8</v>
      </c>
      <c r="T1486" s="56" t="s">
        <v>2063</v>
      </c>
    </row>
    <row r="1487" spans="1:20">
      <c r="A1487" s="55">
        <v>128008194223</v>
      </c>
      <c r="B1487" s="53" t="s">
        <v>2055</v>
      </c>
      <c r="C1487" s="54">
        <v>45934</v>
      </c>
      <c r="D1487" s="55">
        <v>51131782197</v>
      </c>
      <c r="E1487" s="55">
        <v>2086262582073</v>
      </c>
      <c r="F1487" s="56" t="s">
        <v>2056</v>
      </c>
      <c r="G1487" s="56" t="s">
        <v>2057</v>
      </c>
      <c r="H1487" s="56" t="s">
        <v>8</v>
      </c>
      <c r="I1487" s="55" t="s">
        <v>8</v>
      </c>
      <c r="J1487" s="57">
        <v>140.18</v>
      </c>
      <c r="K1487" s="56" t="s">
        <v>2058</v>
      </c>
      <c r="L1487" s="56" t="s">
        <v>2059</v>
      </c>
      <c r="M1487" s="55" t="s">
        <v>2060</v>
      </c>
      <c r="N1487" s="56" t="s">
        <v>2061</v>
      </c>
      <c r="O1487" s="53" t="s">
        <v>8</v>
      </c>
      <c r="P1487" s="56" t="s">
        <v>2546</v>
      </c>
      <c r="Q1487" s="57">
        <v>8600</v>
      </c>
      <c r="R1487" s="58" t="s">
        <v>8</v>
      </c>
      <c r="S1487" s="57" t="s">
        <v>8</v>
      </c>
      <c r="T1487" s="56" t="s">
        <v>2063</v>
      </c>
    </row>
    <row r="1488" spans="1:20">
      <c r="A1488" s="55">
        <v>128094716841</v>
      </c>
      <c r="B1488" s="53" t="s">
        <v>2055</v>
      </c>
      <c r="C1488" s="54">
        <v>45934</v>
      </c>
      <c r="D1488" s="55">
        <v>51166842128</v>
      </c>
      <c r="E1488" s="55">
        <v>2086856564464</v>
      </c>
      <c r="F1488" s="56" t="s">
        <v>2056</v>
      </c>
      <c r="G1488" s="56" t="s">
        <v>2057</v>
      </c>
      <c r="H1488" s="56" t="s">
        <v>8</v>
      </c>
      <c r="I1488" s="55" t="s">
        <v>8</v>
      </c>
      <c r="J1488" s="57">
        <v>41.71</v>
      </c>
      <c r="K1488" s="56" t="s">
        <v>2058</v>
      </c>
      <c r="L1488" s="56" t="s">
        <v>2059</v>
      </c>
      <c r="M1488" s="55" t="s">
        <v>2060</v>
      </c>
      <c r="N1488" s="56" t="s">
        <v>2061</v>
      </c>
      <c r="O1488" s="53" t="s">
        <v>8</v>
      </c>
      <c r="P1488" s="56" t="s">
        <v>2705</v>
      </c>
      <c r="Q1488" s="57">
        <v>4300</v>
      </c>
      <c r="R1488" s="58" t="s">
        <v>8</v>
      </c>
      <c r="S1488" s="57" t="s">
        <v>8</v>
      </c>
      <c r="T1488" s="56" t="s">
        <v>2063</v>
      </c>
    </row>
    <row r="1489" spans="1:20">
      <c r="A1489" s="55">
        <v>128099061791</v>
      </c>
      <c r="B1489" s="53" t="s">
        <v>2055</v>
      </c>
      <c r="C1489" s="54">
        <v>45934</v>
      </c>
      <c r="D1489" s="55">
        <v>51168475299</v>
      </c>
      <c r="E1489" s="55">
        <v>2086821104223</v>
      </c>
      <c r="F1489" s="56" t="s">
        <v>2056</v>
      </c>
      <c r="G1489" s="56" t="s">
        <v>2057</v>
      </c>
      <c r="H1489" s="56" t="s">
        <v>8</v>
      </c>
      <c r="I1489" s="55" t="s">
        <v>8</v>
      </c>
      <c r="J1489" s="57">
        <v>93.12</v>
      </c>
      <c r="K1489" s="56" t="s">
        <v>2058</v>
      </c>
      <c r="L1489" s="56" t="s">
        <v>2059</v>
      </c>
      <c r="M1489" s="55" t="s">
        <v>2060</v>
      </c>
      <c r="N1489" s="56" t="s">
        <v>2061</v>
      </c>
      <c r="O1489" s="53" t="s">
        <v>8</v>
      </c>
      <c r="P1489" s="56" t="s">
        <v>2636</v>
      </c>
      <c r="Q1489" s="57">
        <v>9600</v>
      </c>
      <c r="R1489" s="58" t="s">
        <v>8</v>
      </c>
      <c r="S1489" s="57" t="s">
        <v>8</v>
      </c>
      <c r="T1489" s="56" t="s">
        <v>2063</v>
      </c>
    </row>
    <row r="1490" spans="1:20">
      <c r="A1490" s="55">
        <v>128100123265</v>
      </c>
      <c r="B1490" s="53" t="s">
        <v>2055</v>
      </c>
      <c r="C1490" s="54">
        <v>45934</v>
      </c>
      <c r="D1490" s="55">
        <v>51168891318</v>
      </c>
      <c r="E1490" s="55">
        <v>2086891407816</v>
      </c>
      <c r="F1490" s="56" t="s">
        <v>2056</v>
      </c>
      <c r="G1490" s="56" t="s">
        <v>2057</v>
      </c>
      <c r="H1490" s="56" t="s">
        <v>8</v>
      </c>
      <c r="I1490" s="55" t="s">
        <v>8</v>
      </c>
      <c r="J1490" s="57">
        <v>47.53</v>
      </c>
      <c r="K1490" s="56" t="s">
        <v>2058</v>
      </c>
      <c r="L1490" s="56" t="s">
        <v>2059</v>
      </c>
      <c r="M1490" s="55" t="s">
        <v>2060</v>
      </c>
      <c r="N1490" s="56" t="s">
        <v>2061</v>
      </c>
      <c r="O1490" s="53" t="s">
        <v>8</v>
      </c>
      <c r="P1490" s="56" t="s">
        <v>2706</v>
      </c>
      <c r="Q1490" s="57">
        <v>4900</v>
      </c>
      <c r="R1490" s="58" t="s">
        <v>8</v>
      </c>
      <c r="S1490" s="57" t="s">
        <v>8</v>
      </c>
      <c r="T1490" s="56" t="s">
        <v>2063</v>
      </c>
    </row>
    <row r="1491" spans="1:20">
      <c r="A1491" s="55">
        <v>128668277384</v>
      </c>
      <c r="B1491" s="53" t="s">
        <v>2055</v>
      </c>
      <c r="C1491" s="54">
        <v>45934</v>
      </c>
      <c r="D1491" s="55">
        <v>51169037106</v>
      </c>
      <c r="E1491" s="55">
        <v>2086893639080</v>
      </c>
      <c r="F1491" s="56" t="s">
        <v>2056</v>
      </c>
      <c r="G1491" s="56" t="s">
        <v>2057</v>
      </c>
      <c r="H1491" s="56" t="s">
        <v>8</v>
      </c>
      <c r="I1491" s="55" t="s">
        <v>8</v>
      </c>
      <c r="J1491" s="57">
        <v>56.26</v>
      </c>
      <c r="K1491" s="56" t="s">
        <v>2058</v>
      </c>
      <c r="L1491" s="56" t="s">
        <v>2059</v>
      </c>
      <c r="M1491" s="55" t="s">
        <v>2060</v>
      </c>
      <c r="N1491" s="56" t="s">
        <v>2061</v>
      </c>
      <c r="O1491" s="53" t="s">
        <v>8</v>
      </c>
      <c r="P1491" s="56" t="s">
        <v>2706</v>
      </c>
      <c r="Q1491" s="57">
        <v>5800</v>
      </c>
      <c r="R1491" s="58" t="s">
        <v>8</v>
      </c>
      <c r="S1491" s="57" t="s">
        <v>8</v>
      </c>
      <c r="T1491" s="56" t="s">
        <v>2063</v>
      </c>
    </row>
    <row r="1492" spans="1:20">
      <c r="A1492" s="55">
        <v>128668834886</v>
      </c>
      <c r="B1492" s="53" t="s">
        <v>2055</v>
      </c>
      <c r="C1492" s="54">
        <v>45934</v>
      </c>
      <c r="D1492" s="55">
        <v>51169245645</v>
      </c>
      <c r="E1492" s="55">
        <v>2086834438035</v>
      </c>
      <c r="F1492" s="56" t="s">
        <v>2069</v>
      </c>
      <c r="G1492" s="56" t="s">
        <v>2057</v>
      </c>
      <c r="H1492" s="56" t="s">
        <v>8</v>
      </c>
      <c r="I1492" s="55" t="s">
        <v>8</v>
      </c>
      <c r="J1492" s="57">
        <v>95.06</v>
      </c>
      <c r="K1492" s="56" t="s">
        <v>2058</v>
      </c>
      <c r="L1492" s="56" t="s">
        <v>2059</v>
      </c>
      <c r="M1492" s="55" t="s">
        <v>2060</v>
      </c>
      <c r="N1492" s="56" t="s">
        <v>2061</v>
      </c>
      <c r="O1492" s="53" t="s">
        <v>8</v>
      </c>
      <c r="P1492" s="56" t="s">
        <v>2070</v>
      </c>
      <c r="Q1492" s="57">
        <v>9800</v>
      </c>
      <c r="R1492" s="58" t="s">
        <v>8</v>
      </c>
      <c r="S1492" s="57" t="s">
        <v>8</v>
      </c>
      <c r="T1492" s="56" t="s">
        <v>8</v>
      </c>
    </row>
    <row r="1493" spans="1:20">
      <c r="A1493" s="55">
        <v>128102652299</v>
      </c>
      <c r="B1493" s="53" t="s">
        <v>2055</v>
      </c>
      <c r="C1493" s="54">
        <v>45934</v>
      </c>
      <c r="D1493" s="55">
        <v>51169745206</v>
      </c>
      <c r="E1493" s="55">
        <v>2086842937471</v>
      </c>
      <c r="F1493" s="56" t="s">
        <v>2056</v>
      </c>
      <c r="G1493" s="56" t="s">
        <v>2057</v>
      </c>
      <c r="H1493" s="56" t="s">
        <v>8</v>
      </c>
      <c r="I1493" s="55" t="s">
        <v>8</v>
      </c>
      <c r="J1493" s="57">
        <v>168.78</v>
      </c>
      <c r="K1493" s="56" t="s">
        <v>2058</v>
      </c>
      <c r="L1493" s="56" t="s">
        <v>2059</v>
      </c>
      <c r="M1493" s="55" t="s">
        <v>2060</v>
      </c>
      <c r="N1493" s="56" t="s">
        <v>2061</v>
      </c>
      <c r="O1493" s="53" t="s">
        <v>8</v>
      </c>
      <c r="P1493" s="56" t="s">
        <v>2707</v>
      </c>
      <c r="Q1493" s="57">
        <v>17400</v>
      </c>
      <c r="R1493" s="58" t="s">
        <v>8</v>
      </c>
      <c r="S1493" s="57" t="s">
        <v>8</v>
      </c>
      <c r="T1493" s="56" t="s">
        <v>2063</v>
      </c>
    </row>
    <row r="1494" spans="1:20">
      <c r="A1494" s="55">
        <v>128104746523</v>
      </c>
      <c r="B1494" s="53" t="s">
        <v>2055</v>
      </c>
      <c r="C1494" s="54">
        <v>45934</v>
      </c>
      <c r="D1494" s="55">
        <v>51170441653</v>
      </c>
      <c r="E1494" s="55">
        <v>2086918416718</v>
      </c>
      <c r="F1494" s="56" t="s">
        <v>2066</v>
      </c>
      <c r="G1494" s="56" t="s">
        <v>2057</v>
      </c>
      <c r="H1494" s="56" t="s">
        <v>8</v>
      </c>
      <c r="I1494" s="55" t="s">
        <v>8</v>
      </c>
      <c r="J1494" s="57">
        <v>1862.82</v>
      </c>
      <c r="K1494" s="56" t="s">
        <v>2058</v>
      </c>
      <c r="L1494" s="56" t="s">
        <v>2067</v>
      </c>
      <c r="M1494" s="55" t="s">
        <v>2060</v>
      </c>
      <c r="N1494" s="56" t="s">
        <v>2061</v>
      </c>
      <c r="O1494" s="53" t="s">
        <v>1790</v>
      </c>
      <c r="P1494" s="56" t="s">
        <v>2068</v>
      </c>
      <c r="Q1494" s="57">
        <v>47400</v>
      </c>
      <c r="R1494" s="58" t="s">
        <v>8</v>
      </c>
      <c r="S1494" s="57" t="s">
        <v>8</v>
      </c>
      <c r="T1494" s="56" t="s">
        <v>2063</v>
      </c>
    </row>
    <row r="1495" spans="1:20">
      <c r="A1495" s="55">
        <v>128106052243</v>
      </c>
      <c r="B1495" s="53" t="s">
        <v>2055</v>
      </c>
      <c r="C1495" s="54">
        <v>45934</v>
      </c>
      <c r="D1495" s="55">
        <v>51170956156</v>
      </c>
      <c r="E1495" s="55">
        <v>2086863963653</v>
      </c>
      <c r="F1495" s="56" t="s">
        <v>2069</v>
      </c>
      <c r="G1495" s="56" t="s">
        <v>2057</v>
      </c>
      <c r="H1495" s="56" t="s">
        <v>8</v>
      </c>
      <c r="I1495" s="55" t="s">
        <v>8</v>
      </c>
      <c r="J1495" s="57">
        <v>307.49</v>
      </c>
      <c r="K1495" s="56" t="s">
        <v>2058</v>
      </c>
      <c r="L1495" s="56" t="s">
        <v>2059</v>
      </c>
      <c r="M1495" s="55" t="s">
        <v>2060</v>
      </c>
      <c r="N1495" s="56" t="s">
        <v>2061</v>
      </c>
      <c r="O1495" s="53" t="s">
        <v>8</v>
      </c>
      <c r="P1495" s="56" t="s">
        <v>2070</v>
      </c>
      <c r="Q1495" s="57">
        <v>31700</v>
      </c>
      <c r="R1495" s="58" t="s">
        <v>8</v>
      </c>
      <c r="S1495" s="57" t="s">
        <v>8</v>
      </c>
      <c r="T1495" s="56" t="s">
        <v>8</v>
      </c>
    </row>
    <row r="1496" spans="1:20">
      <c r="A1496" s="55">
        <v>128106623785</v>
      </c>
      <c r="B1496" s="53" t="s">
        <v>2055</v>
      </c>
      <c r="C1496" s="54">
        <v>45934</v>
      </c>
      <c r="D1496" s="55">
        <v>51171216332</v>
      </c>
      <c r="E1496" s="55">
        <v>2086868474741</v>
      </c>
      <c r="F1496" s="56" t="s">
        <v>2066</v>
      </c>
      <c r="G1496" s="56" t="s">
        <v>2057</v>
      </c>
      <c r="H1496" s="56" t="s">
        <v>8</v>
      </c>
      <c r="I1496" s="55" t="s">
        <v>8</v>
      </c>
      <c r="J1496" s="57">
        <v>192.57</v>
      </c>
      <c r="K1496" s="56" t="s">
        <v>2058</v>
      </c>
      <c r="L1496" s="56" t="s">
        <v>2067</v>
      </c>
      <c r="M1496" s="55" t="s">
        <v>2060</v>
      </c>
      <c r="N1496" s="56" t="s">
        <v>2061</v>
      </c>
      <c r="O1496" s="53" t="s">
        <v>1790</v>
      </c>
      <c r="P1496" s="56" t="s">
        <v>2068</v>
      </c>
      <c r="Q1496" s="57">
        <v>4900</v>
      </c>
      <c r="R1496" s="58" t="s">
        <v>8</v>
      </c>
      <c r="S1496" s="57" t="s">
        <v>8</v>
      </c>
      <c r="T1496" s="56" t="s">
        <v>2063</v>
      </c>
    </row>
    <row r="1497" spans="1:20">
      <c r="A1497" s="55">
        <v>128106812525</v>
      </c>
      <c r="B1497" s="53" t="s">
        <v>2055</v>
      </c>
      <c r="C1497" s="54">
        <v>45934</v>
      </c>
      <c r="D1497" s="55">
        <v>51171289766</v>
      </c>
      <c r="E1497" s="55">
        <v>2086869397549</v>
      </c>
      <c r="F1497" s="56" t="s">
        <v>2056</v>
      </c>
      <c r="G1497" s="56" t="s">
        <v>2057</v>
      </c>
      <c r="H1497" s="56" t="s">
        <v>8</v>
      </c>
      <c r="I1497" s="55" t="s">
        <v>8</v>
      </c>
      <c r="J1497" s="57">
        <v>95.06</v>
      </c>
      <c r="K1497" s="56" t="s">
        <v>2058</v>
      </c>
      <c r="L1497" s="56" t="s">
        <v>2059</v>
      </c>
      <c r="M1497" s="55" t="s">
        <v>2060</v>
      </c>
      <c r="N1497" s="56" t="s">
        <v>2061</v>
      </c>
      <c r="O1497" s="53" t="s">
        <v>8</v>
      </c>
      <c r="P1497" s="56" t="s">
        <v>2708</v>
      </c>
      <c r="Q1497" s="57">
        <v>9800</v>
      </c>
      <c r="R1497" s="58" t="s">
        <v>8</v>
      </c>
      <c r="S1497" s="57" t="s">
        <v>8</v>
      </c>
      <c r="T1497" s="56" t="s">
        <v>2063</v>
      </c>
    </row>
    <row r="1498" spans="1:20">
      <c r="A1498" s="55">
        <v>128676006318</v>
      </c>
      <c r="B1498" s="53" t="s">
        <v>2055</v>
      </c>
      <c r="C1498" s="54">
        <v>45934</v>
      </c>
      <c r="D1498" s="55">
        <v>51171805799</v>
      </c>
      <c r="E1498" s="55">
        <v>2086941499858</v>
      </c>
      <c r="F1498" s="56" t="s">
        <v>2066</v>
      </c>
      <c r="G1498" s="56" t="s">
        <v>2057</v>
      </c>
      <c r="H1498" s="56" t="s">
        <v>8</v>
      </c>
      <c r="I1498" s="55" t="s">
        <v>8</v>
      </c>
      <c r="J1498" s="57">
        <v>2580.0500000000002</v>
      </c>
      <c r="K1498" s="56" t="s">
        <v>2058</v>
      </c>
      <c r="L1498" s="56" t="s">
        <v>2067</v>
      </c>
      <c r="M1498" s="55" t="s">
        <v>2060</v>
      </c>
      <c r="N1498" s="56" t="s">
        <v>2061</v>
      </c>
      <c r="O1498" s="53" t="s">
        <v>1790</v>
      </c>
      <c r="P1498" s="56" t="s">
        <v>2068</v>
      </c>
      <c r="Q1498" s="57">
        <v>65650</v>
      </c>
      <c r="R1498" s="58" t="s">
        <v>8</v>
      </c>
      <c r="S1498" s="57" t="s">
        <v>8</v>
      </c>
      <c r="T1498" s="56" t="s">
        <v>2063</v>
      </c>
    </row>
    <row r="1499" spans="1:20">
      <c r="A1499" s="55">
        <v>128676549330</v>
      </c>
      <c r="B1499" s="53" t="s">
        <v>2055</v>
      </c>
      <c r="C1499" s="54">
        <v>45934</v>
      </c>
      <c r="D1499" s="55">
        <v>51172008325</v>
      </c>
      <c r="E1499" s="55">
        <v>2086945385130</v>
      </c>
      <c r="F1499" s="56" t="s">
        <v>2069</v>
      </c>
      <c r="G1499" s="56" t="s">
        <v>2057</v>
      </c>
      <c r="H1499" s="56" t="s">
        <v>8</v>
      </c>
      <c r="I1499" s="55" t="s">
        <v>8</v>
      </c>
      <c r="J1499" s="57">
        <v>153.26</v>
      </c>
      <c r="K1499" s="56" t="s">
        <v>2058</v>
      </c>
      <c r="L1499" s="56" t="s">
        <v>2059</v>
      </c>
      <c r="M1499" s="55" t="s">
        <v>2060</v>
      </c>
      <c r="N1499" s="56" t="s">
        <v>2061</v>
      </c>
      <c r="O1499" s="53" t="s">
        <v>8</v>
      </c>
      <c r="P1499" s="56" t="s">
        <v>2070</v>
      </c>
      <c r="Q1499" s="57">
        <v>15800</v>
      </c>
      <c r="R1499" s="58" t="s">
        <v>8</v>
      </c>
      <c r="S1499" s="57" t="s">
        <v>8</v>
      </c>
      <c r="T1499" s="56" t="s">
        <v>8</v>
      </c>
    </row>
    <row r="1500" spans="1:20">
      <c r="A1500" s="55">
        <v>128678113052</v>
      </c>
      <c r="B1500" s="53" t="s">
        <v>2055</v>
      </c>
      <c r="C1500" s="54">
        <v>45934</v>
      </c>
      <c r="D1500" s="55">
        <v>51172508651</v>
      </c>
      <c r="E1500" s="55">
        <v>2086953811600</v>
      </c>
      <c r="F1500" s="56" t="s">
        <v>2056</v>
      </c>
      <c r="G1500" s="56" t="s">
        <v>2057</v>
      </c>
      <c r="H1500" s="56" t="s">
        <v>8</v>
      </c>
      <c r="I1500" s="55" t="s">
        <v>8</v>
      </c>
      <c r="J1500" s="57">
        <v>251.23</v>
      </c>
      <c r="K1500" s="56" t="s">
        <v>2058</v>
      </c>
      <c r="L1500" s="56" t="s">
        <v>2059</v>
      </c>
      <c r="M1500" s="55" t="s">
        <v>2060</v>
      </c>
      <c r="N1500" s="56" t="s">
        <v>2061</v>
      </c>
      <c r="O1500" s="53" t="s">
        <v>8</v>
      </c>
      <c r="P1500" s="56" t="s">
        <v>2709</v>
      </c>
      <c r="Q1500" s="57">
        <v>25900</v>
      </c>
      <c r="R1500" s="58" t="s">
        <v>8</v>
      </c>
      <c r="S1500" s="57" t="s">
        <v>8</v>
      </c>
      <c r="T1500" s="56" t="s">
        <v>2063</v>
      </c>
    </row>
    <row r="1501" spans="1:20">
      <c r="A1501" s="55">
        <v>128111836609</v>
      </c>
      <c r="B1501" s="53" t="s">
        <v>2055</v>
      </c>
      <c r="C1501" s="54">
        <v>45934</v>
      </c>
      <c r="D1501" s="55">
        <v>51172987773</v>
      </c>
      <c r="E1501" s="55">
        <v>2086961937326</v>
      </c>
      <c r="F1501" s="56" t="s">
        <v>2069</v>
      </c>
      <c r="G1501" s="56" t="s">
        <v>2057</v>
      </c>
      <c r="H1501" s="56" t="s">
        <v>8</v>
      </c>
      <c r="I1501" s="55" t="s">
        <v>8</v>
      </c>
      <c r="J1501" s="57">
        <v>104.76</v>
      </c>
      <c r="K1501" s="56" t="s">
        <v>2058</v>
      </c>
      <c r="L1501" s="56" t="s">
        <v>2059</v>
      </c>
      <c r="M1501" s="55" t="s">
        <v>2060</v>
      </c>
      <c r="N1501" s="56" t="s">
        <v>2061</v>
      </c>
      <c r="O1501" s="53" t="s">
        <v>8</v>
      </c>
      <c r="P1501" s="56" t="s">
        <v>2070</v>
      </c>
      <c r="Q1501" s="57">
        <v>10800</v>
      </c>
      <c r="R1501" s="58" t="s">
        <v>8</v>
      </c>
      <c r="S1501" s="57" t="s">
        <v>8</v>
      </c>
      <c r="T1501" s="56" t="s">
        <v>8</v>
      </c>
    </row>
    <row r="1502" spans="1:20">
      <c r="A1502" s="55">
        <v>128680689872</v>
      </c>
      <c r="B1502" s="53" t="s">
        <v>2055</v>
      </c>
      <c r="C1502" s="54">
        <v>45934</v>
      </c>
      <c r="D1502" s="55">
        <v>51173438949</v>
      </c>
      <c r="E1502" s="55">
        <v>2086969610174</v>
      </c>
      <c r="F1502" s="56" t="s">
        <v>2056</v>
      </c>
      <c r="G1502" s="56" t="s">
        <v>2057</v>
      </c>
      <c r="H1502" s="56" t="s">
        <v>8</v>
      </c>
      <c r="I1502" s="55" t="s">
        <v>8</v>
      </c>
      <c r="J1502" s="57">
        <v>134.83000000000001</v>
      </c>
      <c r="K1502" s="56" t="s">
        <v>2058</v>
      </c>
      <c r="L1502" s="56" t="s">
        <v>2059</v>
      </c>
      <c r="M1502" s="55" t="s">
        <v>2060</v>
      </c>
      <c r="N1502" s="56" t="s">
        <v>2061</v>
      </c>
      <c r="O1502" s="53" t="s">
        <v>8</v>
      </c>
      <c r="P1502" s="56" t="s">
        <v>2710</v>
      </c>
      <c r="Q1502" s="57">
        <v>13900</v>
      </c>
      <c r="R1502" s="58" t="s">
        <v>8</v>
      </c>
      <c r="S1502" s="57" t="s">
        <v>8</v>
      </c>
      <c r="T1502" s="56" t="s">
        <v>2063</v>
      </c>
    </row>
    <row r="1503" spans="1:20">
      <c r="A1503" s="55">
        <v>128113046995</v>
      </c>
      <c r="B1503" s="53" t="s">
        <v>2055</v>
      </c>
      <c r="C1503" s="54">
        <v>45934</v>
      </c>
      <c r="D1503" s="55">
        <v>51173491473</v>
      </c>
      <c r="E1503" s="55">
        <v>2086907583327</v>
      </c>
      <c r="F1503" s="56" t="s">
        <v>2066</v>
      </c>
      <c r="G1503" s="56" t="s">
        <v>2057</v>
      </c>
      <c r="H1503" s="56" t="s">
        <v>8</v>
      </c>
      <c r="I1503" s="55" t="s">
        <v>8</v>
      </c>
      <c r="J1503" s="57">
        <v>522.69000000000005</v>
      </c>
      <c r="K1503" s="56" t="s">
        <v>2058</v>
      </c>
      <c r="L1503" s="56" t="s">
        <v>2067</v>
      </c>
      <c r="M1503" s="55" t="s">
        <v>2060</v>
      </c>
      <c r="N1503" s="56" t="s">
        <v>2061</v>
      </c>
      <c r="O1503" s="53" t="s">
        <v>1790</v>
      </c>
      <c r="P1503" s="56" t="s">
        <v>2068</v>
      </c>
      <c r="Q1503" s="57">
        <v>13300</v>
      </c>
      <c r="R1503" s="58" t="s">
        <v>8</v>
      </c>
      <c r="S1503" s="57" t="s">
        <v>8</v>
      </c>
      <c r="T1503" s="56" t="s">
        <v>2063</v>
      </c>
    </row>
    <row r="1504" spans="1:20">
      <c r="A1504" s="55">
        <v>128113199157</v>
      </c>
      <c r="B1504" s="53" t="s">
        <v>2055</v>
      </c>
      <c r="C1504" s="54">
        <v>45934</v>
      </c>
      <c r="D1504" s="55">
        <v>51173532611</v>
      </c>
      <c r="E1504" s="55">
        <v>2086971342852</v>
      </c>
      <c r="F1504" s="56" t="s">
        <v>2066</v>
      </c>
      <c r="G1504" s="56" t="s">
        <v>2057</v>
      </c>
      <c r="H1504" s="56" t="s">
        <v>8</v>
      </c>
      <c r="I1504" s="55" t="s">
        <v>8</v>
      </c>
      <c r="J1504" s="57">
        <v>1469.82</v>
      </c>
      <c r="K1504" s="56" t="s">
        <v>2058</v>
      </c>
      <c r="L1504" s="56" t="s">
        <v>2067</v>
      </c>
      <c r="M1504" s="55" t="s">
        <v>2060</v>
      </c>
      <c r="N1504" s="56" t="s">
        <v>2061</v>
      </c>
      <c r="O1504" s="53" t="s">
        <v>1790</v>
      </c>
      <c r="P1504" s="56" t="s">
        <v>2068</v>
      </c>
      <c r="Q1504" s="57">
        <v>37400</v>
      </c>
      <c r="R1504" s="58" t="s">
        <v>8</v>
      </c>
      <c r="S1504" s="57" t="s">
        <v>8</v>
      </c>
      <c r="T1504" s="56" t="s">
        <v>2063</v>
      </c>
    </row>
    <row r="1505" spans="1:20">
      <c r="A1505" s="55">
        <v>128114015675</v>
      </c>
      <c r="B1505" s="53" t="s">
        <v>2055</v>
      </c>
      <c r="C1505" s="54">
        <v>45934</v>
      </c>
      <c r="D1505" s="55">
        <v>51173754140</v>
      </c>
      <c r="E1505" s="55">
        <v>2086975076840</v>
      </c>
      <c r="F1505" s="56" t="s">
        <v>2066</v>
      </c>
      <c r="G1505" s="56" t="s">
        <v>2057</v>
      </c>
      <c r="H1505" s="56" t="s">
        <v>8</v>
      </c>
      <c r="I1505" s="55" t="s">
        <v>8</v>
      </c>
      <c r="J1505" s="57">
        <v>2165.4299999999998</v>
      </c>
      <c r="K1505" s="56" t="s">
        <v>2058</v>
      </c>
      <c r="L1505" s="56" t="s">
        <v>2067</v>
      </c>
      <c r="M1505" s="55" t="s">
        <v>2060</v>
      </c>
      <c r="N1505" s="56" t="s">
        <v>2061</v>
      </c>
      <c r="O1505" s="53" t="s">
        <v>1790</v>
      </c>
      <c r="P1505" s="56" t="s">
        <v>2068</v>
      </c>
      <c r="Q1505" s="57">
        <v>55100</v>
      </c>
      <c r="R1505" s="58" t="s">
        <v>8</v>
      </c>
      <c r="S1505" s="57" t="s">
        <v>8</v>
      </c>
      <c r="T1505" s="56" t="s">
        <v>2063</v>
      </c>
    </row>
    <row r="1506" spans="1:20">
      <c r="A1506" s="55">
        <v>128682354308</v>
      </c>
      <c r="B1506" s="53" t="s">
        <v>2055</v>
      </c>
      <c r="C1506" s="54">
        <v>45934</v>
      </c>
      <c r="D1506" s="55">
        <v>51174058771</v>
      </c>
      <c r="E1506" s="55">
        <v>2086980013218</v>
      </c>
      <c r="F1506" s="56" t="s">
        <v>2056</v>
      </c>
      <c r="G1506" s="56" t="s">
        <v>2057</v>
      </c>
      <c r="H1506" s="56" t="s">
        <v>8</v>
      </c>
      <c r="I1506" s="55" t="s">
        <v>8</v>
      </c>
      <c r="J1506" s="57">
        <v>339.5</v>
      </c>
      <c r="K1506" s="56" t="s">
        <v>2058</v>
      </c>
      <c r="L1506" s="56" t="s">
        <v>2059</v>
      </c>
      <c r="M1506" s="55" t="s">
        <v>2060</v>
      </c>
      <c r="N1506" s="56" t="s">
        <v>2061</v>
      </c>
      <c r="O1506" s="53" t="s">
        <v>8</v>
      </c>
      <c r="P1506" s="56" t="s">
        <v>2711</v>
      </c>
      <c r="Q1506" s="57">
        <v>35000</v>
      </c>
      <c r="R1506" s="58" t="s">
        <v>8</v>
      </c>
      <c r="S1506" s="57" t="s">
        <v>8</v>
      </c>
      <c r="T1506" s="56" t="s">
        <v>2063</v>
      </c>
    </row>
    <row r="1507" spans="1:20">
      <c r="A1507" s="55">
        <v>128682536902</v>
      </c>
      <c r="B1507" s="53" t="s">
        <v>2055</v>
      </c>
      <c r="C1507" s="54">
        <v>45934</v>
      </c>
      <c r="D1507" s="55">
        <v>51174129733</v>
      </c>
      <c r="E1507" s="55">
        <v>2086980765506</v>
      </c>
      <c r="F1507" s="56" t="s">
        <v>2056</v>
      </c>
      <c r="G1507" s="56" t="s">
        <v>2057</v>
      </c>
      <c r="H1507" s="56" t="s">
        <v>8</v>
      </c>
      <c r="I1507" s="55" t="s">
        <v>8</v>
      </c>
      <c r="J1507" s="57">
        <v>142.59</v>
      </c>
      <c r="K1507" s="56" t="s">
        <v>2058</v>
      </c>
      <c r="L1507" s="56" t="s">
        <v>2059</v>
      </c>
      <c r="M1507" s="55" t="s">
        <v>2060</v>
      </c>
      <c r="N1507" s="56" t="s">
        <v>2061</v>
      </c>
      <c r="O1507" s="53" t="s">
        <v>8</v>
      </c>
      <c r="P1507" s="56" t="s">
        <v>2636</v>
      </c>
      <c r="Q1507" s="57">
        <v>14700</v>
      </c>
      <c r="R1507" s="58" t="s">
        <v>8</v>
      </c>
      <c r="S1507" s="57" t="s">
        <v>8</v>
      </c>
      <c r="T1507" s="56" t="s">
        <v>2063</v>
      </c>
    </row>
    <row r="1508" spans="1:20">
      <c r="A1508" s="55">
        <v>128682595192</v>
      </c>
      <c r="B1508" s="53" t="s">
        <v>2055</v>
      </c>
      <c r="C1508" s="54">
        <v>45934</v>
      </c>
      <c r="D1508" s="55">
        <v>51174147316</v>
      </c>
      <c r="E1508" s="55">
        <v>2086980980054</v>
      </c>
      <c r="F1508" s="56" t="s">
        <v>2056</v>
      </c>
      <c r="G1508" s="56" t="s">
        <v>2057</v>
      </c>
      <c r="H1508" s="56" t="s">
        <v>8</v>
      </c>
      <c r="I1508" s="55" t="s">
        <v>8</v>
      </c>
      <c r="J1508" s="57">
        <v>987.46</v>
      </c>
      <c r="K1508" s="56" t="s">
        <v>2058</v>
      </c>
      <c r="L1508" s="56" t="s">
        <v>2059</v>
      </c>
      <c r="M1508" s="55" t="s">
        <v>2060</v>
      </c>
      <c r="N1508" s="56" t="s">
        <v>2061</v>
      </c>
      <c r="O1508" s="53" t="s">
        <v>8</v>
      </c>
      <c r="P1508" s="56" t="s">
        <v>2712</v>
      </c>
      <c r="Q1508" s="57">
        <v>101800</v>
      </c>
      <c r="R1508" s="58" t="s">
        <v>8</v>
      </c>
      <c r="S1508" s="57" t="s">
        <v>8</v>
      </c>
      <c r="T1508" s="56" t="s">
        <v>2063</v>
      </c>
    </row>
    <row r="1509" spans="1:20">
      <c r="A1509" s="55">
        <v>128683315144</v>
      </c>
      <c r="B1509" s="53" t="s">
        <v>2055</v>
      </c>
      <c r="C1509" s="54">
        <v>45934</v>
      </c>
      <c r="D1509" s="55">
        <v>51174333256</v>
      </c>
      <c r="E1509" s="55">
        <v>2086921929083</v>
      </c>
      <c r="F1509" s="56" t="s">
        <v>2056</v>
      </c>
      <c r="G1509" s="56" t="s">
        <v>2057</v>
      </c>
      <c r="H1509" s="56" t="s">
        <v>8</v>
      </c>
      <c r="I1509" s="55" t="s">
        <v>8</v>
      </c>
      <c r="J1509" s="57">
        <v>544.41999999999996</v>
      </c>
      <c r="K1509" s="56" t="s">
        <v>2058</v>
      </c>
      <c r="L1509" s="56" t="s">
        <v>2059</v>
      </c>
      <c r="M1509" s="55" t="s">
        <v>2060</v>
      </c>
      <c r="N1509" s="56" t="s">
        <v>2061</v>
      </c>
      <c r="O1509" s="53" t="s">
        <v>8</v>
      </c>
      <c r="P1509" s="56" t="s">
        <v>2628</v>
      </c>
      <c r="Q1509" s="57">
        <v>33400</v>
      </c>
      <c r="R1509" s="58" t="s">
        <v>8</v>
      </c>
      <c r="S1509" s="57" t="s">
        <v>8</v>
      </c>
      <c r="T1509" s="56" t="s">
        <v>2063</v>
      </c>
    </row>
    <row r="1510" spans="1:20">
      <c r="A1510" s="55">
        <v>128115571549</v>
      </c>
      <c r="B1510" s="53" t="s">
        <v>2055</v>
      </c>
      <c r="C1510" s="54">
        <v>45934</v>
      </c>
      <c r="D1510" s="55">
        <v>51174418104</v>
      </c>
      <c r="E1510" s="55">
        <v>2086922689871</v>
      </c>
      <c r="F1510" s="56" t="s">
        <v>2107</v>
      </c>
      <c r="G1510" s="56" t="s">
        <v>2057</v>
      </c>
      <c r="H1510" s="56" t="s">
        <v>8</v>
      </c>
      <c r="I1510" s="55" t="s">
        <v>8</v>
      </c>
      <c r="J1510" s="57">
        <v>2153.63</v>
      </c>
      <c r="K1510" s="56" t="s">
        <v>2058</v>
      </c>
      <c r="L1510" s="56" t="s">
        <v>2059</v>
      </c>
      <c r="M1510" s="55" t="s">
        <v>2060</v>
      </c>
      <c r="N1510" s="56" t="s">
        <v>2061</v>
      </c>
      <c r="O1510" s="53" t="s">
        <v>8</v>
      </c>
      <c r="P1510" s="56" t="s">
        <v>2108</v>
      </c>
      <c r="Q1510" s="57">
        <v>28300</v>
      </c>
      <c r="R1510" s="58" t="s">
        <v>8</v>
      </c>
      <c r="S1510" s="57" t="s">
        <v>8</v>
      </c>
      <c r="T1510" s="56" t="s">
        <v>2063</v>
      </c>
    </row>
    <row r="1511" spans="1:20">
      <c r="A1511" s="55">
        <v>128115776901</v>
      </c>
      <c r="B1511" s="53" t="s">
        <v>2055</v>
      </c>
      <c r="C1511" s="54">
        <v>45934</v>
      </c>
      <c r="D1511" s="55">
        <v>51174461923</v>
      </c>
      <c r="E1511" s="55">
        <v>2086923815203</v>
      </c>
      <c r="F1511" s="56" t="s">
        <v>2066</v>
      </c>
      <c r="G1511" s="56" t="s">
        <v>2057</v>
      </c>
      <c r="H1511" s="56" t="s">
        <v>8</v>
      </c>
      <c r="I1511" s="55" t="s">
        <v>8</v>
      </c>
      <c r="J1511" s="57">
        <v>1355.85</v>
      </c>
      <c r="K1511" s="56" t="s">
        <v>2058</v>
      </c>
      <c r="L1511" s="56" t="s">
        <v>2067</v>
      </c>
      <c r="M1511" s="55" t="s">
        <v>2060</v>
      </c>
      <c r="N1511" s="56" t="s">
        <v>2061</v>
      </c>
      <c r="O1511" s="53" t="s">
        <v>1790</v>
      </c>
      <c r="P1511" s="56" t="s">
        <v>2068</v>
      </c>
      <c r="Q1511" s="57">
        <v>34500</v>
      </c>
      <c r="R1511" s="58" t="s">
        <v>8</v>
      </c>
      <c r="S1511" s="57" t="s">
        <v>8</v>
      </c>
      <c r="T1511" s="56" t="s">
        <v>2063</v>
      </c>
    </row>
    <row r="1512" spans="1:20">
      <c r="A1512" s="55">
        <v>128683578206</v>
      </c>
      <c r="B1512" s="53" t="s">
        <v>2055</v>
      </c>
      <c r="C1512" s="54">
        <v>45934</v>
      </c>
      <c r="D1512" s="55">
        <v>51174474689</v>
      </c>
      <c r="E1512" s="55">
        <v>2086923590431</v>
      </c>
      <c r="F1512" s="56" t="s">
        <v>2056</v>
      </c>
      <c r="G1512" s="56" t="s">
        <v>2057</v>
      </c>
      <c r="H1512" s="56" t="s">
        <v>8</v>
      </c>
      <c r="I1512" s="55" t="s">
        <v>8</v>
      </c>
      <c r="J1512" s="57">
        <v>95.06</v>
      </c>
      <c r="K1512" s="56" t="s">
        <v>2058</v>
      </c>
      <c r="L1512" s="56" t="s">
        <v>2059</v>
      </c>
      <c r="M1512" s="55" t="s">
        <v>2060</v>
      </c>
      <c r="N1512" s="56" t="s">
        <v>2061</v>
      </c>
      <c r="O1512" s="53" t="s">
        <v>8</v>
      </c>
      <c r="P1512" s="56" t="s">
        <v>2708</v>
      </c>
      <c r="Q1512" s="57">
        <v>9800</v>
      </c>
      <c r="R1512" s="58" t="s">
        <v>8</v>
      </c>
      <c r="S1512" s="57" t="s">
        <v>8</v>
      </c>
      <c r="T1512" s="56" t="s">
        <v>2063</v>
      </c>
    </row>
    <row r="1513" spans="1:20">
      <c r="A1513" s="55">
        <v>128683947738</v>
      </c>
      <c r="B1513" s="53" t="s">
        <v>2055</v>
      </c>
      <c r="C1513" s="54">
        <v>45934</v>
      </c>
      <c r="D1513" s="55">
        <v>51174667059</v>
      </c>
      <c r="E1513" s="55">
        <v>2086989772654</v>
      </c>
      <c r="F1513" s="56" t="s">
        <v>2056</v>
      </c>
      <c r="G1513" s="56" t="s">
        <v>2057</v>
      </c>
      <c r="H1513" s="56" t="s">
        <v>8</v>
      </c>
      <c r="I1513" s="55" t="s">
        <v>8</v>
      </c>
      <c r="J1513" s="57">
        <v>298.29000000000002</v>
      </c>
      <c r="K1513" s="56" t="s">
        <v>2058</v>
      </c>
      <c r="L1513" s="56" t="s">
        <v>2059</v>
      </c>
      <c r="M1513" s="55" t="s">
        <v>2060</v>
      </c>
      <c r="N1513" s="56" t="s">
        <v>2061</v>
      </c>
      <c r="O1513" s="53" t="s">
        <v>8</v>
      </c>
      <c r="P1513" s="56" t="s">
        <v>2109</v>
      </c>
      <c r="Q1513" s="57">
        <v>18300</v>
      </c>
      <c r="R1513" s="58" t="s">
        <v>8</v>
      </c>
      <c r="S1513" s="57" t="s">
        <v>8</v>
      </c>
      <c r="T1513" s="56" t="s">
        <v>2063</v>
      </c>
    </row>
    <row r="1514" spans="1:20">
      <c r="A1514" s="55">
        <v>128116626371</v>
      </c>
      <c r="B1514" s="53" t="s">
        <v>2055</v>
      </c>
      <c r="C1514" s="54">
        <v>45934</v>
      </c>
      <c r="D1514" s="55">
        <v>51174706774</v>
      </c>
      <c r="E1514" s="55">
        <v>2086927404051</v>
      </c>
      <c r="F1514" s="56" t="s">
        <v>2056</v>
      </c>
      <c r="G1514" s="56" t="s">
        <v>2057</v>
      </c>
      <c r="H1514" s="56" t="s">
        <v>8</v>
      </c>
      <c r="I1514" s="55" t="s">
        <v>8</v>
      </c>
      <c r="J1514" s="57">
        <v>333.68</v>
      </c>
      <c r="K1514" s="56" t="s">
        <v>2058</v>
      </c>
      <c r="L1514" s="56" t="s">
        <v>2059</v>
      </c>
      <c r="M1514" s="55" t="s">
        <v>2060</v>
      </c>
      <c r="N1514" s="56" t="s">
        <v>2061</v>
      </c>
      <c r="O1514" s="53" t="s">
        <v>8</v>
      </c>
      <c r="P1514" s="56" t="s">
        <v>2713</v>
      </c>
      <c r="Q1514" s="57">
        <v>34400</v>
      </c>
      <c r="R1514" s="58" t="s">
        <v>8</v>
      </c>
      <c r="S1514" s="57" t="s">
        <v>8</v>
      </c>
      <c r="T1514" s="56" t="s">
        <v>2063</v>
      </c>
    </row>
    <row r="1515" spans="1:20">
      <c r="A1515" s="55">
        <v>128117082133</v>
      </c>
      <c r="B1515" s="53" t="s">
        <v>2055</v>
      </c>
      <c r="C1515" s="54">
        <v>45934</v>
      </c>
      <c r="D1515" s="55">
        <v>51174886542</v>
      </c>
      <c r="E1515" s="55">
        <v>2086993339726</v>
      </c>
      <c r="F1515" s="56" t="s">
        <v>2056</v>
      </c>
      <c r="G1515" s="56" t="s">
        <v>2057</v>
      </c>
      <c r="H1515" s="56" t="s">
        <v>8</v>
      </c>
      <c r="I1515" s="55" t="s">
        <v>8</v>
      </c>
      <c r="J1515" s="57">
        <v>332.71</v>
      </c>
      <c r="K1515" s="56" t="s">
        <v>2058</v>
      </c>
      <c r="L1515" s="56" t="s">
        <v>2059</v>
      </c>
      <c r="M1515" s="55" t="s">
        <v>2060</v>
      </c>
      <c r="N1515" s="56" t="s">
        <v>2061</v>
      </c>
      <c r="O1515" s="53" t="s">
        <v>8</v>
      </c>
      <c r="P1515" s="56" t="s">
        <v>2714</v>
      </c>
      <c r="Q1515" s="57">
        <v>34300</v>
      </c>
      <c r="R1515" s="58" t="s">
        <v>8</v>
      </c>
      <c r="S1515" s="57" t="s">
        <v>8</v>
      </c>
      <c r="T1515" s="56" t="s">
        <v>2063</v>
      </c>
    </row>
    <row r="1516" spans="1:20">
      <c r="A1516" s="55">
        <v>128118062595</v>
      </c>
      <c r="B1516" s="53" t="s">
        <v>2055</v>
      </c>
      <c r="C1516" s="54">
        <v>45934</v>
      </c>
      <c r="D1516" s="55">
        <v>51175284151</v>
      </c>
      <c r="E1516" s="55">
        <v>2086937387745</v>
      </c>
      <c r="F1516" s="56" t="s">
        <v>2069</v>
      </c>
      <c r="G1516" s="56" t="s">
        <v>2057</v>
      </c>
      <c r="H1516" s="56" t="s">
        <v>8</v>
      </c>
      <c r="I1516" s="55" t="s">
        <v>8</v>
      </c>
      <c r="J1516" s="57">
        <v>217.28</v>
      </c>
      <c r="K1516" s="56" t="s">
        <v>2058</v>
      </c>
      <c r="L1516" s="56" t="s">
        <v>2059</v>
      </c>
      <c r="M1516" s="55" t="s">
        <v>2060</v>
      </c>
      <c r="N1516" s="56" t="s">
        <v>2061</v>
      </c>
      <c r="O1516" s="53" t="s">
        <v>8</v>
      </c>
      <c r="P1516" s="56" t="s">
        <v>2070</v>
      </c>
      <c r="Q1516" s="57">
        <v>22400</v>
      </c>
      <c r="R1516" s="58" t="s">
        <v>8</v>
      </c>
      <c r="S1516" s="57" t="s">
        <v>8</v>
      </c>
      <c r="T1516" s="56" t="s">
        <v>8</v>
      </c>
    </row>
    <row r="1517" spans="1:20">
      <c r="A1517" s="55">
        <v>128118169295</v>
      </c>
      <c r="B1517" s="53" t="s">
        <v>2055</v>
      </c>
      <c r="C1517" s="54">
        <v>45934</v>
      </c>
      <c r="D1517" s="55">
        <v>51175354970</v>
      </c>
      <c r="E1517" s="55">
        <v>2087001169646</v>
      </c>
      <c r="F1517" s="56" t="s">
        <v>2056</v>
      </c>
      <c r="G1517" s="56" t="s">
        <v>2057</v>
      </c>
      <c r="H1517" s="56" t="s">
        <v>8</v>
      </c>
      <c r="I1517" s="55" t="s">
        <v>8</v>
      </c>
      <c r="J1517" s="57">
        <v>57.23</v>
      </c>
      <c r="K1517" s="56" t="s">
        <v>2058</v>
      </c>
      <c r="L1517" s="56" t="s">
        <v>2059</v>
      </c>
      <c r="M1517" s="55" t="s">
        <v>2060</v>
      </c>
      <c r="N1517" s="56" t="s">
        <v>2061</v>
      </c>
      <c r="O1517" s="53" t="s">
        <v>8</v>
      </c>
      <c r="P1517" s="56" t="s">
        <v>2715</v>
      </c>
      <c r="Q1517" s="57">
        <v>5900</v>
      </c>
      <c r="R1517" s="58" t="s">
        <v>8</v>
      </c>
      <c r="S1517" s="57" t="s">
        <v>8</v>
      </c>
      <c r="T1517" s="56" t="s">
        <v>2063</v>
      </c>
    </row>
    <row r="1518" spans="1:20">
      <c r="A1518" s="55">
        <v>128118353155</v>
      </c>
      <c r="B1518" s="53" t="s">
        <v>2055</v>
      </c>
      <c r="C1518" s="54">
        <v>45934</v>
      </c>
      <c r="D1518" s="55">
        <v>51175427367</v>
      </c>
      <c r="E1518" s="55">
        <v>2087002552980</v>
      </c>
      <c r="F1518" s="56" t="s">
        <v>2066</v>
      </c>
      <c r="G1518" s="56" t="s">
        <v>2057</v>
      </c>
      <c r="H1518" s="56" t="s">
        <v>8</v>
      </c>
      <c r="I1518" s="55" t="s">
        <v>8</v>
      </c>
      <c r="J1518" s="57">
        <v>636.66</v>
      </c>
      <c r="K1518" s="56" t="s">
        <v>2058</v>
      </c>
      <c r="L1518" s="56" t="s">
        <v>2067</v>
      </c>
      <c r="M1518" s="55" t="s">
        <v>2060</v>
      </c>
      <c r="N1518" s="56" t="s">
        <v>2061</v>
      </c>
      <c r="O1518" s="53" t="s">
        <v>1790</v>
      </c>
      <c r="P1518" s="56" t="s">
        <v>2068</v>
      </c>
      <c r="Q1518" s="57">
        <v>16200</v>
      </c>
      <c r="R1518" s="58" t="s">
        <v>8</v>
      </c>
      <c r="S1518" s="57" t="s">
        <v>8</v>
      </c>
      <c r="T1518" s="56" t="s">
        <v>2063</v>
      </c>
    </row>
    <row r="1519" spans="1:20">
      <c r="A1519" s="55">
        <v>128687029470</v>
      </c>
      <c r="B1519" s="53" t="s">
        <v>2055</v>
      </c>
      <c r="C1519" s="54">
        <v>45934</v>
      </c>
      <c r="D1519" s="55">
        <v>51175803289</v>
      </c>
      <c r="E1519" s="55">
        <v>2086945862709</v>
      </c>
      <c r="F1519" s="56" t="s">
        <v>2056</v>
      </c>
      <c r="G1519" s="56" t="s">
        <v>2057</v>
      </c>
      <c r="H1519" s="56" t="s">
        <v>8</v>
      </c>
      <c r="I1519" s="55" t="s">
        <v>8</v>
      </c>
      <c r="J1519" s="57">
        <v>368.6</v>
      </c>
      <c r="K1519" s="56" t="s">
        <v>2058</v>
      </c>
      <c r="L1519" s="56" t="s">
        <v>2059</v>
      </c>
      <c r="M1519" s="55" t="s">
        <v>2060</v>
      </c>
      <c r="N1519" s="56" t="s">
        <v>2061</v>
      </c>
      <c r="O1519" s="53" t="s">
        <v>8</v>
      </c>
      <c r="P1519" s="56" t="s">
        <v>2285</v>
      </c>
      <c r="Q1519" s="57">
        <v>38000</v>
      </c>
      <c r="R1519" s="58" t="s">
        <v>8</v>
      </c>
      <c r="S1519" s="57" t="s">
        <v>8</v>
      </c>
      <c r="T1519" s="56" t="s">
        <v>2063</v>
      </c>
    </row>
    <row r="1520" spans="1:20">
      <c r="A1520" s="55">
        <v>128119642609</v>
      </c>
      <c r="B1520" s="53" t="s">
        <v>2055</v>
      </c>
      <c r="C1520" s="54">
        <v>45934</v>
      </c>
      <c r="D1520" s="55">
        <v>51175813085</v>
      </c>
      <c r="E1520" s="55">
        <v>2087009256948</v>
      </c>
      <c r="F1520" s="56" t="s">
        <v>2066</v>
      </c>
      <c r="G1520" s="56" t="s">
        <v>2057</v>
      </c>
      <c r="H1520" s="56" t="s">
        <v>8</v>
      </c>
      <c r="I1520" s="55" t="s">
        <v>8</v>
      </c>
      <c r="J1520" s="57">
        <v>538.41</v>
      </c>
      <c r="K1520" s="56" t="s">
        <v>2058</v>
      </c>
      <c r="L1520" s="56" t="s">
        <v>2067</v>
      </c>
      <c r="M1520" s="55" t="s">
        <v>2060</v>
      </c>
      <c r="N1520" s="56" t="s">
        <v>2061</v>
      </c>
      <c r="O1520" s="53" t="s">
        <v>1790</v>
      </c>
      <c r="P1520" s="56" t="s">
        <v>2068</v>
      </c>
      <c r="Q1520" s="57">
        <v>13700</v>
      </c>
      <c r="R1520" s="58" t="s">
        <v>8</v>
      </c>
      <c r="S1520" s="57" t="s">
        <v>8</v>
      </c>
      <c r="T1520" s="56" t="s">
        <v>2063</v>
      </c>
    </row>
    <row r="1521" spans="1:20">
      <c r="A1521" s="55">
        <v>128120103931</v>
      </c>
      <c r="B1521" s="53" t="s">
        <v>2055</v>
      </c>
      <c r="C1521" s="54">
        <v>45934</v>
      </c>
      <c r="D1521" s="55">
        <v>51176070209</v>
      </c>
      <c r="E1521" s="55">
        <v>2086950259769</v>
      </c>
      <c r="F1521" s="56" t="s">
        <v>2069</v>
      </c>
      <c r="G1521" s="56" t="s">
        <v>2057</v>
      </c>
      <c r="H1521" s="56" t="s">
        <v>8</v>
      </c>
      <c r="I1521" s="55" t="s">
        <v>8</v>
      </c>
      <c r="J1521" s="57">
        <v>93.12</v>
      </c>
      <c r="K1521" s="56" t="s">
        <v>2058</v>
      </c>
      <c r="L1521" s="56" t="s">
        <v>2059</v>
      </c>
      <c r="M1521" s="55" t="s">
        <v>2060</v>
      </c>
      <c r="N1521" s="56" t="s">
        <v>2061</v>
      </c>
      <c r="O1521" s="53" t="s">
        <v>8</v>
      </c>
      <c r="P1521" s="56" t="s">
        <v>2070</v>
      </c>
      <c r="Q1521" s="57">
        <v>9600</v>
      </c>
      <c r="R1521" s="58" t="s">
        <v>8</v>
      </c>
      <c r="S1521" s="57" t="s">
        <v>8</v>
      </c>
      <c r="T1521" s="56" t="s">
        <v>8</v>
      </c>
    </row>
    <row r="1522" spans="1:20">
      <c r="A1522" s="55">
        <v>128120410601</v>
      </c>
      <c r="B1522" s="53" t="s">
        <v>2055</v>
      </c>
      <c r="C1522" s="54">
        <v>45934</v>
      </c>
      <c r="D1522" s="55">
        <v>51176155120</v>
      </c>
      <c r="E1522" s="55">
        <v>2086951619909</v>
      </c>
      <c r="F1522" s="56" t="s">
        <v>2066</v>
      </c>
      <c r="G1522" s="56" t="s">
        <v>2057</v>
      </c>
      <c r="H1522" s="56" t="s">
        <v>8</v>
      </c>
      <c r="I1522" s="55" t="s">
        <v>8</v>
      </c>
      <c r="J1522" s="57">
        <v>2406.1999999999998</v>
      </c>
      <c r="K1522" s="56" t="s">
        <v>2058</v>
      </c>
      <c r="L1522" s="56" t="s">
        <v>2067</v>
      </c>
      <c r="M1522" s="55" t="s">
        <v>2060</v>
      </c>
      <c r="N1522" s="56" t="s">
        <v>2061</v>
      </c>
      <c r="O1522" s="53" t="s">
        <v>1790</v>
      </c>
      <c r="P1522" s="56" t="s">
        <v>2068</v>
      </c>
      <c r="Q1522" s="57">
        <v>53000</v>
      </c>
      <c r="R1522" s="58" t="s">
        <v>8</v>
      </c>
      <c r="S1522" s="57" t="s">
        <v>8</v>
      </c>
      <c r="T1522" s="56" t="s">
        <v>2063</v>
      </c>
    </row>
    <row r="1523" spans="1:20">
      <c r="A1523" s="55">
        <v>128689106092</v>
      </c>
      <c r="B1523" s="53" t="s">
        <v>2055</v>
      </c>
      <c r="C1523" s="54">
        <v>45934</v>
      </c>
      <c r="D1523" s="55">
        <v>51176554216</v>
      </c>
      <c r="E1523" s="55">
        <v>2087021347894</v>
      </c>
      <c r="F1523" s="56" t="s">
        <v>2066</v>
      </c>
      <c r="G1523" s="56" t="s">
        <v>2057</v>
      </c>
      <c r="H1523" s="56" t="s">
        <v>8</v>
      </c>
      <c r="I1523" s="55" t="s">
        <v>8</v>
      </c>
      <c r="J1523" s="57">
        <v>227</v>
      </c>
      <c r="K1523" s="56" t="s">
        <v>2058</v>
      </c>
      <c r="L1523" s="56" t="s">
        <v>2067</v>
      </c>
      <c r="M1523" s="55" t="s">
        <v>2060</v>
      </c>
      <c r="N1523" s="56" t="s">
        <v>2061</v>
      </c>
      <c r="O1523" s="53" t="s">
        <v>1790</v>
      </c>
      <c r="P1523" s="56" t="s">
        <v>2068</v>
      </c>
      <c r="Q1523" s="57">
        <v>5000</v>
      </c>
      <c r="R1523" s="58" t="s">
        <v>8</v>
      </c>
      <c r="S1523" s="57" t="s">
        <v>8</v>
      </c>
      <c r="T1523" s="56" t="s">
        <v>2063</v>
      </c>
    </row>
    <row r="1524" spans="1:20">
      <c r="A1524" s="55">
        <v>128689516614</v>
      </c>
      <c r="B1524" s="53" t="s">
        <v>2055</v>
      </c>
      <c r="C1524" s="54">
        <v>45934</v>
      </c>
      <c r="D1524" s="55">
        <v>51176679097</v>
      </c>
      <c r="E1524" s="55">
        <v>2086960025679</v>
      </c>
      <c r="F1524" s="56" t="s">
        <v>2066</v>
      </c>
      <c r="G1524" s="56" t="s">
        <v>2057</v>
      </c>
      <c r="H1524" s="56" t="s">
        <v>8</v>
      </c>
      <c r="I1524" s="55" t="s">
        <v>8</v>
      </c>
      <c r="J1524" s="57">
        <v>2537.86</v>
      </c>
      <c r="K1524" s="56" t="s">
        <v>2058</v>
      </c>
      <c r="L1524" s="56" t="s">
        <v>2067</v>
      </c>
      <c r="M1524" s="55" t="s">
        <v>2060</v>
      </c>
      <c r="N1524" s="56" t="s">
        <v>2061</v>
      </c>
      <c r="O1524" s="53" t="s">
        <v>1790</v>
      </c>
      <c r="P1524" s="56" t="s">
        <v>2068</v>
      </c>
      <c r="Q1524" s="57">
        <v>55900</v>
      </c>
      <c r="R1524" s="58" t="s">
        <v>8</v>
      </c>
      <c r="S1524" s="57" t="s">
        <v>8</v>
      </c>
      <c r="T1524" s="56" t="s">
        <v>2063</v>
      </c>
    </row>
    <row r="1525" spans="1:20">
      <c r="A1525" s="55">
        <v>128122214151</v>
      </c>
      <c r="B1525" s="53" t="s">
        <v>2055</v>
      </c>
      <c r="C1525" s="54">
        <v>45934</v>
      </c>
      <c r="D1525" s="55">
        <v>51176784627</v>
      </c>
      <c r="E1525" s="55">
        <v>2087024724640</v>
      </c>
      <c r="F1525" s="56" t="s">
        <v>2056</v>
      </c>
      <c r="G1525" s="56" t="s">
        <v>2057</v>
      </c>
      <c r="H1525" s="56" t="s">
        <v>8</v>
      </c>
      <c r="I1525" s="55" t="s">
        <v>8</v>
      </c>
      <c r="J1525" s="57">
        <v>36.86</v>
      </c>
      <c r="K1525" s="56" t="s">
        <v>2058</v>
      </c>
      <c r="L1525" s="56" t="s">
        <v>2059</v>
      </c>
      <c r="M1525" s="55" t="s">
        <v>2060</v>
      </c>
      <c r="N1525" s="56" t="s">
        <v>2061</v>
      </c>
      <c r="O1525" s="53" t="s">
        <v>8</v>
      </c>
      <c r="P1525" s="56" t="s">
        <v>2716</v>
      </c>
      <c r="Q1525" s="57">
        <v>3800</v>
      </c>
      <c r="R1525" s="58" t="s">
        <v>8</v>
      </c>
      <c r="S1525" s="57" t="s">
        <v>8</v>
      </c>
      <c r="T1525" s="56" t="s">
        <v>2063</v>
      </c>
    </row>
    <row r="1526" spans="1:20">
      <c r="A1526" s="55">
        <v>128690050246</v>
      </c>
      <c r="B1526" s="53" t="s">
        <v>2055</v>
      </c>
      <c r="C1526" s="54">
        <v>45934</v>
      </c>
      <c r="D1526" s="55">
        <v>51176815682</v>
      </c>
      <c r="E1526" s="55">
        <v>2087025245452</v>
      </c>
      <c r="F1526" s="56" t="s">
        <v>2056</v>
      </c>
      <c r="G1526" s="56" t="s">
        <v>2057</v>
      </c>
      <c r="H1526" s="56" t="s">
        <v>8</v>
      </c>
      <c r="I1526" s="55" t="s">
        <v>8</v>
      </c>
      <c r="J1526" s="57">
        <v>40.74</v>
      </c>
      <c r="K1526" s="56" t="s">
        <v>2058</v>
      </c>
      <c r="L1526" s="56" t="s">
        <v>2059</v>
      </c>
      <c r="M1526" s="55" t="s">
        <v>2060</v>
      </c>
      <c r="N1526" s="56" t="s">
        <v>2061</v>
      </c>
      <c r="O1526" s="53" t="s">
        <v>8</v>
      </c>
      <c r="P1526" s="56" t="s">
        <v>2717</v>
      </c>
      <c r="Q1526" s="57">
        <v>4200</v>
      </c>
      <c r="R1526" s="58" t="s">
        <v>8</v>
      </c>
      <c r="S1526" s="57" t="s">
        <v>8</v>
      </c>
      <c r="T1526" s="56" t="s">
        <v>2063</v>
      </c>
    </row>
    <row r="1527" spans="1:20">
      <c r="A1527" s="55">
        <v>128122283721</v>
      </c>
      <c r="B1527" s="53" t="s">
        <v>2055</v>
      </c>
      <c r="C1527" s="54">
        <v>45934</v>
      </c>
      <c r="D1527" s="55">
        <v>51176849893</v>
      </c>
      <c r="E1527" s="55">
        <v>2086962867625</v>
      </c>
      <c r="F1527" s="56" t="s">
        <v>2056</v>
      </c>
      <c r="G1527" s="56" t="s">
        <v>2057</v>
      </c>
      <c r="H1527" s="56" t="s">
        <v>8</v>
      </c>
      <c r="I1527" s="55" t="s">
        <v>8</v>
      </c>
      <c r="J1527" s="57">
        <v>48.5</v>
      </c>
      <c r="K1527" s="56" t="s">
        <v>2058</v>
      </c>
      <c r="L1527" s="56" t="s">
        <v>2059</v>
      </c>
      <c r="M1527" s="55" t="s">
        <v>2060</v>
      </c>
      <c r="N1527" s="56" t="s">
        <v>2061</v>
      </c>
      <c r="O1527" s="53" t="s">
        <v>8</v>
      </c>
      <c r="P1527" s="56" t="s">
        <v>2718</v>
      </c>
      <c r="Q1527" s="57">
        <v>5000</v>
      </c>
      <c r="R1527" s="58" t="s">
        <v>8</v>
      </c>
      <c r="S1527" s="57" t="s">
        <v>8</v>
      </c>
      <c r="T1527" s="56" t="s">
        <v>2063</v>
      </c>
    </row>
    <row r="1528" spans="1:20">
      <c r="A1528" s="55">
        <v>128690199068</v>
      </c>
      <c r="B1528" s="53" t="s">
        <v>2055</v>
      </c>
      <c r="C1528" s="54">
        <v>45934</v>
      </c>
      <c r="D1528" s="55">
        <v>51176862843</v>
      </c>
      <c r="E1528" s="55">
        <v>2086963395313</v>
      </c>
      <c r="F1528" s="56" t="s">
        <v>2069</v>
      </c>
      <c r="G1528" s="56" t="s">
        <v>2057</v>
      </c>
      <c r="H1528" s="56" t="s">
        <v>8</v>
      </c>
      <c r="I1528" s="55" t="s">
        <v>8</v>
      </c>
      <c r="J1528" s="57">
        <v>93.12</v>
      </c>
      <c r="K1528" s="56" t="s">
        <v>2058</v>
      </c>
      <c r="L1528" s="56" t="s">
        <v>2059</v>
      </c>
      <c r="M1528" s="55" t="s">
        <v>2060</v>
      </c>
      <c r="N1528" s="56" t="s">
        <v>2061</v>
      </c>
      <c r="O1528" s="53" t="s">
        <v>8</v>
      </c>
      <c r="P1528" s="56" t="s">
        <v>2070</v>
      </c>
      <c r="Q1528" s="57">
        <v>9600</v>
      </c>
      <c r="R1528" s="58" t="s">
        <v>8</v>
      </c>
      <c r="S1528" s="57" t="s">
        <v>8</v>
      </c>
      <c r="T1528" s="56" t="s">
        <v>8</v>
      </c>
    </row>
    <row r="1529" spans="1:20">
      <c r="A1529" s="55">
        <v>128690444386</v>
      </c>
      <c r="B1529" s="53" t="s">
        <v>2055</v>
      </c>
      <c r="C1529" s="54">
        <v>45934</v>
      </c>
      <c r="D1529" s="55">
        <v>51176923634</v>
      </c>
      <c r="E1529" s="55">
        <v>2087027469516</v>
      </c>
      <c r="F1529" s="56" t="s">
        <v>2056</v>
      </c>
      <c r="G1529" s="56" t="s">
        <v>2057</v>
      </c>
      <c r="H1529" s="56" t="s">
        <v>8</v>
      </c>
      <c r="I1529" s="55" t="s">
        <v>8</v>
      </c>
      <c r="J1529" s="57">
        <v>362.78</v>
      </c>
      <c r="K1529" s="56" t="s">
        <v>2058</v>
      </c>
      <c r="L1529" s="56" t="s">
        <v>2059</v>
      </c>
      <c r="M1529" s="55" t="s">
        <v>2060</v>
      </c>
      <c r="N1529" s="56" t="s">
        <v>2061</v>
      </c>
      <c r="O1529" s="53" t="s">
        <v>8</v>
      </c>
      <c r="P1529" s="56" t="s">
        <v>2161</v>
      </c>
      <c r="Q1529" s="57">
        <v>37400</v>
      </c>
      <c r="R1529" s="58" t="s">
        <v>8</v>
      </c>
      <c r="S1529" s="57" t="s">
        <v>8</v>
      </c>
      <c r="T1529" s="56" t="s">
        <v>2063</v>
      </c>
    </row>
    <row r="1530" spans="1:20">
      <c r="A1530" s="55">
        <v>128123405379</v>
      </c>
      <c r="B1530" s="53" t="s">
        <v>2055</v>
      </c>
      <c r="C1530" s="54">
        <v>45934</v>
      </c>
      <c r="D1530" s="55">
        <v>51177198017</v>
      </c>
      <c r="E1530" s="55">
        <v>2086968867115</v>
      </c>
      <c r="F1530" s="56" t="s">
        <v>2056</v>
      </c>
      <c r="G1530" s="56" t="s">
        <v>2057</v>
      </c>
      <c r="H1530" s="56" t="s">
        <v>8</v>
      </c>
      <c r="I1530" s="55" t="s">
        <v>8</v>
      </c>
      <c r="J1530" s="57">
        <v>93.12</v>
      </c>
      <c r="K1530" s="56" t="s">
        <v>2058</v>
      </c>
      <c r="L1530" s="56" t="s">
        <v>2059</v>
      </c>
      <c r="M1530" s="55" t="s">
        <v>2060</v>
      </c>
      <c r="N1530" s="56" t="s">
        <v>2061</v>
      </c>
      <c r="O1530" s="53" t="s">
        <v>8</v>
      </c>
      <c r="P1530" s="56" t="s">
        <v>2719</v>
      </c>
      <c r="Q1530" s="57">
        <v>9600</v>
      </c>
      <c r="R1530" s="58" t="s">
        <v>8</v>
      </c>
      <c r="S1530" s="57" t="s">
        <v>8</v>
      </c>
      <c r="T1530" s="56" t="s">
        <v>2063</v>
      </c>
    </row>
    <row r="1531" spans="1:20">
      <c r="A1531" s="55">
        <v>128691126746</v>
      </c>
      <c r="B1531" s="53" t="s">
        <v>2055</v>
      </c>
      <c r="C1531" s="54">
        <v>45934</v>
      </c>
      <c r="D1531" s="55">
        <v>51177294982</v>
      </c>
      <c r="E1531" s="55">
        <v>2087032839302</v>
      </c>
      <c r="F1531" s="56" t="s">
        <v>2056</v>
      </c>
      <c r="G1531" s="56" t="s">
        <v>2057</v>
      </c>
      <c r="H1531" s="56" t="s">
        <v>8</v>
      </c>
      <c r="I1531" s="55" t="s">
        <v>8</v>
      </c>
      <c r="J1531" s="57">
        <v>89.24</v>
      </c>
      <c r="K1531" s="56" t="s">
        <v>2058</v>
      </c>
      <c r="L1531" s="56" t="s">
        <v>2059</v>
      </c>
      <c r="M1531" s="55" t="s">
        <v>2060</v>
      </c>
      <c r="N1531" s="56" t="s">
        <v>2061</v>
      </c>
      <c r="O1531" s="53" t="s">
        <v>8</v>
      </c>
      <c r="P1531" s="56" t="s">
        <v>2720</v>
      </c>
      <c r="Q1531" s="57">
        <v>9200</v>
      </c>
      <c r="R1531" s="58" t="s">
        <v>8</v>
      </c>
      <c r="S1531" s="57" t="s">
        <v>8</v>
      </c>
      <c r="T1531" s="56" t="s">
        <v>2063</v>
      </c>
    </row>
    <row r="1532" spans="1:20">
      <c r="A1532" s="55">
        <v>128123744661</v>
      </c>
      <c r="B1532" s="53" t="s">
        <v>2055</v>
      </c>
      <c r="C1532" s="54">
        <v>45934</v>
      </c>
      <c r="D1532" s="55">
        <v>51177308402</v>
      </c>
      <c r="E1532" s="55">
        <v>2087033643888</v>
      </c>
      <c r="F1532" s="56" t="s">
        <v>2066</v>
      </c>
      <c r="G1532" s="56" t="s">
        <v>2057</v>
      </c>
      <c r="H1532" s="56" t="s">
        <v>8</v>
      </c>
      <c r="I1532" s="55" t="s">
        <v>8</v>
      </c>
      <c r="J1532" s="57">
        <v>1414.8</v>
      </c>
      <c r="K1532" s="56" t="s">
        <v>2058</v>
      </c>
      <c r="L1532" s="56" t="s">
        <v>2067</v>
      </c>
      <c r="M1532" s="55" t="s">
        <v>2060</v>
      </c>
      <c r="N1532" s="56" t="s">
        <v>2061</v>
      </c>
      <c r="O1532" s="53" t="s">
        <v>1790</v>
      </c>
      <c r="P1532" s="56" t="s">
        <v>2068</v>
      </c>
      <c r="Q1532" s="57">
        <v>36000</v>
      </c>
      <c r="R1532" s="58" t="s">
        <v>8</v>
      </c>
      <c r="S1532" s="57" t="s">
        <v>8</v>
      </c>
      <c r="T1532" s="56" t="s">
        <v>2063</v>
      </c>
    </row>
    <row r="1533" spans="1:20">
      <c r="A1533" s="55">
        <v>128691506480</v>
      </c>
      <c r="B1533" s="53" t="s">
        <v>2055</v>
      </c>
      <c r="C1533" s="54">
        <v>45934</v>
      </c>
      <c r="D1533" s="55">
        <v>51177398066</v>
      </c>
      <c r="E1533" s="55">
        <v>2087034938686</v>
      </c>
      <c r="F1533" s="56" t="s">
        <v>2107</v>
      </c>
      <c r="G1533" s="56" t="s">
        <v>2057</v>
      </c>
      <c r="H1533" s="56" t="s">
        <v>8</v>
      </c>
      <c r="I1533" s="55" t="s">
        <v>8</v>
      </c>
      <c r="J1533" s="57">
        <v>854.12</v>
      </c>
      <c r="K1533" s="56" t="s">
        <v>2058</v>
      </c>
      <c r="L1533" s="56" t="s">
        <v>2059</v>
      </c>
      <c r="M1533" s="55" t="s">
        <v>2060</v>
      </c>
      <c r="N1533" s="56" t="s">
        <v>2061</v>
      </c>
      <c r="O1533" s="53" t="s">
        <v>8</v>
      </c>
      <c r="P1533" s="56" t="s">
        <v>2115</v>
      </c>
      <c r="Q1533" s="57">
        <v>52400</v>
      </c>
      <c r="R1533" s="58" t="s">
        <v>8</v>
      </c>
      <c r="S1533" s="57" t="s">
        <v>8</v>
      </c>
      <c r="T1533" s="56" t="s">
        <v>2063</v>
      </c>
    </row>
    <row r="1534" spans="1:20">
      <c r="A1534" s="55">
        <v>128691509296</v>
      </c>
      <c r="B1534" s="53" t="s">
        <v>2055</v>
      </c>
      <c r="C1534" s="54">
        <v>45934</v>
      </c>
      <c r="D1534" s="55">
        <v>51177429153</v>
      </c>
      <c r="E1534" s="55">
        <v>2087035337812</v>
      </c>
      <c r="F1534" s="56" t="s">
        <v>2056</v>
      </c>
      <c r="G1534" s="56" t="s">
        <v>2057</v>
      </c>
      <c r="H1534" s="56" t="s">
        <v>8</v>
      </c>
      <c r="I1534" s="55" t="s">
        <v>8</v>
      </c>
      <c r="J1534" s="57">
        <v>506.34</v>
      </c>
      <c r="K1534" s="56" t="s">
        <v>2058</v>
      </c>
      <c r="L1534" s="56" t="s">
        <v>2059</v>
      </c>
      <c r="M1534" s="55" t="s">
        <v>2060</v>
      </c>
      <c r="N1534" s="56" t="s">
        <v>2061</v>
      </c>
      <c r="O1534" s="53" t="s">
        <v>8</v>
      </c>
      <c r="P1534" s="56" t="s">
        <v>2721</v>
      </c>
      <c r="Q1534" s="57">
        <v>52200</v>
      </c>
      <c r="R1534" s="58" t="s">
        <v>8</v>
      </c>
      <c r="S1534" s="57" t="s">
        <v>8</v>
      </c>
      <c r="T1534" s="56" t="s">
        <v>2063</v>
      </c>
    </row>
    <row r="1535" spans="1:20">
      <c r="A1535" s="55">
        <v>128124030985</v>
      </c>
      <c r="B1535" s="53" t="s">
        <v>2055</v>
      </c>
      <c r="C1535" s="54">
        <v>45934</v>
      </c>
      <c r="D1535" s="55">
        <v>51177465134</v>
      </c>
      <c r="E1535" s="55">
        <v>2087035652432</v>
      </c>
      <c r="F1535" s="56" t="s">
        <v>2056</v>
      </c>
      <c r="G1535" s="56" t="s">
        <v>2057</v>
      </c>
      <c r="H1535" s="56" t="s">
        <v>8</v>
      </c>
      <c r="I1535" s="55" t="s">
        <v>8</v>
      </c>
      <c r="J1535" s="57">
        <v>949.63</v>
      </c>
      <c r="K1535" s="56" t="s">
        <v>2058</v>
      </c>
      <c r="L1535" s="56" t="s">
        <v>2059</v>
      </c>
      <c r="M1535" s="55" t="s">
        <v>2060</v>
      </c>
      <c r="N1535" s="56" t="s">
        <v>2061</v>
      </c>
      <c r="O1535" s="53" t="s">
        <v>8</v>
      </c>
      <c r="P1535" s="56" t="s">
        <v>2722</v>
      </c>
      <c r="Q1535" s="57">
        <v>97900</v>
      </c>
      <c r="R1535" s="58" t="s">
        <v>8</v>
      </c>
      <c r="S1535" s="57" t="s">
        <v>8</v>
      </c>
      <c r="T1535" s="56" t="s">
        <v>2063</v>
      </c>
    </row>
    <row r="1536" spans="1:20">
      <c r="A1536" s="55">
        <v>128691751928</v>
      </c>
      <c r="B1536" s="53" t="s">
        <v>2055</v>
      </c>
      <c r="C1536" s="54">
        <v>45934</v>
      </c>
      <c r="D1536" s="55">
        <v>51177515427</v>
      </c>
      <c r="E1536" s="55">
        <v>2086973445645</v>
      </c>
      <c r="F1536" s="56" t="s">
        <v>2056</v>
      </c>
      <c r="G1536" s="56" t="s">
        <v>2057</v>
      </c>
      <c r="H1536" s="56" t="s">
        <v>8</v>
      </c>
      <c r="I1536" s="55" t="s">
        <v>8</v>
      </c>
      <c r="J1536" s="57">
        <v>77.599999999999994</v>
      </c>
      <c r="K1536" s="56" t="s">
        <v>2058</v>
      </c>
      <c r="L1536" s="56" t="s">
        <v>2059</v>
      </c>
      <c r="M1536" s="55" t="s">
        <v>2060</v>
      </c>
      <c r="N1536" s="56" t="s">
        <v>2061</v>
      </c>
      <c r="O1536" s="53" t="s">
        <v>8</v>
      </c>
      <c r="P1536" s="56" t="s">
        <v>2330</v>
      </c>
      <c r="Q1536" s="57">
        <v>8000</v>
      </c>
      <c r="R1536" s="58" t="s">
        <v>8</v>
      </c>
      <c r="S1536" s="57" t="s">
        <v>8</v>
      </c>
      <c r="T1536" s="56" t="s">
        <v>2063</v>
      </c>
    </row>
    <row r="1537" spans="1:20">
      <c r="A1537" s="55">
        <v>128692018414</v>
      </c>
      <c r="B1537" s="53" t="s">
        <v>2055</v>
      </c>
      <c r="C1537" s="54">
        <v>45934</v>
      </c>
      <c r="D1537" s="55">
        <v>51177519735</v>
      </c>
      <c r="E1537" s="55">
        <v>2087037128708</v>
      </c>
      <c r="F1537" s="56" t="s">
        <v>2066</v>
      </c>
      <c r="G1537" s="56" t="s">
        <v>2057</v>
      </c>
      <c r="H1537" s="56" t="s">
        <v>8</v>
      </c>
      <c r="I1537" s="55" t="s">
        <v>8</v>
      </c>
      <c r="J1537" s="57">
        <v>948.86</v>
      </c>
      <c r="K1537" s="56" t="s">
        <v>2058</v>
      </c>
      <c r="L1537" s="56" t="s">
        <v>2067</v>
      </c>
      <c r="M1537" s="55" t="s">
        <v>2060</v>
      </c>
      <c r="N1537" s="56" t="s">
        <v>2061</v>
      </c>
      <c r="O1537" s="53" t="s">
        <v>1790</v>
      </c>
      <c r="P1537" s="56" t="s">
        <v>2068</v>
      </c>
      <c r="Q1537" s="57">
        <v>20900</v>
      </c>
      <c r="R1537" s="58" t="s">
        <v>8</v>
      </c>
      <c r="S1537" s="57" t="s">
        <v>8</v>
      </c>
      <c r="T1537" s="56" t="s">
        <v>2063</v>
      </c>
    </row>
    <row r="1538" spans="1:20">
      <c r="A1538" s="55">
        <v>128692041006</v>
      </c>
      <c r="B1538" s="53" t="s">
        <v>2055</v>
      </c>
      <c r="C1538" s="54">
        <v>45934</v>
      </c>
      <c r="D1538" s="55">
        <v>51177567681</v>
      </c>
      <c r="E1538" s="55">
        <v>2087037618262</v>
      </c>
      <c r="F1538" s="56" t="s">
        <v>2056</v>
      </c>
      <c r="G1538" s="56" t="s">
        <v>2057</v>
      </c>
      <c r="H1538" s="56" t="s">
        <v>8</v>
      </c>
      <c r="I1538" s="55" t="s">
        <v>8</v>
      </c>
      <c r="J1538" s="57">
        <v>48.5</v>
      </c>
      <c r="K1538" s="56" t="s">
        <v>2058</v>
      </c>
      <c r="L1538" s="56" t="s">
        <v>2059</v>
      </c>
      <c r="M1538" s="55" t="s">
        <v>2060</v>
      </c>
      <c r="N1538" s="56" t="s">
        <v>2061</v>
      </c>
      <c r="O1538" s="53" t="s">
        <v>8</v>
      </c>
      <c r="P1538" s="56" t="s">
        <v>2723</v>
      </c>
      <c r="Q1538" s="57">
        <v>5000</v>
      </c>
      <c r="R1538" s="58" t="s">
        <v>8</v>
      </c>
      <c r="S1538" s="57" t="s">
        <v>8</v>
      </c>
      <c r="T1538" s="56" t="s">
        <v>2063</v>
      </c>
    </row>
    <row r="1539" spans="1:20">
      <c r="A1539" s="55">
        <v>129496110104</v>
      </c>
      <c r="B1539" s="53" t="s">
        <v>2055</v>
      </c>
      <c r="C1539" s="54">
        <v>45935</v>
      </c>
      <c r="D1539" s="55">
        <v>51178931403</v>
      </c>
      <c r="E1539" s="55">
        <v>8809616290</v>
      </c>
      <c r="F1539" s="56" t="s">
        <v>2724</v>
      </c>
      <c r="G1539" s="56" t="s">
        <v>2725</v>
      </c>
      <c r="H1539" s="56" t="s">
        <v>8</v>
      </c>
      <c r="I1539" s="55" t="s">
        <v>8</v>
      </c>
      <c r="J1539" s="57">
        <v>7467.62</v>
      </c>
      <c r="K1539" s="56" t="s">
        <v>1770</v>
      </c>
      <c r="L1539" s="56" t="s">
        <v>2726</v>
      </c>
      <c r="M1539" s="55" t="s">
        <v>8</v>
      </c>
      <c r="N1539" s="56" t="s">
        <v>8</v>
      </c>
      <c r="O1539" s="53" t="s">
        <v>2727</v>
      </c>
      <c r="P1539" s="56" t="s">
        <v>1752</v>
      </c>
      <c r="Q1539" s="57">
        <v>29870.47</v>
      </c>
      <c r="R1539" s="58">
        <v>0.01</v>
      </c>
      <c r="S1539" s="57">
        <v>746761.5</v>
      </c>
      <c r="T1539" s="56" t="s">
        <v>8</v>
      </c>
    </row>
    <row r="1540" spans="1:20">
      <c r="A1540" s="55">
        <v>129496110104</v>
      </c>
      <c r="B1540" s="53" t="s">
        <v>2055</v>
      </c>
      <c r="C1540" s="54">
        <v>45935</v>
      </c>
      <c r="D1540" s="55">
        <v>51178954719</v>
      </c>
      <c r="E1540" s="55">
        <v>8809616268</v>
      </c>
      <c r="F1540" s="56" t="s">
        <v>2728</v>
      </c>
      <c r="G1540" s="56" t="s">
        <v>2725</v>
      </c>
      <c r="H1540" s="56" t="s">
        <v>8</v>
      </c>
      <c r="I1540" s="55" t="s">
        <v>8</v>
      </c>
      <c r="J1540" s="57">
        <v>22402.85</v>
      </c>
      <c r="K1540" s="56" t="s">
        <v>1770</v>
      </c>
      <c r="L1540" s="56" t="s">
        <v>2726</v>
      </c>
      <c r="M1540" s="55" t="s">
        <v>8</v>
      </c>
      <c r="N1540" s="56" t="s">
        <v>8</v>
      </c>
      <c r="O1540" s="53" t="s">
        <v>2727</v>
      </c>
      <c r="P1540" s="56" t="s">
        <v>1752</v>
      </c>
      <c r="Q1540" s="57">
        <v>29870.47</v>
      </c>
      <c r="R1540" s="58">
        <v>0.03</v>
      </c>
      <c r="S1540" s="57">
        <v>746761.5</v>
      </c>
      <c r="T1540" s="56" t="s">
        <v>8</v>
      </c>
    </row>
    <row r="1542" spans="1:20">
      <c r="J1542" s="3">
        <f>SUM(J1288:J1541)</f>
        <v>170304.1699999999</v>
      </c>
    </row>
    <row r="1543" spans="1:20">
      <c r="J1543" s="3">
        <f>+J1542-J1539-J1540</f>
        <v>140433.6999999999</v>
      </c>
    </row>
  </sheetData>
  <autoFilter ref="A8:U8">
    <sortState ref="A9:T1283">
      <sortCondition ref="C8"/>
    </sortState>
  </autoFilter>
  <mergeCells count="6">
    <mergeCell ref="R7:S7"/>
    <mergeCell ref="A1:B1"/>
    <mergeCell ref="C1:D1"/>
    <mergeCell ref="A3:E5"/>
    <mergeCell ref="A7:I7"/>
    <mergeCell ref="J7:Q7"/>
  </mergeCells>
  <hyperlinks>
    <hyperlink ref="T72" r:id="rId1"/>
    <hyperlink ref="T73" r:id="rId2"/>
    <hyperlink ref="T74" r:id="rId3"/>
    <hyperlink ref="T75" r:id="rId4"/>
    <hyperlink ref="T78" r:id="rId5"/>
    <hyperlink ref="T79" r:id="rId6"/>
    <hyperlink ref="T81" r:id="rId7"/>
    <hyperlink ref="T82" r:id="rId8"/>
    <hyperlink ref="T83" r:id="rId9"/>
    <hyperlink ref="T84" r:id="rId10"/>
    <hyperlink ref="T86" r:id="rId11"/>
    <hyperlink ref="T87" r:id="rId12"/>
    <hyperlink ref="T88" r:id="rId13"/>
    <hyperlink ref="T89" r:id="rId14"/>
    <hyperlink ref="T90" r:id="rId15"/>
    <hyperlink ref="T92" r:id="rId16"/>
    <hyperlink ref="T93" r:id="rId17"/>
    <hyperlink ref="T94" r:id="rId18"/>
    <hyperlink ref="T95" r:id="rId19"/>
    <hyperlink ref="T96" r:id="rId20"/>
    <hyperlink ref="T97" r:id="rId21"/>
    <hyperlink ref="T98" r:id="rId22"/>
    <hyperlink ref="T99" r:id="rId23"/>
    <hyperlink ref="T102" r:id="rId24"/>
    <hyperlink ref="T103" r:id="rId25"/>
    <hyperlink ref="T104" r:id="rId26"/>
    <hyperlink ref="T105" r:id="rId27"/>
    <hyperlink ref="T106" r:id="rId28"/>
    <hyperlink ref="T107" r:id="rId29"/>
    <hyperlink ref="T108" r:id="rId30"/>
    <hyperlink ref="T109" r:id="rId31"/>
    <hyperlink ref="T110" r:id="rId32"/>
    <hyperlink ref="T112" r:id="rId33"/>
    <hyperlink ref="T113" r:id="rId34"/>
    <hyperlink ref="T114" r:id="rId35"/>
    <hyperlink ref="T115" r:id="rId36"/>
    <hyperlink ref="T117" r:id="rId37"/>
    <hyperlink ref="T118" r:id="rId38"/>
    <hyperlink ref="T119" r:id="rId39"/>
    <hyperlink ref="T121" r:id="rId40"/>
    <hyperlink ref="T122" r:id="rId41"/>
    <hyperlink ref="T123" r:id="rId42"/>
    <hyperlink ref="T124" r:id="rId43"/>
    <hyperlink ref="T126" r:id="rId44"/>
    <hyperlink ref="T127" r:id="rId45"/>
    <hyperlink ref="T128" r:id="rId46"/>
    <hyperlink ref="T129" r:id="rId47"/>
    <hyperlink ref="T130" r:id="rId48"/>
    <hyperlink ref="T131" r:id="rId49"/>
    <hyperlink ref="T132" r:id="rId50"/>
    <hyperlink ref="T133" r:id="rId51"/>
    <hyperlink ref="T134" r:id="rId52"/>
    <hyperlink ref="T135" r:id="rId53"/>
    <hyperlink ref="T136" r:id="rId54"/>
    <hyperlink ref="T137" r:id="rId55"/>
    <hyperlink ref="T138" r:id="rId56"/>
    <hyperlink ref="T139" r:id="rId57"/>
    <hyperlink ref="T140" r:id="rId58"/>
    <hyperlink ref="T141" r:id="rId59"/>
    <hyperlink ref="T142" r:id="rId60"/>
    <hyperlink ref="T143" r:id="rId61"/>
    <hyperlink ref="T144" r:id="rId62"/>
    <hyperlink ref="T145" r:id="rId63"/>
    <hyperlink ref="T146" r:id="rId64"/>
    <hyperlink ref="T147" r:id="rId65"/>
    <hyperlink ref="T148" r:id="rId66"/>
    <hyperlink ref="T149" r:id="rId67"/>
    <hyperlink ref="T150" r:id="rId68"/>
    <hyperlink ref="T151" r:id="rId69"/>
    <hyperlink ref="T152" r:id="rId70"/>
    <hyperlink ref="T153" r:id="rId71"/>
    <hyperlink ref="T154" r:id="rId72"/>
    <hyperlink ref="T155" r:id="rId73"/>
    <hyperlink ref="T156" r:id="rId74"/>
    <hyperlink ref="T157" r:id="rId75"/>
    <hyperlink ref="T158" r:id="rId76"/>
    <hyperlink ref="T159" r:id="rId77"/>
    <hyperlink ref="T160" r:id="rId78"/>
    <hyperlink ref="T161" r:id="rId79"/>
    <hyperlink ref="T162" r:id="rId80"/>
    <hyperlink ref="T163" r:id="rId81"/>
    <hyperlink ref="T164" r:id="rId82"/>
    <hyperlink ref="T165" r:id="rId83"/>
    <hyperlink ref="T166" r:id="rId84"/>
    <hyperlink ref="T167" r:id="rId85"/>
    <hyperlink ref="T172" r:id="rId86"/>
    <hyperlink ref="T173" r:id="rId87"/>
    <hyperlink ref="T174" r:id="rId88"/>
    <hyperlink ref="T175" r:id="rId89"/>
    <hyperlink ref="T176" r:id="rId90"/>
    <hyperlink ref="T177" r:id="rId91"/>
    <hyperlink ref="T178" r:id="rId92"/>
    <hyperlink ref="T179" r:id="rId93"/>
    <hyperlink ref="T180" r:id="rId94"/>
    <hyperlink ref="T182" r:id="rId95"/>
    <hyperlink ref="T183" r:id="rId96"/>
    <hyperlink ref="T184" r:id="rId97"/>
    <hyperlink ref="T185" r:id="rId98"/>
    <hyperlink ref="T186" r:id="rId99"/>
    <hyperlink ref="T187" r:id="rId100"/>
    <hyperlink ref="T188" r:id="rId101"/>
    <hyperlink ref="T189" r:id="rId102"/>
    <hyperlink ref="T191" r:id="rId103"/>
    <hyperlink ref="T192" r:id="rId104"/>
    <hyperlink ref="T193" r:id="rId105"/>
    <hyperlink ref="T194" r:id="rId106"/>
    <hyperlink ref="T195" r:id="rId107"/>
    <hyperlink ref="T196" r:id="rId108"/>
    <hyperlink ref="T197" r:id="rId109"/>
    <hyperlink ref="T198" r:id="rId110"/>
    <hyperlink ref="T199" r:id="rId111"/>
    <hyperlink ref="T200" r:id="rId112"/>
    <hyperlink ref="T201" r:id="rId113"/>
    <hyperlink ref="T202" r:id="rId114"/>
    <hyperlink ref="T203" r:id="rId115"/>
    <hyperlink ref="T204" r:id="rId116"/>
    <hyperlink ref="T205" r:id="rId117"/>
    <hyperlink ref="T206" r:id="rId118"/>
    <hyperlink ref="T207" r:id="rId119"/>
    <hyperlink ref="T209" r:id="rId120"/>
    <hyperlink ref="T211" r:id="rId121"/>
    <hyperlink ref="T212" r:id="rId122"/>
    <hyperlink ref="T213" r:id="rId123"/>
    <hyperlink ref="T215" r:id="rId124"/>
    <hyperlink ref="T216" r:id="rId125"/>
    <hyperlink ref="T217" r:id="rId126"/>
    <hyperlink ref="T218" r:id="rId127"/>
    <hyperlink ref="T220" r:id="rId128"/>
    <hyperlink ref="T221" r:id="rId129"/>
    <hyperlink ref="T222" r:id="rId130"/>
    <hyperlink ref="T223" r:id="rId131"/>
    <hyperlink ref="T224" r:id="rId132"/>
    <hyperlink ref="T225" r:id="rId133"/>
    <hyperlink ref="T227" r:id="rId134"/>
    <hyperlink ref="T228" r:id="rId135"/>
    <hyperlink ref="T230" r:id="rId136"/>
    <hyperlink ref="T231" r:id="rId137"/>
    <hyperlink ref="T232" r:id="rId138"/>
    <hyperlink ref="T233" r:id="rId139"/>
    <hyperlink ref="T234" r:id="rId140"/>
    <hyperlink ref="T235" r:id="rId141"/>
    <hyperlink ref="T236" r:id="rId142"/>
    <hyperlink ref="T237" r:id="rId143"/>
    <hyperlink ref="T238" r:id="rId144"/>
    <hyperlink ref="T239" r:id="rId145"/>
    <hyperlink ref="T240" r:id="rId146"/>
    <hyperlink ref="T241" r:id="rId147"/>
    <hyperlink ref="T242" r:id="rId148"/>
    <hyperlink ref="T243" r:id="rId149"/>
    <hyperlink ref="T244" r:id="rId150"/>
    <hyperlink ref="T245" r:id="rId151"/>
    <hyperlink ref="T246" r:id="rId152"/>
    <hyperlink ref="T247" r:id="rId153"/>
    <hyperlink ref="T248" r:id="rId154"/>
    <hyperlink ref="T249" r:id="rId155"/>
    <hyperlink ref="T250" r:id="rId156"/>
    <hyperlink ref="T251" r:id="rId157"/>
    <hyperlink ref="T252" r:id="rId158"/>
    <hyperlink ref="T253" r:id="rId159"/>
    <hyperlink ref="T255" r:id="rId160"/>
    <hyperlink ref="T256" r:id="rId161"/>
    <hyperlink ref="T257" r:id="rId162"/>
    <hyperlink ref="T258" r:id="rId163"/>
    <hyperlink ref="T260" r:id="rId164"/>
    <hyperlink ref="T261" r:id="rId165"/>
    <hyperlink ref="T262" r:id="rId166"/>
    <hyperlink ref="T264" r:id="rId167"/>
    <hyperlink ref="T265" r:id="rId168"/>
    <hyperlink ref="T266" r:id="rId169"/>
    <hyperlink ref="T267" r:id="rId170"/>
    <hyperlink ref="T268" r:id="rId171"/>
    <hyperlink ref="T269" r:id="rId172"/>
    <hyperlink ref="T270" r:id="rId173"/>
    <hyperlink ref="T271" r:id="rId174"/>
    <hyperlink ref="T272" r:id="rId175"/>
    <hyperlink ref="T273" r:id="rId176"/>
    <hyperlink ref="T274" r:id="rId177"/>
    <hyperlink ref="T276" r:id="rId178"/>
    <hyperlink ref="T277" r:id="rId179"/>
    <hyperlink ref="T278" r:id="rId180"/>
    <hyperlink ref="T279" r:id="rId181"/>
    <hyperlink ref="T280" r:id="rId182"/>
    <hyperlink ref="T281" r:id="rId183"/>
    <hyperlink ref="T282" r:id="rId184"/>
    <hyperlink ref="T283" r:id="rId185"/>
    <hyperlink ref="T285" r:id="rId186"/>
    <hyperlink ref="T286" r:id="rId187"/>
    <hyperlink ref="T287" r:id="rId188"/>
    <hyperlink ref="T288" r:id="rId189"/>
    <hyperlink ref="T290" r:id="rId190"/>
    <hyperlink ref="T291" r:id="rId191"/>
    <hyperlink ref="T292" r:id="rId192"/>
    <hyperlink ref="T294" r:id="rId193"/>
    <hyperlink ref="T295" r:id="rId194"/>
    <hyperlink ref="T296" r:id="rId195"/>
    <hyperlink ref="T297" r:id="rId196"/>
    <hyperlink ref="T298" r:id="rId197"/>
    <hyperlink ref="T299" r:id="rId198"/>
    <hyperlink ref="T300" r:id="rId199"/>
    <hyperlink ref="T301" r:id="rId200"/>
    <hyperlink ref="T302" r:id="rId201"/>
    <hyperlink ref="T303" r:id="rId202"/>
    <hyperlink ref="T305" r:id="rId203"/>
    <hyperlink ref="T306" r:id="rId204"/>
    <hyperlink ref="T307" r:id="rId205"/>
    <hyperlink ref="T308" r:id="rId206"/>
    <hyperlink ref="T309" r:id="rId207"/>
    <hyperlink ref="T310" r:id="rId208"/>
    <hyperlink ref="T311" r:id="rId209"/>
    <hyperlink ref="T312" r:id="rId210"/>
    <hyperlink ref="T313" r:id="rId211"/>
    <hyperlink ref="T314" r:id="rId212"/>
    <hyperlink ref="T315" r:id="rId213"/>
    <hyperlink ref="T317" r:id="rId214"/>
    <hyperlink ref="T319" r:id="rId215"/>
    <hyperlink ref="T320" r:id="rId216"/>
    <hyperlink ref="T322" r:id="rId217"/>
    <hyperlink ref="T324" r:id="rId218"/>
    <hyperlink ref="T325" r:id="rId219"/>
    <hyperlink ref="T326" r:id="rId220"/>
    <hyperlink ref="T327" r:id="rId221"/>
    <hyperlink ref="T328" r:id="rId222"/>
    <hyperlink ref="T329" r:id="rId223"/>
    <hyperlink ref="T330" r:id="rId224"/>
    <hyperlink ref="T331" r:id="rId225"/>
    <hyperlink ref="T332" r:id="rId226"/>
    <hyperlink ref="T333" r:id="rId227"/>
    <hyperlink ref="T334" r:id="rId228"/>
    <hyperlink ref="T335" r:id="rId229"/>
    <hyperlink ref="T336" r:id="rId230"/>
    <hyperlink ref="T337" r:id="rId231"/>
    <hyperlink ref="T338" r:id="rId232"/>
    <hyperlink ref="T339" r:id="rId233"/>
    <hyperlink ref="T340" r:id="rId234"/>
    <hyperlink ref="T341" r:id="rId235"/>
    <hyperlink ref="T342" r:id="rId236"/>
    <hyperlink ref="T343" r:id="rId237"/>
    <hyperlink ref="T344" r:id="rId238"/>
    <hyperlink ref="T346" r:id="rId239"/>
    <hyperlink ref="T347" r:id="rId240"/>
    <hyperlink ref="T348" r:id="rId241"/>
    <hyperlink ref="T349" r:id="rId242"/>
    <hyperlink ref="T350" r:id="rId243"/>
    <hyperlink ref="T351" r:id="rId244"/>
    <hyperlink ref="T352" r:id="rId245"/>
    <hyperlink ref="T353" r:id="rId246"/>
    <hyperlink ref="T355" r:id="rId247"/>
    <hyperlink ref="T356" r:id="rId248"/>
    <hyperlink ref="T357" r:id="rId249"/>
    <hyperlink ref="T358" r:id="rId250"/>
    <hyperlink ref="T359" r:id="rId251"/>
    <hyperlink ref="T360" r:id="rId252"/>
    <hyperlink ref="T361" r:id="rId253"/>
    <hyperlink ref="T362" r:id="rId254"/>
    <hyperlink ref="T363" r:id="rId255"/>
    <hyperlink ref="T364" r:id="rId256"/>
    <hyperlink ref="T365" r:id="rId257"/>
    <hyperlink ref="T366" r:id="rId258"/>
    <hyperlink ref="T367" r:id="rId259"/>
    <hyperlink ref="T368" r:id="rId260"/>
    <hyperlink ref="T369" r:id="rId261"/>
    <hyperlink ref="T370" r:id="rId262"/>
    <hyperlink ref="T371" r:id="rId263"/>
    <hyperlink ref="T372" r:id="rId264"/>
    <hyperlink ref="T373" r:id="rId265"/>
    <hyperlink ref="T374" r:id="rId266"/>
    <hyperlink ref="T375" r:id="rId267"/>
    <hyperlink ref="T376" r:id="rId268"/>
    <hyperlink ref="T377" r:id="rId269"/>
    <hyperlink ref="T378" r:id="rId270"/>
    <hyperlink ref="T379" r:id="rId271"/>
    <hyperlink ref="T381" r:id="rId272"/>
    <hyperlink ref="T382" r:id="rId273"/>
    <hyperlink ref="T383" r:id="rId274"/>
    <hyperlink ref="T384" r:id="rId275"/>
    <hyperlink ref="T385" r:id="rId276"/>
    <hyperlink ref="T387" r:id="rId277"/>
    <hyperlink ref="T389" r:id="rId278"/>
    <hyperlink ref="T391" r:id="rId279"/>
    <hyperlink ref="T392" r:id="rId280"/>
    <hyperlink ref="T393" r:id="rId281"/>
    <hyperlink ref="T394" r:id="rId282"/>
    <hyperlink ref="T396" r:id="rId283"/>
    <hyperlink ref="T397" r:id="rId284"/>
    <hyperlink ref="T398" r:id="rId285"/>
    <hyperlink ref="T399" r:id="rId286"/>
    <hyperlink ref="T400" r:id="rId287"/>
    <hyperlink ref="T401" r:id="rId288"/>
    <hyperlink ref="T403" r:id="rId289"/>
    <hyperlink ref="T404" r:id="rId290"/>
    <hyperlink ref="T405" r:id="rId291"/>
    <hyperlink ref="T407" r:id="rId292"/>
    <hyperlink ref="T408" r:id="rId293"/>
    <hyperlink ref="T410" r:id="rId294"/>
    <hyperlink ref="T411" r:id="rId295"/>
    <hyperlink ref="T412" r:id="rId296"/>
    <hyperlink ref="T414" r:id="rId297"/>
    <hyperlink ref="T415" r:id="rId298"/>
    <hyperlink ref="T416" r:id="rId299"/>
    <hyperlink ref="T417" r:id="rId300"/>
    <hyperlink ref="T418" r:id="rId301"/>
    <hyperlink ref="T419" r:id="rId302"/>
    <hyperlink ref="T420" r:id="rId303"/>
    <hyperlink ref="T422" r:id="rId304"/>
    <hyperlink ref="T423" r:id="rId305"/>
    <hyperlink ref="T424" r:id="rId306"/>
    <hyperlink ref="T425" r:id="rId307"/>
    <hyperlink ref="T426" r:id="rId308"/>
    <hyperlink ref="T427" r:id="rId309"/>
    <hyperlink ref="T428" r:id="rId310"/>
    <hyperlink ref="T429" r:id="rId311"/>
    <hyperlink ref="T430" r:id="rId312"/>
    <hyperlink ref="T431" r:id="rId313"/>
    <hyperlink ref="T432" r:id="rId314"/>
    <hyperlink ref="T434" r:id="rId315"/>
    <hyperlink ref="T436" r:id="rId316"/>
    <hyperlink ref="T438" r:id="rId317"/>
    <hyperlink ref="T439" r:id="rId318"/>
    <hyperlink ref="T441" r:id="rId319"/>
    <hyperlink ref="T442" r:id="rId320"/>
    <hyperlink ref="T444" r:id="rId321"/>
    <hyperlink ref="T446" r:id="rId322"/>
    <hyperlink ref="T447" r:id="rId323"/>
    <hyperlink ref="T448" r:id="rId324"/>
    <hyperlink ref="T449" r:id="rId325"/>
    <hyperlink ref="T450" r:id="rId326"/>
    <hyperlink ref="T451" r:id="rId327"/>
    <hyperlink ref="T455" r:id="rId328"/>
    <hyperlink ref="T456" r:id="rId329"/>
    <hyperlink ref="T457" r:id="rId330"/>
    <hyperlink ref="T459" r:id="rId331"/>
    <hyperlink ref="T460" r:id="rId332"/>
    <hyperlink ref="T462" r:id="rId333"/>
    <hyperlink ref="T463" r:id="rId334"/>
    <hyperlink ref="T464" r:id="rId335"/>
    <hyperlink ref="T466" r:id="rId336"/>
    <hyperlink ref="T467" r:id="rId337"/>
    <hyperlink ref="T468" r:id="rId338"/>
    <hyperlink ref="T469" r:id="rId339"/>
    <hyperlink ref="T470" r:id="rId340"/>
    <hyperlink ref="T472" r:id="rId341"/>
    <hyperlink ref="T473" r:id="rId342"/>
    <hyperlink ref="T474" r:id="rId343"/>
    <hyperlink ref="T475" r:id="rId344"/>
    <hyperlink ref="T476" r:id="rId345"/>
    <hyperlink ref="T477" r:id="rId346"/>
    <hyperlink ref="T479" r:id="rId347"/>
    <hyperlink ref="T481" r:id="rId348"/>
    <hyperlink ref="T482" r:id="rId349"/>
    <hyperlink ref="T483" r:id="rId350"/>
    <hyperlink ref="T484" r:id="rId351"/>
    <hyperlink ref="T485" r:id="rId352"/>
    <hyperlink ref="T486" r:id="rId353"/>
    <hyperlink ref="T487" r:id="rId354"/>
    <hyperlink ref="T488" r:id="rId355"/>
    <hyperlink ref="T489" r:id="rId356"/>
    <hyperlink ref="T490" r:id="rId357"/>
    <hyperlink ref="T491" r:id="rId358"/>
    <hyperlink ref="T492" r:id="rId359"/>
    <hyperlink ref="T493" r:id="rId360"/>
    <hyperlink ref="T495" r:id="rId361"/>
    <hyperlink ref="T496" r:id="rId362"/>
    <hyperlink ref="T497" r:id="rId363"/>
    <hyperlink ref="T498" r:id="rId364"/>
    <hyperlink ref="T499" r:id="rId365"/>
    <hyperlink ref="T500" r:id="rId366"/>
    <hyperlink ref="T501" r:id="rId367"/>
    <hyperlink ref="T503" r:id="rId368"/>
    <hyperlink ref="T504" r:id="rId369"/>
    <hyperlink ref="T505" r:id="rId370"/>
    <hyperlink ref="T506" r:id="rId371"/>
    <hyperlink ref="T507" r:id="rId372"/>
    <hyperlink ref="T508" r:id="rId373"/>
    <hyperlink ref="T509" r:id="rId374"/>
    <hyperlink ref="T510" r:id="rId375"/>
    <hyperlink ref="T511" r:id="rId376"/>
    <hyperlink ref="T512" r:id="rId377"/>
    <hyperlink ref="T513" r:id="rId378"/>
    <hyperlink ref="T514" r:id="rId379"/>
    <hyperlink ref="T515" r:id="rId380"/>
    <hyperlink ref="T516" r:id="rId381"/>
    <hyperlink ref="T517" r:id="rId382"/>
    <hyperlink ref="T518" r:id="rId383"/>
    <hyperlink ref="T519" r:id="rId384"/>
    <hyperlink ref="T520" r:id="rId385"/>
    <hyperlink ref="T521" r:id="rId386"/>
    <hyperlink ref="T522" r:id="rId387"/>
    <hyperlink ref="T523" r:id="rId388"/>
    <hyperlink ref="T524" r:id="rId389"/>
    <hyperlink ref="T525" r:id="rId390"/>
    <hyperlink ref="T526" r:id="rId391"/>
    <hyperlink ref="T527" r:id="rId392"/>
    <hyperlink ref="T528" r:id="rId393"/>
    <hyperlink ref="T529" r:id="rId394"/>
    <hyperlink ref="T530" r:id="rId395"/>
    <hyperlink ref="T531" r:id="rId396"/>
    <hyperlink ref="T532" r:id="rId397"/>
    <hyperlink ref="T533" r:id="rId398"/>
    <hyperlink ref="T534" r:id="rId399"/>
    <hyperlink ref="T535" r:id="rId400"/>
    <hyperlink ref="T536" r:id="rId401"/>
    <hyperlink ref="T537" r:id="rId402"/>
    <hyperlink ref="T538" r:id="rId403"/>
    <hyperlink ref="T539" r:id="rId404"/>
    <hyperlink ref="T540" r:id="rId405"/>
    <hyperlink ref="T541" r:id="rId406"/>
    <hyperlink ref="T542" r:id="rId407"/>
    <hyperlink ref="T543" r:id="rId408"/>
    <hyperlink ref="T546" r:id="rId409"/>
    <hyperlink ref="T547" r:id="rId410"/>
    <hyperlink ref="T548" r:id="rId411"/>
    <hyperlink ref="T549" r:id="rId412"/>
    <hyperlink ref="T550" r:id="rId413"/>
    <hyperlink ref="T551" r:id="rId414"/>
    <hyperlink ref="T552" r:id="rId415"/>
    <hyperlink ref="T553" r:id="rId416"/>
    <hyperlink ref="T554" r:id="rId417"/>
    <hyperlink ref="T557" r:id="rId418"/>
    <hyperlink ref="T558" r:id="rId419"/>
    <hyperlink ref="T561" r:id="rId420"/>
    <hyperlink ref="T562" r:id="rId421"/>
    <hyperlink ref="T563" r:id="rId422"/>
    <hyperlink ref="T565" r:id="rId423"/>
    <hyperlink ref="T566" r:id="rId424"/>
    <hyperlink ref="T567" r:id="rId425"/>
    <hyperlink ref="T568" r:id="rId426"/>
    <hyperlink ref="T570" r:id="rId427"/>
    <hyperlink ref="T572" r:id="rId428"/>
    <hyperlink ref="T573" r:id="rId429"/>
    <hyperlink ref="T574" r:id="rId430"/>
    <hyperlink ref="T575" r:id="rId431"/>
    <hyperlink ref="T576" r:id="rId432"/>
    <hyperlink ref="T577" r:id="rId433"/>
    <hyperlink ref="T578" r:id="rId434"/>
    <hyperlink ref="T579" r:id="rId435"/>
    <hyperlink ref="T580" r:id="rId436"/>
    <hyperlink ref="T581" r:id="rId437"/>
    <hyperlink ref="T582" r:id="rId438"/>
    <hyperlink ref="T583" r:id="rId439"/>
    <hyperlink ref="T584" r:id="rId440"/>
    <hyperlink ref="T585" r:id="rId441"/>
    <hyperlink ref="T586" r:id="rId442"/>
    <hyperlink ref="T587" r:id="rId443"/>
    <hyperlink ref="T588" r:id="rId444"/>
    <hyperlink ref="T589" r:id="rId445"/>
    <hyperlink ref="T590" r:id="rId446"/>
    <hyperlink ref="T591" r:id="rId447"/>
    <hyperlink ref="T592" r:id="rId448"/>
    <hyperlink ref="T593" r:id="rId449"/>
    <hyperlink ref="T594" r:id="rId450"/>
    <hyperlink ref="T596" r:id="rId451"/>
    <hyperlink ref="T597" r:id="rId452"/>
    <hyperlink ref="T598" r:id="rId453"/>
    <hyperlink ref="T599" r:id="rId454"/>
    <hyperlink ref="T600" r:id="rId455"/>
    <hyperlink ref="T601" r:id="rId456"/>
    <hyperlink ref="T602" r:id="rId457"/>
    <hyperlink ref="T603" r:id="rId458"/>
    <hyperlink ref="T604" r:id="rId459"/>
    <hyperlink ref="T605" r:id="rId460"/>
    <hyperlink ref="T606" r:id="rId461"/>
    <hyperlink ref="T607" r:id="rId462"/>
    <hyperlink ref="T608" r:id="rId463"/>
    <hyperlink ref="T609" r:id="rId464"/>
    <hyperlink ref="T612" r:id="rId465"/>
    <hyperlink ref="T613" r:id="rId466"/>
    <hyperlink ref="T614" r:id="rId467"/>
    <hyperlink ref="T615" r:id="rId468"/>
    <hyperlink ref="T616" r:id="rId469"/>
    <hyperlink ref="T617" r:id="rId470"/>
    <hyperlink ref="T618" r:id="rId471"/>
    <hyperlink ref="T619" r:id="rId472"/>
    <hyperlink ref="T620" r:id="rId473"/>
    <hyperlink ref="T622" r:id="rId474"/>
    <hyperlink ref="T623" r:id="rId475"/>
    <hyperlink ref="T624" r:id="rId476"/>
    <hyperlink ref="T626" r:id="rId477"/>
    <hyperlink ref="T627" r:id="rId478"/>
    <hyperlink ref="T629" r:id="rId479"/>
    <hyperlink ref="T630" r:id="rId480"/>
    <hyperlink ref="T631" r:id="rId481"/>
    <hyperlink ref="T632" r:id="rId482"/>
    <hyperlink ref="T633" r:id="rId483"/>
    <hyperlink ref="T634" r:id="rId484"/>
    <hyperlink ref="T635" r:id="rId485"/>
    <hyperlink ref="T636" r:id="rId486"/>
    <hyperlink ref="T638" r:id="rId487"/>
    <hyperlink ref="T639" r:id="rId488"/>
    <hyperlink ref="T640" r:id="rId489"/>
    <hyperlink ref="T641" r:id="rId490"/>
    <hyperlink ref="T643" r:id="rId491"/>
    <hyperlink ref="T644" r:id="rId492"/>
    <hyperlink ref="T645" r:id="rId493"/>
    <hyperlink ref="T646" r:id="rId494"/>
    <hyperlink ref="T647" r:id="rId495"/>
    <hyperlink ref="T648" r:id="rId496"/>
    <hyperlink ref="T649" r:id="rId497"/>
    <hyperlink ref="T650" r:id="rId498"/>
    <hyperlink ref="T651" r:id="rId499"/>
    <hyperlink ref="T652" r:id="rId500"/>
    <hyperlink ref="T654" r:id="rId501"/>
    <hyperlink ref="T655" r:id="rId502"/>
    <hyperlink ref="T656" r:id="rId503"/>
    <hyperlink ref="T657" r:id="rId504"/>
    <hyperlink ref="T658" r:id="rId505"/>
    <hyperlink ref="T659" r:id="rId506"/>
    <hyperlink ref="T660" r:id="rId507"/>
    <hyperlink ref="T662" r:id="rId508"/>
    <hyperlink ref="T663" r:id="rId509"/>
    <hyperlink ref="T664" r:id="rId510"/>
    <hyperlink ref="T665" r:id="rId511"/>
    <hyperlink ref="T666" r:id="rId512"/>
    <hyperlink ref="T667" r:id="rId513"/>
    <hyperlink ref="T668" r:id="rId514"/>
    <hyperlink ref="T669" r:id="rId515"/>
    <hyperlink ref="T670" r:id="rId516"/>
    <hyperlink ref="T671" r:id="rId517"/>
    <hyperlink ref="T672" r:id="rId518"/>
    <hyperlink ref="T673" r:id="rId519"/>
    <hyperlink ref="T674" r:id="rId520"/>
    <hyperlink ref="T675" r:id="rId521"/>
    <hyperlink ref="T676" r:id="rId522"/>
    <hyperlink ref="T677" r:id="rId523"/>
    <hyperlink ref="T678" r:id="rId524"/>
    <hyperlink ref="T679" r:id="rId525"/>
    <hyperlink ref="T682" r:id="rId526"/>
    <hyperlink ref="T683" r:id="rId527"/>
    <hyperlink ref="T684" r:id="rId528"/>
    <hyperlink ref="T685" r:id="rId529"/>
    <hyperlink ref="T687" r:id="rId530"/>
    <hyperlink ref="T688" r:id="rId531"/>
    <hyperlink ref="T689" r:id="rId532"/>
    <hyperlink ref="T690" r:id="rId533"/>
    <hyperlink ref="T691" r:id="rId534"/>
    <hyperlink ref="T692" r:id="rId535"/>
    <hyperlink ref="T694" r:id="rId536"/>
    <hyperlink ref="T695" r:id="rId537"/>
    <hyperlink ref="T696" r:id="rId538"/>
    <hyperlink ref="T697" r:id="rId539"/>
    <hyperlink ref="T698" r:id="rId540"/>
    <hyperlink ref="T699" r:id="rId541"/>
    <hyperlink ref="T701" r:id="rId542"/>
    <hyperlink ref="T702" r:id="rId543"/>
    <hyperlink ref="T703" r:id="rId544"/>
    <hyperlink ref="T704" r:id="rId545"/>
    <hyperlink ref="T705" r:id="rId546"/>
    <hyperlink ref="T707" r:id="rId547"/>
    <hyperlink ref="T709" r:id="rId548"/>
    <hyperlink ref="T711" r:id="rId549"/>
    <hyperlink ref="T712" r:id="rId550"/>
    <hyperlink ref="T713" r:id="rId551"/>
    <hyperlink ref="T714" r:id="rId552"/>
    <hyperlink ref="T715" r:id="rId553"/>
    <hyperlink ref="T716" r:id="rId554"/>
    <hyperlink ref="T717" r:id="rId555"/>
    <hyperlink ref="T719" r:id="rId556"/>
    <hyperlink ref="T720" r:id="rId557"/>
    <hyperlink ref="T721" r:id="rId558"/>
    <hyperlink ref="T724" r:id="rId559"/>
    <hyperlink ref="T725" r:id="rId560"/>
    <hyperlink ref="T726" r:id="rId561"/>
    <hyperlink ref="T727" r:id="rId562"/>
    <hyperlink ref="T728" r:id="rId563"/>
    <hyperlink ref="T729" r:id="rId564"/>
    <hyperlink ref="T730" r:id="rId565"/>
    <hyperlink ref="T731" r:id="rId566"/>
    <hyperlink ref="T732" r:id="rId567"/>
    <hyperlink ref="T733" r:id="rId568"/>
    <hyperlink ref="T734" r:id="rId569"/>
    <hyperlink ref="T735" r:id="rId570"/>
    <hyperlink ref="T736" r:id="rId571"/>
    <hyperlink ref="T737" r:id="rId572"/>
    <hyperlink ref="T738" r:id="rId573"/>
    <hyperlink ref="T739" r:id="rId574"/>
    <hyperlink ref="T740" r:id="rId575"/>
    <hyperlink ref="T741" r:id="rId576"/>
    <hyperlink ref="T743" r:id="rId577"/>
    <hyperlink ref="T744" r:id="rId578"/>
    <hyperlink ref="T745" r:id="rId579"/>
    <hyperlink ref="T746" r:id="rId580"/>
    <hyperlink ref="T747" r:id="rId581"/>
    <hyperlink ref="T748" r:id="rId582"/>
    <hyperlink ref="T749" r:id="rId583"/>
    <hyperlink ref="T750" r:id="rId584"/>
    <hyperlink ref="T751" r:id="rId585"/>
    <hyperlink ref="T752" r:id="rId586"/>
    <hyperlink ref="T754" r:id="rId587"/>
    <hyperlink ref="T756" r:id="rId588"/>
    <hyperlink ref="T757" r:id="rId589"/>
    <hyperlink ref="T758" r:id="rId590"/>
    <hyperlink ref="T759" r:id="rId591"/>
    <hyperlink ref="T760" r:id="rId592"/>
    <hyperlink ref="T761" r:id="rId593"/>
    <hyperlink ref="T762" r:id="rId594"/>
    <hyperlink ref="T763" r:id="rId595"/>
    <hyperlink ref="T764" r:id="rId596"/>
    <hyperlink ref="T765" r:id="rId597"/>
    <hyperlink ref="T766" r:id="rId598"/>
    <hyperlink ref="T767" r:id="rId599"/>
    <hyperlink ref="T768" r:id="rId600"/>
    <hyperlink ref="T769" r:id="rId601"/>
    <hyperlink ref="T770" r:id="rId602"/>
    <hyperlink ref="T771" r:id="rId603"/>
    <hyperlink ref="T772" r:id="rId604"/>
    <hyperlink ref="T773" r:id="rId605"/>
    <hyperlink ref="T774" r:id="rId606"/>
    <hyperlink ref="T775" r:id="rId607"/>
    <hyperlink ref="T776" r:id="rId608"/>
    <hyperlink ref="T777" r:id="rId609"/>
    <hyperlink ref="T778" r:id="rId610"/>
    <hyperlink ref="T779" r:id="rId611"/>
    <hyperlink ref="T780" r:id="rId612"/>
    <hyperlink ref="T781" r:id="rId613"/>
    <hyperlink ref="T782" r:id="rId614"/>
    <hyperlink ref="T783" r:id="rId615"/>
    <hyperlink ref="T785" r:id="rId616"/>
    <hyperlink ref="T787" r:id="rId617"/>
    <hyperlink ref="T788" r:id="rId618"/>
    <hyperlink ref="T790" r:id="rId619"/>
    <hyperlink ref="T791" r:id="rId620"/>
    <hyperlink ref="T792" r:id="rId621"/>
    <hyperlink ref="T793" r:id="rId622"/>
    <hyperlink ref="T794" r:id="rId623"/>
    <hyperlink ref="T795" r:id="rId624"/>
    <hyperlink ref="T796" r:id="rId625"/>
    <hyperlink ref="T797" r:id="rId626"/>
    <hyperlink ref="T798" r:id="rId627"/>
    <hyperlink ref="T799" r:id="rId628"/>
    <hyperlink ref="T800" r:id="rId629"/>
    <hyperlink ref="T801" r:id="rId630"/>
    <hyperlink ref="T802" r:id="rId631"/>
    <hyperlink ref="T803" r:id="rId632"/>
    <hyperlink ref="T805" r:id="rId633"/>
    <hyperlink ref="T806" r:id="rId634"/>
    <hyperlink ref="T809" r:id="rId635"/>
    <hyperlink ref="T810" r:id="rId636"/>
    <hyperlink ref="T811" r:id="rId637"/>
    <hyperlink ref="T812" r:id="rId638"/>
    <hyperlink ref="T813" r:id="rId639"/>
    <hyperlink ref="T814" r:id="rId640"/>
    <hyperlink ref="T816" r:id="rId641"/>
    <hyperlink ref="T817" r:id="rId642"/>
    <hyperlink ref="T818" r:id="rId643"/>
    <hyperlink ref="T819" r:id="rId644"/>
    <hyperlink ref="T820" r:id="rId645"/>
    <hyperlink ref="T821" r:id="rId646"/>
    <hyperlink ref="T822" r:id="rId647"/>
    <hyperlink ref="T823" r:id="rId648"/>
    <hyperlink ref="T824" r:id="rId649"/>
    <hyperlink ref="T825" r:id="rId650"/>
    <hyperlink ref="T826" r:id="rId651"/>
    <hyperlink ref="T827" r:id="rId652"/>
    <hyperlink ref="T828" r:id="rId653"/>
    <hyperlink ref="T829" r:id="rId654"/>
    <hyperlink ref="T831" r:id="rId655"/>
    <hyperlink ref="T833" r:id="rId656"/>
    <hyperlink ref="T834" r:id="rId657"/>
    <hyperlink ref="T835" r:id="rId658"/>
    <hyperlink ref="T836" r:id="rId659"/>
    <hyperlink ref="T837" r:id="rId660"/>
    <hyperlink ref="T838" r:id="rId661"/>
    <hyperlink ref="T839" r:id="rId662"/>
    <hyperlink ref="T841" r:id="rId663"/>
    <hyperlink ref="T842" r:id="rId664"/>
    <hyperlink ref="T843" r:id="rId665"/>
    <hyperlink ref="T845" r:id="rId666"/>
    <hyperlink ref="T846" r:id="rId667"/>
    <hyperlink ref="T848" r:id="rId668"/>
    <hyperlink ref="T849" r:id="rId669"/>
    <hyperlink ref="T850" r:id="rId670"/>
    <hyperlink ref="T852" r:id="rId671"/>
    <hyperlink ref="T853" r:id="rId672"/>
    <hyperlink ref="T854" r:id="rId673"/>
    <hyperlink ref="T855" r:id="rId674"/>
    <hyperlink ref="T856" r:id="rId675"/>
    <hyperlink ref="T857" r:id="rId676"/>
    <hyperlink ref="T858" r:id="rId677"/>
    <hyperlink ref="T859" r:id="rId678"/>
    <hyperlink ref="T861" r:id="rId679"/>
    <hyperlink ref="T862" r:id="rId680"/>
    <hyperlink ref="T863" r:id="rId681"/>
    <hyperlink ref="T864" r:id="rId682"/>
    <hyperlink ref="T866" r:id="rId683"/>
    <hyperlink ref="T867" r:id="rId684"/>
    <hyperlink ref="T868" r:id="rId685"/>
    <hyperlink ref="T869" r:id="rId686"/>
    <hyperlink ref="T870" r:id="rId687"/>
    <hyperlink ref="T871" r:id="rId688"/>
    <hyperlink ref="T872" r:id="rId689"/>
    <hyperlink ref="T873" r:id="rId690"/>
    <hyperlink ref="T875" r:id="rId691"/>
    <hyperlink ref="T876" r:id="rId692"/>
    <hyperlink ref="T877" r:id="rId693"/>
    <hyperlink ref="T878" r:id="rId694"/>
    <hyperlink ref="T879" r:id="rId695"/>
    <hyperlink ref="T880" r:id="rId696"/>
    <hyperlink ref="T881" r:id="rId697"/>
    <hyperlink ref="T882" r:id="rId698"/>
    <hyperlink ref="T883" r:id="rId699"/>
    <hyperlink ref="T884" r:id="rId700"/>
    <hyperlink ref="T885" r:id="rId701"/>
    <hyperlink ref="T886" r:id="rId702"/>
    <hyperlink ref="T888" r:id="rId703"/>
    <hyperlink ref="T889" r:id="rId704"/>
    <hyperlink ref="T890" r:id="rId705"/>
    <hyperlink ref="T891" r:id="rId706"/>
    <hyperlink ref="T892" r:id="rId707"/>
    <hyperlink ref="T893" r:id="rId708"/>
    <hyperlink ref="T894" r:id="rId709"/>
    <hyperlink ref="T895" r:id="rId710"/>
    <hyperlink ref="T896" r:id="rId711"/>
    <hyperlink ref="T897" r:id="rId712"/>
    <hyperlink ref="T898" r:id="rId713"/>
    <hyperlink ref="T899" r:id="rId714"/>
    <hyperlink ref="T900" r:id="rId715"/>
    <hyperlink ref="T901" r:id="rId716"/>
    <hyperlink ref="T902" r:id="rId717"/>
    <hyperlink ref="T903" r:id="rId718"/>
    <hyperlink ref="T904" r:id="rId719"/>
    <hyperlink ref="T905" r:id="rId720"/>
    <hyperlink ref="T906" r:id="rId721"/>
    <hyperlink ref="T907" r:id="rId722"/>
    <hyperlink ref="T908" r:id="rId723"/>
    <hyperlink ref="T909" r:id="rId724"/>
    <hyperlink ref="T910" r:id="rId725"/>
    <hyperlink ref="T911" r:id="rId726"/>
    <hyperlink ref="T912" r:id="rId727"/>
    <hyperlink ref="T913" r:id="rId728"/>
    <hyperlink ref="T914" r:id="rId729"/>
    <hyperlink ref="T915" r:id="rId730"/>
    <hyperlink ref="T916" r:id="rId731"/>
    <hyperlink ref="T917" r:id="rId732"/>
    <hyperlink ref="T918" r:id="rId733"/>
    <hyperlink ref="T920" r:id="rId734"/>
    <hyperlink ref="T921" r:id="rId735"/>
    <hyperlink ref="T922" r:id="rId736"/>
    <hyperlink ref="T924" r:id="rId737"/>
    <hyperlink ref="T925" r:id="rId738"/>
    <hyperlink ref="T926" r:id="rId739"/>
    <hyperlink ref="T927" r:id="rId740"/>
    <hyperlink ref="T928" r:id="rId741"/>
    <hyperlink ref="T929" r:id="rId742"/>
    <hyperlink ref="T930" r:id="rId743"/>
    <hyperlink ref="T931" r:id="rId744"/>
    <hyperlink ref="T932" r:id="rId745"/>
    <hyperlink ref="T933" r:id="rId746"/>
    <hyperlink ref="T934" r:id="rId747"/>
    <hyperlink ref="T936" r:id="rId748"/>
    <hyperlink ref="T937" r:id="rId749"/>
    <hyperlink ref="T938" r:id="rId750"/>
    <hyperlink ref="T939" r:id="rId751"/>
    <hyperlink ref="T940" r:id="rId752"/>
    <hyperlink ref="T941" r:id="rId753"/>
    <hyperlink ref="T942" r:id="rId754"/>
    <hyperlink ref="T943" r:id="rId755"/>
    <hyperlink ref="T944" r:id="rId756"/>
    <hyperlink ref="T945" r:id="rId757"/>
    <hyperlink ref="T946" r:id="rId758"/>
    <hyperlink ref="T947" r:id="rId759"/>
    <hyperlink ref="T948" r:id="rId760"/>
    <hyperlink ref="T949" r:id="rId761"/>
    <hyperlink ref="T950" r:id="rId762"/>
    <hyperlink ref="T951" r:id="rId763"/>
    <hyperlink ref="T952" r:id="rId764"/>
    <hyperlink ref="T953" r:id="rId765"/>
    <hyperlink ref="T954" r:id="rId766"/>
    <hyperlink ref="T955" r:id="rId767"/>
    <hyperlink ref="T956" r:id="rId768"/>
    <hyperlink ref="T957" r:id="rId769"/>
    <hyperlink ref="T958" r:id="rId770"/>
    <hyperlink ref="T959" r:id="rId771"/>
    <hyperlink ref="T960" r:id="rId772"/>
    <hyperlink ref="T961" r:id="rId773"/>
    <hyperlink ref="T962" r:id="rId774"/>
    <hyperlink ref="T963" r:id="rId775"/>
    <hyperlink ref="T964" r:id="rId776"/>
    <hyperlink ref="T965" r:id="rId777"/>
    <hyperlink ref="T967" r:id="rId778"/>
    <hyperlink ref="T968" r:id="rId779"/>
    <hyperlink ref="T969" r:id="rId780"/>
    <hyperlink ref="T970" r:id="rId781"/>
    <hyperlink ref="T971" r:id="rId782"/>
    <hyperlink ref="T972" r:id="rId783"/>
    <hyperlink ref="T973" r:id="rId784"/>
    <hyperlink ref="T974" r:id="rId785"/>
    <hyperlink ref="T975" r:id="rId786"/>
    <hyperlink ref="T976" r:id="rId787"/>
    <hyperlink ref="T977" r:id="rId788"/>
    <hyperlink ref="T978" r:id="rId789"/>
    <hyperlink ref="T979" r:id="rId790"/>
    <hyperlink ref="T980" r:id="rId791"/>
    <hyperlink ref="T981" r:id="rId792"/>
    <hyperlink ref="T982" r:id="rId793"/>
    <hyperlink ref="T983" r:id="rId794"/>
    <hyperlink ref="T984" r:id="rId795"/>
    <hyperlink ref="T985" r:id="rId796"/>
    <hyperlink ref="T986" r:id="rId797"/>
    <hyperlink ref="T987" r:id="rId798"/>
    <hyperlink ref="T988" r:id="rId799"/>
    <hyperlink ref="T990" r:id="rId800"/>
    <hyperlink ref="T992" r:id="rId801"/>
    <hyperlink ref="T993" r:id="rId802"/>
    <hyperlink ref="T994" r:id="rId803"/>
    <hyperlink ref="T995" r:id="rId804"/>
    <hyperlink ref="T996" r:id="rId805"/>
    <hyperlink ref="T997" r:id="rId806"/>
    <hyperlink ref="T998" r:id="rId807"/>
    <hyperlink ref="T999" r:id="rId808"/>
    <hyperlink ref="T1000" r:id="rId809"/>
    <hyperlink ref="T1001" r:id="rId810"/>
    <hyperlink ref="T1002" r:id="rId811"/>
    <hyperlink ref="T1003" r:id="rId812"/>
    <hyperlink ref="T1004" r:id="rId813"/>
    <hyperlink ref="T1005" r:id="rId814"/>
    <hyperlink ref="T1006" r:id="rId815"/>
    <hyperlink ref="T1007" r:id="rId816"/>
    <hyperlink ref="T1009" r:id="rId817"/>
    <hyperlink ref="T1010" r:id="rId818"/>
    <hyperlink ref="T1011" r:id="rId819"/>
    <hyperlink ref="T1012" r:id="rId820"/>
    <hyperlink ref="T1013" r:id="rId821"/>
    <hyperlink ref="T1016" r:id="rId822"/>
    <hyperlink ref="T1017" r:id="rId823"/>
    <hyperlink ref="T1018" r:id="rId824"/>
    <hyperlink ref="T1019" r:id="rId825"/>
    <hyperlink ref="T1020" r:id="rId826"/>
    <hyperlink ref="T1021" r:id="rId827"/>
    <hyperlink ref="T1024" r:id="rId828"/>
    <hyperlink ref="T1025" r:id="rId829"/>
    <hyperlink ref="T1026" r:id="rId830"/>
    <hyperlink ref="T1030" r:id="rId831"/>
    <hyperlink ref="T1031" r:id="rId832"/>
    <hyperlink ref="T1032" r:id="rId833"/>
    <hyperlink ref="T1033" r:id="rId834"/>
    <hyperlink ref="T1035" r:id="rId835"/>
    <hyperlink ref="T1037" r:id="rId836"/>
    <hyperlink ref="T1038" r:id="rId837"/>
    <hyperlink ref="T1039" r:id="rId838"/>
    <hyperlink ref="T1040" r:id="rId839"/>
    <hyperlink ref="T1041" r:id="rId840"/>
    <hyperlink ref="T1042" r:id="rId841"/>
    <hyperlink ref="T1043" r:id="rId842"/>
    <hyperlink ref="T1044" r:id="rId843"/>
    <hyperlink ref="T1045" r:id="rId844"/>
    <hyperlink ref="T1046" r:id="rId845"/>
    <hyperlink ref="T1047" r:id="rId846"/>
    <hyperlink ref="T1048" r:id="rId847"/>
    <hyperlink ref="T1049" r:id="rId848"/>
    <hyperlink ref="T1050" r:id="rId849"/>
    <hyperlink ref="T1051" r:id="rId850"/>
    <hyperlink ref="T1052" r:id="rId851"/>
    <hyperlink ref="T1053" r:id="rId852"/>
    <hyperlink ref="T1054" r:id="rId853"/>
    <hyperlink ref="T1055" r:id="rId854"/>
    <hyperlink ref="T1056" r:id="rId855"/>
    <hyperlink ref="T1057" r:id="rId856"/>
    <hyperlink ref="T1058" r:id="rId857"/>
    <hyperlink ref="T1059" r:id="rId858"/>
    <hyperlink ref="T1060" r:id="rId859"/>
    <hyperlink ref="T1061" r:id="rId860"/>
    <hyperlink ref="T1062" r:id="rId861"/>
    <hyperlink ref="T1063" r:id="rId862"/>
    <hyperlink ref="T1064" r:id="rId863"/>
    <hyperlink ref="T1066" r:id="rId864"/>
    <hyperlink ref="T1067" r:id="rId865"/>
    <hyperlink ref="T1068" r:id="rId866"/>
    <hyperlink ref="T1069" r:id="rId867"/>
    <hyperlink ref="T1070" r:id="rId868"/>
    <hyperlink ref="T1071" r:id="rId869"/>
    <hyperlink ref="T1072" r:id="rId870"/>
    <hyperlink ref="T1073" r:id="rId871"/>
    <hyperlink ref="T1074" r:id="rId872"/>
    <hyperlink ref="T1075" r:id="rId873"/>
    <hyperlink ref="T1076" r:id="rId874"/>
    <hyperlink ref="T1077" r:id="rId875"/>
    <hyperlink ref="T1078" r:id="rId876"/>
    <hyperlink ref="T1079" r:id="rId877"/>
    <hyperlink ref="T1080" r:id="rId878"/>
    <hyperlink ref="T1081" r:id="rId879"/>
    <hyperlink ref="T1082" r:id="rId880"/>
    <hyperlink ref="T1083" r:id="rId881"/>
    <hyperlink ref="T1084" r:id="rId882"/>
    <hyperlink ref="T1085" r:id="rId883"/>
    <hyperlink ref="T1086" r:id="rId884"/>
    <hyperlink ref="T1087" r:id="rId885"/>
    <hyperlink ref="T1088" r:id="rId886"/>
    <hyperlink ref="T1089" r:id="rId887"/>
    <hyperlink ref="T1090" r:id="rId888"/>
    <hyperlink ref="T1091" r:id="rId889"/>
    <hyperlink ref="T1092" r:id="rId890"/>
    <hyperlink ref="T1093" r:id="rId891"/>
    <hyperlink ref="T1094" r:id="rId892"/>
    <hyperlink ref="T1095" r:id="rId893"/>
    <hyperlink ref="T1096" r:id="rId894"/>
    <hyperlink ref="T1097" r:id="rId895"/>
    <hyperlink ref="T1099" r:id="rId896"/>
    <hyperlink ref="T1100" r:id="rId897"/>
    <hyperlink ref="T1101" r:id="rId898"/>
    <hyperlink ref="T1102" r:id="rId899"/>
    <hyperlink ref="T1103" r:id="rId900"/>
    <hyperlink ref="T1104" r:id="rId901"/>
    <hyperlink ref="T1106" r:id="rId902"/>
    <hyperlink ref="T1107" r:id="rId903"/>
    <hyperlink ref="T1108" r:id="rId904"/>
    <hyperlink ref="T1109" r:id="rId905"/>
    <hyperlink ref="T1110" r:id="rId906"/>
    <hyperlink ref="T1113" r:id="rId907"/>
    <hyperlink ref="T1114" r:id="rId908"/>
    <hyperlink ref="T1115" r:id="rId909"/>
    <hyperlink ref="T1116" r:id="rId910"/>
    <hyperlink ref="T1117" r:id="rId911"/>
    <hyperlink ref="T1118" r:id="rId912"/>
    <hyperlink ref="T1119" r:id="rId913"/>
    <hyperlink ref="T1120" r:id="rId914"/>
    <hyperlink ref="T1121" r:id="rId915"/>
    <hyperlink ref="T1122" r:id="rId916"/>
    <hyperlink ref="T1123" r:id="rId917"/>
    <hyperlink ref="T1124" r:id="rId918"/>
    <hyperlink ref="T1125" r:id="rId919"/>
    <hyperlink ref="T1126" r:id="rId920"/>
    <hyperlink ref="T1127" r:id="rId921"/>
    <hyperlink ref="T1128" r:id="rId922"/>
    <hyperlink ref="T1129" r:id="rId923"/>
    <hyperlink ref="T1130" r:id="rId924"/>
    <hyperlink ref="T1131" r:id="rId925"/>
    <hyperlink ref="T1132" r:id="rId926"/>
    <hyperlink ref="T1133" r:id="rId927"/>
    <hyperlink ref="T1134" r:id="rId928"/>
    <hyperlink ref="T1135" r:id="rId929"/>
    <hyperlink ref="T1136" r:id="rId930"/>
    <hyperlink ref="T1137" r:id="rId931"/>
    <hyperlink ref="T1138" r:id="rId932"/>
    <hyperlink ref="T1139" r:id="rId933"/>
    <hyperlink ref="T1140" r:id="rId934"/>
    <hyperlink ref="T1143" r:id="rId935"/>
    <hyperlink ref="T1144" r:id="rId936"/>
    <hyperlink ref="T1145" r:id="rId937"/>
    <hyperlink ref="T1146" r:id="rId938"/>
    <hyperlink ref="T1147" r:id="rId939"/>
    <hyperlink ref="T1148" r:id="rId940"/>
    <hyperlink ref="T1149" r:id="rId941"/>
    <hyperlink ref="T1150" r:id="rId942"/>
    <hyperlink ref="T1151" r:id="rId943"/>
    <hyperlink ref="T1154" r:id="rId944"/>
    <hyperlink ref="T1155" r:id="rId945"/>
    <hyperlink ref="T1156" r:id="rId946"/>
    <hyperlink ref="T1157" r:id="rId947"/>
    <hyperlink ref="T1158" r:id="rId948"/>
    <hyperlink ref="T1159" r:id="rId949"/>
    <hyperlink ref="T1160" r:id="rId950"/>
    <hyperlink ref="T1161" r:id="rId951"/>
    <hyperlink ref="T1162" r:id="rId952"/>
    <hyperlink ref="T1163" r:id="rId953"/>
    <hyperlink ref="T1164" r:id="rId954"/>
    <hyperlink ref="T1165" r:id="rId955"/>
    <hyperlink ref="T1166" r:id="rId956"/>
    <hyperlink ref="T1167" r:id="rId957"/>
    <hyperlink ref="T1168" r:id="rId958"/>
    <hyperlink ref="T1169" r:id="rId959"/>
    <hyperlink ref="T1170" r:id="rId960"/>
    <hyperlink ref="T1171" r:id="rId961"/>
    <hyperlink ref="T1172" r:id="rId962"/>
    <hyperlink ref="T1174" r:id="rId963"/>
    <hyperlink ref="T1175" r:id="rId964"/>
    <hyperlink ref="T1176" r:id="rId965"/>
    <hyperlink ref="T1177" r:id="rId966"/>
    <hyperlink ref="T1178" r:id="rId967"/>
    <hyperlink ref="T1180" r:id="rId968"/>
    <hyperlink ref="T1181" r:id="rId969"/>
    <hyperlink ref="T1182" r:id="rId970"/>
    <hyperlink ref="T1183" r:id="rId971"/>
    <hyperlink ref="T1184" r:id="rId972"/>
    <hyperlink ref="T1185" r:id="rId973"/>
    <hyperlink ref="T1186" r:id="rId974"/>
    <hyperlink ref="T1187" r:id="rId975"/>
    <hyperlink ref="T1188" r:id="rId976"/>
    <hyperlink ref="T1189" r:id="rId977"/>
    <hyperlink ref="T1190" r:id="rId978"/>
    <hyperlink ref="T1192" r:id="rId979"/>
    <hyperlink ref="T1193" r:id="rId980"/>
    <hyperlink ref="T1194" r:id="rId981"/>
    <hyperlink ref="T1196" r:id="rId982"/>
    <hyperlink ref="T1197" r:id="rId983"/>
    <hyperlink ref="T1198" r:id="rId984"/>
    <hyperlink ref="T1200" r:id="rId985"/>
    <hyperlink ref="T1201" r:id="rId986"/>
    <hyperlink ref="T1203" r:id="rId987"/>
    <hyperlink ref="T1204" r:id="rId988"/>
    <hyperlink ref="T1205" r:id="rId989"/>
    <hyperlink ref="T1206" r:id="rId990"/>
    <hyperlink ref="T1207" r:id="rId991"/>
    <hyperlink ref="T1208" r:id="rId992"/>
    <hyperlink ref="T1209" r:id="rId993"/>
    <hyperlink ref="T1210" r:id="rId994"/>
    <hyperlink ref="T1212" r:id="rId995"/>
    <hyperlink ref="T1213" r:id="rId996"/>
    <hyperlink ref="T1214" r:id="rId997"/>
    <hyperlink ref="T1215" r:id="rId998"/>
    <hyperlink ref="T1216" r:id="rId999"/>
    <hyperlink ref="T1217" r:id="rId1000"/>
    <hyperlink ref="T1219" r:id="rId1001"/>
    <hyperlink ref="T1220" r:id="rId1002"/>
    <hyperlink ref="T1221" r:id="rId1003"/>
    <hyperlink ref="T1222" r:id="rId1004"/>
    <hyperlink ref="T1223" r:id="rId1005"/>
    <hyperlink ref="T1224" r:id="rId1006"/>
    <hyperlink ref="T1225" r:id="rId1007"/>
    <hyperlink ref="T1226" r:id="rId1008"/>
    <hyperlink ref="T1227" r:id="rId1009"/>
    <hyperlink ref="T1228" r:id="rId1010"/>
    <hyperlink ref="T1229" r:id="rId1011"/>
    <hyperlink ref="T1230" r:id="rId1012"/>
    <hyperlink ref="T1231" r:id="rId1013"/>
    <hyperlink ref="T1232" r:id="rId1014"/>
    <hyperlink ref="T1233" r:id="rId1015"/>
    <hyperlink ref="T1234" r:id="rId1016"/>
    <hyperlink ref="T1235" r:id="rId1017"/>
    <hyperlink ref="T1236" r:id="rId1018"/>
    <hyperlink ref="T1237" r:id="rId1019"/>
    <hyperlink ref="T1238" r:id="rId1020"/>
    <hyperlink ref="T1239" r:id="rId1021"/>
    <hyperlink ref="T1240" r:id="rId1022"/>
    <hyperlink ref="T1241" r:id="rId1023"/>
    <hyperlink ref="T1242" r:id="rId1024"/>
    <hyperlink ref="T1243" r:id="rId1025"/>
    <hyperlink ref="T1244" r:id="rId1026"/>
    <hyperlink ref="T1245" r:id="rId1027"/>
    <hyperlink ref="T1247" r:id="rId1028"/>
    <hyperlink ref="T1248" r:id="rId1029"/>
    <hyperlink ref="T1249" r:id="rId1030"/>
    <hyperlink ref="T1251" r:id="rId1031"/>
    <hyperlink ref="T1252" r:id="rId1032"/>
    <hyperlink ref="T1253" r:id="rId1033"/>
    <hyperlink ref="T1255" r:id="rId1034"/>
    <hyperlink ref="T1256" r:id="rId1035"/>
    <hyperlink ref="T1257" r:id="rId1036"/>
    <hyperlink ref="T1258" r:id="rId1037"/>
    <hyperlink ref="T1259" r:id="rId1038"/>
    <hyperlink ref="T1260" r:id="rId1039"/>
    <hyperlink ref="T1261" r:id="rId1040"/>
    <hyperlink ref="T1262" r:id="rId1041"/>
    <hyperlink ref="T1263" r:id="rId1042"/>
    <hyperlink ref="T1264" r:id="rId1043"/>
    <hyperlink ref="T1265" r:id="rId1044"/>
    <hyperlink ref="T1268" r:id="rId1045"/>
    <hyperlink ref="T1269" r:id="rId1046"/>
    <hyperlink ref="T1270" r:id="rId1047"/>
    <hyperlink ref="T1271" r:id="rId1048"/>
    <hyperlink ref="T1272" r:id="rId1049"/>
    <hyperlink ref="T1273" r:id="rId1050"/>
    <hyperlink ref="T1274" r:id="rId1051"/>
    <hyperlink ref="T1276" r:id="rId1052"/>
    <hyperlink ref="T1277" r:id="rId1053"/>
    <hyperlink ref="T1278" r:id="rId1054"/>
    <hyperlink ref="T1279" r:id="rId1055"/>
    <hyperlink ref="T1280" r:id="rId1056"/>
    <hyperlink ref="T1288" r:id="rId1057"/>
    <hyperlink ref="T1289" r:id="rId1058"/>
    <hyperlink ref="T1290" r:id="rId1059"/>
    <hyperlink ref="T1291" r:id="rId1060"/>
    <hyperlink ref="T1292" r:id="rId1061"/>
    <hyperlink ref="T1293" r:id="rId1062"/>
    <hyperlink ref="T1294" r:id="rId1063"/>
    <hyperlink ref="T1295" r:id="rId1064"/>
    <hyperlink ref="T1296" r:id="rId1065"/>
    <hyperlink ref="T1297" r:id="rId1066"/>
    <hyperlink ref="T1298" r:id="rId1067"/>
    <hyperlink ref="T1299" r:id="rId1068"/>
    <hyperlink ref="T1300" r:id="rId1069"/>
    <hyperlink ref="T1301" r:id="rId1070"/>
    <hyperlink ref="T1303" r:id="rId1071"/>
    <hyperlink ref="T1304" r:id="rId1072"/>
    <hyperlink ref="T1307" r:id="rId1073"/>
    <hyperlink ref="T1308" r:id="rId1074"/>
    <hyperlink ref="T1309" r:id="rId1075"/>
    <hyperlink ref="T1310" r:id="rId1076"/>
    <hyperlink ref="T1311" r:id="rId1077"/>
    <hyperlink ref="T1312" r:id="rId1078"/>
    <hyperlink ref="T1313" r:id="rId1079"/>
    <hyperlink ref="T1314" r:id="rId1080"/>
    <hyperlink ref="T1315" r:id="rId1081"/>
    <hyperlink ref="T1316" r:id="rId1082"/>
    <hyperlink ref="T1317" r:id="rId1083"/>
    <hyperlink ref="T1318" r:id="rId1084"/>
    <hyperlink ref="T1319" r:id="rId1085"/>
    <hyperlink ref="T1320" r:id="rId1086"/>
    <hyperlink ref="T1321" r:id="rId1087"/>
    <hyperlink ref="T1322" r:id="rId1088"/>
    <hyperlink ref="T1323" r:id="rId1089"/>
    <hyperlink ref="T1324" r:id="rId1090"/>
    <hyperlink ref="T1325" r:id="rId1091"/>
    <hyperlink ref="T1326" r:id="rId1092"/>
    <hyperlink ref="T1327" r:id="rId1093"/>
    <hyperlink ref="T1328" r:id="rId1094"/>
    <hyperlink ref="T1329" r:id="rId1095"/>
    <hyperlink ref="T1330" r:id="rId1096"/>
    <hyperlink ref="T1331" r:id="rId1097"/>
    <hyperlink ref="T1332" r:id="rId1098"/>
    <hyperlink ref="T1333" r:id="rId1099"/>
    <hyperlink ref="T1334" r:id="rId1100"/>
    <hyperlink ref="T1335" r:id="rId1101"/>
    <hyperlink ref="T1337" r:id="rId1102"/>
    <hyperlink ref="T1338" r:id="rId1103"/>
    <hyperlink ref="T1339" r:id="rId1104"/>
    <hyperlink ref="T1340" r:id="rId1105"/>
    <hyperlink ref="T1341" r:id="rId1106"/>
    <hyperlink ref="T1342" r:id="rId1107"/>
    <hyperlink ref="T1343" r:id="rId1108"/>
    <hyperlink ref="T1344" r:id="rId1109"/>
    <hyperlink ref="T1345" r:id="rId1110"/>
    <hyperlink ref="T1346" r:id="rId1111"/>
    <hyperlink ref="T1348" r:id="rId1112"/>
    <hyperlink ref="T1349" r:id="rId1113"/>
    <hyperlink ref="T1350" r:id="rId1114"/>
    <hyperlink ref="T1351" r:id="rId1115"/>
    <hyperlink ref="T1352" r:id="rId1116"/>
    <hyperlink ref="T1353" r:id="rId1117"/>
    <hyperlink ref="T1354" r:id="rId1118"/>
    <hyperlink ref="T1355" r:id="rId1119"/>
    <hyperlink ref="T1356" r:id="rId1120"/>
    <hyperlink ref="T1357" r:id="rId1121"/>
    <hyperlink ref="T1360" r:id="rId1122"/>
    <hyperlink ref="T1361" r:id="rId1123"/>
    <hyperlink ref="T1362" r:id="rId1124"/>
    <hyperlink ref="T1364" r:id="rId1125"/>
    <hyperlink ref="T1366" r:id="rId1126"/>
    <hyperlink ref="T1367" r:id="rId1127"/>
    <hyperlink ref="T1368" r:id="rId1128"/>
    <hyperlink ref="T1369" r:id="rId1129"/>
    <hyperlink ref="T1370" r:id="rId1130"/>
    <hyperlink ref="T1371" r:id="rId1131"/>
    <hyperlink ref="T1372" r:id="rId1132"/>
    <hyperlink ref="T1375" r:id="rId1133"/>
    <hyperlink ref="T1376" r:id="rId1134"/>
    <hyperlink ref="T1377" r:id="rId1135"/>
    <hyperlink ref="T1378" r:id="rId1136"/>
    <hyperlink ref="T1379" r:id="rId1137"/>
    <hyperlink ref="T1380" r:id="rId1138"/>
    <hyperlink ref="T1381" r:id="rId1139"/>
    <hyperlink ref="T1384" r:id="rId1140"/>
    <hyperlink ref="T1385" r:id="rId1141"/>
    <hyperlink ref="T1386" r:id="rId1142"/>
    <hyperlink ref="T1387" r:id="rId1143"/>
    <hyperlink ref="T1388" r:id="rId1144"/>
    <hyperlink ref="T1389" r:id="rId1145"/>
    <hyperlink ref="T1390" r:id="rId1146"/>
    <hyperlink ref="T1391" r:id="rId1147"/>
    <hyperlink ref="T1392" r:id="rId1148"/>
    <hyperlink ref="T1393" r:id="rId1149"/>
    <hyperlink ref="T1394" r:id="rId1150"/>
    <hyperlink ref="T1396" r:id="rId1151"/>
    <hyperlink ref="T1397" r:id="rId1152"/>
    <hyperlink ref="T1399" r:id="rId1153"/>
    <hyperlink ref="T1400" r:id="rId1154"/>
    <hyperlink ref="T1401" r:id="rId1155"/>
    <hyperlink ref="T1402" r:id="rId1156"/>
    <hyperlink ref="T1403" r:id="rId1157"/>
    <hyperlink ref="T1404" r:id="rId1158"/>
    <hyperlink ref="T1405" r:id="rId1159"/>
    <hyperlink ref="T1406" r:id="rId1160"/>
    <hyperlink ref="T1407" r:id="rId1161"/>
    <hyperlink ref="T1408" r:id="rId1162"/>
    <hyperlink ref="T1409" r:id="rId1163"/>
    <hyperlink ref="T1410" r:id="rId1164"/>
    <hyperlink ref="T1411" r:id="rId1165"/>
    <hyperlink ref="T1412" r:id="rId1166"/>
    <hyperlink ref="T1413" r:id="rId1167"/>
    <hyperlink ref="T1414" r:id="rId1168"/>
    <hyperlink ref="T1415" r:id="rId1169"/>
    <hyperlink ref="T1416" r:id="rId1170"/>
    <hyperlink ref="T1417" r:id="rId1171"/>
    <hyperlink ref="T1418" r:id="rId1172"/>
    <hyperlink ref="T1419" r:id="rId1173"/>
    <hyperlink ref="T1420" r:id="rId1174"/>
    <hyperlink ref="T1421" r:id="rId1175"/>
    <hyperlink ref="T1422" r:id="rId1176"/>
    <hyperlink ref="T1423" r:id="rId1177"/>
    <hyperlink ref="T1424" r:id="rId1178"/>
    <hyperlink ref="T1425" r:id="rId1179"/>
    <hyperlink ref="T1426" r:id="rId1180"/>
    <hyperlink ref="T1427" r:id="rId1181"/>
    <hyperlink ref="T1428" r:id="rId1182"/>
    <hyperlink ref="T1429" r:id="rId1183"/>
    <hyperlink ref="T1430" r:id="rId1184"/>
    <hyperlink ref="T1431" r:id="rId1185"/>
    <hyperlink ref="T1432" r:id="rId1186"/>
    <hyperlink ref="T1434" r:id="rId1187"/>
    <hyperlink ref="T1435" r:id="rId1188"/>
    <hyperlink ref="T1436" r:id="rId1189"/>
    <hyperlink ref="T1437" r:id="rId1190"/>
    <hyperlink ref="T1438" r:id="rId1191"/>
    <hyperlink ref="T1439" r:id="rId1192"/>
    <hyperlink ref="T1440" r:id="rId1193"/>
    <hyperlink ref="T1442" r:id="rId1194"/>
    <hyperlink ref="T1443" r:id="rId1195"/>
    <hyperlink ref="T1444" r:id="rId1196"/>
    <hyperlink ref="T1445" r:id="rId1197"/>
    <hyperlink ref="T1446" r:id="rId1198"/>
    <hyperlink ref="T1449" r:id="rId1199"/>
    <hyperlink ref="T1450" r:id="rId1200"/>
    <hyperlink ref="T1451" r:id="rId1201"/>
    <hyperlink ref="T1452" r:id="rId1202"/>
    <hyperlink ref="T1453" r:id="rId1203"/>
    <hyperlink ref="T1454" r:id="rId1204"/>
    <hyperlink ref="T1455" r:id="rId1205"/>
    <hyperlink ref="T1456" r:id="rId1206"/>
    <hyperlink ref="T1457" r:id="rId1207"/>
    <hyperlink ref="T1458" r:id="rId1208"/>
    <hyperlink ref="T1461" r:id="rId1209"/>
    <hyperlink ref="T1462" r:id="rId1210"/>
    <hyperlink ref="T1463" r:id="rId1211"/>
    <hyperlink ref="T1464" r:id="rId1212"/>
    <hyperlink ref="T1465" r:id="rId1213"/>
    <hyperlink ref="T1466" r:id="rId1214"/>
    <hyperlink ref="T1467" r:id="rId1215"/>
    <hyperlink ref="T1469" r:id="rId1216"/>
    <hyperlink ref="T1470" r:id="rId1217"/>
    <hyperlink ref="T1471" r:id="rId1218"/>
    <hyperlink ref="T1472" r:id="rId1219"/>
    <hyperlink ref="T1473" r:id="rId1220"/>
    <hyperlink ref="T1475" r:id="rId1221"/>
    <hyperlink ref="T1476" r:id="rId1222"/>
    <hyperlink ref="T1477" r:id="rId1223"/>
    <hyperlink ref="T1478" r:id="rId1224"/>
    <hyperlink ref="T1479" r:id="rId1225"/>
    <hyperlink ref="T1480" r:id="rId1226"/>
    <hyperlink ref="T1481" r:id="rId1227"/>
    <hyperlink ref="T1482" r:id="rId1228"/>
    <hyperlink ref="T1484" r:id="rId1229"/>
    <hyperlink ref="T1485" r:id="rId1230"/>
    <hyperlink ref="T1486" r:id="rId1231"/>
    <hyperlink ref="T1487" r:id="rId1232"/>
    <hyperlink ref="T1488" r:id="rId1233"/>
    <hyperlink ref="T1489" r:id="rId1234"/>
    <hyperlink ref="T1490" r:id="rId1235"/>
    <hyperlink ref="T1491" r:id="rId1236"/>
    <hyperlink ref="T1493" r:id="rId1237"/>
    <hyperlink ref="T1494" r:id="rId1238"/>
    <hyperlink ref="T1496" r:id="rId1239"/>
    <hyperlink ref="T1497" r:id="rId1240"/>
    <hyperlink ref="T1498" r:id="rId1241"/>
    <hyperlink ref="T1500" r:id="rId1242"/>
    <hyperlink ref="T1502" r:id="rId1243"/>
    <hyperlink ref="T1503" r:id="rId1244"/>
    <hyperlink ref="T1504" r:id="rId1245"/>
    <hyperlink ref="T1505" r:id="rId1246"/>
    <hyperlink ref="T1506" r:id="rId1247"/>
    <hyperlink ref="T1507" r:id="rId1248"/>
    <hyperlink ref="T1508" r:id="rId1249"/>
    <hyperlink ref="T1509" r:id="rId1250"/>
    <hyperlink ref="T1510" r:id="rId1251"/>
    <hyperlink ref="T1511" r:id="rId1252"/>
    <hyperlink ref="T1512" r:id="rId1253"/>
    <hyperlink ref="T1513" r:id="rId1254"/>
    <hyperlink ref="T1514" r:id="rId1255"/>
    <hyperlink ref="T1515" r:id="rId1256"/>
    <hyperlink ref="T1517" r:id="rId1257"/>
    <hyperlink ref="T1518" r:id="rId1258"/>
    <hyperlink ref="T1519" r:id="rId1259"/>
    <hyperlink ref="T1520" r:id="rId1260"/>
    <hyperlink ref="T1522" r:id="rId1261"/>
    <hyperlink ref="T1523" r:id="rId1262"/>
    <hyperlink ref="T1524" r:id="rId1263"/>
    <hyperlink ref="T1525" r:id="rId1264"/>
    <hyperlink ref="T1526" r:id="rId1265"/>
    <hyperlink ref="T1527" r:id="rId1266"/>
    <hyperlink ref="T1529" r:id="rId1267"/>
    <hyperlink ref="T1530" r:id="rId1268"/>
    <hyperlink ref="T1531" r:id="rId1269"/>
    <hyperlink ref="T1532" r:id="rId1270"/>
    <hyperlink ref="T1533" r:id="rId1271"/>
    <hyperlink ref="T1534" r:id="rId1272"/>
    <hyperlink ref="T1535" r:id="rId1273"/>
    <hyperlink ref="T1536" r:id="rId1274"/>
    <hyperlink ref="T1537" r:id="rId1275"/>
    <hyperlink ref="T1538" r:id="rId1276"/>
    <hyperlink ref="T9" r:id="rId1277"/>
    <hyperlink ref="T10" r:id="rId1278"/>
    <hyperlink ref="T11" r:id="rId1279"/>
    <hyperlink ref="T12" r:id="rId1280"/>
    <hyperlink ref="T13" r:id="rId1281"/>
    <hyperlink ref="T14" r:id="rId1282"/>
    <hyperlink ref="T16" r:id="rId1283"/>
    <hyperlink ref="T17" r:id="rId1284"/>
    <hyperlink ref="T18" r:id="rId1285"/>
    <hyperlink ref="T19" r:id="rId1286"/>
    <hyperlink ref="T20" r:id="rId1287"/>
    <hyperlink ref="T21" r:id="rId1288"/>
    <hyperlink ref="T22" r:id="rId1289"/>
    <hyperlink ref="T25" r:id="rId1290"/>
    <hyperlink ref="T26" r:id="rId1291"/>
    <hyperlink ref="T27" r:id="rId1292"/>
    <hyperlink ref="T28" r:id="rId1293"/>
    <hyperlink ref="T29" r:id="rId1294"/>
    <hyperlink ref="T30" r:id="rId1295"/>
    <hyperlink ref="T31" r:id="rId1296"/>
    <hyperlink ref="T32" r:id="rId1297"/>
    <hyperlink ref="T34" r:id="rId1298"/>
    <hyperlink ref="T35" r:id="rId1299"/>
    <hyperlink ref="T36" r:id="rId1300"/>
    <hyperlink ref="T38" r:id="rId1301"/>
    <hyperlink ref="T39" r:id="rId1302"/>
    <hyperlink ref="T40" r:id="rId1303"/>
    <hyperlink ref="T41" r:id="rId1304"/>
    <hyperlink ref="T42" r:id="rId1305"/>
    <hyperlink ref="T43" r:id="rId1306"/>
    <hyperlink ref="T44" r:id="rId1307"/>
    <hyperlink ref="T45" r:id="rId1308"/>
    <hyperlink ref="T46" r:id="rId1309"/>
    <hyperlink ref="T47" r:id="rId1310"/>
    <hyperlink ref="T48" r:id="rId1311"/>
    <hyperlink ref="T49" r:id="rId1312"/>
    <hyperlink ref="T50" r:id="rId1313"/>
    <hyperlink ref="T51" r:id="rId1314"/>
    <hyperlink ref="T52" r:id="rId1315"/>
    <hyperlink ref="T53" r:id="rId1316"/>
    <hyperlink ref="T54" r:id="rId1317"/>
    <hyperlink ref="T56" r:id="rId1318"/>
    <hyperlink ref="T57" r:id="rId1319"/>
    <hyperlink ref="T58" r:id="rId1320"/>
    <hyperlink ref="T59" r:id="rId1321"/>
    <hyperlink ref="T60" r:id="rId1322"/>
    <hyperlink ref="T61" r:id="rId1323"/>
    <hyperlink ref="T62" r:id="rId1324"/>
    <hyperlink ref="T63" r:id="rId1325"/>
    <hyperlink ref="T64" r:id="rId1326"/>
    <hyperlink ref="T65" r:id="rId1327"/>
    <hyperlink ref="T66" r:id="rId1328"/>
    <hyperlink ref="T68" r:id="rId1329"/>
    <hyperlink ref="T70" r:id="rId1330"/>
    <hyperlink ref="T71" r:id="rId13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547"/>
  <sheetViews>
    <sheetView zoomScale="85" zoomScaleNormal="85" workbookViewId="0">
      <pane xSplit="3" ySplit="19" topLeftCell="D1522" activePane="bottomRight" state="frozen"/>
      <selection activeCell="B1589" sqref="B1589"/>
      <selection pane="topRight" activeCell="B1589" sqref="B1589"/>
      <selection pane="bottomLeft" activeCell="B1589" sqref="B1589"/>
      <selection pane="bottomRight" activeCell="B1542" sqref="B1542"/>
    </sheetView>
  </sheetViews>
  <sheetFormatPr baseColWidth="10" defaultColWidth="9.140625" defaultRowHeight="15"/>
  <cols>
    <col min="1" max="1" width="45" style="1" customWidth="1"/>
    <col min="2" max="2" width="23" style="1" customWidth="1"/>
    <col min="3" max="3" width="12.42578125" style="1" bestFit="1" customWidth="1"/>
    <col min="4" max="4" width="30" style="1" customWidth="1"/>
    <col min="5" max="5" width="19.42578125" style="1" bestFit="1" customWidth="1"/>
    <col min="6" max="6" width="9.42578125" style="1" bestFit="1" customWidth="1"/>
    <col min="7" max="7" width="15.42578125" style="1" bestFit="1" customWidth="1"/>
    <col min="8" max="8" width="17.42578125" style="1" bestFit="1" customWidth="1"/>
    <col min="9" max="10" width="9.140625" style="1"/>
    <col min="11" max="11" width="11.5703125" style="1" bestFit="1" customWidth="1"/>
    <col min="12" max="12" width="9.140625" style="1"/>
    <col min="13" max="13" width="10.85546875" style="1" bestFit="1" customWidth="1"/>
    <col min="14" max="14" width="9.5703125" style="1" bestFit="1" customWidth="1"/>
    <col min="15" max="18" width="9.140625" style="1"/>
    <col min="19" max="19" width="9.5703125" style="1" bestFit="1" customWidth="1"/>
    <col min="20" max="16384" width="9.140625" style="1"/>
  </cols>
  <sheetData>
    <row r="1" spans="1:8" ht="15.75">
      <c r="A1" s="142" t="s">
        <v>1750</v>
      </c>
      <c r="B1" s="143"/>
      <c r="C1" s="143"/>
      <c r="D1" s="143"/>
      <c r="E1" s="143"/>
      <c r="F1" s="143"/>
      <c r="G1" s="143"/>
      <c r="H1" s="143"/>
    </row>
    <row r="2" spans="1:8">
      <c r="A2" s="36"/>
      <c r="B2" s="37"/>
    </row>
    <row r="3" spans="1:8">
      <c r="A3" s="36" t="s">
        <v>1751</v>
      </c>
      <c r="B3" s="37" t="s">
        <v>1752</v>
      </c>
    </row>
    <row r="4" spans="1:8">
      <c r="A4" s="36" t="s">
        <v>1753</v>
      </c>
      <c r="B4" s="37" t="s">
        <v>1754</v>
      </c>
    </row>
    <row r="5" spans="1:8">
      <c r="A5" s="36" t="s">
        <v>1755</v>
      </c>
      <c r="B5" s="37" t="s">
        <v>1756</v>
      </c>
    </row>
    <row r="6" spans="1:8">
      <c r="A6" s="36" t="s">
        <v>1757</v>
      </c>
      <c r="B6" s="37" t="s">
        <v>1758</v>
      </c>
    </row>
    <row r="8" spans="1:8">
      <c r="A8" s="38" t="s">
        <v>1759</v>
      </c>
      <c r="B8" s="39" t="s">
        <v>1760</v>
      </c>
    </row>
    <row r="9" spans="1:8">
      <c r="A9" s="1" t="s">
        <v>1761</v>
      </c>
      <c r="B9" s="37" t="s">
        <v>1762</v>
      </c>
    </row>
    <row r="10" spans="1:8">
      <c r="A10" s="1" t="s">
        <v>1763</v>
      </c>
      <c r="B10" s="37" t="s">
        <v>1764</v>
      </c>
    </row>
    <row r="11" spans="1:8">
      <c r="A11" s="1" t="s">
        <v>1765</v>
      </c>
      <c r="B11" s="37" t="s">
        <v>1766</v>
      </c>
    </row>
    <row r="13" spans="1:8">
      <c r="A13" s="152" t="s">
        <v>1767</v>
      </c>
      <c r="B13" s="152"/>
      <c r="C13" s="152"/>
      <c r="D13" s="152"/>
    </row>
    <row r="15" spans="1:8">
      <c r="A15" s="144" t="s">
        <v>1768</v>
      </c>
      <c r="B15" s="144"/>
      <c r="C15" s="144"/>
      <c r="D15" s="144"/>
    </row>
    <row r="16" spans="1:8">
      <c r="A16" s="41" t="s">
        <v>1777</v>
      </c>
      <c r="B16" s="41"/>
      <c r="C16" s="41"/>
      <c r="D16" s="41" t="s">
        <v>1778</v>
      </c>
      <c r="E16" s="42"/>
      <c r="F16" s="42"/>
      <c r="G16" s="42"/>
      <c r="H16" s="42"/>
    </row>
    <row r="18" spans="1:18">
      <c r="A18" s="145" t="s">
        <v>1769</v>
      </c>
      <c r="B18" s="145"/>
      <c r="C18" s="145"/>
      <c r="D18" s="145"/>
      <c r="E18" s="146" t="s">
        <v>1770</v>
      </c>
      <c r="F18" s="146"/>
      <c r="G18" s="146"/>
      <c r="H18" s="146"/>
    </row>
    <row r="19" spans="1:18">
      <c r="A19" s="40" t="s">
        <v>1774</v>
      </c>
      <c r="B19" s="40" t="s">
        <v>1771</v>
      </c>
      <c r="C19" s="40" t="s">
        <v>1772</v>
      </c>
      <c r="D19" s="40" t="s">
        <v>1773</v>
      </c>
      <c r="E19" s="40" t="s">
        <v>1775</v>
      </c>
      <c r="F19" s="40" t="s">
        <v>1776</v>
      </c>
      <c r="G19" s="40" t="s">
        <v>1761</v>
      </c>
      <c r="H19" s="40" t="s">
        <v>1763</v>
      </c>
    </row>
    <row r="20" spans="1:18" s="35" customFormat="1">
      <c r="A20" s="115">
        <v>124407749182</v>
      </c>
      <c r="B20" s="113" t="s">
        <v>8</v>
      </c>
      <c r="C20" s="114" t="s">
        <v>1779</v>
      </c>
      <c r="D20" s="113" t="s">
        <v>1780</v>
      </c>
      <c r="E20" s="114" t="s">
        <v>1781</v>
      </c>
      <c r="F20" s="116" t="s">
        <v>1782</v>
      </c>
      <c r="G20" s="117">
        <v>24500</v>
      </c>
      <c r="H20" s="117">
        <v>147</v>
      </c>
      <c r="I20" s="113"/>
      <c r="J20" s="118"/>
      <c r="K20" s="119"/>
      <c r="L20" s="113" t="e">
        <f>VLOOKUP(A20,$J$20:$K$1682,2,FALSE)</f>
        <v>#N/A</v>
      </c>
      <c r="M20" s="120" t="e">
        <f>+H20+L20</f>
        <v>#N/A</v>
      </c>
      <c r="N20" s="113"/>
      <c r="O20" s="119" t="e">
        <f>VLOOKUP(A20,[1]Detallado!$C$149:$G$1733,5,FALSE)</f>
        <v>#N/A</v>
      </c>
      <c r="P20" s="119" t="e">
        <v>#N/A</v>
      </c>
    </row>
    <row r="21" spans="1:18" s="35" customFormat="1">
      <c r="A21" s="115">
        <v>124407346652</v>
      </c>
      <c r="B21" s="113" t="s">
        <v>8</v>
      </c>
      <c r="C21" s="114" t="s">
        <v>1779</v>
      </c>
      <c r="D21" s="113" t="s">
        <v>1780</v>
      </c>
      <c r="E21" s="114" t="s">
        <v>1781</v>
      </c>
      <c r="F21" s="116" t="s">
        <v>1782</v>
      </c>
      <c r="G21" s="117">
        <v>13200</v>
      </c>
      <c r="H21" s="117">
        <v>79.2</v>
      </c>
      <c r="I21" s="113"/>
      <c r="J21" s="118"/>
      <c r="K21" s="119"/>
      <c r="L21" s="113" t="e">
        <f>VLOOKUP(A21,$J$20:$K$1682,2,FALSE)</f>
        <v>#N/A</v>
      </c>
      <c r="M21" s="120" t="e">
        <f>+H21+L21</f>
        <v>#N/A</v>
      </c>
      <c r="N21" s="113"/>
      <c r="O21" s="119" t="e">
        <f>VLOOKUP(A21,[1]Detallado!$C$149:$G$1733,5,FALSE)</f>
        <v>#N/A</v>
      </c>
      <c r="P21" s="119" t="e">
        <v>#N/A</v>
      </c>
    </row>
    <row r="22" spans="1:18" s="35" customFormat="1">
      <c r="A22" s="115">
        <v>123865265509</v>
      </c>
      <c r="B22" s="113" t="s">
        <v>1783</v>
      </c>
      <c r="C22" s="114" t="s">
        <v>1779</v>
      </c>
      <c r="D22" s="113" t="s">
        <v>1780</v>
      </c>
      <c r="E22" s="114" t="s">
        <v>1781</v>
      </c>
      <c r="F22" s="116" t="s">
        <v>1782</v>
      </c>
      <c r="G22" s="117">
        <v>660</v>
      </c>
      <c r="H22" s="117">
        <v>3.96</v>
      </c>
      <c r="I22" s="113"/>
      <c r="J22" s="118"/>
      <c r="K22" s="119"/>
      <c r="L22" s="113" t="e">
        <f>VLOOKUP(A22,$J$20:$K$1682,2,FALSE)</f>
        <v>#N/A</v>
      </c>
      <c r="M22" s="120" t="e">
        <f>+H22+L22</f>
        <v>#N/A</v>
      </c>
      <c r="N22" s="113"/>
      <c r="O22" s="119" t="e">
        <f>VLOOKUP(A22,[1]Detallado!$C$149:$G$1733,5,FALSE)</f>
        <v>#N/A</v>
      </c>
      <c r="P22" s="119" t="e">
        <v>#N/A</v>
      </c>
      <c r="Q22" s="59"/>
      <c r="R22" s="59"/>
    </row>
    <row r="23" spans="1:18" s="35" customFormat="1">
      <c r="A23" s="115">
        <v>123864645949</v>
      </c>
      <c r="B23" s="113" t="s">
        <v>8</v>
      </c>
      <c r="C23" s="114" t="s">
        <v>1779</v>
      </c>
      <c r="D23" s="113" t="s">
        <v>1780</v>
      </c>
      <c r="E23" s="114" t="s">
        <v>1781</v>
      </c>
      <c r="F23" s="116" t="s">
        <v>1782</v>
      </c>
      <c r="G23" s="117">
        <v>17500</v>
      </c>
      <c r="H23" s="117">
        <v>105</v>
      </c>
      <c r="I23" s="113"/>
      <c r="J23" s="118"/>
      <c r="K23" s="119"/>
      <c r="L23" s="113" t="e">
        <f>VLOOKUP(A23,$J$20:$K$1682,2,FALSE)</f>
        <v>#N/A</v>
      </c>
      <c r="M23" s="120" t="e">
        <f>+H23+L23</f>
        <v>#N/A</v>
      </c>
      <c r="N23" s="113"/>
      <c r="O23" s="119" t="e">
        <f>VLOOKUP(A23,[1]Detallado!$C$149:$G$1733,5,FALSE)</f>
        <v>#N/A</v>
      </c>
      <c r="P23" s="119" t="e">
        <v>#N/A</v>
      </c>
      <c r="Q23" s="59"/>
      <c r="R23" s="59"/>
    </row>
    <row r="24" spans="1:18" s="35" customFormat="1">
      <c r="A24" s="115">
        <v>123864040285</v>
      </c>
      <c r="B24" s="113" t="s">
        <v>8</v>
      </c>
      <c r="C24" s="114" t="s">
        <v>1779</v>
      </c>
      <c r="D24" s="113" t="s">
        <v>1780</v>
      </c>
      <c r="E24" s="114" t="s">
        <v>1781</v>
      </c>
      <c r="F24" s="116" t="s">
        <v>1782</v>
      </c>
      <c r="G24" s="117">
        <v>15000</v>
      </c>
      <c r="H24" s="117">
        <v>90</v>
      </c>
      <c r="I24" s="113"/>
      <c r="J24" s="118"/>
      <c r="K24" s="119"/>
      <c r="L24" s="113" t="e">
        <f>VLOOKUP(A24,$J$20:$K$1682,2,FALSE)</f>
        <v>#N/A</v>
      </c>
      <c r="M24" s="120" t="e">
        <f>+H24+L24</f>
        <v>#N/A</v>
      </c>
      <c r="N24" s="113"/>
      <c r="O24" s="119" t="e">
        <f>VLOOKUP(A24,[1]Detallado!$C$149:$G$1733,5,FALSE)</f>
        <v>#N/A</v>
      </c>
      <c r="P24" s="119" t="e">
        <v>#N/A</v>
      </c>
      <c r="Q24" s="59"/>
      <c r="R24" s="59"/>
    </row>
    <row r="25" spans="1:18" s="59" customFormat="1">
      <c r="A25" s="90">
        <v>123868184561</v>
      </c>
      <c r="B25" s="1" t="s">
        <v>8</v>
      </c>
      <c r="C25" s="43" t="s">
        <v>1781</v>
      </c>
      <c r="D25" s="1" t="s">
        <v>1780</v>
      </c>
      <c r="E25" s="43" t="s">
        <v>1781</v>
      </c>
      <c r="F25" s="37" t="s">
        <v>1782</v>
      </c>
      <c r="G25" s="44">
        <v>10000</v>
      </c>
      <c r="H25" s="44">
        <v>60</v>
      </c>
      <c r="I25" s="1"/>
      <c r="J25" s="1"/>
      <c r="K25" s="4" t="e">
        <f>VLOOKUP(A25,Detallado!$C$5:$H$1570,6,FALSE)</f>
        <v>#N/A</v>
      </c>
      <c r="L25" s="1"/>
      <c r="M25" s="1"/>
      <c r="N25" s="1"/>
      <c r="O25" s="1"/>
      <c r="P25" s="1"/>
      <c r="Q25" s="1"/>
    </row>
    <row r="26" spans="1:18" s="59" customFormat="1">
      <c r="A26" s="90">
        <v>123868170745</v>
      </c>
      <c r="B26" s="1" t="s">
        <v>8</v>
      </c>
      <c r="C26" s="43" t="s">
        <v>1781</v>
      </c>
      <c r="D26" s="1" t="s">
        <v>1780</v>
      </c>
      <c r="E26" s="43" t="s">
        <v>1781</v>
      </c>
      <c r="F26" s="37" t="s">
        <v>1782</v>
      </c>
      <c r="G26" s="44">
        <v>13500</v>
      </c>
      <c r="H26" s="44">
        <v>81</v>
      </c>
      <c r="I26" s="1"/>
      <c r="J26" s="1"/>
      <c r="K26" s="4" t="e">
        <f>VLOOKUP(A26,Detallado!$C$5:$H$1570,6,FALSE)</f>
        <v>#N/A</v>
      </c>
      <c r="L26" s="1"/>
      <c r="M26" s="1"/>
      <c r="N26" s="1"/>
      <c r="O26" s="1"/>
      <c r="P26" s="1"/>
      <c r="Q26" s="1"/>
    </row>
    <row r="27" spans="1:18" s="59" customFormat="1">
      <c r="A27" s="90">
        <v>124446003662</v>
      </c>
      <c r="B27" s="1" t="s">
        <v>8</v>
      </c>
      <c r="C27" s="43" t="s">
        <v>1781</v>
      </c>
      <c r="D27" s="1" t="s">
        <v>1780</v>
      </c>
      <c r="E27" s="43" t="s">
        <v>1781</v>
      </c>
      <c r="F27" s="37" t="s">
        <v>1782</v>
      </c>
      <c r="G27" s="44">
        <v>91714.5</v>
      </c>
      <c r="H27" s="77">
        <v>550.29</v>
      </c>
      <c r="I27" s="1"/>
      <c r="J27" s="1"/>
      <c r="K27" s="27" t="e">
        <f>VLOOKUP(A27,Detallado!$C$5:$H$1570,6,FALSE)</f>
        <v>#N/A</v>
      </c>
      <c r="L27" s="1"/>
      <c r="M27" s="4">
        <v>-547.00497017892485</v>
      </c>
      <c r="N27" s="66" t="e">
        <f t="shared" ref="N27:N36" si="0">+K27-M27</f>
        <v>#N/A</v>
      </c>
      <c r="O27" s="1" t="s">
        <v>14</v>
      </c>
      <c r="P27" s="1">
        <f t="shared" ref="P27:P36" si="1">+E27-O27</f>
        <v>0</v>
      </c>
      <c r="Q27" s="1"/>
    </row>
    <row r="28" spans="1:18" s="59" customFormat="1">
      <c r="A28" s="101" t="s">
        <v>1784</v>
      </c>
      <c r="B28" s="59" t="s">
        <v>8</v>
      </c>
      <c r="C28" s="60" t="s">
        <v>1781</v>
      </c>
      <c r="D28" s="59" t="s">
        <v>1780</v>
      </c>
      <c r="E28" s="60" t="s">
        <v>1781</v>
      </c>
      <c r="F28" s="61" t="s">
        <v>1782</v>
      </c>
      <c r="G28" s="62">
        <v>160822</v>
      </c>
      <c r="H28" s="74">
        <v>964.93</v>
      </c>
      <c r="K28" s="27">
        <f>-H28</f>
        <v>-964.93</v>
      </c>
      <c r="L28" s="1"/>
      <c r="M28" s="4">
        <v>-964.93198807156296</v>
      </c>
      <c r="N28" s="66">
        <f t="shared" si="0"/>
        <v>1.9880715630051782E-3</v>
      </c>
      <c r="O28" s="1" t="s">
        <v>14</v>
      </c>
      <c r="P28" s="1">
        <f t="shared" si="1"/>
        <v>0</v>
      </c>
      <c r="Q28" s="1"/>
    </row>
    <row r="29" spans="1:18" s="59" customFormat="1">
      <c r="A29" s="90">
        <v>124489977054</v>
      </c>
      <c r="B29" s="1" t="s">
        <v>8</v>
      </c>
      <c r="C29" s="43" t="s">
        <v>1781</v>
      </c>
      <c r="D29" s="1" t="s">
        <v>1780</v>
      </c>
      <c r="E29" s="43" t="s">
        <v>1781</v>
      </c>
      <c r="F29" s="37" t="s">
        <v>1782</v>
      </c>
      <c r="G29" s="44">
        <v>168677.75</v>
      </c>
      <c r="H29" s="77">
        <v>1012.07</v>
      </c>
      <c r="I29" s="1"/>
      <c r="J29" s="1"/>
      <c r="K29" s="27" t="e">
        <f>VLOOKUP(A29,Detallado!$C$5:$H$1570,6,FALSE)</f>
        <v>#N/A</v>
      </c>
      <c r="L29" s="1"/>
      <c r="M29" s="4">
        <v>-1006.0303180914489</v>
      </c>
      <c r="N29" s="66" t="e">
        <f t="shared" si="0"/>
        <v>#N/A</v>
      </c>
      <c r="O29" s="1"/>
      <c r="P29" s="1">
        <f t="shared" si="1"/>
        <v>45901</v>
      </c>
      <c r="Q29" s="1"/>
    </row>
    <row r="30" spans="1:18" s="59" customFormat="1">
      <c r="A30" s="101" t="s">
        <v>1785</v>
      </c>
      <c r="B30" s="59" t="s">
        <v>8</v>
      </c>
      <c r="C30" s="60" t="s">
        <v>1781</v>
      </c>
      <c r="D30" s="59" t="s">
        <v>1780</v>
      </c>
      <c r="E30" s="60" t="s">
        <v>1781</v>
      </c>
      <c r="F30" s="61" t="s">
        <v>1782</v>
      </c>
      <c r="G30" s="62">
        <v>236646</v>
      </c>
      <c r="H30" s="74">
        <v>1419.88</v>
      </c>
      <c r="K30" s="27">
        <f>-H30</f>
        <v>-1419.88</v>
      </c>
      <c r="L30" s="1"/>
      <c r="M30" s="4">
        <v>-1419.8760238568648</v>
      </c>
      <c r="N30" s="66">
        <f t="shared" si="0"/>
        <v>-3.976143135332677E-3</v>
      </c>
      <c r="O30" s="1" t="s">
        <v>14</v>
      </c>
      <c r="P30" s="1">
        <f t="shared" si="1"/>
        <v>0</v>
      </c>
      <c r="Q30" s="1"/>
    </row>
    <row r="31" spans="1:18" s="59" customFormat="1">
      <c r="A31" s="90">
        <v>124454118654</v>
      </c>
      <c r="B31" s="1" t="s">
        <v>8</v>
      </c>
      <c r="C31" s="43" t="s">
        <v>1781</v>
      </c>
      <c r="D31" s="1" t="s">
        <v>1780</v>
      </c>
      <c r="E31" s="43" t="s">
        <v>1781</v>
      </c>
      <c r="F31" s="37" t="s">
        <v>1782</v>
      </c>
      <c r="G31" s="44">
        <v>273665.15999999997</v>
      </c>
      <c r="H31" s="77">
        <v>1641.99</v>
      </c>
      <c r="I31" s="1"/>
      <c r="J31" s="1"/>
      <c r="K31" s="27" t="e">
        <f>VLOOKUP(A31,Detallado!$C$5:$H$1570,6,FALSE)</f>
        <v>#N/A</v>
      </c>
      <c r="L31" s="1"/>
      <c r="M31" s="4">
        <v>-1632.1977733598324</v>
      </c>
      <c r="N31" s="66" t="e">
        <f t="shared" si="0"/>
        <v>#N/A</v>
      </c>
      <c r="O31" s="1" t="s">
        <v>14</v>
      </c>
      <c r="P31" s="1">
        <f t="shared" si="1"/>
        <v>0</v>
      </c>
      <c r="Q31" s="1"/>
    </row>
    <row r="32" spans="1:18" s="59" customFormat="1">
      <c r="A32" s="90">
        <v>124618927966</v>
      </c>
      <c r="B32" s="1" t="s">
        <v>8</v>
      </c>
      <c r="C32" s="43" t="s">
        <v>1786</v>
      </c>
      <c r="D32" s="1" t="s">
        <v>1780</v>
      </c>
      <c r="E32" s="43" t="s">
        <v>1786</v>
      </c>
      <c r="F32" s="37" t="s">
        <v>1782</v>
      </c>
      <c r="G32" s="44">
        <v>84294.94</v>
      </c>
      <c r="H32" s="77">
        <v>505.77</v>
      </c>
      <c r="I32" s="1"/>
      <c r="J32" s="1"/>
      <c r="K32" s="27" t="e">
        <f>VLOOKUP(A32,Detallado!$C$5:$H$1570,6,FALSE)</f>
        <v>#N/A</v>
      </c>
      <c r="L32" s="1"/>
      <c r="M32" s="4">
        <v>-502.75312127236975</v>
      </c>
      <c r="N32" s="66" t="e">
        <f t="shared" si="0"/>
        <v>#N/A</v>
      </c>
      <c r="O32" s="1" t="s">
        <v>35</v>
      </c>
      <c r="P32" s="1">
        <f t="shared" si="1"/>
        <v>0</v>
      </c>
      <c r="Q32" s="1"/>
    </row>
    <row r="33" spans="1:17" s="59" customFormat="1">
      <c r="A33" s="90">
        <v>124624594370</v>
      </c>
      <c r="B33" s="1" t="s">
        <v>8</v>
      </c>
      <c r="C33" s="43" t="s">
        <v>1786</v>
      </c>
      <c r="D33" s="1" t="s">
        <v>1780</v>
      </c>
      <c r="E33" s="43" t="s">
        <v>1786</v>
      </c>
      <c r="F33" s="37" t="s">
        <v>1782</v>
      </c>
      <c r="G33" s="44">
        <v>215724.16</v>
      </c>
      <c r="H33" s="77">
        <v>1294.3399999999999</v>
      </c>
      <c r="I33" s="1"/>
      <c r="J33" s="1"/>
      <c r="K33" s="27" t="e">
        <f>VLOOKUP(A33,Detallado!$C$5:$H$1570,6,FALSE)</f>
        <v>#N/A</v>
      </c>
      <c r="L33" s="1"/>
      <c r="M33" s="4">
        <v>-1286.625208747515</v>
      </c>
      <c r="N33" s="66" t="e">
        <f t="shared" si="0"/>
        <v>#N/A</v>
      </c>
      <c r="O33" s="1"/>
      <c r="P33" s="1">
        <f t="shared" si="1"/>
        <v>45902</v>
      </c>
      <c r="Q33" s="1"/>
    </row>
    <row r="34" spans="1:17" s="59" customFormat="1">
      <c r="A34" s="101" t="s">
        <v>1787</v>
      </c>
      <c r="B34" s="59" t="s">
        <v>8</v>
      </c>
      <c r="C34" s="60" t="s">
        <v>1786</v>
      </c>
      <c r="D34" s="59" t="s">
        <v>1780</v>
      </c>
      <c r="E34" s="60" t="s">
        <v>1786</v>
      </c>
      <c r="F34" s="61" t="s">
        <v>1782</v>
      </c>
      <c r="G34" s="62">
        <v>420647.38</v>
      </c>
      <c r="H34" s="74">
        <v>2523.88</v>
      </c>
      <c r="K34" s="27">
        <f>-H34</f>
        <v>-2523.88</v>
      </c>
      <c r="L34" s="1"/>
      <c r="M34" s="4">
        <v>-2523.8842544731451</v>
      </c>
      <c r="N34" s="66">
        <f t="shared" si="0"/>
        <v>4.2544731450107065E-3</v>
      </c>
      <c r="O34" s="1" t="s">
        <v>35</v>
      </c>
      <c r="P34" s="1">
        <f t="shared" si="1"/>
        <v>0</v>
      </c>
      <c r="Q34" s="1"/>
    </row>
    <row r="35" spans="1:17" s="59" customFormat="1">
      <c r="A35" s="90">
        <v>124031772669</v>
      </c>
      <c r="B35" s="1" t="s">
        <v>8</v>
      </c>
      <c r="C35" s="43" t="s">
        <v>1786</v>
      </c>
      <c r="D35" s="1" t="s">
        <v>1780</v>
      </c>
      <c r="E35" s="43" t="s">
        <v>1786</v>
      </c>
      <c r="F35" s="37" t="s">
        <v>1782</v>
      </c>
      <c r="G35" s="44">
        <v>785165</v>
      </c>
      <c r="H35" s="77">
        <v>4710.99</v>
      </c>
      <c r="I35" s="1"/>
      <c r="J35" s="1"/>
      <c r="K35" s="27" t="e">
        <f>VLOOKUP(A35,Detallado!$C$5:$H$1570,6,FALSE)</f>
        <v>#N/A</v>
      </c>
      <c r="L35" s="1"/>
      <c r="M35" s="4">
        <v>-4682.892644135165</v>
      </c>
      <c r="N35" s="66" t="e">
        <f t="shared" si="0"/>
        <v>#N/A</v>
      </c>
      <c r="O35" s="1" t="s">
        <v>35</v>
      </c>
      <c r="P35" s="1">
        <f t="shared" si="1"/>
        <v>0</v>
      </c>
      <c r="Q35" s="1"/>
    </row>
    <row r="36" spans="1:17" s="59" customFormat="1">
      <c r="A36" s="90">
        <v>124014458903</v>
      </c>
      <c r="B36" s="1" t="s">
        <v>8</v>
      </c>
      <c r="C36" s="43" t="s">
        <v>1786</v>
      </c>
      <c r="D36" s="1" t="s">
        <v>1780</v>
      </c>
      <c r="E36" s="43" t="s">
        <v>1786</v>
      </c>
      <c r="F36" s="37" t="s">
        <v>1782</v>
      </c>
      <c r="G36" s="44">
        <v>982084.1</v>
      </c>
      <c r="H36" s="77">
        <v>5892.5</v>
      </c>
      <c r="I36" s="1"/>
      <c r="J36" s="1"/>
      <c r="K36" s="27" t="e">
        <f>VLOOKUP(A36,Detallado!$C$5:$H$1570,6,FALSE)</f>
        <v>#N/A</v>
      </c>
      <c r="L36" s="1"/>
      <c r="M36" s="4">
        <v>-5857.3604373757262</v>
      </c>
      <c r="N36" s="66" t="e">
        <f t="shared" si="0"/>
        <v>#N/A</v>
      </c>
      <c r="O36" s="1" t="s">
        <v>35</v>
      </c>
      <c r="P36" s="1">
        <f t="shared" si="1"/>
        <v>0</v>
      </c>
      <c r="Q36" s="1"/>
    </row>
    <row r="37" spans="1:17" s="59" customFormat="1">
      <c r="A37" s="90">
        <v>124795296394</v>
      </c>
      <c r="B37" s="1" t="s">
        <v>8</v>
      </c>
      <c r="C37" s="43" t="s">
        <v>1788</v>
      </c>
      <c r="D37" s="1" t="s">
        <v>1780</v>
      </c>
      <c r="E37" s="43" t="s">
        <v>1788</v>
      </c>
      <c r="F37" s="37" t="s">
        <v>1782</v>
      </c>
      <c r="G37" s="44">
        <v>19999</v>
      </c>
      <c r="H37" s="44">
        <v>119.99</v>
      </c>
      <c r="I37" s="1"/>
      <c r="J37" s="1"/>
      <c r="K37" s="4" t="e">
        <f>VLOOKUP(A37,Detallado!$C$5:$H$1570,6,FALSE)</f>
        <v>#N/A</v>
      </c>
      <c r="L37" s="1"/>
      <c r="M37" s="1"/>
      <c r="N37" s="1"/>
      <c r="O37" s="1"/>
      <c r="P37" s="1"/>
      <c r="Q37" s="1"/>
    </row>
    <row r="38" spans="1:17" s="59" customFormat="1">
      <c r="A38" s="90">
        <v>124788106000</v>
      </c>
      <c r="B38" s="1" t="s">
        <v>1790</v>
      </c>
      <c r="C38" s="43" t="s">
        <v>1788</v>
      </c>
      <c r="D38" s="1" t="s">
        <v>1780</v>
      </c>
      <c r="E38" s="43" t="s">
        <v>1788</v>
      </c>
      <c r="F38" s="37" t="s">
        <v>1782</v>
      </c>
      <c r="G38" s="44">
        <v>5300</v>
      </c>
      <c r="H38" s="44">
        <v>31.8</v>
      </c>
      <c r="I38" s="1"/>
      <c r="J38" s="1"/>
      <c r="K38" s="4" t="e">
        <f>VLOOKUP(A38,Detallado!$C$5:$H$1570,6,FALSE)</f>
        <v>#N/A</v>
      </c>
      <c r="L38" s="1"/>
      <c r="M38" s="1"/>
      <c r="N38" s="1"/>
      <c r="O38" s="1"/>
      <c r="P38" s="1"/>
      <c r="Q38" s="1"/>
    </row>
    <row r="39" spans="1:17" s="59" customFormat="1">
      <c r="A39" s="90">
        <v>124784681512</v>
      </c>
      <c r="B39" s="1" t="s">
        <v>1790</v>
      </c>
      <c r="C39" s="43" t="s">
        <v>1788</v>
      </c>
      <c r="D39" s="1" t="s">
        <v>1780</v>
      </c>
      <c r="E39" s="43" t="s">
        <v>1788</v>
      </c>
      <c r="F39" s="37" t="s">
        <v>1782</v>
      </c>
      <c r="G39" s="44">
        <v>31000</v>
      </c>
      <c r="H39" s="44">
        <v>186</v>
      </c>
      <c r="I39" s="1"/>
      <c r="J39" s="1"/>
      <c r="K39" s="4" t="e">
        <f>VLOOKUP(A39,Detallado!$C$5:$H$1570,6,FALSE)</f>
        <v>#N/A</v>
      </c>
      <c r="L39" s="1"/>
      <c r="M39" s="1"/>
      <c r="N39" s="1"/>
      <c r="O39" s="1"/>
      <c r="P39" s="1"/>
      <c r="Q39" s="1"/>
    </row>
    <row r="40" spans="1:17" s="59" customFormat="1">
      <c r="A40" s="90">
        <v>124781182650</v>
      </c>
      <c r="B40" s="1" t="s">
        <v>1790</v>
      </c>
      <c r="C40" s="43" t="s">
        <v>1788</v>
      </c>
      <c r="D40" s="1" t="s">
        <v>1780</v>
      </c>
      <c r="E40" s="43" t="s">
        <v>1788</v>
      </c>
      <c r="F40" s="37" t="s">
        <v>1782</v>
      </c>
      <c r="G40" s="44">
        <v>8600</v>
      </c>
      <c r="H40" s="44">
        <v>51.6</v>
      </c>
      <c r="I40" s="1"/>
      <c r="J40" s="1"/>
      <c r="K40" s="4" t="e">
        <f>VLOOKUP(A40,Detallado!$C$5:$H$1570,6,FALSE)</f>
        <v>#N/A</v>
      </c>
      <c r="L40" s="1"/>
      <c r="M40" s="1"/>
      <c r="N40" s="1"/>
      <c r="O40" s="1"/>
      <c r="P40" s="1"/>
      <c r="Q40" s="1"/>
    </row>
    <row r="41" spans="1:17" s="59" customFormat="1">
      <c r="A41" s="90">
        <v>124251556927</v>
      </c>
      <c r="B41" s="1" t="s">
        <v>8</v>
      </c>
      <c r="C41" s="43" t="s">
        <v>1788</v>
      </c>
      <c r="D41" s="1" t="s">
        <v>1780</v>
      </c>
      <c r="E41" s="43" t="s">
        <v>1788</v>
      </c>
      <c r="F41" s="37" t="s">
        <v>1782</v>
      </c>
      <c r="G41" s="44">
        <v>71000</v>
      </c>
      <c r="H41" s="44">
        <v>426</v>
      </c>
      <c r="I41" s="1"/>
      <c r="J41" s="1"/>
      <c r="K41" s="4" t="e">
        <f>VLOOKUP(A41,Detallado!$C$5:$H$1570,6,FALSE)</f>
        <v>#N/A</v>
      </c>
      <c r="L41" s="1"/>
      <c r="M41" s="1"/>
      <c r="N41" s="1"/>
      <c r="O41" s="1"/>
      <c r="P41" s="1"/>
      <c r="Q41" s="1"/>
    </row>
    <row r="42" spans="1:17" s="59" customFormat="1">
      <c r="A42" s="90">
        <v>124251168101</v>
      </c>
      <c r="B42" s="1" t="s">
        <v>8</v>
      </c>
      <c r="C42" s="43" t="s">
        <v>1788</v>
      </c>
      <c r="D42" s="1" t="s">
        <v>1780</v>
      </c>
      <c r="E42" s="43" t="s">
        <v>1788</v>
      </c>
      <c r="F42" s="37" t="s">
        <v>1782</v>
      </c>
      <c r="G42" s="44">
        <v>59896</v>
      </c>
      <c r="H42" s="44">
        <v>359.38</v>
      </c>
      <c r="I42" s="1"/>
      <c r="J42" s="1"/>
      <c r="K42" s="4" t="e">
        <f>VLOOKUP(A42,Detallado!$C$5:$H$1570,6,FALSE)</f>
        <v>#N/A</v>
      </c>
      <c r="L42" s="1"/>
      <c r="M42" s="1"/>
      <c r="N42" s="1"/>
      <c r="O42" s="1"/>
      <c r="P42" s="1"/>
      <c r="Q42" s="1"/>
    </row>
    <row r="43" spans="1:17" s="59" customFormat="1">
      <c r="A43" s="90">
        <v>124247706111</v>
      </c>
      <c r="B43" s="1" t="s">
        <v>8</v>
      </c>
      <c r="C43" s="43" t="s">
        <v>1788</v>
      </c>
      <c r="D43" s="1" t="s">
        <v>1780</v>
      </c>
      <c r="E43" s="43" t="s">
        <v>1788</v>
      </c>
      <c r="F43" s="37" t="s">
        <v>1782</v>
      </c>
      <c r="G43" s="44">
        <v>12300</v>
      </c>
      <c r="H43" s="44">
        <v>73.8</v>
      </c>
      <c r="I43" s="1"/>
      <c r="J43" s="1"/>
      <c r="K43" s="4" t="e">
        <f>VLOOKUP(A43,Detallado!$C$5:$H$1570,6,FALSE)</f>
        <v>#N/A</v>
      </c>
      <c r="L43" s="1"/>
      <c r="M43" s="1"/>
      <c r="N43" s="1"/>
      <c r="O43" s="1"/>
      <c r="P43" s="1"/>
      <c r="Q43" s="1"/>
    </row>
    <row r="44" spans="1:17" s="59" customFormat="1">
      <c r="A44" s="90">
        <v>124245392201</v>
      </c>
      <c r="B44" s="1" t="s">
        <v>8</v>
      </c>
      <c r="C44" s="43" t="s">
        <v>1788</v>
      </c>
      <c r="D44" s="1" t="s">
        <v>1780</v>
      </c>
      <c r="E44" s="43" t="s">
        <v>1788</v>
      </c>
      <c r="F44" s="37" t="s">
        <v>1782</v>
      </c>
      <c r="G44" s="44">
        <v>34100</v>
      </c>
      <c r="H44" s="44">
        <v>204.6</v>
      </c>
      <c r="I44" s="1"/>
      <c r="J44" s="1"/>
      <c r="K44" s="4" t="e">
        <f>VLOOKUP(A44,Detallado!$C$5:$H$1570,6,FALSE)</f>
        <v>#N/A</v>
      </c>
      <c r="L44" s="1"/>
      <c r="M44" s="1"/>
      <c r="N44" s="1"/>
      <c r="O44" s="1"/>
      <c r="P44" s="1"/>
      <c r="Q44" s="1"/>
    </row>
    <row r="45" spans="1:17" s="59" customFormat="1">
      <c r="A45" s="90">
        <v>124245389515</v>
      </c>
      <c r="B45" s="1" t="s">
        <v>8</v>
      </c>
      <c r="C45" s="43" t="s">
        <v>1788</v>
      </c>
      <c r="D45" s="1" t="s">
        <v>1780</v>
      </c>
      <c r="E45" s="43" t="s">
        <v>1788</v>
      </c>
      <c r="F45" s="37" t="s">
        <v>1782</v>
      </c>
      <c r="G45" s="44">
        <v>46000</v>
      </c>
      <c r="H45" s="44">
        <v>276</v>
      </c>
      <c r="I45" s="1"/>
      <c r="J45" s="1"/>
      <c r="K45" s="4" t="e">
        <f>VLOOKUP(A45,Detallado!$C$5:$H$1570,6,FALSE)</f>
        <v>#N/A</v>
      </c>
      <c r="L45" s="1"/>
      <c r="M45" s="1"/>
      <c r="N45" s="1"/>
      <c r="O45" s="1"/>
      <c r="P45" s="1"/>
      <c r="Q45" s="1"/>
    </row>
    <row r="46" spans="1:17" s="59" customFormat="1">
      <c r="A46" s="90">
        <v>124236889607</v>
      </c>
      <c r="B46" s="1" t="s">
        <v>8</v>
      </c>
      <c r="C46" s="43" t="s">
        <v>1788</v>
      </c>
      <c r="D46" s="1" t="s">
        <v>1780</v>
      </c>
      <c r="E46" s="43" t="s">
        <v>1788</v>
      </c>
      <c r="F46" s="37" t="s">
        <v>1782</v>
      </c>
      <c r="G46" s="44">
        <v>29300</v>
      </c>
      <c r="H46" s="44">
        <v>175.8</v>
      </c>
      <c r="I46" s="1"/>
      <c r="J46" s="1"/>
      <c r="K46" s="4" t="e">
        <f>VLOOKUP(A46,Detallado!$C$5:$H$1570,6,FALSE)</f>
        <v>#N/A</v>
      </c>
      <c r="L46" s="1"/>
      <c r="M46" s="1"/>
      <c r="N46" s="1"/>
      <c r="O46" s="1"/>
      <c r="P46" s="1"/>
      <c r="Q46" s="1"/>
    </row>
    <row r="47" spans="1:17" s="59" customFormat="1">
      <c r="A47" s="90">
        <v>124236877691</v>
      </c>
      <c r="B47" s="1" t="s">
        <v>1791</v>
      </c>
      <c r="C47" s="43" t="s">
        <v>1788</v>
      </c>
      <c r="D47" s="1" t="s">
        <v>1780</v>
      </c>
      <c r="E47" s="43" t="s">
        <v>1788</v>
      </c>
      <c r="F47" s="37" t="s">
        <v>1782</v>
      </c>
      <c r="G47" s="44">
        <v>1465</v>
      </c>
      <c r="H47" s="44">
        <v>8.7899999999999991</v>
      </c>
      <c r="I47" s="1"/>
      <c r="J47" s="1"/>
      <c r="K47" s="4" t="e">
        <f>VLOOKUP(A47,Detallado!$C$5:$H$1570,6,FALSE)</f>
        <v>#N/A</v>
      </c>
      <c r="L47" s="1"/>
      <c r="M47" s="1"/>
      <c r="N47" s="1"/>
      <c r="O47" s="1"/>
      <c r="P47" s="1"/>
      <c r="Q47" s="1"/>
    </row>
    <row r="48" spans="1:17" s="59" customFormat="1">
      <c r="A48" s="90">
        <v>124234497707</v>
      </c>
      <c r="B48" s="1" t="s">
        <v>8</v>
      </c>
      <c r="C48" s="43" t="s">
        <v>1788</v>
      </c>
      <c r="D48" s="1" t="s">
        <v>1780</v>
      </c>
      <c r="E48" s="43" t="s">
        <v>1788</v>
      </c>
      <c r="F48" s="37" t="s">
        <v>1782</v>
      </c>
      <c r="G48" s="44">
        <v>4900</v>
      </c>
      <c r="H48" s="44">
        <v>29.4</v>
      </c>
      <c r="I48" s="1"/>
      <c r="J48" s="1"/>
      <c r="K48" s="4" t="e">
        <f>VLOOKUP(A48,Detallado!$C$5:$H$1570,6,FALSE)</f>
        <v>#N/A</v>
      </c>
      <c r="L48" s="1"/>
      <c r="M48" s="1"/>
      <c r="N48" s="1"/>
      <c r="O48" s="1"/>
      <c r="P48" s="1"/>
      <c r="Q48" s="1"/>
    </row>
    <row r="49" spans="1:17" s="59" customFormat="1">
      <c r="A49" s="90">
        <v>124774089426</v>
      </c>
      <c r="B49" s="1" t="s">
        <v>8</v>
      </c>
      <c r="C49" s="43" t="s">
        <v>1788</v>
      </c>
      <c r="D49" s="1" t="s">
        <v>1780</v>
      </c>
      <c r="E49" s="43" t="s">
        <v>1788</v>
      </c>
      <c r="F49" s="37" t="s">
        <v>1782</v>
      </c>
      <c r="G49" s="44">
        <v>45239.61</v>
      </c>
      <c r="H49" s="77">
        <v>271.44</v>
      </c>
      <c r="I49" s="1"/>
      <c r="J49" s="1"/>
      <c r="K49" s="27" t="e">
        <f>VLOOKUP(A49,Detallado!$C$5:$H$1570,6,FALSE)</f>
        <v>#N/A</v>
      </c>
      <c r="L49" s="1"/>
      <c r="M49" s="4">
        <v>-269.81874751490977</v>
      </c>
      <c r="N49" s="66" t="e">
        <f>+K49-M49</f>
        <v>#N/A</v>
      </c>
      <c r="O49" s="1" t="s">
        <v>45</v>
      </c>
      <c r="P49" s="1">
        <f>+E49-O49</f>
        <v>0</v>
      </c>
      <c r="Q49" s="1"/>
    </row>
    <row r="50" spans="1:17" s="59" customFormat="1">
      <c r="A50" s="90">
        <v>124167213727</v>
      </c>
      <c r="B50" s="1" t="s">
        <v>8</v>
      </c>
      <c r="C50" s="43" t="s">
        <v>1788</v>
      </c>
      <c r="D50" s="1" t="s">
        <v>1780</v>
      </c>
      <c r="E50" s="43" t="s">
        <v>1788</v>
      </c>
      <c r="F50" s="37" t="s">
        <v>1782</v>
      </c>
      <c r="G50" s="44">
        <v>107615.09</v>
      </c>
      <c r="H50" s="77">
        <v>645.69000000000005</v>
      </c>
      <c r="I50" s="1"/>
      <c r="J50" s="1"/>
      <c r="K50" s="27" t="e">
        <f>VLOOKUP(A50,Detallado!$C$5:$H$1570,6,FALSE)</f>
        <v>#N/A</v>
      </c>
      <c r="L50" s="1"/>
      <c r="M50" s="4">
        <v>-641.8395029821113</v>
      </c>
      <c r="N50" s="66" t="e">
        <f>+K50-M50</f>
        <v>#N/A</v>
      </c>
      <c r="O50" s="1" t="s">
        <v>45</v>
      </c>
      <c r="P50" s="1">
        <f>+E50-O50</f>
        <v>0</v>
      </c>
      <c r="Q50" s="1"/>
    </row>
    <row r="51" spans="1:17" s="59" customFormat="1">
      <c r="A51" s="101" t="s">
        <v>1789</v>
      </c>
      <c r="B51" s="59" t="s">
        <v>8</v>
      </c>
      <c r="C51" s="60" t="s">
        <v>1788</v>
      </c>
      <c r="D51" s="59" t="s">
        <v>1780</v>
      </c>
      <c r="E51" s="60" t="s">
        <v>1788</v>
      </c>
      <c r="F51" s="61" t="s">
        <v>1782</v>
      </c>
      <c r="G51" s="62">
        <v>154335</v>
      </c>
      <c r="H51" s="74">
        <v>926.01</v>
      </c>
      <c r="K51" s="27">
        <f>-H51</f>
        <v>-926.01</v>
      </c>
      <c r="L51" s="1"/>
      <c r="M51" s="4">
        <v>-926.01000000000931</v>
      </c>
      <c r="N51" s="66">
        <f>+K51-M51</f>
        <v>9.3223206931725144E-12</v>
      </c>
      <c r="O51" s="1" t="s">
        <v>45</v>
      </c>
      <c r="P51" s="1">
        <f>+E51-O51</f>
        <v>0</v>
      </c>
      <c r="Q51" s="1"/>
    </row>
    <row r="52" spans="1:17" s="59" customFormat="1">
      <c r="A52" s="90">
        <v>124761516066</v>
      </c>
      <c r="B52" s="1" t="s">
        <v>8</v>
      </c>
      <c r="C52" s="43" t="s">
        <v>1788</v>
      </c>
      <c r="D52" s="1" t="s">
        <v>1780</v>
      </c>
      <c r="E52" s="43" t="s">
        <v>1788</v>
      </c>
      <c r="F52" s="37" t="s">
        <v>1782</v>
      </c>
      <c r="G52" s="44">
        <v>210343.29</v>
      </c>
      <c r="H52" s="77">
        <v>1262.06</v>
      </c>
      <c r="I52" s="1"/>
      <c r="J52" s="1"/>
      <c r="K52" s="27" t="e">
        <f>VLOOKUP(A52,Detallado!$C$5:$H$1570,6,FALSE)</f>
        <v>#N/A</v>
      </c>
      <c r="L52" s="1"/>
      <c r="M52" s="4">
        <v>-1254.532544731599</v>
      </c>
      <c r="N52" s="66" t="e">
        <f>+K52-M52</f>
        <v>#N/A</v>
      </c>
      <c r="O52" s="1" t="s">
        <v>45</v>
      </c>
      <c r="P52" s="1">
        <f>+E52-O52</f>
        <v>0</v>
      </c>
      <c r="Q52" s="1"/>
    </row>
    <row r="53" spans="1:17" s="59" customFormat="1">
      <c r="A53" s="90">
        <v>124798706468</v>
      </c>
      <c r="B53" s="1" t="s">
        <v>8</v>
      </c>
      <c r="C53" s="43" t="s">
        <v>1788</v>
      </c>
      <c r="D53" s="1" t="s">
        <v>1780</v>
      </c>
      <c r="E53" s="43" t="s">
        <v>1792</v>
      </c>
      <c r="F53" s="37" t="s">
        <v>1782</v>
      </c>
      <c r="G53" s="44">
        <v>9800</v>
      </c>
      <c r="H53" s="44">
        <v>58.8</v>
      </c>
      <c r="I53" s="1"/>
      <c r="J53" s="1"/>
      <c r="K53" s="4" t="e">
        <f>VLOOKUP(A53,Detallado!$C$5:$H$1570,6,FALSE)</f>
        <v>#N/A</v>
      </c>
      <c r="L53" s="1"/>
      <c r="M53" s="1"/>
      <c r="N53" s="1"/>
      <c r="O53" s="1"/>
      <c r="P53" s="1"/>
      <c r="Q53" s="1"/>
    </row>
    <row r="54" spans="1:17" s="59" customFormat="1">
      <c r="A54" s="90">
        <v>124798439032</v>
      </c>
      <c r="B54" s="1" t="s">
        <v>8</v>
      </c>
      <c r="C54" s="43" t="s">
        <v>1788</v>
      </c>
      <c r="D54" s="1" t="s">
        <v>1780</v>
      </c>
      <c r="E54" s="43" t="s">
        <v>1792</v>
      </c>
      <c r="F54" s="37" t="s">
        <v>1782</v>
      </c>
      <c r="G54" s="44">
        <v>28200</v>
      </c>
      <c r="H54" s="44">
        <v>169.2</v>
      </c>
      <c r="I54" s="1"/>
      <c r="J54" s="1"/>
      <c r="K54" s="4" t="e">
        <f>VLOOKUP(A54,Detallado!$C$5:$H$1570,6,FALSE)</f>
        <v>#N/A</v>
      </c>
      <c r="L54" s="1"/>
      <c r="M54" s="1"/>
      <c r="N54" s="1"/>
      <c r="O54" s="1"/>
      <c r="P54" s="1"/>
      <c r="Q54" s="1"/>
    </row>
    <row r="55" spans="1:17" s="59" customFormat="1">
      <c r="A55" s="90">
        <v>124797908608</v>
      </c>
      <c r="B55" s="1" t="s">
        <v>8</v>
      </c>
      <c r="C55" s="43" t="s">
        <v>1788</v>
      </c>
      <c r="D55" s="1" t="s">
        <v>1780</v>
      </c>
      <c r="E55" s="43" t="s">
        <v>1792</v>
      </c>
      <c r="F55" s="37" t="s">
        <v>1782</v>
      </c>
      <c r="G55" s="44">
        <v>15500</v>
      </c>
      <c r="H55" s="44">
        <v>93</v>
      </c>
      <c r="I55" s="1"/>
      <c r="J55" s="1"/>
      <c r="K55" s="4" t="e">
        <f>VLOOKUP(A55,Detallado!$C$5:$H$1570,6,FALSE)</f>
        <v>#N/A</v>
      </c>
      <c r="L55" s="1"/>
      <c r="M55" s="1"/>
      <c r="N55" s="1"/>
      <c r="O55" s="1"/>
      <c r="P55" s="1"/>
      <c r="Q55" s="1"/>
    </row>
    <row r="56" spans="1:17" s="59" customFormat="1">
      <c r="A56" s="90">
        <v>124797743380</v>
      </c>
      <c r="B56" s="1" t="s">
        <v>1790</v>
      </c>
      <c r="C56" s="43" t="s">
        <v>1788</v>
      </c>
      <c r="D56" s="1" t="s">
        <v>1780</v>
      </c>
      <c r="E56" s="43" t="s">
        <v>1792</v>
      </c>
      <c r="F56" s="37" t="s">
        <v>1782</v>
      </c>
      <c r="G56" s="44">
        <v>152793</v>
      </c>
      <c r="H56" s="44">
        <v>916.76</v>
      </c>
      <c r="I56" s="1"/>
      <c r="J56" s="1"/>
      <c r="K56" s="4" t="e">
        <f>VLOOKUP(A56,Detallado!$C$5:$H$1570,6,FALSE)</f>
        <v>#N/A</v>
      </c>
      <c r="L56" s="1"/>
      <c r="M56" s="1"/>
      <c r="N56" s="1"/>
      <c r="O56" s="1"/>
      <c r="P56" s="1"/>
      <c r="Q56" s="1"/>
    </row>
    <row r="57" spans="1:17" s="59" customFormat="1">
      <c r="A57" s="90">
        <v>124797394520</v>
      </c>
      <c r="B57" s="1" t="s">
        <v>8</v>
      </c>
      <c r="C57" s="43" t="s">
        <v>1788</v>
      </c>
      <c r="D57" s="1" t="s">
        <v>1780</v>
      </c>
      <c r="E57" s="43" t="s">
        <v>1792</v>
      </c>
      <c r="F57" s="37" t="s">
        <v>1782</v>
      </c>
      <c r="G57" s="44">
        <v>36700</v>
      </c>
      <c r="H57" s="44">
        <v>220.2</v>
      </c>
      <c r="I57" s="1"/>
      <c r="J57" s="1"/>
      <c r="K57" s="4" t="e">
        <f>VLOOKUP(A57,Detallado!$C$5:$H$1570,6,FALSE)</f>
        <v>#N/A</v>
      </c>
      <c r="L57" s="1"/>
      <c r="M57" s="1"/>
      <c r="N57" s="1"/>
      <c r="O57" s="1"/>
      <c r="P57" s="1"/>
      <c r="Q57" s="1"/>
    </row>
    <row r="58" spans="1:17" s="59" customFormat="1">
      <c r="A58" s="90">
        <v>124797073790</v>
      </c>
      <c r="B58" s="1" t="s">
        <v>8</v>
      </c>
      <c r="C58" s="43" t="s">
        <v>1788</v>
      </c>
      <c r="D58" s="1" t="s">
        <v>1780</v>
      </c>
      <c r="E58" s="43" t="s">
        <v>1792</v>
      </c>
      <c r="F58" s="37" t="s">
        <v>1782</v>
      </c>
      <c r="G58" s="44">
        <v>57200</v>
      </c>
      <c r="H58" s="44">
        <v>343.2</v>
      </c>
      <c r="I58" s="1"/>
      <c r="J58" s="1"/>
      <c r="K58" s="4" t="e">
        <f>VLOOKUP(A58,Detallado!$C$5:$H$1570,6,FALSE)</f>
        <v>#N/A</v>
      </c>
      <c r="L58" s="1"/>
      <c r="M58" s="1"/>
      <c r="N58" s="1"/>
      <c r="O58" s="1"/>
      <c r="P58" s="1"/>
      <c r="Q58" s="1"/>
    </row>
    <row r="59" spans="1:17" s="59" customFormat="1">
      <c r="A59" s="90">
        <v>124254045511</v>
      </c>
      <c r="B59" s="1" t="s">
        <v>1794</v>
      </c>
      <c r="C59" s="43" t="s">
        <v>1788</v>
      </c>
      <c r="D59" s="1" t="s">
        <v>1780</v>
      </c>
      <c r="E59" s="43" t="s">
        <v>1792</v>
      </c>
      <c r="F59" s="37" t="s">
        <v>1782</v>
      </c>
      <c r="G59" s="44">
        <v>1410</v>
      </c>
      <c r="H59" s="44">
        <v>8.4600000000000009</v>
      </c>
      <c r="I59" s="1"/>
      <c r="J59" s="1"/>
      <c r="K59" s="4" t="e">
        <f>VLOOKUP(A59,Detallado!$C$5:$H$1570,6,FALSE)</f>
        <v>#N/A</v>
      </c>
      <c r="L59" s="1"/>
      <c r="M59" s="1"/>
      <c r="N59" s="1"/>
      <c r="O59" s="1"/>
      <c r="P59" s="1"/>
      <c r="Q59" s="1"/>
    </row>
    <row r="60" spans="1:17" s="59" customFormat="1">
      <c r="A60" s="90">
        <v>124253989611</v>
      </c>
      <c r="B60" s="1" t="s">
        <v>8</v>
      </c>
      <c r="C60" s="43" t="s">
        <v>1788</v>
      </c>
      <c r="D60" s="1" t="s">
        <v>1780</v>
      </c>
      <c r="E60" s="43" t="s">
        <v>1792</v>
      </c>
      <c r="F60" s="37" t="s">
        <v>1782</v>
      </c>
      <c r="G60" s="44">
        <v>20900</v>
      </c>
      <c r="H60" s="44">
        <v>125.4</v>
      </c>
      <c r="I60" s="1"/>
      <c r="J60" s="1"/>
      <c r="K60" s="4" t="e">
        <f>VLOOKUP(A60,Detallado!$C$5:$H$1570,6,FALSE)</f>
        <v>#N/A</v>
      </c>
      <c r="L60" s="1"/>
      <c r="M60" s="1"/>
      <c r="N60" s="1"/>
      <c r="O60" s="1"/>
      <c r="P60" s="1"/>
      <c r="Q60" s="1"/>
    </row>
    <row r="61" spans="1:17" s="59" customFormat="1">
      <c r="A61" s="90">
        <v>124253070499</v>
      </c>
      <c r="B61" s="1" t="s">
        <v>1793</v>
      </c>
      <c r="C61" s="43" t="s">
        <v>1788</v>
      </c>
      <c r="D61" s="1" t="s">
        <v>1780</v>
      </c>
      <c r="E61" s="43" t="s">
        <v>1792</v>
      </c>
      <c r="F61" s="37" t="s">
        <v>1782</v>
      </c>
      <c r="G61" s="44">
        <v>1835</v>
      </c>
      <c r="H61" s="44">
        <v>11.01</v>
      </c>
      <c r="I61" s="1"/>
      <c r="J61" s="1"/>
      <c r="K61" s="4" t="e">
        <f>VLOOKUP(A61,Detallado!$C$5:$H$1570,6,FALSE)</f>
        <v>#N/A</v>
      </c>
      <c r="L61" s="1"/>
      <c r="M61" s="1"/>
      <c r="N61" s="1"/>
      <c r="O61" s="1"/>
      <c r="P61" s="1"/>
      <c r="Q61" s="1"/>
    </row>
    <row r="62" spans="1:17" s="59" customFormat="1">
      <c r="A62" s="90">
        <v>124931811338</v>
      </c>
      <c r="B62" s="1" t="s">
        <v>8</v>
      </c>
      <c r="C62" s="43" t="s">
        <v>1792</v>
      </c>
      <c r="D62" s="1" t="s">
        <v>1780</v>
      </c>
      <c r="E62" s="43" t="s">
        <v>1792</v>
      </c>
      <c r="F62" s="37" t="s">
        <v>1782</v>
      </c>
      <c r="G62" s="44">
        <v>1900</v>
      </c>
      <c r="H62" s="44">
        <v>11.4</v>
      </c>
      <c r="I62" s="1"/>
      <c r="J62" s="1"/>
      <c r="K62" s="4" t="e">
        <f>VLOOKUP(A62,Detallado!$C$5:$H$1570,6,FALSE)</f>
        <v>#N/A</v>
      </c>
      <c r="L62" s="1"/>
      <c r="M62" s="1"/>
      <c r="N62" s="1"/>
      <c r="O62" s="1"/>
      <c r="P62" s="1"/>
      <c r="Q62" s="1"/>
    </row>
    <row r="63" spans="1:17" s="59" customFormat="1">
      <c r="A63" s="90">
        <v>124931738646</v>
      </c>
      <c r="B63" s="1" t="s">
        <v>8</v>
      </c>
      <c r="C63" s="43" t="s">
        <v>1792</v>
      </c>
      <c r="D63" s="1" t="s">
        <v>1780</v>
      </c>
      <c r="E63" s="43" t="s">
        <v>1792</v>
      </c>
      <c r="F63" s="37" t="s">
        <v>1782</v>
      </c>
      <c r="G63" s="44">
        <v>3900</v>
      </c>
      <c r="H63" s="44">
        <v>23.4</v>
      </c>
      <c r="I63" s="1"/>
      <c r="J63" s="1"/>
      <c r="K63" s="4" t="e">
        <f>VLOOKUP(A63,Detallado!$C$5:$H$1570,6,FALSE)</f>
        <v>#N/A</v>
      </c>
      <c r="L63" s="1"/>
      <c r="M63" s="1"/>
      <c r="N63" s="1"/>
      <c r="O63" s="1"/>
      <c r="P63" s="1"/>
      <c r="Q63" s="1"/>
    </row>
    <row r="64" spans="1:17" s="59" customFormat="1">
      <c r="A64" s="90">
        <v>124931688378</v>
      </c>
      <c r="B64" s="1" t="s">
        <v>8</v>
      </c>
      <c r="C64" s="43" t="s">
        <v>1792</v>
      </c>
      <c r="D64" s="1" t="s">
        <v>1780</v>
      </c>
      <c r="E64" s="43" t="s">
        <v>1792</v>
      </c>
      <c r="F64" s="37" t="s">
        <v>1782</v>
      </c>
      <c r="G64" s="44">
        <v>9600</v>
      </c>
      <c r="H64" s="44">
        <v>57.6</v>
      </c>
      <c r="I64" s="1"/>
      <c r="J64" s="1"/>
      <c r="K64" s="4" t="e">
        <f>VLOOKUP(A64,Detallado!$C$5:$H$1570,6,FALSE)</f>
        <v>#N/A</v>
      </c>
      <c r="L64" s="1"/>
      <c r="M64" s="1"/>
      <c r="N64" s="1"/>
      <c r="O64" s="1"/>
      <c r="P64" s="1"/>
      <c r="Q64" s="1"/>
    </row>
    <row r="65" spans="1:17" s="59" customFormat="1">
      <c r="A65" s="90">
        <v>124930920538</v>
      </c>
      <c r="B65" s="1" t="s">
        <v>1790</v>
      </c>
      <c r="C65" s="43" t="s">
        <v>1792</v>
      </c>
      <c r="D65" s="1" t="s">
        <v>1780</v>
      </c>
      <c r="E65" s="43" t="s">
        <v>1792</v>
      </c>
      <c r="F65" s="37" t="s">
        <v>1782</v>
      </c>
      <c r="G65" s="44">
        <v>21500</v>
      </c>
      <c r="H65" s="44">
        <v>129</v>
      </c>
      <c r="I65" s="1"/>
      <c r="J65" s="1"/>
      <c r="K65" s="4" t="e">
        <f>VLOOKUP(A65,Detallado!$C$5:$H$1570,6,FALSE)</f>
        <v>#N/A</v>
      </c>
      <c r="L65" s="1"/>
      <c r="M65" s="1"/>
      <c r="N65" s="1"/>
      <c r="O65" s="1"/>
      <c r="P65" s="1"/>
      <c r="Q65" s="1"/>
    </row>
    <row r="66" spans="1:17" s="59" customFormat="1">
      <c r="A66" s="90">
        <v>124930281670</v>
      </c>
      <c r="B66" s="1" t="s">
        <v>1790</v>
      </c>
      <c r="C66" s="43" t="s">
        <v>1792</v>
      </c>
      <c r="D66" s="1" t="s">
        <v>1780</v>
      </c>
      <c r="E66" s="43" t="s">
        <v>1792</v>
      </c>
      <c r="F66" s="37" t="s">
        <v>1782</v>
      </c>
      <c r="G66" s="44">
        <v>8600</v>
      </c>
      <c r="H66" s="44">
        <v>51.6</v>
      </c>
      <c r="I66" s="1"/>
      <c r="J66" s="1"/>
      <c r="K66" s="4" t="e">
        <f>VLOOKUP(A66,Detallado!$C$5:$H$1570,6,FALSE)</f>
        <v>#N/A</v>
      </c>
      <c r="L66" s="1"/>
      <c r="M66" s="1"/>
      <c r="N66" s="1"/>
      <c r="O66" s="1"/>
      <c r="P66" s="1"/>
      <c r="Q66" s="1"/>
    </row>
    <row r="67" spans="1:17" s="59" customFormat="1">
      <c r="A67" s="90">
        <v>124929957960</v>
      </c>
      <c r="B67" s="1" t="s">
        <v>8</v>
      </c>
      <c r="C67" s="43" t="s">
        <v>1792</v>
      </c>
      <c r="D67" s="1" t="s">
        <v>1780</v>
      </c>
      <c r="E67" s="43" t="s">
        <v>1792</v>
      </c>
      <c r="F67" s="37" t="s">
        <v>1782</v>
      </c>
      <c r="G67" s="44">
        <v>4300</v>
      </c>
      <c r="H67" s="44">
        <v>25.8</v>
      </c>
      <c r="I67" s="1"/>
      <c r="J67" s="1"/>
      <c r="K67" s="4" t="e">
        <f>VLOOKUP(A67,Detallado!$C$5:$H$1570,6,FALSE)</f>
        <v>#N/A</v>
      </c>
      <c r="L67" s="1"/>
      <c r="M67" s="1"/>
      <c r="N67" s="1"/>
      <c r="O67" s="1"/>
      <c r="P67" s="1"/>
      <c r="Q67" s="1"/>
    </row>
    <row r="68" spans="1:17" s="59" customFormat="1">
      <c r="A68" s="90">
        <v>124929877616</v>
      </c>
      <c r="B68" s="1" t="s">
        <v>8</v>
      </c>
      <c r="C68" s="43" t="s">
        <v>1792</v>
      </c>
      <c r="D68" s="1" t="s">
        <v>1780</v>
      </c>
      <c r="E68" s="43" t="s">
        <v>1792</v>
      </c>
      <c r="F68" s="37" t="s">
        <v>1782</v>
      </c>
      <c r="G68" s="44">
        <v>3900</v>
      </c>
      <c r="H68" s="44">
        <v>23.4</v>
      </c>
      <c r="I68" s="1"/>
      <c r="J68" s="1"/>
      <c r="K68" s="4" t="e">
        <f>VLOOKUP(A68,Detallado!$C$5:$H$1570,6,FALSE)</f>
        <v>#N/A</v>
      </c>
      <c r="L68" s="1"/>
      <c r="M68" s="1"/>
      <c r="N68" s="1"/>
      <c r="O68" s="1"/>
      <c r="P68" s="1"/>
      <c r="Q68" s="1"/>
    </row>
    <row r="69" spans="1:17" s="59" customFormat="1">
      <c r="A69" s="90">
        <v>124929549560</v>
      </c>
      <c r="B69" s="1" t="s">
        <v>8</v>
      </c>
      <c r="C69" s="43" t="s">
        <v>1792</v>
      </c>
      <c r="D69" s="1" t="s">
        <v>1780</v>
      </c>
      <c r="E69" s="43" t="s">
        <v>1792</v>
      </c>
      <c r="F69" s="37" t="s">
        <v>1782</v>
      </c>
      <c r="G69" s="44">
        <v>13600</v>
      </c>
      <c r="H69" s="44">
        <v>81.599999999999994</v>
      </c>
      <c r="I69" s="1"/>
      <c r="J69" s="1"/>
      <c r="K69" s="4" t="e">
        <f>VLOOKUP(A69,Detallado!$C$5:$H$1570,6,FALSE)</f>
        <v>#N/A</v>
      </c>
      <c r="L69" s="1"/>
      <c r="M69" s="1"/>
      <c r="N69" s="1"/>
      <c r="O69" s="1"/>
      <c r="P69" s="1"/>
      <c r="Q69" s="1"/>
    </row>
    <row r="70" spans="1:17" s="59" customFormat="1">
      <c r="A70" s="90">
        <v>124929525256</v>
      </c>
      <c r="B70" s="1" t="s">
        <v>8</v>
      </c>
      <c r="C70" s="43" t="s">
        <v>1792</v>
      </c>
      <c r="D70" s="1" t="s">
        <v>1780</v>
      </c>
      <c r="E70" s="43" t="s">
        <v>1792</v>
      </c>
      <c r="F70" s="37" t="s">
        <v>1782</v>
      </c>
      <c r="G70" s="44">
        <v>3500</v>
      </c>
      <c r="H70" s="44">
        <v>21</v>
      </c>
      <c r="I70" s="1"/>
      <c r="J70" s="1"/>
      <c r="K70" s="4" t="e">
        <f>VLOOKUP(A70,Detallado!$C$5:$H$1570,6,FALSE)</f>
        <v>#N/A</v>
      </c>
      <c r="L70" s="1"/>
      <c r="M70" s="1"/>
      <c r="N70" s="1"/>
      <c r="O70" s="1"/>
      <c r="P70" s="1"/>
      <c r="Q70" s="1"/>
    </row>
    <row r="71" spans="1:17" s="59" customFormat="1">
      <c r="A71" s="90">
        <v>124929201672</v>
      </c>
      <c r="B71" s="1" t="s">
        <v>8</v>
      </c>
      <c r="C71" s="43" t="s">
        <v>1792</v>
      </c>
      <c r="D71" s="1" t="s">
        <v>1780</v>
      </c>
      <c r="E71" s="43" t="s">
        <v>1792</v>
      </c>
      <c r="F71" s="37" t="s">
        <v>1782</v>
      </c>
      <c r="G71" s="44">
        <v>12900</v>
      </c>
      <c r="H71" s="44">
        <v>77.400000000000006</v>
      </c>
      <c r="I71" s="1"/>
      <c r="J71" s="1"/>
      <c r="K71" s="4" t="e">
        <f>VLOOKUP(A71,Detallado!$C$5:$H$1570,6,FALSE)</f>
        <v>#N/A</v>
      </c>
      <c r="L71" s="1"/>
      <c r="M71" s="1"/>
      <c r="N71" s="1"/>
      <c r="O71" s="1"/>
      <c r="P71" s="1"/>
      <c r="Q71" s="1"/>
    </row>
    <row r="72" spans="1:17" s="59" customFormat="1">
      <c r="A72" s="90">
        <v>124929160694</v>
      </c>
      <c r="B72" s="1" t="s">
        <v>1790</v>
      </c>
      <c r="C72" s="43" t="s">
        <v>1792</v>
      </c>
      <c r="D72" s="1" t="s">
        <v>1780</v>
      </c>
      <c r="E72" s="43" t="s">
        <v>1792</v>
      </c>
      <c r="F72" s="37" t="s">
        <v>1782</v>
      </c>
      <c r="G72" s="44">
        <v>35400</v>
      </c>
      <c r="H72" s="44">
        <v>212.4</v>
      </c>
      <c r="I72" s="1"/>
      <c r="J72" s="1"/>
      <c r="K72" s="4" t="e">
        <f>VLOOKUP(A72,Detallado!$C$5:$H$1570,6,FALSE)</f>
        <v>#N/A</v>
      </c>
      <c r="L72" s="1"/>
      <c r="M72" s="1"/>
      <c r="N72" s="1"/>
      <c r="O72" s="1"/>
      <c r="P72" s="1"/>
      <c r="Q72" s="1"/>
    </row>
    <row r="73" spans="1:17" s="59" customFormat="1">
      <c r="A73" s="90">
        <v>124928647796</v>
      </c>
      <c r="B73" s="1" t="s">
        <v>8</v>
      </c>
      <c r="C73" s="43" t="s">
        <v>1792</v>
      </c>
      <c r="D73" s="1" t="s">
        <v>1780</v>
      </c>
      <c r="E73" s="43" t="s">
        <v>1792</v>
      </c>
      <c r="F73" s="37" t="s">
        <v>1782</v>
      </c>
      <c r="G73" s="44">
        <v>12900</v>
      </c>
      <c r="H73" s="44">
        <v>77.400000000000006</v>
      </c>
      <c r="I73" s="1"/>
      <c r="J73" s="1"/>
      <c r="K73" s="4" t="e">
        <f>VLOOKUP(A73,Detallado!$C$5:$H$1570,6,FALSE)</f>
        <v>#N/A</v>
      </c>
      <c r="L73" s="1"/>
      <c r="M73" s="1"/>
      <c r="N73" s="1"/>
      <c r="O73" s="1"/>
      <c r="P73" s="1"/>
      <c r="Q73" s="1"/>
    </row>
    <row r="74" spans="1:17" s="59" customFormat="1">
      <c r="A74" s="90">
        <v>124926894128</v>
      </c>
      <c r="B74" s="1" t="s">
        <v>8</v>
      </c>
      <c r="C74" s="43" t="s">
        <v>1792</v>
      </c>
      <c r="D74" s="1" t="s">
        <v>1780</v>
      </c>
      <c r="E74" s="43" t="s">
        <v>1792</v>
      </c>
      <c r="F74" s="37" t="s">
        <v>1782</v>
      </c>
      <c r="G74" s="44">
        <v>3500</v>
      </c>
      <c r="H74" s="44">
        <v>21</v>
      </c>
      <c r="I74" s="1"/>
      <c r="J74" s="1"/>
      <c r="K74" s="4" t="e">
        <f>VLOOKUP(A74,Detallado!$C$5:$H$1570,6,FALSE)</f>
        <v>#N/A</v>
      </c>
      <c r="L74" s="1"/>
      <c r="M74" s="1"/>
      <c r="N74" s="1"/>
      <c r="O74" s="1"/>
      <c r="P74" s="1"/>
      <c r="Q74" s="1"/>
    </row>
    <row r="75" spans="1:17">
      <c r="A75" s="90">
        <v>124926882200</v>
      </c>
      <c r="B75" s="1" t="s">
        <v>1798</v>
      </c>
      <c r="C75" s="43" t="s">
        <v>1792</v>
      </c>
      <c r="D75" s="1" t="s">
        <v>1780</v>
      </c>
      <c r="E75" s="43" t="s">
        <v>1792</v>
      </c>
      <c r="F75" s="37" t="s">
        <v>1782</v>
      </c>
      <c r="G75" s="44">
        <v>175</v>
      </c>
      <c r="H75" s="44">
        <v>1.05</v>
      </c>
      <c r="K75" s="4" t="e">
        <f>VLOOKUP(A75,Detallado!$C$5:$H$1570,6,FALSE)</f>
        <v>#N/A</v>
      </c>
    </row>
    <row r="76" spans="1:17">
      <c r="A76" s="90">
        <v>124926603568</v>
      </c>
      <c r="B76" s="1" t="s">
        <v>8</v>
      </c>
      <c r="C76" s="43" t="s">
        <v>1792</v>
      </c>
      <c r="D76" s="1" t="s">
        <v>1780</v>
      </c>
      <c r="E76" s="43" t="s">
        <v>1792</v>
      </c>
      <c r="F76" s="37" t="s">
        <v>1782</v>
      </c>
      <c r="G76" s="44">
        <v>13900</v>
      </c>
      <c r="H76" s="44">
        <v>83.4</v>
      </c>
      <c r="K76" s="4" t="e">
        <f>VLOOKUP(A76,Detallado!$C$5:$H$1570,6,FALSE)</f>
        <v>#N/A</v>
      </c>
    </row>
    <row r="77" spans="1:17">
      <c r="A77" s="90">
        <v>124926524640</v>
      </c>
      <c r="B77" s="1" t="s">
        <v>8</v>
      </c>
      <c r="C77" s="43" t="s">
        <v>1792</v>
      </c>
      <c r="D77" s="1" t="s">
        <v>1780</v>
      </c>
      <c r="E77" s="43" t="s">
        <v>1792</v>
      </c>
      <c r="F77" s="37" t="s">
        <v>1782</v>
      </c>
      <c r="G77" s="44">
        <v>81900</v>
      </c>
      <c r="H77" s="44">
        <v>491.4</v>
      </c>
      <c r="K77" s="4" t="e">
        <f>VLOOKUP(A77,Detallado!$C$5:$H$1570,6,FALSE)</f>
        <v>#N/A</v>
      </c>
    </row>
    <row r="78" spans="1:17">
      <c r="A78" s="90">
        <v>124924939738</v>
      </c>
      <c r="B78" s="1" t="s">
        <v>8</v>
      </c>
      <c r="C78" s="43" t="s">
        <v>1792</v>
      </c>
      <c r="D78" s="1" t="s">
        <v>1780</v>
      </c>
      <c r="E78" s="43" t="s">
        <v>1792</v>
      </c>
      <c r="F78" s="37" t="s">
        <v>1782</v>
      </c>
      <c r="G78" s="44">
        <v>8600</v>
      </c>
      <c r="H78" s="44">
        <v>51.6</v>
      </c>
      <c r="K78" s="4" t="e">
        <f>VLOOKUP(A78,Detallado!$C$5:$H$1570,6,FALSE)</f>
        <v>#N/A</v>
      </c>
    </row>
    <row r="79" spans="1:17">
      <c r="A79" s="90">
        <v>124921656040</v>
      </c>
      <c r="B79" s="1" t="s">
        <v>1790</v>
      </c>
      <c r="C79" s="43" t="s">
        <v>1792</v>
      </c>
      <c r="D79" s="1" t="s">
        <v>1780</v>
      </c>
      <c r="E79" s="43" t="s">
        <v>1792</v>
      </c>
      <c r="F79" s="37" t="s">
        <v>1782</v>
      </c>
      <c r="G79" s="44">
        <v>39800</v>
      </c>
      <c r="H79" s="44">
        <v>238.8</v>
      </c>
      <c r="K79" s="4" t="e">
        <f>VLOOKUP(A79,Detallado!$C$5:$H$1570,6,FALSE)</f>
        <v>#N/A</v>
      </c>
    </row>
    <row r="80" spans="1:17">
      <c r="A80" s="90">
        <v>124919880508</v>
      </c>
      <c r="B80" s="1" t="s">
        <v>8</v>
      </c>
      <c r="C80" s="43" t="s">
        <v>1792</v>
      </c>
      <c r="D80" s="1" t="s">
        <v>1780</v>
      </c>
      <c r="E80" s="43" t="s">
        <v>1792</v>
      </c>
      <c r="F80" s="37" t="s">
        <v>1782</v>
      </c>
      <c r="G80" s="44">
        <v>23800</v>
      </c>
      <c r="H80" s="44">
        <v>142.80000000000001</v>
      </c>
      <c r="K80" s="4" t="e">
        <f>VLOOKUP(A80,Detallado!$C$5:$H$1570,6,FALSE)</f>
        <v>#N/A</v>
      </c>
    </row>
    <row r="81" spans="1:11">
      <c r="A81" s="90">
        <v>124912912486</v>
      </c>
      <c r="B81" s="1" t="s">
        <v>8</v>
      </c>
      <c r="C81" s="43" t="s">
        <v>1792</v>
      </c>
      <c r="D81" s="1" t="s">
        <v>1780</v>
      </c>
      <c r="E81" s="43" t="s">
        <v>1792</v>
      </c>
      <c r="F81" s="37" t="s">
        <v>1782</v>
      </c>
      <c r="G81" s="44">
        <v>30000</v>
      </c>
      <c r="H81" s="44">
        <v>180</v>
      </c>
      <c r="K81" s="4" t="e">
        <f>VLOOKUP(A81,Detallado!$C$5:$H$1570,6,FALSE)</f>
        <v>#N/A</v>
      </c>
    </row>
    <row r="82" spans="1:11">
      <c r="A82" s="90">
        <v>124909138878</v>
      </c>
      <c r="B82" s="1" t="s">
        <v>1797</v>
      </c>
      <c r="C82" s="43" t="s">
        <v>1792</v>
      </c>
      <c r="D82" s="1" t="s">
        <v>1780</v>
      </c>
      <c r="E82" s="43" t="s">
        <v>1792</v>
      </c>
      <c r="F82" s="37" t="s">
        <v>1782</v>
      </c>
      <c r="G82" s="44">
        <v>390</v>
      </c>
      <c r="H82" s="44">
        <v>2.34</v>
      </c>
      <c r="K82" s="4" t="e">
        <f>VLOOKUP(A82,Detallado!$C$5:$H$1570,6,FALSE)</f>
        <v>#N/A</v>
      </c>
    </row>
    <row r="83" spans="1:11">
      <c r="A83" s="90">
        <v>124909134908</v>
      </c>
      <c r="B83" s="1" t="s">
        <v>8</v>
      </c>
      <c r="C83" s="43" t="s">
        <v>1792</v>
      </c>
      <c r="D83" s="1" t="s">
        <v>1780</v>
      </c>
      <c r="E83" s="43" t="s">
        <v>1792</v>
      </c>
      <c r="F83" s="37" t="s">
        <v>1782</v>
      </c>
      <c r="G83" s="44">
        <v>7800</v>
      </c>
      <c r="H83" s="44">
        <v>46.8</v>
      </c>
      <c r="K83" s="4" t="e">
        <f>VLOOKUP(A83,Detallado!$C$5:$H$1570,6,FALSE)</f>
        <v>#N/A</v>
      </c>
    </row>
    <row r="84" spans="1:11">
      <c r="A84" s="90">
        <v>124908939322</v>
      </c>
      <c r="B84" s="1" t="s">
        <v>8</v>
      </c>
      <c r="C84" s="43" t="s">
        <v>1792</v>
      </c>
      <c r="D84" s="1" t="s">
        <v>1780</v>
      </c>
      <c r="E84" s="43" t="s">
        <v>1792</v>
      </c>
      <c r="F84" s="37" t="s">
        <v>1782</v>
      </c>
      <c r="G84" s="44">
        <v>4300</v>
      </c>
      <c r="H84" s="44">
        <v>25.8</v>
      </c>
      <c r="K84" s="4" t="e">
        <f>VLOOKUP(A84,Detallado!$C$5:$H$1570,6,FALSE)</f>
        <v>#N/A</v>
      </c>
    </row>
    <row r="85" spans="1:11">
      <c r="A85" s="90">
        <v>124907529624</v>
      </c>
      <c r="B85" s="1" t="s">
        <v>8</v>
      </c>
      <c r="C85" s="43" t="s">
        <v>1792</v>
      </c>
      <c r="D85" s="1" t="s">
        <v>1780</v>
      </c>
      <c r="E85" s="43" t="s">
        <v>1792</v>
      </c>
      <c r="F85" s="37" t="s">
        <v>1782</v>
      </c>
      <c r="G85" s="44">
        <v>15900</v>
      </c>
      <c r="H85" s="44">
        <v>95.4</v>
      </c>
      <c r="K85" s="4" t="e">
        <f>VLOOKUP(A85,Detallado!$C$5:$H$1570,6,FALSE)</f>
        <v>#N/A</v>
      </c>
    </row>
    <row r="86" spans="1:11">
      <c r="A86" s="90">
        <v>124800062204</v>
      </c>
      <c r="B86" s="1" t="s">
        <v>8</v>
      </c>
      <c r="C86" s="43" t="s">
        <v>1792</v>
      </c>
      <c r="D86" s="1" t="s">
        <v>1780</v>
      </c>
      <c r="E86" s="43" t="s">
        <v>1792</v>
      </c>
      <c r="F86" s="37" t="s">
        <v>1782</v>
      </c>
      <c r="G86" s="44">
        <v>47197</v>
      </c>
      <c r="H86" s="44">
        <v>283.18</v>
      </c>
      <c r="K86" s="4" t="e">
        <f>VLOOKUP(A86,Detallado!$C$5:$H$1570,6,FALSE)</f>
        <v>#N/A</v>
      </c>
    </row>
    <row r="87" spans="1:11">
      <c r="A87" s="90">
        <v>124386234575</v>
      </c>
      <c r="B87" s="1" t="s">
        <v>1790</v>
      </c>
      <c r="C87" s="43" t="s">
        <v>1792</v>
      </c>
      <c r="D87" s="1" t="s">
        <v>1780</v>
      </c>
      <c r="E87" s="43" t="s">
        <v>1792</v>
      </c>
      <c r="F87" s="37" t="s">
        <v>1782</v>
      </c>
      <c r="G87" s="44">
        <v>13200</v>
      </c>
      <c r="H87" s="44">
        <v>79.2</v>
      </c>
      <c r="K87" s="4" t="e">
        <f>VLOOKUP(A87,Detallado!$C$5:$H$1570,6,FALSE)</f>
        <v>#N/A</v>
      </c>
    </row>
    <row r="88" spans="1:11">
      <c r="A88" s="90">
        <v>124386117715</v>
      </c>
      <c r="B88" s="1" t="s">
        <v>8</v>
      </c>
      <c r="C88" s="43" t="s">
        <v>1792</v>
      </c>
      <c r="D88" s="1" t="s">
        <v>1780</v>
      </c>
      <c r="E88" s="43" t="s">
        <v>1792</v>
      </c>
      <c r="F88" s="37" t="s">
        <v>1782</v>
      </c>
      <c r="G88" s="44">
        <v>18900</v>
      </c>
      <c r="H88" s="44">
        <v>113.4</v>
      </c>
      <c r="K88" s="4" t="e">
        <f>VLOOKUP(A88,Detallado!$C$5:$H$1570,6,FALSE)</f>
        <v>#N/A</v>
      </c>
    </row>
    <row r="89" spans="1:11">
      <c r="A89" s="90">
        <v>124385743585</v>
      </c>
      <c r="B89" s="1" t="s">
        <v>8</v>
      </c>
      <c r="C89" s="43" t="s">
        <v>1792</v>
      </c>
      <c r="D89" s="1" t="s">
        <v>1780</v>
      </c>
      <c r="E89" s="43" t="s">
        <v>1792</v>
      </c>
      <c r="F89" s="37" t="s">
        <v>1782</v>
      </c>
      <c r="G89" s="44">
        <v>3900</v>
      </c>
      <c r="H89" s="44">
        <v>23.4</v>
      </c>
      <c r="K89" s="4" t="e">
        <f>VLOOKUP(A89,Detallado!$C$5:$H$1570,6,FALSE)</f>
        <v>#N/A</v>
      </c>
    </row>
    <row r="90" spans="1:11">
      <c r="A90" s="90">
        <v>124385652341</v>
      </c>
      <c r="B90" s="1" t="s">
        <v>8</v>
      </c>
      <c r="C90" s="43" t="s">
        <v>1792</v>
      </c>
      <c r="D90" s="1" t="s">
        <v>1780</v>
      </c>
      <c r="E90" s="43" t="s">
        <v>1792</v>
      </c>
      <c r="F90" s="37" t="s">
        <v>1782</v>
      </c>
      <c r="G90" s="44">
        <v>14300</v>
      </c>
      <c r="H90" s="44">
        <v>85.8</v>
      </c>
      <c r="K90" s="4" t="e">
        <f>VLOOKUP(A90,Detallado!$C$5:$H$1570,6,FALSE)</f>
        <v>#N/A</v>
      </c>
    </row>
    <row r="91" spans="1:11">
      <c r="A91" s="90">
        <v>124385248819</v>
      </c>
      <c r="B91" s="1" t="s">
        <v>8</v>
      </c>
      <c r="C91" s="43" t="s">
        <v>1792</v>
      </c>
      <c r="D91" s="1" t="s">
        <v>1780</v>
      </c>
      <c r="E91" s="43" t="s">
        <v>1792</v>
      </c>
      <c r="F91" s="37" t="s">
        <v>1782</v>
      </c>
      <c r="G91" s="44">
        <v>3900</v>
      </c>
      <c r="H91" s="44">
        <v>23.4</v>
      </c>
      <c r="K91" s="4" t="e">
        <f>VLOOKUP(A91,Detallado!$C$5:$H$1570,6,FALSE)</f>
        <v>#N/A</v>
      </c>
    </row>
    <row r="92" spans="1:11">
      <c r="A92" s="90">
        <v>124384575133</v>
      </c>
      <c r="B92" s="1" t="s">
        <v>8</v>
      </c>
      <c r="C92" s="43" t="s">
        <v>1792</v>
      </c>
      <c r="D92" s="1" t="s">
        <v>1780</v>
      </c>
      <c r="E92" s="43" t="s">
        <v>1792</v>
      </c>
      <c r="F92" s="37" t="s">
        <v>1782</v>
      </c>
      <c r="G92" s="44">
        <v>10900</v>
      </c>
      <c r="H92" s="44">
        <v>65.400000000000006</v>
      </c>
      <c r="K92" s="4" t="e">
        <f>VLOOKUP(A92,Detallado!$C$5:$H$1570,6,FALSE)</f>
        <v>#N/A</v>
      </c>
    </row>
    <row r="93" spans="1:11">
      <c r="A93" s="90">
        <v>124383275693</v>
      </c>
      <c r="B93" s="1" t="s">
        <v>8</v>
      </c>
      <c r="C93" s="43" t="s">
        <v>1792</v>
      </c>
      <c r="D93" s="1" t="s">
        <v>1780</v>
      </c>
      <c r="E93" s="43" t="s">
        <v>1792</v>
      </c>
      <c r="F93" s="37" t="s">
        <v>1782</v>
      </c>
      <c r="G93" s="44">
        <v>9300</v>
      </c>
      <c r="H93" s="44">
        <v>55.8</v>
      </c>
      <c r="K93" s="4" t="e">
        <f>VLOOKUP(A93,Detallado!$C$5:$H$1570,6,FALSE)</f>
        <v>#N/A</v>
      </c>
    </row>
    <row r="94" spans="1:11">
      <c r="A94" s="90">
        <v>124383268861</v>
      </c>
      <c r="B94" s="1" t="s">
        <v>8</v>
      </c>
      <c r="C94" s="43" t="s">
        <v>1792</v>
      </c>
      <c r="D94" s="1" t="s">
        <v>1780</v>
      </c>
      <c r="E94" s="43" t="s">
        <v>1792</v>
      </c>
      <c r="F94" s="37" t="s">
        <v>1782</v>
      </c>
      <c r="G94" s="44">
        <v>4300</v>
      </c>
      <c r="H94" s="44">
        <v>25.8</v>
      </c>
      <c r="K94" s="4" t="e">
        <f>VLOOKUP(A94,Detallado!$C$5:$H$1570,6,FALSE)</f>
        <v>#N/A</v>
      </c>
    </row>
    <row r="95" spans="1:11">
      <c r="A95" s="90">
        <v>124382333979</v>
      </c>
      <c r="B95" s="1" t="s">
        <v>8</v>
      </c>
      <c r="C95" s="43" t="s">
        <v>1792</v>
      </c>
      <c r="D95" s="1" t="s">
        <v>1780</v>
      </c>
      <c r="E95" s="43" t="s">
        <v>1792</v>
      </c>
      <c r="F95" s="37" t="s">
        <v>1782</v>
      </c>
      <c r="G95" s="44">
        <v>12900</v>
      </c>
      <c r="H95" s="44">
        <v>77.400000000000006</v>
      </c>
      <c r="K95" s="4" t="e">
        <f>VLOOKUP(A95,Detallado!$C$5:$H$1570,6,FALSE)</f>
        <v>#N/A</v>
      </c>
    </row>
    <row r="96" spans="1:11">
      <c r="A96" s="90">
        <v>124382131027</v>
      </c>
      <c r="B96" s="1" t="s">
        <v>8</v>
      </c>
      <c r="C96" s="43" t="s">
        <v>1792</v>
      </c>
      <c r="D96" s="1" t="s">
        <v>1780</v>
      </c>
      <c r="E96" s="43" t="s">
        <v>1792</v>
      </c>
      <c r="F96" s="37" t="s">
        <v>1782</v>
      </c>
      <c r="G96" s="44">
        <v>28100</v>
      </c>
      <c r="H96" s="44">
        <v>168.6</v>
      </c>
      <c r="K96" s="4" t="e">
        <f>VLOOKUP(A96,Detallado!$C$5:$H$1570,6,FALSE)</f>
        <v>#N/A</v>
      </c>
    </row>
    <row r="97" spans="1:16">
      <c r="A97" s="90">
        <v>124382023949</v>
      </c>
      <c r="B97" s="1" t="s">
        <v>1801</v>
      </c>
      <c r="C97" s="43" t="s">
        <v>1792</v>
      </c>
      <c r="D97" s="1" t="s">
        <v>1780</v>
      </c>
      <c r="E97" s="43" t="s">
        <v>1792</v>
      </c>
      <c r="F97" s="37" t="s">
        <v>1782</v>
      </c>
      <c r="G97" s="44">
        <v>4215</v>
      </c>
      <c r="H97" s="44">
        <v>25.29</v>
      </c>
      <c r="K97" s="4" t="e">
        <f>VLOOKUP(A97,Detallado!$C$5:$H$1570,6,FALSE)</f>
        <v>#N/A</v>
      </c>
    </row>
    <row r="98" spans="1:16">
      <c r="A98" s="90">
        <v>124379914851</v>
      </c>
      <c r="B98" s="1" t="s">
        <v>8</v>
      </c>
      <c r="C98" s="43" t="s">
        <v>1792</v>
      </c>
      <c r="D98" s="1" t="s">
        <v>1780</v>
      </c>
      <c r="E98" s="43" t="s">
        <v>1792</v>
      </c>
      <c r="F98" s="37" t="s">
        <v>1782</v>
      </c>
      <c r="G98" s="44">
        <v>4300</v>
      </c>
      <c r="H98" s="44">
        <v>25.8</v>
      </c>
      <c r="K98" s="4" t="e">
        <f>VLOOKUP(A98,Detallado!$C$5:$H$1570,6,FALSE)</f>
        <v>#N/A</v>
      </c>
    </row>
    <row r="99" spans="1:16">
      <c r="A99" s="90">
        <v>124379045323</v>
      </c>
      <c r="B99" s="1" t="s">
        <v>8</v>
      </c>
      <c r="C99" s="43" t="s">
        <v>1792</v>
      </c>
      <c r="D99" s="1" t="s">
        <v>1780</v>
      </c>
      <c r="E99" s="43" t="s">
        <v>1792</v>
      </c>
      <c r="F99" s="37" t="s">
        <v>1782</v>
      </c>
      <c r="G99" s="44">
        <v>3900</v>
      </c>
      <c r="H99" s="44">
        <v>23.4</v>
      </c>
      <c r="K99" s="4" t="e">
        <f>VLOOKUP(A99,Detallado!$C$5:$H$1570,6,FALSE)</f>
        <v>#N/A</v>
      </c>
    </row>
    <row r="100" spans="1:16">
      <c r="A100" s="90">
        <v>124375560999</v>
      </c>
      <c r="B100" s="1" t="s">
        <v>1790</v>
      </c>
      <c r="C100" s="43" t="s">
        <v>1792</v>
      </c>
      <c r="D100" s="1" t="s">
        <v>1780</v>
      </c>
      <c r="E100" s="43" t="s">
        <v>1792</v>
      </c>
      <c r="F100" s="37" t="s">
        <v>1782</v>
      </c>
      <c r="G100" s="44">
        <v>4300</v>
      </c>
      <c r="H100" s="44">
        <v>25.8</v>
      </c>
      <c r="K100" s="4" t="e">
        <f>VLOOKUP(A100,Detallado!$C$5:$H$1570,6,FALSE)</f>
        <v>#N/A</v>
      </c>
    </row>
    <row r="101" spans="1:16">
      <c r="A101" s="90">
        <v>124370030581</v>
      </c>
      <c r="B101" s="1" t="s">
        <v>8</v>
      </c>
      <c r="C101" s="43" t="s">
        <v>1792</v>
      </c>
      <c r="D101" s="1" t="s">
        <v>1780</v>
      </c>
      <c r="E101" s="43" t="s">
        <v>1792</v>
      </c>
      <c r="F101" s="37" t="s">
        <v>1782</v>
      </c>
      <c r="G101" s="44">
        <v>108900</v>
      </c>
      <c r="H101" s="44">
        <v>653.4</v>
      </c>
      <c r="K101" s="4" t="e">
        <f>VLOOKUP(A101,Detallado!$C$5:$H$1570,6,FALSE)</f>
        <v>#N/A</v>
      </c>
    </row>
    <row r="102" spans="1:16">
      <c r="A102" s="90">
        <v>124368294535</v>
      </c>
      <c r="B102" s="1" t="s">
        <v>1790</v>
      </c>
      <c r="C102" s="43" t="s">
        <v>1792</v>
      </c>
      <c r="D102" s="1" t="s">
        <v>1780</v>
      </c>
      <c r="E102" s="43" t="s">
        <v>1792</v>
      </c>
      <c r="F102" s="37" t="s">
        <v>1782</v>
      </c>
      <c r="G102" s="44">
        <v>4300</v>
      </c>
      <c r="H102" s="44">
        <v>25.8</v>
      </c>
      <c r="K102" s="4" t="e">
        <f>VLOOKUP(A102,Detallado!$C$5:$H$1570,6,FALSE)</f>
        <v>#N/A</v>
      </c>
    </row>
    <row r="103" spans="1:16">
      <c r="A103" s="90">
        <v>124362828291</v>
      </c>
      <c r="B103" s="1" t="s">
        <v>1796</v>
      </c>
      <c r="C103" s="43" t="s">
        <v>1792</v>
      </c>
      <c r="D103" s="1" t="s">
        <v>1780</v>
      </c>
      <c r="E103" s="43" t="s">
        <v>1792</v>
      </c>
      <c r="F103" s="37" t="s">
        <v>1782</v>
      </c>
      <c r="G103" s="44">
        <v>215</v>
      </c>
      <c r="H103" s="44">
        <v>1.29</v>
      </c>
      <c r="K103" s="4" t="e">
        <f>VLOOKUP(A103,Detallado!$C$5:$H$1570,6,FALSE)</f>
        <v>#N/A</v>
      </c>
    </row>
    <row r="104" spans="1:16">
      <c r="A104" s="90">
        <v>124362593953</v>
      </c>
      <c r="B104" s="1" t="s">
        <v>8</v>
      </c>
      <c r="C104" s="43" t="s">
        <v>1792</v>
      </c>
      <c r="D104" s="1" t="s">
        <v>1780</v>
      </c>
      <c r="E104" s="43" t="s">
        <v>1792</v>
      </c>
      <c r="F104" s="37" t="s">
        <v>1782</v>
      </c>
      <c r="G104" s="44">
        <v>4300</v>
      </c>
      <c r="H104" s="44">
        <v>25.8</v>
      </c>
      <c r="K104" s="4" t="e">
        <f>VLOOKUP(A104,Detallado!$C$5:$H$1570,6,FALSE)</f>
        <v>#N/A</v>
      </c>
    </row>
    <row r="105" spans="1:16">
      <c r="A105" s="90">
        <v>124256095479</v>
      </c>
      <c r="B105" s="1" t="s">
        <v>8</v>
      </c>
      <c r="C105" s="43" t="s">
        <v>1792</v>
      </c>
      <c r="D105" s="1" t="s">
        <v>1780</v>
      </c>
      <c r="E105" s="43" t="s">
        <v>1792</v>
      </c>
      <c r="F105" s="37" t="s">
        <v>1782</v>
      </c>
      <c r="G105" s="44">
        <v>19998</v>
      </c>
      <c r="H105" s="44">
        <v>119.99</v>
      </c>
      <c r="K105" s="4" t="e">
        <f>VLOOKUP(A105,Detallado!$C$5:$H$1570,6,FALSE)</f>
        <v>#N/A</v>
      </c>
    </row>
    <row r="106" spans="1:16">
      <c r="A106" s="101" t="s">
        <v>1795</v>
      </c>
      <c r="B106" s="59" t="s">
        <v>8</v>
      </c>
      <c r="C106" s="60" t="s">
        <v>1792</v>
      </c>
      <c r="D106" s="59" t="s">
        <v>1780</v>
      </c>
      <c r="E106" s="60" t="s">
        <v>1792</v>
      </c>
      <c r="F106" s="61" t="s">
        <v>1782</v>
      </c>
      <c r="G106" s="62">
        <v>21599.99</v>
      </c>
      <c r="H106" s="74">
        <v>129.6</v>
      </c>
      <c r="I106" s="59"/>
      <c r="J106" s="59"/>
      <c r="K106" s="27">
        <f>-H106</f>
        <v>-129.6</v>
      </c>
      <c r="M106" s="4">
        <v>-129.59994035785348</v>
      </c>
      <c r="N106" s="66">
        <f>+K106-M106</f>
        <v>-5.9642146510441307E-5</v>
      </c>
      <c r="O106" s="1" t="s">
        <v>903</v>
      </c>
      <c r="P106" s="1">
        <f>+E106-O106</f>
        <v>-11</v>
      </c>
    </row>
    <row r="107" spans="1:16">
      <c r="A107" s="90">
        <v>124856861194</v>
      </c>
      <c r="B107" s="1" t="s">
        <v>8</v>
      </c>
      <c r="C107" s="43" t="s">
        <v>1792</v>
      </c>
      <c r="D107" s="1" t="s">
        <v>1780</v>
      </c>
      <c r="E107" s="43" t="s">
        <v>1792</v>
      </c>
      <c r="F107" s="37" t="s">
        <v>1782</v>
      </c>
      <c r="G107" s="44">
        <v>137020</v>
      </c>
      <c r="H107" s="77">
        <v>822.12</v>
      </c>
      <c r="K107" s="27" t="e">
        <f>VLOOKUP(A107,Detallado!$C$5:$H$1570,6,FALSE)</f>
        <v>#N/A</v>
      </c>
      <c r="M107" s="4">
        <v>-817.21669980118168</v>
      </c>
      <c r="N107" s="66" t="e">
        <f>+K107-M107</f>
        <v>#N/A</v>
      </c>
      <c r="O107" s="1" t="s">
        <v>65</v>
      </c>
      <c r="P107" s="1">
        <f>+E107-O107</f>
        <v>0</v>
      </c>
    </row>
    <row r="108" spans="1:16">
      <c r="A108" s="90">
        <v>124845509146</v>
      </c>
      <c r="B108" s="1" t="s">
        <v>8</v>
      </c>
      <c r="C108" s="43" t="s">
        <v>1792</v>
      </c>
      <c r="D108" s="1" t="s">
        <v>1780</v>
      </c>
      <c r="E108" s="43" t="s">
        <v>1792</v>
      </c>
      <c r="F108" s="37" t="s">
        <v>1782</v>
      </c>
      <c r="G108" s="44">
        <v>220026.32</v>
      </c>
      <c r="H108" s="77">
        <v>1320.16</v>
      </c>
      <c r="K108" s="27" t="e">
        <f>VLOOKUP(A108,Detallado!$C$5:$H$1570,6,FALSE)</f>
        <v>#N/A</v>
      </c>
      <c r="M108" s="4">
        <v>-1312.284214711719</v>
      </c>
      <c r="N108" s="66" t="e">
        <f>+K108-M108</f>
        <v>#N/A</v>
      </c>
      <c r="P108" s="1">
        <f>+E108-O108</f>
        <v>45904</v>
      </c>
    </row>
    <row r="109" spans="1:16">
      <c r="A109" s="90">
        <v>124293086141</v>
      </c>
      <c r="B109" s="1" t="s">
        <v>8</v>
      </c>
      <c r="C109" s="43" t="s">
        <v>1792</v>
      </c>
      <c r="D109" s="1" t="s">
        <v>1780</v>
      </c>
      <c r="E109" s="43" t="s">
        <v>1792</v>
      </c>
      <c r="F109" s="37" t="s">
        <v>1782</v>
      </c>
      <c r="G109" s="44">
        <v>1226240</v>
      </c>
      <c r="H109" s="77">
        <v>7357.44</v>
      </c>
      <c r="K109" s="27" t="e">
        <f>VLOOKUP(A109,Detallado!$C$5:$H$1570,6,FALSE)</f>
        <v>#N/A</v>
      </c>
      <c r="M109" s="4">
        <v>-7313.5586481112987</v>
      </c>
      <c r="N109" s="66" t="e">
        <f>+K109-M109</f>
        <v>#N/A</v>
      </c>
      <c r="O109" s="1" t="s">
        <v>65</v>
      </c>
      <c r="P109" s="1">
        <f>+E109-O109</f>
        <v>0</v>
      </c>
    </row>
    <row r="110" spans="1:16">
      <c r="A110" s="90">
        <v>124934432228</v>
      </c>
      <c r="B110" s="1" t="s">
        <v>8</v>
      </c>
      <c r="C110" s="43" t="s">
        <v>1792</v>
      </c>
      <c r="D110" s="1" t="s">
        <v>1780</v>
      </c>
      <c r="E110" s="43" t="s">
        <v>1800</v>
      </c>
      <c r="F110" s="37" t="s">
        <v>1782</v>
      </c>
      <c r="G110" s="44">
        <v>4300</v>
      </c>
      <c r="H110" s="44">
        <v>25.8</v>
      </c>
      <c r="K110" s="4" t="e">
        <f>VLOOKUP(A110,Detallado!$C$5:$H$1570,6,FALSE)</f>
        <v>#N/A</v>
      </c>
    </row>
    <row r="111" spans="1:16">
      <c r="A111" s="90">
        <v>124933915330</v>
      </c>
      <c r="B111" s="1" t="s">
        <v>1802</v>
      </c>
      <c r="C111" s="43" t="s">
        <v>1792</v>
      </c>
      <c r="D111" s="1" t="s">
        <v>1780</v>
      </c>
      <c r="E111" s="43" t="s">
        <v>1800</v>
      </c>
      <c r="F111" s="37" t="s">
        <v>1782</v>
      </c>
      <c r="G111" s="44">
        <v>390</v>
      </c>
      <c r="H111" s="44">
        <v>2.34</v>
      </c>
      <c r="K111" s="4" t="e">
        <f>VLOOKUP(A111,Detallado!$C$5:$H$1570,6,FALSE)</f>
        <v>#N/A</v>
      </c>
    </row>
    <row r="112" spans="1:16">
      <c r="A112" s="90">
        <v>124933398996</v>
      </c>
      <c r="B112" s="1" t="s">
        <v>8</v>
      </c>
      <c r="C112" s="43" t="s">
        <v>1792</v>
      </c>
      <c r="D112" s="1" t="s">
        <v>1780</v>
      </c>
      <c r="E112" s="43" t="s">
        <v>1800</v>
      </c>
      <c r="F112" s="37" t="s">
        <v>1782</v>
      </c>
      <c r="G112" s="44">
        <v>4300</v>
      </c>
      <c r="H112" s="44">
        <v>25.8</v>
      </c>
      <c r="K112" s="4" t="e">
        <f>VLOOKUP(A112,Detallado!$C$5:$H$1570,6,FALSE)</f>
        <v>#N/A</v>
      </c>
    </row>
    <row r="113" spans="1:11">
      <c r="A113" s="90">
        <v>124933214738</v>
      </c>
      <c r="B113" s="1" t="s">
        <v>8</v>
      </c>
      <c r="C113" s="43" t="s">
        <v>1792</v>
      </c>
      <c r="D113" s="1" t="s">
        <v>1780</v>
      </c>
      <c r="E113" s="43" t="s">
        <v>1800</v>
      </c>
      <c r="F113" s="37" t="s">
        <v>1782</v>
      </c>
      <c r="G113" s="44">
        <v>4300</v>
      </c>
      <c r="H113" s="44">
        <v>25.8</v>
      </c>
      <c r="K113" s="4" t="e">
        <f>VLOOKUP(A113,Detallado!$C$5:$H$1570,6,FALSE)</f>
        <v>#N/A</v>
      </c>
    </row>
    <row r="114" spans="1:11">
      <c r="A114" s="90">
        <v>124933058374</v>
      </c>
      <c r="B114" s="1" t="s">
        <v>8</v>
      </c>
      <c r="C114" s="43" t="s">
        <v>1792</v>
      </c>
      <c r="D114" s="1" t="s">
        <v>1780</v>
      </c>
      <c r="E114" s="43" t="s">
        <v>1800</v>
      </c>
      <c r="F114" s="37" t="s">
        <v>1782</v>
      </c>
      <c r="G114" s="44">
        <v>16100</v>
      </c>
      <c r="H114" s="44">
        <v>96.6</v>
      </c>
      <c r="K114" s="4" t="e">
        <f>VLOOKUP(A114,Detallado!$C$5:$H$1570,6,FALSE)</f>
        <v>#N/A</v>
      </c>
    </row>
    <row r="115" spans="1:11">
      <c r="A115" s="90">
        <v>124932738810</v>
      </c>
      <c r="B115" s="1" t="s">
        <v>8</v>
      </c>
      <c r="C115" s="43" t="s">
        <v>1792</v>
      </c>
      <c r="D115" s="1" t="s">
        <v>1780</v>
      </c>
      <c r="E115" s="43" t="s">
        <v>1800</v>
      </c>
      <c r="F115" s="37" t="s">
        <v>1782</v>
      </c>
      <c r="G115" s="44">
        <v>2200</v>
      </c>
      <c r="H115" s="44">
        <v>13.2</v>
      </c>
      <c r="K115" s="4" t="e">
        <f>VLOOKUP(A115,Detallado!$C$5:$H$1570,6,FALSE)</f>
        <v>#N/A</v>
      </c>
    </row>
    <row r="116" spans="1:11">
      <c r="A116" s="90">
        <v>124932672660</v>
      </c>
      <c r="B116" s="1" t="s">
        <v>8</v>
      </c>
      <c r="C116" s="43" t="s">
        <v>1792</v>
      </c>
      <c r="D116" s="1" t="s">
        <v>1780</v>
      </c>
      <c r="E116" s="43" t="s">
        <v>1800</v>
      </c>
      <c r="F116" s="37" t="s">
        <v>1782</v>
      </c>
      <c r="G116" s="44">
        <v>5000</v>
      </c>
      <c r="H116" s="44">
        <v>30</v>
      </c>
      <c r="K116" s="4" t="e">
        <f>VLOOKUP(A116,Detallado!$C$5:$H$1570,6,FALSE)</f>
        <v>#N/A</v>
      </c>
    </row>
    <row r="117" spans="1:11">
      <c r="A117" s="90">
        <v>124932574010</v>
      </c>
      <c r="B117" s="1" t="s">
        <v>1790</v>
      </c>
      <c r="C117" s="43" t="s">
        <v>1792</v>
      </c>
      <c r="D117" s="1" t="s">
        <v>1780</v>
      </c>
      <c r="E117" s="43" t="s">
        <v>1800</v>
      </c>
      <c r="F117" s="37" t="s">
        <v>1782</v>
      </c>
      <c r="G117" s="44">
        <v>5000</v>
      </c>
      <c r="H117" s="44">
        <v>30</v>
      </c>
      <c r="K117" s="4" t="e">
        <f>VLOOKUP(A117,Detallado!$C$5:$H$1570,6,FALSE)</f>
        <v>#N/A</v>
      </c>
    </row>
    <row r="118" spans="1:11">
      <c r="A118" s="90">
        <v>124932013860</v>
      </c>
      <c r="B118" s="1" t="s">
        <v>1790</v>
      </c>
      <c r="C118" s="43" t="s">
        <v>1792</v>
      </c>
      <c r="D118" s="1" t="s">
        <v>1780</v>
      </c>
      <c r="E118" s="43" t="s">
        <v>1800</v>
      </c>
      <c r="F118" s="37" t="s">
        <v>1782</v>
      </c>
      <c r="G118" s="44">
        <v>63200</v>
      </c>
      <c r="H118" s="44">
        <v>379.2</v>
      </c>
      <c r="K118" s="4" t="e">
        <f>VLOOKUP(A118,Detallado!$C$5:$H$1570,6,FALSE)</f>
        <v>#N/A</v>
      </c>
    </row>
    <row r="119" spans="1:11">
      <c r="A119" s="90">
        <v>124389417047</v>
      </c>
      <c r="B119" s="1" t="s">
        <v>1804</v>
      </c>
      <c r="C119" s="43" t="s">
        <v>1792</v>
      </c>
      <c r="D119" s="1" t="s">
        <v>1780</v>
      </c>
      <c r="E119" s="43" t="s">
        <v>1800</v>
      </c>
      <c r="F119" s="37" t="s">
        <v>1782</v>
      </c>
      <c r="G119" s="44">
        <v>500</v>
      </c>
      <c r="H119" s="44">
        <v>3</v>
      </c>
      <c r="K119" s="4" t="e">
        <f>VLOOKUP(A119,Detallado!$C$5:$H$1570,6,FALSE)</f>
        <v>#N/A</v>
      </c>
    </row>
    <row r="120" spans="1:11">
      <c r="A120" s="90">
        <v>124389390021</v>
      </c>
      <c r="B120" s="1" t="s">
        <v>1790</v>
      </c>
      <c r="C120" s="43" t="s">
        <v>1792</v>
      </c>
      <c r="D120" s="1" t="s">
        <v>1780</v>
      </c>
      <c r="E120" s="43" t="s">
        <v>1800</v>
      </c>
      <c r="F120" s="37" t="s">
        <v>1782</v>
      </c>
      <c r="G120" s="44">
        <v>8500</v>
      </c>
      <c r="H120" s="44">
        <v>51</v>
      </c>
      <c r="K120" s="4" t="e">
        <f>VLOOKUP(A120,Detallado!$C$5:$H$1570,6,FALSE)</f>
        <v>#N/A</v>
      </c>
    </row>
    <row r="121" spans="1:11">
      <c r="A121" s="90">
        <v>124389389493</v>
      </c>
      <c r="B121" s="1" t="s">
        <v>8</v>
      </c>
      <c r="C121" s="43" t="s">
        <v>1792</v>
      </c>
      <c r="D121" s="1" t="s">
        <v>1780</v>
      </c>
      <c r="E121" s="43" t="s">
        <v>1800</v>
      </c>
      <c r="F121" s="37" t="s">
        <v>1782</v>
      </c>
      <c r="G121" s="44">
        <v>4300</v>
      </c>
      <c r="H121" s="44">
        <v>25.8</v>
      </c>
      <c r="K121" s="4" t="e">
        <f>VLOOKUP(A121,Detallado!$C$5:$H$1570,6,FALSE)</f>
        <v>#N/A</v>
      </c>
    </row>
    <row r="122" spans="1:11">
      <c r="A122" s="90">
        <v>124389369351</v>
      </c>
      <c r="B122" s="1" t="s">
        <v>8</v>
      </c>
      <c r="C122" s="43" t="s">
        <v>1792</v>
      </c>
      <c r="D122" s="1" t="s">
        <v>1780</v>
      </c>
      <c r="E122" s="43" t="s">
        <v>1800</v>
      </c>
      <c r="F122" s="37" t="s">
        <v>1782</v>
      </c>
      <c r="G122" s="44">
        <v>60100</v>
      </c>
      <c r="H122" s="44">
        <v>360.6</v>
      </c>
      <c r="K122" s="4" t="e">
        <f>VLOOKUP(A122,Detallado!$C$5:$H$1570,6,FALSE)</f>
        <v>#N/A</v>
      </c>
    </row>
    <row r="123" spans="1:11">
      <c r="A123" s="90">
        <v>124389351389</v>
      </c>
      <c r="B123" s="1" t="s">
        <v>1803</v>
      </c>
      <c r="C123" s="43" t="s">
        <v>1792</v>
      </c>
      <c r="D123" s="1" t="s">
        <v>1780</v>
      </c>
      <c r="E123" s="43" t="s">
        <v>1800</v>
      </c>
      <c r="F123" s="37" t="s">
        <v>1782</v>
      </c>
      <c r="G123" s="44">
        <v>3005</v>
      </c>
      <c r="H123" s="44">
        <v>18.03</v>
      </c>
      <c r="K123" s="4" t="e">
        <f>VLOOKUP(A123,Detallado!$C$5:$H$1570,6,FALSE)</f>
        <v>#N/A</v>
      </c>
    </row>
    <row r="124" spans="1:11">
      <c r="A124" s="90">
        <v>124389262853</v>
      </c>
      <c r="B124" s="1" t="s">
        <v>1806</v>
      </c>
      <c r="C124" s="43" t="s">
        <v>1792</v>
      </c>
      <c r="D124" s="1" t="s">
        <v>1780</v>
      </c>
      <c r="E124" s="43" t="s">
        <v>1800</v>
      </c>
      <c r="F124" s="37" t="s">
        <v>1782</v>
      </c>
      <c r="G124" s="44">
        <v>215</v>
      </c>
      <c r="H124" s="44">
        <v>1.29</v>
      </c>
      <c r="K124" s="4" t="e">
        <f>VLOOKUP(A124,Detallado!$C$5:$H$1570,6,FALSE)</f>
        <v>#N/A</v>
      </c>
    </row>
    <row r="125" spans="1:11">
      <c r="A125" s="90">
        <v>124389182075</v>
      </c>
      <c r="B125" s="1" t="s">
        <v>8</v>
      </c>
      <c r="C125" s="43" t="s">
        <v>1792</v>
      </c>
      <c r="D125" s="1" t="s">
        <v>1780</v>
      </c>
      <c r="E125" s="43" t="s">
        <v>1800</v>
      </c>
      <c r="F125" s="37" t="s">
        <v>1782</v>
      </c>
      <c r="G125" s="44">
        <v>4300</v>
      </c>
      <c r="H125" s="44">
        <v>25.8</v>
      </c>
      <c r="K125" s="4" t="e">
        <f>VLOOKUP(A125,Detallado!$C$5:$H$1570,6,FALSE)</f>
        <v>#N/A</v>
      </c>
    </row>
    <row r="126" spans="1:11">
      <c r="A126" s="90">
        <v>124388706943</v>
      </c>
      <c r="B126" s="1" t="s">
        <v>8</v>
      </c>
      <c r="C126" s="43" t="s">
        <v>1792</v>
      </c>
      <c r="D126" s="1" t="s">
        <v>1780</v>
      </c>
      <c r="E126" s="43" t="s">
        <v>1800</v>
      </c>
      <c r="F126" s="37" t="s">
        <v>1782</v>
      </c>
      <c r="G126" s="44">
        <v>3900</v>
      </c>
      <c r="H126" s="44">
        <v>23.4</v>
      </c>
      <c r="K126" s="4" t="e">
        <f>VLOOKUP(A126,Detallado!$C$5:$H$1570,6,FALSE)</f>
        <v>#N/A</v>
      </c>
    </row>
    <row r="127" spans="1:11">
      <c r="A127" s="90">
        <v>124388466105</v>
      </c>
      <c r="B127" s="1" t="s">
        <v>8</v>
      </c>
      <c r="C127" s="43" t="s">
        <v>1792</v>
      </c>
      <c r="D127" s="1" t="s">
        <v>1780</v>
      </c>
      <c r="E127" s="43" t="s">
        <v>1800</v>
      </c>
      <c r="F127" s="37" t="s">
        <v>1782</v>
      </c>
      <c r="G127" s="44">
        <v>186200</v>
      </c>
      <c r="H127" s="44">
        <v>1117.2</v>
      </c>
      <c r="K127" s="4" t="e">
        <f>VLOOKUP(A127,Detallado!$C$5:$H$1570,6,FALSE)</f>
        <v>#N/A</v>
      </c>
    </row>
    <row r="128" spans="1:11">
      <c r="A128" s="90">
        <v>124388358883</v>
      </c>
      <c r="B128" s="1" t="s">
        <v>1790</v>
      </c>
      <c r="C128" s="43" t="s">
        <v>1792</v>
      </c>
      <c r="D128" s="1" t="s">
        <v>1780</v>
      </c>
      <c r="E128" s="43" t="s">
        <v>1800</v>
      </c>
      <c r="F128" s="37" t="s">
        <v>1782</v>
      </c>
      <c r="G128" s="44">
        <v>4300</v>
      </c>
      <c r="H128" s="44">
        <v>25.8</v>
      </c>
      <c r="K128" s="4" t="e">
        <f>VLOOKUP(A128,Detallado!$C$5:$H$1570,6,FALSE)</f>
        <v>#N/A</v>
      </c>
    </row>
    <row r="129" spans="1:11">
      <c r="A129" s="90">
        <v>124388057649</v>
      </c>
      <c r="B129" s="1" t="s">
        <v>8</v>
      </c>
      <c r="C129" s="43" t="s">
        <v>1792</v>
      </c>
      <c r="D129" s="1" t="s">
        <v>1780</v>
      </c>
      <c r="E129" s="43" t="s">
        <v>1800</v>
      </c>
      <c r="F129" s="37" t="s">
        <v>1782</v>
      </c>
      <c r="G129" s="44">
        <v>4300</v>
      </c>
      <c r="H129" s="44">
        <v>25.8</v>
      </c>
      <c r="K129" s="4" t="e">
        <f>VLOOKUP(A129,Detallado!$C$5:$H$1570,6,FALSE)</f>
        <v>#N/A</v>
      </c>
    </row>
    <row r="130" spans="1:11">
      <c r="A130" s="90">
        <v>124387491809</v>
      </c>
      <c r="B130" s="1" t="s">
        <v>8</v>
      </c>
      <c r="C130" s="43" t="s">
        <v>1792</v>
      </c>
      <c r="D130" s="1" t="s">
        <v>1780</v>
      </c>
      <c r="E130" s="43" t="s">
        <v>1800</v>
      </c>
      <c r="F130" s="37" t="s">
        <v>1782</v>
      </c>
      <c r="G130" s="44">
        <v>70800</v>
      </c>
      <c r="H130" s="44">
        <v>424.8</v>
      </c>
      <c r="K130" s="4" t="e">
        <f>VLOOKUP(A130,Detallado!$C$5:$H$1570,6,FALSE)</f>
        <v>#N/A</v>
      </c>
    </row>
    <row r="131" spans="1:11">
      <c r="A131" s="90">
        <v>124387263837</v>
      </c>
      <c r="B131" s="1" t="s">
        <v>8</v>
      </c>
      <c r="C131" s="43" t="s">
        <v>1792</v>
      </c>
      <c r="D131" s="1" t="s">
        <v>1780</v>
      </c>
      <c r="E131" s="43" t="s">
        <v>1800</v>
      </c>
      <c r="F131" s="37" t="s">
        <v>1782</v>
      </c>
      <c r="G131" s="44">
        <v>15900</v>
      </c>
      <c r="H131" s="44">
        <v>95.4</v>
      </c>
      <c r="K131" s="4" t="e">
        <f>VLOOKUP(A131,Detallado!$C$5:$H$1570,6,FALSE)</f>
        <v>#N/A</v>
      </c>
    </row>
    <row r="132" spans="1:11">
      <c r="A132" s="90">
        <v>124387202427</v>
      </c>
      <c r="B132" s="1" t="s">
        <v>8</v>
      </c>
      <c r="C132" s="43" t="s">
        <v>1792</v>
      </c>
      <c r="D132" s="1" t="s">
        <v>1780</v>
      </c>
      <c r="E132" s="43" t="s">
        <v>1800</v>
      </c>
      <c r="F132" s="37" t="s">
        <v>1782</v>
      </c>
      <c r="G132" s="44">
        <v>8200</v>
      </c>
      <c r="H132" s="44">
        <v>49.2</v>
      </c>
      <c r="K132" s="4" t="e">
        <f>VLOOKUP(A132,Detallado!$C$5:$H$1570,6,FALSE)</f>
        <v>#N/A</v>
      </c>
    </row>
    <row r="133" spans="1:11">
      <c r="A133" s="90">
        <v>124387169897</v>
      </c>
      <c r="B133" s="1" t="s">
        <v>8</v>
      </c>
      <c r="C133" s="43" t="s">
        <v>1792</v>
      </c>
      <c r="D133" s="1" t="s">
        <v>1780</v>
      </c>
      <c r="E133" s="43" t="s">
        <v>1800</v>
      </c>
      <c r="F133" s="37" t="s">
        <v>1782</v>
      </c>
      <c r="G133" s="44">
        <v>9300</v>
      </c>
      <c r="H133" s="44">
        <v>55.8</v>
      </c>
      <c r="K133" s="4" t="e">
        <f>VLOOKUP(A133,Detallado!$C$5:$H$1570,6,FALSE)</f>
        <v>#N/A</v>
      </c>
    </row>
    <row r="134" spans="1:11">
      <c r="A134" s="90">
        <v>124386853415</v>
      </c>
      <c r="B134" s="1" t="s">
        <v>8</v>
      </c>
      <c r="C134" s="43" t="s">
        <v>1792</v>
      </c>
      <c r="D134" s="1" t="s">
        <v>1780</v>
      </c>
      <c r="E134" s="43" t="s">
        <v>1800</v>
      </c>
      <c r="F134" s="37" t="s">
        <v>1782</v>
      </c>
      <c r="G134" s="44">
        <v>3900</v>
      </c>
      <c r="H134" s="44">
        <v>23.4</v>
      </c>
      <c r="K134" s="4" t="e">
        <f>VLOOKUP(A134,Detallado!$C$5:$H$1570,6,FALSE)</f>
        <v>#N/A</v>
      </c>
    </row>
    <row r="135" spans="1:11">
      <c r="A135" s="90">
        <v>124386769841</v>
      </c>
      <c r="B135" s="1" t="s">
        <v>1799</v>
      </c>
      <c r="C135" s="43" t="s">
        <v>1792</v>
      </c>
      <c r="D135" s="1" t="s">
        <v>1780</v>
      </c>
      <c r="E135" s="43" t="s">
        <v>1800</v>
      </c>
      <c r="F135" s="37" t="s">
        <v>1782</v>
      </c>
      <c r="G135" s="44">
        <v>390</v>
      </c>
      <c r="H135" s="44">
        <v>2.34</v>
      </c>
      <c r="K135" s="4" t="e">
        <f>VLOOKUP(A135,Detallado!$C$5:$H$1570,6,FALSE)</f>
        <v>#N/A</v>
      </c>
    </row>
    <row r="136" spans="1:11">
      <c r="A136" s="90">
        <v>125087841682</v>
      </c>
      <c r="B136" s="1" t="s">
        <v>8</v>
      </c>
      <c r="C136" s="43" t="s">
        <v>1800</v>
      </c>
      <c r="D136" s="1" t="s">
        <v>1780</v>
      </c>
      <c r="E136" s="43" t="s">
        <v>1800</v>
      </c>
      <c r="F136" s="37" t="s">
        <v>1782</v>
      </c>
      <c r="G136" s="44">
        <v>36800</v>
      </c>
      <c r="H136" s="44">
        <v>220.8</v>
      </c>
      <c r="K136" s="4" t="e">
        <f>VLOOKUP(A136,Detallado!$C$5:$H$1570,6,FALSE)</f>
        <v>#N/A</v>
      </c>
    </row>
    <row r="137" spans="1:11">
      <c r="A137" s="90">
        <v>125085738014</v>
      </c>
      <c r="B137" s="1" t="s">
        <v>8</v>
      </c>
      <c r="C137" s="43" t="s">
        <v>1800</v>
      </c>
      <c r="D137" s="1" t="s">
        <v>1780</v>
      </c>
      <c r="E137" s="43" t="s">
        <v>1800</v>
      </c>
      <c r="F137" s="37" t="s">
        <v>1782</v>
      </c>
      <c r="G137" s="44">
        <v>27900</v>
      </c>
      <c r="H137" s="44">
        <v>167.4</v>
      </c>
      <c r="K137" s="4" t="e">
        <f>VLOOKUP(A137,Detallado!$C$5:$H$1570,6,FALSE)</f>
        <v>#N/A</v>
      </c>
    </row>
    <row r="138" spans="1:11">
      <c r="A138" s="90">
        <v>125085549984</v>
      </c>
      <c r="B138" s="1" t="s">
        <v>1790</v>
      </c>
      <c r="C138" s="43" t="s">
        <v>1800</v>
      </c>
      <c r="D138" s="1" t="s">
        <v>1780</v>
      </c>
      <c r="E138" s="43" t="s">
        <v>1800</v>
      </c>
      <c r="F138" s="37" t="s">
        <v>1782</v>
      </c>
      <c r="G138" s="44">
        <v>41600</v>
      </c>
      <c r="H138" s="44">
        <v>249.6</v>
      </c>
      <c r="K138" s="4" t="e">
        <f>VLOOKUP(A138,Detallado!$C$5:$H$1570,6,FALSE)</f>
        <v>#N/A</v>
      </c>
    </row>
    <row r="139" spans="1:11">
      <c r="A139" s="90">
        <v>125084844014</v>
      </c>
      <c r="B139" s="1" t="s">
        <v>8</v>
      </c>
      <c r="C139" s="43" t="s">
        <v>1800</v>
      </c>
      <c r="D139" s="1" t="s">
        <v>1780</v>
      </c>
      <c r="E139" s="43" t="s">
        <v>1800</v>
      </c>
      <c r="F139" s="37" t="s">
        <v>1782</v>
      </c>
      <c r="G139" s="44">
        <v>4300</v>
      </c>
      <c r="H139" s="44">
        <v>25.8</v>
      </c>
      <c r="K139" s="4" t="e">
        <f>VLOOKUP(A139,Detallado!$C$5:$H$1570,6,FALSE)</f>
        <v>#N/A</v>
      </c>
    </row>
    <row r="140" spans="1:11">
      <c r="A140" s="90">
        <v>125084267116</v>
      </c>
      <c r="B140" s="1" t="s">
        <v>1790</v>
      </c>
      <c r="C140" s="43" t="s">
        <v>1800</v>
      </c>
      <c r="D140" s="1" t="s">
        <v>1780</v>
      </c>
      <c r="E140" s="43" t="s">
        <v>1800</v>
      </c>
      <c r="F140" s="37" t="s">
        <v>1782</v>
      </c>
      <c r="G140" s="44">
        <v>15500</v>
      </c>
      <c r="H140" s="44">
        <v>93</v>
      </c>
      <c r="K140" s="4" t="e">
        <f>VLOOKUP(A140,Detallado!$C$5:$H$1570,6,FALSE)</f>
        <v>#N/A</v>
      </c>
    </row>
    <row r="141" spans="1:11">
      <c r="A141" s="90">
        <v>125083042824</v>
      </c>
      <c r="B141" s="1" t="s">
        <v>8</v>
      </c>
      <c r="C141" s="43" t="s">
        <v>1800</v>
      </c>
      <c r="D141" s="1" t="s">
        <v>1780</v>
      </c>
      <c r="E141" s="43" t="s">
        <v>1800</v>
      </c>
      <c r="F141" s="37" t="s">
        <v>1782</v>
      </c>
      <c r="G141" s="44">
        <v>11700</v>
      </c>
      <c r="H141" s="44">
        <v>70.2</v>
      </c>
      <c r="K141" s="4" t="e">
        <f>VLOOKUP(A141,Detallado!$C$5:$H$1570,6,FALSE)</f>
        <v>#N/A</v>
      </c>
    </row>
    <row r="142" spans="1:11">
      <c r="A142" s="90">
        <v>125082018504</v>
      </c>
      <c r="B142" s="1" t="s">
        <v>8</v>
      </c>
      <c r="C142" s="43" t="s">
        <v>1800</v>
      </c>
      <c r="D142" s="1" t="s">
        <v>1780</v>
      </c>
      <c r="E142" s="43" t="s">
        <v>1800</v>
      </c>
      <c r="F142" s="37" t="s">
        <v>1782</v>
      </c>
      <c r="G142" s="44">
        <v>36800</v>
      </c>
      <c r="H142" s="44">
        <v>220.8</v>
      </c>
      <c r="K142" s="4" t="e">
        <f>VLOOKUP(A142,Detallado!$C$5:$H$1570,6,FALSE)</f>
        <v>#N/A</v>
      </c>
    </row>
    <row r="143" spans="1:11">
      <c r="A143" s="90">
        <v>125081323764</v>
      </c>
      <c r="B143" s="1" t="s">
        <v>1790</v>
      </c>
      <c r="C143" s="43" t="s">
        <v>1800</v>
      </c>
      <c r="D143" s="1" t="s">
        <v>1780</v>
      </c>
      <c r="E143" s="43" t="s">
        <v>1800</v>
      </c>
      <c r="F143" s="37" t="s">
        <v>1782</v>
      </c>
      <c r="G143" s="44">
        <v>9300</v>
      </c>
      <c r="H143" s="44">
        <v>55.8</v>
      </c>
      <c r="K143" s="4" t="e">
        <f>VLOOKUP(A143,Detallado!$C$5:$H$1570,6,FALSE)</f>
        <v>#N/A</v>
      </c>
    </row>
    <row r="144" spans="1:11">
      <c r="A144" s="90">
        <v>125080564580</v>
      </c>
      <c r="B144" s="1" t="s">
        <v>1790</v>
      </c>
      <c r="C144" s="43" t="s">
        <v>1800</v>
      </c>
      <c r="D144" s="1" t="s">
        <v>1780</v>
      </c>
      <c r="E144" s="43" t="s">
        <v>1800</v>
      </c>
      <c r="F144" s="37" t="s">
        <v>1782</v>
      </c>
      <c r="G144" s="44">
        <v>17300</v>
      </c>
      <c r="H144" s="44">
        <v>103.8</v>
      </c>
      <c r="K144" s="4" t="e">
        <f>VLOOKUP(A144,Detallado!$C$5:$H$1570,6,FALSE)</f>
        <v>#N/A</v>
      </c>
    </row>
    <row r="145" spans="1:11">
      <c r="A145" s="90">
        <v>125080148776</v>
      </c>
      <c r="B145" s="1" t="s">
        <v>1790</v>
      </c>
      <c r="C145" s="43" t="s">
        <v>1800</v>
      </c>
      <c r="D145" s="1" t="s">
        <v>1780</v>
      </c>
      <c r="E145" s="43" t="s">
        <v>1800</v>
      </c>
      <c r="F145" s="37" t="s">
        <v>1782</v>
      </c>
      <c r="G145" s="45">
        <v>21600</v>
      </c>
      <c r="H145" s="45">
        <v>129.6</v>
      </c>
      <c r="K145" s="4" t="e">
        <f>VLOOKUP(A145,Detallado!$C$5:$H$1570,6,FALSE)</f>
        <v>#N/A</v>
      </c>
    </row>
    <row r="146" spans="1:11">
      <c r="A146" s="90">
        <v>125077701916</v>
      </c>
      <c r="B146" s="1" t="s">
        <v>1790</v>
      </c>
      <c r="C146" s="43" t="s">
        <v>1800</v>
      </c>
      <c r="D146" s="1" t="s">
        <v>1780</v>
      </c>
      <c r="E146" s="43" t="s">
        <v>1800</v>
      </c>
      <c r="F146" s="37" t="s">
        <v>1782</v>
      </c>
      <c r="G146" s="44">
        <v>105600</v>
      </c>
      <c r="H146" s="44">
        <v>633.6</v>
      </c>
      <c r="K146" s="4" t="e">
        <f>VLOOKUP(A146,Detallado!$C$5:$H$1570,6,FALSE)</f>
        <v>#N/A</v>
      </c>
    </row>
    <row r="147" spans="1:11">
      <c r="A147" s="90">
        <v>125077543030</v>
      </c>
      <c r="B147" s="1" t="s">
        <v>1812</v>
      </c>
      <c r="C147" s="43" t="s">
        <v>1800</v>
      </c>
      <c r="D147" s="1" t="s">
        <v>1780</v>
      </c>
      <c r="E147" s="43" t="s">
        <v>1800</v>
      </c>
      <c r="F147" s="37" t="s">
        <v>1782</v>
      </c>
      <c r="G147" s="44">
        <v>2065</v>
      </c>
      <c r="H147" s="44">
        <v>12.39</v>
      </c>
      <c r="K147" s="4" t="e">
        <f>VLOOKUP(A147,Detallado!$C$5:$H$1570,6,FALSE)</f>
        <v>#N/A</v>
      </c>
    </row>
    <row r="148" spans="1:11">
      <c r="A148" s="90">
        <v>125076566722</v>
      </c>
      <c r="B148" s="1" t="s">
        <v>1790</v>
      </c>
      <c r="C148" s="43" t="s">
        <v>1800</v>
      </c>
      <c r="D148" s="1" t="s">
        <v>1780</v>
      </c>
      <c r="E148" s="43" t="s">
        <v>1800</v>
      </c>
      <c r="F148" s="37" t="s">
        <v>1782</v>
      </c>
      <c r="G148" s="44">
        <v>14900</v>
      </c>
      <c r="H148" s="44">
        <v>89.4</v>
      </c>
      <c r="K148" s="4" t="e">
        <f>VLOOKUP(A148,Detallado!$C$5:$H$1570,6,FALSE)</f>
        <v>#N/A</v>
      </c>
    </row>
    <row r="149" spans="1:11">
      <c r="A149" s="90">
        <v>125075403750</v>
      </c>
      <c r="B149" s="1" t="s">
        <v>1790</v>
      </c>
      <c r="C149" s="43" t="s">
        <v>1800</v>
      </c>
      <c r="D149" s="1" t="s">
        <v>1780</v>
      </c>
      <c r="E149" s="43" t="s">
        <v>1800</v>
      </c>
      <c r="F149" s="37" t="s">
        <v>1782</v>
      </c>
      <c r="G149" s="44">
        <v>42900</v>
      </c>
      <c r="H149" s="44">
        <v>257.39999999999998</v>
      </c>
      <c r="K149" s="4" t="e">
        <f>VLOOKUP(A149,Detallado!$C$5:$H$1570,6,FALSE)</f>
        <v>#N/A</v>
      </c>
    </row>
    <row r="150" spans="1:11">
      <c r="A150" s="90">
        <v>125075109170</v>
      </c>
      <c r="B150" s="1" t="s">
        <v>8</v>
      </c>
      <c r="C150" s="43" t="s">
        <v>1800</v>
      </c>
      <c r="D150" s="1" t="s">
        <v>1780</v>
      </c>
      <c r="E150" s="43" t="s">
        <v>1800</v>
      </c>
      <c r="F150" s="37" t="s">
        <v>1782</v>
      </c>
      <c r="G150" s="44">
        <v>4300</v>
      </c>
      <c r="H150" s="44">
        <v>25.8</v>
      </c>
      <c r="K150" s="4" t="e">
        <f>VLOOKUP(A150,Detallado!$C$5:$H$1570,6,FALSE)</f>
        <v>#N/A</v>
      </c>
    </row>
    <row r="151" spans="1:11">
      <c r="A151" s="90">
        <v>125074877368</v>
      </c>
      <c r="B151" s="1" t="s">
        <v>8</v>
      </c>
      <c r="C151" s="43" t="s">
        <v>1800</v>
      </c>
      <c r="D151" s="1" t="s">
        <v>1780</v>
      </c>
      <c r="E151" s="43" t="s">
        <v>1800</v>
      </c>
      <c r="F151" s="37" t="s">
        <v>1782</v>
      </c>
      <c r="G151" s="44">
        <v>48600</v>
      </c>
      <c r="H151" s="44">
        <v>291.60000000000002</v>
      </c>
      <c r="K151" s="4" t="e">
        <f>VLOOKUP(A151,Detallado!$C$5:$H$1570,6,FALSE)</f>
        <v>#N/A</v>
      </c>
    </row>
    <row r="152" spans="1:11">
      <c r="A152" s="90">
        <v>125074730376</v>
      </c>
      <c r="B152" s="1" t="s">
        <v>8</v>
      </c>
      <c r="C152" s="43" t="s">
        <v>1800</v>
      </c>
      <c r="D152" s="1" t="s">
        <v>1780</v>
      </c>
      <c r="E152" s="43" t="s">
        <v>1800</v>
      </c>
      <c r="F152" s="37" t="s">
        <v>1782</v>
      </c>
      <c r="G152" s="44">
        <v>7000</v>
      </c>
      <c r="H152" s="44">
        <v>42</v>
      </c>
      <c r="K152" s="4" t="e">
        <f>VLOOKUP(A152,Detallado!$C$5:$H$1570,6,FALSE)</f>
        <v>#N/A</v>
      </c>
    </row>
    <row r="153" spans="1:11">
      <c r="A153" s="90">
        <v>125074601908</v>
      </c>
      <c r="B153" s="1" t="s">
        <v>1811</v>
      </c>
      <c r="C153" s="43" t="s">
        <v>1800</v>
      </c>
      <c r="D153" s="1" t="s">
        <v>1780</v>
      </c>
      <c r="E153" s="43" t="s">
        <v>1800</v>
      </c>
      <c r="F153" s="37" t="s">
        <v>1782</v>
      </c>
      <c r="G153" s="44">
        <v>350</v>
      </c>
      <c r="H153" s="44">
        <v>2.1</v>
      </c>
      <c r="K153" s="4" t="e">
        <f>VLOOKUP(A153,Detallado!$C$5:$H$1570,6,FALSE)</f>
        <v>#N/A</v>
      </c>
    </row>
    <row r="154" spans="1:11">
      <c r="A154" s="90">
        <v>125074007976</v>
      </c>
      <c r="B154" s="1" t="s">
        <v>1790</v>
      </c>
      <c r="C154" s="43" t="s">
        <v>1800</v>
      </c>
      <c r="D154" s="1" t="s">
        <v>1780</v>
      </c>
      <c r="E154" s="43" t="s">
        <v>1800</v>
      </c>
      <c r="F154" s="37" t="s">
        <v>1782</v>
      </c>
      <c r="G154" s="44">
        <v>3500</v>
      </c>
      <c r="H154" s="44">
        <v>21</v>
      </c>
      <c r="K154" s="4" t="e">
        <f>VLOOKUP(A154,Detallado!$C$5:$H$1570,6,FALSE)</f>
        <v>#N/A</v>
      </c>
    </row>
    <row r="155" spans="1:11">
      <c r="A155" s="90">
        <v>125072870242</v>
      </c>
      <c r="B155" s="1" t="s">
        <v>1790</v>
      </c>
      <c r="C155" s="43" t="s">
        <v>1800</v>
      </c>
      <c r="D155" s="1" t="s">
        <v>1780</v>
      </c>
      <c r="E155" s="43" t="s">
        <v>1800</v>
      </c>
      <c r="F155" s="37" t="s">
        <v>1782</v>
      </c>
      <c r="G155" s="44">
        <v>9000</v>
      </c>
      <c r="H155" s="44">
        <v>54</v>
      </c>
      <c r="K155" s="4" t="e">
        <f>VLOOKUP(A155,Detallado!$C$5:$H$1570,6,FALSE)</f>
        <v>#N/A</v>
      </c>
    </row>
    <row r="156" spans="1:11">
      <c r="A156" s="90">
        <v>125072280684</v>
      </c>
      <c r="B156" s="1" t="s">
        <v>8</v>
      </c>
      <c r="C156" s="43" t="s">
        <v>1800</v>
      </c>
      <c r="D156" s="1" t="s">
        <v>1780</v>
      </c>
      <c r="E156" s="43" t="s">
        <v>1800</v>
      </c>
      <c r="F156" s="37" t="s">
        <v>1782</v>
      </c>
      <c r="G156" s="44">
        <v>9000</v>
      </c>
      <c r="H156" s="44">
        <v>54</v>
      </c>
      <c r="K156" s="4" t="e">
        <f>VLOOKUP(A156,Detallado!$C$5:$H$1570,6,FALSE)</f>
        <v>#N/A</v>
      </c>
    </row>
    <row r="157" spans="1:11">
      <c r="A157" s="90">
        <v>125070585706</v>
      </c>
      <c r="B157" s="1" t="s">
        <v>1790</v>
      </c>
      <c r="C157" s="43" t="s">
        <v>1800</v>
      </c>
      <c r="D157" s="1" t="s">
        <v>1780</v>
      </c>
      <c r="E157" s="43" t="s">
        <v>1800</v>
      </c>
      <c r="F157" s="37" t="s">
        <v>1782</v>
      </c>
      <c r="G157" s="44">
        <v>7800</v>
      </c>
      <c r="H157" s="44">
        <v>46.8</v>
      </c>
      <c r="K157" s="4" t="e">
        <f>VLOOKUP(A157,Detallado!$C$5:$H$1570,6,FALSE)</f>
        <v>#N/A</v>
      </c>
    </row>
    <row r="158" spans="1:11">
      <c r="A158" s="90">
        <v>125066792780</v>
      </c>
      <c r="B158" s="1" t="s">
        <v>8</v>
      </c>
      <c r="C158" s="43" t="s">
        <v>1800</v>
      </c>
      <c r="D158" s="1" t="s">
        <v>1780</v>
      </c>
      <c r="E158" s="43" t="s">
        <v>1800</v>
      </c>
      <c r="F158" s="37" t="s">
        <v>1782</v>
      </c>
      <c r="G158" s="44">
        <v>10900</v>
      </c>
      <c r="H158" s="44">
        <v>65.400000000000006</v>
      </c>
      <c r="K158" s="4" t="e">
        <f>VLOOKUP(A158,Detallado!$C$5:$H$1570,6,FALSE)</f>
        <v>#N/A</v>
      </c>
    </row>
    <row r="159" spans="1:11">
      <c r="A159" s="90">
        <v>125063411054</v>
      </c>
      <c r="B159" s="1" t="s">
        <v>8</v>
      </c>
      <c r="C159" s="43" t="s">
        <v>1800</v>
      </c>
      <c r="D159" s="1" t="s">
        <v>1780</v>
      </c>
      <c r="E159" s="43" t="s">
        <v>1800</v>
      </c>
      <c r="F159" s="37" t="s">
        <v>1782</v>
      </c>
      <c r="G159" s="44">
        <v>8600</v>
      </c>
      <c r="H159" s="44">
        <v>51.6</v>
      </c>
      <c r="K159" s="4" t="e">
        <f>VLOOKUP(A159,Detallado!$C$5:$H$1570,6,FALSE)</f>
        <v>#N/A</v>
      </c>
    </row>
    <row r="160" spans="1:11">
      <c r="A160" s="90">
        <v>125049940460</v>
      </c>
      <c r="B160" s="1" t="s">
        <v>8</v>
      </c>
      <c r="C160" s="43" t="s">
        <v>1800</v>
      </c>
      <c r="D160" s="1" t="s">
        <v>1780</v>
      </c>
      <c r="E160" s="43" t="s">
        <v>1800</v>
      </c>
      <c r="F160" s="37" t="s">
        <v>1782</v>
      </c>
      <c r="G160" s="44">
        <v>10200</v>
      </c>
      <c r="H160" s="44">
        <v>61.2</v>
      </c>
      <c r="K160" s="4" t="e">
        <f>VLOOKUP(A160,Detallado!$C$5:$H$1570,6,FALSE)</f>
        <v>#N/A</v>
      </c>
    </row>
    <row r="161" spans="1:11">
      <c r="A161" s="90">
        <v>124938249624</v>
      </c>
      <c r="B161" s="1" t="s">
        <v>8</v>
      </c>
      <c r="C161" s="43" t="s">
        <v>1800</v>
      </c>
      <c r="D161" s="1" t="s">
        <v>1780</v>
      </c>
      <c r="E161" s="43" t="s">
        <v>1800</v>
      </c>
      <c r="F161" s="37" t="s">
        <v>1782</v>
      </c>
      <c r="G161" s="44">
        <v>4300</v>
      </c>
      <c r="H161" s="44">
        <v>25.8</v>
      </c>
      <c r="K161" s="4" t="e">
        <f>VLOOKUP(A161,Detallado!$C$5:$H$1570,6,FALSE)</f>
        <v>#N/A</v>
      </c>
    </row>
    <row r="162" spans="1:11">
      <c r="A162" s="90">
        <v>124938162788</v>
      </c>
      <c r="B162" s="1" t="s">
        <v>8</v>
      </c>
      <c r="C162" s="43" t="s">
        <v>1800</v>
      </c>
      <c r="D162" s="1" t="s">
        <v>1780</v>
      </c>
      <c r="E162" s="43" t="s">
        <v>1800</v>
      </c>
      <c r="F162" s="37" t="s">
        <v>1782</v>
      </c>
      <c r="G162" s="44">
        <v>29300</v>
      </c>
      <c r="H162" s="44">
        <v>175.8</v>
      </c>
      <c r="K162" s="4" t="e">
        <f>VLOOKUP(A162,Detallado!$C$5:$H$1570,6,FALSE)</f>
        <v>#N/A</v>
      </c>
    </row>
    <row r="163" spans="1:11">
      <c r="A163" s="90">
        <v>124938008312</v>
      </c>
      <c r="B163" s="1" t="s">
        <v>8</v>
      </c>
      <c r="C163" s="43" t="s">
        <v>1800</v>
      </c>
      <c r="D163" s="1" t="s">
        <v>1780</v>
      </c>
      <c r="E163" s="43" t="s">
        <v>1800</v>
      </c>
      <c r="F163" s="37" t="s">
        <v>1782</v>
      </c>
      <c r="G163" s="44">
        <v>12900</v>
      </c>
      <c r="H163" s="44">
        <v>77.400000000000006</v>
      </c>
      <c r="K163" s="4" t="e">
        <f>VLOOKUP(A163,Detallado!$C$5:$H$1570,6,FALSE)</f>
        <v>#N/A</v>
      </c>
    </row>
    <row r="164" spans="1:11">
      <c r="A164" s="90">
        <v>124937954288</v>
      </c>
      <c r="B164" s="1" t="s">
        <v>8</v>
      </c>
      <c r="C164" s="43" t="s">
        <v>1800</v>
      </c>
      <c r="D164" s="1" t="s">
        <v>1780</v>
      </c>
      <c r="E164" s="43" t="s">
        <v>1800</v>
      </c>
      <c r="F164" s="37" t="s">
        <v>1782</v>
      </c>
      <c r="G164" s="44">
        <v>7000</v>
      </c>
      <c r="H164" s="44">
        <v>42</v>
      </c>
      <c r="K164" s="4" t="e">
        <f>VLOOKUP(A164,Detallado!$C$5:$H$1570,6,FALSE)</f>
        <v>#N/A</v>
      </c>
    </row>
    <row r="165" spans="1:11">
      <c r="A165" s="90">
        <v>124937292950</v>
      </c>
      <c r="B165" s="1" t="s">
        <v>8</v>
      </c>
      <c r="C165" s="43" t="s">
        <v>1800</v>
      </c>
      <c r="D165" s="1" t="s">
        <v>1780</v>
      </c>
      <c r="E165" s="43" t="s">
        <v>1800</v>
      </c>
      <c r="F165" s="37" t="s">
        <v>1782</v>
      </c>
      <c r="G165" s="44">
        <v>35800</v>
      </c>
      <c r="H165" s="44">
        <v>214.8</v>
      </c>
      <c r="K165" s="4" t="e">
        <f>VLOOKUP(A165,Detallado!$C$5:$H$1570,6,FALSE)</f>
        <v>#N/A</v>
      </c>
    </row>
    <row r="166" spans="1:11">
      <c r="A166" s="90">
        <v>124936593136</v>
      </c>
      <c r="B166" s="1" t="s">
        <v>8</v>
      </c>
      <c r="C166" s="43" t="s">
        <v>1800</v>
      </c>
      <c r="D166" s="1" t="s">
        <v>1780</v>
      </c>
      <c r="E166" s="43" t="s">
        <v>1800</v>
      </c>
      <c r="F166" s="37" t="s">
        <v>1782</v>
      </c>
      <c r="G166" s="44">
        <v>22100</v>
      </c>
      <c r="H166" s="44">
        <v>132.6</v>
      </c>
      <c r="K166" s="4" t="e">
        <f>VLOOKUP(A166,Detallado!$C$5:$H$1570,6,FALSE)</f>
        <v>#N/A</v>
      </c>
    </row>
    <row r="167" spans="1:11">
      <c r="A167" s="90">
        <v>124936306000</v>
      </c>
      <c r="B167" s="1" t="s">
        <v>8</v>
      </c>
      <c r="C167" s="43" t="s">
        <v>1800</v>
      </c>
      <c r="D167" s="1" t="s">
        <v>1780</v>
      </c>
      <c r="E167" s="43" t="s">
        <v>1800</v>
      </c>
      <c r="F167" s="37" t="s">
        <v>1782</v>
      </c>
      <c r="G167" s="44">
        <v>8600</v>
      </c>
      <c r="H167" s="44">
        <v>51.6</v>
      </c>
      <c r="K167" s="4" t="e">
        <f>VLOOKUP(A167,Detallado!$C$5:$H$1570,6,FALSE)</f>
        <v>#N/A</v>
      </c>
    </row>
    <row r="168" spans="1:11">
      <c r="A168" s="90">
        <v>124935440028</v>
      </c>
      <c r="B168" s="1" t="s">
        <v>1805</v>
      </c>
      <c r="C168" s="43" t="s">
        <v>1800</v>
      </c>
      <c r="D168" s="1" t="s">
        <v>1780</v>
      </c>
      <c r="E168" s="43" t="s">
        <v>1800</v>
      </c>
      <c r="F168" s="37" t="s">
        <v>1782</v>
      </c>
      <c r="G168" s="44">
        <v>430</v>
      </c>
      <c r="H168" s="44">
        <v>2.58</v>
      </c>
      <c r="K168" s="4" t="e">
        <f>VLOOKUP(A168,Detallado!$C$5:$H$1570,6,FALSE)</f>
        <v>#N/A</v>
      </c>
    </row>
    <row r="169" spans="1:11">
      <c r="A169" s="90">
        <v>124935015006</v>
      </c>
      <c r="B169" s="1" t="s">
        <v>8</v>
      </c>
      <c r="C169" s="43" t="s">
        <v>1800</v>
      </c>
      <c r="D169" s="1" t="s">
        <v>1780</v>
      </c>
      <c r="E169" s="43" t="s">
        <v>1800</v>
      </c>
      <c r="F169" s="37" t="s">
        <v>1782</v>
      </c>
      <c r="G169" s="44">
        <v>4300</v>
      </c>
      <c r="H169" s="44">
        <v>25.8</v>
      </c>
      <c r="K169" s="4" t="e">
        <f>VLOOKUP(A169,Detallado!$C$5:$H$1570,6,FALSE)</f>
        <v>#N/A</v>
      </c>
    </row>
    <row r="170" spans="1:11">
      <c r="A170" s="90">
        <v>124542531059</v>
      </c>
      <c r="B170" s="1" t="s">
        <v>8</v>
      </c>
      <c r="C170" s="43" t="s">
        <v>1800</v>
      </c>
      <c r="D170" s="1" t="s">
        <v>1780</v>
      </c>
      <c r="E170" s="43" t="s">
        <v>1800</v>
      </c>
      <c r="F170" s="37" t="s">
        <v>1782</v>
      </c>
      <c r="G170" s="44">
        <v>26400</v>
      </c>
      <c r="H170" s="44">
        <v>158.4</v>
      </c>
      <c r="K170" s="4" t="e">
        <f>VLOOKUP(A170,Detallado!$C$5:$H$1570,6,FALSE)</f>
        <v>#N/A</v>
      </c>
    </row>
    <row r="171" spans="1:11">
      <c r="A171" s="90">
        <v>124541947467</v>
      </c>
      <c r="B171" s="1" t="s">
        <v>1814</v>
      </c>
      <c r="C171" s="43" t="s">
        <v>1800</v>
      </c>
      <c r="D171" s="1" t="s">
        <v>1780</v>
      </c>
      <c r="E171" s="43" t="s">
        <v>1800</v>
      </c>
      <c r="F171" s="37" t="s">
        <v>1782</v>
      </c>
      <c r="G171" s="44">
        <v>3680</v>
      </c>
      <c r="H171" s="44">
        <v>22.08</v>
      </c>
      <c r="K171" s="4" t="e">
        <f>VLOOKUP(A171,Detallado!$C$5:$H$1570,6,FALSE)</f>
        <v>#N/A</v>
      </c>
    </row>
    <row r="172" spans="1:11">
      <c r="A172" s="90">
        <v>124541581193</v>
      </c>
      <c r="B172" s="1" t="s">
        <v>1790</v>
      </c>
      <c r="C172" s="43" t="s">
        <v>1800</v>
      </c>
      <c r="D172" s="1" t="s">
        <v>1780</v>
      </c>
      <c r="E172" s="43" t="s">
        <v>1800</v>
      </c>
      <c r="F172" s="37" t="s">
        <v>1782</v>
      </c>
      <c r="G172" s="44">
        <v>36900</v>
      </c>
      <c r="H172" s="44">
        <v>221.4</v>
      </c>
      <c r="K172" s="4" t="e">
        <f>VLOOKUP(A172,Detallado!$C$5:$H$1570,6,FALSE)</f>
        <v>#N/A</v>
      </c>
    </row>
    <row r="173" spans="1:11">
      <c r="A173" s="90">
        <v>124541482575</v>
      </c>
      <c r="B173" s="1" t="s">
        <v>1790</v>
      </c>
      <c r="C173" s="43" t="s">
        <v>1800</v>
      </c>
      <c r="D173" s="1" t="s">
        <v>1780</v>
      </c>
      <c r="E173" s="43" t="s">
        <v>1800</v>
      </c>
      <c r="F173" s="37" t="s">
        <v>1782</v>
      </c>
      <c r="G173" s="44">
        <v>30900</v>
      </c>
      <c r="H173" s="44">
        <v>185.4</v>
      </c>
      <c r="K173" s="4" t="e">
        <f>VLOOKUP(A173,Detallado!$C$5:$H$1570,6,FALSE)</f>
        <v>#N/A</v>
      </c>
    </row>
    <row r="174" spans="1:11">
      <c r="A174" s="90">
        <v>124541219739</v>
      </c>
      <c r="B174" s="1" t="s">
        <v>1790</v>
      </c>
      <c r="C174" s="43" t="s">
        <v>1800</v>
      </c>
      <c r="D174" s="1" t="s">
        <v>1780</v>
      </c>
      <c r="E174" s="43" t="s">
        <v>1800</v>
      </c>
      <c r="F174" s="37" t="s">
        <v>1782</v>
      </c>
      <c r="G174" s="44">
        <v>17900</v>
      </c>
      <c r="H174" s="44">
        <v>107.4</v>
      </c>
      <c r="K174" s="4" t="e">
        <f>VLOOKUP(A174,Detallado!$C$5:$H$1570,6,FALSE)</f>
        <v>#N/A</v>
      </c>
    </row>
    <row r="175" spans="1:11">
      <c r="A175" s="90">
        <v>124540445571</v>
      </c>
      <c r="B175" s="1" t="s">
        <v>8</v>
      </c>
      <c r="C175" s="43" t="s">
        <v>1800</v>
      </c>
      <c r="D175" s="1" t="s">
        <v>1780</v>
      </c>
      <c r="E175" s="43" t="s">
        <v>1800</v>
      </c>
      <c r="F175" s="37" t="s">
        <v>1782</v>
      </c>
      <c r="G175" s="44">
        <v>49100</v>
      </c>
      <c r="H175" s="44">
        <v>294.60000000000002</v>
      </c>
      <c r="K175" s="4" t="e">
        <f>VLOOKUP(A175,Detallado!$C$5:$H$1570,6,FALSE)</f>
        <v>#N/A</v>
      </c>
    </row>
    <row r="176" spans="1:11">
      <c r="A176" s="90">
        <v>124540352665</v>
      </c>
      <c r="B176" s="1" t="s">
        <v>1790</v>
      </c>
      <c r="C176" s="43" t="s">
        <v>1800</v>
      </c>
      <c r="D176" s="1" t="s">
        <v>1780</v>
      </c>
      <c r="E176" s="43" t="s">
        <v>1800</v>
      </c>
      <c r="F176" s="37" t="s">
        <v>1782</v>
      </c>
      <c r="G176" s="44">
        <v>37600</v>
      </c>
      <c r="H176" s="44">
        <v>225.6</v>
      </c>
      <c r="K176" s="4" t="e">
        <f>VLOOKUP(A176,Detallado!$C$5:$H$1570,6,FALSE)</f>
        <v>#N/A</v>
      </c>
    </row>
    <row r="177" spans="1:11">
      <c r="A177" s="90">
        <v>124540015625</v>
      </c>
      <c r="B177" s="1" t="s">
        <v>8</v>
      </c>
      <c r="C177" s="43" t="s">
        <v>1800</v>
      </c>
      <c r="D177" s="1" t="s">
        <v>1780</v>
      </c>
      <c r="E177" s="43" t="s">
        <v>1800</v>
      </c>
      <c r="F177" s="37" t="s">
        <v>1782</v>
      </c>
      <c r="G177" s="44">
        <v>25400</v>
      </c>
      <c r="H177" s="44">
        <v>152.4</v>
      </c>
      <c r="K177" s="4" t="e">
        <f>VLOOKUP(A177,Detallado!$C$5:$H$1570,6,FALSE)</f>
        <v>#N/A</v>
      </c>
    </row>
    <row r="178" spans="1:11">
      <c r="A178" s="90">
        <v>124539894925</v>
      </c>
      <c r="B178" s="1" t="s">
        <v>1813</v>
      </c>
      <c r="C178" s="43" t="s">
        <v>1800</v>
      </c>
      <c r="D178" s="1" t="s">
        <v>1780</v>
      </c>
      <c r="E178" s="43" t="s">
        <v>1800</v>
      </c>
      <c r="F178" s="37" t="s">
        <v>1782</v>
      </c>
      <c r="G178" s="44">
        <v>1395</v>
      </c>
      <c r="H178" s="44">
        <v>8.3699999999999992</v>
      </c>
      <c r="K178" s="4" t="e">
        <f>VLOOKUP(A178,Detallado!$C$5:$H$1570,6,FALSE)</f>
        <v>#N/A</v>
      </c>
    </row>
    <row r="179" spans="1:11">
      <c r="A179" s="90">
        <v>124538747357</v>
      </c>
      <c r="B179" s="1" t="s">
        <v>1790</v>
      </c>
      <c r="C179" s="43" t="s">
        <v>1800</v>
      </c>
      <c r="D179" s="1" t="s">
        <v>1780</v>
      </c>
      <c r="E179" s="43" t="s">
        <v>1800</v>
      </c>
      <c r="F179" s="37" t="s">
        <v>1782</v>
      </c>
      <c r="G179" s="44">
        <v>34800</v>
      </c>
      <c r="H179" s="44">
        <v>208.8</v>
      </c>
      <c r="K179" s="4" t="e">
        <f>VLOOKUP(A179,Detallado!$C$5:$H$1570,6,FALSE)</f>
        <v>#N/A</v>
      </c>
    </row>
    <row r="180" spans="1:11">
      <c r="A180" s="90">
        <v>124538330471</v>
      </c>
      <c r="B180" s="1" t="s">
        <v>8</v>
      </c>
      <c r="C180" s="43" t="s">
        <v>1800</v>
      </c>
      <c r="D180" s="1" t="s">
        <v>1780</v>
      </c>
      <c r="E180" s="43" t="s">
        <v>1800</v>
      </c>
      <c r="F180" s="37" t="s">
        <v>1782</v>
      </c>
      <c r="G180" s="44">
        <v>7000</v>
      </c>
      <c r="H180" s="44">
        <v>42</v>
      </c>
      <c r="K180" s="4" t="e">
        <f>VLOOKUP(A180,Detallado!$C$5:$H$1570,6,FALSE)</f>
        <v>#N/A</v>
      </c>
    </row>
    <row r="181" spans="1:11">
      <c r="A181" s="90">
        <v>124538079727</v>
      </c>
      <c r="B181" s="1" t="s">
        <v>1790</v>
      </c>
      <c r="C181" s="43" t="s">
        <v>1800</v>
      </c>
      <c r="D181" s="1" t="s">
        <v>1780</v>
      </c>
      <c r="E181" s="43" t="s">
        <v>1800</v>
      </c>
      <c r="F181" s="37" t="s">
        <v>1782</v>
      </c>
      <c r="G181" s="44">
        <v>3900</v>
      </c>
      <c r="H181" s="44">
        <v>23.4</v>
      </c>
      <c r="K181" s="4" t="e">
        <f>VLOOKUP(A181,Detallado!$C$5:$H$1570,6,FALSE)</f>
        <v>#N/A</v>
      </c>
    </row>
    <row r="182" spans="1:11">
      <c r="A182" s="90">
        <v>124534512559</v>
      </c>
      <c r="B182" s="1" t="s">
        <v>8</v>
      </c>
      <c r="C182" s="43" t="s">
        <v>1800</v>
      </c>
      <c r="D182" s="1" t="s">
        <v>1780</v>
      </c>
      <c r="E182" s="43" t="s">
        <v>1800</v>
      </c>
      <c r="F182" s="37" t="s">
        <v>1782</v>
      </c>
      <c r="G182" s="44">
        <v>60700</v>
      </c>
      <c r="H182" s="44">
        <v>364.2</v>
      </c>
      <c r="K182" s="4" t="e">
        <f>VLOOKUP(A182,Detallado!$C$5:$H$1570,6,FALSE)</f>
        <v>#N/A</v>
      </c>
    </row>
    <row r="183" spans="1:11">
      <c r="A183" s="90">
        <v>124533578613</v>
      </c>
      <c r="B183" s="1" t="s">
        <v>8</v>
      </c>
      <c r="C183" s="43" t="s">
        <v>1800</v>
      </c>
      <c r="D183" s="1" t="s">
        <v>1780</v>
      </c>
      <c r="E183" s="43" t="s">
        <v>1800</v>
      </c>
      <c r="F183" s="37" t="s">
        <v>1782</v>
      </c>
      <c r="G183" s="44">
        <v>31500</v>
      </c>
      <c r="H183" s="44">
        <v>189</v>
      </c>
      <c r="K183" s="4" t="e">
        <f>VLOOKUP(A183,Detallado!$C$5:$H$1570,6,FALSE)</f>
        <v>#N/A</v>
      </c>
    </row>
    <row r="184" spans="1:11">
      <c r="A184" s="90">
        <v>124531770681</v>
      </c>
      <c r="B184" s="1" t="s">
        <v>8</v>
      </c>
      <c r="C184" s="43" t="s">
        <v>1800</v>
      </c>
      <c r="D184" s="1" t="s">
        <v>1780</v>
      </c>
      <c r="E184" s="43" t="s">
        <v>1800</v>
      </c>
      <c r="F184" s="37" t="s">
        <v>1782</v>
      </c>
      <c r="G184" s="44">
        <v>41300</v>
      </c>
      <c r="H184" s="44">
        <v>247.8</v>
      </c>
      <c r="K184" s="4" t="e">
        <f>VLOOKUP(A184,Detallado!$C$5:$H$1570,6,FALSE)</f>
        <v>#N/A</v>
      </c>
    </row>
    <row r="185" spans="1:11">
      <c r="A185" s="90">
        <v>124529807091</v>
      </c>
      <c r="B185" s="1" t="s">
        <v>8</v>
      </c>
      <c r="C185" s="43" t="s">
        <v>1800</v>
      </c>
      <c r="D185" s="1" t="s">
        <v>1780</v>
      </c>
      <c r="E185" s="43" t="s">
        <v>1800</v>
      </c>
      <c r="F185" s="37" t="s">
        <v>1782</v>
      </c>
      <c r="G185" s="44">
        <v>7800</v>
      </c>
      <c r="H185" s="44">
        <v>46.8</v>
      </c>
      <c r="K185" s="4" t="e">
        <f>VLOOKUP(A185,Detallado!$C$5:$H$1570,6,FALSE)</f>
        <v>#N/A</v>
      </c>
    </row>
    <row r="186" spans="1:11">
      <c r="A186" s="90">
        <v>124528936881</v>
      </c>
      <c r="B186" s="1" t="s">
        <v>1790</v>
      </c>
      <c r="C186" s="43" t="s">
        <v>1800</v>
      </c>
      <c r="D186" s="1" t="s">
        <v>1780</v>
      </c>
      <c r="E186" s="43" t="s">
        <v>1800</v>
      </c>
      <c r="F186" s="37" t="s">
        <v>1782</v>
      </c>
      <c r="G186" s="44">
        <v>50000</v>
      </c>
      <c r="H186" s="44">
        <v>300</v>
      </c>
      <c r="K186" s="4" t="e">
        <f>VLOOKUP(A186,Detallado!$C$5:$H$1570,6,FALSE)</f>
        <v>#N/A</v>
      </c>
    </row>
    <row r="187" spans="1:11">
      <c r="A187" s="90">
        <v>124526350425</v>
      </c>
      <c r="B187" s="1" t="s">
        <v>8</v>
      </c>
      <c r="C187" s="43" t="s">
        <v>1800</v>
      </c>
      <c r="D187" s="1" t="s">
        <v>1780</v>
      </c>
      <c r="E187" s="43" t="s">
        <v>1800</v>
      </c>
      <c r="F187" s="37" t="s">
        <v>1782</v>
      </c>
      <c r="G187" s="44">
        <v>4300</v>
      </c>
      <c r="H187" s="44">
        <v>25.8</v>
      </c>
      <c r="K187" s="4" t="e">
        <f>VLOOKUP(A187,Detallado!$C$5:$H$1570,6,FALSE)</f>
        <v>#N/A</v>
      </c>
    </row>
    <row r="188" spans="1:11">
      <c r="A188" s="90">
        <v>124525967241</v>
      </c>
      <c r="B188" s="1" t="s">
        <v>1790</v>
      </c>
      <c r="C188" s="43" t="s">
        <v>1800</v>
      </c>
      <c r="D188" s="1" t="s">
        <v>1780</v>
      </c>
      <c r="E188" s="43" t="s">
        <v>1800</v>
      </c>
      <c r="F188" s="37" t="s">
        <v>1782</v>
      </c>
      <c r="G188" s="44">
        <v>4300</v>
      </c>
      <c r="H188" s="44">
        <v>25.8</v>
      </c>
      <c r="K188" s="4" t="e">
        <f>VLOOKUP(A188,Detallado!$C$5:$H$1570,6,FALSE)</f>
        <v>#N/A</v>
      </c>
    </row>
    <row r="189" spans="1:11">
      <c r="A189" s="90">
        <v>124521851915</v>
      </c>
      <c r="B189" s="1" t="s">
        <v>1790</v>
      </c>
      <c r="C189" s="43" t="s">
        <v>1800</v>
      </c>
      <c r="D189" s="1" t="s">
        <v>1780</v>
      </c>
      <c r="E189" s="43" t="s">
        <v>1800</v>
      </c>
      <c r="F189" s="37" t="s">
        <v>1782</v>
      </c>
      <c r="G189" s="44">
        <v>12100</v>
      </c>
      <c r="H189" s="44">
        <v>72.599999999999994</v>
      </c>
      <c r="K189" s="4" t="e">
        <f>VLOOKUP(A189,Detallado!$C$5:$H$1570,6,FALSE)</f>
        <v>#N/A</v>
      </c>
    </row>
    <row r="190" spans="1:11">
      <c r="A190" s="90">
        <v>124513068303</v>
      </c>
      <c r="B190" s="1" t="s">
        <v>1790</v>
      </c>
      <c r="C190" s="43" t="s">
        <v>1800</v>
      </c>
      <c r="D190" s="1" t="s">
        <v>1780</v>
      </c>
      <c r="E190" s="43" t="s">
        <v>1800</v>
      </c>
      <c r="F190" s="37" t="s">
        <v>1782</v>
      </c>
      <c r="G190" s="44">
        <v>4300</v>
      </c>
      <c r="H190" s="44">
        <v>25.8</v>
      </c>
      <c r="K190" s="4" t="e">
        <f>VLOOKUP(A190,Detallado!$C$5:$H$1570,6,FALSE)</f>
        <v>#N/A</v>
      </c>
    </row>
    <row r="191" spans="1:11">
      <c r="A191" s="90">
        <v>124512339921</v>
      </c>
      <c r="B191" s="1" t="s">
        <v>1790</v>
      </c>
      <c r="C191" s="43" t="s">
        <v>1800</v>
      </c>
      <c r="D191" s="1" t="s">
        <v>1780</v>
      </c>
      <c r="E191" s="43" t="s">
        <v>1800</v>
      </c>
      <c r="F191" s="37" t="s">
        <v>1782</v>
      </c>
      <c r="G191" s="44">
        <v>7800</v>
      </c>
      <c r="H191" s="44">
        <v>46.8</v>
      </c>
      <c r="K191" s="4" t="e">
        <f>VLOOKUP(A191,Detallado!$C$5:$H$1570,6,FALSE)</f>
        <v>#N/A</v>
      </c>
    </row>
    <row r="192" spans="1:11">
      <c r="A192" s="90">
        <v>124506917889</v>
      </c>
      <c r="B192" s="1" t="s">
        <v>8</v>
      </c>
      <c r="C192" s="43" t="s">
        <v>1800</v>
      </c>
      <c r="D192" s="1" t="s">
        <v>1780</v>
      </c>
      <c r="E192" s="43" t="s">
        <v>1800</v>
      </c>
      <c r="F192" s="37" t="s">
        <v>1782</v>
      </c>
      <c r="G192" s="44">
        <v>16500</v>
      </c>
      <c r="H192" s="44">
        <v>99</v>
      </c>
      <c r="K192" s="4" t="e">
        <f>VLOOKUP(A192,Detallado!$C$5:$H$1570,6,FALSE)</f>
        <v>#N/A</v>
      </c>
    </row>
    <row r="193" spans="1:16">
      <c r="A193" s="90">
        <v>124392988273</v>
      </c>
      <c r="B193" s="1" t="s">
        <v>8</v>
      </c>
      <c r="C193" s="43" t="s">
        <v>1800</v>
      </c>
      <c r="D193" s="1" t="s">
        <v>1780</v>
      </c>
      <c r="E193" s="43" t="s">
        <v>1800</v>
      </c>
      <c r="F193" s="37" t="s">
        <v>1782</v>
      </c>
      <c r="G193" s="44">
        <v>8700</v>
      </c>
      <c r="H193" s="44">
        <v>52.2</v>
      </c>
      <c r="K193" s="4" t="e">
        <f>VLOOKUP(A193,Detallado!$C$5:$H$1570,6,FALSE)</f>
        <v>#N/A</v>
      </c>
    </row>
    <row r="194" spans="1:16">
      <c r="A194" s="90">
        <v>124392888675</v>
      </c>
      <c r="B194" s="1" t="s">
        <v>8</v>
      </c>
      <c r="C194" s="43" t="s">
        <v>1800</v>
      </c>
      <c r="D194" s="1" t="s">
        <v>1780</v>
      </c>
      <c r="E194" s="43" t="s">
        <v>1800</v>
      </c>
      <c r="F194" s="37" t="s">
        <v>1782</v>
      </c>
      <c r="G194" s="44">
        <v>86600</v>
      </c>
      <c r="H194" s="44">
        <v>519.6</v>
      </c>
      <c r="K194" s="4" t="e">
        <f>VLOOKUP(A194,Detallado!$C$5:$H$1570,6,FALSE)</f>
        <v>#N/A</v>
      </c>
    </row>
    <row r="195" spans="1:16">
      <c r="A195" s="90">
        <v>124392818757</v>
      </c>
      <c r="B195" s="1" t="s">
        <v>8</v>
      </c>
      <c r="C195" s="43" t="s">
        <v>1800</v>
      </c>
      <c r="D195" s="1" t="s">
        <v>1780</v>
      </c>
      <c r="E195" s="43" t="s">
        <v>1800</v>
      </c>
      <c r="F195" s="37" t="s">
        <v>1782</v>
      </c>
      <c r="G195" s="44">
        <v>20700</v>
      </c>
      <c r="H195" s="44">
        <v>124.2</v>
      </c>
      <c r="K195" s="4" t="e">
        <f>VLOOKUP(A195,Detallado!$C$5:$H$1570,6,FALSE)</f>
        <v>#N/A</v>
      </c>
    </row>
    <row r="196" spans="1:16">
      <c r="A196" s="90">
        <v>124392595503</v>
      </c>
      <c r="B196" s="1" t="s">
        <v>1790</v>
      </c>
      <c r="C196" s="43" t="s">
        <v>1800</v>
      </c>
      <c r="D196" s="1" t="s">
        <v>1780</v>
      </c>
      <c r="E196" s="43" t="s">
        <v>1800</v>
      </c>
      <c r="F196" s="37" t="s">
        <v>1782</v>
      </c>
      <c r="G196" s="44">
        <v>4300</v>
      </c>
      <c r="H196" s="44">
        <v>25.8</v>
      </c>
      <c r="K196" s="4" t="e">
        <f>VLOOKUP(A196,Detallado!$C$5:$H$1570,6,FALSE)</f>
        <v>#N/A</v>
      </c>
    </row>
    <row r="197" spans="1:16">
      <c r="A197" s="90">
        <v>124392245583</v>
      </c>
      <c r="B197" s="1" t="s">
        <v>1790</v>
      </c>
      <c r="C197" s="43" t="s">
        <v>1800</v>
      </c>
      <c r="D197" s="1" t="s">
        <v>1780</v>
      </c>
      <c r="E197" s="43" t="s">
        <v>1800</v>
      </c>
      <c r="F197" s="37" t="s">
        <v>1782</v>
      </c>
      <c r="G197" s="44">
        <v>35900</v>
      </c>
      <c r="H197" s="44">
        <v>215.4</v>
      </c>
      <c r="K197" s="4" t="e">
        <f>VLOOKUP(A197,Detallado!$C$5:$H$1570,6,FALSE)</f>
        <v>#N/A</v>
      </c>
    </row>
    <row r="198" spans="1:16">
      <c r="A198" s="90">
        <v>124392231153</v>
      </c>
      <c r="B198" s="1" t="s">
        <v>8</v>
      </c>
      <c r="C198" s="43" t="s">
        <v>1800</v>
      </c>
      <c r="D198" s="1" t="s">
        <v>1780</v>
      </c>
      <c r="E198" s="43" t="s">
        <v>1800</v>
      </c>
      <c r="F198" s="37" t="s">
        <v>1782</v>
      </c>
      <c r="G198" s="44">
        <v>10000</v>
      </c>
      <c r="H198" s="44">
        <v>60</v>
      </c>
      <c r="K198" s="4" t="e">
        <f>VLOOKUP(A198,Detallado!$C$5:$H$1570,6,FALSE)</f>
        <v>#N/A</v>
      </c>
    </row>
    <row r="199" spans="1:16">
      <c r="A199" s="90">
        <v>124391938119</v>
      </c>
      <c r="B199" s="1" t="s">
        <v>8</v>
      </c>
      <c r="C199" s="43" t="s">
        <v>1800</v>
      </c>
      <c r="D199" s="1" t="s">
        <v>1780</v>
      </c>
      <c r="E199" s="43" t="s">
        <v>1800</v>
      </c>
      <c r="F199" s="37" t="s">
        <v>1782</v>
      </c>
      <c r="G199" s="44">
        <v>4300</v>
      </c>
      <c r="H199" s="44">
        <v>25.8</v>
      </c>
      <c r="K199" s="4" t="e">
        <f>VLOOKUP(A199,Detallado!$C$5:$H$1570,6,FALSE)</f>
        <v>#N/A</v>
      </c>
    </row>
    <row r="200" spans="1:16">
      <c r="A200" s="90">
        <v>124391850585</v>
      </c>
      <c r="B200" s="1" t="s">
        <v>8</v>
      </c>
      <c r="C200" s="43" t="s">
        <v>1800</v>
      </c>
      <c r="D200" s="1" t="s">
        <v>1780</v>
      </c>
      <c r="E200" s="43" t="s">
        <v>1800</v>
      </c>
      <c r="F200" s="37" t="s">
        <v>1782</v>
      </c>
      <c r="G200" s="44">
        <v>97500</v>
      </c>
      <c r="H200" s="44">
        <v>585</v>
      </c>
      <c r="K200" s="4" t="e">
        <f>VLOOKUP(A200,Detallado!$C$5:$H$1570,6,FALSE)</f>
        <v>#N/A</v>
      </c>
    </row>
    <row r="201" spans="1:16">
      <c r="A201" s="90">
        <v>124391779837</v>
      </c>
      <c r="B201" s="1" t="s">
        <v>1807</v>
      </c>
      <c r="C201" s="43" t="s">
        <v>1800</v>
      </c>
      <c r="D201" s="1" t="s">
        <v>1780</v>
      </c>
      <c r="E201" s="43" t="s">
        <v>1800</v>
      </c>
      <c r="F201" s="37" t="s">
        <v>1782</v>
      </c>
      <c r="G201" s="44">
        <v>430</v>
      </c>
      <c r="H201" s="44">
        <v>2.58</v>
      </c>
      <c r="K201" s="4" t="e">
        <f>VLOOKUP(A201,Detallado!$C$5:$H$1570,6,FALSE)</f>
        <v>#N/A</v>
      </c>
    </row>
    <row r="202" spans="1:16">
      <c r="A202" s="90">
        <v>124391696277</v>
      </c>
      <c r="B202" s="1" t="s">
        <v>8</v>
      </c>
      <c r="C202" s="43" t="s">
        <v>1800</v>
      </c>
      <c r="D202" s="1" t="s">
        <v>1780</v>
      </c>
      <c r="E202" s="43" t="s">
        <v>1800</v>
      </c>
      <c r="F202" s="37" t="s">
        <v>1782</v>
      </c>
      <c r="G202" s="44">
        <v>4300</v>
      </c>
      <c r="H202" s="44">
        <v>25.8</v>
      </c>
      <c r="K202" s="4" t="e">
        <f>VLOOKUP(A202,Detallado!$C$5:$H$1570,6,FALSE)</f>
        <v>#N/A</v>
      </c>
    </row>
    <row r="203" spans="1:16">
      <c r="A203" s="90">
        <v>124391343749</v>
      </c>
      <c r="B203" s="1" t="s">
        <v>8</v>
      </c>
      <c r="C203" s="43" t="s">
        <v>1800</v>
      </c>
      <c r="D203" s="1" t="s">
        <v>1780</v>
      </c>
      <c r="E203" s="43" t="s">
        <v>1800</v>
      </c>
      <c r="F203" s="37" t="s">
        <v>1782</v>
      </c>
      <c r="G203" s="44">
        <v>9300</v>
      </c>
      <c r="H203" s="44">
        <v>55.8</v>
      </c>
      <c r="K203" s="4" t="e">
        <f>VLOOKUP(A203,Detallado!$C$5:$H$1570,6,FALSE)</f>
        <v>#N/A</v>
      </c>
    </row>
    <row r="204" spans="1:16">
      <c r="A204" s="90">
        <v>124390658789</v>
      </c>
      <c r="B204" s="1" t="s">
        <v>1790</v>
      </c>
      <c r="C204" s="43" t="s">
        <v>1800</v>
      </c>
      <c r="D204" s="1" t="s">
        <v>1780</v>
      </c>
      <c r="E204" s="43" t="s">
        <v>1800</v>
      </c>
      <c r="F204" s="37" t="s">
        <v>1782</v>
      </c>
      <c r="G204" s="44">
        <v>40800</v>
      </c>
      <c r="H204" s="44">
        <v>244.8</v>
      </c>
      <c r="K204" s="4" t="e">
        <f>VLOOKUP(A204,Detallado!$C$5:$H$1570,6,FALSE)</f>
        <v>#N/A</v>
      </c>
    </row>
    <row r="205" spans="1:16">
      <c r="A205" s="90">
        <v>124390468955</v>
      </c>
      <c r="B205" s="1" t="s">
        <v>8</v>
      </c>
      <c r="C205" s="43" t="s">
        <v>1800</v>
      </c>
      <c r="D205" s="1" t="s">
        <v>1780</v>
      </c>
      <c r="E205" s="43" t="s">
        <v>1800</v>
      </c>
      <c r="F205" s="37" t="s">
        <v>1782</v>
      </c>
      <c r="G205" s="44">
        <v>14300</v>
      </c>
      <c r="H205" s="44">
        <v>85.8</v>
      </c>
      <c r="K205" s="4" t="e">
        <f>VLOOKUP(A205,Detallado!$C$5:$H$1570,6,FALSE)</f>
        <v>#N/A</v>
      </c>
    </row>
    <row r="206" spans="1:16">
      <c r="A206" s="90">
        <v>124390277545</v>
      </c>
      <c r="B206" s="1" t="s">
        <v>8</v>
      </c>
      <c r="C206" s="43" t="s">
        <v>1800</v>
      </c>
      <c r="D206" s="1" t="s">
        <v>1780</v>
      </c>
      <c r="E206" s="43" t="s">
        <v>1800</v>
      </c>
      <c r="F206" s="37" t="s">
        <v>1782</v>
      </c>
      <c r="G206" s="44">
        <v>4300</v>
      </c>
      <c r="H206" s="44">
        <v>25.8</v>
      </c>
      <c r="K206" s="4" t="e">
        <f>VLOOKUP(A206,Detallado!$C$5:$H$1570,6,FALSE)</f>
        <v>#N/A</v>
      </c>
    </row>
    <row r="207" spans="1:16">
      <c r="A207" s="101" t="s">
        <v>1810</v>
      </c>
      <c r="B207" s="59" t="s">
        <v>8</v>
      </c>
      <c r="C207" s="60" t="s">
        <v>1800</v>
      </c>
      <c r="D207" s="59" t="s">
        <v>1780</v>
      </c>
      <c r="E207" s="60" t="s">
        <v>1800</v>
      </c>
      <c r="F207" s="61" t="s">
        <v>1782</v>
      </c>
      <c r="G207" s="62">
        <v>137561.32</v>
      </c>
      <c r="H207" s="74">
        <v>825.37</v>
      </c>
      <c r="I207" s="59"/>
      <c r="J207" s="59"/>
      <c r="K207" s="27">
        <f>-H207</f>
        <v>-825.37</v>
      </c>
      <c r="M207" s="4">
        <v>-825.36793240555562</v>
      </c>
      <c r="N207" s="66">
        <f>+K207-M207</f>
        <v>-2.0675944443837579E-3</v>
      </c>
      <c r="O207" s="1" t="s">
        <v>132</v>
      </c>
      <c r="P207" s="1">
        <f>+E207-O207</f>
        <v>0</v>
      </c>
    </row>
    <row r="208" spans="1:16">
      <c r="A208" s="101" t="s">
        <v>1809</v>
      </c>
      <c r="B208" s="59" t="s">
        <v>8</v>
      </c>
      <c r="C208" s="60" t="s">
        <v>1800</v>
      </c>
      <c r="D208" s="59" t="s">
        <v>1780</v>
      </c>
      <c r="E208" s="60" t="s">
        <v>1800</v>
      </c>
      <c r="F208" s="61" t="s">
        <v>1782</v>
      </c>
      <c r="G208" s="62">
        <v>383544.4</v>
      </c>
      <c r="H208" s="74">
        <v>2301.27</v>
      </c>
      <c r="I208" s="59"/>
      <c r="J208" s="59"/>
      <c r="K208" s="27">
        <f>-H208</f>
        <v>-2301.27</v>
      </c>
      <c r="M208" s="4">
        <v>-2301.2664214711986</v>
      </c>
      <c r="N208" s="66">
        <f>+K208-M208</f>
        <v>-3.578528801426728E-3</v>
      </c>
      <c r="O208" s="1" t="s">
        <v>132</v>
      </c>
      <c r="P208" s="1">
        <f>+E208-O208</f>
        <v>0</v>
      </c>
    </row>
    <row r="209" spans="1:16">
      <c r="A209" s="90">
        <v>124420739261</v>
      </c>
      <c r="B209" s="1" t="s">
        <v>8</v>
      </c>
      <c r="C209" s="43" t="s">
        <v>1800</v>
      </c>
      <c r="D209" s="1" t="s">
        <v>1780</v>
      </c>
      <c r="E209" s="43" t="s">
        <v>1800</v>
      </c>
      <c r="F209" s="37" t="s">
        <v>1782</v>
      </c>
      <c r="G209" s="44">
        <v>433268.17</v>
      </c>
      <c r="H209" s="77">
        <v>2599.61</v>
      </c>
      <c r="K209" s="27" t="e">
        <f>VLOOKUP(A209,Detallado!$C$5:$H$1570,6,FALSE)</f>
        <v>#N/A</v>
      </c>
      <c r="M209" s="4">
        <v>-2584.1043936381466</v>
      </c>
      <c r="N209" s="66" t="e">
        <f>+K209-M209</f>
        <v>#N/A</v>
      </c>
      <c r="O209" s="1" t="s">
        <v>132</v>
      </c>
      <c r="P209" s="1">
        <f>+E209-O209</f>
        <v>0</v>
      </c>
    </row>
    <row r="210" spans="1:16">
      <c r="A210" s="101" t="s">
        <v>1808</v>
      </c>
      <c r="B210" s="59" t="s">
        <v>8</v>
      </c>
      <c r="C210" s="60" t="s">
        <v>1800</v>
      </c>
      <c r="D210" s="59" t="s">
        <v>1780</v>
      </c>
      <c r="E210" s="60" t="s">
        <v>1800</v>
      </c>
      <c r="F210" s="61" t="s">
        <v>1782</v>
      </c>
      <c r="G210" s="62">
        <v>2200133.04</v>
      </c>
      <c r="H210" s="74">
        <v>13200.8</v>
      </c>
      <c r="I210" s="59"/>
      <c r="J210" s="59"/>
      <c r="K210" s="27">
        <f>-H210</f>
        <v>-13200.8</v>
      </c>
      <c r="M210" s="4">
        <v>-13200.798250496853</v>
      </c>
      <c r="N210" s="66">
        <f>+K210-M210</f>
        <v>-1.7495031461294275E-3</v>
      </c>
      <c r="O210" s="1" t="s">
        <v>132</v>
      </c>
      <c r="P210" s="1">
        <f>+E210-O210</f>
        <v>0</v>
      </c>
    </row>
    <row r="211" spans="1:16">
      <c r="A211" s="90">
        <v>125092236130</v>
      </c>
      <c r="B211" s="1" t="s">
        <v>8</v>
      </c>
      <c r="C211" s="43" t="s">
        <v>1800</v>
      </c>
      <c r="D211" s="1" t="s">
        <v>1780</v>
      </c>
      <c r="E211" s="43" t="s">
        <v>1815</v>
      </c>
      <c r="F211" s="37" t="s">
        <v>1782</v>
      </c>
      <c r="G211" s="44">
        <v>8800</v>
      </c>
      <c r="H211" s="44">
        <v>52.8</v>
      </c>
      <c r="K211" s="4" t="e">
        <f>VLOOKUP(A211,Detallado!$C$5:$H$1570,6,FALSE)</f>
        <v>#N/A</v>
      </c>
    </row>
    <row r="212" spans="1:16">
      <c r="A212" s="90">
        <v>125092001900</v>
      </c>
      <c r="B212" s="1" t="s">
        <v>8</v>
      </c>
      <c r="C212" s="43" t="s">
        <v>1800</v>
      </c>
      <c r="D212" s="1" t="s">
        <v>1780</v>
      </c>
      <c r="E212" s="43" t="s">
        <v>1815</v>
      </c>
      <c r="F212" s="37" t="s">
        <v>1782</v>
      </c>
      <c r="G212" s="44">
        <v>4500</v>
      </c>
      <c r="H212" s="44">
        <v>27</v>
      </c>
      <c r="K212" s="4" t="e">
        <f>VLOOKUP(A212,Detallado!$C$5:$H$1570,6,FALSE)</f>
        <v>#N/A</v>
      </c>
    </row>
    <row r="213" spans="1:16">
      <c r="A213" s="90">
        <v>125091877596</v>
      </c>
      <c r="B213" s="1" t="s">
        <v>8</v>
      </c>
      <c r="C213" s="43" t="s">
        <v>1800</v>
      </c>
      <c r="D213" s="1" t="s">
        <v>1780</v>
      </c>
      <c r="E213" s="43" t="s">
        <v>1815</v>
      </c>
      <c r="F213" s="37" t="s">
        <v>1782</v>
      </c>
      <c r="G213" s="44">
        <v>3500</v>
      </c>
      <c r="H213" s="44">
        <v>21</v>
      </c>
      <c r="K213" s="4" t="e">
        <f>VLOOKUP(A213,Detallado!$C$5:$H$1570,6,FALSE)</f>
        <v>#N/A</v>
      </c>
    </row>
    <row r="214" spans="1:16">
      <c r="A214" s="90">
        <v>125091762262</v>
      </c>
      <c r="B214" s="1" t="s">
        <v>8</v>
      </c>
      <c r="C214" s="43" t="s">
        <v>1800</v>
      </c>
      <c r="D214" s="1" t="s">
        <v>1780</v>
      </c>
      <c r="E214" s="43" t="s">
        <v>1815</v>
      </c>
      <c r="F214" s="37" t="s">
        <v>1782</v>
      </c>
      <c r="G214" s="44">
        <v>38700</v>
      </c>
      <c r="H214" s="44">
        <v>232.2</v>
      </c>
      <c r="K214" s="4" t="e">
        <f>VLOOKUP(A214,Detallado!$C$5:$H$1570,6,FALSE)</f>
        <v>#N/A</v>
      </c>
    </row>
    <row r="215" spans="1:16">
      <c r="A215" s="90">
        <v>125091637502</v>
      </c>
      <c r="B215" s="1" t="s">
        <v>8</v>
      </c>
      <c r="C215" s="43" t="s">
        <v>1800</v>
      </c>
      <c r="D215" s="1" t="s">
        <v>1780</v>
      </c>
      <c r="E215" s="43" t="s">
        <v>1815</v>
      </c>
      <c r="F215" s="37" t="s">
        <v>1782</v>
      </c>
      <c r="G215" s="44">
        <v>10600</v>
      </c>
      <c r="H215" s="44">
        <v>63.6</v>
      </c>
      <c r="K215" s="4" t="e">
        <f>VLOOKUP(A215,Detallado!$C$5:$H$1570,6,FALSE)</f>
        <v>#N/A</v>
      </c>
    </row>
    <row r="216" spans="1:16">
      <c r="A216" s="90">
        <v>125091553012</v>
      </c>
      <c r="B216" s="1" t="s">
        <v>8</v>
      </c>
      <c r="C216" s="43" t="s">
        <v>1800</v>
      </c>
      <c r="D216" s="1" t="s">
        <v>1780</v>
      </c>
      <c r="E216" s="43" t="s">
        <v>1815</v>
      </c>
      <c r="F216" s="37" t="s">
        <v>1782</v>
      </c>
      <c r="G216" s="44">
        <v>4300</v>
      </c>
      <c r="H216" s="44">
        <v>25.8</v>
      </c>
      <c r="K216" s="4" t="e">
        <f>VLOOKUP(A216,Detallado!$C$5:$H$1570,6,FALSE)</f>
        <v>#N/A</v>
      </c>
    </row>
    <row r="217" spans="1:16">
      <c r="A217" s="90">
        <v>125091085756</v>
      </c>
      <c r="B217" s="1" t="s">
        <v>1790</v>
      </c>
      <c r="C217" s="43" t="s">
        <v>1800</v>
      </c>
      <c r="D217" s="1" t="s">
        <v>1780</v>
      </c>
      <c r="E217" s="43" t="s">
        <v>1815</v>
      </c>
      <c r="F217" s="37" t="s">
        <v>1782</v>
      </c>
      <c r="G217" s="44">
        <v>7800</v>
      </c>
      <c r="H217" s="44">
        <v>46.8</v>
      </c>
      <c r="K217" s="4" t="e">
        <f>VLOOKUP(A217,Detallado!$C$5:$H$1570,6,FALSE)</f>
        <v>#N/A</v>
      </c>
    </row>
    <row r="218" spans="1:16">
      <c r="A218" s="90">
        <v>125089938206</v>
      </c>
      <c r="B218" s="1" t="s">
        <v>8</v>
      </c>
      <c r="C218" s="43" t="s">
        <v>1800</v>
      </c>
      <c r="D218" s="1" t="s">
        <v>1780</v>
      </c>
      <c r="E218" s="43" t="s">
        <v>1815</v>
      </c>
      <c r="F218" s="37" t="s">
        <v>1782</v>
      </c>
      <c r="G218" s="44">
        <v>25300</v>
      </c>
      <c r="H218" s="44">
        <v>151.80000000000001</v>
      </c>
      <c r="K218" s="4" t="e">
        <f>VLOOKUP(A218,Detallado!$C$5:$H$1570,6,FALSE)</f>
        <v>#N/A</v>
      </c>
    </row>
    <row r="219" spans="1:16">
      <c r="A219" s="90">
        <v>125089683168</v>
      </c>
      <c r="B219" s="1" t="s">
        <v>1790</v>
      </c>
      <c r="C219" s="43" t="s">
        <v>1800</v>
      </c>
      <c r="D219" s="1" t="s">
        <v>1780</v>
      </c>
      <c r="E219" s="43" t="s">
        <v>1815</v>
      </c>
      <c r="F219" s="37" t="s">
        <v>1782</v>
      </c>
      <c r="G219" s="44">
        <v>47300</v>
      </c>
      <c r="H219" s="44">
        <v>283.8</v>
      </c>
      <c r="K219" s="4" t="e">
        <f>VLOOKUP(A219,Detallado!$C$5:$H$1570,6,FALSE)</f>
        <v>#N/A</v>
      </c>
    </row>
    <row r="220" spans="1:16">
      <c r="A220" s="90">
        <v>125089355560</v>
      </c>
      <c r="B220" s="1" t="s">
        <v>8</v>
      </c>
      <c r="C220" s="43" t="s">
        <v>1800</v>
      </c>
      <c r="D220" s="1" t="s">
        <v>1780</v>
      </c>
      <c r="E220" s="43" t="s">
        <v>1815</v>
      </c>
      <c r="F220" s="37" t="s">
        <v>1782</v>
      </c>
      <c r="G220" s="44">
        <v>9300</v>
      </c>
      <c r="H220" s="44">
        <v>55.8</v>
      </c>
      <c r="K220" s="4" t="e">
        <f>VLOOKUP(A220,Detallado!$C$5:$H$1570,6,FALSE)</f>
        <v>#N/A</v>
      </c>
    </row>
    <row r="221" spans="1:16">
      <c r="A221" s="90">
        <v>125089015400</v>
      </c>
      <c r="B221" s="1" t="s">
        <v>8</v>
      </c>
      <c r="C221" s="43" t="s">
        <v>1800</v>
      </c>
      <c r="D221" s="1" t="s">
        <v>1780</v>
      </c>
      <c r="E221" s="43" t="s">
        <v>1815</v>
      </c>
      <c r="F221" s="37" t="s">
        <v>1782</v>
      </c>
      <c r="G221" s="44">
        <v>4300</v>
      </c>
      <c r="H221" s="44">
        <v>25.8</v>
      </c>
      <c r="K221" s="4" t="e">
        <f>VLOOKUP(A221,Detallado!$C$5:$H$1570,6,FALSE)</f>
        <v>#N/A</v>
      </c>
    </row>
    <row r="222" spans="1:16">
      <c r="A222" s="90">
        <v>125088937092</v>
      </c>
      <c r="B222" s="1" t="s">
        <v>1816</v>
      </c>
      <c r="C222" s="43" t="s">
        <v>1800</v>
      </c>
      <c r="D222" s="1" t="s">
        <v>1780</v>
      </c>
      <c r="E222" s="43" t="s">
        <v>1815</v>
      </c>
      <c r="F222" s="37" t="s">
        <v>1782</v>
      </c>
      <c r="G222" s="44">
        <v>1640</v>
      </c>
      <c r="H222" s="44">
        <v>9.84</v>
      </c>
      <c r="K222" s="4" t="e">
        <f>VLOOKUP(A222,Detallado!$C$5:$H$1570,6,FALSE)</f>
        <v>#N/A</v>
      </c>
    </row>
    <row r="223" spans="1:16">
      <c r="A223" s="90">
        <v>125088923310</v>
      </c>
      <c r="B223" s="1" t="s">
        <v>8</v>
      </c>
      <c r="C223" s="43" t="s">
        <v>1800</v>
      </c>
      <c r="D223" s="1" t="s">
        <v>1780</v>
      </c>
      <c r="E223" s="43" t="s">
        <v>1815</v>
      </c>
      <c r="F223" s="37" t="s">
        <v>1782</v>
      </c>
      <c r="G223" s="44">
        <v>32800</v>
      </c>
      <c r="H223" s="44">
        <v>196.8</v>
      </c>
      <c r="K223" s="4" t="e">
        <f>VLOOKUP(A223,Detallado!$C$5:$H$1570,6,FALSE)</f>
        <v>#N/A</v>
      </c>
    </row>
    <row r="224" spans="1:16">
      <c r="A224" s="90">
        <v>125088899534</v>
      </c>
      <c r="B224" s="1" t="s">
        <v>1790</v>
      </c>
      <c r="C224" s="43" t="s">
        <v>1800</v>
      </c>
      <c r="D224" s="1" t="s">
        <v>1780</v>
      </c>
      <c r="E224" s="43" t="s">
        <v>1815</v>
      </c>
      <c r="F224" s="37" t="s">
        <v>1782</v>
      </c>
      <c r="G224" s="44">
        <v>35100</v>
      </c>
      <c r="H224" s="44">
        <v>210.6</v>
      </c>
      <c r="K224" s="4" t="e">
        <f>VLOOKUP(A224,Detallado!$C$5:$H$1570,6,FALSE)</f>
        <v>#N/A</v>
      </c>
    </row>
    <row r="225" spans="1:11">
      <c r="A225" s="90">
        <v>125088894738</v>
      </c>
      <c r="B225" s="1" t="s">
        <v>8</v>
      </c>
      <c r="C225" s="43" t="s">
        <v>1800</v>
      </c>
      <c r="D225" s="1" t="s">
        <v>1780</v>
      </c>
      <c r="E225" s="43" t="s">
        <v>1815</v>
      </c>
      <c r="F225" s="37" t="s">
        <v>1782</v>
      </c>
      <c r="G225" s="44">
        <v>12600</v>
      </c>
      <c r="H225" s="44">
        <v>75.599999999999994</v>
      </c>
      <c r="K225" s="4" t="e">
        <f>VLOOKUP(A225,Detallado!$C$5:$H$1570,6,FALSE)</f>
        <v>#N/A</v>
      </c>
    </row>
    <row r="226" spans="1:11">
      <c r="A226" s="90">
        <v>125088844362</v>
      </c>
      <c r="B226" s="1" t="s">
        <v>8</v>
      </c>
      <c r="C226" s="43" t="s">
        <v>1800</v>
      </c>
      <c r="D226" s="1" t="s">
        <v>1780</v>
      </c>
      <c r="E226" s="43" t="s">
        <v>1815</v>
      </c>
      <c r="F226" s="37" t="s">
        <v>1782</v>
      </c>
      <c r="G226" s="44">
        <v>8600</v>
      </c>
      <c r="H226" s="44">
        <v>51.6</v>
      </c>
      <c r="K226" s="4" t="e">
        <f>VLOOKUP(A226,Detallado!$C$5:$H$1570,6,FALSE)</f>
        <v>#N/A</v>
      </c>
    </row>
    <row r="227" spans="1:11">
      <c r="A227" s="90">
        <v>124546385021</v>
      </c>
      <c r="B227" s="1" t="s">
        <v>8</v>
      </c>
      <c r="C227" s="43" t="s">
        <v>1800</v>
      </c>
      <c r="D227" s="1" t="s">
        <v>1780</v>
      </c>
      <c r="E227" s="43" t="s">
        <v>1815</v>
      </c>
      <c r="F227" s="37" t="s">
        <v>1782</v>
      </c>
      <c r="G227" s="44">
        <v>5300</v>
      </c>
      <c r="H227" s="44">
        <v>31.8</v>
      </c>
      <c r="K227" s="4" t="e">
        <f>VLOOKUP(A227,Detallado!$C$5:$H$1570,6,FALSE)</f>
        <v>#N/A</v>
      </c>
    </row>
    <row r="228" spans="1:11">
      <c r="A228" s="90">
        <v>124546230277</v>
      </c>
      <c r="B228" s="1" t="s">
        <v>8</v>
      </c>
      <c r="C228" s="43" t="s">
        <v>1800</v>
      </c>
      <c r="D228" s="1" t="s">
        <v>1780</v>
      </c>
      <c r="E228" s="43" t="s">
        <v>1815</v>
      </c>
      <c r="F228" s="37" t="s">
        <v>1782</v>
      </c>
      <c r="G228" s="44">
        <v>47600</v>
      </c>
      <c r="H228" s="44">
        <v>285.60000000000002</v>
      </c>
      <c r="K228" s="4" t="e">
        <f>VLOOKUP(A228,Detallado!$C$5:$H$1570,6,FALSE)</f>
        <v>#N/A</v>
      </c>
    </row>
    <row r="229" spans="1:11">
      <c r="A229" s="90">
        <v>124546179201</v>
      </c>
      <c r="B229" s="1" t="s">
        <v>1819</v>
      </c>
      <c r="C229" s="43" t="s">
        <v>1800</v>
      </c>
      <c r="D229" s="1" t="s">
        <v>1780</v>
      </c>
      <c r="E229" s="43" t="s">
        <v>1815</v>
      </c>
      <c r="F229" s="37" t="s">
        <v>1782</v>
      </c>
      <c r="G229" s="44">
        <v>2380</v>
      </c>
      <c r="H229" s="44">
        <v>14.28</v>
      </c>
      <c r="K229" s="4" t="e">
        <f>VLOOKUP(A229,Detallado!$C$5:$H$1570,6,FALSE)</f>
        <v>#N/A</v>
      </c>
    </row>
    <row r="230" spans="1:11">
      <c r="A230" s="90">
        <v>124545895951</v>
      </c>
      <c r="B230" s="1" t="s">
        <v>8</v>
      </c>
      <c r="C230" s="43" t="s">
        <v>1800</v>
      </c>
      <c r="D230" s="1" t="s">
        <v>1780</v>
      </c>
      <c r="E230" s="43" t="s">
        <v>1815</v>
      </c>
      <c r="F230" s="37" t="s">
        <v>1782</v>
      </c>
      <c r="G230" s="44">
        <v>3900</v>
      </c>
      <c r="H230" s="44">
        <v>23.4</v>
      </c>
      <c r="K230" s="4" t="e">
        <f>VLOOKUP(A230,Detallado!$C$5:$H$1570,6,FALSE)</f>
        <v>#N/A</v>
      </c>
    </row>
    <row r="231" spans="1:11">
      <c r="A231" s="90">
        <v>124545411795</v>
      </c>
      <c r="B231" s="1" t="s">
        <v>8</v>
      </c>
      <c r="C231" s="43" t="s">
        <v>1800</v>
      </c>
      <c r="D231" s="1" t="s">
        <v>1780</v>
      </c>
      <c r="E231" s="43" t="s">
        <v>1815</v>
      </c>
      <c r="F231" s="37" t="s">
        <v>1782</v>
      </c>
      <c r="G231" s="44">
        <v>1900</v>
      </c>
      <c r="H231" s="44">
        <v>11.4</v>
      </c>
      <c r="K231" s="4" t="e">
        <f>VLOOKUP(A231,Detallado!$C$5:$H$1570,6,FALSE)</f>
        <v>#N/A</v>
      </c>
    </row>
    <row r="232" spans="1:11">
      <c r="A232" s="90">
        <v>124545331721</v>
      </c>
      <c r="B232" s="1" t="s">
        <v>1790</v>
      </c>
      <c r="C232" s="43" t="s">
        <v>1800</v>
      </c>
      <c r="D232" s="1" t="s">
        <v>1780</v>
      </c>
      <c r="E232" s="43" t="s">
        <v>1815</v>
      </c>
      <c r="F232" s="37" t="s">
        <v>1782</v>
      </c>
      <c r="G232" s="44">
        <v>39300</v>
      </c>
      <c r="H232" s="44">
        <v>235.8</v>
      </c>
      <c r="K232" s="4" t="e">
        <f>VLOOKUP(A232,Detallado!$C$5:$H$1570,6,FALSE)</f>
        <v>#N/A</v>
      </c>
    </row>
    <row r="233" spans="1:11">
      <c r="A233" s="90">
        <v>124545246125</v>
      </c>
      <c r="B233" s="1" t="s">
        <v>8</v>
      </c>
      <c r="C233" s="43" t="s">
        <v>1800</v>
      </c>
      <c r="D233" s="1" t="s">
        <v>1780</v>
      </c>
      <c r="E233" s="43" t="s">
        <v>1815</v>
      </c>
      <c r="F233" s="37" t="s">
        <v>1782</v>
      </c>
      <c r="G233" s="44">
        <v>5300</v>
      </c>
      <c r="H233" s="44">
        <v>31.8</v>
      </c>
      <c r="K233" s="4" t="e">
        <f>VLOOKUP(A233,Detallado!$C$5:$H$1570,6,FALSE)</f>
        <v>#N/A</v>
      </c>
    </row>
    <row r="234" spans="1:11">
      <c r="A234" s="90">
        <v>124544677873</v>
      </c>
      <c r="B234" s="1" t="s">
        <v>8</v>
      </c>
      <c r="C234" s="43" t="s">
        <v>1800</v>
      </c>
      <c r="D234" s="1" t="s">
        <v>1780</v>
      </c>
      <c r="E234" s="43" t="s">
        <v>1815</v>
      </c>
      <c r="F234" s="37" t="s">
        <v>1782</v>
      </c>
      <c r="G234" s="44">
        <v>68200</v>
      </c>
      <c r="H234" s="44">
        <v>409.2</v>
      </c>
      <c r="K234" s="4" t="e">
        <f>VLOOKUP(A234,Detallado!$C$5:$H$1570,6,FALSE)</f>
        <v>#N/A</v>
      </c>
    </row>
    <row r="235" spans="1:11">
      <c r="A235" s="90">
        <v>124544646101</v>
      </c>
      <c r="B235" s="1" t="s">
        <v>8</v>
      </c>
      <c r="C235" s="43" t="s">
        <v>1800</v>
      </c>
      <c r="D235" s="1" t="s">
        <v>1780</v>
      </c>
      <c r="E235" s="43" t="s">
        <v>1815</v>
      </c>
      <c r="F235" s="37" t="s">
        <v>1782</v>
      </c>
      <c r="G235" s="44">
        <v>12500</v>
      </c>
      <c r="H235" s="44">
        <v>75</v>
      </c>
      <c r="K235" s="4" t="e">
        <f>VLOOKUP(A235,Detallado!$C$5:$H$1570,6,FALSE)</f>
        <v>#N/A</v>
      </c>
    </row>
    <row r="236" spans="1:11">
      <c r="A236" s="90">
        <v>124543543841</v>
      </c>
      <c r="B236" s="1" t="s">
        <v>1790</v>
      </c>
      <c r="C236" s="43" t="s">
        <v>1800</v>
      </c>
      <c r="D236" s="1" t="s">
        <v>1780</v>
      </c>
      <c r="E236" s="43" t="s">
        <v>1815</v>
      </c>
      <c r="F236" s="37" t="s">
        <v>1782</v>
      </c>
      <c r="G236" s="44">
        <v>49200</v>
      </c>
      <c r="H236" s="44">
        <v>295.2</v>
      </c>
      <c r="K236" s="4" t="e">
        <f>VLOOKUP(A236,Detallado!$C$5:$H$1570,6,FALSE)</f>
        <v>#N/A</v>
      </c>
    </row>
    <row r="237" spans="1:11">
      <c r="A237" s="90">
        <v>124543378311</v>
      </c>
      <c r="B237" s="1" t="s">
        <v>8</v>
      </c>
      <c r="C237" s="43" t="s">
        <v>1800</v>
      </c>
      <c r="D237" s="1" t="s">
        <v>1780</v>
      </c>
      <c r="E237" s="43" t="s">
        <v>1815</v>
      </c>
      <c r="F237" s="37" t="s">
        <v>1782</v>
      </c>
      <c r="G237" s="44">
        <v>34800</v>
      </c>
      <c r="H237" s="44">
        <v>208.8</v>
      </c>
      <c r="K237" s="4" t="e">
        <f>VLOOKUP(A237,Detallado!$C$5:$H$1570,6,FALSE)</f>
        <v>#N/A</v>
      </c>
    </row>
    <row r="238" spans="1:11">
      <c r="A238" s="90">
        <v>125215388296</v>
      </c>
      <c r="B238" s="1" t="s">
        <v>8</v>
      </c>
      <c r="C238" s="43" t="s">
        <v>1815</v>
      </c>
      <c r="D238" s="1" t="s">
        <v>1780</v>
      </c>
      <c r="E238" s="43" t="s">
        <v>1815</v>
      </c>
      <c r="F238" s="37" t="s">
        <v>1782</v>
      </c>
      <c r="G238" s="44">
        <v>36800</v>
      </c>
      <c r="H238" s="44">
        <v>220.8</v>
      </c>
      <c r="K238" s="4" t="e">
        <f>VLOOKUP(A238,Detallado!$C$5:$H$1570,6,FALSE)</f>
        <v>#N/A</v>
      </c>
    </row>
    <row r="239" spans="1:11">
      <c r="A239" s="90">
        <v>125215309354</v>
      </c>
      <c r="B239" s="1" t="s">
        <v>1828</v>
      </c>
      <c r="C239" s="43" t="s">
        <v>1815</v>
      </c>
      <c r="D239" s="1" t="s">
        <v>1780</v>
      </c>
      <c r="E239" s="43" t="s">
        <v>1815</v>
      </c>
      <c r="F239" s="37" t="s">
        <v>1782</v>
      </c>
      <c r="G239" s="44">
        <v>1840</v>
      </c>
      <c r="H239" s="44">
        <v>11.04</v>
      </c>
      <c r="K239" s="4" t="e">
        <f>VLOOKUP(A239,Detallado!$C$5:$H$1570,6,FALSE)</f>
        <v>#N/A</v>
      </c>
    </row>
    <row r="240" spans="1:11">
      <c r="A240" s="90">
        <v>125215046740</v>
      </c>
      <c r="B240" s="1" t="s">
        <v>8</v>
      </c>
      <c r="C240" s="43" t="s">
        <v>1815</v>
      </c>
      <c r="D240" s="1" t="s">
        <v>1780</v>
      </c>
      <c r="E240" s="43" t="s">
        <v>1815</v>
      </c>
      <c r="F240" s="37" t="s">
        <v>1782</v>
      </c>
      <c r="G240" s="44">
        <v>8500</v>
      </c>
      <c r="H240" s="44">
        <v>51</v>
      </c>
      <c r="K240" s="4" t="e">
        <f>VLOOKUP(A240,Detallado!$C$5:$H$1570,6,FALSE)</f>
        <v>#N/A</v>
      </c>
    </row>
    <row r="241" spans="1:11">
      <c r="A241" s="90">
        <v>125214441310</v>
      </c>
      <c r="B241" s="1" t="s">
        <v>8</v>
      </c>
      <c r="C241" s="43" t="s">
        <v>1815</v>
      </c>
      <c r="D241" s="1" t="s">
        <v>1780</v>
      </c>
      <c r="E241" s="43" t="s">
        <v>1815</v>
      </c>
      <c r="F241" s="37" t="s">
        <v>1782</v>
      </c>
      <c r="G241" s="44">
        <v>33500</v>
      </c>
      <c r="H241" s="44">
        <v>201</v>
      </c>
      <c r="K241" s="4" t="e">
        <f>VLOOKUP(A241,Detallado!$C$5:$H$1570,6,FALSE)</f>
        <v>#N/A</v>
      </c>
    </row>
    <row r="242" spans="1:11">
      <c r="A242" s="90">
        <v>125214339204</v>
      </c>
      <c r="B242" s="1" t="s">
        <v>8</v>
      </c>
      <c r="C242" s="43" t="s">
        <v>1815</v>
      </c>
      <c r="D242" s="1" t="s">
        <v>1780</v>
      </c>
      <c r="E242" s="43" t="s">
        <v>1815</v>
      </c>
      <c r="F242" s="37" t="s">
        <v>1782</v>
      </c>
      <c r="G242" s="44">
        <v>34400</v>
      </c>
      <c r="H242" s="44">
        <v>206.4</v>
      </c>
      <c r="K242" s="4" t="e">
        <f>VLOOKUP(A242,Detallado!$C$5:$H$1570,6,FALSE)</f>
        <v>#N/A</v>
      </c>
    </row>
    <row r="243" spans="1:11">
      <c r="A243" s="90">
        <v>125213889984</v>
      </c>
      <c r="B243" s="1" t="s">
        <v>8</v>
      </c>
      <c r="C243" s="43" t="s">
        <v>1815</v>
      </c>
      <c r="D243" s="1" t="s">
        <v>1780</v>
      </c>
      <c r="E243" s="43" t="s">
        <v>1815</v>
      </c>
      <c r="F243" s="37" t="s">
        <v>1782</v>
      </c>
      <c r="G243" s="44">
        <v>7000</v>
      </c>
      <c r="H243" s="44">
        <v>42</v>
      </c>
      <c r="K243" s="4" t="e">
        <f>VLOOKUP(A243,Detallado!$C$5:$H$1570,6,FALSE)</f>
        <v>#N/A</v>
      </c>
    </row>
    <row r="244" spans="1:11">
      <c r="A244" s="90">
        <v>125213846894</v>
      </c>
      <c r="B244" s="1" t="s">
        <v>1790</v>
      </c>
      <c r="C244" s="43" t="s">
        <v>1815</v>
      </c>
      <c r="D244" s="1" t="s">
        <v>1780</v>
      </c>
      <c r="E244" s="43" t="s">
        <v>1815</v>
      </c>
      <c r="F244" s="37" t="s">
        <v>1782</v>
      </c>
      <c r="G244" s="44">
        <v>11700</v>
      </c>
      <c r="H244" s="44">
        <v>70.2</v>
      </c>
      <c r="K244" s="4" t="e">
        <f>VLOOKUP(A244,Detallado!$C$5:$H$1570,6,FALSE)</f>
        <v>#N/A</v>
      </c>
    </row>
    <row r="245" spans="1:11">
      <c r="A245" s="90">
        <v>125213185822</v>
      </c>
      <c r="B245" s="1" t="s">
        <v>8</v>
      </c>
      <c r="C245" s="43" t="s">
        <v>1815</v>
      </c>
      <c r="D245" s="1" t="s">
        <v>1780</v>
      </c>
      <c r="E245" s="43" t="s">
        <v>1815</v>
      </c>
      <c r="F245" s="37" t="s">
        <v>1782</v>
      </c>
      <c r="G245" s="44">
        <v>15300</v>
      </c>
      <c r="H245" s="44">
        <v>91.8</v>
      </c>
      <c r="K245" s="4" t="e">
        <f>VLOOKUP(A245,Detallado!$C$5:$H$1570,6,FALSE)</f>
        <v>#N/A</v>
      </c>
    </row>
    <row r="246" spans="1:11">
      <c r="A246" s="90">
        <v>125212652108</v>
      </c>
      <c r="B246" s="1" t="s">
        <v>1790</v>
      </c>
      <c r="C246" s="43" t="s">
        <v>1815</v>
      </c>
      <c r="D246" s="1" t="s">
        <v>1780</v>
      </c>
      <c r="E246" s="43" t="s">
        <v>1815</v>
      </c>
      <c r="F246" s="37" t="s">
        <v>1782</v>
      </c>
      <c r="G246" s="44">
        <v>44300</v>
      </c>
      <c r="H246" s="44">
        <v>265.8</v>
      </c>
      <c r="K246" s="4" t="e">
        <f>VLOOKUP(A246,Detallado!$C$5:$H$1570,6,FALSE)</f>
        <v>#N/A</v>
      </c>
    </row>
    <row r="247" spans="1:11">
      <c r="A247" s="90">
        <v>125212513170</v>
      </c>
      <c r="B247" s="1" t="s">
        <v>1826</v>
      </c>
      <c r="C247" s="43" t="s">
        <v>1815</v>
      </c>
      <c r="D247" s="1" t="s">
        <v>1780</v>
      </c>
      <c r="E247" s="43" t="s">
        <v>1815</v>
      </c>
      <c r="F247" s="37" t="s">
        <v>1782</v>
      </c>
      <c r="G247" s="44">
        <v>215</v>
      </c>
      <c r="H247" s="44">
        <v>1.29</v>
      </c>
      <c r="K247" s="4" t="e">
        <f>VLOOKUP(A247,Detallado!$C$5:$H$1570,6,FALSE)</f>
        <v>#N/A</v>
      </c>
    </row>
    <row r="248" spans="1:11">
      <c r="A248" s="90">
        <v>125212465982</v>
      </c>
      <c r="B248" s="1" t="s">
        <v>8</v>
      </c>
      <c r="C248" s="43" t="s">
        <v>1815</v>
      </c>
      <c r="D248" s="1" t="s">
        <v>1780</v>
      </c>
      <c r="E248" s="43" t="s">
        <v>1815</v>
      </c>
      <c r="F248" s="37" t="s">
        <v>1782</v>
      </c>
      <c r="G248" s="44">
        <v>4300</v>
      </c>
      <c r="H248" s="44">
        <v>25.8</v>
      </c>
      <c r="K248" s="4" t="e">
        <f>VLOOKUP(A248,Detallado!$C$5:$H$1570,6,FALSE)</f>
        <v>#N/A</v>
      </c>
    </row>
    <row r="249" spans="1:11">
      <c r="A249" s="90">
        <v>125212296296</v>
      </c>
      <c r="B249" s="1" t="s">
        <v>8</v>
      </c>
      <c r="C249" s="43" t="s">
        <v>1815</v>
      </c>
      <c r="D249" s="1" t="s">
        <v>1780</v>
      </c>
      <c r="E249" s="43" t="s">
        <v>1815</v>
      </c>
      <c r="F249" s="37" t="s">
        <v>1782</v>
      </c>
      <c r="G249" s="44">
        <v>7800</v>
      </c>
      <c r="H249" s="44">
        <v>46.8</v>
      </c>
      <c r="K249" s="4" t="e">
        <f>VLOOKUP(A249,Detallado!$C$5:$H$1570,6,FALSE)</f>
        <v>#N/A</v>
      </c>
    </row>
    <row r="250" spans="1:11">
      <c r="A250" s="90">
        <v>125212279366</v>
      </c>
      <c r="B250" s="1" t="s">
        <v>8</v>
      </c>
      <c r="C250" s="43" t="s">
        <v>1815</v>
      </c>
      <c r="D250" s="1" t="s">
        <v>1780</v>
      </c>
      <c r="E250" s="43" t="s">
        <v>1815</v>
      </c>
      <c r="F250" s="37" t="s">
        <v>1782</v>
      </c>
      <c r="G250" s="44">
        <v>8500</v>
      </c>
      <c r="H250" s="44">
        <v>51</v>
      </c>
      <c r="K250" s="4" t="e">
        <f>VLOOKUP(A250,Detallado!$C$5:$H$1570,6,FALSE)</f>
        <v>#N/A</v>
      </c>
    </row>
    <row r="251" spans="1:11">
      <c r="A251" s="90">
        <v>125210624856</v>
      </c>
      <c r="B251" s="1" t="s">
        <v>1831</v>
      </c>
      <c r="C251" s="43" t="s">
        <v>1815</v>
      </c>
      <c r="D251" s="1" t="s">
        <v>1780</v>
      </c>
      <c r="E251" s="43" t="s">
        <v>1815</v>
      </c>
      <c r="F251" s="37" t="s">
        <v>1782</v>
      </c>
      <c r="G251" s="44">
        <v>6765</v>
      </c>
      <c r="H251" s="44">
        <v>40.590000000000003</v>
      </c>
      <c r="K251" s="4" t="e">
        <f>VLOOKUP(A251,Detallado!$C$5:$H$1570,6,FALSE)</f>
        <v>#N/A</v>
      </c>
    </row>
    <row r="252" spans="1:11">
      <c r="A252" s="90">
        <v>125210591466</v>
      </c>
      <c r="B252" s="1" t="s">
        <v>8</v>
      </c>
      <c r="C252" s="43" t="s">
        <v>1815</v>
      </c>
      <c r="D252" s="1" t="s">
        <v>1780</v>
      </c>
      <c r="E252" s="43" t="s">
        <v>1815</v>
      </c>
      <c r="F252" s="37" t="s">
        <v>1782</v>
      </c>
      <c r="G252" s="44">
        <v>45100</v>
      </c>
      <c r="H252" s="44">
        <v>270.60000000000002</v>
      </c>
      <c r="K252" s="4" t="e">
        <f>VLOOKUP(A252,Detallado!$C$5:$H$1570,6,FALSE)</f>
        <v>#N/A</v>
      </c>
    </row>
    <row r="253" spans="1:11">
      <c r="A253" s="90">
        <v>125210580296</v>
      </c>
      <c r="B253" s="1" t="s">
        <v>8</v>
      </c>
      <c r="C253" s="43" t="s">
        <v>1815</v>
      </c>
      <c r="D253" s="1" t="s">
        <v>1780</v>
      </c>
      <c r="E253" s="43" t="s">
        <v>1815</v>
      </c>
      <c r="F253" s="37" t="s">
        <v>1782</v>
      </c>
      <c r="G253" s="44">
        <v>10600</v>
      </c>
      <c r="H253" s="44">
        <v>63.6</v>
      </c>
      <c r="K253" s="4" t="e">
        <f>VLOOKUP(A253,Detallado!$C$5:$H$1570,6,FALSE)</f>
        <v>#N/A</v>
      </c>
    </row>
    <row r="254" spans="1:11">
      <c r="A254" s="90">
        <v>125210313878</v>
      </c>
      <c r="B254" s="1" t="s">
        <v>8</v>
      </c>
      <c r="C254" s="43" t="s">
        <v>1815</v>
      </c>
      <c r="D254" s="1" t="s">
        <v>1780</v>
      </c>
      <c r="E254" s="43" t="s">
        <v>1815</v>
      </c>
      <c r="F254" s="37" t="s">
        <v>1782</v>
      </c>
      <c r="G254" s="44">
        <v>8600</v>
      </c>
      <c r="H254" s="44">
        <v>51.6</v>
      </c>
      <c r="K254" s="4" t="e">
        <f>VLOOKUP(A254,Detallado!$C$5:$H$1570,6,FALSE)</f>
        <v>#N/A</v>
      </c>
    </row>
    <row r="255" spans="1:11">
      <c r="A255" s="90">
        <v>125208294382</v>
      </c>
      <c r="B255" s="1" t="s">
        <v>8</v>
      </c>
      <c r="C255" s="43" t="s">
        <v>1815</v>
      </c>
      <c r="D255" s="1" t="s">
        <v>1780</v>
      </c>
      <c r="E255" s="43" t="s">
        <v>1815</v>
      </c>
      <c r="F255" s="37" t="s">
        <v>1782</v>
      </c>
      <c r="G255" s="44">
        <v>38600</v>
      </c>
      <c r="H255" s="44">
        <v>231.6</v>
      </c>
      <c r="K255" s="4" t="e">
        <f>VLOOKUP(A255,Detallado!$C$5:$H$1570,6,FALSE)</f>
        <v>#N/A</v>
      </c>
    </row>
    <row r="256" spans="1:11">
      <c r="A256" s="90">
        <v>125206345154</v>
      </c>
      <c r="B256" s="1" t="s">
        <v>8</v>
      </c>
      <c r="C256" s="43" t="s">
        <v>1815</v>
      </c>
      <c r="D256" s="1" t="s">
        <v>1780</v>
      </c>
      <c r="E256" s="43" t="s">
        <v>1815</v>
      </c>
      <c r="F256" s="37" t="s">
        <v>1782</v>
      </c>
      <c r="G256" s="44">
        <v>27000</v>
      </c>
      <c r="H256" s="44">
        <v>162</v>
      </c>
      <c r="K256" s="4" t="e">
        <f>VLOOKUP(A256,Detallado!$C$5:$H$1570,6,FALSE)</f>
        <v>#N/A</v>
      </c>
    </row>
    <row r="257" spans="1:11">
      <c r="A257" s="90">
        <v>125205858756</v>
      </c>
      <c r="B257" s="1" t="s">
        <v>8</v>
      </c>
      <c r="C257" s="43" t="s">
        <v>1815</v>
      </c>
      <c r="D257" s="1" t="s">
        <v>1780</v>
      </c>
      <c r="E257" s="43" t="s">
        <v>1815</v>
      </c>
      <c r="F257" s="37" t="s">
        <v>1782</v>
      </c>
      <c r="G257" s="44">
        <v>8600</v>
      </c>
      <c r="H257" s="44">
        <v>51.6</v>
      </c>
      <c r="K257" s="4" t="e">
        <f>VLOOKUP(A257,Detallado!$C$5:$H$1570,6,FALSE)</f>
        <v>#N/A</v>
      </c>
    </row>
    <row r="258" spans="1:11">
      <c r="A258" s="90">
        <v>125205657088</v>
      </c>
      <c r="B258" s="1" t="s">
        <v>8</v>
      </c>
      <c r="C258" s="43" t="s">
        <v>1815</v>
      </c>
      <c r="D258" s="1" t="s">
        <v>1780</v>
      </c>
      <c r="E258" s="43" t="s">
        <v>1815</v>
      </c>
      <c r="F258" s="37" t="s">
        <v>1782</v>
      </c>
      <c r="G258" s="44">
        <v>33000</v>
      </c>
      <c r="H258" s="44">
        <v>198</v>
      </c>
      <c r="K258" s="4" t="e">
        <f>VLOOKUP(A258,Detallado!$C$5:$H$1570,6,FALSE)</f>
        <v>#N/A</v>
      </c>
    </row>
    <row r="259" spans="1:11">
      <c r="A259" s="90">
        <v>125200365970</v>
      </c>
      <c r="B259" s="1" t="s">
        <v>1824</v>
      </c>
      <c r="C259" s="43" t="s">
        <v>1815</v>
      </c>
      <c r="D259" s="1" t="s">
        <v>1780</v>
      </c>
      <c r="E259" s="43" t="s">
        <v>1815</v>
      </c>
      <c r="F259" s="37" t="s">
        <v>1782</v>
      </c>
      <c r="G259" s="44">
        <v>1905</v>
      </c>
      <c r="H259" s="44">
        <v>11.43</v>
      </c>
      <c r="K259" s="4" t="e">
        <f>VLOOKUP(A259,Detallado!$C$5:$H$1570,6,FALSE)</f>
        <v>#N/A</v>
      </c>
    </row>
    <row r="260" spans="1:11">
      <c r="A260" s="90">
        <v>125199712170</v>
      </c>
      <c r="B260" s="1" t="s">
        <v>1790</v>
      </c>
      <c r="C260" s="43" t="s">
        <v>1815</v>
      </c>
      <c r="D260" s="1" t="s">
        <v>1780</v>
      </c>
      <c r="E260" s="43" t="s">
        <v>1815</v>
      </c>
      <c r="F260" s="37" t="s">
        <v>1782</v>
      </c>
      <c r="G260" s="44">
        <v>49100</v>
      </c>
      <c r="H260" s="44">
        <v>294.60000000000002</v>
      </c>
      <c r="K260" s="4" t="e">
        <f>VLOOKUP(A260,Detallado!$C$5:$H$1570,6,FALSE)</f>
        <v>#N/A</v>
      </c>
    </row>
    <row r="261" spans="1:11">
      <c r="A261" s="90">
        <v>125198391082</v>
      </c>
      <c r="B261" s="1" t="s">
        <v>8</v>
      </c>
      <c r="C261" s="43" t="s">
        <v>1815</v>
      </c>
      <c r="D261" s="1" t="s">
        <v>1780</v>
      </c>
      <c r="E261" s="43" t="s">
        <v>1815</v>
      </c>
      <c r="F261" s="37" t="s">
        <v>1782</v>
      </c>
      <c r="G261" s="44">
        <v>8600</v>
      </c>
      <c r="H261" s="44">
        <v>51.6</v>
      </c>
      <c r="K261" s="4" t="e">
        <f>VLOOKUP(A261,Detallado!$C$5:$H$1570,6,FALSE)</f>
        <v>#N/A</v>
      </c>
    </row>
    <row r="262" spans="1:11">
      <c r="A262" s="90">
        <v>125196765748</v>
      </c>
      <c r="B262" s="1" t="s">
        <v>8</v>
      </c>
      <c r="C262" s="43" t="s">
        <v>1815</v>
      </c>
      <c r="D262" s="1" t="s">
        <v>1780</v>
      </c>
      <c r="E262" s="43" t="s">
        <v>1815</v>
      </c>
      <c r="F262" s="37" t="s">
        <v>1782</v>
      </c>
      <c r="G262" s="44">
        <v>52100</v>
      </c>
      <c r="H262" s="44">
        <v>312.60000000000002</v>
      </c>
      <c r="K262" s="4" t="e">
        <f>VLOOKUP(A262,Detallado!$C$5:$H$1570,6,FALSE)</f>
        <v>#N/A</v>
      </c>
    </row>
    <row r="263" spans="1:11">
      <c r="A263" s="90">
        <v>125195880866</v>
      </c>
      <c r="B263" s="1" t="s">
        <v>8</v>
      </c>
      <c r="C263" s="43" t="s">
        <v>1815</v>
      </c>
      <c r="D263" s="1" t="s">
        <v>1780</v>
      </c>
      <c r="E263" s="43" t="s">
        <v>1815</v>
      </c>
      <c r="F263" s="37" t="s">
        <v>1782</v>
      </c>
      <c r="G263" s="44">
        <v>28100</v>
      </c>
      <c r="H263" s="44">
        <v>168.6</v>
      </c>
      <c r="K263" s="4" t="e">
        <f>VLOOKUP(A263,Detallado!$C$5:$H$1570,6,FALSE)</f>
        <v>#N/A</v>
      </c>
    </row>
    <row r="264" spans="1:11">
      <c r="A264" s="90">
        <v>125192805316</v>
      </c>
      <c r="B264" s="1" t="s">
        <v>1790</v>
      </c>
      <c r="C264" s="43" t="s">
        <v>1815</v>
      </c>
      <c r="D264" s="1" t="s">
        <v>1780</v>
      </c>
      <c r="E264" s="43" t="s">
        <v>1815</v>
      </c>
      <c r="F264" s="37" t="s">
        <v>1782</v>
      </c>
      <c r="G264" s="44">
        <v>15100</v>
      </c>
      <c r="H264" s="44">
        <v>90.6</v>
      </c>
      <c r="K264" s="4" t="e">
        <f>VLOOKUP(A264,Detallado!$C$5:$H$1570,6,FALSE)</f>
        <v>#N/A</v>
      </c>
    </row>
    <row r="265" spans="1:11">
      <c r="A265" s="90">
        <v>125185741106</v>
      </c>
      <c r="B265" s="1" t="s">
        <v>1790</v>
      </c>
      <c r="C265" s="43" t="s">
        <v>1815</v>
      </c>
      <c r="D265" s="1" t="s">
        <v>1780</v>
      </c>
      <c r="E265" s="43" t="s">
        <v>1815</v>
      </c>
      <c r="F265" s="37" t="s">
        <v>1782</v>
      </c>
      <c r="G265" s="44">
        <v>4500</v>
      </c>
      <c r="H265" s="44">
        <v>27</v>
      </c>
      <c r="K265" s="4" t="e">
        <f>VLOOKUP(A265,Detallado!$C$5:$H$1570,6,FALSE)</f>
        <v>#N/A</v>
      </c>
    </row>
    <row r="266" spans="1:11">
      <c r="A266" s="90">
        <v>125096223326</v>
      </c>
      <c r="B266" s="1" t="s">
        <v>1823</v>
      </c>
      <c r="C266" s="43" t="s">
        <v>1815</v>
      </c>
      <c r="D266" s="1" t="s">
        <v>1780</v>
      </c>
      <c r="E266" s="43" t="s">
        <v>1815</v>
      </c>
      <c r="F266" s="37" t="s">
        <v>1782</v>
      </c>
      <c r="G266" s="44">
        <v>645</v>
      </c>
      <c r="H266" s="44">
        <v>3.87</v>
      </c>
      <c r="K266" s="4" t="e">
        <f>VLOOKUP(A266,Detallado!$C$5:$H$1570,6,FALSE)</f>
        <v>#N/A</v>
      </c>
    </row>
    <row r="267" spans="1:11">
      <c r="A267" s="90">
        <v>125096109694</v>
      </c>
      <c r="B267" s="1" t="s">
        <v>8</v>
      </c>
      <c r="C267" s="43" t="s">
        <v>1815</v>
      </c>
      <c r="D267" s="1" t="s">
        <v>1780</v>
      </c>
      <c r="E267" s="43" t="s">
        <v>1815</v>
      </c>
      <c r="F267" s="37" t="s">
        <v>1782</v>
      </c>
      <c r="G267" s="44">
        <v>34200</v>
      </c>
      <c r="H267" s="44">
        <v>205.2</v>
      </c>
      <c r="K267" s="4" t="e">
        <f>VLOOKUP(A267,Detallado!$C$5:$H$1570,6,FALSE)</f>
        <v>#N/A</v>
      </c>
    </row>
    <row r="268" spans="1:11">
      <c r="A268" s="90">
        <v>125096002932</v>
      </c>
      <c r="B268" s="1" t="s">
        <v>8</v>
      </c>
      <c r="C268" s="43" t="s">
        <v>1815</v>
      </c>
      <c r="D268" s="1" t="s">
        <v>1780</v>
      </c>
      <c r="E268" s="43" t="s">
        <v>1815</v>
      </c>
      <c r="F268" s="37" t="s">
        <v>1782</v>
      </c>
      <c r="G268" s="44">
        <v>18200</v>
      </c>
      <c r="H268" s="44">
        <v>109.2</v>
      </c>
      <c r="K268" s="4" t="e">
        <f>VLOOKUP(A268,Detallado!$C$5:$H$1570,6,FALSE)</f>
        <v>#N/A</v>
      </c>
    </row>
    <row r="269" spans="1:11">
      <c r="A269" s="90">
        <v>125095831262</v>
      </c>
      <c r="B269" s="1" t="s">
        <v>8</v>
      </c>
      <c r="C269" s="43" t="s">
        <v>1815</v>
      </c>
      <c r="D269" s="1" t="s">
        <v>1780</v>
      </c>
      <c r="E269" s="43" t="s">
        <v>1815</v>
      </c>
      <c r="F269" s="37" t="s">
        <v>1782</v>
      </c>
      <c r="G269" s="44">
        <v>72100</v>
      </c>
      <c r="H269" s="44">
        <v>432.6</v>
      </c>
      <c r="K269" s="4" t="e">
        <f>VLOOKUP(A269,Detallado!$C$5:$H$1570,6,FALSE)</f>
        <v>#N/A</v>
      </c>
    </row>
    <row r="270" spans="1:11">
      <c r="A270" s="90">
        <v>125095467130</v>
      </c>
      <c r="B270" s="1" t="s">
        <v>8</v>
      </c>
      <c r="C270" s="43" t="s">
        <v>1815</v>
      </c>
      <c r="D270" s="1" t="s">
        <v>1818</v>
      </c>
      <c r="E270" s="43" t="s">
        <v>1815</v>
      </c>
      <c r="F270" s="37" t="s">
        <v>1782</v>
      </c>
      <c r="G270" s="44">
        <v>-80000</v>
      </c>
      <c r="H270" s="44">
        <v>-480</v>
      </c>
      <c r="K270" s="4" t="e">
        <f>VLOOKUP(A270,Detallado!$C$5:$H$1570,6,FALSE)</f>
        <v>#N/A</v>
      </c>
    </row>
    <row r="271" spans="1:11">
      <c r="A271" s="90">
        <v>125095467130</v>
      </c>
      <c r="B271" s="1" t="s">
        <v>8</v>
      </c>
      <c r="C271" s="43" t="s">
        <v>1815</v>
      </c>
      <c r="D271" s="1" t="s">
        <v>1780</v>
      </c>
      <c r="E271" s="43" t="s">
        <v>1815</v>
      </c>
      <c r="F271" s="37" t="s">
        <v>1782</v>
      </c>
      <c r="G271" s="44">
        <v>80000</v>
      </c>
      <c r="H271" s="44">
        <v>480</v>
      </c>
      <c r="K271" s="4" t="e">
        <f>VLOOKUP(A271,Detallado!$C$5:$H$1570,6,FALSE)</f>
        <v>#N/A</v>
      </c>
    </row>
    <row r="272" spans="1:11">
      <c r="A272" s="90">
        <v>125095026648</v>
      </c>
      <c r="B272" s="1" t="s">
        <v>8</v>
      </c>
      <c r="C272" s="43" t="s">
        <v>1815</v>
      </c>
      <c r="D272" s="1" t="s">
        <v>1780</v>
      </c>
      <c r="E272" s="43" t="s">
        <v>1815</v>
      </c>
      <c r="F272" s="37" t="s">
        <v>1782</v>
      </c>
      <c r="G272" s="44">
        <v>5300</v>
      </c>
      <c r="H272" s="44">
        <v>31.8</v>
      </c>
      <c r="K272" s="4" t="e">
        <f>VLOOKUP(A272,Detallado!$C$5:$H$1570,6,FALSE)</f>
        <v>#N/A</v>
      </c>
    </row>
    <row r="273" spans="1:11">
      <c r="A273" s="90">
        <v>125094899458</v>
      </c>
      <c r="B273" s="1" t="s">
        <v>8</v>
      </c>
      <c r="C273" s="43" t="s">
        <v>1815</v>
      </c>
      <c r="D273" s="1" t="s">
        <v>1780</v>
      </c>
      <c r="E273" s="43" t="s">
        <v>1815</v>
      </c>
      <c r="F273" s="37" t="s">
        <v>1782</v>
      </c>
      <c r="G273" s="44">
        <v>3500</v>
      </c>
      <c r="H273" s="44">
        <v>21</v>
      </c>
      <c r="K273" s="4" t="e">
        <f>VLOOKUP(A273,Detallado!$C$5:$H$1570,6,FALSE)</f>
        <v>#N/A</v>
      </c>
    </row>
    <row r="274" spans="1:11">
      <c r="A274" s="90">
        <v>125094837668</v>
      </c>
      <c r="B274" s="1" t="s">
        <v>1790</v>
      </c>
      <c r="C274" s="43" t="s">
        <v>1815</v>
      </c>
      <c r="D274" s="1" t="s">
        <v>1780</v>
      </c>
      <c r="E274" s="43" t="s">
        <v>1815</v>
      </c>
      <c r="F274" s="37" t="s">
        <v>1782</v>
      </c>
      <c r="G274" s="44">
        <v>42800</v>
      </c>
      <c r="H274" s="44">
        <v>256.8</v>
      </c>
      <c r="K274" s="4" t="e">
        <f>VLOOKUP(A274,Detallado!$C$5:$H$1570,6,FALSE)</f>
        <v>#N/A</v>
      </c>
    </row>
    <row r="275" spans="1:11">
      <c r="A275" s="90">
        <v>125094219266</v>
      </c>
      <c r="B275" s="1" t="s">
        <v>8</v>
      </c>
      <c r="C275" s="43" t="s">
        <v>1815</v>
      </c>
      <c r="D275" s="1" t="s">
        <v>1780</v>
      </c>
      <c r="E275" s="43" t="s">
        <v>1815</v>
      </c>
      <c r="F275" s="37" t="s">
        <v>1782</v>
      </c>
      <c r="G275" s="44">
        <v>21500</v>
      </c>
      <c r="H275" s="44">
        <v>129</v>
      </c>
      <c r="K275" s="4" t="e">
        <f>VLOOKUP(A275,Detallado!$C$5:$H$1570,6,FALSE)</f>
        <v>#N/A</v>
      </c>
    </row>
    <row r="276" spans="1:11">
      <c r="A276" s="90">
        <v>125094162494</v>
      </c>
      <c r="B276" s="1" t="s">
        <v>8</v>
      </c>
      <c r="C276" s="43" t="s">
        <v>1815</v>
      </c>
      <c r="D276" s="1" t="s">
        <v>1780</v>
      </c>
      <c r="E276" s="43" t="s">
        <v>1815</v>
      </c>
      <c r="F276" s="37" t="s">
        <v>1782</v>
      </c>
      <c r="G276" s="44">
        <v>8600</v>
      </c>
      <c r="H276" s="44">
        <v>51.6</v>
      </c>
      <c r="K276" s="4" t="e">
        <f>VLOOKUP(A276,Detallado!$C$5:$H$1570,6,FALSE)</f>
        <v>#N/A</v>
      </c>
    </row>
    <row r="277" spans="1:11">
      <c r="A277" s="90">
        <v>125093963730</v>
      </c>
      <c r="B277" s="1" t="s">
        <v>8</v>
      </c>
      <c r="C277" s="43" t="s">
        <v>1815</v>
      </c>
      <c r="D277" s="1" t="s">
        <v>1780</v>
      </c>
      <c r="E277" s="43" t="s">
        <v>1815</v>
      </c>
      <c r="F277" s="37" t="s">
        <v>1782</v>
      </c>
      <c r="G277" s="44">
        <v>9600</v>
      </c>
      <c r="H277" s="44">
        <v>57.6</v>
      </c>
      <c r="K277" s="4" t="e">
        <f>VLOOKUP(A277,Detallado!$C$5:$H$1570,6,FALSE)</f>
        <v>#N/A</v>
      </c>
    </row>
    <row r="278" spans="1:11">
      <c r="A278" s="90">
        <v>125093790872</v>
      </c>
      <c r="B278" s="1" t="s">
        <v>8</v>
      </c>
      <c r="C278" s="43" t="s">
        <v>1815</v>
      </c>
      <c r="D278" s="1" t="s">
        <v>1780</v>
      </c>
      <c r="E278" s="43" t="s">
        <v>1815</v>
      </c>
      <c r="F278" s="37" t="s">
        <v>1782</v>
      </c>
      <c r="G278" s="44">
        <v>12100</v>
      </c>
      <c r="H278" s="44">
        <v>72.599999999999994</v>
      </c>
      <c r="K278" s="4" t="e">
        <f>VLOOKUP(A278,Detallado!$C$5:$H$1570,6,FALSE)</f>
        <v>#N/A</v>
      </c>
    </row>
    <row r="279" spans="1:11">
      <c r="A279" s="90">
        <v>125093625960</v>
      </c>
      <c r="B279" s="1" t="s">
        <v>8</v>
      </c>
      <c r="C279" s="43" t="s">
        <v>1815</v>
      </c>
      <c r="D279" s="1" t="s">
        <v>1780</v>
      </c>
      <c r="E279" s="43" t="s">
        <v>1815</v>
      </c>
      <c r="F279" s="37" t="s">
        <v>1782</v>
      </c>
      <c r="G279" s="44">
        <v>26400</v>
      </c>
      <c r="H279" s="44">
        <v>158.4</v>
      </c>
      <c r="K279" s="4" t="e">
        <f>VLOOKUP(A279,Detallado!$C$5:$H$1570,6,FALSE)</f>
        <v>#N/A</v>
      </c>
    </row>
    <row r="280" spans="1:11">
      <c r="A280" s="90">
        <v>125093603866</v>
      </c>
      <c r="B280" s="1" t="s">
        <v>1820</v>
      </c>
      <c r="C280" s="43" t="s">
        <v>1815</v>
      </c>
      <c r="D280" s="1" t="s">
        <v>1780</v>
      </c>
      <c r="E280" s="43" t="s">
        <v>1815</v>
      </c>
      <c r="F280" s="37" t="s">
        <v>1782</v>
      </c>
      <c r="G280" s="44">
        <v>4780</v>
      </c>
      <c r="H280" s="44">
        <v>28.68</v>
      </c>
      <c r="K280" s="4" t="e">
        <f>VLOOKUP(A280,Detallado!$C$5:$H$1570,6,FALSE)</f>
        <v>#N/A</v>
      </c>
    </row>
    <row r="281" spans="1:11">
      <c r="A281" s="90">
        <v>125093285044</v>
      </c>
      <c r="B281" s="1" t="s">
        <v>1790</v>
      </c>
      <c r="C281" s="43" t="s">
        <v>1815</v>
      </c>
      <c r="D281" s="1" t="s">
        <v>1780</v>
      </c>
      <c r="E281" s="43" t="s">
        <v>1815</v>
      </c>
      <c r="F281" s="37" t="s">
        <v>1782</v>
      </c>
      <c r="G281" s="44">
        <v>8600</v>
      </c>
      <c r="H281" s="44">
        <v>51.6</v>
      </c>
      <c r="K281" s="4" t="e">
        <f>VLOOKUP(A281,Detallado!$C$5:$H$1570,6,FALSE)</f>
        <v>#N/A</v>
      </c>
    </row>
    <row r="282" spans="1:11">
      <c r="A282" s="90">
        <v>125093118136</v>
      </c>
      <c r="B282" s="1" t="s">
        <v>8</v>
      </c>
      <c r="C282" s="43" t="s">
        <v>1815</v>
      </c>
      <c r="D282" s="1" t="s">
        <v>1780</v>
      </c>
      <c r="E282" s="43" t="s">
        <v>1815</v>
      </c>
      <c r="F282" s="37" t="s">
        <v>1782</v>
      </c>
      <c r="G282" s="44">
        <v>15000</v>
      </c>
      <c r="H282" s="44">
        <v>90</v>
      </c>
      <c r="K282" s="4" t="e">
        <f>VLOOKUP(A282,Detallado!$C$5:$H$1570,6,FALSE)</f>
        <v>#N/A</v>
      </c>
    </row>
    <row r="283" spans="1:11">
      <c r="A283" s="90">
        <v>125093009032</v>
      </c>
      <c r="B283" s="1" t="s">
        <v>8</v>
      </c>
      <c r="C283" s="43" t="s">
        <v>1815</v>
      </c>
      <c r="D283" s="1" t="s">
        <v>1780</v>
      </c>
      <c r="E283" s="43" t="s">
        <v>1815</v>
      </c>
      <c r="F283" s="37" t="s">
        <v>1782</v>
      </c>
      <c r="G283" s="44">
        <v>15800</v>
      </c>
      <c r="H283" s="44">
        <v>94.8</v>
      </c>
      <c r="K283" s="4" t="e">
        <f>VLOOKUP(A283,Detallado!$C$5:$H$1570,6,FALSE)</f>
        <v>#N/A</v>
      </c>
    </row>
    <row r="284" spans="1:11">
      <c r="A284" s="90">
        <v>125092821398</v>
      </c>
      <c r="B284" s="1" t="s">
        <v>1790</v>
      </c>
      <c r="C284" s="43" t="s">
        <v>1815</v>
      </c>
      <c r="D284" s="1" t="s">
        <v>1780</v>
      </c>
      <c r="E284" s="43" t="s">
        <v>1815</v>
      </c>
      <c r="F284" s="37" t="s">
        <v>1782</v>
      </c>
      <c r="G284" s="44">
        <v>28500</v>
      </c>
      <c r="H284" s="44">
        <v>171</v>
      </c>
      <c r="K284" s="4" t="e">
        <f>VLOOKUP(A284,Detallado!$C$5:$H$1570,6,FALSE)</f>
        <v>#N/A</v>
      </c>
    </row>
    <row r="285" spans="1:11">
      <c r="A285" s="90">
        <v>125092695218</v>
      </c>
      <c r="B285" s="1" t="s">
        <v>1790</v>
      </c>
      <c r="C285" s="43" t="s">
        <v>1815</v>
      </c>
      <c r="D285" s="1" t="s">
        <v>1780</v>
      </c>
      <c r="E285" s="43" t="s">
        <v>1815</v>
      </c>
      <c r="F285" s="37" t="s">
        <v>1782</v>
      </c>
      <c r="G285" s="44">
        <v>27600</v>
      </c>
      <c r="H285" s="44">
        <v>165.6</v>
      </c>
      <c r="K285" s="4" t="e">
        <f>VLOOKUP(A285,Detallado!$C$5:$H$1570,6,FALSE)</f>
        <v>#N/A</v>
      </c>
    </row>
    <row r="286" spans="1:11">
      <c r="A286" s="90">
        <v>125092611780</v>
      </c>
      <c r="B286" s="1" t="s">
        <v>8</v>
      </c>
      <c r="C286" s="43" t="s">
        <v>1815</v>
      </c>
      <c r="D286" s="1" t="s">
        <v>1780</v>
      </c>
      <c r="E286" s="43" t="s">
        <v>1815</v>
      </c>
      <c r="F286" s="37" t="s">
        <v>1782</v>
      </c>
      <c r="G286" s="44">
        <v>12900</v>
      </c>
      <c r="H286" s="44">
        <v>77.400000000000006</v>
      </c>
      <c r="K286" s="4" t="e">
        <f>VLOOKUP(A286,Detallado!$C$5:$H$1570,6,FALSE)</f>
        <v>#N/A</v>
      </c>
    </row>
    <row r="287" spans="1:11">
      <c r="A287" s="90">
        <v>125092458496</v>
      </c>
      <c r="B287" s="1" t="s">
        <v>1790</v>
      </c>
      <c r="C287" s="43" t="s">
        <v>1815</v>
      </c>
      <c r="D287" s="1" t="s">
        <v>1780</v>
      </c>
      <c r="E287" s="43" t="s">
        <v>1815</v>
      </c>
      <c r="F287" s="37" t="s">
        <v>1782</v>
      </c>
      <c r="G287" s="44">
        <v>105100</v>
      </c>
      <c r="H287" s="44">
        <v>630.6</v>
      </c>
      <c r="K287" s="4" t="e">
        <f>VLOOKUP(A287,Detallado!$C$5:$H$1570,6,FALSE)</f>
        <v>#N/A</v>
      </c>
    </row>
    <row r="288" spans="1:11">
      <c r="A288" s="90">
        <v>124669236361</v>
      </c>
      <c r="B288" s="1" t="s">
        <v>8</v>
      </c>
      <c r="C288" s="43" t="s">
        <v>1815</v>
      </c>
      <c r="D288" s="1" t="s">
        <v>1780</v>
      </c>
      <c r="E288" s="43" t="s">
        <v>1815</v>
      </c>
      <c r="F288" s="37" t="s">
        <v>1782</v>
      </c>
      <c r="G288" s="44">
        <v>2200</v>
      </c>
      <c r="H288" s="44">
        <v>13.2</v>
      </c>
      <c r="K288" s="4" t="e">
        <f>VLOOKUP(A288,Detallado!$C$5:$H$1570,6,FALSE)</f>
        <v>#N/A</v>
      </c>
    </row>
    <row r="289" spans="1:11">
      <c r="A289" s="90">
        <v>124669082353</v>
      </c>
      <c r="B289" s="1" t="s">
        <v>1790</v>
      </c>
      <c r="C289" s="43" t="s">
        <v>1815</v>
      </c>
      <c r="D289" s="1" t="s">
        <v>1780</v>
      </c>
      <c r="E289" s="43" t="s">
        <v>1815</v>
      </c>
      <c r="F289" s="37" t="s">
        <v>1782</v>
      </c>
      <c r="G289" s="44">
        <v>42400</v>
      </c>
      <c r="H289" s="44">
        <v>254.4</v>
      </c>
      <c r="K289" s="4" t="e">
        <f>VLOOKUP(A289,Detallado!$C$5:$H$1570,6,FALSE)</f>
        <v>#N/A</v>
      </c>
    </row>
    <row r="290" spans="1:11">
      <c r="A290" s="90">
        <v>124669045807</v>
      </c>
      <c r="B290" s="1" t="s">
        <v>8</v>
      </c>
      <c r="C290" s="43" t="s">
        <v>1815</v>
      </c>
      <c r="D290" s="1" t="s">
        <v>1780</v>
      </c>
      <c r="E290" s="43" t="s">
        <v>1815</v>
      </c>
      <c r="F290" s="37" t="s">
        <v>1782</v>
      </c>
      <c r="G290" s="44">
        <v>7800</v>
      </c>
      <c r="H290" s="44">
        <v>46.8</v>
      </c>
      <c r="K290" s="4" t="e">
        <f>VLOOKUP(A290,Detallado!$C$5:$H$1570,6,FALSE)</f>
        <v>#N/A</v>
      </c>
    </row>
    <row r="291" spans="1:11">
      <c r="A291" s="90">
        <v>124668982491</v>
      </c>
      <c r="B291" s="1" t="s">
        <v>1790</v>
      </c>
      <c r="C291" s="43" t="s">
        <v>1815</v>
      </c>
      <c r="D291" s="1" t="s">
        <v>1780</v>
      </c>
      <c r="E291" s="43" t="s">
        <v>1815</v>
      </c>
      <c r="F291" s="37" t="s">
        <v>1782</v>
      </c>
      <c r="G291" s="44">
        <v>51600</v>
      </c>
      <c r="H291" s="44">
        <v>309.60000000000002</v>
      </c>
      <c r="K291" s="4" t="e">
        <f>VLOOKUP(A291,Detallado!$C$5:$H$1570,6,FALSE)</f>
        <v>#N/A</v>
      </c>
    </row>
    <row r="292" spans="1:11">
      <c r="A292" s="90">
        <v>124668378655</v>
      </c>
      <c r="B292" s="1" t="s">
        <v>1790</v>
      </c>
      <c r="C292" s="43" t="s">
        <v>1815</v>
      </c>
      <c r="D292" s="1" t="s">
        <v>1780</v>
      </c>
      <c r="E292" s="43" t="s">
        <v>1815</v>
      </c>
      <c r="F292" s="37" t="s">
        <v>1782</v>
      </c>
      <c r="G292" s="44">
        <v>7800</v>
      </c>
      <c r="H292" s="44">
        <v>46.8</v>
      </c>
      <c r="K292" s="4" t="e">
        <f>VLOOKUP(A292,Detallado!$C$5:$H$1570,6,FALSE)</f>
        <v>#N/A</v>
      </c>
    </row>
    <row r="293" spans="1:11">
      <c r="A293" s="90">
        <v>124667969775</v>
      </c>
      <c r="B293" s="1" t="s">
        <v>1827</v>
      </c>
      <c r="C293" s="43" t="s">
        <v>1815</v>
      </c>
      <c r="D293" s="1" t="s">
        <v>1780</v>
      </c>
      <c r="E293" s="43" t="s">
        <v>1815</v>
      </c>
      <c r="F293" s="37" t="s">
        <v>1782</v>
      </c>
      <c r="G293" s="44">
        <v>1675</v>
      </c>
      <c r="H293" s="44">
        <v>10.050000000000001</v>
      </c>
      <c r="K293" s="4" t="e">
        <f>VLOOKUP(A293,Detallado!$C$5:$H$1570,6,FALSE)</f>
        <v>#N/A</v>
      </c>
    </row>
    <row r="294" spans="1:11">
      <c r="A294" s="90">
        <v>124667883929</v>
      </c>
      <c r="B294" s="1" t="s">
        <v>8</v>
      </c>
      <c r="C294" s="43" t="s">
        <v>1815</v>
      </c>
      <c r="D294" s="1" t="s">
        <v>1780</v>
      </c>
      <c r="E294" s="43" t="s">
        <v>1815</v>
      </c>
      <c r="F294" s="37" t="s">
        <v>1782</v>
      </c>
      <c r="G294" s="44">
        <v>81200</v>
      </c>
      <c r="H294" s="44">
        <v>487.2</v>
      </c>
      <c r="K294" s="4" t="e">
        <f>VLOOKUP(A294,Detallado!$C$5:$H$1570,6,FALSE)</f>
        <v>#N/A</v>
      </c>
    </row>
    <row r="295" spans="1:11">
      <c r="A295" s="90">
        <v>124666970071</v>
      </c>
      <c r="B295" s="1" t="s">
        <v>8</v>
      </c>
      <c r="C295" s="43" t="s">
        <v>1815</v>
      </c>
      <c r="D295" s="1" t="s">
        <v>1780</v>
      </c>
      <c r="E295" s="43" t="s">
        <v>1815</v>
      </c>
      <c r="F295" s="37" t="s">
        <v>1782</v>
      </c>
      <c r="G295" s="44">
        <v>20900</v>
      </c>
      <c r="H295" s="44">
        <v>125.4</v>
      </c>
      <c r="K295" s="4" t="e">
        <f>VLOOKUP(A295,Detallado!$C$5:$H$1570,6,FALSE)</f>
        <v>#N/A</v>
      </c>
    </row>
    <row r="296" spans="1:11">
      <c r="A296" s="90">
        <v>124666058581</v>
      </c>
      <c r="B296" s="1" t="s">
        <v>1790</v>
      </c>
      <c r="C296" s="43" t="s">
        <v>1815</v>
      </c>
      <c r="D296" s="1" t="s">
        <v>1780</v>
      </c>
      <c r="E296" s="43" t="s">
        <v>1815</v>
      </c>
      <c r="F296" s="37" t="s">
        <v>1782</v>
      </c>
      <c r="G296" s="44">
        <v>35800</v>
      </c>
      <c r="H296" s="44">
        <v>214.8</v>
      </c>
      <c r="K296" s="4" t="e">
        <f>VLOOKUP(A296,Detallado!$C$5:$H$1570,6,FALSE)</f>
        <v>#N/A</v>
      </c>
    </row>
    <row r="297" spans="1:11">
      <c r="A297" s="90">
        <v>124665912009</v>
      </c>
      <c r="B297" s="1" t="s">
        <v>8</v>
      </c>
      <c r="C297" s="43" t="s">
        <v>1815</v>
      </c>
      <c r="D297" s="1" t="s">
        <v>1780</v>
      </c>
      <c r="E297" s="43" t="s">
        <v>1815</v>
      </c>
      <c r="F297" s="37" t="s">
        <v>1782</v>
      </c>
      <c r="G297" s="44">
        <v>43400</v>
      </c>
      <c r="H297" s="44">
        <v>260.39999999999998</v>
      </c>
      <c r="K297" s="4" t="e">
        <f>VLOOKUP(A297,Detallado!$C$5:$H$1570,6,FALSE)</f>
        <v>#N/A</v>
      </c>
    </row>
    <row r="298" spans="1:11">
      <c r="A298" s="90">
        <v>124665509203</v>
      </c>
      <c r="B298" s="1" t="s">
        <v>8</v>
      </c>
      <c r="C298" s="43" t="s">
        <v>1815</v>
      </c>
      <c r="D298" s="1" t="s">
        <v>1780</v>
      </c>
      <c r="E298" s="43" t="s">
        <v>1815</v>
      </c>
      <c r="F298" s="37" t="s">
        <v>1782</v>
      </c>
      <c r="G298" s="44">
        <v>44400</v>
      </c>
      <c r="H298" s="44">
        <v>266.39999999999998</v>
      </c>
      <c r="K298" s="4" t="e">
        <f>VLOOKUP(A298,Detallado!$C$5:$H$1570,6,FALSE)</f>
        <v>#N/A</v>
      </c>
    </row>
    <row r="299" spans="1:11">
      <c r="A299" s="90">
        <v>124665395075</v>
      </c>
      <c r="B299" s="1" t="s">
        <v>1790</v>
      </c>
      <c r="C299" s="43" t="s">
        <v>1815</v>
      </c>
      <c r="D299" s="1" t="s">
        <v>1780</v>
      </c>
      <c r="E299" s="43" t="s">
        <v>1815</v>
      </c>
      <c r="F299" s="37" t="s">
        <v>1782</v>
      </c>
      <c r="G299" s="44">
        <v>27400</v>
      </c>
      <c r="H299" s="44">
        <v>164.4</v>
      </c>
      <c r="K299" s="4" t="e">
        <f>VLOOKUP(A299,Detallado!$C$5:$H$1570,6,FALSE)</f>
        <v>#N/A</v>
      </c>
    </row>
    <row r="300" spans="1:11">
      <c r="A300" s="90">
        <v>124664971085</v>
      </c>
      <c r="B300" s="1" t="s">
        <v>8</v>
      </c>
      <c r="C300" s="43" t="s">
        <v>1815</v>
      </c>
      <c r="D300" s="1" t="s">
        <v>1780</v>
      </c>
      <c r="E300" s="43" t="s">
        <v>1815</v>
      </c>
      <c r="F300" s="37" t="s">
        <v>1782</v>
      </c>
      <c r="G300" s="44">
        <v>54800</v>
      </c>
      <c r="H300" s="44">
        <v>328.8</v>
      </c>
      <c r="K300" s="4" t="e">
        <f>VLOOKUP(A300,Detallado!$C$5:$H$1570,6,FALSE)</f>
        <v>#N/A</v>
      </c>
    </row>
    <row r="301" spans="1:11">
      <c r="A301" s="90">
        <v>124664940299</v>
      </c>
      <c r="B301" s="1" t="s">
        <v>8</v>
      </c>
      <c r="C301" s="43" t="s">
        <v>1815</v>
      </c>
      <c r="D301" s="1" t="s">
        <v>1780</v>
      </c>
      <c r="E301" s="43" t="s">
        <v>1815</v>
      </c>
      <c r="F301" s="37" t="s">
        <v>1782</v>
      </c>
      <c r="G301" s="44">
        <v>8500</v>
      </c>
      <c r="H301" s="44">
        <v>51</v>
      </c>
      <c r="K301" s="4" t="e">
        <f>VLOOKUP(A301,Detallado!$C$5:$H$1570,6,FALSE)</f>
        <v>#N/A</v>
      </c>
    </row>
    <row r="302" spans="1:11">
      <c r="A302" s="90">
        <v>124664329219</v>
      </c>
      <c r="B302" s="1" t="s">
        <v>8</v>
      </c>
      <c r="C302" s="43" t="s">
        <v>1815</v>
      </c>
      <c r="D302" s="1" t="s">
        <v>1780</v>
      </c>
      <c r="E302" s="43" t="s">
        <v>1815</v>
      </c>
      <c r="F302" s="37" t="s">
        <v>1782</v>
      </c>
      <c r="G302" s="44">
        <v>28800</v>
      </c>
      <c r="H302" s="44">
        <v>172.8</v>
      </c>
      <c r="K302" s="4" t="e">
        <f>VLOOKUP(A302,Detallado!$C$5:$H$1570,6,FALSE)</f>
        <v>#N/A</v>
      </c>
    </row>
    <row r="303" spans="1:11">
      <c r="A303" s="90">
        <v>124663516767</v>
      </c>
      <c r="B303" s="1" t="s">
        <v>8</v>
      </c>
      <c r="C303" s="43" t="s">
        <v>1815</v>
      </c>
      <c r="D303" s="1" t="s">
        <v>1780</v>
      </c>
      <c r="E303" s="43" t="s">
        <v>1815</v>
      </c>
      <c r="F303" s="37" t="s">
        <v>1782</v>
      </c>
      <c r="G303" s="44">
        <v>34400</v>
      </c>
      <c r="H303" s="44">
        <v>206.4</v>
      </c>
      <c r="K303" s="4" t="e">
        <f>VLOOKUP(A303,Detallado!$C$5:$H$1570,6,FALSE)</f>
        <v>#N/A</v>
      </c>
    </row>
    <row r="304" spans="1:11">
      <c r="A304" s="90">
        <v>124662948695</v>
      </c>
      <c r="B304" s="1" t="s">
        <v>1790</v>
      </c>
      <c r="C304" s="43" t="s">
        <v>1815</v>
      </c>
      <c r="D304" s="1" t="s">
        <v>1780</v>
      </c>
      <c r="E304" s="43" t="s">
        <v>1815</v>
      </c>
      <c r="F304" s="37" t="s">
        <v>1782</v>
      </c>
      <c r="G304" s="44">
        <v>28000</v>
      </c>
      <c r="H304" s="44">
        <v>168</v>
      </c>
      <c r="K304" s="4" t="e">
        <f>VLOOKUP(A304,Detallado!$C$5:$H$1570,6,FALSE)</f>
        <v>#N/A</v>
      </c>
    </row>
    <row r="305" spans="1:11">
      <c r="A305" s="90">
        <v>124662242795</v>
      </c>
      <c r="B305" s="1" t="s">
        <v>8</v>
      </c>
      <c r="C305" s="43" t="s">
        <v>1815</v>
      </c>
      <c r="D305" s="1" t="s">
        <v>1780</v>
      </c>
      <c r="E305" s="43" t="s">
        <v>1815</v>
      </c>
      <c r="F305" s="37" t="s">
        <v>1782</v>
      </c>
      <c r="G305" s="44">
        <v>39000</v>
      </c>
      <c r="H305" s="44">
        <v>234</v>
      </c>
      <c r="K305" s="4" t="e">
        <f>VLOOKUP(A305,Detallado!$C$5:$H$1570,6,FALSE)</f>
        <v>#N/A</v>
      </c>
    </row>
    <row r="306" spans="1:11">
      <c r="A306" s="90">
        <v>124660671863</v>
      </c>
      <c r="B306" s="1" t="s">
        <v>8</v>
      </c>
      <c r="C306" s="43" t="s">
        <v>1815</v>
      </c>
      <c r="D306" s="1" t="s">
        <v>1780</v>
      </c>
      <c r="E306" s="43" t="s">
        <v>1815</v>
      </c>
      <c r="F306" s="37" t="s">
        <v>1782</v>
      </c>
      <c r="G306" s="44">
        <v>8600</v>
      </c>
      <c r="H306" s="44">
        <v>51.6</v>
      </c>
      <c r="K306" s="4" t="e">
        <f>VLOOKUP(A306,Detallado!$C$5:$H$1570,6,FALSE)</f>
        <v>#N/A</v>
      </c>
    </row>
    <row r="307" spans="1:11">
      <c r="A307" s="90">
        <v>124660482969</v>
      </c>
      <c r="B307" s="1" t="s">
        <v>8</v>
      </c>
      <c r="C307" s="43" t="s">
        <v>1815</v>
      </c>
      <c r="D307" s="1" t="s">
        <v>1780</v>
      </c>
      <c r="E307" s="43" t="s">
        <v>1815</v>
      </c>
      <c r="F307" s="37" t="s">
        <v>1782</v>
      </c>
      <c r="G307" s="44">
        <v>600</v>
      </c>
      <c r="H307" s="44">
        <v>3.6</v>
      </c>
      <c r="K307" s="4" t="e">
        <f>VLOOKUP(A307,Detallado!$C$5:$H$1570,6,FALSE)</f>
        <v>#N/A</v>
      </c>
    </row>
    <row r="308" spans="1:11">
      <c r="A308" s="90">
        <v>124660239475</v>
      </c>
      <c r="B308" s="1" t="s">
        <v>8</v>
      </c>
      <c r="C308" s="43" t="s">
        <v>1815</v>
      </c>
      <c r="D308" s="1" t="s">
        <v>1780</v>
      </c>
      <c r="E308" s="43" t="s">
        <v>1815</v>
      </c>
      <c r="F308" s="37" t="s">
        <v>1782</v>
      </c>
      <c r="G308" s="44">
        <v>7800</v>
      </c>
      <c r="H308" s="44">
        <v>46.8</v>
      </c>
      <c r="K308" s="4" t="e">
        <f>VLOOKUP(A308,Detallado!$C$5:$H$1570,6,FALSE)</f>
        <v>#N/A</v>
      </c>
    </row>
    <row r="309" spans="1:11">
      <c r="A309" s="90">
        <v>124657418835</v>
      </c>
      <c r="B309" s="1" t="s">
        <v>8</v>
      </c>
      <c r="C309" s="43" t="s">
        <v>1815</v>
      </c>
      <c r="D309" s="1" t="s">
        <v>1780</v>
      </c>
      <c r="E309" s="43" t="s">
        <v>1815</v>
      </c>
      <c r="F309" s="37" t="s">
        <v>1782</v>
      </c>
      <c r="G309" s="44">
        <v>15600</v>
      </c>
      <c r="H309" s="44">
        <v>93.6</v>
      </c>
      <c r="K309" s="4" t="e">
        <f>VLOOKUP(A309,Detallado!$C$5:$H$1570,6,FALSE)</f>
        <v>#N/A</v>
      </c>
    </row>
    <row r="310" spans="1:11">
      <c r="A310" s="90">
        <v>124657393069</v>
      </c>
      <c r="B310" s="1" t="s">
        <v>8</v>
      </c>
      <c r="C310" s="43" t="s">
        <v>1815</v>
      </c>
      <c r="D310" s="1" t="s">
        <v>1780</v>
      </c>
      <c r="E310" s="43" t="s">
        <v>1815</v>
      </c>
      <c r="F310" s="37" t="s">
        <v>1782</v>
      </c>
      <c r="G310" s="44">
        <v>34100</v>
      </c>
      <c r="H310" s="44">
        <v>204.6</v>
      </c>
      <c r="K310" s="4" t="e">
        <f>VLOOKUP(A310,Detallado!$C$5:$H$1570,6,FALSE)</f>
        <v>#N/A</v>
      </c>
    </row>
    <row r="311" spans="1:11">
      <c r="A311" s="90">
        <v>124657355831</v>
      </c>
      <c r="B311" s="1" t="s">
        <v>1825</v>
      </c>
      <c r="C311" s="43" t="s">
        <v>1815</v>
      </c>
      <c r="D311" s="1" t="s">
        <v>1780</v>
      </c>
      <c r="E311" s="43" t="s">
        <v>1815</v>
      </c>
      <c r="F311" s="37" t="s">
        <v>1782</v>
      </c>
      <c r="G311" s="44">
        <v>3410</v>
      </c>
      <c r="H311" s="44">
        <v>20.46</v>
      </c>
      <c r="K311" s="4" t="e">
        <f>VLOOKUP(A311,Detallado!$C$5:$H$1570,6,FALSE)</f>
        <v>#N/A</v>
      </c>
    </row>
    <row r="312" spans="1:11">
      <c r="A312" s="90">
        <v>124654285441</v>
      </c>
      <c r="B312" s="1" t="s">
        <v>1790</v>
      </c>
      <c r="C312" s="43" t="s">
        <v>1815</v>
      </c>
      <c r="D312" s="1" t="s">
        <v>1780</v>
      </c>
      <c r="E312" s="43" t="s">
        <v>1815</v>
      </c>
      <c r="F312" s="37" t="s">
        <v>1782</v>
      </c>
      <c r="G312" s="44">
        <v>16700</v>
      </c>
      <c r="H312" s="44">
        <v>100.2</v>
      </c>
      <c r="K312" s="4" t="e">
        <f>VLOOKUP(A312,Detallado!$C$5:$H$1570,6,FALSE)</f>
        <v>#N/A</v>
      </c>
    </row>
    <row r="313" spans="1:11">
      <c r="A313" s="90">
        <v>124653835763</v>
      </c>
      <c r="B313" s="1" t="s">
        <v>8</v>
      </c>
      <c r="C313" s="43" t="s">
        <v>1815</v>
      </c>
      <c r="D313" s="1" t="s">
        <v>1780</v>
      </c>
      <c r="E313" s="43" t="s">
        <v>1815</v>
      </c>
      <c r="F313" s="37" t="s">
        <v>1782</v>
      </c>
      <c r="G313" s="44">
        <v>12700</v>
      </c>
      <c r="H313" s="44">
        <v>76.2</v>
      </c>
      <c r="K313" s="4" t="e">
        <f>VLOOKUP(A313,Detallado!$C$5:$H$1570,6,FALSE)</f>
        <v>#N/A</v>
      </c>
    </row>
    <row r="314" spans="1:11">
      <c r="A314" s="90">
        <v>124550395343</v>
      </c>
      <c r="B314" s="1" t="s">
        <v>8</v>
      </c>
      <c r="C314" s="43" t="s">
        <v>1815</v>
      </c>
      <c r="D314" s="1" t="s">
        <v>1780</v>
      </c>
      <c r="E314" s="43" t="s">
        <v>1815</v>
      </c>
      <c r="F314" s="37" t="s">
        <v>1782</v>
      </c>
      <c r="G314" s="44">
        <v>4300</v>
      </c>
      <c r="H314" s="44">
        <v>25.8</v>
      </c>
      <c r="K314" s="4" t="e">
        <f>VLOOKUP(A314,Detallado!$C$5:$H$1570,6,FALSE)</f>
        <v>#N/A</v>
      </c>
    </row>
    <row r="315" spans="1:11">
      <c r="A315" s="90">
        <v>124550265849</v>
      </c>
      <c r="B315" s="1" t="s">
        <v>1822</v>
      </c>
      <c r="C315" s="43" t="s">
        <v>1815</v>
      </c>
      <c r="D315" s="1" t="s">
        <v>1780</v>
      </c>
      <c r="E315" s="43" t="s">
        <v>1815</v>
      </c>
      <c r="F315" s="37" t="s">
        <v>1782</v>
      </c>
      <c r="G315" s="44">
        <v>1710</v>
      </c>
      <c r="H315" s="44">
        <v>10.26</v>
      </c>
      <c r="K315" s="4" t="e">
        <f>VLOOKUP(A315,Detallado!$C$5:$H$1570,6,FALSE)</f>
        <v>#N/A</v>
      </c>
    </row>
    <row r="316" spans="1:11">
      <c r="A316" s="90">
        <v>124550195285</v>
      </c>
      <c r="B316" s="1" t="s">
        <v>8</v>
      </c>
      <c r="C316" s="43" t="s">
        <v>1815</v>
      </c>
      <c r="D316" s="1" t="s">
        <v>1780</v>
      </c>
      <c r="E316" s="43" t="s">
        <v>1815</v>
      </c>
      <c r="F316" s="37" t="s">
        <v>1782</v>
      </c>
      <c r="G316" s="44">
        <v>13200</v>
      </c>
      <c r="H316" s="44">
        <v>79.2</v>
      </c>
      <c r="K316" s="4" t="e">
        <f>VLOOKUP(A316,Detallado!$C$5:$H$1570,6,FALSE)</f>
        <v>#N/A</v>
      </c>
    </row>
    <row r="317" spans="1:11">
      <c r="A317" s="90">
        <v>124550095401</v>
      </c>
      <c r="B317" s="1" t="s">
        <v>8</v>
      </c>
      <c r="C317" s="43" t="s">
        <v>1815</v>
      </c>
      <c r="D317" s="1" t="s">
        <v>1780</v>
      </c>
      <c r="E317" s="43" t="s">
        <v>1815</v>
      </c>
      <c r="F317" s="37" t="s">
        <v>1782</v>
      </c>
      <c r="G317" s="44">
        <v>22100</v>
      </c>
      <c r="H317" s="44">
        <v>132.6</v>
      </c>
      <c r="K317" s="4" t="e">
        <f>VLOOKUP(A317,Detallado!$C$5:$H$1570,6,FALSE)</f>
        <v>#N/A</v>
      </c>
    </row>
    <row r="318" spans="1:11">
      <c r="A318" s="90">
        <v>124549540369</v>
      </c>
      <c r="B318" s="1" t="s">
        <v>8</v>
      </c>
      <c r="C318" s="43" t="s">
        <v>1815</v>
      </c>
      <c r="D318" s="1" t="s">
        <v>1780</v>
      </c>
      <c r="E318" s="43" t="s">
        <v>1815</v>
      </c>
      <c r="F318" s="37" t="s">
        <v>1782</v>
      </c>
      <c r="G318" s="44">
        <v>14000</v>
      </c>
      <c r="H318" s="44">
        <v>84</v>
      </c>
      <c r="K318" s="4" t="e">
        <f>VLOOKUP(A318,Detallado!$C$5:$H$1570,6,FALSE)</f>
        <v>#N/A</v>
      </c>
    </row>
    <row r="319" spans="1:11">
      <c r="A319" s="90">
        <v>124549303705</v>
      </c>
      <c r="B319" s="1" t="s">
        <v>8</v>
      </c>
      <c r="C319" s="43" t="s">
        <v>1815</v>
      </c>
      <c r="D319" s="1" t="s">
        <v>1780</v>
      </c>
      <c r="E319" s="43" t="s">
        <v>1815</v>
      </c>
      <c r="F319" s="37" t="s">
        <v>1782</v>
      </c>
      <c r="G319" s="44">
        <v>10600</v>
      </c>
      <c r="H319" s="44">
        <v>63.6</v>
      </c>
      <c r="K319" s="4" t="e">
        <f>VLOOKUP(A319,Detallado!$C$5:$H$1570,6,FALSE)</f>
        <v>#N/A</v>
      </c>
    </row>
    <row r="320" spans="1:11">
      <c r="A320" s="90">
        <v>124549164915</v>
      </c>
      <c r="B320" s="1" t="s">
        <v>1821</v>
      </c>
      <c r="C320" s="43" t="s">
        <v>1815</v>
      </c>
      <c r="D320" s="1" t="s">
        <v>1780</v>
      </c>
      <c r="E320" s="43" t="s">
        <v>1815</v>
      </c>
      <c r="F320" s="37" t="s">
        <v>1782</v>
      </c>
      <c r="G320" s="44">
        <v>265</v>
      </c>
      <c r="H320" s="44">
        <v>1.59</v>
      </c>
      <c r="K320" s="4" t="e">
        <f>VLOOKUP(A320,Detallado!$C$5:$H$1570,6,FALSE)</f>
        <v>#N/A</v>
      </c>
    </row>
    <row r="321" spans="1:11">
      <c r="A321" s="90">
        <v>124548516339</v>
      </c>
      <c r="B321" s="1" t="s">
        <v>8</v>
      </c>
      <c r="C321" s="43" t="s">
        <v>1815</v>
      </c>
      <c r="D321" s="1" t="s">
        <v>1780</v>
      </c>
      <c r="E321" s="43" t="s">
        <v>1815</v>
      </c>
      <c r="F321" s="37" t="s">
        <v>1782</v>
      </c>
      <c r="G321" s="44">
        <v>112000</v>
      </c>
      <c r="H321" s="44">
        <v>672</v>
      </c>
      <c r="K321" s="4" t="e">
        <f>VLOOKUP(A321,Detallado!$C$5:$H$1570,6,FALSE)</f>
        <v>#N/A</v>
      </c>
    </row>
    <row r="322" spans="1:11">
      <c r="A322" s="90">
        <v>124548420083</v>
      </c>
      <c r="B322" s="1" t="s">
        <v>8</v>
      </c>
      <c r="C322" s="43" t="s">
        <v>1815</v>
      </c>
      <c r="D322" s="1" t="s">
        <v>1780</v>
      </c>
      <c r="E322" s="43" t="s">
        <v>1815</v>
      </c>
      <c r="F322" s="37" t="s">
        <v>1782</v>
      </c>
      <c r="G322" s="44">
        <v>18700</v>
      </c>
      <c r="H322" s="44">
        <v>112.2</v>
      </c>
      <c r="K322" s="4" t="e">
        <f>VLOOKUP(A322,Detallado!$C$5:$H$1570,6,FALSE)</f>
        <v>#N/A</v>
      </c>
    </row>
    <row r="323" spans="1:11">
      <c r="A323" s="90">
        <v>124548293337</v>
      </c>
      <c r="B323" s="1" t="s">
        <v>1790</v>
      </c>
      <c r="C323" s="43" t="s">
        <v>1815</v>
      </c>
      <c r="D323" s="1" t="s">
        <v>1780</v>
      </c>
      <c r="E323" s="43" t="s">
        <v>1815</v>
      </c>
      <c r="F323" s="37" t="s">
        <v>1782</v>
      </c>
      <c r="G323" s="44">
        <v>50400</v>
      </c>
      <c r="H323" s="44">
        <v>302.39999999999998</v>
      </c>
      <c r="K323" s="4" t="e">
        <f>VLOOKUP(A323,Detallado!$C$5:$H$1570,6,FALSE)</f>
        <v>#N/A</v>
      </c>
    </row>
    <row r="324" spans="1:11">
      <c r="A324" s="90">
        <v>124548241441</v>
      </c>
      <c r="B324" s="1" t="s">
        <v>1817</v>
      </c>
      <c r="C324" s="43" t="s">
        <v>1815</v>
      </c>
      <c r="D324" s="1" t="s">
        <v>1780</v>
      </c>
      <c r="E324" s="43" t="s">
        <v>1815</v>
      </c>
      <c r="F324" s="37" t="s">
        <v>1782</v>
      </c>
      <c r="G324" s="44">
        <v>430</v>
      </c>
      <c r="H324" s="44">
        <v>2.58</v>
      </c>
      <c r="K324" s="4" t="e">
        <f>VLOOKUP(A324,Detallado!$C$5:$H$1570,6,FALSE)</f>
        <v>#N/A</v>
      </c>
    </row>
    <row r="325" spans="1:11">
      <c r="A325" s="90">
        <v>124548093551</v>
      </c>
      <c r="B325" s="1" t="s">
        <v>8</v>
      </c>
      <c r="C325" s="43" t="s">
        <v>1815</v>
      </c>
      <c r="D325" s="1" t="s">
        <v>1780</v>
      </c>
      <c r="E325" s="43" t="s">
        <v>1815</v>
      </c>
      <c r="F325" s="37" t="s">
        <v>1782</v>
      </c>
      <c r="G325" s="44">
        <v>9300</v>
      </c>
      <c r="H325" s="44">
        <v>55.8</v>
      </c>
      <c r="K325" s="4" t="e">
        <f>VLOOKUP(A325,Detallado!$C$5:$H$1570,6,FALSE)</f>
        <v>#N/A</v>
      </c>
    </row>
    <row r="326" spans="1:11">
      <c r="A326" s="90">
        <v>124547797645</v>
      </c>
      <c r="B326" s="1" t="s">
        <v>8</v>
      </c>
      <c r="C326" s="43" t="s">
        <v>1815</v>
      </c>
      <c r="D326" s="1" t="s">
        <v>1780</v>
      </c>
      <c r="E326" s="43" t="s">
        <v>1815</v>
      </c>
      <c r="F326" s="37" t="s">
        <v>1782</v>
      </c>
      <c r="G326" s="44">
        <v>47800</v>
      </c>
      <c r="H326" s="44">
        <v>286.8</v>
      </c>
      <c r="K326" s="4" t="e">
        <f>VLOOKUP(A326,Detallado!$C$5:$H$1570,6,FALSE)</f>
        <v>#N/A</v>
      </c>
    </row>
    <row r="327" spans="1:11">
      <c r="A327" s="90">
        <v>124547549785</v>
      </c>
      <c r="B327" s="1" t="s">
        <v>1790</v>
      </c>
      <c r="C327" s="43" t="s">
        <v>1815</v>
      </c>
      <c r="D327" s="1" t="s">
        <v>1780</v>
      </c>
      <c r="E327" s="43" t="s">
        <v>1815</v>
      </c>
      <c r="F327" s="37" t="s">
        <v>1782</v>
      </c>
      <c r="G327" s="44">
        <v>62100</v>
      </c>
      <c r="H327" s="44">
        <v>372.6</v>
      </c>
      <c r="K327" s="4" t="e">
        <f>VLOOKUP(A327,Detallado!$C$5:$H$1570,6,FALSE)</f>
        <v>#N/A</v>
      </c>
    </row>
    <row r="328" spans="1:11">
      <c r="A328" s="90">
        <v>124547012843</v>
      </c>
      <c r="B328" s="1" t="s">
        <v>1790</v>
      </c>
      <c r="C328" s="43" t="s">
        <v>1815</v>
      </c>
      <c r="D328" s="1" t="s">
        <v>1780</v>
      </c>
      <c r="E328" s="43" t="s">
        <v>1815</v>
      </c>
      <c r="F328" s="37" t="s">
        <v>1782</v>
      </c>
      <c r="G328" s="44">
        <v>34000</v>
      </c>
      <c r="H328" s="44">
        <v>204</v>
      </c>
      <c r="K328" s="4" t="e">
        <f>VLOOKUP(A328,Detallado!$C$5:$H$1570,6,FALSE)</f>
        <v>#N/A</v>
      </c>
    </row>
    <row r="329" spans="1:11">
      <c r="A329" s="90">
        <v>124546985255</v>
      </c>
      <c r="B329" s="1" t="s">
        <v>1790</v>
      </c>
      <c r="C329" s="43" t="s">
        <v>1815</v>
      </c>
      <c r="D329" s="1" t="s">
        <v>1780</v>
      </c>
      <c r="E329" s="43" t="s">
        <v>1815</v>
      </c>
      <c r="F329" s="37" t="s">
        <v>1782</v>
      </c>
      <c r="G329" s="44">
        <v>600</v>
      </c>
      <c r="H329" s="44">
        <v>3.6</v>
      </c>
      <c r="K329" s="4" t="e">
        <f>VLOOKUP(A329,Detallado!$C$5:$H$1570,6,FALSE)</f>
        <v>#N/A</v>
      </c>
    </row>
    <row r="330" spans="1:11">
      <c r="A330" s="90">
        <v>125218795632</v>
      </c>
      <c r="B330" s="1" t="s">
        <v>1790</v>
      </c>
      <c r="C330" s="43" t="s">
        <v>1815</v>
      </c>
      <c r="D330" s="1" t="s">
        <v>1780</v>
      </c>
      <c r="E330" s="43" t="s">
        <v>1829</v>
      </c>
      <c r="F330" s="37" t="s">
        <v>1782</v>
      </c>
      <c r="G330" s="44">
        <v>8800</v>
      </c>
      <c r="H330" s="44">
        <v>52.8</v>
      </c>
      <c r="K330" s="4" t="e">
        <f>VLOOKUP(A330,Detallado!$C$5:$H$1570,6,FALSE)</f>
        <v>#N/A</v>
      </c>
    </row>
    <row r="331" spans="1:11">
      <c r="A331" s="90">
        <v>125218410126</v>
      </c>
      <c r="B331" s="1" t="s">
        <v>8</v>
      </c>
      <c r="C331" s="43" t="s">
        <v>1815</v>
      </c>
      <c r="D331" s="1" t="s">
        <v>1780</v>
      </c>
      <c r="E331" s="43" t="s">
        <v>1829</v>
      </c>
      <c r="F331" s="37" t="s">
        <v>1782</v>
      </c>
      <c r="G331" s="44">
        <v>10800</v>
      </c>
      <c r="H331" s="44">
        <v>64.8</v>
      </c>
      <c r="K331" s="4" t="e">
        <f>VLOOKUP(A331,Detallado!$C$5:$H$1570,6,FALSE)</f>
        <v>#N/A</v>
      </c>
    </row>
    <row r="332" spans="1:11">
      <c r="A332" s="90">
        <v>125218223556</v>
      </c>
      <c r="B332" s="1" t="s">
        <v>1833</v>
      </c>
      <c r="C332" s="43" t="s">
        <v>1815</v>
      </c>
      <c r="D332" s="1" t="s">
        <v>1780</v>
      </c>
      <c r="E332" s="43" t="s">
        <v>1829</v>
      </c>
      <c r="F332" s="37" t="s">
        <v>1782</v>
      </c>
      <c r="G332" s="44">
        <v>1630</v>
      </c>
      <c r="H332" s="44">
        <v>9.7799999999999994</v>
      </c>
      <c r="K332" s="4" t="e">
        <f>VLOOKUP(A332,Detallado!$C$5:$H$1570,6,FALSE)</f>
        <v>#N/A</v>
      </c>
    </row>
    <row r="333" spans="1:11">
      <c r="A333" s="90">
        <v>125217693384</v>
      </c>
      <c r="B333" s="1" t="s">
        <v>8</v>
      </c>
      <c r="C333" s="43" t="s">
        <v>1815</v>
      </c>
      <c r="D333" s="1" t="s">
        <v>1780</v>
      </c>
      <c r="E333" s="43" t="s">
        <v>1829</v>
      </c>
      <c r="F333" s="37" t="s">
        <v>1782</v>
      </c>
      <c r="G333" s="44">
        <v>15000</v>
      </c>
      <c r="H333" s="44">
        <v>90</v>
      </c>
      <c r="K333" s="4" t="e">
        <f>VLOOKUP(A333,Detallado!$C$5:$H$1570,6,FALSE)</f>
        <v>#N/A</v>
      </c>
    </row>
    <row r="334" spans="1:11">
      <c r="A334" s="90">
        <v>125217154744</v>
      </c>
      <c r="B334" s="1" t="s">
        <v>8</v>
      </c>
      <c r="C334" s="43" t="s">
        <v>1815</v>
      </c>
      <c r="D334" s="1" t="s">
        <v>1780</v>
      </c>
      <c r="E334" s="43" t="s">
        <v>1829</v>
      </c>
      <c r="F334" s="37" t="s">
        <v>1782</v>
      </c>
      <c r="G334" s="44">
        <v>8600</v>
      </c>
      <c r="H334" s="44">
        <v>51.6</v>
      </c>
      <c r="K334" s="4" t="e">
        <f>VLOOKUP(A334,Detallado!$C$5:$H$1570,6,FALSE)</f>
        <v>#N/A</v>
      </c>
    </row>
    <row r="335" spans="1:11">
      <c r="A335" s="90">
        <v>125216777826</v>
      </c>
      <c r="B335" s="1" t="s">
        <v>1790</v>
      </c>
      <c r="C335" s="43" t="s">
        <v>1815</v>
      </c>
      <c r="D335" s="1" t="s">
        <v>1780</v>
      </c>
      <c r="E335" s="43" t="s">
        <v>1829</v>
      </c>
      <c r="F335" s="37" t="s">
        <v>1782</v>
      </c>
      <c r="G335" s="44">
        <v>119900</v>
      </c>
      <c r="H335" s="44">
        <v>719.4</v>
      </c>
      <c r="K335" s="4" t="e">
        <f>VLOOKUP(A335,Detallado!$C$5:$H$1570,6,FALSE)</f>
        <v>#N/A</v>
      </c>
    </row>
    <row r="336" spans="1:11">
      <c r="A336" s="90">
        <v>125216661736</v>
      </c>
      <c r="B336" s="1" t="s">
        <v>1790</v>
      </c>
      <c r="C336" s="43" t="s">
        <v>1815</v>
      </c>
      <c r="D336" s="1" t="s">
        <v>1780</v>
      </c>
      <c r="E336" s="43" t="s">
        <v>1829</v>
      </c>
      <c r="F336" s="37" t="s">
        <v>1782</v>
      </c>
      <c r="G336" s="44">
        <v>59600</v>
      </c>
      <c r="H336" s="44">
        <v>357.6</v>
      </c>
      <c r="K336" s="4" t="e">
        <f>VLOOKUP(A336,Detallado!$C$5:$H$1570,6,FALSE)</f>
        <v>#N/A</v>
      </c>
    </row>
    <row r="337" spans="1:11">
      <c r="A337" s="90">
        <v>125216496504</v>
      </c>
      <c r="B337" s="1" t="s">
        <v>1830</v>
      </c>
      <c r="C337" s="43" t="s">
        <v>1815</v>
      </c>
      <c r="D337" s="1" t="s">
        <v>1780</v>
      </c>
      <c r="E337" s="43" t="s">
        <v>1829</v>
      </c>
      <c r="F337" s="37" t="s">
        <v>1782</v>
      </c>
      <c r="G337" s="44">
        <v>3800</v>
      </c>
      <c r="H337" s="44">
        <v>22.8</v>
      </c>
      <c r="K337" s="4" t="e">
        <f>VLOOKUP(A337,Detallado!$C$5:$H$1570,6,FALSE)</f>
        <v>#N/A</v>
      </c>
    </row>
    <row r="338" spans="1:11">
      <c r="A338" s="90">
        <v>125216200412</v>
      </c>
      <c r="B338" s="1" t="s">
        <v>8</v>
      </c>
      <c r="C338" s="43" t="s">
        <v>1815</v>
      </c>
      <c r="D338" s="1" t="s">
        <v>1780</v>
      </c>
      <c r="E338" s="43" t="s">
        <v>1829</v>
      </c>
      <c r="F338" s="37" t="s">
        <v>1782</v>
      </c>
      <c r="G338" s="44">
        <v>8500</v>
      </c>
      <c r="H338" s="44">
        <v>51</v>
      </c>
      <c r="K338" s="4" t="e">
        <f>VLOOKUP(A338,Detallado!$C$5:$H$1570,6,FALSE)</f>
        <v>#N/A</v>
      </c>
    </row>
    <row r="339" spans="1:11">
      <c r="A339" s="90">
        <v>125216045810</v>
      </c>
      <c r="B339" s="1" t="s">
        <v>1790</v>
      </c>
      <c r="C339" s="43" t="s">
        <v>1815</v>
      </c>
      <c r="D339" s="1" t="s">
        <v>1780</v>
      </c>
      <c r="E339" s="43" t="s">
        <v>1829</v>
      </c>
      <c r="F339" s="37" t="s">
        <v>1782</v>
      </c>
      <c r="G339" s="44">
        <v>101800</v>
      </c>
      <c r="H339" s="44">
        <v>610.79999999999995</v>
      </c>
      <c r="K339" s="4" t="e">
        <f>VLOOKUP(A339,Detallado!$C$5:$H$1570,6,FALSE)</f>
        <v>#N/A</v>
      </c>
    </row>
    <row r="340" spans="1:11">
      <c r="A340" s="90">
        <v>125215868728</v>
      </c>
      <c r="B340" s="1" t="s">
        <v>1790</v>
      </c>
      <c r="C340" s="43" t="s">
        <v>1815</v>
      </c>
      <c r="D340" s="1" t="s">
        <v>1780</v>
      </c>
      <c r="E340" s="43" t="s">
        <v>1829</v>
      </c>
      <c r="F340" s="37" t="s">
        <v>1782</v>
      </c>
      <c r="G340" s="44">
        <v>12900</v>
      </c>
      <c r="H340" s="44">
        <v>77.400000000000006</v>
      </c>
      <c r="K340" s="4" t="e">
        <f>VLOOKUP(A340,Detallado!$C$5:$H$1570,6,FALSE)</f>
        <v>#N/A</v>
      </c>
    </row>
    <row r="341" spans="1:11">
      <c r="A341" s="90">
        <v>124672534433</v>
      </c>
      <c r="B341" s="1" t="s">
        <v>8</v>
      </c>
      <c r="C341" s="43" t="s">
        <v>1815</v>
      </c>
      <c r="D341" s="1" t="s">
        <v>1780</v>
      </c>
      <c r="E341" s="43" t="s">
        <v>1829</v>
      </c>
      <c r="F341" s="37" t="s">
        <v>1782</v>
      </c>
      <c r="G341" s="44">
        <v>7800</v>
      </c>
      <c r="H341" s="44">
        <v>46.8</v>
      </c>
      <c r="K341" s="4" t="e">
        <f>VLOOKUP(A341,Detallado!$C$5:$H$1570,6,FALSE)</f>
        <v>#N/A</v>
      </c>
    </row>
    <row r="342" spans="1:11">
      <c r="A342" s="90">
        <v>124672504175</v>
      </c>
      <c r="B342" s="1" t="s">
        <v>8</v>
      </c>
      <c r="C342" s="43" t="s">
        <v>1815</v>
      </c>
      <c r="D342" s="1" t="s">
        <v>1780</v>
      </c>
      <c r="E342" s="43" t="s">
        <v>1829</v>
      </c>
      <c r="F342" s="37" t="s">
        <v>1782</v>
      </c>
      <c r="G342" s="44">
        <v>8800</v>
      </c>
      <c r="H342" s="44">
        <v>52.8</v>
      </c>
      <c r="K342" s="4" t="e">
        <f>VLOOKUP(A342,Detallado!$C$5:$H$1570,6,FALSE)</f>
        <v>#N/A</v>
      </c>
    </row>
    <row r="343" spans="1:11">
      <c r="A343" s="90">
        <v>124671860837</v>
      </c>
      <c r="B343" s="1" t="s">
        <v>8</v>
      </c>
      <c r="C343" s="43" t="s">
        <v>1815</v>
      </c>
      <c r="D343" s="1" t="s">
        <v>1780</v>
      </c>
      <c r="E343" s="43" t="s">
        <v>1829</v>
      </c>
      <c r="F343" s="37" t="s">
        <v>1782</v>
      </c>
      <c r="G343" s="44">
        <v>32600</v>
      </c>
      <c r="H343" s="44">
        <v>195.6</v>
      </c>
      <c r="K343" s="4" t="e">
        <f>VLOOKUP(A343,Detallado!$C$5:$H$1570,6,FALSE)</f>
        <v>#N/A</v>
      </c>
    </row>
    <row r="344" spans="1:11">
      <c r="A344" s="90">
        <v>124671562997</v>
      </c>
      <c r="B344" s="1" t="s">
        <v>1832</v>
      </c>
      <c r="C344" s="43" t="s">
        <v>1815</v>
      </c>
      <c r="D344" s="1" t="s">
        <v>1780</v>
      </c>
      <c r="E344" s="43" t="s">
        <v>1829</v>
      </c>
      <c r="F344" s="37" t="s">
        <v>1782</v>
      </c>
      <c r="G344" s="44">
        <v>2140</v>
      </c>
      <c r="H344" s="44">
        <v>12.84</v>
      </c>
      <c r="K344" s="4" t="e">
        <f>VLOOKUP(A344,Detallado!$C$5:$H$1570,6,FALSE)</f>
        <v>#N/A</v>
      </c>
    </row>
    <row r="345" spans="1:11">
      <c r="A345" s="90">
        <v>124671527545</v>
      </c>
      <c r="B345" s="1" t="s">
        <v>8</v>
      </c>
      <c r="C345" s="43" t="s">
        <v>1815</v>
      </c>
      <c r="D345" s="1" t="s">
        <v>1780</v>
      </c>
      <c r="E345" s="43" t="s">
        <v>1829</v>
      </c>
      <c r="F345" s="37" t="s">
        <v>1782</v>
      </c>
      <c r="G345" s="44">
        <v>42800</v>
      </c>
      <c r="H345" s="44">
        <v>256.8</v>
      </c>
      <c r="K345" s="4" t="e">
        <f>VLOOKUP(A345,Detallado!$C$5:$H$1570,6,FALSE)</f>
        <v>#N/A</v>
      </c>
    </row>
    <row r="346" spans="1:11">
      <c r="A346" s="90">
        <v>124671275577</v>
      </c>
      <c r="B346" s="1" t="s">
        <v>1790</v>
      </c>
      <c r="C346" s="43" t="s">
        <v>1815</v>
      </c>
      <c r="D346" s="1" t="s">
        <v>1780</v>
      </c>
      <c r="E346" s="43" t="s">
        <v>1829</v>
      </c>
      <c r="F346" s="37" t="s">
        <v>1782</v>
      </c>
      <c r="G346" s="44">
        <v>35600</v>
      </c>
      <c r="H346" s="44">
        <v>213.6</v>
      </c>
      <c r="K346" s="4" t="e">
        <f>VLOOKUP(A346,Detallado!$C$5:$H$1570,6,FALSE)</f>
        <v>#N/A</v>
      </c>
    </row>
    <row r="347" spans="1:11">
      <c r="A347" s="90">
        <v>124670726623</v>
      </c>
      <c r="B347" s="1" t="s">
        <v>8</v>
      </c>
      <c r="C347" s="43" t="s">
        <v>1815</v>
      </c>
      <c r="D347" s="1" t="s">
        <v>1780</v>
      </c>
      <c r="E347" s="43" t="s">
        <v>1829</v>
      </c>
      <c r="F347" s="37" t="s">
        <v>1782</v>
      </c>
      <c r="G347" s="44">
        <v>4300</v>
      </c>
      <c r="H347" s="44">
        <v>25.8</v>
      </c>
      <c r="K347" s="4" t="e">
        <f>VLOOKUP(A347,Detallado!$C$5:$H$1570,6,FALSE)</f>
        <v>#N/A</v>
      </c>
    </row>
    <row r="348" spans="1:11">
      <c r="A348" s="90">
        <v>124670696413</v>
      </c>
      <c r="B348" s="1" t="s">
        <v>8</v>
      </c>
      <c r="C348" s="43" t="s">
        <v>1815</v>
      </c>
      <c r="D348" s="1" t="s">
        <v>1780</v>
      </c>
      <c r="E348" s="43" t="s">
        <v>1829</v>
      </c>
      <c r="F348" s="37" t="s">
        <v>1782</v>
      </c>
      <c r="G348" s="44">
        <v>8500</v>
      </c>
      <c r="H348" s="44">
        <v>51</v>
      </c>
      <c r="K348" s="4" t="e">
        <f>VLOOKUP(A348,Detallado!$C$5:$H$1570,6,FALSE)</f>
        <v>#N/A</v>
      </c>
    </row>
    <row r="349" spans="1:11">
      <c r="A349" s="90">
        <v>124670291781</v>
      </c>
      <c r="B349" s="1" t="s">
        <v>8</v>
      </c>
      <c r="C349" s="43" t="s">
        <v>1815</v>
      </c>
      <c r="D349" s="1" t="s">
        <v>1780</v>
      </c>
      <c r="E349" s="43" t="s">
        <v>1829</v>
      </c>
      <c r="F349" s="37" t="s">
        <v>1782</v>
      </c>
      <c r="G349" s="44">
        <v>4300</v>
      </c>
      <c r="H349" s="44">
        <v>25.8</v>
      </c>
      <c r="K349" s="4" t="e">
        <f>VLOOKUP(A349,Detallado!$C$5:$H$1570,6,FALSE)</f>
        <v>#N/A</v>
      </c>
    </row>
    <row r="350" spans="1:11">
      <c r="A350" s="90">
        <v>124670247087</v>
      </c>
      <c r="B350" s="1" t="s">
        <v>8</v>
      </c>
      <c r="C350" s="43" t="s">
        <v>1815</v>
      </c>
      <c r="D350" s="1" t="s">
        <v>1780</v>
      </c>
      <c r="E350" s="43" t="s">
        <v>1829</v>
      </c>
      <c r="F350" s="37" t="s">
        <v>1782</v>
      </c>
      <c r="G350" s="44">
        <v>84300</v>
      </c>
      <c r="H350" s="44">
        <v>505.8</v>
      </c>
      <c r="K350" s="4" t="e">
        <f>VLOOKUP(A350,Detallado!$C$5:$H$1570,6,FALSE)</f>
        <v>#N/A</v>
      </c>
    </row>
    <row r="351" spans="1:11">
      <c r="A351" s="90">
        <v>124670059343</v>
      </c>
      <c r="B351" s="1" t="s">
        <v>8</v>
      </c>
      <c r="C351" s="43" t="s">
        <v>1815</v>
      </c>
      <c r="D351" s="1" t="s">
        <v>1780</v>
      </c>
      <c r="E351" s="43" t="s">
        <v>1829</v>
      </c>
      <c r="F351" s="37" t="s">
        <v>1782</v>
      </c>
      <c r="G351" s="44">
        <v>38000</v>
      </c>
      <c r="H351" s="44">
        <v>228</v>
      </c>
      <c r="K351" s="4" t="e">
        <f>VLOOKUP(A351,Detallado!$C$5:$H$1570,6,FALSE)</f>
        <v>#N/A</v>
      </c>
    </row>
    <row r="352" spans="1:11">
      <c r="A352" s="90">
        <v>124669988837</v>
      </c>
      <c r="B352" s="1" t="s">
        <v>8</v>
      </c>
      <c r="C352" s="43" t="s">
        <v>1815</v>
      </c>
      <c r="D352" s="1" t="s">
        <v>1780</v>
      </c>
      <c r="E352" s="43" t="s">
        <v>1829</v>
      </c>
      <c r="F352" s="37" t="s">
        <v>1782</v>
      </c>
      <c r="G352" s="44">
        <v>10600</v>
      </c>
      <c r="H352" s="44">
        <v>63.6</v>
      </c>
      <c r="K352" s="4" t="e">
        <f>VLOOKUP(A352,Detallado!$C$5:$H$1570,6,FALSE)</f>
        <v>#N/A</v>
      </c>
    </row>
    <row r="353" spans="1:11">
      <c r="A353" s="90">
        <v>124669482349</v>
      </c>
      <c r="B353" s="1" t="s">
        <v>8</v>
      </c>
      <c r="C353" s="43" t="s">
        <v>1815</v>
      </c>
      <c r="D353" s="1" t="s">
        <v>1780</v>
      </c>
      <c r="E353" s="43" t="s">
        <v>1829</v>
      </c>
      <c r="F353" s="37" t="s">
        <v>1782</v>
      </c>
      <c r="G353" s="44">
        <v>8600</v>
      </c>
      <c r="H353" s="44">
        <v>51.6</v>
      </c>
      <c r="K353" s="4" t="e">
        <f>VLOOKUP(A353,Detallado!$C$5:$H$1570,6,FALSE)</f>
        <v>#N/A</v>
      </c>
    </row>
    <row r="354" spans="1:11">
      <c r="A354" s="90">
        <v>125311407008</v>
      </c>
      <c r="B354" s="1" t="s">
        <v>8</v>
      </c>
      <c r="C354" s="43" t="s">
        <v>1829</v>
      </c>
      <c r="D354" s="1" t="s">
        <v>1780</v>
      </c>
      <c r="E354" s="43" t="s">
        <v>1829</v>
      </c>
      <c r="F354" s="37" t="s">
        <v>1782</v>
      </c>
      <c r="G354" s="44">
        <v>5700</v>
      </c>
      <c r="H354" s="44">
        <v>34.200000000000003</v>
      </c>
      <c r="K354" s="4" t="e">
        <f>VLOOKUP(A354,Detallado!$C$5:$H$1570,6,FALSE)</f>
        <v>#N/A</v>
      </c>
    </row>
    <row r="355" spans="1:11">
      <c r="A355" s="90">
        <v>125311377394</v>
      </c>
      <c r="B355" s="1" t="s">
        <v>1839</v>
      </c>
      <c r="C355" s="43" t="s">
        <v>1829</v>
      </c>
      <c r="D355" s="1" t="s">
        <v>1780</v>
      </c>
      <c r="E355" s="43" t="s">
        <v>1829</v>
      </c>
      <c r="F355" s="37" t="s">
        <v>1782</v>
      </c>
      <c r="G355" s="44">
        <v>855</v>
      </c>
      <c r="H355" s="44">
        <v>5.13</v>
      </c>
      <c r="K355" s="4" t="e">
        <f>VLOOKUP(A355,Detallado!$C$5:$H$1570,6,FALSE)</f>
        <v>#N/A</v>
      </c>
    </row>
    <row r="356" spans="1:11">
      <c r="A356" s="90">
        <v>125311350634</v>
      </c>
      <c r="B356" s="1" t="s">
        <v>1790</v>
      </c>
      <c r="C356" s="43" t="s">
        <v>1829</v>
      </c>
      <c r="D356" s="1" t="s">
        <v>1780</v>
      </c>
      <c r="E356" s="43" t="s">
        <v>1829</v>
      </c>
      <c r="F356" s="37" t="s">
        <v>1782</v>
      </c>
      <c r="G356" s="44">
        <v>31600</v>
      </c>
      <c r="H356" s="44">
        <v>189.6</v>
      </c>
      <c r="K356" s="4" t="e">
        <f>VLOOKUP(A356,Detallado!$C$5:$H$1570,6,FALSE)</f>
        <v>#N/A</v>
      </c>
    </row>
    <row r="357" spans="1:11">
      <c r="A357" s="90">
        <v>125309426696</v>
      </c>
      <c r="B357" s="1" t="s">
        <v>8</v>
      </c>
      <c r="C357" s="43" t="s">
        <v>1829</v>
      </c>
      <c r="D357" s="1" t="s">
        <v>1780</v>
      </c>
      <c r="E357" s="43" t="s">
        <v>1829</v>
      </c>
      <c r="F357" s="37" t="s">
        <v>1782</v>
      </c>
      <c r="G357" s="44">
        <v>24300</v>
      </c>
      <c r="H357" s="44">
        <v>145.80000000000001</v>
      </c>
      <c r="K357" s="4" t="e">
        <f>VLOOKUP(A357,Detallado!$C$5:$H$1570,6,FALSE)</f>
        <v>#N/A</v>
      </c>
    </row>
    <row r="358" spans="1:11">
      <c r="A358" s="90">
        <v>125307924448</v>
      </c>
      <c r="B358" s="1" t="s">
        <v>8</v>
      </c>
      <c r="C358" s="43" t="s">
        <v>1829</v>
      </c>
      <c r="D358" s="1" t="s">
        <v>1780</v>
      </c>
      <c r="E358" s="43" t="s">
        <v>1829</v>
      </c>
      <c r="F358" s="37" t="s">
        <v>1782</v>
      </c>
      <c r="G358" s="44">
        <v>36300</v>
      </c>
      <c r="H358" s="44">
        <v>217.8</v>
      </c>
      <c r="K358" s="4" t="e">
        <f>VLOOKUP(A358,Detallado!$C$5:$H$1570,6,FALSE)</f>
        <v>#N/A</v>
      </c>
    </row>
    <row r="359" spans="1:11">
      <c r="A359" s="90">
        <v>125307583524</v>
      </c>
      <c r="B359" s="1" t="s">
        <v>8</v>
      </c>
      <c r="C359" s="43" t="s">
        <v>1829</v>
      </c>
      <c r="D359" s="1" t="s">
        <v>1780</v>
      </c>
      <c r="E359" s="43" t="s">
        <v>1829</v>
      </c>
      <c r="F359" s="37" t="s">
        <v>1782</v>
      </c>
      <c r="G359" s="44">
        <v>47300</v>
      </c>
      <c r="H359" s="44">
        <v>283.8</v>
      </c>
      <c r="K359" s="4" t="e">
        <f>VLOOKUP(A359,Detallado!$C$5:$H$1570,6,FALSE)</f>
        <v>#N/A</v>
      </c>
    </row>
    <row r="360" spans="1:11">
      <c r="A360" s="90">
        <v>125305682512</v>
      </c>
      <c r="B360" s="1" t="s">
        <v>8</v>
      </c>
      <c r="C360" s="43" t="s">
        <v>1829</v>
      </c>
      <c r="D360" s="1" t="s">
        <v>1780</v>
      </c>
      <c r="E360" s="43" t="s">
        <v>1829</v>
      </c>
      <c r="F360" s="37" t="s">
        <v>1782</v>
      </c>
      <c r="G360" s="44">
        <v>100900</v>
      </c>
      <c r="H360" s="44">
        <v>605.4</v>
      </c>
      <c r="K360" s="4" t="e">
        <f>VLOOKUP(A360,Detallado!$C$5:$H$1570,6,FALSE)</f>
        <v>#N/A</v>
      </c>
    </row>
    <row r="361" spans="1:11">
      <c r="A361" s="90">
        <v>125304841170</v>
      </c>
      <c r="B361" s="1" t="s">
        <v>8</v>
      </c>
      <c r="C361" s="43" t="s">
        <v>1829</v>
      </c>
      <c r="D361" s="1" t="s">
        <v>1780</v>
      </c>
      <c r="E361" s="43" t="s">
        <v>1829</v>
      </c>
      <c r="F361" s="37" t="s">
        <v>1782</v>
      </c>
      <c r="G361" s="44">
        <v>76800</v>
      </c>
      <c r="H361" s="44">
        <v>460.8</v>
      </c>
      <c r="K361" s="4" t="e">
        <f>VLOOKUP(A361,Detallado!$C$5:$H$1570,6,FALSE)</f>
        <v>#N/A</v>
      </c>
    </row>
    <row r="362" spans="1:11">
      <c r="A362" s="90">
        <v>125300953476</v>
      </c>
      <c r="B362" s="1" t="s">
        <v>1790</v>
      </c>
      <c r="C362" s="43" t="s">
        <v>1829</v>
      </c>
      <c r="D362" s="1" t="s">
        <v>1780</v>
      </c>
      <c r="E362" s="43" t="s">
        <v>1829</v>
      </c>
      <c r="F362" s="37" t="s">
        <v>1782</v>
      </c>
      <c r="G362" s="44">
        <v>30900</v>
      </c>
      <c r="H362" s="44">
        <v>185.4</v>
      </c>
      <c r="K362" s="4" t="e">
        <f>VLOOKUP(A362,Detallado!$C$5:$H$1570,6,FALSE)</f>
        <v>#N/A</v>
      </c>
    </row>
    <row r="363" spans="1:11">
      <c r="A363" s="90">
        <v>125298883468</v>
      </c>
      <c r="B363" s="1" t="s">
        <v>8</v>
      </c>
      <c r="C363" s="43" t="s">
        <v>1829</v>
      </c>
      <c r="D363" s="1" t="s">
        <v>1780</v>
      </c>
      <c r="E363" s="43" t="s">
        <v>1829</v>
      </c>
      <c r="F363" s="37" t="s">
        <v>1782</v>
      </c>
      <c r="G363" s="44">
        <v>11000</v>
      </c>
      <c r="H363" s="44">
        <v>66</v>
      </c>
      <c r="K363" s="4" t="e">
        <f>VLOOKUP(A363,Detallado!$C$5:$H$1570,6,FALSE)</f>
        <v>#N/A</v>
      </c>
    </row>
    <row r="364" spans="1:11">
      <c r="A364" s="90">
        <v>125223606328</v>
      </c>
      <c r="B364" s="1" t="s">
        <v>8</v>
      </c>
      <c r="C364" s="43" t="s">
        <v>1829</v>
      </c>
      <c r="D364" s="1" t="s">
        <v>1780</v>
      </c>
      <c r="E364" s="43" t="s">
        <v>1829</v>
      </c>
      <c r="F364" s="37" t="s">
        <v>1782</v>
      </c>
      <c r="G364" s="44">
        <v>148600</v>
      </c>
      <c r="H364" s="44">
        <v>891.6</v>
      </c>
      <c r="K364" s="4" t="e">
        <f>VLOOKUP(A364,Detallado!$C$5:$H$1570,6,FALSE)</f>
        <v>#N/A</v>
      </c>
    </row>
    <row r="365" spans="1:11">
      <c r="A365" s="90">
        <v>125223493470</v>
      </c>
      <c r="B365" s="1" t="s">
        <v>8</v>
      </c>
      <c r="C365" s="43" t="s">
        <v>1829</v>
      </c>
      <c r="D365" s="1" t="s">
        <v>1780</v>
      </c>
      <c r="E365" s="43" t="s">
        <v>1829</v>
      </c>
      <c r="F365" s="37" t="s">
        <v>1782</v>
      </c>
      <c r="G365" s="44">
        <v>8600</v>
      </c>
      <c r="H365" s="44">
        <v>51.6</v>
      </c>
      <c r="K365" s="4" t="e">
        <f>VLOOKUP(A365,Detallado!$C$5:$H$1570,6,FALSE)</f>
        <v>#N/A</v>
      </c>
    </row>
    <row r="366" spans="1:11">
      <c r="A366" s="90">
        <v>125223478166</v>
      </c>
      <c r="B366" s="1" t="s">
        <v>1790</v>
      </c>
      <c r="C366" s="43" t="s">
        <v>1829</v>
      </c>
      <c r="D366" s="1" t="s">
        <v>1780</v>
      </c>
      <c r="E366" s="43" t="s">
        <v>1829</v>
      </c>
      <c r="F366" s="37" t="s">
        <v>1782</v>
      </c>
      <c r="G366" s="44">
        <v>21900</v>
      </c>
      <c r="H366" s="44">
        <v>131.4</v>
      </c>
      <c r="K366" s="4" t="e">
        <f>VLOOKUP(A366,Detallado!$C$5:$H$1570,6,FALSE)</f>
        <v>#N/A</v>
      </c>
    </row>
    <row r="367" spans="1:11">
      <c r="A367" s="90">
        <v>125223266490</v>
      </c>
      <c r="B367" s="1" t="s">
        <v>1790</v>
      </c>
      <c r="C367" s="43" t="s">
        <v>1829</v>
      </c>
      <c r="D367" s="1" t="s">
        <v>1780</v>
      </c>
      <c r="E367" s="43" t="s">
        <v>1829</v>
      </c>
      <c r="F367" s="37" t="s">
        <v>1782</v>
      </c>
      <c r="G367" s="44">
        <v>9500</v>
      </c>
      <c r="H367" s="44">
        <v>57</v>
      </c>
      <c r="K367" s="4" t="e">
        <f>VLOOKUP(A367,Detallado!$C$5:$H$1570,6,FALSE)</f>
        <v>#N/A</v>
      </c>
    </row>
    <row r="368" spans="1:11">
      <c r="A368" s="90">
        <v>125223208832</v>
      </c>
      <c r="B368" s="1" t="s">
        <v>8</v>
      </c>
      <c r="C368" s="43" t="s">
        <v>1829</v>
      </c>
      <c r="D368" s="1" t="s">
        <v>1780</v>
      </c>
      <c r="E368" s="43" t="s">
        <v>1829</v>
      </c>
      <c r="F368" s="37" t="s">
        <v>1782</v>
      </c>
      <c r="G368" s="44">
        <v>15000</v>
      </c>
      <c r="H368" s="44">
        <v>90</v>
      </c>
      <c r="K368" s="4" t="e">
        <f>VLOOKUP(A368,Detallado!$C$5:$H$1570,6,FALSE)</f>
        <v>#N/A</v>
      </c>
    </row>
    <row r="369" spans="1:11">
      <c r="A369" s="90">
        <v>125222877250</v>
      </c>
      <c r="B369" s="1" t="s">
        <v>8</v>
      </c>
      <c r="C369" s="43" t="s">
        <v>1829</v>
      </c>
      <c r="D369" s="1" t="s">
        <v>1780</v>
      </c>
      <c r="E369" s="43" t="s">
        <v>1829</v>
      </c>
      <c r="F369" s="37" t="s">
        <v>1782</v>
      </c>
      <c r="G369" s="44">
        <v>10600</v>
      </c>
      <c r="H369" s="44">
        <v>63.6</v>
      </c>
      <c r="K369" s="4" t="e">
        <f>VLOOKUP(A369,Detallado!$C$5:$H$1570,6,FALSE)</f>
        <v>#N/A</v>
      </c>
    </row>
    <row r="370" spans="1:11">
      <c r="A370" s="90">
        <v>125222462618</v>
      </c>
      <c r="B370" s="1" t="s">
        <v>8</v>
      </c>
      <c r="C370" s="43" t="s">
        <v>1829</v>
      </c>
      <c r="D370" s="1" t="s">
        <v>1780</v>
      </c>
      <c r="E370" s="43" t="s">
        <v>1829</v>
      </c>
      <c r="F370" s="37" t="s">
        <v>1782</v>
      </c>
      <c r="G370" s="44">
        <v>7000</v>
      </c>
      <c r="H370" s="44">
        <v>42</v>
      </c>
      <c r="K370" s="4" t="e">
        <f>VLOOKUP(A370,Detallado!$C$5:$H$1570,6,FALSE)</f>
        <v>#N/A</v>
      </c>
    </row>
    <row r="371" spans="1:11">
      <c r="A371" s="90">
        <v>125222388040</v>
      </c>
      <c r="B371" s="1" t="s">
        <v>1790</v>
      </c>
      <c r="C371" s="43" t="s">
        <v>1829</v>
      </c>
      <c r="D371" s="1" t="s">
        <v>1780</v>
      </c>
      <c r="E371" s="43" t="s">
        <v>1829</v>
      </c>
      <c r="F371" s="37" t="s">
        <v>1782</v>
      </c>
      <c r="G371" s="44">
        <v>58100</v>
      </c>
      <c r="H371" s="44">
        <v>348.6</v>
      </c>
      <c r="K371" s="4" t="e">
        <f>VLOOKUP(A371,Detallado!$C$5:$H$1570,6,FALSE)</f>
        <v>#N/A</v>
      </c>
    </row>
    <row r="372" spans="1:11">
      <c r="A372" s="90">
        <v>125220439184</v>
      </c>
      <c r="B372" s="1" t="s">
        <v>1835</v>
      </c>
      <c r="C372" s="43" t="s">
        <v>1829</v>
      </c>
      <c r="D372" s="1" t="s">
        <v>1780</v>
      </c>
      <c r="E372" s="43" t="s">
        <v>1829</v>
      </c>
      <c r="F372" s="37" t="s">
        <v>1782</v>
      </c>
      <c r="G372" s="44">
        <v>250</v>
      </c>
      <c r="H372" s="44">
        <v>1.5</v>
      </c>
      <c r="K372" s="4" t="e">
        <f>VLOOKUP(A372,Detallado!$C$5:$H$1570,6,FALSE)</f>
        <v>#N/A</v>
      </c>
    </row>
    <row r="373" spans="1:11">
      <c r="A373" s="90">
        <v>125220339680</v>
      </c>
      <c r="B373" s="1" t="s">
        <v>8</v>
      </c>
      <c r="C373" s="43" t="s">
        <v>1829</v>
      </c>
      <c r="D373" s="1" t="s">
        <v>1780</v>
      </c>
      <c r="E373" s="43" t="s">
        <v>1829</v>
      </c>
      <c r="F373" s="37" t="s">
        <v>1782</v>
      </c>
      <c r="G373" s="44">
        <v>7000</v>
      </c>
      <c r="H373" s="44">
        <v>42</v>
      </c>
      <c r="K373" s="4" t="e">
        <f>VLOOKUP(A373,Detallado!$C$5:$H$1570,6,FALSE)</f>
        <v>#N/A</v>
      </c>
    </row>
    <row r="374" spans="1:11">
      <c r="A374" s="90">
        <v>125220021668</v>
      </c>
      <c r="B374" s="1" t="s">
        <v>8</v>
      </c>
      <c r="C374" s="43" t="s">
        <v>1829</v>
      </c>
      <c r="D374" s="1" t="s">
        <v>1780</v>
      </c>
      <c r="E374" s="43" t="s">
        <v>1829</v>
      </c>
      <c r="F374" s="37" t="s">
        <v>1782</v>
      </c>
      <c r="G374" s="44">
        <v>8600</v>
      </c>
      <c r="H374" s="44">
        <v>51.6</v>
      </c>
      <c r="K374" s="4" t="e">
        <f>VLOOKUP(A374,Detallado!$C$5:$H$1570,6,FALSE)</f>
        <v>#N/A</v>
      </c>
    </row>
    <row r="375" spans="1:11">
      <c r="A375" s="90">
        <v>125219980312</v>
      </c>
      <c r="B375" s="1" t="s">
        <v>8</v>
      </c>
      <c r="C375" s="43" t="s">
        <v>1829</v>
      </c>
      <c r="D375" s="1" t="s">
        <v>1780</v>
      </c>
      <c r="E375" s="43" t="s">
        <v>1829</v>
      </c>
      <c r="F375" s="37" t="s">
        <v>1782</v>
      </c>
      <c r="G375" s="44">
        <v>54600</v>
      </c>
      <c r="H375" s="44">
        <v>327.60000000000002</v>
      </c>
      <c r="K375" s="4" t="e">
        <f>VLOOKUP(A375,Detallado!$C$5:$H$1570,6,FALSE)</f>
        <v>#N/A</v>
      </c>
    </row>
    <row r="376" spans="1:11">
      <c r="A376" s="90">
        <v>125219899446</v>
      </c>
      <c r="B376" s="1" t="s">
        <v>8</v>
      </c>
      <c r="C376" s="43" t="s">
        <v>1829</v>
      </c>
      <c r="D376" s="1" t="s">
        <v>1780</v>
      </c>
      <c r="E376" s="43" t="s">
        <v>1829</v>
      </c>
      <c r="F376" s="37" t="s">
        <v>1782</v>
      </c>
      <c r="G376" s="44">
        <v>7000</v>
      </c>
      <c r="H376" s="44">
        <v>42</v>
      </c>
      <c r="K376" s="4" t="e">
        <f>VLOOKUP(A376,Detallado!$C$5:$H$1570,6,FALSE)</f>
        <v>#N/A</v>
      </c>
    </row>
    <row r="377" spans="1:11">
      <c r="A377" s="90">
        <v>125219233532</v>
      </c>
      <c r="B377" s="1" t="s">
        <v>8</v>
      </c>
      <c r="C377" s="43" t="s">
        <v>1829</v>
      </c>
      <c r="D377" s="1" t="s">
        <v>1780</v>
      </c>
      <c r="E377" s="43" t="s">
        <v>1829</v>
      </c>
      <c r="F377" s="37" t="s">
        <v>1782</v>
      </c>
      <c r="G377" s="44">
        <v>5700</v>
      </c>
      <c r="H377" s="44">
        <v>34.200000000000003</v>
      </c>
      <c r="K377" s="4" t="e">
        <f>VLOOKUP(A377,Detallado!$C$5:$H$1570,6,FALSE)</f>
        <v>#N/A</v>
      </c>
    </row>
    <row r="378" spans="1:11">
      <c r="A378" s="90">
        <v>125219203876</v>
      </c>
      <c r="B378" s="1" t="s">
        <v>8</v>
      </c>
      <c r="C378" s="43" t="s">
        <v>1829</v>
      </c>
      <c r="D378" s="1" t="s">
        <v>1780</v>
      </c>
      <c r="E378" s="43" t="s">
        <v>1829</v>
      </c>
      <c r="F378" s="37" t="s">
        <v>1782</v>
      </c>
      <c r="G378" s="44">
        <v>8600</v>
      </c>
      <c r="H378" s="44">
        <v>51.6</v>
      </c>
      <c r="K378" s="4" t="e">
        <f>VLOOKUP(A378,Detallado!$C$5:$H$1570,6,FALSE)</f>
        <v>#N/A</v>
      </c>
    </row>
    <row r="379" spans="1:11">
      <c r="A379" s="90">
        <v>125219129574</v>
      </c>
      <c r="B379" s="1" t="s">
        <v>8</v>
      </c>
      <c r="C379" s="43" t="s">
        <v>1829</v>
      </c>
      <c r="D379" s="1" t="s">
        <v>1780</v>
      </c>
      <c r="E379" s="43" t="s">
        <v>1829</v>
      </c>
      <c r="F379" s="37" t="s">
        <v>1782</v>
      </c>
      <c r="G379" s="44">
        <v>45800</v>
      </c>
      <c r="H379" s="44">
        <v>274.8</v>
      </c>
      <c r="K379" s="4" t="e">
        <f>VLOOKUP(A379,Detallado!$C$5:$H$1570,6,FALSE)</f>
        <v>#N/A</v>
      </c>
    </row>
    <row r="380" spans="1:11">
      <c r="A380" s="90">
        <v>124762545723</v>
      </c>
      <c r="B380" s="1" t="s">
        <v>8</v>
      </c>
      <c r="C380" s="43" t="s">
        <v>1829</v>
      </c>
      <c r="D380" s="1" t="s">
        <v>1780</v>
      </c>
      <c r="E380" s="43" t="s">
        <v>1829</v>
      </c>
      <c r="F380" s="37" t="s">
        <v>1782</v>
      </c>
      <c r="G380" s="44">
        <v>119500</v>
      </c>
      <c r="H380" s="44">
        <v>717</v>
      </c>
      <c r="K380" s="4" t="e">
        <f>VLOOKUP(A380,Detallado!$C$5:$H$1570,6,FALSE)</f>
        <v>#N/A</v>
      </c>
    </row>
    <row r="381" spans="1:11">
      <c r="A381" s="90">
        <v>124762404115</v>
      </c>
      <c r="B381" s="1" t="s">
        <v>1790</v>
      </c>
      <c r="C381" s="43" t="s">
        <v>1829</v>
      </c>
      <c r="D381" s="1" t="s">
        <v>1780</v>
      </c>
      <c r="E381" s="43" t="s">
        <v>1829</v>
      </c>
      <c r="F381" s="37" t="s">
        <v>1782</v>
      </c>
      <c r="G381" s="44">
        <v>10100</v>
      </c>
      <c r="H381" s="44">
        <v>60.6</v>
      </c>
      <c r="K381" s="4" t="e">
        <f>VLOOKUP(A381,Detallado!$C$5:$H$1570,6,FALSE)</f>
        <v>#N/A</v>
      </c>
    </row>
    <row r="382" spans="1:11">
      <c r="A382" s="90">
        <v>124762161923</v>
      </c>
      <c r="B382" s="1" t="s">
        <v>1790</v>
      </c>
      <c r="C382" s="43" t="s">
        <v>1829</v>
      </c>
      <c r="D382" s="1" t="s">
        <v>1780</v>
      </c>
      <c r="E382" s="43" t="s">
        <v>1829</v>
      </c>
      <c r="F382" s="37" t="s">
        <v>1782</v>
      </c>
      <c r="G382" s="44">
        <v>39000</v>
      </c>
      <c r="H382" s="44">
        <v>234</v>
      </c>
      <c r="K382" s="4" t="e">
        <f>VLOOKUP(A382,Detallado!$C$5:$H$1570,6,FALSE)</f>
        <v>#N/A</v>
      </c>
    </row>
    <row r="383" spans="1:11">
      <c r="A383" s="90">
        <v>124761974987</v>
      </c>
      <c r="B383" s="1" t="s">
        <v>8</v>
      </c>
      <c r="C383" s="43" t="s">
        <v>1829</v>
      </c>
      <c r="D383" s="1" t="s">
        <v>1780</v>
      </c>
      <c r="E383" s="43" t="s">
        <v>1829</v>
      </c>
      <c r="F383" s="37" t="s">
        <v>1782</v>
      </c>
      <c r="G383" s="44">
        <v>69000</v>
      </c>
      <c r="H383" s="44">
        <v>414</v>
      </c>
      <c r="K383" s="4" t="e">
        <f>VLOOKUP(A383,Detallado!$C$5:$H$1570,6,FALSE)</f>
        <v>#N/A</v>
      </c>
    </row>
    <row r="384" spans="1:11">
      <c r="A384" s="90">
        <v>124761305099</v>
      </c>
      <c r="B384" s="1" t="s">
        <v>8</v>
      </c>
      <c r="C384" s="43" t="s">
        <v>1829</v>
      </c>
      <c r="D384" s="1" t="s">
        <v>1780</v>
      </c>
      <c r="E384" s="43" t="s">
        <v>1829</v>
      </c>
      <c r="F384" s="37" t="s">
        <v>1782</v>
      </c>
      <c r="G384" s="44">
        <v>40500</v>
      </c>
      <c r="H384" s="44">
        <v>243</v>
      </c>
      <c r="K384" s="4" t="e">
        <f>VLOOKUP(A384,Detallado!$C$5:$H$1570,6,FALSE)</f>
        <v>#N/A</v>
      </c>
    </row>
    <row r="385" spans="1:11">
      <c r="A385" s="90">
        <v>124760717875</v>
      </c>
      <c r="B385" s="1" t="s">
        <v>8</v>
      </c>
      <c r="C385" s="43" t="s">
        <v>1829</v>
      </c>
      <c r="D385" s="1" t="s">
        <v>1780</v>
      </c>
      <c r="E385" s="43" t="s">
        <v>1829</v>
      </c>
      <c r="F385" s="37" t="s">
        <v>1782</v>
      </c>
      <c r="G385" s="44">
        <v>28600</v>
      </c>
      <c r="H385" s="44">
        <v>171.6</v>
      </c>
      <c r="K385" s="4" t="e">
        <f>VLOOKUP(A385,Detallado!$C$5:$H$1570,6,FALSE)</f>
        <v>#N/A</v>
      </c>
    </row>
    <row r="386" spans="1:11">
      <c r="A386" s="90">
        <v>124760077545</v>
      </c>
      <c r="B386" s="1" t="s">
        <v>1790</v>
      </c>
      <c r="C386" s="43" t="s">
        <v>1829</v>
      </c>
      <c r="D386" s="1" t="s">
        <v>1780</v>
      </c>
      <c r="E386" s="43" t="s">
        <v>1829</v>
      </c>
      <c r="F386" s="37" t="s">
        <v>1782</v>
      </c>
      <c r="G386" s="44">
        <v>36300</v>
      </c>
      <c r="H386" s="44">
        <v>217.8</v>
      </c>
      <c r="K386" s="4" t="e">
        <f>VLOOKUP(A386,Detallado!$C$5:$H$1570,6,FALSE)</f>
        <v>#N/A</v>
      </c>
    </row>
    <row r="387" spans="1:11">
      <c r="A387" s="90">
        <v>124759575161</v>
      </c>
      <c r="B387" s="1" t="s">
        <v>8</v>
      </c>
      <c r="C387" s="43" t="s">
        <v>1829</v>
      </c>
      <c r="D387" s="1" t="s">
        <v>1780</v>
      </c>
      <c r="E387" s="43" t="s">
        <v>1829</v>
      </c>
      <c r="F387" s="37" t="s">
        <v>1782</v>
      </c>
      <c r="G387" s="44">
        <v>18550</v>
      </c>
      <c r="H387" s="44">
        <v>111.3</v>
      </c>
      <c r="K387" s="4" t="e">
        <f>VLOOKUP(A387,Detallado!$C$5:$H$1570,6,FALSE)</f>
        <v>#N/A</v>
      </c>
    </row>
    <row r="388" spans="1:11">
      <c r="A388" s="90">
        <v>124756676035</v>
      </c>
      <c r="B388" s="1" t="s">
        <v>8</v>
      </c>
      <c r="C388" s="43" t="s">
        <v>1829</v>
      </c>
      <c r="D388" s="1" t="s">
        <v>1780</v>
      </c>
      <c r="E388" s="43" t="s">
        <v>1829</v>
      </c>
      <c r="F388" s="37" t="s">
        <v>1782</v>
      </c>
      <c r="G388" s="44">
        <v>32700</v>
      </c>
      <c r="H388" s="44">
        <v>196.2</v>
      </c>
      <c r="K388" s="4" t="e">
        <f>VLOOKUP(A388,Detallado!$C$5:$H$1570,6,FALSE)</f>
        <v>#N/A</v>
      </c>
    </row>
    <row r="389" spans="1:11">
      <c r="A389" s="90">
        <v>124756307845</v>
      </c>
      <c r="B389" s="1" t="s">
        <v>8</v>
      </c>
      <c r="C389" s="43" t="s">
        <v>1829</v>
      </c>
      <c r="D389" s="1" t="s">
        <v>1780</v>
      </c>
      <c r="E389" s="43" t="s">
        <v>1829</v>
      </c>
      <c r="F389" s="37" t="s">
        <v>1782</v>
      </c>
      <c r="G389" s="44">
        <v>21400</v>
      </c>
      <c r="H389" s="44">
        <v>128.4</v>
      </c>
      <c r="K389" s="4" t="e">
        <f>VLOOKUP(A389,Detallado!$C$5:$H$1570,6,FALSE)</f>
        <v>#N/A</v>
      </c>
    </row>
    <row r="390" spans="1:11">
      <c r="A390" s="90">
        <v>124755105423</v>
      </c>
      <c r="B390" s="1" t="s">
        <v>8</v>
      </c>
      <c r="C390" s="43" t="s">
        <v>1829</v>
      </c>
      <c r="D390" s="1" t="s">
        <v>1780</v>
      </c>
      <c r="E390" s="43" t="s">
        <v>1829</v>
      </c>
      <c r="F390" s="37" t="s">
        <v>1782</v>
      </c>
      <c r="G390" s="44">
        <v>17200</v>
      </c>
      <c r="H390" s="44">
        <v>103.2</v>
      </c>
      <c r="K390" s="4" t="e">
        <f>VLOOKUP(A390,Detallado!$C$5:$H$1570,6,FALSE)</f>
        <v>#N/A</v>
      </c>
    </row>
    <row r="391" spans="1:11">
      <c r="A391" s="90">
        <v>124754626261</v>
      </c>
      <c r="B391" s="1" t="s">
        <v>1836</v>
      </c>
      <c r="C391" s="43" t="s">
        <v>1829</v>
      </c>
      <c r="D391" s="1" t="s">
        <v>1780</v>
      </c>
      <c r="E391" s="43" t="s">
        <v>1829</v>
      </c>
      <c r="F391" s="37" t="s">
        <v>1782</v>
      </c>
      <c r="G391" s="44">
        <v>4800</v>
      </c>
      <c r="H391" s="44">
        <v>28.8</v>
      </c>
      <c r="K391" s="4" t="e">
        <f>VLOOKUP(A391,Detallado!$C$5:$H$1570,6,FALSE)</f>
        <v>#N/A</v>
      </c>
    </row>
    <row r="392" spans="1:11">
      <c r="A392" s="90">
        <v>124754527205</v>
      </c>
      <c r="B392" s="1" t="s">
        <v>8</v>
      </c>
      <c r="C392" s="43" t="s">
        <v>1829</v>
      </c>
      <c r="D392" s="1" t="s">
        <v>1780</v>
      </c>
      <c r="E392" s="43" t="s">
        <v>1829</v>
      </c>
      <c r="F392" s="37" t="s">
        <v>1782</v>
      </c>
      <c r="G392" s="44">
        <v>48000</v>
      </c>
      <c r="H392" s="44">
        <v>288</v>
      </c>
      <c r="K392" s="4" t="e">
        <f>VLOOKUP(A392,Detallado!$C$5:$H$1570,6,FALSE)</f>
        <v>#N/A</v>
      </c>
    </row>
    <row r="393" spans="1:11">
      <c r="A393" s="90">
        <v>124752111709</v>
      </c>
      <c r="B393" s="1" t="s">
        <v>8</v>
      </c>
      <c r="C393" s="43" t="s">
        <v>1829</v>
      </c>
      <c r="D393" s="1" t="s">
        <v>1780</v>
      </c>
      <c r="E393" s="43" t="s">
        <v>1829</v>
      </c>
      <c r="F393" s="37" t="s">
        <v>1782</v>
      </c>
      <c r="G393" s="44">
        <v>8600</v>
      </c>
      <c r="H393" s="44">
        <v>51.6</v>
      </c>
      <c r="K393" s="4" t="e">
        <f>VLOOKUP(A393,Detallado!$C$5:$H$1570,6,FALSE)</f>
        <v>#N/A</v>
      </c>
    </row>
    <row r="394" spans="1:11">
      <c r="A394" s="90">
        <v>124751640007</v>
      </c>
      <c r="B394" s="1" t="s">
        <v>8</v>
      </c>
      <c r="C394" s="43" t="s">
        <v>1829</v>
      </c>
      <c r="D394" s="1" t="s">
        <v>1780</v>
      </c>
      <c r="E394" s="43" t="s">
        <v>1829</v>
      </c>
      <c r="F394" s="37" t="s">
        <v>1782</v>
      </c>
      <c r="G394" s="44">
        <v>45400</v>
      </c>
      <c r="H394" s="44">
        <v>272.39999999999998</v>
      </c>
      <c r="K394" s="4" t="e">
        <f>VLOOKUP(A394,Detallado!$C$5:$H$1570,6,FALSE)</f>
        <v>#N/A</v>
      </c>
    </row>
    <row r="395" spans="1:11">
      <c r="A395" s="90">
        <v>124749410821</v>
      </c>
      <c r="B395" s="1" t="s">
        <v>8</v>
      </c>
      <c r="C395" s="43" t="s">
        <v>1829</v>
      </c>
      <c r="D395" s="1" t="s">
        <v>1780</v>
      </c>
      <c r="E395" s="43" t="s">
        <v>1829</v>
      </c>
      <c r="F395" s="37" t="s">
        <v>1782</v>
      </c>
      <c r="G395" s="44">
        <v>8600</v>
      </c>
      <c r="H395" s="44">
        <v>51.6</v>
      </c>
      <c r="K395" s="4" t="e">
        <f>VLOOKUP(A395,Detallado!$C$5:$H$1570,6,FALSE)</f>
        <v>#N/A</v>
      </c>
    </row>
    <row r="396" spans="1:11">
      <c r="A396" s="90">
        <v>124677107387</v>
      </c>
      <c r="B396" s="1" t="s">
        <v>8</v>
      </c>
      <c r="C396" s="43" t="s">
        <v>1829</v>
      </c>
      <c r="D396" s="1" t="s">
        <v>1780</v>
      </c>
      <c r="E396" s="43" t="s">
        <v>1829</v>
      </c>
      <c r="F396" s="37" t="s">
        <v>1782</v>
      </c>
      <c r="G396" s="44">
        <v>22100</v>
      </c>
      <c r="H396" s="44">
        <v>132.6</v>
      </c>
      <c r="K396" s="4" t="e">
        <f>VLOOKUP(A396,Detallado!$C$5:$H$1570,6,FALSE)</f>
        <v>#N/A</v>
      </c>
    </row>
    <row r="397" spans="1:11">
      <c r="A397" s="90">
        <v>124677103773</v>
      </c>
      <c r="B397" s="1" t="s">
        <v>8</v>
      </c>
      <c r="C397" s="43" t="s">
        <v>1829</v>
      </c>
      <c r="D397" s="1" t="s">
        <v>1780</v>
      </c>
      <c r="E397" s="43" t="s">
        <v>1829</v>
      </c>
      <c r="F397" s="37" t="s">
        <v>1782</v>
      </c>
      <c r="G397" s="44">
        <v>7200</v>
      </c>
      <c r="H397" s="44">
        <v>43.2</v>
      </c>
      <c r="K397" s="4" t="e">
        <f>VLOOKUP(A397,Detallado!$C$5:$H$1570,6,FALSE)</f>
        <v>#N/A</v>
      </c>
    </row>
    <row r="398" spans="1:11">
      <c r="A398" s="90">
        <v>124677077767</v>
      </c>
      <c r="B398" s="1" t="s">
        <v>1790</v>
      </c>
      <c r="C398" s="43" t="s">
        <v>1829</v>
      </c>
      <c r="D398" s="1" t="s">
        <v>1780</v>
      </c>
      <c r="E398" s="43" t="s">
        <v>1829</v>
      </c>
      <c r="F398" s="37" t="s">
        <v>1782</v>
      </c>
      <c r="G398" s="44">
        <v>12800</v>
      </c>
      <c r="H398" s="44">
        <v>76.8</v>
      </c>
      <c r="K398" s="4" t="e">
        <f>VLOOKUP(A398,Detallado!$C$5:$H$1570,6,FALSE)</f>
        <v>#N/A</v>
      </c>
    </row>
    <row r="399" spans="1:11">
      <c r="A399" s="90">
        <v>124677058353</v>
      </c>
      <c r="B399" s="1" t="s">
        <v>1790</v>
      </c>
      <c r="C399" s="43" t="s">
        <v>1829</v>
      </c>
      <c r="D399" s="1" t="s">
        <v>1780</v>
      </c>
      <c r="E399" s="43" t="s">
        <v>1829</v>
      </c>
      <c r="F399" s="37" t="s">
        <v>1782</v>
      </c>
      <c r="G399" s="44">
        <v>47500</v>
      </c>
      <c r="H399" s="44">
        <v>285</v>
      </c>
      <c r="K399" s="4" t="e">
        <f>VLOOKUP(A399,Detallado!$C$5:$H$1570,6,FALSE)</f>
        <v>#N/A</v>
      </c>
    </row>
    <row r="400" spans="1:11">
      <c r="A400" s="90">
        <v>124676648481</v>
      </c>
      <c r="B400" s="1" t="s">
        <v>1790</v>
      </c>
      <c r="C400" s="43" t="s">
        <v>1829</v>
      </c>
      <c r="D400" s="1" t="s">
        <v>1780</v>
      </c>
      <c r="E400" s="43" t="s">
        <v>1829</v>
      </c>
      <c r="F400" s="37" t="s">
        <v>1782</v>
      </c>
      <c r="G400" s="44">
        <v>64500</v>
      </c>
      <c r="H400" s="44">
        <v>387</v>
      </c>
      <c r="K400" s="4" t="e">
        <f>VLOOKUP(A400,Detallado!$C$5:$H$1570,6,FALSE)</f>
        <v>#N/A</v>
      </c>
    </row>
    <row r="401" spans="1:11">
      <c r="A401" s="90">
        <v>124675934201</v>
      </c>
      <c r="B401" s="1" t="s">
        <v>8</v>
      </c>
      <c r="C401" s="43" t="s">
        <v>1829</v>
      </c>
      <c r="D401" s="1" t="s">
        <v>1780</v>
      </c>
      <c r="E401" s="43" t="s">
        <v>1829</v>
      </c>
      <c r="F401" s="37" t="s">
        <v>1782</v>
      </c>
      <c r="G401" s="44">
        <v>9200</v>
      </c>
      <c r="H401" s="44">
        <v>55.2</v>
      </c>
      <c r="K401" s="4" t="e">
        <f>VLOOKUP(A401,Detallado!$C$5:$H$1570,6,FALSE)</f>
        <v>#N/A</v>
      </c>
    </row>
    <row r="402" spans="1:11">
      <c r="A402" s="90">
        <v>124675646391</v>
      </c>
      <c r="B402" s="1" t="s">
        <v>8</v>
      </c>
      <c r="C402" s="43" t="s">
        <v>1829</v>
      </c>
      <c r="D402" s="1" t="s">
        <v>1780</v>
      </c>
      <c r="E402" s="43" t="s">
        <v>1829</v>
      </c>
      <c r="F402" s="37" t="s">
        <v>1782</v>
      </c>
      <c r="G402" s="44">
        <v>5000</v>
      </c>
      <c r="H402" s="44">
        <v>30</v>
      </c>
      <c r="K402" s="4" t="e">
        <f>VLOOKUP(A402,Detallado!$C$5:$H$1570,6,FALSE)</f>
        <v>#N/A</v>
      </c>
    </row>
    <row r="403" spans="1:11">
      <c r="A403" s="90">
        <v>124675558175</v>
      </c>
      <c r="B403" s="1" t="s">
        <v>8</v>
      </c>
      <c r="C403" s="43" t="s">
        <v>1829</v>
      </c>
      <c r="D403" s="1" t="s">
        <v>1780</v>
      </c>
      <c r="E403" s="43" t="s">
        <v>1829</v>
      </c>
      <c r="F403" s="37" t="s">
        <v>1782</v>
      </c>
      <c r="G403" s="44">
        <v>25300</v>
      </c>
      <c r="H403" s="44">
        <v>151.80000000000001</v>
      </c>
      <c r="K403" s="4" t="e">
        <f>VLOOKUP(A403,Detallado!$C$5:$H$1570,6,FALSE)</f>
        <v>#N/A</v>
      </c>
    </row>
    <row r="404" spans="1:11">
      <c r="A404" s="90">
        <v>124675042795</v>
      </c>
      <c r="B404" s="1" t="s">
        <v>8</v>
      </c>
      <c r="C404" s="43" t="s">
        <v>1829</v>
      </c>
      <c r="D404" s="1" t="s">
        <v>1780</v>
      </c>
      <c r="E404" s="43" t="s">
        <v>1829</v>
      </c>
      <c r="F404" s="37" t="s">
        <v>1782</v>
      </c>
      <c r="G404" s="44">
        <v>49900</v>
      </c>
      <c r="H404" s="44">
        <v>299.39999999999998</v>
      </c>
      <c r="K404" s="4" t="e">
        <f>VLOOKUP(A404,Detallado!$C$5:$H$1570,6,FALSE)</f>
        <v>#N/A</v>
      </c>
    </row>
    <row r="405" spans="1:11">
      <c r="A405" s="90">
        <v>124675009187</v>
      </c>
      <c r="B405" s="1" t="s">
        <v>8</v>
      </c>
      <c r="C405" s="43" t="s">
        <v>1829</v>
      </c>
      <c r="D405" s="1" t="s">
        <v>1780</v>
      </c>
      <c r="E405" s="43" t="s">
        <v>1829</v>
      </c>
      <c r="F405" s="37" t="s">
        <v>1782</v>
      </c>
      <c r="G405" s="44">
        <v>18400</v>
      </c>
      <c r="H405" s="44">
        <v>110.4</v>
      </c>
      <c r="K405" s="4" t="e">
        <f>VLOOKUP(A405,Detallado!$C$5:$H$1570,6,FALSE)</f>
        <v>#N/A</v>
      </c>
    </row>
    <row r="406" spans="1:11">
      <c r="A406" s="90">
        <v>124674256535</v>
      </c>
      <c r="B406" s="1" t="s">
        <v>8</v>
      </c>
      <c r="C406" s="43" t="s">
        <v>1829</v>
      </c>
      <c r="D406" s="1" t="s">
        <v>1780</v>
      </c>
      <c r="E406" s="43" t="s">
        <v>1829</v>
      </c>
      <c r="F406" s="37" t="s">
        <v>1782</v>
      </c>
      <c r="G406" s="44">
        <v>5000</v>
      </c>
      <c r="H406" s="44">
        <v>30</v>
      </c>
      <c r="K406" s="4" t="e">
        <f>VLOOKUP(A406,Detallado!$C$5:$H$1570,6,FALSE)</f>
        <v>#N/A</v>
      </c>
    </row>
    <row r="407" spans="1:11">
      <c r="A407" s="90">
        <v>124673995833</v>
      </c>
      <c r="B407" s="1" t="s">
        <v>8</v>
      </c>
      <c r="C407" s="43" t="s">
        <v>1829</v>
      </c>
      <c r="D407" s="1" t="s">
        <v>1780</v>
      </c>
      <c r="E407" s="43" t="s">
        <v>1829</v>
      </c>
      <c r="F407" s="37" t="s">
        <v>1782</v>
      </c>
      <c r="G407" s="44">
        <v>25700</v>
      </c>
      <c r="H407" s="44">
        <v>154.19999999999999</v>
      </c>
      <c r="K407" s="4" t="e">
        <f>VLOOKUP(A407,Detallado!$C$5:$H$1570,6,FALSE)</f>
        <v>#N/A</v>
      </c>
    </row>
    <row r="408" spans="1:11">
      <c r="A408" s="90">
        <v>124673905673</v>
      </c>
      <c r="B408" s="1" t="s">
        <v>8</v>
      </c>
      <c r="C408" s="43" t="s">
        <v>1829</v>
      </c>
      <c r="D408" s="1" t="s">
        <v>1780</v>
      </c>
      <c r="E408" s="43" t="s">
        <v>1829</v>
      </c>
      <c r="F408" s="37" t="s">
        <v>1782</v>
      </c>
      <c r="G408" s="44">
        <v>5000</v>
      </c>
      <c r="H408" s="44">
        <v>30</v>
      </c>
      <c r="K408" s="4" t="e">
        <f>VLOOKUP(A408,Detallado!$C$5:$H$1570,6,FALSE)</f>
        <v>#N/A</v>
      </c>
    </row>
    <row r="409" spans="1:11">
      <c r="A409" s="90">
        <v>124673710401</v>
      </c>
      <c r="B409" s="1" t="s">
        <v>1790</v>
      </c>
      <c r="C409" s="43" t="s">
        <v>1829</v>
      </c>
      <c r="D409" s="1" t="s">
        <v>1780</v>
      </c>
      <c r="E409" s="43" t="s">
        <v>1829</v>
      </c>
      <c r="F409" s="37" t="s">
        <v>1782</v>
      </c>
      <c r="G409" s="44">
        <v>33800</v>
      </c>
      <c r="H409" s="44">
        <v>202.8</v>
      </c>
      <c r="K409" s="4" t="e">
        <f>VLOOKUP(A409,Detallado!$C$5:$H$1570,6,FALSE)</f>
        <v>#N/A</v>
      </c>
    </row>
    <row r="410" spans="1:11">
      <c r="A410" s="90">
        <v>124672793343</v>
      </c>
      <c r="B410" s="1" t="s">
        <v>1834</v>
      </c>
      <c r="C410" s="43" t="s">
        <v>1829</v>
      </c>
      <c r="D410" s="1" t="s">
        <v>1780</v>
      </c>
      <c r="E410" s="43" t="s">
        <v>1829</v>
      </c>
      <c r="F410" s="37" t="s">
        <v>1782</v>
      </c>
      <c r="G410" s="44">
        <v>285</v>
      </c>
      <c r="H410" s="44">
        <v>1.71</v>
      </c>
      <c r="K410" s="4" t="e">
        <f>VLOOKUP(A410,Detallado!$C$5:$H$1570,6,FALSE)</f>
        <v>#N/A</v>
      </c>
    </row>
    <row r="411" spans="1:11">
      <c r="A411" s="90">
        <v>124767429929</v>
      </c>
      <c r="B411" s="1" t="s">
        <v>8</v>
      </c>
      <c r="C411" s="43" t="s">
        <v>1829</v>
      </c>
      <c r="D411" s="1" t="s">
        <v>1780</v>
      </c>
      <c r="E411" s="43" t="s">
        <v>1837</v>
      </c>
      <c r="F411" s="37" t="s">
        <v>1782</v>
      </c>
      <c r="G411" s="44">
        <v>71100</v>
      </c>
      <c r="H411" s="44">
        <v>426.6</v>
      </c>
      <c r="K411" s="4" t="e">
        <f>VLOOKUP(A411,Detallado!$C$5:$H$1570,6,FALSE)</f>
        <v>#N/A</v>
      </c>
    </row>
    <row r="412" spans="1:11">
      <c r="A412" s="90">
        <v>124767413713</v>
      </c>
      <c r="B412" s="1" t="s">
        <v>8</v>
      </c>
      <c r="C412" s="43" t="s">
        <v>1829</v>
      </c>
      <c r="D412" s="1" t="s">
        <v>1780</v>
      </c>
      <c r="E412" s="43" t="s">
        <v>1837</v>
      </c>
      <c r="F412" s="37" t="s">
        <v>1782</v>
      </c>
      <c r="G412" s="44">
        <v>10000</v>
      </c>
      <c r="H412" s="44">
        <v>60</v>
      </c>
      <c r="K412" s="4" t="e">
        <f>VLOOKUP(A412,Detallado!$C$5:$H$1570,6,FALSE)</f>
        <v>#N/A</v>
      </c>
    </row>
    <row r="413" spans="1:11">
      <c r="A413" s="90">
        <v>124767314759</v>
      </c>
      <c r="B413" s="1" t="s">
        <v>8</v>
      </c>
      <c r="C413" s="43" t="s">
        <v>1829</v>
      </c>
      <c r="D413" s="1" t="s">
        <v>1780</v>
      </c>
      <c r="E413" s="43" t="s">
        <v>1837</v>
      </c>
      <c r="F413" s="37" t="s">
        <v>1782</v>
      </c>
      <c r="G413" s="44">
        <v>33700</v>
      </c>
      <c r="H413" s="44">
        <v>202.2</v>
      </c>
      <c r="K413" s="4" t="e">
        <f>VLOOKUP(A413,Detallado!$C$5:$H$1570,6,FALSE)</f>
        <v>#N/A</v>
      </c>
    </row>
    <row r="414" spans="1:11">
      <c r="A414" s="90">
        <v>124767259737</v>
      </c>
      <c r="B414" s="1" t="s">
        <v>1838</v>
      </c>
      <c r="C414" s="43" t="s">
        <v>1829</v>
      </c>
      <c r="D414" s="1" t="s">
        <v>1780</v>
      </c>
      <c r="E414" s="43" t="s">
        <v>1837</v>
      </c>
      <c r="F414" s="37" t="s">
        <v>1782</v>
      </c>
      <c r="G414" s="44">
        <v>3370</v>
      </c>
      <c r="H414" s="44">
        <v>20.22</v>
      </c>
      <c r="K414" s="4" t="e">
        <f>VLOOKUP(A414,Detallado!$C$5:$H$1570,6,FALSE)</f>
        <v>#N/A</v>
      </c>
    </row>
    <row r="415" spans="1:11">
      <c r="A415" s="90">
        <v>125315565192</v>
      </c>
      <c r="B415" s="1" t="s">
        <v>1840</v>
      </c>
      <c r="C415" s="43" t="s">
        <v>1837</v>
      </c>
      <c r="D415" s="1" t="s">
        <v>1780</v>
      </c>
      <c r="E415" s="43" t="s">
        <v>1837</v>
      </c>
      <c r="F415" s="37" t="s">
        <v>1782</v>
      </c>
      <c r="G415" s="44">
        <v>780</v>
      </c>
      <c r="H415" s="44">
        <v>4.68</v>
      </c>
      <c r="K415" s="4" t="e">
        <f>VLOOKUP(A415,Detallado!$C$5:$H$1570,6,FALSE)</f>
        <v>#N/A</v>
      </c>
    </row>
    <row r="416" spans="1:11">
      <c r="A416" s="90">
        <v>125315557302</v>
      </c>
      <c r="B416" s="1" t="s">
        <v>8</v>
      </c>
      <c r="C416" s="43" t="s">
        <v>1837</v>
      </c>
      <c r="D416" s="1" t="s">
        <v>1780</v>
      </c>
      <c r="E416" s="43" t="s">
        <v>1837</v>
      </c>
      <c r="F416" s="37" t="s">
        <v>1782</v>
      </c>
      <c r="G416" s="44">
        <v>7800</v>
      </c>
      <c r="H416" s="44">
        <v>46.8</v>
      </c>
      <c r="K416" s="4" t="e">
        <f>VLOOKUP(A416,Detallado!$C$5:$H$1570,6,FALSE)</f>
        <v>#N/A</v>
      </c>
    </row>
    <row r="417" spans="1:16">
      <c r="A417" s="90">
        <v>125314451784</v>
      </c>
      <c r="B417" s="1" t="s">
        <v>8</v>
      </c>
      <c r="C417" s="43" t="s">
        <v>1837</v>
      </c>
      <c r="D417" s="1" t="s">
        <v>1780</v>
      </c>
      <c r="E417" s="43" t="s">
        <v>1837</v>
      </c>
      <c r="F417" s="37" t="s">
        <v>1782</v>
      </c>
      <c r="G417" s="44">
        <v>14500</v>
      </c>
      <c r="H417" s="44">
        <v>87</v>
      </c>
      <c r="K417" s="4" t="e">
        <f>VLOOKUP(A417,Detallado!$C$5:$H$1570,6,FALSE)</f>
        <v>#N/A</v>
      </c>
    </row>
    <row r="418" spans="1:16">
      <c r="A418" s="90">
        <v>124768684947</v>
      </c>
      <c r="B418" s="1" t="s">
        <v>8</v>
      </c>
      <c r="C418" s="43" t="s">
        <v>1837</v>
      </c>
      <c r="D418" s="1" t="s">
        <v>1780</v>
      </c>
      <c r="E418" s="43" t="s">
        <v>1837</v>
      </c>
      <c r="F418" s="37" t="s">
        <v>1782</v>
      </c>
      <c r="G418" s="44">
        <v>19500</v>
      </c>
      <c r="H418" s="44">
        <v>117</v>
      </c>
      <c r="K418" s="4" t="e">
        <f>VLOOKUP(A418,Detallado!$C$5:$H$1570,6,FALSE)</f>
        <v>#N/A</v>
      </c>
    </row>
    <row r="419" spans="1:16">
      <c r="A419" s="101" t="s">
        <v>1841</v>
      </c>
      <c r="B419" s="59" t="s">
        <v>8</v>
      </c>
      <c r="C419" s="60" t="s">
        <v>1837</v>
      </c>
      <c r="D419" s="59" t="s">
        <v>1780</v>
      </c>
      <c r="E419" s="60" t="s">
        <v>1837</v>
      </c>
      <c r="F419" s="61" t="s">
        <v>1782</v>
      </c>
      <c r="G419" s="62">
        <v>89730</v>
      </c>
      <c r="H419" s="74">
        <v>538.38</v>
      </c>
      <c r="I419" s="59"/>
      <c r="J419" s="59"/>
      <c r="K419" s="27">
        <f>-H419</f>
        <v>-538.38</v>
      </c>
      <c r="M419" s="4">
        <v>-538.38000000000466</v>
      </c>
      <c r="N419" s="66">
        <f t="shared" ref="N419:N425" si="2">+K419-M419</f>
        <v>4.6611603465862572E-12</v>
      </c>
      <c r="O419" s="1" t="s">
        <v>466</v>
      </c>
      <c r="P419" s="1">
        <f t="shared" ref="P419:P425" si="3">+E419-O419</f>
        <v>0</v>
      </c>
    </row>
    <row r="420" spans="1:16">
      <c r="A420" s="90">
        <v>125391966586</v>
      </c>
      <c r="B420" s="1" t="s">
        <v>8</v>
      </c>
      <c r="C420" s="43" t="s">
        <v>1837</v>
      </c>
      <c r="D420" s="1" t="s">
        <v>1780</v>
      </c>
      <c r="E420" s="43" t="s">
        <v>1837</v>
      </c>
      <c r="F420" s="37" t="s">
        <v>1782</v>
      </c>
      <c r="G420" s="44">
        <v>95058.37</v>
      </c>
      <c r="H420" s="77">
        <v>570.35</v>
      </c>
      <c r="K420" s="27" t="e">
        <f>VLOOKUP(A420,Detallado!$C$5:$H$1570,6,FALSE)</f>
        <v>#N/A</v>
      </c>
      <c r="M420" s="4">
        <v>-566.94852882703708</v>
      </c>
      <c r="N420" s="66" t="e">
        <f t="shared" si="2"/>
        <v>#N/A</v>
      </c>
      <c r="O420" s="1" t="s">
        <v>466</v>
      </c>
      <c r="P420" s="1">
        <f t="shared" si="3"/>
        <v>0</v>
      </c>
    </row>
    <row r="421" spans="1:16">
      <c r="A421" s="90">
        <v>125385837094</v>
      </c>
      <c r="B421" s="1" t="s">
        <v>8</v>
      </c>
      <c r="C421" s="43" t="s">
        <v>1837</v>
      </c>
      <c r="D421" s="1" t="s">
        <v>1780</v>
      </c>
      <c r="E421" s="43" t="s">
        <v>1837</v>
      </c>
      <c r="F421" s="37" t="s">
        <v>1782</v>
      </c>
      <c r="G421" s="44">
        <v>261840.61</v>
      </c>
      <c r="H421" s="77">
        <v>1571.04</v>
      </c>
      <c r="K421" s="27" t="e">
        <f>VLOOKUP(A421,Detallado!$C$5:$H$1570,6,FALSE)</f>
        <v>#N/A</v>
      </c>
      <c r="M421" s="4">
        <v>-1561.6736182902532</v>
      </c>
      <c r="N421" s="66" t="e">
        <f t="shared" si="2"/>
        <v>#N/A</v>
      </c>
      <c r="O421" s="1" t="s">
        <v>466</v>
      </c>
      <c r="P421" s="1">
        <f t="shared" si="3"/>
        <v>0</v>
      </c>
    </row>
    <row r="422" spans="1:16">
      <c r="A422" s="90">
        <v>125360500974</v>
      </c>
      <c r="B422" s="1" t="s">
        <v>8</v>
      </c>
      <c r="C422" s="43" t="s">
        <v>1837</v>
      </c>
      <c r="D422" s="1" t="s">
        <v>1780</v>
      </c>
      <c r="E422" s="43" t="s">
        <v>1837</v>
      </c>
      <c r="F422" s="37" t="s">
        <v>1782</v>
      </c>
      <c r="G422" s="44">
        <v>270624.43</v>
      </c>
      <c r="H422" s="77">
        <v>1623.75</v>
      </c>
      <c r="K422" s="27" t="e">
        <f>VLOOKUP(A422,Detallado!$C$5:$H$1570,6,FALSE)</f>
        <v>#N/A</v>
      </c>
      <c r="M422" s="4">
        <v>-1614.0622067594668</v>
      </c>
      <c r="N422" s="66" t="e">
        <f t="shared" si="2"/>
        <v>#N/A</v>
      </c>
      <c r="O422" s="1" t="s">
        <v>466</v>
      </c>
      <c r="P422" s="1">
        <f t="shared" si="3"/>
        <v>0</v>
      </c>
    </row>
    <row r="423" spans="1:16">
      <c r="A423" s="101" t="s">
        <v>1842</v>
      </c>
      <c r="B423" s="59" t="s">
        <v>8</v>
      </c>
      <c r="C423" s="60" t="s">
        <v>1837</v>
      </c>
      <c r="D423" s="59" t="s">
        <v>1780</v>
      </c>
      <c r="E423" s="60" t="s">
        <v>1837</v>
      </c>
      <c r="F423" s="61" t="s">
        <v>1782</v>
      </c>
      <c r="G423" s="62">
        <v>986000</v>
      </c>
      <c r="H423" s="74">
        <v>5916</v>
      </c>
      <c r="I423" s="59"/>
      <c r="J423" s="59"/>
      <c r="K423" s="27">
        <f>-H423</f>
        <v>-5916</v>
      </c>
      <c r="M423" s="4">
        <v>-5916</v>
      </c>
      <c r="N423" s="66">
        <f t="shared" si="2"/>
        <v>0</v>
      </c>
      <c r="O423" s="1" t="s">
        <v>466</v>
      </c>
      <c r="P423" s="1">
        <f t="shared" si="3"/>
        <v>0</v>
      </c>
    </row>
    <row r="424" spans="1:16">
      <c r="A424" s="101" t="s">
        <v>1843</v>
      </c>
      <c r="B424" s="59" t="s">
        <v>8</v>
      </c>
      <c r="C424" s="60" t="s">
        <v>1837</v>
      </c>
      <c r="D424" s="59" t="s">
        <v>1780</v>
      </c>
      <c r="E424" s="60" t="s">
        <v>1837</v>
      </c>
      <c r="F424" s="61" t="s">
        <v>1782</v>
      </c>
      <c r="G424" s="62">
        <v>1850400</v>
      </c>
      <c r="H424" s="74">
        <v>11102.4</v>
      </c>
      <c r="I424" s="59"/>
      <c r="J424" s="59"/>
      <c r="K424" s="27">
        <f>-H424</f>
        <v>-11102.4</v>
      </c>
      <c r="M424" s="4">
        <v>-11102.399999999907</v>
      </c>
      <c r="N424" s="66">
        <f t="shared" si="2"/>
        <v>-9.276845958083868E-11</v>
      </c>
      <c r="O424" s="1" t="s">
        <v>466</v>
      </c>
      <c r="P424" s="1">
        <f t="shared" si="3"/>
        <v>0</v>
      </c>
    </row>
    <row r="425" spans="1:16">
      <c r="A425" s="90">
        <v>125490840846</v>
      </c>
      <c r="B425" s="1" t="s">
        <v>8</v>
      </c>
      <c r="C425" s="43" t="s">
        <v>1844</v>
      </c>
      <c r="D425" s="1" t="s">
        <v>1780</v>
      </c>
      <c r="E425" s="43" t="s">
        <v>1844</v>
      </c>
      <c r="F425" s="37" t="s">
        <v>1782</v>
      </c>
      <c r="G425" s="44">
        <v>155963.28</v>
      </c>
      <c r="H425" s="77">
        <v>935.78</v>
      </c>
      <c r="K425" s="27" t="e">
        <f>VLOOKUP(A425,Detallado!$C$5:$H$1570,6,FALSE)</f>
        <v>#N/A</v>
      </c>
      <c r="M425" s="4">
        <v>-930.19848906560219</v>
      </c>
      <c r="N425" s="66" t="e">
        <f t="shared" si="2"/>
        <v>#N/A</v>
      </c>
      <c r="O425" s="1" t="s">
        <v>485</v>
      </c>
      <c r="P425" s="1">
        <f t="shared" si="3"/>
        <v>0</v>
      </c>
    </row>
    <row r="426" spans="1:16">
      <c r="A426" s="90">
        <v>125730284306</v>
      </c>
      <c r="B426" s="1" t="s">
        <v>8</v>
      </c>
      <c r="C426" s="43" t="s">
        <v>1845</v>
      </c>
      <c r="D426" s="1" t="s">
        <v>1780</v>
      </c>
      <c r="E426" s="43" t="s">
        <v>1845</v>
      </c>
      <c r="F426" s="37" t="s">
        <v>1782</v>
      </c>
      <c r="G426" s="44">
        <v>51897</v>
      </c>
      <c r="H426" s="44">
        <v>311.38</v>
      </c>
      <c r="K426" s="4" t="e">
        <f>VLOOKUP(A426,Detallado!$C$5:$H$1570,6,FALSE)</f>
        <v>#N/A</v>
      </c>
    </row>
    <row r="427" spans="1:16">
      <c r="A427" s="90">
        <v>125729858142</v>
      </c>
      <c r="B427" s="1" t="s">
        <v>8</v>
      </c>
      <c r="C427" s="43" t="s">
        <v>1845</v>
      </c>
      <c r="D427" s="1" t="s">
        <v>1780</v>
      </c>
      <c r="E427" s="43" t="s">
        <v>1845</v>
      </c>
      <c r="F427" s="37" t="s">
        <v>1782</v>
      </c>
      <c r="G427" s="44">
        <v>41700</v>
      </c>
      <c r="H427" s="44">
        <v>250.2</v>
      </c>
      <c r="K427" s="4" t="e">
        <f>VLOOKUP(A427,Detallado!$C$5:$H$1570,6,FALSE)</f>
        <v>#N/A</v>
      </c>
    </row>
    <row r="428" spans="1:16">
      <c r="A428" s="90">
        <v>125729220164</v>
      </c>
      <c r="B428" s="1" t="s">
        <v>8</v>
      </c>
      <c r="C428" s="43" t="s">
        <v>1845</v>
      </c>
      <c r="D428" s="1" t="s">
        <v>1780</v>
      </c>
      <c r="E428" s="43" t="s">
        <v>1845</v>
      </c>
      <c r="F428" s="37" t="s">
        <v>1782</v>
      </c>
      <c r="G428" s="44">
        <v>28300</v>
      </c>
      <c r="H428" s="44">
        <v>169.8</v>
      </c>
      <c r="K428" s="4" t="e">
        <f>VLOOKUP(A428,Detallado!$C$5:$H$1570,6,FALSE)</f>
        <v>#N/A</v>
      </c>
    </row>
    <row r="429" spans="1:16">
      <c r="A429" s="90">
        <v>125729208924</v>
      </c>
      <c r="B429" s="1" t="s">
        <v>1790</v>
      </c>
      <c r="C429" s="43" t="s">
        <v>1845</v>
      </c>
      <c r="D429" s="1" t="s">
        <v>1780</v>
      </c>
      <c r="E429" s="43" t="s">
        <v>1845</v>
      </c>
      <c r="F429" s="37" t="s">
        <v>1782</v>
      </c>
      <c r="G429" s="44">
        <v>45300</v>
      </c>
      <c r="H429" s="44">
        <v>271.8</v>
      </c>
      <c r="K429" s="4" t="e">
        <f>VLOOKUP(A429,Detallado!$C$5:$H$1570,6,FALSE)</f>
        <v>#N/A</v>
      </c>
    </row>
    <row r="430" spans="1:16">
      <c r="A430" s="90">
        <v>125729182866</v>
      </c>
      <c r="B430" s="1" t="s">
        <v>1851</v>
      </c>
      <c r="C430" s="43" t="s">
        <v>1845</v>
      </c>
      <c r="D430" s="1" t="s">
        <v>1780</v>
      </c>
      <c r="E430" s="43" t="s">
        <v>1845</v>
      </c>
      <c r="F430" s="37" t="s">
        <v>1782</v>
      </c>
      <c r="G430" s="44">
        <v>1415</v>
      </c>
      <c r="H430" s="44">
        <v>8.49</v>
      </c>
      <c r="K430" s="4" t="e">
        <f>VLOOKUP(A430,Detallado!$C$5:$H$1570,6,FALSE)</f>
        <v>#N/A</v>
      </c>
    </row>
    <row r="431" spans="1:16">
      <c r="A431" s="90">
        <v>125728703810</v>
      </c>
      <c r="B431" s="1" t="s">
        <v>8</v>
      </c>
      <c r="C431" s="43" t="s">
        <v>1845</v>
      </c>
      <c r="D431" s="1" t="s">
        <v>1780</v>
      </c>
      <c r="E431" s="43" t="s">
        <v>1845</v>
      </c>
      <c r="F431" s="37" t="s">
        <v>1782</v>
      </c>
      <c r="G431" s="44">
        <v>39996</v>
      </c>
      <c r="H431" s="44">
        <v>239.98</v>
      </c>
      <c r="K431" s="4" t="e">
        <f>VLOOKUP(A431,Detallado!$C$5:$H$1570,6,FALSE)</f>
        <v>#N/A</v>
      </c>
    </row>
    <row r="432" spans="1:16">
      <c r="A432" s="90">
        <v>125728255084</v>
      </c>
      <c r="B432" s="1" t="s">
        <v>1850</v>
      </c>
      <c r="C432" s="43" t="s">
        <v>1845</v>
      </c>
      <c r="D432" s="1" t="s">
        <v>1780</v>
      </c>
      <c r="E432" s="43" t="s">
        <v>1845</v>
      </c>
      <c r="F432" s="37" t="s">
        <v>1782</v>
      </c>
      <c r="G432" s="44">
        <v>2044</v>
      </c>
      <c r="H432" s="44">
        <v>12.26</v>
      </c>
      <c r="K432" s="4" t="e">
        <f>VLOOKUP(A432,Detallado!$C$5:$H$1570,6,FALSE)</f>
        <v>#N/A</v>
      </c>
    </row>
    <row r="433" spans="1:11">
      <c r="A433" s="90">
        <v>125728223328</v>
      </c>
      <c r="B433" s="1" t="s">
        <v>8</v>
      </c>
      <c r="C433" s="43" t="s">
        <v>1845</v>
      </c>
      <c r="D433" s="1" t="s">
        <v>1780</v>
      </c>
      <c r="E433" s="43" t="s">
        <v>1845</v>
      </c>
      <c r="F433" s="37" t="s">
        <v>1782</v>
      </c>
      <c r="G433" s="44">
        <v>40897</v>
      </c>
      <c r="H433" s="44">
        <v>245.38</v>
      </c>
      <c r="K433" s="4" t="e">
        <f>VLOOKUP(A433,Detallado!$C$5:$H$1570,6,FALSE)</f>
        <v>#N/A</v>
      </c>
    </row>
    <row r="434" spans="1:11">
      <c r="A434" s="90">
        <v>125728164766</v>
      </c>
      <c r="B434" s="1" t="s">
        <v>8</v>
      </c>
      <c r="C434" s="43" t="s">
        <v>1845</v>
      </c>
      <c r="D434" s="1" t="s">
        <v>1780</v>
      </c>
      <c r="E434" s="43" t="s">
        <v>1845</v>
      </c>
      <c r="F434" s="37" t="s">
        <v>1782</v>
      </c>
      <c r="G434" s="44">
        <v>19998</v>
      </c>
      <c r="H434" s="44">
        <v>119.99</v>
      </c>
      <c r="K434" s="4" t="e">
        <f>VLOOKUP(A434,Detallado!$C$5:$H$1570,6,FALSE)</f>
        <v>#N/A</v>
      </c>
    </row>
    <row r="435" spans="1:11">
      <c r="A435" s="90">
        <v>125728029628</v>
      </c>
      <c r="B435" s="1" t="s">
        <v>8</v>
      </c>
      <c r="C435" s="43" t="s">
        <v>1845</v>
      </c>
      <c r="D435" s="1" t="s">
        <v>1780</v>
      </c>
      <c r="E435" s="43" t="s">
        <v>1845</v>
      </c>
      <c r="F435" s="37" t="s">
        <v>1782</v>
      </c>
      <c r="G435" s="44">
        <v>36799</v>
      </c>
      <c r="H435" s="44">
        <v>220.79</v>
      </c>
      <c r="K435" s="4" t="e">
        <f>VLOOKUP(A435,Detallado!$C$5:$H$1570,6,FALSE)</f>
        <v>#N/A</v>
      </c>
    </row>
    <row r="436" spans="1:11">
      <c r="A436" s="90">
        <v>125727987474</v>
      </c>
      <c r="B436" s="1" t="s">
        <v>8</v>
      </c>
      <c r="C436" s="43" t="s">
        <v>1845</v>
      </c>
      <c r="D436" s="1" t="s">
        <v>1780</v>
      </c>
      <c r="E436" s="43" t="s">
        <v>1845</v>
      </c>
      <c r="F436" s="37" t="s">
        <v>1782</v>
      </c>
      <c r="G436" s="44">
        <v>1900</v>
      </c>
      <c r="H436" s="44">
        <v>11.4</v>
      </c>
      <c r="K436" s="4" t="e">
        <f>VLOOKUP(A436,Detallado!$C$5:$H$1570,6,FALSE)</f>
        <v>#N/A</v>
      </c>
    </row>
    <row r="437" spans="1:11">
      <c r="A437" s="90">
        <v>125726680184</v>
      </c>
      <c r="B437" s="1" t="s">
        <v>8</v>
      </c>
      <c r="C437" s="43" t="s">
        <v>1845</v>
      </c>
      <c r="D437" s="1" t="s">
        <v>1780</v>
      </c>
      <c r="E437" s="43" t="s">
        <v>1845</v>
      </c>
      <c r="F437" s="37" t="s">
        <v>1782</v>
      </c>
      <c r="G437" s="44">
        <v>28898</v>
      </c>
      <c r="H437" s="44">
        <v>173.39</v>
      </c>
      <c r="K437" s="4" t="e">
        <f>VLOOKUP(A437,Detallado!$C$5:$H$1570,6,FALSE)</f>
        <v>#N/A</v>
      </c>
    </row>
    <row r="438" spans="1:11">
      <c r="A438" s="90">
        <v>125726480542</v>
      </c>
      <c r="B438" s="1" t="s">
        <v>1790</v>
      </c>
      <c r="C438" s="43" t="s">
        <v>1845</v>
      </c>
      <c r="D438" s="1" t="s">
        <v>1780</v>
      </c>
      <c r="E438" s="43" t="s">
        <v>1845</v>
      </c>
      <c r="F438" s="37" t="s">
        <v>1782</v>
      </c>
      <c r="G438" s="44">
        <v>4900</v>
      </c>
      <c r="H438" s="44">
        <v>29.4</v>
      </c>
      <c r="K438" s="4" t="e">
        <f>VLOOKUP(A438,Detallado!$C$5:$H$1570,6,FALSE)</f>
        <v>#N/A</v>
      </c>
    </row>
    <row r="439" spans="1:11">
      <c r="A439" s="90">
        <v>125723665590</v>
      </c>
      <c r="B439" s="1" t="s">
        <v>1790</v>
      </c>
      <c r="C439" s="43" t="s">
        <v>1845</v>
      </c>
      <c r="D439" s="1" t="s">
        <v>1780</v>
      </c>
      <c r="E439" s="43" t="s">
        <v>1845</v>
      </c>
      <c r="F439" s="37" t="s">
        <v>1782</v>
      </c>
      <c r="G439" s="44">
        <v>35100</v>
      </c>
      <c r="H439" s="44">
        <v>210.6</v>
      </c>
      <c r="K439" s="4" t="e">
        <f>VLOOKUP(A439,Detallado!$C$5:$H$1570,6,FALSE)</f>
        <v>#N/A</v>
      </c>
    </row>
    <row r="440" spans="1:11">
      <c r="A440" s="90">
        <v>125721391454</v>
      </c>
      <c r="B440" s="1" t="s">
        <v>8</v>
      </c>
      <c r="C440" s="43" t="s">
        <v>1845</v>
      </c>
      <c r="D440" s="1" t="s">
        <v>1780</v>
      </c>
      <c r="E440" s="43" t="s">
        <v>1845</v>
      </c>
      <c r="F440" s="37" t="s">
        <v>1782</v>
      </c>
      <c r="G440" s="44">
        <v>9800</v>
      </c>
      <c r="H440" s="44">
        <v>58.8</v>
      </c>
      <c r="K440" s="4" t="e">
        <f>VLOOKUP(A440,Detallado!$C$5:$H$1570,6,FALSE)</f>
        <v>#N/A</v>
      </c>
    </row>
    <row r="441" spans="1:11">
      <c r="A441" s="90">
        <v>125719555728</v>
      </c>
      <c r="B441" s="1" t="s">
        <v>8</v>
      </c>
      <c r="C441" s="43" t="s">
        <v>1845</v>
      </c>
      <c r="D441" s="1" t="s">
        <v>1780</v>
      </c>
      <c r="E441" s="43" t="s">
        <v>1845</v>
      </c>
      <c r="F441" s="37" t="s">
        <v>1782</v>
      </c>
      <c r="G441" s="44">
        <v>9999.99</v>
      </c>
      <c r="H441" s="44">
        <v>60</v>
      </c>
      <c r="K441" s="4" t="e">
        <f>VLOOKUP(A441,Detallado!$C$5:$H$1570,6,FALSE)</f>
        <v>#N/A</v>
      </c>
    </row>
    <row r="442" spans="1:11">
      <c r="A442" s="90">
        <v>125712931478</v>
      </c>
      <c r="B442" s="1" t="s">
        <v>8</v>
      </c>
      <c r="C442" s="43" t="s">
        <v>1845</v>
      </c>
      <c r="D442" s="1" t="s">
        <v>1780</v>
      </c>
      <c r="E442" s="43" t="s">
        <v>1845</v>
      </c>
      <c r="F442" s="37" t="s">
        <v>1782</v>
      </c>
      <c r="G442" s="44">
        <v>5300</v>
      </c>
      <c r="H442" s="44">
        <v>31.8</v>
      </c>
      <c r="K442" s="4" t="e">
        <f>VLOOKUP(A442,Detallado!$C$5:$H$1570,6,FALSE)</f>
        <v>#N/A</v>
      </c>
    </row>
    <row r="443" spans="1:11">
      <c r="A443" s="90">
        <v>125709845758</v>
      </c>
      <c r="B443" s="1" t="s">
        <v>8</v>
      </c>
      <c r="C443" s="43" t="s">
        <v>1845</v>
      </c>
      <c r="D443" s="1" t="s">
        <v>1780</v>
      </c>
      <c r="E443" s="43" t="s">
        <v>1845</v>
      </c>
      <c r="F443" s="37" t="s">
        <v>1782</v>
      </c>
      <c r="G443" s="44">
        <v>16400</v>
      </c>
      <c r="H443" s="44">
        <v>98.4</v>
      </c>
      <c r="K443" s="4" t="e">
        <f>VLOOKUP(A443,Detallado!$C$5:$H$1570,6,FALSE)</f>
        <v>#N/A</v>
      </c>
    </row>
    <row r="444" spans="1:11">
      <c r="A444" s="90">
        <v>125707492856</v>
      </c>
      <c r="B444" s="1" t="s">
        <v>8</v>
      </c>
      <c r="C444" s="43" t="s">
        <v>1845</v>
      </c>
      <c r="D444" s="1" t="s">
        <v>1780</v>
      </c>
      <c r="E444" s="43" t="s">
        <v>1845</v>
      </c>
      <c r="F444" s="37" t="s">
        <v>1782</v>
      </c>
      <c r="G444" s="44">
        <v>14400</v>
      </c>
      <c r="H444" s="44">
        <v>86.4</v>
      </c>
      <c r="K444" s="4" t="e">
        <f>VLOOKUP(A444,Detallado!$C$5:$H$1570,6,FALSE)</f>
        <v>#N/A</v>
      </c>
    </row>
    <row r="445" spans="1:11">
      <c r="A445" s="90">
        <v>125179482645</v>
      </c>
      <c r="B445" s="1" t="s">
        <v>8</v>
      </c>
      <c r="C445" s="43" t="s">
        <v>1845</v>
      </c>
      <c r="D445" s="1" t="s">
        <v>1780</v>
      </c>
      <c r="E445" s="43" t="s">
        <v>1845</v>
      </c>
      <c r="F445" s="37" t="s">
        <v>1782</v>
      </c>
      <c r="G445" s="44">
        <v>60700</v>
      </c>
      <c r="H445" s="44">
        <v>364.2</v>
      </c>
      <c r="K445" s="4" t="e">
        <f>VLOOKUP(A445,Detallado!$C$5:$H$1570,6,FALSE)</f>
        <v>#N/A</v>
      </c>
    </row>
    <row r="446" spans="1:11">
      <c r="A446" s="90">
        <v>125178836433</v>
      </c>
      <c r="B446" s="1" t="s">
        <v>8</v>
      </c>
      <c r="C446" s="43" t="s">
        <v>1845</v>
      </c>
      <c r="D446" s="1" t="s">
        <v>1780</v>
      </c>
      <c r="E446" s="43" t="s">
        <v>1845</v>
      </c>
      <c r="F446" s="37" t="s">
        <v>1782</v>
      </c>
      <c r="G446" s="44">
        <v>29799</v>
      </c>
      <c r="H446" s="44">
        <v>178.79</v>
      </c>
      <c r="K446" s="4" t="e">
        <f>VLOOKUP(A446,Detallado!$C$5:$H$1570,6,FALSE)</f>
        <v>#N/A</v>
      </c>
    </row>
    <row r="447" spans="1:11">
      <c r="A447" s="90">
        <v>125177806895</v>
      </c>
      <c r="B447" s="1" t="s">
        <v>8</v>
      </c>
      <c r="C447" s="43" t="s">
        <v>1845</v>
      </c>
      <c r="D447" s="1" t="s">
        <v>1780</v>
      </c>
      <c r="E447" s="43" t="s">
        <v>1845</v>
      </c>
      <c r="F447" s="37" t="s">
        <v>1782</v>
      </c>
      <c r="G447" s="44">
        <v>36700</v>
      </c>
      <c r="H447" s="44">
        <v>220.2</v>
      </c>
      <c r="K447" s="4" t="e">
        <f>VLOOKUP(A447,Detallado!$C$5:$H$1570,6,FALSE)</f>
        <v>#N/A</v>
      </c>
    </row>
    <row r="448" spans="1:11">
      <c r="A448" s="90">
        <v>125177663781</v>
      </c>
      <c r="B448" s="1" t="s">
        <v>1847</v>
      </c>
      <c r="C448" s="43" t="s">
        <v>1845</v>
      </c>
      <c r="D448" s="1" t="s">
        <v>1780</v>
      </c>
      <c r="E448" s="43" t="s">
        <v>1845</v>
      </c>
      <c r="F448" s="37" t="s">
        <v>1782</v>
      </c>
      <c r="G448" s="44">
        <v>1444</v>
      </c>
      <c r="H448" s="44">
        <v>8.66</v>
      </c>
      <c r="K448" s="4" t="e">
        <f>VLOOKUP(A448,Detallado!$C$5:$H$1570,6,FALSE)</f>
        <v>#N/A</v>
      </c>
    </row>
    <row r="449" spans="1:16">
      <c r="A449" s="90">
        <v>125174877007</v>
      </c>
      <c r="B449" s="1" t="s">
        <v>8</v>
      </c>
      <c r="C449" s="43" t="s">
        <v>1845</v>
      </c>
      <c r="D449" s="1" t="s">
        <v>1780</v>
      </c>
      <c r="E449" s="43" t="s">
        <v>1845</v>
      </c>
      <c r="F449" s="37" t="s">
        <v>1782</v>
      </c>
      <c r="G449" s="44">
        <v>51697</v>
      </c>
      <c r="H449" s="44">
        <v>310.18</v>
      </c>
      <c r="K449" s="4" t="e">
        <f>VLOOKUP(A449,Detallado!$C$5:$H$1570,6,FALSE)</f>
        <v>#N/A</v>
      </c>
    </row>
    <row r="450" spans="1:16">
      <c r="A450" s="90">
        <v>125174633141</v>
      </c>
      <c r="B450" s="1" t="s">
        <v>1848</v>
      </c>
      <c r="C450" s="43" t="s">
        <v>1845</v>
      </c>
      <c r="D450" s="1" t="s">
        <v>1780</v>
      </c>
      <c r="E450" s="43" t="s">
        <v>1845</v>
      </c>
      <c r="F450" s="37" t="s">
        <v>1782</v>
      </c>
      <c r="G450" s="44">
        <v>1470</v>
      </c>
      <c r="H450" s="44">
        <v>8.82</v>
      </c>
      <c r="K450" s="4" t="e">
        <f>VLOOKUP(A450,Detallado!$C$5:$H$1570,6,FALSE)</f>
        <v>#N/A</v>
      </c>
    </row>
    <row r="451" spans="1:16">
      <c r="A451" s="90">
        <v>125174559711</v>
      </c>
      <c r="B451" s="1" t="s">
        <v>8</v>
      </c>
      <c r="C451" s="43" t="s">
        <v>1845</v>
      </c>
      <c r="D451" s="1" t="s">
        <v>1780</v>
      </c>
      <c r="E451" s="43" t="s">
        <v>1845</v>
      </c>
      <c r="F451" s="37" t="s">
        <v>1782</v>
      </c>
      <c r="G451" s="44">
        <v>29400</v>
      </c>
      <c r="H451" s="44">
        <v>176.4</v>
      </c>
      <c r="K451" s="4" t="e">
        <f>VLOOKUP(A451,Detallado!$C$5:$H$1570,6,FALSE)</f>
        <v>#N/A</v>
      </c>
    </row>
    <row r="452" spans="1:16">
      <c r="A452" s="90">
        <v>125173149657</v>
      </c>
      <c r="B452" s="1" t="s">
        <v>8</v>
      </c>
      <c r="C452" s="43" t="s">
        <v>1845</v>
      </c>
      <c r="D452" s="1" t="s">
        <v>1780</v>
      </c>
      <c r="E452" s="43" t="s">
        <v>1845</v>
      </c>
      <c r="F452" s="37" t="s">
        <v>1782</v>
      </c>
      <c r="G452" s="44">
        <v>43299</v>
      </c>
      <c r="H452" s="44">
        <v>259.79000000000002</v>
      </c>
      <c r="K452" s="4" t="e">
        <f>VLOOKUP(A452,Detallado!$C$5:$H$1570,6,FALSE)</f>
        <v>#N/A</v>
      </c>
    </row>
    <row r="453" spans="1:16">
      <c r="A453" s="90">
        <v>125168194775</v>
      </c>
      <c r="B453" s="1" t="s">
        <v>8</v>
      </c>
      <c r="C453" s="43" t="s">
        <v>1845</v>
      </c>
      <c r="D453" s="1" t="s">
        <v>1780</v>
      </c>
      <c r="E453" s="43" t="s">
        <v>1845</v>
      </c>
      <c r="F453" s="37" t="s">
        <v>1782</v>
      </c>
      <c r="G453" s="44">
        <v>14800</v>
      </c>
      <c r="H453" s="44">
        <v>88.8</v>
      </c>
      <c r="K453" s="4" t="e">
        <f>VLOOKUP(A453,Detallado!$C$5:$H$1570,6,FALSE)</f>
        <v>#N/A</v>
      </c>
    </row>
    <row r="454" spans="1:16">
      <c r="A454" s="90">
        <v>125167691185</v>
      </c>
      <c r="B454" s="1" t="s">
        <v>1790</v>
      </c>
      <c r="C454" s="43" t="s">
        <v>1845</v>
      </c>
      <c r="D454" s="1" t="s">
        <v>1780</v>
      </c>
      <c r="E454" s="43" t="s">
        <v>1845</v>
      </c>
      <c r="F454" s="37" t="s">
        <v>1782</v>
      </c>
      <c r="G454" s="44">
        <v>15200</v>
      </c>
      <c r="H454" s="44">
        <v>91.2</v>
      </c>
      <c r="K454" s="4" t="e">
        <f>VLOOKUP(A454,Detallado!$C$5:$H$1570,6,FALSE)</f>
        <v>#N/A</v>
      </c>
    </row>
    <row r="455" spans="1:16">
      <c r="A455" s="90">
        <v>125164003625</v>
      </c>
      <c r="B455" s="1" t="s">
        <v>1846</v>
      </c>
      <c r="C455" s="43" t="s">
        <v>1845</v>
      </c>
      <c r="D455" s="1" t="s">
        <v>1780</v>
      </c>
      <c r="E455" s="43" t="s">
        <v>1845</v>
      </c>
      <c r="F455" s="37" t="s">
        <v>1782</v>
      </c>
      <c r="G455" s="44">
        <v>265</v>
      </c>
      <c r="H455" s="44">
        <v>1.59</v>
      </c>
      <c r="K455" s="4" t="e">
        <f>VLOOKUP(A455,Detallado!$C$5:$H$1570,6,FALSE)</f>
        <v>#N/A</v>
      </c>
    </row>
    <row r="456" spans="1:16">
      <c r="A456" s="90">
        <v>125161425019</v>
      </c>
      <c r="B456" s="1" t="s">
        <v>8</v>
      </c>
      <c r="C456" s="43" t="s">
        <v>1845</v>
      </c>
      <c r="D456" s="1" t="s">
        <v>1780</v>
      </c>
      <c r="E456" s="43" t="s">
        <v>1845</v>
      </c>
      <c r="F456" s="37" t="s">
        <v>1782</v>
      </c>
      <c r="G456" s="44">
        <v>17500</v>
      </c>
      <c r="H456" s="44">
        <v>105</v>
      </c>
      <c r="K456" s="4" t="e">
        <f>VLOOKUP(A456,Detallado!$C$5:$H$1570,6,FALSE)</f>
        <v>#N/A</v>
      </c>
    </row>
    <row r="457" spans="1:16">
      <c r="A457" s="90">
        <v>125156581215</v>
      </c>
      <c r="B457" s="1" t="s">
        <v>8</v>
      </c>
      <c r="C457" s="43" t="s">
        <v>1845</v>
      </c>
      <c r="D457" s="1" t="s">
        <v>1780</v>
      </c>
      <c r="E457" s="43" t="s">
        <v>1845</v>
      </c>
      <c r="F457" s="37" t="s">
        <v>1782</v>
      </c>
      <c r="G457" s="44">
        <v>8000</v>
      </c>
      <c r="H457" s="44">
        <v>48</v>
      </c>
      <c r="K457" s="4" t="e">
        <f>VLOOKUP(A457,Detallado!$C$5:$H$1570,6,FALSE)</f>
        <v>#N/A</v>
      </c>
    </row>
    <row r="458" spans="1:16">
      <c r="A458" s="90">
        <v>125152888873</v>
      </c>
      <c r="B458" s="1" t="s">
        <v>8</v>
      </c>
      <c r="C458" s="43" t="s">
        <v>1845</v>
      </c>
      <c r="D458" s="1" t="s">
        <v>1780</v>
      </c>
      <c r="E458" s="43" t="s">
        <v>1845</v>
      </c>
      <c r="F458" s="37" t="s">
        <v>1782</v>
      </c>
      <c r="G458" s="44">
        <v>7000</v>
      </c>
      <c r="H458" s="44">
        <v>42</v>
      </c>
      <c r="K458" s="4" t="e">
        <f>VLOOKUP(A458,Detallado!$C$5:$H$1570,6,FALSE)</f>
        <v>#N/A</v>
      </c>
    </row>
    <row r="459" spans="1:16">
      <c r="A459" s="90">
        <v>125720603672</v>
      </c>
      <c r="B459" s="1" t="s">
        <v>8</v>
      </c>
      <c r="C459" s="43" t="s">
        <v>1845</v>
      </c>
      <c r="D459" s="1" t="s">
        <v>1780</v>
      </c>
      <c r="E459" s="43" t="s">
        <v>1845</v>
      </c>
      <c r="F459" s="37" t="s">
        <v>1782</v>
      </c>
      <c r="G459" s="44">
        <v>112686.88</v>
      </c>
      <c r="H459" s="77">
        <v>676.12</v>
      </c>
      <c r="K459" s="27" t="e">
        <f>VLOOKUP(A459,Detallado!$C$5:$H$1570,6,FALSE)</f>
        <v>#N/A</v>
      </c>
      <c r="M459" s="4">
        <v>-672.08874751490657</v>
      </c>
      <c r="N459" s="66" t="e">
        <f>+K459-M459</f>
        <v>#N/A</v>
      </c>
      <c r="O459" s="1" t="s">
        <v>488</v>
      </c>
      <c r="P459" s="1">
        <f>+E459-O459</f>
        <v>0</v>
      </c>
    </row>
    <row r="460" spans="1:16">
      <c r="A460" s="90">
        <v>125128178537</v>
      </c>
      <c r="B460" s="1" t="s">
        <v>8</v>
      </c>
      <c r="C460" s="43" t="s">
        <v>1845</v>
      </c>
      <c r="D460" s="1" t="s">
        <v>1780</v>
      </c>
      <c r="E460" s="43" t="s">
        <v>1845</v>
      </c>
      <c r="F460" s="37" t="s">
        <v>1782</v>
      </c>
      <c r="G460" s="44">
        <v>289725.05</v>
      </c>
      <c r="H460" s="77">
        <v>1738.35</v>
      </c>
      <c r="K460" s="27" t="e">
        <f>VLOOKUP(A460,Detallado!$C$5:$H$1570,6,FALSE)</f>
        <v>#N/A</v>
      </c>
      <c r="M460" s="4">
        <v>-1727.9824055666104</v>
      </c>
      <c r="N460" s="66" t="e">
        <f>+K460-M460</f>
        <v>#N/A</v>
      </c>
      <c r="O460" s="1" t="s">
        <v>488</v>
      </c>
      <c r="P460" s="1">
        <f>+E460-O460</f>
        <v>0</v>
      </c>
    </row>
    <row r="461" spans="1:16">
      <c r="A461" s="90">
        <v>125732657942</v>
      </c>
      <c r="B461" s="1" t="s">
        <v>8</v>
      </c>
      <c r="C461" s="43" t="s">
        <v>1845</v>
      </c>
      <c r="D461" s="1" t="s">
        <v>1780</v>
      </c>
      <c r="E461" s="43" t="s">
        <v>1849</v>
      </c>
      <c r="F461" s="37" t="s">
        <v>1782</v>
      </c>
      <c r="G461" s="44">
        <v>62798</v>
      </c>
      <c r="H461" s="44">
        <v>376.79</v>
      </c>
      <c r="K461" s="4" t="e">
        <f>VLOOKUP(A461,Detallado!$C$5:$H$1570,6,FALSE)</f>
        <v>#N/A</v>
      </c>
    </row>
    <row r="462" spans="1:16">
      <c r="A462" s="90">
        <v>125732575486</v>
      </c>
      <c r="B462" s="1" t="s">
        <v>1790</v>
      </c>
      <c r="C462" s="43" t="s">
        <v>1845</v>
      </c>
      <c r="D462" s="1" t="s">
        <v>1780</v>
      </c>
      <c r="E462" s="43" t="s">
        <v>1849</v>
      </c>
      <c r="F462" s="37" t="s">
        <v>1782</v>
      </c>
      <c r="G462" s="44">
        <v>36798</v>
      </c>
      <c r="H462" s="44">
        <v>220.79</v>
      </c>
      <c r="K462" s="4" t="e">
        <f>VLOOKUP(A462,Detallado!$C$5:$H$1570,6,FALSE)</f>
        <v>#N/A</v>
      </c>
    </row>
    <row r="463" spans="1:16">
      <c r="A463" s="90">
        <v>125731690258</v>
      </c>
      <c r="B463" s="1" t="s">
        <v>8</v>
      </c>
      <c r="C463" s="43" t="s">
        <v>1845</v>
      </c>
      <c r="D463" s="1" t="s">
        <v>1780</v>
      </c>
      <c r="E463" s="43" t="s">
        <v>1849</v>
      </c>
      <c r="F463" s="37" t="s">
        <v>1782</v>
      </c>
      <c r="G463" s="44">
        <v>42297</v>
      </c>
      <c r="H463" s="44">
        <v>253.78</v>
      </c>
      <c r="K463" s="4" t="e">
        <f>VLOOKUP(A463,Detallado!$C$5:$H$1570,6,FALSE)</f>
        <v>#N/A</v>
      </c>
    </row>
    <row r="464" spans="1:16">
      <c r="A464" s="90">
        <v>125731139762</v>
      </c>
      <c r="B464" s="1" t="s">
        <v>1853</v>
      </c>
      <c r="C464" s="43" t="s">
        <v>1845</v>
      </c>
      <c r="D464" s="1" t="s">
        <v>1780</v>
      </c>
      <c r="E464" s="43" t="s">
        <v>1849</v>
      </c>
      <c r="F464" s="37" t="s">
        <v>1782</v>
      </c>
      <c r="G464" s="44">
        <v>6499</v>
      </c>
      <c r="H464" s="44">
        <v>38.99</v>
      </c>
      <c r="K464" s="4" t="e">
        <f>VLOOKUP(A464,Detallado!$C$5:$H$1570,6,FALSE)</f>
        <v>#N/A</v>
      </c>
    </row>
    <row r="465" spans="1:11">
      <c r="A465" s="90">
        <v>125730938612</v>
      </c>
      <c r="B465" s="1" t="s">
        <v>8</v>
      </c>
      <c r="C465" s="43" t="s">
        <v>1845</v>
      </c>
      <c r="D465" s="1" t="s">
        <v>1780</v>
      </c>
      <c r="E465" s="43" t="s">
        <v>1849</v>
      </c>
      <c r="F465" s="37" t="s">
        <v>1782</v>
      </c>
      <c r="G465" s="44">
        <v>92397</v>
      </c>
      <c r="H465" s="44">
        <v>554.38</v>
      </c>
      <c r="K465" s="4" t="e">
        <f>VLOOKUP(A465,Detallado!$C$5:$H$1570,6,FALSE)</f>
        <v>#N/A</v>
      </c>
    </row>
    <row r="466" spans="1:11">
      <c r="A466" s="90">
        <v>125730630344</v>
      </c>
      <c r="B466" s="1" t="s">
        <v>8</v>
      </c>
      <c r="C466" s="43" t="s">
        <v>1845</v>
      </c>
      <c r="D466" s="1" t="s">
        <v>1780</v>
      </c>
      <c r="E466" s="43" t="s">
        <v>1849</v>
      </c>
      <c r="F466" s="37" t="s">
        <v>1782</v>
      </c>
      <c r="G466" s="44">
        <v>17200</v>
      </c>
      <c r="H466" s="44">
        <v>103.2</v>
      </c>
      <c r="K466" s="4" t="e">
        <f>VLOOKUP(A466,Detallado!$C$5:$H$1570,6,FALSE)</f>
        <v>#N/A</v>
      </c>
    </row>
    <row r="467" spans="1:11">
      <c r="A467" s="90">
        <v>125182626663</v>
      </c>
      <c r="B467" s="1" t="s">
        <v>8</v>
      </c>
      <c r="C467" s="43" t="s">
        <v>1845</v>
      </c>
      <c r="D467" s="1" t="s">
        <v>1780</v>
      </c>
      <c r="E467" s="43" t="s">
        <v>1849</v>
      </c>
      <c r="F467" s="37" t="s">
        <v>1782</v>
      </c>
      <c r="G467" s="44">
        <v>34398</v>
      </c>
      <c r="H467" s="44">
        <v>206.39</v>
      </c>
      <c r="K467" s="4" t="e">
        <f>VLOOKUP(A467,Detallado!$C$5:$H$1570,6,FALSE)</f>
        <v>#N/A</v>
      </c>
    </row>
    <row r="468" spans="1:11">
      <c r="A468" s="90">
        <v>125182469271</v>
      </c>
      <c r="B468" s="1" t="s">
        <v>1790</v>
      </c>
      <c r="C468" s="43" t="s">
        <v>1845</v>
      </c>
      <c r="D468" s="1" t="s">
        <v>1780</v>
      </c>
      <c r="E468" s="43" t="s">
        <v>1849</v>
      </c>
      <c r="F468" s="37" t="s">
        <v>1782</v>
      </c>
      <c r="G468" s="44">
        <v>19998</v>
      </c>
      <c r="H468" s="44">
        <v>119.99</v>
      </c>
      <c r="K468" s="4" t="e">
        <f>VLOOKUP(A468,Detallado!$C$5:$H$1570,6,FALSE)</f>
        <v>#N/A</v>
      </c>
    </row>
    <row r="469" spans="1:11">
      <c r="A469" s="90">
        <v>125182282317</v>
      </c>
      <c r="B469" s="1" t="s">
        <v>8</v>
      </c>
      <c r="C469" s="43" t="s">
        <v>1845</v>
      </c>
      <c r="D469" s="1" t="s">
        <v>1780</v>
      </c>
      <c r="E469" s="43" t="s">
        <v>1849</v>
      </c>
      <c r="F469" s="37" t="s">
        <v>1782</v>
      </c>
      <c r="G469" s="44">
        <v>64995</v>
      </c>
      <c r="H469" s="44">
        <v>389.97</v>
      </c>
      <c r="K469" s="4" t="e">
        <f>VLOOKUP(A469,Detallado!$C$5:$H$1570,6,FALSE)</f>
        <v>#N/A</v>
      </c>
    </row>
    <row r="470" spans="1:11">
      <c r="A470" s="90">
        <v>125865630514</v>
      </c>
      <c r="B470" s="1" t="s">
        <v>8</v>
      </c>
      <c r="C470" s="43" t="s">
        <v>1849</v>
      </c>
      <c r="D470" s="1" t="s">
        <v>1780</v>
      </c>
      <c r="E470" s="43" t="s">
        <v>1849</v>
      </c>
      <c r="F470" s="37" t="s">
        <v>1782</v>
      </c>
      <c r="G470" s="44">
        <v>7000</v>
      </c>
      <c r="H470" s="44">
        <v>42</v>
      </c>
      <c r="K470" s="4" t="e">
        <f>VLOOKUP(A470,Detallado!$C$5:$H$1570,6,FALSE)</f>
        <v>#N/A</v>
      </c>
    </row>
    <row r="471" spans="1:11">
      <c r="A471" s="90">
        <v>125865477358</v>
      </c>
      <c r="B471" s="1" t="s">
        <v>8</v>
      </c>
      <c r="C471" s="43" t="s">
        <v>1849</v>
      </c>
      <c r="D471" s="1" t="s">
        <v>1780</v>
      </c>
      <c r="E471" s="43" t="s">
        <v>1849</v>
      </c>
      <c r="F471" s="37" t="s">
        <v>1782</v>
      </c>
      <c r="G471" s="44">
        <v>15600</v>
      </c>
      <c r="H471" s="44">
        <v>93.6</v>
      </c>
      <c r="K471" s="4" t="e">
        <f>VLOOKUP(A471,Detallado!$C$5:$H$1570,6,FALSE)</f>
        <v>#N/A</v>
      </c>
    </row>
    <row r="472" spans="1:11">
      <c r="A472" s="90">
        <v>125864911030</v>
      </c>
      <c r="B472" s="1" t="s">
        <v>8</v>
      </c>
      <c r="C472" s="43" t="s">
        <v>1849</v>
      </c>
      <c r="D472" s="1" t="s">
        <v>1780</v>
      </c>
      <c r="E472" s="43" t="s">
        <v>1849</v>
      </c>
      <c r="F472" s="37" t="s">
        <v>1782</v>
      </c>
      <c r="G472" s="44">
        <v>17900</v>
      </c>
      <c r="H472" s="44">
        <v>107.4</v>
      </c>
      <c r="K472" s="4" t="e">
        <f>VLOOKUP(A472,Detallado!$C$5:$H$1570,6,FALSE)</f>
        <v>#N/A</v>
      </c>
    </row>
    <row r="473" spans="1:11">
      <c r="A473" s="90">
        <v>125864705876</v>
      </c>
      <c r="B473" s="1" t="s">
        <v>1790</v>
      </c>
      <c r="C473" s="43" t="s">
        <v>1849</v>
      </c>
      <c r="D473" s="1" t="s">
        <v>1780</v>
      </c>
      <c r="E473" s="43" t="s">
        <v>1849</v>
      </c>
      <c r="F473" s="37" t="s">
        <v>1782</v>
      </c>
      <c r="G473" s="44">
        <v>8600</v>
      </c>
      <c r="H473" s="44">
        <v>51.6</v>
      </c>
      <c r="K473" s="4" t="e">
        <f>VLOOKUP(A473,Detallado!$C$5:$H$1570,6,FALSE)</f>
        <v>#N/A</v>
      </c>
    </row>
    <row r="474" spans="1:11">
      <c r="A474" s="90">
        <v>125864492262</v>
      </c>
      <c r="B474" s="1" t="s">
        <v>8</v>
      </c>
      <c r="C474" s="43" t="s">
        <v>1849</v>
      </c>
      <c r="D474" s="1" t="s">
        <v>1780</v>
      </c>
      <c r="E474" s="43" t="s">
        <v>1849</v>
      </c>
      <c r="F474" s="37" t="s">
        <v>1782</v>
      </c>
      <c r="G474" s="44">
        <v>14300</v>
      </c>
      <c r="H474" s="44">
        <v>85.8</v>
      </c>
      <c r="K474" s="4" t="e">
        <f>VLOOKUP(A474,Detallado!$C$5:$H$1570,6,FALSE)</f>
        <v>#N/A</v>
      </c>
    </row>
    <row r="475" spans="1:11">
      <c r="A475" s="90">
        <v>125863448486</v>
      </c>
      <c r="B475" s="1" t="s">
        <v>8</v>
      </c>
      <c r="C475" s="43" t="s">
        <v>1849</v>
      </c>
      <c r="D475" s="1" t="s">
        <v>1780</v>
      </c>
      <c r="E475" s="43" t="s">
        <v>1849</v>
      </c>
      <c r="F475" s="37" t="s">
        <v>1782</v>
      </c>
      <c r="G475" s="44">
        <v>24100</v>
      </c>
      <c r="H475" s="44">
        <v>144.6</v>
      </c>
      <c r="K475" s="4" t="e">
        <f>VLOOKUP(A475,Detallado!$C$5:$H$1570,6,FALSE)</f>
        <v>#N/A</v>
      </c>
    </row>
    <row r="476" spans="1:11">
      <c r="A476" s="90">
        <v>125862675902</v>
      </c>
      <c r="B476" s="1" t="s">
        <v>8</v>
      </c>
      <c r="C476" s="43" t="s">
        <v>1849</v>
      </c>
      <c r="D476" s="1" t="s">
        <v>1780</v>
      </c>
      <c r="E476" s="43" t="s">
        <v>1849</v>
      </c>
      <c r="F476" s="37" t="s">
        <v>1782</v>
      </c>
      <c r="G476" s="44">
        <v>14000</v>
      </c>
      <c r="H476" s="44">
        <v>84</v>
      </c>
      <c r="K476" s="4" t="e">
        <f>VLOOKUP(A476,Detallado!$C$5:$H$1570,6,FALSE)</f>
        <v>#N/A</v>
      </c>
    </row>
    <row r="477" spans="1:11">
      <c r="A477" s="90">
        <v>125862584570</v>
      </c>
      <c r="B477" s="1" t="s">
        <v>8</v>
      </c>
      <c r="C477" s="43" t="s">
        <v>1849</v>
      </c>
      <c r="D477" s="1" t="s">
        <v>1780</v>
      </c>
      <c r="E477" s="43" t="s">
        <v>1849</v>
      </c>
      <c r="F477" s="37" t="s">
        <v>1782</v>
      </c>
      <c r="G477" s="44">
        <v>83700</v>
      </c>
      <c r="H477" s="44">
        <v>502.2</v>
      </c>
      <c r="K477" s="4" t="e">
        <f>VLOOKUP(A477,Detallado!$C$5:$H$1570,6,FALSE)</f>
        <v>#N/A</v>
      </c>
    </row>
    <row r="478" spans="1:11">
      <c r="A478" s="90">
        <v>125860494178</v>
      </c>
      <c r="B478" s="1" t="s">
        <v>8</v>
      </c>
      <c r="C478" s="43" t="s">
        <v>1849</v>
      </c>
      <c r="D478" s="1" t="s">
        <v>1780</v>
      </c>
      <c r="E478" s="43" t="s">
        <v>1849</v>
      </c>
      <c r="F478" s="37" t="s">
        <v>1782</v>
      </c>
      <c r="G478" s="44">
        <v>5000</v>
      </c>
      <c r="H478" s="44">
        <v>30</v>
      </c>
      <c r="K478" s="4" t="e">
        <f>VLOOKUP(A478,Detallado!$C$5:$H$1570,6,FALSE)</f>
        <v>#N/A</v>
      </c>
    </row>
    <row r="479" spans="1:11">
      <c r="A479" s="90">
        <v>125860330268</v>
      </c>
      <c r="B479" s="1" t="s">
        <v>8</v>
      </c>
      <c r="C479" s="43" t="s">
        <v>1849</v>
      </c>
      <c r="D479" s="1" t="s">
        <v>1780</v>
      </c>
      <c r="E479" s="43" t="s">
        <v>1849</v>
      </c>
      <c r="F479" s="37" t="s">
        <v>1782</v>
      </c>
      <c r="G479" s="44">
        <v>4300</v>
      </c>
      <c r="H479" s="44">
        <v>25.8</v>
      </c>
      <c r="K479" s="4" t="e">
        <f>VLOOKUP(A479,Detallado!$C$5:$H$1570,6,FALSE)</f>
        <v>#N/A</v>
      </c>
    </row>
    <row r="480" spans="1:11">
      <c r="A480" s="90">
        <v>125860256390</v>
      </c>
      <c r="B480" s="1" t="s">
        <v>1862</v>
      </c>
      <c r="C480" s="43" t="s">
        <v>1849</v>
      </c>
      <c r="D480" s="1" t="s">
        <v>1780</v>
      </c>
      <c r="E480" s="43" t="s">
        <v>1849</v>
      </c>
      <c r="F480" s="37" t="s">
        <v>1782</v>
      </c>
      <c r="G480" s="44">
        <v>1420</v>
      </c>
      <c r="H480" s="44">
        <v>8.52</v>
      </c>
      <c r="K480" s="4" t="e">
        <f>VLOOKUP(A480,Detallado!$C$5:$H$1570,6,FALSE)</f>
        <v>#N/A</v>
      </c>
    </row>
    <row r="481" spans="1:11">
      <c r="A481" s="90">
        <v>125860218818</v>
      </c>
      <c r="B481" s="1" t="s">
        <v>8</v>
      </c>
      <c r="C481" s="43" t="s">
        <v>1849</v>
      </c>
      <c r="D481" s="1" t="s">
        <v>1780</v>
      </c>
      <c r="E481" s="43" t="s">
        <v>1849</v>
      </c>
      <c r="F481" s="37" t="s">
        <v>1782</v>
      </c>
      <c r="G481" s="44">
        <v>28400</v>
      </c>
      <c r="H481" s="44">
        <v>170.4</v>
      </c>
      <c r="K481" s="4" t="e">
        <f>VLOOKUP(A481,Detallado!$C$5:$H$1570,6,FALSE)</f>
        <v>#N/A</v>
      </c>
    </row>
    <row r="482" spans="1:11">
      <c r="A482" s="90">
        <v>125858898284</v>
      </c>
      <c r="B482" s="1" t="s">
        <v>1863</v>
      </c>
      <c r="C482" s="43" t="s">
        <v>1849</v>
      </c>
      <c r="D482" s="1" t="s">
        <v>1780</v>
      </c>
      <c r="E482" s="43" t="s">
        <v>1849</v>
      </c>
      <c r="F482" s="37" t="s">
        <v>1782</v>
      </c>
      <c r="G482" s="44">
        <v>265</v>
      </c>
      <c r="H482" s="44">
        <v>1.59</v>
      </c>
      <c r="K482" s="4" t="e">
        <f>VLOOKUP(A482,Detallado!$C$5:$H$1570,6,FALSE)</f>
        <v>#N/A</v>
      </c>
    </row>
    <row r="483" spans="1:11">
      <c r="A483" s="90">
        <v>125858862480</v>
      </c>
      <c r="B483" s="1" t="s">
        <v>8</v>
      </c>
      <c r="C483" s="43" t="s">
        <v>1849</v>
      </c>
      <c r="D483" s="1" t="s">
        <v>1780</v>
      </c>
      <c r="E483" s="43" t="s">
        <v>1849</v>
      </c>
      <c r="F483" s="37" t="s">
        <v>1782</v>
      </c>
      <c r="G483" s="44">
        <v>5300</v>
      </c>
      <c r="H483" s="44">
        <v>31.8</v>
      </c>
      <c r="K483" s="4" t="e">
        <f>VLOOKUP(A483,Detallado!$C$5:$H$1570,6,FALSE)</f>
        <v>#N/A</v>
      </c>
    </row>
    <row r="484" spans="1:11">
      <c r="A484" s="90">
        <v>125858321940</v>
      </c>
      <c r="B484" s="1" t="s">
        <v>8</v>
      </c>
      <c r="C484" s="43" t="s">
        <v>1849</v>
      </c>
      <c r="D484" s="1" t="s">
        <v>1780</v>
      </c>
      <c r="E484" s="43" t="s">
        <v>1849</v>
      </c>
      <c r="F484" s="37" t="s">
        <v>1782</v>
      </c>
      <c r="G484" s="44">
        <v>8800</v>
      </c>
      <c r="H484" s="44">
        <v>52.8</v>
      </c>
      <c r="K484" s="4" t="e">
        <f>VLOOKUP(A484,Detallado!$C$5:$H$1570,6,FALSE)</f>
        <v>#N/A</v>
      </c>
    </row>
    <row r="485" spans="1:11">
      <c r="A485" s="90">
        <v>125858046938</v>
      </c>
      <c r="B485" s="1" t="s">
        <v>8</v>
      </c>
      <c r="C485" s="43" t="s">
        <v>1849</v>
      </c>
      <c r="D485" s="1" t="s">
        <v>1780</v>
      </c>
      <c r="E485" s="43" t="s">
        <v>1849</v>
      </c>
      <c r="F485" s="37" t="s">
        <v>1782</v>
      </c>
      <c r="G485" s="44">
        <v>8600</v>
      </c>
      <c r="H485" s="44">
        <v>51.6</v>
      </c>
      <c r="K485" s="4" t="e">
        <f>VLOOKUP(A485,Detallado!$C$5:$H$1570,6,FALSE)</f>
        <v>#N/A</v>
      </c>
    </row>
    <row r="486" spans="1:11">
      <c r="A486" s="90">
        <v>125855413332</v>
      </c>
      <c r="B486" s="1" t="s">
        <v>1790</v>
      </c>
      <c r="C486" s="43" t="s">
        <v>1849</v>
      </c>
      <c r="D486" s="1" t="s">
        <v>1780</v>
      </c>
      <c r="E486" s="43" t="s">
        <v>1849</v>
      </c>
      <c r="F486" s="37" t="s">
        <v>1782</v>
      </c>
      <c r="G486" s="44">
        <v>7800</v>
      </c>
      <c r="H486" s="44">
        <v>46.8</v>
      </c>
      <c r="K486" s="4" t="e">
        <f>VLOOKUP(A486,Detallado!$C$5:$H$1570,6,FALSE)</f>
        <v>#N/A</v>
      </c>
    </row>
    <row r="487" spans="1:11">
      <c r="A487" s="90">
        <v>125855330618</v>
      </c>
      <c r="B487" s="1" t="s">
        <v>8</v>
      </c>
      <c r="C487" s="43" t="s">
        <v>1849</v>
      </c>
      <c r="D487" s="1" t="s">
        <v>1780</v>
      </c>
      <c r="E487" s="43" t="s">
        <v>1849</v>
      </c>
      <c r="F487" s="37" t="s">
        <v>1782</v>
      </c>
      <c r="G487" s="44">
        <v>54900</v>
      </c>
      <c r="H487" s="44">
        <v>329.4</v>
      </c>
      <c r="K487" s="4" t="e">
        <f>VLOOKUP(A487,Detallado!$C$5:$H$1570,6,FALSE)</f>
        <v>#N/A</v>
      </c>
    </row>
    <row r="488" spans="1:11">
      <c r="A488" s="90">
        <v>125854396652</v>
      </c>
      <c r="B488" s="1" t="s">
        <v>1790</v>
      </c>
      <c r="C488" s="43" t="s">
        <v>1849</v>
      </c>
      <c r="D488" s="1" t="s">
        <v>1780</v>
      </c>
      <c r="E488" s="43" t="s">
        <v>1849</v>
      </c>
      <c r="F488" s="37" t="s">
        <v>1782</v>
      </c>
      <c r="G488" s="44">
        <v>21800</v>
      </c>
      <c r="H488" s="44">
        <v>130.80000000000001</v>
      </c>
      <c r="K488" s="4" t="e">
        <f>VLOOKUP(A488,Detallado!$C$5:$H$1570,6,FALSE)</f>
        <v>#N/A</v>
      </c>
    </row>
    <row r="489" spans="1:11">
      <c r="A489" s="90">
        <v>125853449760</v>
      </c>
      <c r="B489" s="1" t="s">
        <v>8</v>
      </c>
      <c r="C489" s="43" t="s">
        <v>1849</v>
      </c>
      <c r="D489" s="1" t="s">
        <v>1780</v>
      </c>
      <c r="E489" s="43" t="s">
        <v>1849</v>
      </c>
      <c r="F489" s="37" t="s">
        <v>1782</v>
      </c>
      <c r="G489" s="44">
        <v>8600</v>
      </c>
      <c r="H489" s="44">
        <v>51.6</v>
      </c>
      <c r="K489" s="4" t="e">
        <f>VLOOKUP(A489,Detallado!$C$5:$H$1570,6,FALSE)</f>
        <v>#N/A</v>
      </c>
    </row>
    <row r="490" spans="1:11">
      <c r="A490" s="90">
        <v>125852727536</v>
      </c>
      <c r="B490" s="1" t="s">
        <v>1790</v>
      </c>
      <c r="C490" s="43" t="s">
        <v>1849</v>
      </c>
      <c r="D490" s="1" t="s">
        <v>1780</v>
      </c>
      <c r="E490" s="43" t="s">
        <v>1849</v>
      </c>
      <c r="F490" s="37" t="s">
        <v>1782</v>
      </c>
      <c r="G490" s="44">
        <v>30000</v>
      </c>
      <c r="H490" s="44">
        <v>180</v>
      </c>
      <c r="K490" s="4" t="e">
        <f>VLOOKUP(A490,Detallado!$C$5:$H$1570,6,FALSE)</f>
        <v>#N/A</v>
      </c>
    </row>
    <row r="491" spans="1:11">
      <c r="A491" s="90">
        <v>125852501254</v>
      </c>
      <c r="B491" s="1" t="s">
        <v>1861</v>
      </c>
      <c r="C491" s="43" t="s">
        <v>1849</v>
      </c>
      <c r="D491" s="1" t="s">
        <v>1780</v>
      </c>
      <c r="E491" s="43" t="s">
        <v>1849</v>
      </c>
      <c r="F491" s="37" t="s">
        <v>1782</v>
      </c>
      <c r="G491" s="44">
        <v>525</v>
      </c>
      <c r="H491" s="44">
        <v>3.15</v>
      </c>
      <c r="K491" s="4" t="e">
        <f>VLOOKUP(A491,Detallado!$C$5:$H$1570,6,FALSE)</f>
        <v>#N/A</v>
      </c>
    </row>
    <row r="492" spans="1:11">
      <c r="A492" s="90">
        <v>125852449818</v>
      </c>
      <c r="B492" s="1" t="s">
        <v>8</v>
      </c>
      <c r="C492" s="43" t="s">
        <v>1849</v>
      </c>
      <c r="D492" s="1" t="s">
        <v>1780</v>
      </c>
      <c r="E492" s="43" t="s">
        <v>1849</v>
      </c>
      <c r="F492" s="37" t="s">
        <v>1782</v>
      </c>
      <c r="G492" s="44">
        <v>3500</v>
      </c>
      <c r="H492" s="44">
        <v>21</v>
      </c>
      <c r="K492" s="4" t="e">
        <f>VLOOKUP(A492,Detallado!$C$5:$H$1570,6,FALSE)</f>
        <v>#N/A</v>
      </c>
    </row>
    <row r="493" spans="1:11">
      <c r="A493" s="90">
        <v>125852041418</v>
      </c>
      <c r="B493" s="1" t="s">
        <v>1790</v>
      </c>
      <c r="C493" s="43" t="s">
        <v>1849</v>
      </c>
      <c r="D493" s="1" t="s">
        <v>1780</v>
      </c>
      <c r="E493" s="43" t="s">
        <v>1849</v>
      </c>
      <c r="F493" s="37" t="s">
        <v>1782</v>
      </c>
      <c r="G493" s="44">
        <v>4300</v>
      </c>
      <c r="H493" s="44">
        <v>25.8</v>
      </c>
      <c r="K493" s="4" t="e">
        <f>VLOOKUP(A493,Detallado!$C$5:$H$1570,6,FALSE)</f>
        <v>#N/A</v>
      </c>
    </row>
    <row r="494" spans="1:11">
      <c r="A494" s="90">
        <v>125851618468</v>
      </c>
      <c r="B494" s="1" t="s">
        <v>8</v>
      </c>
      <c r="C494" s="43" t="s">
        <v>1849</v>
      </c>
      <c r="D494" s="1" t="s">
        <v>1780</v>
      </c>
      <c r="E494" s="43" t="s">
        <v>1849</v>
      </c>
      <c r="F494" s="37" t="s">
        <v>1782</v>
      </c>
      <c r="G494" s="44">
        <v>4300</v>
      </c>
      <c r="H494" s="44">
        <v>25.8</v>
      </c>
      <c r="K494" s="4" t="e">
        <f>VLOOKUP(A494,Detallado!$C$5:$H$1570,6,FALSE)</f>
        <v>#N/A</v>
      </c>
    </row>
    <row r="495" spans="1:11">
      <c r="A495" s="90">
        <v>125851439308</v>
      </c>
      <c r="B495" s="1" t="s">
        <v>8</v>
      </c>
      <c r="C495" s="43" t="s">
        <v>1849</v>
      </c>
      <c r="D495" s="1" t="s">
        <v>1780</v>
      </c>
      <c r="E495" s="43" t="s">
        <v>1849</v>
      </c>
      <c r="F495" s="37" t="s">
        <v>1782</v>
      </c>
      <c r="G495" s="44">
        <v>8600</v>
      </c>
      <c r="H495" s="44">
        <v>51.6</v>
      </c>
      <c r="K495" s="4" t="e">
        <f>VLOOKUP(A495,Detallado!$C$5:$H$1570,6,FALSE)</f>
        <v>#N/A</v>
      </c>
    </row>
    <row r="496" spans="1:11">
      <c r="A496" s="90">
        <v>125847517582</v>
      </c>
      <c r="B496" s="1" t="s">
        <v>8</v>
      </c>
      <c r="C496" s="43" t="s">
        <v>1849</v>
      </c>
      <c r="D496" s="1" t="s">
        <v>1780</v>
      </c>
      <c r="E496" s="43" t="s">
        <v>1849</v>
      </c>
      <c r="F496" s="37" t="s">
        <v>1782</v>
      </c>
      <c r="G496" s="44">
        <v>23000</v>
      </c>
      <c r="H496" s="44">
        <v>138</v>
      </c>
      <c r="K496" s="4" t="e">
        <f>VLOOKUP(A496,Detallado!$C$5:$H$1570,6,FALSE)</f>
        <v>#N/A</v>
      </c>
    </row>
    <row r="497" spans="1:11">
      <c r="A497" s="90">
        <v>125846766732</v>
      </c>
      <c r="B497" s="1" t="s">
        <v>8</v>
      </c>
      <c r="C497" s="43" t="s">
        <v>1849</v>
      </c>
      <c r="D497" s="1" t="s">
        <v>1780</v>
      </c>
      <c r="E497" s="43" t="s">
        <v>1849</v>
      </c>
      <c r="F497" s="37" t="s">
        <v>1782</v>
      </c>
      <c r="G497" s="44">
        <v>11000</v>
      </c>
      <c r="H497" s="44">
        <v>66</v>
      </c>
      <c r="K497" s="4" t="e">
        <f>VLOOKUP(A497,Detallado!$C$5:$H$1570,6,FALSE)</f>
        <v>#N/A</v>
      </c>
    </row>
    <row r="498" spans="1:11">
      <c r="A498" s="90">
        <v>125735896318</v>
      </c>
      <c r="B498" s="1" t="s">
        <v>8</v>
      </c>
      <c r="C498" s="43" t="s">
        <v>1849</v>
      </c>
      <c r="D498" s="1" t="s">
        <v>1780</v>
      </c>
      <c r="E498" s="43" t="s">
        <v>1849</v>
      </c>
      <c r="F498" s="37" t="s">
        <v>1782</v>
      </c>
      <c r="G498" s="44">
        <v>37500</v>
      </c>
      <c r="H498" s="44">
        <v>225</v>
      </c>
      <c r="K498" s="4" t="e">
        <f>VLOOKUP(A498,Detallado!$C$5:$H$1570,6,FALSE)</f>
        <v>#N/A</v>
      </c>
    </row>
    <row r="499" spans="1:11">
      <c r="A499" s="90">
        <v>125735533144</v>
      </c>
      <c r="B499" s="1" t="s">
        <v>8</v>
      </c>
      <c r="C499" s="43" t="s">
        <v>1849</v>
      </c>
      <c r="D499" s="1" t="s">
        <v>1780</v>
      </c>
      <c r="E499" s="43" t="s">
        <v>1849</v>
      </c>
      <c r="F499" s="37" t="s">
        <v>1782</v>
      </c>
      <c r="G499" s="44">
        <v>15600</v>
      </c>
      <c r="H499" s="44">
        <v>93.6</v>
      </c>
      <c r="K499" s="4" t="e">
        <f>VLOOKUP(A499,Detallado!$C$5:$H$1570,6,FALSE)</f>
        <v>#N/A</v>
      </c>
    </row>
    <row r="500" spans="1:11">
      <c r="A500" s="90">
        <v>125735529498</v>
      </c>
      <c r="B500" s="1" t="s">
        <v>8</v>
      </c>
      <c r="C500" s="43" t="s">
        <v>1849</v>
      </c>
      <c r="D500" s="1" t="s">
        <v>1780</v>
      </c>
      <c r="E500" s="43" t="s">
        <v>1849</v>
      </c>
      <c r="F500" s="37" t="s">
        <v>1782</v>
      </c>
      <c r="G500" s="44">
        <v>8000</v>
      </c>
      <c r="H500" s="44">
        <v>48</v>
      </c>
      <c r="K500" s="4" t="e">
        <f>VLOOKUP(A500,Detallado!$C$5:$H$1570,6,FALSE)</f>
        <v>#N/A</v>
      </c>
    </row>
    <row r="501" spans="1:11">
      <c r="A501" s="90">
        <v>125734695008</v>
      </c>
      <c r="B501" s="1" t="s">
        <v>1790</v>
      </c>
      <c r="C501" s="43" t="s">
        <v>1849</v>
      </c>
      <c r="D501" s="1" t="s">
        <v>1780</v>
      </c>
      <c r="E501" s="43" t="s">
        <v>1849</v>
      </c>
      <c r="F501" s="37" t="s">
        <v>1782</v>
      </c>
      <c r="G501" s="44">
        <v>28400</v>
      </c>
      <c r="H501" s="44">
        <v>170.4</v>
      </c>
      <c r="K501" s="4" t="e">
        <f>VLOOKUP(A501,Detallado!$C$5:$H$1570,6,FALSE)</f>
        <v>#N/A</v>
      </c>
    </row>
    <row r="502" spans="1:11">
      <c r="A502" s="90">
        <v>125734498538</v>
      </c>
      <c r="B502" s="1" t="s">
        <v>8</v>
      </c>
      <c r="C502" s="43" t="s">
        <v>1849</v>
      </c>
      <c r="D502" s="1" t="s">
        <v>1780</v>
      </c>
      <c r="E502" s="43" t="s">
        <v>1849</v>
      </c>
      <c r="F502" s="37" t="s">
        <v>1782</v>
      </c>
      <c r="G502" s="44">
        <v>5300</v>
      </c>
      <c r="H502" s="44">
        <v>31.8</v>
      </c>
      <c r="K502" s="4" t="e">
        <f>VLOOKUP(A502,Detallado!$C$5:$H$1570,6,FALSE)</f>
        <v>#N/A</v>
      </c>
    </row>
    <row r="503" spans="1:11">
      <c r="A503" s="90">
        <v>125315541627</v>
      </c>
      <c r="B503" s="1" t="s">
        <v>8</v>
      </c>
      <c r="C503" s="43" t="s">
        <v>1849</v>
      </c>
      <c r="D503" s="1" t="s">
        <v>1780</v>
      </c>
      <c r="E503" s="43" t="s">
        <v>1849</v>
      </c>
      <c r="F503" s="37" t="s">
        <v>1782</v>
      </c>
      <c r="G503" s="44">
        <v>12800</v>
      </c>
      <c r="H503" s="44">
        <v>76.8</v>
      </c>
      <c r="K503" s="4" t="e">
        <f>VLOOKUP(A503,Detallado!$C$5:$H$1570,6,FALSE)</f>
        <v>#N/A</v>
      </c>
    </row>
    <row r="504" spans="1:11">
      <c r="A504" s="90">
        <v>125315415565</v>
      </c>
      <c r="B504" s="1" t="s">
        <v>8</v>
      </c>
      <c r="C504" s="43" t="s">
        <v>1849</v>
      </c>
      <c r="D504" s="1" t="s">
        <v>1780</v>
      </c>
      <c r="E504" s="43" t="s">
        <v>1849</v>
      </c>
      <c r="F504" s="37" t="s">
        <v>1782</v>
      </c>
      <c r="G504" s="44">
        <v>56200</v>
      </c>
      <c r="H504" s="44">
        <v>337.2</v>
      </c>
      <c r="K504" s="4" t="e">
        <f>VLOOKUP(A504,Detallado!$C$5:$H$1570,6,FALSE)</f>
        <v>#N/A</v>
      </c>
    </row>
    <row r="505" spans="1:11">
      <c r="A505" s="90">
        <v>125315401565</v>
      </c>
      <c r="B505" s="1" t="s">
        <v>1790</v>
      </c>
      <c r="C505" s="43" t="s">
        <v>1849</v>
      </c>
      <c r="D505" s="1" t="s">
        <v>1780</v>
      </c>
      <c r="E505" s="43" t="s">
        <v>1849</v>
      </c>
      <c r="F505" s="37" t="s">
        <v>1782</v>
      </c>
      <c r="G505" s="44">
        <v>8600</v>
      </c>
      <c r="H505" s="44">
        <v>51.6</v>
      </c>
      <c r="K505" s="4" t="e">
        <f>VLOOKUP(A505,Detallado!$C$5:$H$1570,6,FALSE)</f>
        <v>#N/A</v>
      </c>
    </row>
    <row r="506" spans="1:11">
      <c r="A506" s="90">
        <v>125315241639</v>
      </c>
      <c r="B506" s="1" t="s">
        <v>8</v>
      </c>
      <c r="C506" s="43" t="s">
        <v>1849</v>
      </c>
      <c r="D506" s="1" t="s">
        <v>1780</v>
      </c>
      <c r="E506" s="43" t="s">
        <v>1849</v>
      </c>
      <c r="F506" s="37" t="s">
        <v>1782</v>
      </c>
      <c r="G506" s="44">
        <v>28000</v>
      </c>
      <c r="H506" s="44">
        <v>168</v>
      </c>
      <c r="K506" s="4" t="e">
        <f>VLOOKUP(A506,Detallado!$C$5:$H$1570,6,FALSE)</f>
        <v>#N/A</v>
      </c>
    </row>
    <row r="507" spans="1:11">
      <c r="A507" s="90">
        <v>125314398803</v>
      </c>
      <c r="B507" s="1" t="s">
        <v>8</v>
      </c>
      <c r="C507" s="43" t="s">
        <v>1849</v>
      </c>
      <c r="D507" s="1" t="s">
        <v>1780</v>
      </c>
      <c r="E507" s="43" t="s">
        <v>1849</v>
      </c>
      <c r="F507" s="37" t="s">
        <v>1782</v>
      </c>
      <c r="G507" s="44">
        <v>31800</v>
      </c>
      <c r="H507" s="44">
        <v>190.8</v>
      </c>
      <c r="K507" s="4" t="e">
        <f>VLOOKUP(A507,Detallado!$C$5:$H$1570,6,FALSE)</f>
        <v>#N/A</v>
      </c>
    </row>
    <row r="508" spans="1:11">
      <c r="A508" s="90">
        <v>125313726111</v>
      </c>
      <c r="B508" s="1" t="s">
        <v>1865</v>
      </c>
      <c r="C508" s="43" t="s">
        <v>1849</v>
      </c>
      <c r="D508" s="1" t="s">
        <v>1780</v>
      </c>
      <c r="E508" s="43" t="s">
        <v>1849</v>
      </c>
      <c r="F508" s="37" t="s">
        <v>1782</v>
      </c>
      <c r="G508" s="44">
        <v>1205</v>
      </c>
      <c r="H508" s="44">
        <v>7.23</v>
      </c>
      <c r="K508" s="4" t="e">
        <f>VLOOKUP(A508,Detallado!$C$5:$H$1570,6,FALSE)</f>
        <v>#N/A</v>
      </c>
    </row>
    <row r="509" spans="1:11">
      <c r="A509" s="90">
        <v>125312890421</v>
      </c>
      <c r="B509" s="1" t="s">
        <v>1790</v>
      </c>
      <c r="C509" s="43" t="s">
        <v>1849</v>
      </c>
      <c r="D509" s="1" t="s">
        <v>1780</v>
      </c>
      <c r="E509" s="43" t="s">
        <v>1849</v>
      </c>
      <c r="F509" s="37" t="s">
        <v>1782</v>
      </c>
      <c r="G509" s="44">
        <v>19100</v>
      </c>
      <c r="H509" s="44">
        <v>114.6</v>
      </c>
      <c r="K509" s="4" t="e">
        <f>VLOOKUP(A509,Detallado!$C$5:$H$1570,6,FALSE)</f>
        <v>#N/A</v>
      </c>
    </row>
    <row r="510" spans="1:11">
      <c r="A510" s="90">
        <v>125311773883</v>
      </c>
      <c r="B510" s="1" t="s">
        <v>8</v>
      </c>
      <c r="C510" s="43" t="s">
        <v>1849</v>
      </c>
      <c r="D510" s="1" t="s">
        <v>1780</v>
      </c>
      <c r="E510" s="43" t="s">
        <v>1849</v>
      </c>
      <c r="F510" s="37" t="s">
        <v>1782</v>
      </c>
      <c r="G510" s="44">
        <v>18600</v>
      </c>
      <c r="H510" s="44">
        <v>111.6</v>
      </c>
      <c r="K510" s="4" t="e">
        <f>VLOOKUP(A510,Detallado!$C$5:$H$1570,6,FALSE)</f>
        <v>#N/A</v>
      </c>
    </row>
    <row r="511" spans="1:11">
      <c r="A511" s="90">
        <v>125311241119</v>
      </c>
      <c r="B511" s="1" t="s">
        <v>8</v>
      </c>
      <c r="C511" s="43" t="s">
        <v>1849</v>
      </c>
      <c r="D511" s="1" t="s">
        <v>1780</v>
      </c>
      <c r="E511" s="43" t="s">
        <v>1849</v>
      </c>
      <c r="F511" s="37" t="s">
        <v>1782</v>
      </c>
      <c r="G511" s="44">
        <v>8600</v>
      </c>
      <c r="H511" s="44">
        <v>51.6</v>
      </c>
      <c r="K511" s="4" t="e">
        <f>VLOOKUP(A511,Detallado!$C$5:$H$1570,6,FALSE)</f>
        <v>#N/A</v>
      </c>
    </row>
    <row r="512" spans="1:11">
      <c r="A512" s="90">
        <v>125310911019</v>
      </c>
      <c r="B512" s="1" t="s">
        <v>8</v>
      </c>
      <c r="C512" s="43" t="s">
        <v>1849</v>
      </c>
      <c r="D512" s="1" t="s">
        <v>1780</v>
      </c>
      <c r="E512" s="43" t="s">
        <v>1849</v>
      </c>
      <c r="F512" s="37" t="s">
        <v>1782</v>
      </c>
      <c r="G512" s="44">
        <v>4300</v>
      </c>
      <c r="H512" s="44">
        <v>25.8</v>
      </c>
      <c r="K512" s="4" t="e">
        <f>VLOOKUP(A512,Detallado!$C$5:$H$1570,6,FALSE)</f>
        <v>#N/A</v>
      </c>
    </row>
    <row r="513" spans="1:11">
      <c r="A513" s="90">
        <v>125307881689</v>
      </c>
      <c r="B513" s="1" t="s">
        <v>8</v>
      </c>
      <c r="C513" s="43" t="s">
        <v>1849</v>
      </c>
      <c r="D513" s="1" t="s">
        <v>1780</v>
      </c>
      <c r="E513" s="43" t="s">
        <v>1849</v>
      </c>
      <c r="F513" s="37" t="s">
        <v>1782</v>
      </c>
      <c r="G513" s="44">
        <v>4300</v>
      </c>
      <c r="H513" s="44">
        <v>25.8</v>
      </c>
      <c r="K513" s="4" t="e">
        <f>VLOOKUP(A513,Detallado!$C$5:$H$1570,6,FALSE)</f>
        <v>#N/A</v>
      </c>
    </row>
    <row r="514" spans="1:11">
      <c r="A514" s="90">
        <v>125307313189</v>
      </c>
      <c r="B514" s="1" t="s">
        <v>8</v>
      </c>
      <c r="C514" s="43" t="s">
        <v>1849</v>
      </c>
      <c r="D514" s="1" t="s">
        <v>1780</v>
      </c>
      <c r="E514" s="43" t="s">
        <v>1849</v>
      </c>
      <c r="F514" s="37" t="s">
        <v>1782</v>
      </c>
      <c r="G514" s="44">
        <v>4300</v>
      </c>
      <c r="H514" s="44">
        <v>25.8</v>
      </c>
      <c r="K514" s="4" t="e">
        <f>VLOOKUP(A514,Detallado!$C$5:$H$1570,6,FALSE)</f>
        <v>#N/A</v>
      </c>
    </row>
    <row r="515" spans="1:11">
      <c r="A515" s="90">
        <v>125307224295</v>
      </c>
      <c r="B515" s="1" t="s">
        <v>8</v>
      </c>
      <c r="C515" s="43" t="s">
        <v>1849</v>
      </c>
      <c r="D515" s="1" t="s">
        <v>1780</v>
      </c>
      <c r="E515" s="43" t="s">
        <v>1849</v>
      </c>
      <c r="F515" s="37" t="s">
        <v>1782</v>
      </c>
      <c r="G515" s="44">
        <v>4300</v>
      </c>
      <c r="H515" s="44">
        <v>25.8</v>
      </c>
      <c r="K515" s="4" t="e">
        <f>VLOOKUP(A515,Detallado!$C$5:$H$1570,6,FALSE)</f>
        <v>#N/A</v>
      </c>
    </row>
    <row r="516" spans="1:11">
      <c r="A516" s="90">
        <v>125306671969</v>
      </c>
      <c r="B516" s="1" t="s">
        <v>1790</v>
      </c>
      <c r="C516" s="43" t="s">
        <v>1849</v>
      </c>
      <c r="D516" s="1" t="s">
        <v>1780</v>
      </c>
      <c r="E516" s="43" t="s">
        <v>1849</v>
      </c>
      <c r="F516" s="37" t="s">
        <v>1782</v>
      </c>
      <c r="G516" s="44">
        <v>18700</v>
      </c>
      <c r="H516" s="44">
        <v>112.2</v>
      </c>
      <c r="K516" s="4" t="e">
        <f>VLOOKUP(A516,Detallado!$C$5:$H$1570,6,FALSE)</f>
        <v>#N/A</v>
      </c>
    </row>
    <row r="517" spans="1:11">
      <c r="A517" s="90">
        <v>125305225765</v>
      </c>
      <c r="B517" s="1" t="s">
        <v>8</v>
      </c>
      <c r="C517" s="43" t="s">
        <v>1849</v>
      </c>
      <c r="D517" s="1" t="s">
        <v>1780</v>
      </c>
      <c r="E517" s="43" t="s">
        <v>1849</v>
      </c>
      <c r="F517" s="37" t="s">
        <v>1782</v>
      </c>
      <c r="G517" s="44">
        <v>2200</v>
      </c>
      <c r="H517" s="44">
        <v>13.2</v>
      </c>
      <c r="K517" s="4" t="e">
        <f>VLOOKUP(A517,Detallado!$C$5:$H$1570,6,FALSE)</f>
        <v>#N/A</v>
      </c>
    </row>
    <row r="518" spans="1:11">
      <c r="A518" s="90">
        <v>125304398269</v>
      </c>
      <c r="B518" s="1" t="s">
        <v>1790</v>
      </c>
      <c r="C518" s="43" t="s">
        <v>1849</v>
      </c>
      <c r="D518" s="1" t="s">
        <v>1780</v>
      </c>
      <c r="E518" s="43" t="s">
        <v>1849</v>
      </c>
      <c r="F518" s="37" t="s">
        <v>1782</v>
      </c>
      <c r="G518" s="44">
        <v>29700</v>
      </c>
      <c r="H518" s="44">
        <v>178.2</v>
      </c>
      <c r="K518" s="4" t="e">
        <f>VLOOKUP(A518,Detallado!$C$5:$H$1570,6,FALSE)</f>
        <v>#N/A</v>
      </c>
    </row>
    <row r="519" spans="1:11">
      <c r="A519" s="90">
        <v>125304141263</v>
      </c>
      <c r="B519" s="1" t="s">
        <v>8</v>
      </c>
      <c r="C519" s="43" t="s">
        <v>1849</v>
      </c>
      <c r="D519" s="1" t="s">
        <v>1780</v>
      </c>
      <c r="E519" s="43" t="s">
        <v>1849</v>
      </c>
      <c r="F519" s="37" t="s">
        <v>1782</v>
      </c>
      <c r="G519" s="44">
        <v>21900</v>
      </c>
      <c r="H519" s="44">
        <v>131.4</v>
      </c>
      <c r="K519" s="4" t="e">
        <f>VLOOKUP(A519,Detallado!$C$5:$H$1570,6,FALSE)</f>
        <v>#N/A</v>
      </c>
    </row>
    <row r="520" spans="1:11">
      <c r="A520" s="90">
        <v>125304094253</v>
      </c>
      <c r="B520" s="1" t="s">
        <v>8</v>
      </c>
      <c r="C520" s="43" t="s">
        <v>1849</v>
      </c>
      <c r="D520" s="1" t="s">
        <v>1780</v>
      </c>
      <c r="E520" s="43" t="s">
        <v>1849</v>
      </c>
      <c r="F520" s="37" t="s">
        <v>1782</v>
      </c>
      <c r="G520" s="44">
        <v>3900</v>
      </c>
      <c r="H520" s="44">
        <v>23.4</v>
      </c>
      <c r="K520" s="4" t="e">
        <f>VLOOKUP(A520,Detallado!$C$5:$H$1570,6,FALSE)</f>
        <v>#N/A</v>
      </c>
    </row>
    <row r="521" spans="1:11">
      <c r="A521" s="90">
        <v>125302111081</v>
      </c>
      <c r="B521" s="1" t="s">
        <v>8</v>
      </c>
      <c r="C521" s="43" t="s">
        <v>1849</v>
      </c>
      <c r="D521" s="1" t="s">
        <v>1780</v>
      </c>
      <c r="E521" s="43" t="s">
        <v>1849</v>
      </c>
      <c r="F521" s="37" t="s">
        <v>1782</v>
      </c>
      <c r="G521" s="44">
        <v>7000</v>
      </c>
      <c r="H521" s="44">
        <v>42</v>
      </c>
      <c r="K521" s="4" t="e">
        <f>VLOOKUP(A521,Detallado!$C$5:$H$1570,6,FALSE)</f>
        <v>#N/A</v>
      </c>
    </row>
    <row r="522" spans="1:11">
      <c r="A522" s="90">
        <v>125298516019</v>
      </c>
      <c r="B522" s="1" t="s">
        <v>1790</v>
      </c>
      <c r="C522" s="43" t="s">
        <v>1849</v>
      </c>
      <c r="D522" s="1" t="s">
        <v>1780</v>
      </c>
      <c r="E522" s="43" t="s">
        <v>1849</v>
      </c>
      <c r="F522" s="37" t="s">
        <v>1782</v>
      </c>
      <c r="G522" s="44">
        <v>35900</v>
      </c>
      <c r="H522" s="44">
        <v>215.4</v>
      </c>
      <c r="K522" s="4" t="e">
        <f>VLOOKUP(A522,Detallado!$C$5:$H$1570,6,FALSE)</f>
        <v>#N/A</v>
      </c>
    </row>
    <row r="523" spans="1:11">
      <c r="A523" s="90">
        <v>125297082869</v>
      </c>
      <c r="B523" s="1" t="s">
        <v>1860</v>
      </c>
      <c r="C523" s="43" t="s">
        <v>1849</v>
      </c>
      <c r="D523" s="1" t="s">
        <v>1780</v>
      </c>
      <c r="E523" s="43" t="s">
        <v>1849</v>
      </c>
      <c r="F523" s="37" t="s">
        <v>1782</v>
      </c>
      <c r="G523" s="44">
        <v>550</v>
      </c>
      <c r="H523" s="44">
        <v>3.3</v>
      </c>
      <c r="K523" s="4" t="e">
        <f>VLOOKUP(A523,Detallado!$C$5:$H$1570,6,FALSE)</f>
        <v>#N/A</v>
      </c>
    </row>
    <row r="524" spans="1:11">
      <c r="A524" s="90">
        <v>125296798273</v>
      </c>
      <c r="B524" s="1" t="s">
        <v>8</v>
      </c>
      <c r="C524" s="43" t="s">
        <v>1849</v>
      </c>
      <c r="D524" s="1" t="s">
        <v>1780</v>
      </c>
      <c r="E524" s="43" t="s">
        <v>1849</v>
      </c>
      <c r="F524" s="37" t="s">
        <v>1782</v>
      </c>
      <c r="G524" s="44">
        <v>8400</v>
      </c>
      <c r="H524" s="44">
        <v>50.4</v>
      </c>
      <c r="K524" s="4" t="e">
        <f>VLOOKUP(A524,Detallado!$C$5:$H$1570,6,FALSE)</f>
        <v>#N/A</v>
      </c>
    </row>
    <row r="525" spans="1:11">
      <c r="A525" s="90">
        <v>125186681353</v>
      </c>
      <c r="B525" s="1" t="s">
        <v>1852</v>
      </c>
      <c r="C525" s="43" t="s">
        <v>1849</v>
      </c>
      <c r="D525" s="1" t="s">
        <v>1780</v>
      </c>
      <c r="E525" s="43" t="s">
        <v>1849</v>
      </c>
      <c r="F525" s="37" t="s">
        <v>1782</v>
      </c>
      <c r="G525" s="44">
        <v>3750</v>
      </c>
      <c r="H525" s="44">
        <v>22.5</v>
      </c>
      <c r="K525" s="4" t="e">
        <f>VLOOKUP(A525,Detallado!$C$5:$H$1570,6,FALSE)</f>
        <v>#N/A</v>
      </c>
    </row>
    <row r="526" spans="1:11">
      <c r="A526" s="90">
        <v>125186455061</v>
      </c>
      <c r="B526" s="1" t="s">
        <v>8</v>
      </c>
      <c r="C526" s="43" t="s">
        <v>1849</v>
      </c>
      <c r="D526" s="1" t="s">
        <v>1780</v>
      </c>
      <c r="E526" s="43" t="s">
        <v>1849</v>
      </c>
      <c r="F526" s="37" t="s">
        <v>1782</v>
      </c>
      <c r="G526" s="44">
        <v>18100</v>
      </c>
      <c r="H526" s="44">
        <v>108.6</v>
      </c>
      <c r="K526" s="4" t="e">
        <f>VLOOKUP(A526,Detallado!$C$5:$H$1570,6,FALSE)</f>
        <v>#N/A</v>
      </c>
    </row>
    <row r="527" spans="1:11">
      <c r="A527" s="90">
        <v>125186249815</v>
      </c>
      <c r="B527" s="1" t="s">
        <v>8</v>
      </c>
      <c r="C527" s="43" t="s">
        <v>1849</v>
      </c>
      <c r="D527" s="1" t="s">
        <v>1780</v>
      </c>
      <c r="E527" s="43" t="s">
        <v>1849</v>
      </c>
      <c r="F527" s="37" t="s">
        <v>1782</v>
      </c>
      <c r="G527" s="44">
        <v>30000</v>
      </c>
      <c r="H527" s="44">
        <v>180</v>
      </c>
      <c r="K527" s="4" t="e">
        <f>VLOOKUP(A527,Detallado!$C$5:$H$1570,6,FALSE)</f>
        <v>#N/A</v>
      </c>
    </row>
    <row r="528" spans="1:11">
      <c r="A528" s="90">
        <v>125186206585</v>
      </c>
      <c r="B528" s="1" t="s">
        <v>8</v>
      </c>
      <c r="C528" s="43" t="s">
        <v>1849</v>
      </c>
      <c r="D528" s="1" t="s">
        <v>1780</v>
      </c>
      <c r="E528" s="43" t="s">
        <v>1849</v>
      </c>
      <c r="F528" s="37" t="s">
        <v>1782</v>
      </c>
      <c r="G528" s="44">
        <v>28000</v>
      </c>
      <c r="H528" s="44">
        <v>168</v>
      </c>
      <c r="K528" s="4" t="e">
        <f>VLOOKUP(A528,Detallado!$C$5:$H$1570,6,FALSE)</f>
        <v>#N/A</v>
      </c>
    </row>
    <row r="529" spans="1:16">
      <c r="A529" s="90">
        <v>125186162773</v>
      </c>
      <c r="B529" s="1" t="s">
        <v>8</v>
      </c>
      <c r="C529" s="43" t="s">
        <v>1849</v>
      </c>
      <c r="D529" s="1" t="s">
        <v>1780</v>
      </c>
      <c r="E529" s="43" t="s">
        <v>1849</v>
      </c>
      <c r="F529" s="37" t="s">
        <v>1782</v>
      </c>
      <c r="G529" s="44">
        <v>10600</v>
      </c>
      <c r="H529" s="44">
        <v>63.6</v>
      </c>
      <c r="K529" s="4" t="e">
        <f>VLOOKUP(A529,Detallado!$C$5:$H$1570,6,FALSE)</f>
        <v>#N/A</v>
      </c>
    </row>
    <row r="530" spans="1:16">
      <c r="A530" s="90">
        <v>125185385327</v>
      </c>
      <c r="B530" s="1" t="s">
        <v>1856</v>
      </c>
      <c r="C530" s="43" t="s">
        <v>1849</v>
      </c>
      <c r="D530" s="1" t="s">
        <v>1780</v>
      </c>
      <c r="E530" s="43" t="s">
        <v>1849</v>
      </c>
      <c r="F530" s="37" t="s">
        <v>1782</v>
      </c>
      <c r="G530" s="44">
        <v>265</v>
      </c>
      <c r="H530" s="44">
        <v>1.59</v>
      </c>
      <c r="K530" s="4" t="e">
        <f>VLOOKUP(A530,Detallado!$C$5:$H$1570,6,FALSE)</f>
        <v>#N/A</v>
      </c>
    </row>
    <row r="531" spans="1:16">
      <c r="A531" s="101" t="s">
        <v>1855</v>
      </c>
      <c r="B531" s="59" t="s">
        <v>1854</v>
      </c>
      <c r="C531" s="60" t="s">
        <v>1849</v>
      </c>
      <c r="D531" s="59" t="s">
        <v>1780</v>
      </c>
      <c r="E531" s="60" t="s">
        <v>1849</v>
      </c>
      <c r="F531" s="61" t="s">
        <v>1782</v>
      </c>
      <c r="G531" s="62">
        <v>25111.79</v>
      </c>
      <c r="H531" s="74">
        <v>150.66999999999999</v>
      </c>
      <c r="I531" s="59"/>
      <c r="J531" s="59"/>
      <c r="K531" s="27">
        <f>-H531</f>
        <v>-150.66999999999999</v>
      </c>
      <c r="M531" s="4">
        <v>-150.6707355864819</v>
      </c>
      <c r="N531" s="66">
        <f t="shared" ref="N531:N539" si="4">+K531-M531</f>
        <v>7.3558648190896747E-4</v>
      </c>
      <c r="O531" s="1" t="s">
        <v>529</v>
      </c>
      <c r="P531" s="1">
        <f t="shared" ref="P531:P539" si="5">+E531-O531</f>
        <v>0</v>
      </c>
    </row>
    <row r="532" spans="1:16">
      <c r="A532" s="90">
        <v>125232960111</v>
      </c>
      <c r="B532" s="1" t="s">
        <v>8</v>
      </c>
      <c r="C532" s="43" t="s">
        <v>1849</v>
      </c>
      <c r="D532" s="1" t="s">
        <v>1780</v>
      </c>
      <c r="E532" s="43" t="s">
        <v>1849</v>
      </c>
      <c r="F532" s="37" t="s">
        <v>1782</v>
      </c>
      <c r="G532" s="44">
        <v>33241</v>
      </c>
      <c r="H532" s="77">
        <v>199.45</v>
      </c>
      <c r="K532" s="27" t="e">
        <f>VLOOKUP(A532,Detallado!$C$5:$H$1570,6,FALSE)</f>
        <v>#N/A</v>
      </c>
      <c r="M532" s="4">
        <v>-198.25646123260231</v>
      </c>
      <c r="N532" s="66" t="e">
        <f t="shared" si="4"/>
        <v>#N/A</v>
      </c>
      <c r="O532" s="1" t="s">
        <v>529</v>
      </c>
      <c r="P532" s="1">
        <f t="shared" si="5"/>
        <v>0</v>
      </c>
    </row>
    <row r="533" spans="1:16">
      <c r="A533" s="101" t="s">
        <v>1857</v>
      </c>
      <c r="B533" s="59" t="s">
        <v>8</v>
      </c>
      <c r="C533" s="60" t="s">
        <v>1849</v>
      </c>
      <c r="D533" s="59" t="s">
        <v>1780</v>
      </c>
      <c r="E533" s="60" t="s">
        <v>1849</v>
      </c>
      <c r="F533" s="61" t="s">
        <v>1782</v>
      </c>
      <c r="G533" s="62">
        <v>114025</v>
      </c>
      <c r="H533" s="74">
        <v>684.15</v>
      </c>
      <c r="I533" s="59"/>
      <c r="J533" s="59"/>
      <c r="K533" s="27">
        <f>-H533</f>
        <v>-684.15</v>
      </c>
      <c r="M533" s="4">
        <v>-684.14999999999418</v>
      </c>
      <c r="N533" s="66">
        <f t="shared" si="4"/>
        <v>-5.7980287238024175E-12</v>
      </c>
      <c r="O533" s="1" t="s">
        <v>529</v>
      </c>
      <c r="P533" s="1">
        <f t="shared" si="5"/>
        <v>0</v>
      </c>
    </row>
    <row r="534" spans="1:16">
      <c r="A534" s="90">
        <v>125259476811</v>
      </c>
      <c r="B534" s="1" t="s">
        <v>8</v>
      </c>
      <c r="C534" s="43" t="s">
        <v>1849</v>
      </c>
      <c r="D534" s="1" t="s">
        <v>1780</v>
      </c>
      <c r="E534" s="43" t="s">
        <v>1849</v>
      </c>
      <c r="F534" s="37" t="s">
        <v>1782</v>
      </c>
      <c r="G534" s="44">
        <v>162750</v>
      </c>
      <c r="H534" s="77">
        <v>976.5</v>
      </c>
      <c r="K534" s="27" t="e">
        <f>VLOOKUP(A534,Detallado!$C$5:$H$1570,6,FALSE)</f>
        <v>#N/A</v>
      </c>
      <c r="M534" s="4">
        <v>-970.67594433398335</v>
      </c>
      <c r="N534" s="66" t="e">
        <f t="shared" si="4"/>
        <v>#N/A</v>
      </c>
      <c r="O534" s="1" t="s">
        <v>529</v>
      </c>
      <c r="P534" s="1">
        <f t="shared" si="5"/>
        <v>0</v>
      </c>
    </row>
    <row r="535" spans="1:16">
      <c r="A535" s="90">
        <v>125778419104</v>
      </c>
      <c r="B535" s="1" t="s">
        <v>8</v>
      </c>
      <c r="C535" s="43" t="s">
        <v>1849</v>
      </c>
      <c r="D535" s="1" t="s">
        <v>1780</v>
      </c>
      <c r="E535" s="43" t="s">
        <v>1849</v>
      </c>
      <c r="F535" s="37" t="s">
        <v>1782</v>
      </c>
      <c r="G535" s="44">
        <v>188402.5</v>
      </c>
      <c r="H535" s="77">
        <v>1130.42</v>
      </c>
      <c r="K535" s="27" t="e">
        <f>VLOOKUP(A535,Detallado!$C$5:$H$1570,6,FALSE)</f>
        <v>#N/A</v>
      </c>
      <c r="M535" s="4">
        <v>-1123.672962226643</v>
      </c>
      <c r="N535" s="66" t="e">
        <f t="shared" si="4"/>
        <v>#N/A</v>
      </c>
      <c r="O535" s="1" t="s">
        <v>529</v>
      </c>
      <c r="P535" s="1">
        <f t="shared" si="5"/>
        <v>0</v>
      </c>
    </row>
    <row r="536" spans="1:16">
      <c r="A536" s="101" t="s">
        <v>1858</v>
      </c>
      <c r="B536" s="59" t="s">
        <v>8</v>
      </c>
      <c r="C536" s="60" t="s">
        <v>1849</v>
      </c>
      <c r="D536" s="59" t="s">
        <v>1780</v>
      </c>
      <c r="E536" s="60" t="s">
        <v>1849</v>
      </c>
      <c r="F536" s="61" t="s">
        <v>1782</v>
      </c>
      <c r="G536" s="62">
        <v>215525</v>
      </c>
      <c r="H536" s="74">
        <v>1293.1500000000001</v>
      </c>
      <c r="I536" s="59"/>
      <c r="J536" s="59"/>
      <c r="K536" s="27">
        <f>-H536</f>
        <v>-1293.1500000000001</v>
      </c>
      <c r="M536" s="4">
        <v>-1293.1499999999942</v>
      </c>
      <c r="N536" s="66">
        <f t="shared" si="4"/>
        <v>-5.9117155615240335E-12</v>
      </c>
      <c r="O536" s="1" t="s">
        <v>529</v>
      </c>
      <c r="P536" s="1">
        <f t="shared" si="5"/>
        <v>0</v>
      </c>
    </row>
    <row r="537" spans="1:16">
      <c r="A537" s="90">
        <v>125778500554</v>
      </c>
      <c r="B537" s="1" t="s">
        <v>8</v>
      </c>
      <c r="C537" s="43" t="s">
        <v>1849</v>
      </c>
      <c r="D537" s="1" t="s">
        <v>1780</v>
      </c>
      <c r="E537" s="43" t="s">
        <v>1849</v>
      </c>
      <c r="F537" s="37" t="s">
        <v>1782</v>
      </c>
      <c r="G537" s="44">
        <v>239272.74</v>
      </c>
      <c r="H537" s="77">
        <v>1435.64</v>
      </c>
      <c r="K537" s="27" t="e">
        <f>VLOOKUP(A537,Detallado!$C$5:$H$1570,6,FALSE)</f>
        <v>#N/A</v>
      </c>
      <c r="M537" s="4">
        <v>-1427.073996023857</v>
      </c>
      <c r="N537" s="66" t="e">
        <f t="shared" si="4"/>
        <v>#N/A</v>
      </c>
      <c r="O537" s="1" t="s">
        <v>529</v>
      </c>
      <c r="P537" s="1">
        <f t="shared" si="5"/>
        <v>0</v>
      </c>
    </row>
    <row r="538" spans="1:16">
      <c r="A538" s="101" t="s">
        <v>1859</v>
      </c>
      <c r="B538" s="59" t="s">
        <v>8</v>
      </c>
      <c r="C538" s="60" t="s">
        <v>1849</v>
      </c>
      <c r="D538" s="59" t="s">
        <v>1780</v>
      </c>
      <c r="E538" s="60" t="s">
        <v>1849</v>
      </c>
      <c r="F538" s="61" t="s">
        <v>1782</v>
      </c>
      <c r="G538" s="62">
        <v>443511.71</v>
      </c>
      <c r="H538" s="74">
        <v>2661.07</v>
      </c>
      <c r="I538" s="59"/>
      <c r="J538" s="59"/>
      <c r="K538" s="27">
        <f>-H538</f>
        <v>-2661.07</v>
      </c>
      <c r="M538" s="4">
        <v>-2661.0702584492974</v>
      </c>
      <c r="N538" s="66">
        <f t="shared" si="4"/>
        <v>2.5844929723461973E-4</v>
      </c>
      <c r="O538" s="1" t="s">
        <v>529</v>
      </c>
      <c r="P538" s="1">
        <f t="shared" si="5"/>
        <v>0</v>
      </c>
    </row>
    <row r="539" spans="1:16">
      <c r="A539" s="90">
        <v>125232161173</v>
      </c>
      <c r="B539" s="1" t="s">
        <v>8</v>
      </c>
      <c r="C539" s="43" t="s">
        <v>1849</v>
      </c>
      <c r="D539" s="1" t="s">
        <v>1780</v>
      </c>
      <c r="E539" s="43" t="s">
        <v>1849</v>
      </c>
      <c r="F539" s="37" t="s">
        <v>1782</v>
      </c>
      <c r="G539" s="44">
        <v>450508.26</v>
      </c>
      <c r="H539" s="77">
        <v>2703.05</v>
      </c>
      <c r="K539" s="27" t="e">
        <f>VLOOKUP(A539,Detallado!$C$5:$H$1570,6,FALSE)</f>
        <v>#N/A</v>
      </c>
      <c r="M539" s="4">
        <v>-2686.927992047742</v>
      </c>
      <c r="N539" s="66" t="e">
        <f t="shared" si="4"/>
        <v>#N/A</v>
      </c>
      <c r="O539" s="1" t="s">
        <v>529</v>
      </c>
      <c r="P539" s="1">
        <f t="shared" si="5"/>
        <v>0</v>
      </c>
    </row>
    <row r="540" spans="1:16">
      <c r="A540" s="90">
        <v>125868254842</v>
      </c>
      <c r="B540" s="1" t="s">
        <v>8</v>
      </c>
      <c r="C540" s="43" t="s">
        <v>1849</v>
      </c>
      <c r="D540" s="1" t="s">
        <v>1780</v>
      </c>
      <c r="E540" s="43" t="s">
        <v>1864</v>
      </c>
      <c r="F540" s="37" t="s">
        <v>1782</v>
      </c>
      <c r="G540" s="44">
        <v>8600</v>
      </c>
      <c r="H540" s="44">
        <v>51.6</v>
      </c>
      <c r="K540" s="4" t="e">
        <f>VLOOKUP(A540,Detallado!$C$5:$H$1570,6,FALSE)</f>
        <v>#N/A</v>
      </c>
    </row>
    <row r="541" spans="1:16">
      <c r="A541" s="90">
        <v>125867689614</v>
      </c>
      <c r="B541" s="1" t="s">
        <v>8</v>
      </c>
      <c r="C541" s="43" t="s">
        <v>1849</v>
      </c>
      <c r="D541" s="1" t="s">
        <v>1780</v>
      </c>
      <c r="E541" s="43" t="s">
        <v>1864</v>
      </c>
      <c r="F541" s="37" t="s">
        <v>1782</v>
      </c>
      <c r="G541" s="44">
        <v>29400</v>
      </c>
      <c r="H541" s="44">
        <v>176.4</v>
      </c>
      <c r="K541" s="4" t="e">
        <f>VLOOKUP(A541,Detallado!$C$5:$H$1570,6,FALSE)</f>
        <v>#N/A</v>
      </c>
    </row>
    <row r="542" spans="1:16">
      <c r="A542" s="90">
        <v>125866469482</v>
      </c>
      <c r="B542" s="1" t="s">
        <v>8</v>
      </c>
      <c r="C542" s="43" t="s">
        <v>1849</v>
      </c>
      <c r="D542" s="1" t="s">
        <v>1780</v>
      </c>
      <c r="E542" s="43" t="s">
        <v>1864</v>
      </c>
      <c r="F542" s="37" t="s">
        <v>1782</v>
      </c>
      <c r="G542" s="44">
        <v>13900</v>
      </c>
      <c r="H542" s="44">
        <v>83.4</v>
      </c>
      <c r="K542" s="4" t="e">
        <f>VLOOKUP(A542,Detallado!$C$5:$H$1570,6,FALSE)</f>
        <v>#N/A</v>
      </c>
    </row>
    <row r="543" spans="1:16">
      <c r="A543" s="90">
        <v>125865890526</v>
      </c>
      <c r="B543" s="1" t="s">
        <v>8</v>
      </c>
      <c r="C543" s="43" t="s">
        <v>1849</v>
      </c>
      <c r="D543" s="1" t="s">
        <v>1780</v>
      </c>
      <c r="E543" s="43" t="s">
        <v>1864</v>
      </c>
      <c r="F543" s="37" t="s">
        <v>1782</v>
      </c>
      <c r="G543" s="44">
        <v>16800</v>
      </c>
      <c r="H543" s="44">
        <v>100.8</v>
      </c>
      <c r="K543" s="4" t="e">
        <f>VLOOKUP(A543,Detallado!$C$5:$H$1570,6,FALSE)</f>
        <v>#N/A</v>
      </c>
    </row>
    <row r="544" spans="1:16">
      <c r="A544" s="90">
        <v>125318560667</v>
      </c>
      <c r="B544" s="1" t="s">
        <v>8</v>
      </c>
      <c r="C544" s="43" t="s">
        <v>1849</v>
      </c>
      <c r="D544" s="1" t="s">
        <v>1780</v>
      </c>
      <c r="E544" s="43" t="s">
        <v>1864</v>
      </c>
      <c r="F544" s="37" t="s">
        <v>1782</v>
      </c>
      <c r="G544" s="44">
        <v>30700</v>
      </c>
      <c r="H544" s="44">
        <v>184.2</v>
      </c>
      <c r="K544" s="4" t="e">
        <f>VLOOKUP(A544,Detallado!$C$5:$H$1570,6,FALSE)</f>
        <v>#N/A</v>
      </c>
    </row>
    <row r="545" spans="1:11">
      <c r="A545" s="90">
        <v>125318227505</v>
      </c>
      <c r="B545" s="1" t="s">
        <v>8</v>
      </c>
      <c r="C545" s="43" t="s">
        <v>1849</v>
      </c>
      <c r="D545" s="1" t="s">
        <v>1780</v>
      </c>
      <c r="E545" s="43" t="s">
        <v>1864</v>
      </c>
      <c r="F545" s="37" t="s">
        <v>1782</v>
      </c>
      <c r="G545" s="44">
        <v>8600</v>
      </c>
      <c r="H545" s="44">
        <v>51.6</v>
      </c>
      <c r="K545" s="4" t="e">
        <f>VLOOKUP(A545,Detallado!$C$5:$H$1570,6,FALSE)</f>
        <v>#N/A</v>
      </c>
    </row>
    <row r="546" spans="1:11">
      <c r="A546" s="90">
        <v>125318140511</v>
      </c>
      <c r="B546" s="1" t="s">
        <v>8</v>
      </c>
      <c r="C546" s="43" t="s">
        <v>1849</v>
      </c>
      <c r="D546" s="1" t="s">
        <v>1780</v>
      </c>
      <c r="E546" s="43" t="s">
        <v>1864</v>
      </c>
      <c r="F546" s="37" t="s">
        <v>1782</v>
      </c>
      <c r="G546" s="44">
        <v>15000</v>
      </c>
      <c r="H546" s="44">
        <v>90</v>
      </c>
      <c r="K546" s="4" t="e">
        <f>VLOOKUP(A546,Detallado!$C$5:$H$1570,6,FALSE)</f>
        <v>#N/A</v>
      </c>
    </row>
    <row r="547" spans="1:11">
      <c r="A547" s="90">
        <v>125317739121</v>
      </c>
      <c r="B547" s="1" t="s">
        <v>8</v>
      </c>
      <c r="C547" s="43" t="s">
        <v>1849</v>
      </c>
      <c r="D547" s="1" t="s">
        <v>1780</v>
      </c>
      <c r="E547" s="43" t="s">
        <v>1864</v>
      </c>
      <c r="F547" s="37" t="s">
        <v>1782</v>
      </c>
      <c r="G547" s="44">
        <v>4300</v>
      </c>
      <c r="H547" s="44">
        <v>25.8</v>
      </c>
      <c r="K547" s="4" t="e">
        <f>VLOOKUP(A547,Detallado!$C$5:$H$1570,6,FALSE)</f>
        <v>#N/A</v>
      </c>
    </row>
    <row r="548" spans="1:11">
      <c r="A548" s="90">
        <v>125317119521</v>
      </c>
      <c r="B548" s="1" t="s">
        <v>8</v>
      </c>
      <c r="C548" s="43" t="s">
        <v>1849</v>
      </c>
      <c r="D548" s="1" t="s">
        <v>1780</v>
      </c>
      <c r="E548" s="43" t="s">
        <v>1864</v>
      </c>
      <c r="F548" s="37" t="s">
        <v>1782</v>
      </c>
      <c r="G548" s="44">
        <v>36300</v>
      </c>
      <c r="H548" s="44">
        <v>217.8</v>
      </c>
      <c r="K548" s="4" t="e">
        <f>VLOOKUP(A548,Detallado!$C$5:$H$1570,6,FALSE)</f>
        <v>#N/A</v>
      </c>
    </row>
    <row r="549" spans="1:11">
      <c r="A549" s="90">
        <v>125317118715</v>
      </c>
      <c r="B549" s="1" t="s">
        <v>8</v>
      </c>
      <c r="C549" s="43" t="s">
        <v>1849</v>
      </c>
      <c r="D549" s="1" t="s">
        <v>1780</v>
      </c>
      <c r="E549" s="43" t="s">
        <v>1864</v>
      </c>
      <c r="F549" s="37" t="s">
        <v>1782</v>
      </c>
      <c r="G549" s="44">
        <v>3900</v>
      </c>
      <c r="H549" s="44">
        <v>23.4</v>
      </c>
      <c r="K549" s="4" t="e">
        <f>VLOOKUP(A549,Detallado!$C$5:$H$1570,6,FALSE)</f>
        <v>#N/A</v>
      </c>
    </row>
    <row r="550" spans="1:11">
      <c r="A550" s="90">
        <v>125316809887</v>
      </c>
      <c r="B550" s="1" t="s">
        <v>8</v>
      </c>
      <c r="C550" s="43" t="s">
        <v>1849</v>
      </c>
      <c r="D550" s="1" t="s">
        <v>1780</v>
      </c>
      <c r="E550" s="43" t="s">
        <v>1864</v>
      </c>
      <c r="F550" s="37" t="s">
        <v>1782</v>
      </c>
      <c r="G550" s="44">
        <v>8600</v>
      </c>
      <c r="H550" s="44">
        <v>51.6</v>
      </c>
      <c r="K550" s="4" t="e">
        <f>VLOOKUP(A550,Detallado!$C$5:$H$1570,6,FALSE)</f>
        <v>#N/A</v>
      </c>
    </row>
    <row r="551" spans="1:11">
      <c r="A551" s="90">
        <v>126007328626</v>
      </c>
      <c r="B551" s="1" t="s">
        <v>8</v>
      </c>
      <c r="C551" s="43" t="s">
        <v>1864</v>
      </c>
      <c r="D551" s="1" t="s">
        <v>1780</v>
      </c>
      <c r="E551" s="43" t="s">
        <v>1864</v>
      </c>
      <c r="F551" s="37" t="s">
        <v>1782</v>
      </c>
      <c r="G551" s="44">
        <v>10000</v>
      </c>
      <c r="H551" s="44">
        <v>60</v>
      </c>
      <c r="K551" s="4" t="e">
        <f>VLOOKUP(A551,Detallado!$C$5:$H$1570,6,FALSE)</f>
        <v>#N/A</v>
      </c>
    </row>
    <row r="552" spans="1:11">
      <c r="A552" s="90">
        <v>126007254642</v>
      </c>
      <c r="B552" s="1" t="s">
        <v>8</v>
      </c>
      <c r="C552" s="43" t="s">
        <v>1864</v>
      </c>
      <c r="D552" s="1" t="s">
        <v>1780</v>
      </c>
      <c r="E552" s="43" t="s">
        <v>1864</v>
      </c>
      <c r="F552" s="37" t="s">
        <v>1782</v>
      </c>
      <c r="G552" s="44">
        <v>3500</v>
      </c>
      <c r="H552" s="44">
        <v>21</v>
      </c>
      <c r="K552" s="4" t="e">
        <f>VLOOKUP(A552,Detallado!$C$5:$H$1570,6,FALSE)</f>
        <v>#N/A</v>
      </c>
    </row>
    <row r="553" spans="1:11">
      <c r="A553" s="90">
        <v>126007138224</v>
      </c>
      <c r="B553" s="1" t="s">
        <v>1790</v>
      </c>
      <c r="C553" s="43" t="s">
        <v>1864</v>
      </c>
      <c r="D553" s="1" t="s">
        <v>1780</v>
      </c>
      <c r="E553" s="43" t="s">
        <v>1864</v>
      </c>
      <c r="F553" s="37" t="s">
        <v>1782</v>
      </c>
      <c r="G553" s="44">
        <v>48400</v>
      </c>
      <c r="H553" s="44">
        <v>290.39999999999998</v>
      </c>
      <c r="K553" s="4" t="e">
        <f>VLOOKUP(A553,Detallado!$C$5:$H$1570,6,FALSE)</f>
        <v>#N/A</v>
      </c>
    </row>
    <row r="554" spans="1:11">
      <c r="A554" s="90">
        <v>126006713134</v>
      </c>
      <c r="B554" s="1" t="s">
        <v>1873</v>
      </c>
      <c r="C554" s="43" t="s">
        <v>1864</v>
      </c>
      <c r="D554" s="1" t="s">
        <v>1780</v>
      </c>
      <c r="E554" s="43" t="s">
        <v>1864</v>
      </c>
      <c r="F554" s="37" t="s">
        <v>1782</v>
      </c>
      <c r="G554" s="44">
        <v>3735</v>
      </c>
      <c r="H554" s="44">
        <v>22.41</v>
      </c>
      <c r="K554" s="4" t="e">
        <f>VLOOKUP(A554,Detallado!$C$5:$H$1570,6,FALSE)</f>
        <v>#N/A</v>
      </c>
    </row>
    <row r="555" spans="1:11">
      <c r="A555" s="90">
        <v>126006688382</v>
      </c>
      <c r="B555" s="1" t="s">
        <v>8</v>
      </c>
      <c r="C555" s="43" t="s">
        <v>1864</v>
      </c>
      <c r="D555" s="1" t="s">
        <v>1780</v>
      </c>
      <c r="E555" s="43" t="s">
        <v>1864</v>
      </c>
      <c r="F555" s="37" t="s">
        <v>1782</v>
      </c>
      <c r="G555" s="44">
        <v>34200</v>
      </c>
      <c r="H555" s="44">
        <v>205.2</v>
      </c>
      <c r="K555" s="4" t="e">
        <f>VLOOKUP(A555,Detallado!$C$5:$H$1570,6,FALSE)</f>
        <v>#N/A</v>
      </c>
    </row>
    <row r="556" spans="1:11">
      <c r="A556" s="90">
        <v>126006479850</v>
      </c>
      <c r="B556" s="1" t="s">
        <v>8</v>
      </c>
      <c r="C556" s="43" t="s">
        <v>1864</v>
      </c>
      <c r="D556" s="1" t="s">
        <v>1780</v>
      </c>
      <c r="E556" s="43" t="s">
        <v>1864</v>
      </c>
      <c r="F556" s="37" t="s">
        <v>1782</v>
      </c>
      <c r="G556" s="44">
        <v>5000</v>
      </c>
      <c r="H556" s="44">
        <v>30</v>
      </c>
      <c r="K556" s="4" t="e">
        <f>VLOOKUP(A556,Detallado!$C$5:$H$1570,6,FALSE)</f>
        <v>#N/A</v>
      </c>
    </row>
    <row r="557" spans="1:11">
      <c r="A557" s="90">
        <v>126005317084</v>
      </c>
      <c r="B557" s="1" t="s">
        <v>8</v>
      </c>
      <c r="C557" s="43" t="s">
        <v>1864</v>
      </c>
      <c r="D557" s="1" t="s">
        <v>1780</v>
      </c>
      <c r="E557" s="43" t="s">
        <v>1864</v>
      </c>
      <c r="F557" s="37" t="s">
        <v>1782</v>
      </c>
      <c r="G557" s="44">
        <v>44800</v>
      </c>
      <c r="H557" s="44">
        <v>268.8</v>
      </c>
      <c r="K557" s="4" t="e">
        <f>VLOOKUP(A557,Detallado!$C$5:$H$1570,6,FALSE)</f>
        <v>#N/A</v>
      </c>
    </row>
    <row r="558" spans="1:11">
      <c r="A558" s="90">
        <v>126004850416</v>
      </c>
      <c r="B558" s="1" t="s">
        <v>8</v>
      </c>
      <c r="C558" s="43" t="s">
        <v>1864</v>
      </c>
      <c r="D558" s="1" t="s">
        <v>1780</v>
      </c>
      <c r="E558" s="43" t="s">
        <v>1864</v>
      </c>
      <c r="F558" s="37" t="s">
        <v>1782</v>
      </c>
      <c r="G558" s="44">
        <v>44200</v>
      </c>
      <c r="H558" s="44">
        <v>265.2</v>
      </c>
      <c r="K558" s="4" t="e">
        <f>VLOOKUP(A558,Detallado!$C$5:$H$1570,6,FALSE)</f>
        <v>#N/A</v>
      </c>
    </row>
    <row r="559" spans="1:11">
      <c r="A559" s="90">
        <v>126004723518</v>
      </c>
      <c r="B559" s="1" t="s">
        <v>8</v>
      </c>
      <c r="C559" s="43" t="s">
        <v>1864</v>
      </c>
      <c r="D559" s="1" t="s">
        <v>1780</v>
      </c>
      <c r="E559" s="43" t="s">
        <v>1864</v>
      </c>
      <c r="F559" s="37" t="s">
        <v>1782</v>
      </c>
      <c r="G559" s="44">
        <v>15800</v>
      </c>
      <c r="H559" s="44">
        <v>94.8</v>
      </c>
      <c r="K559" s="4" t="e">
        <f>VLOOKUP(A559,Detallado!$C$5:$H$1570,6,FALSE)</f>
        <v>#N/A</v>
      </c>
    </row>
    <row r="560" spans="1:11">
      <c r="A560" s="90">
        <v>126004526618</v>
      </c>
      <c r="B560" s="1" t="s">
        <v>1790</v>
      </c>
      <c r="C560" s="43" t="s">
        <v>1864</v>
      </c>
      <c r="D560" s="1" t="s">
        <v>1780</v>
      </c>
      <c r="E560" s="43" t="s">
        <v>1864</v>
      </c>
      <c r="F560" s="37" t="s">
        <v>1782</v>
      </c>
      <c r="G560" s="44">
        <v>46300</v>
      </c>
      <c r="H560" s="44">
        <v>277.8</v>
      </c>
      <c r="K560" s="4" t="e">
        <f>VLOOKUP(A560,Detallado!$C$5:$H$1570,6,FALSE)</f>
        <v>#N/A</v>
      </c>
    </row>
    <row r="561" spans="1:11">
      <c r="A561" s="90">
        <v>126002231286</v>
      </c>
      <c r="B561" s="1" t="s">
        <v>8</v>
      </c>
      <c r="C561" s="43" t="s">
        <v>1864</v>
      </c>
      <c r="D561" s="1" t="s">
        <v>1780</v>
      </c>
      <c r="E561" s="43" t="s">
        <v>1864</v>
      </c>
      <c r="F561" s="37" t="s">
        <v>1782</v>
      </c>
      <c r="G561" s="44">
        <v>37000</v>
      </c>
      <c r="H561" s="44">
        <v>222</v>
      </c>
      <c r="K561" s="4" t="e">
        <f>VLOOKUP(A561,Detallado!$C$5:$H$1570,6,FALSE)</f>
        <v>#N/A</v>
      </c>
    </row>
    <row r="562" spans="1:11">
      <c r="A562" s="90">
        <v>126001791192</v>
      </c>
      <c r="B562" s="1" t="s">
        <v>8</v>
      </c>
      <c r="C562" s="43" t="s">
        <v>1864</v>
      </c>
      <c r="D562" s="1" t="s">
        <v>1780</v>
      </c>
      <c r="E562" s="43" t="s">
        <v>1864</v>
      </c>
      <c r="F562" s="37" t="s">
        <v>1782</v>
      </c>
      <c r="G562" s="44">
        <v>40700</v>
      </c>
      <c r="H562" s="44">
        <v>244.2</v>
      </c>
      <c r="K562" s="4" t="e">
        <f>VLOOKUP(A562,Detallado!$C$5:$H$1570,6,FALSE)</f>
        <v>#N/A</v>
      </c>
    </row>
    <row r="563" spans="1:11">
      <c r="A563" s="90">
        <v>126001259020</v>
      </c>
      <c r="B563" s="1" t="s">
        <v>8</v>
      </c>
      <c r="C563" s="43" t="s">
        <v>1864</v>
      </c>
      <c r="D563" s="1" t="s">
        <v>1780</v>
      </c>
      <c r="E563" s="43" t="s">
        <v>1864</v>
      </c>
      <c r="F563" s="37" t="s">
        <v>1782</v>
      </c>
      <c r="G563" s="44">
        <v>7000</v>
      </c>
      <c r="H563" s="44">
        <v>42</v>
      </c>
      <c r="K563" s="4" t="e">
        <f>VLOOKUP(A563,Detallado!$C$5:$H$1570,6,FALSE)</f>
        <v>#N/A</v>
      </c>
    </row>
    <row r="564" spans="1:11">
      <c r="A564" s="90">
        <v>126000953678</v>
      </c>
      <c r="B564" s="1" t="s">
        <v>1871</v>
      </c>
      <c r="C564" s="43" t="s">
        <v>1864</v>
      </c>
      <c r="D564" s="1" t="s">
        <v>1780</v>
      </c>
      <c r="E564" s="43" t="s">
        <v>1864</v>
      </c>
      <c r="F564" s="37" t="s">
        <v>1782</v>
      </c>
      <c r="G564" s="44">
        <v>1550</v>
      </c>
      <c r="H564" s="44">
        <v>9.3000000000000007</v>
      </c>
      <c r="K564" s="4" t="e">
        <f>VLOOKUP(A564,Detallado!$C$5:$H$1570,6,FALSE)</f>
        <v>#N/A</v>
      </c>
    </row>
    <row r="565" spans="1:11">
      <c r="A565" s="90">
        <v>126000250952</v>
      </c>
      <c r="B565" s="1" t="s">
        <v>1872</v>
      </c>
      <c r="C565" s="43" t="s">
        <v>1864</v>
      </c>
      <c r="D565" s="1" t="s">
        <v>1780</v>
      </c>
      <c r="E565" s="43" t="s">
        <v>1864</v>
      </c>
      <c r="F565" s="37" t="s">
        <v>1782</v>
      </c>
      <c r="G565" s="44">
        <v>1390</v>
      </c>
      <c r="H565" s="44">
        <v>8.34</v>
      </c>
      <c r="K565" s="4" t="e">
        <f>VLOOKUP(A565,Detallado!$C$5:$H$1570,6,FALSE)</f>
        <v>#N/A</v>
      </c>
    </row>
    <row r="566" spans="1:11">
      <c r="A566" s="90">
        <v>125999347750</v>
      </c>
      <c r="B566" s="1" t="s">
        <v>8</v>
      </c>
      <c r="C566" s="43" t="s">
        <v>1864</v>
      </c>
      <c r="D566" s="1" t="s">
        <v>1780</v>
      </c>
      <c r="E566" s="43" t="s">
        <v>1864</v>
      </c>
      <c r="F566" s="37" t="s">
        <v>1782</v>
      </c>
      <c r="G566" s="44">
        <v>37300</v>
      </c>
      <c r="H566" s="44">
        <v>223.8</v>
      </c>
      <c r="K566" s="4" t="e">
        <f>VLOOKUP(A566,Detallado!$C$5:$H$1570,6,FALSE)</f>
        <v>#N/A</v>
      </c>
    </row>
    <row r="567" spans="1:11">
      <c r="A567" s="90">
        <v>125996443306</v>
      </c>
      <c r="B567" s="1" t="s">
        <v>1790</v>
      </c>
      <c r="C567" s="43" t="s">
        <v>1864</v>
      </c>
      <c r="D567" s="1" t="s">
        <v>1780</v>
      </c>
      <c r="E567" s="43" t="s">
        <v>1864</v>
      </c>
      <c r="F567" s="37" t="s">
        <v>1782</v>
      </c>
      <c r="G567" s="44">
        <v>3900</v>
      </c>
      <c r="H567" s="44">
        <v>23.4</v>
      </c>
      <c r="K567" s="4" t="e">
        <f>VLOOKUP(A567,Detallado!$C$5:$H$1570,6,FALSE)</f>
        <v>#N/A</v>
      </c>
    </row>
    <row r="568" spans="1:11">
      <c r="A568" s="90">
        <v>125993614332</v>
      </c>
      <c r="B568" s="1" t="s">
        <v>8</v>
      </c>
      <c r="C568" s="43" t="s">
        <v>1864</v>
      </c>
      <c r="D568" s="1" t="s">
        <v>1780</v>
      </c>
      <c r="E568" s="43" t="s">
        <v>1864</v>
      </c>
      <c r="F568" s="37" t="s">
        <v>1782</v>
      </c>
      <c r="G568" s="44">
        <v>4300</v>
      </c>
      <c r="H568" s="44">
        <v>25.8</v>
      </c>
      <c r="K568" s="4" t="e">
        <f>VLOOKUP(A568,Detallado!$C$5:$H$1570,6,FALSE)</f>
        <v>#N/A</v>
      </c>
    </row>
    <row r="569" spans="1:11">
      <c r="A569" s="90">
        <v>125979013674</v>
      </c>
      <c r="B569" s="1" t="s">
        <v>1869</v>
      </c>
      <c r="C569" s="43" t="s">
        <v>1864</v>
      </c>
      <c r="D569" s="1" t="s">
        <v>1780</v>
      </c>
      <c r="E569" s="43" t="s">
        <v>1864</v>
      </c>
      <c r="F569" s="37" t="s">
        <v>1782</v>
      </c>
      <c r="G569" s="44">
        <v>645</v>
      </c>
      <c r="H569" s="44">
        <v>3.87</v>
      </c>
      <c r="K569" s="4" t="e">
        <f>VLOOKUP(A569,Detallado!$C$5:$H$1570,6,FALSE)</f>
        <v>#N/A</v>
      </c>
    </row>
    <row r="570" spans="1:11">
      <c r="A570" s="90">
        <v>125872758668</v>
      </c>
      <c r="B570" s="1" t="s">
        <v>8</v>
      </c>
      <c r="C570" s="43" t="s">
        <v>1864</v>
      </c>
      <c r="D570" s="1" t="s">
        <v>1780</v>
      </c>
      <c r="E570" s="43" t="s">
        <v>1864</v>
      </c>
      <c r="F570" s="37" t="s">
        <v>1782</v>
      </c>
      <c r="G570" s="44">
        <v>73600</v>
      </c>
      <c r="H570" s="44">
        <v>441.6</v>
      </c>
      <c r="K570" s="4" t="e">
        <f>VLOOKUP(A570,Detallado!$C$5:$H$1570,6,FALSE)</f>
        <v>#N/A</v>
      </c>
    </row>
    <row r="571" spans="1:11">
      <c r="A571" s="90">
        <v>125872587248</v>
      </c>
      <c r="B571" s="1" t="s">
        <v>1790</v>
      </c>
      <c r="C571" s="43" t="s">
        <v>1864</v>
      </c>
      <c r="D571" s="1" t="s">
        <v>1780</v>
      </c>
      <c r="E571" s="43" t="s">
        <v>1864</v>
      </c>
      <c r="F571" s="37" t="s">
        <v>1782</v>
      </c>
      <c r="G571" s="44">
        <v>17200</v>
      </c>
      <c r="H571" s="44">
        <v>103.2</v>
      </c>
      <c r="K571" s="4" t="e">
        <f>VLOOKUP(A571,Detallado!$C$5:$H$1570,6,FALSE)</f>
        <v>#N/A</v>
      </c>
    </row>
    <row r="572" spans="1:11">
      <c r="A572" s="90">
        <v>125871870980</v>
      </c>
      <c r="B572" s="1" t="s">
        <v>8</v>
      </c>
      <c r="C572" s="43" t="s">
        <v>1864</v>
      </c>
      <c r="D572" s="1" t="s">
        <v>1780</v>
      </c>
      <c r="E572" s="43" t="s">
        <v>1864</v>
      </c>
      <c r="F572" s="37" t="s">
        <v>1782</v>
      </c>
      <c r="G572" s="44">
        <v>23600</v>
      </c>
      <c r="H572" s="44">
        <v>141.6</v>
      </c>
      <c r="K572" s="4" t="e">
        <f>VLOOKUP(A572,Detallado!$C$5:$H$1570,6,FALSE)</f>
        <v>#N/A</v>
      </c>
    </row>
    <row r="573" spans="1:11">
      <c r="A573" s="90">
        <v>125871494326</v>
      </c>
      <c r="B573" s="1" t="s">
        <v>8</v>
      </c>
      <c r="C573" s="43" t="s">
        <v>1864</v>
      </c>
      <c r="D573" s="1" t="s">
        <v>1780</v>
      </c>
      <c r="E573" s="43" t="s">
        <v>1864</v>
      </c>
      <c r="F573" s="37" t="s">
        <v>1782</v>
      </c>
      <c r="G573" s="44">
        <v>31600</v>
      </c>
      <c r="H573" s="44">
        <v>189.6</v>
      </c>
      <c r="K573" s="4" t="e">
        <f>VLOOKUP(A573,Detallado!$C$5:$H$1570,6,FALSE)</f>
        <v>#N/A</v>
      </c>
    </row>
    <row r="574" spans="1:11">
      <c r="A574" s="90">
        <v>125871368350</v>
      </c>
      <c r="B574" s="1" t="s">
        <v>8</v>
      </c>
      <c r="C574" s="43" t="s">
        <v>1864</v>
      </c>
      <c r="D574" s="1" t="s">
        <v>1780</v>
      </c>
      <c r="E574" s="43" t="s">
        <v>1864</v>
      </c>
      <c r="F574" s="37" t="s">
        <v>1782</v>
      </c>
      <c r="G574" s="44">
        <v>13100</v>
      </c>
      <c r="H574" s="44">
        <v>78.599999999999994</v>
      </c>
      <c r="K574" s="4" t="e">
        <f>VLOOKUP(A574,Detallado!$C$5:$H$1570,6,FALSE)</f>
        <v>#N/A</v>
      </c>
    </row>
    <row r="575" spans="1:11">
      <c r="A575" s="90">
        <v>125871359326</v>
      </c>
      <c r="B575" s="1" t="s">
        <v>8</v>
      </c>
      <c r="C575" s="43" t="s">
        <v>1864</v>
      </c>
      <c r="D575" s="1" t="s">
        <v>1780</v>
      </c>
      <c r="E575" s="43" t="s">
        <v>1864</v>
      </c>
      <c r="F575" s="37" t="s">
        <v>1782</v>
      </c>
      <c r="G575" s="44">
        <v>22900</v>
      </c>
      <c r="H575" s="44">
        <v>137.4</v>
      </c>
      <c r="K575" s="4" t="e">
        <f>VLOOKUP(A575,Detallado!$C$5:$H$1570,6,FALSE)</f>
        <v>#N/A</v>
      </c>
    </row>
    <row r="576" spans="1:11">
      <c r="A576" s="90">
        <v>125870474672</v>
      </c>
      <c r="B576" s="1" t="s">
        <v>8</v>
      </c>
      <c r="C576" s="43" t="s">
        <v>1864</v>
      </c>
      <c r="D576" s="1" t="s">
        <v>1780</v>
      </c>
      <c r="E576" s="43" t="s">
        <v>1864</v>
      </c>
      <c r="F576" s="37" t="s">
        <v>1782</v>
      </c>
      <c r="G576" s="44">
        <v>44500</v>
      </c>
      <c r="H576" s="44">
        <v>267</v>
      </c>
      <c r="K576" s="4" t="e">
        <f>VLOOKUP(A576,Detallado!$C$5:$H$1570,6,FALSE)</f>
        <v>#N/A</v>
      </c>
    </row>
    <row r="577" spans="1:11">
      <c r="A577" s="90">
        <v>125869681610</v>
      </c>
      <c r="B577" s="1" t="s">
        <v>8</v>
      </c>
      <c r="C577" s="43" t="s">
        <v>1864</v>
      </c>
      <c r="D577" s="1" t="s">
        <v>1780</v>
      </c>
      <c r="E577" s="43" t="s">
        <v>1864</v>
      </c>
      <c r="F577" s="37" t="s">
        <v>1782</v>
      </c>
      <c r="G577" s="44">
        <v>8600</v>
      </c>
      <c r="H577" s="44">
        <v>51.6</v>
      </c>
      <c r="K577" s="4" t="e">
        <f>VLOOKUP(A577,Detallado!$C$5:$H$1570,6,FALSE)</f>
        <v>#N/A</v>
      </c>
    </row>
    <row r="578" spans="1:11">
      <c r="A578" s="90">
        <v>125869530502</v>
      </c>
      <c r="B578" s="1" t="s">
        <v>8</v>
      </c>
      <c r="C578" s="43" t="s">
        <v>1864</v>
      </c>
      <c r="D578" s="1" t="s">
        <v>1780</v>
      </c>
      <c r="E578" s="43" t="s">
        <v>1864</v>
      </c>
      <c r="F578" s="37" t="s">
        <v>1782</v>
      </c>
      <c r="G578" s="44">
        <v>93600</v>
      </c>
      <c r="H578" s="44">
        <v>561.6</v>
      </c>
      <c r="K578" s="4" t="e">
        <f>VLOOKUP(A578,Detallado!$C$5:$H$1570,6,FALSE)</f>
        <v>#N/A</v>
      </c>
    </row>
    <row r="579" spans="1:11">
      <c r="A579" s="90">
        <v>125869507316</v>
      </c>
      <c r="B579" s="1" t="s">
        <v>8</v>
      </c>
      <c r="C579" s="43" t="s">
        <v>1864</v>
      </c>
      <c r="D579" s="1" t="s">
        <v>1780</v>
      </c>
      <c r="E579" s="43" t="s">
        <v>1864</v>
      </c>
      <c r="F579" s="37" t="s">
        <v>1782</v>
      </c>
      <c r="G579" s="44">
        <v>27900</v>
      </c>
      <c r="H579" s="44">
        <v>167.4</v>
      </c>
      <c r="K579" s="4" t="e">
        <f>VLOOKUP(A579,Detallado!$C$5:$H$1570,6,FALSE)</f>
        <v>#N/A</v>
      </c>
    </row>
    <row r="580" spans="1:11">
      <c r="A580" s="90">
        <v>125869422198</v>
      </c>
      <c r="B580" s="1" t="s">
        <v>8</v>
      </c>
      <c r="C580" s="43" t="s">
        <v>1864</v>
      </c>
      <c r="D580" s="1" t="s">
        <v>1780</v>
      </c>
      <c r="E580" s="43" t="s">
        <v>1864</v>
      </c>
      <c r="F580" s="37" t="s">
        <v>1782</v>
      </c>
      <c r="G580" s="44">
        <v>81300</v>
      </c>
      <c r="H580" s="44">
        <v>487.8</v>
      </c>
      <c r="K580" s="4" t="e">
        <f>VLOOKUP(A580,Detallado!$C$5:$H$1570,6,FALSE)</f>
        <v>#N/A</v>
      </c>
    </row>
    <row r="581" spans="1:11">
      <c r="A581" s="90">
        <v>125869092878</v>
      </c>
      <c r="B581" s="1" t="s">
        <v>8</v>
      </c>
      <c r="C581" s="43" t="s">
        <v>1864</v>
      </c>
      <c r="D581" s="1" t="s">
        <v>1780</v>
      </c>
      <c r="E581" s="43" t="s">
        <v>1864</v>
      </c>
      <c r="F581" s="37" t="s">
        <v>1782</v>
      </c>
      <c r="G581" s="44">
        <v>8600</v>
      </c>
      <c r="H581" s="44">
        <v>51.6</v>
      </c>
      <c r="K581" s="4" t="e">
        <f>VLOOKUP(A581,Detallado!$C$5:$H$1570,6,FALSE)</f>
        <v>#N/A</v>
      </c>
    </row>
    <row r="582" spans="1:11">
      <c r="A582" s="90">
        <v>125868559084</v>
      </c>
      <c r="B582" s="1" t="s">
        <v>8</v>
      </c>
      <c r="C582" s="43" t="s">
        <v>1864</v>
      </c>
      <c r="D582" s="1" t="s">
        <v>1780</v>
      </c>
      <c r="E582" s="43" t="s">
        <v>1864</v>
      </c>
      <c r="F582" s="37" t="s">
        <v>1782</v>
      </c>
      <c r="G582" s="44">
        <v>38400</v>
      </c>
      <c r="H582" s="44">
        <v>230.4</v>
      </c>
      <c r="K582" s="4" t="e">
        <f>VLOOKUP(A582,Detallado!$C$5:$H$1570,6,FALSE)</f>
        <v>#N/A</v>
      </c>
    </row>
    <row r="583" spans="1:11">
      <c r="A583" s="90">
        <v>125456097501</v>
      </c>
      <c r="B583" s="1" t="s">
        <v>1790</v>
      </c>
      <c r="C583" s="43" t="s">
        <v>1864</v>
      </c>
      <c r="D583" s="1" t="s">
        <v>1780</v>
      </c>
      <c r="E583" s="43" t="s">
        <v>1864</v>
      </c>
      <c r="F583" s="37" t="s">
        <v>1782</v>
      </c>
      <c r="G583" s="44">
        <v>17900</v>
      </c>
      <c r="H583" s="44">
        <v>107.4</v>
      </c>
      <c r="K583" s="4" t="e">
        <f>VLOOKUP(A583,Detallado!$C$5:$H$1570,6,FALSE)</f>
        <v>#N/A</v>
      </c>
    </row>
    <row r="584" spans="1:11">
      <c r="A584" s="90">
        <v>125455999533</v>
      </c>
      <c r="B584" s="1" t="s">
        <v>1790</v>
      </c>
      <c r="C584" s="43" t="s">
        <v>1864</v>
      </c>
      <c r="D584" s="1" t="s">
        <v>1780</v>
      </c>
      <c r="E584" s="43" t="s">
        <v>1864</v>
      </c>
      <c r="F584" s="37" t="s">
        <v>1782</v>
      </c>
      <c r="G584" s="44">
        <v>73000</v>
      </c>
      <c r="H584" s="44">
        <v>438</v>
      </c>
      <c r="K584" s="4" t="e">
        <f>VLOOKUP(A584,Detallado!$C$5:$H$1570,6,FALSE)</f>
        <v>#N/A</v>
      </c>
    </row>
    <row r="585" spans="1:11">
      <c r="A585" s="90">
        <v>125455496263</v>
      </c>
      <c r="B585" s="1" t="s">
        <v>8</v>
      </c>
      <c r="C585" s="43" t="s">
        <v>1864</v>
      </c>
      <c r="D585" s="1" t="s">
        <v>1780</v>
      </c>
      <c r="E585" s="43" t="s">
        <v>1864</v>
      </c>
      <c r="F585" s="37" t="s">
        <v>1782</v>
      </c>
      <c r="G585" s="44">
        <v>74700</v>
      </c>
      <c r="H585" s="44">
        <v>448.2</v>
      </c>
      <c r="K585" s="4" t="e">
        <f>VLOOKUP(A585,Detallado!$C$5:$H$1570,6,FALSE)</f>
        <v>#N/A</v>
      </c>
    </row>
    <row r="586" spans="1:11">
      <c r="A586" s="90">
        <v>125455209189</v>
      </c>
      <c r="B586" s="1" t="s">
        <v>1790</v>
      </c>
      <c r="C586" s="43" t="s">
        <v>1864</v>
      </c>
      <c r="D586" s="1" t="s">
        <v>1780</v>
      </c>
      <c r="E586" s="43" t="s">
        <v>1864</v>
      </c>
      <c r="F586" s="37" t="s">
        <v>1782</v>
      </c>
      <c r="G586" s="44">
        <v>28200</v>
      </c>
      <c r="H586" s="44">
        <v>169.2</v>
      </c>
      <c r="K586" s="4" t="e">
        <f>VLOOKUP(A586,Detallado!$C$5:$H$1570,6,FALSE)</f>
        <v>#N/A</v>
      </c>
    </row>
    <row r="587" spans="1:11">
      <c r="A587" s="90">
        <v>125455143547</v>
      </c>
      <c r="B587" s="1" t="s">
        <v>1790</v>
      </c>
      <c r="C587" s="43" t="s">
        <v>1864</v>
      </c>
      <c r="D587" s="1" t="s">
        <v>1780</v>
      </c>
      <c r="E587" s="43" t="s">
        <v>1864</v>
      </c>
      <c r="F587" s="37" t="s">
        <v>1782</v>
      </c>
      <c r="G587" s="44">
        <v>8200</v>
      </c>
      <c r="H587" s="44">
        <v>49.2</v>
      </c>
      <c r="K587" s="4" t="e">
        <f>VLOOKUP(A587,Detallado!$C$5:$H$1570,6,FALSE)</f>
        <v>#N/A</v>
      </c>
    </row>
    <row r="588" spans="1:11">
      <c r="A588" s="90">
        <v>125454937941</v>
      </c>
      <c r="B588" s="1" t="s">
        <v>8</v>
      </c>
      <c r="C588" s="43" t="s">
        <v>1864</v>
      </c>
      <c r="D588" s="1" t="s">
        <v>1780</v>
      </c>
      <c r="E588" s="43" t="s">
        <v>1864</v>
      </c>
      <c r="F588" s="37" t="s">
        <v>1782</v>
      </c>
      <c r="G588" s="44">
        <v>11300</v>
      </c>
      <c r="H588" s="44">
        <v>67.8</v>
      </c>
      <c r="K588" s="4" t="e">
        <f>VLOOKUP(A588,Detallado!$C$5:$H$1570,6,FALSE)</f>
        <v>#N/A</v>
      </c>
    </row>
    <row r="589" spans="1:11">
      <c r="A589" s="90">
        <v>125454342423</v>
      </c>
      <c r="B589" s="1" t="s">
        <v>1790</v>
      </c>
      <c r="C589" s="43" t="s">
        <v>1864</v>
      </c>
      <c r="D589" s="1" t="s">
        <v>1780</v>
      </c>
      <c r="E589" s="43" t="s">
        <v>1864</v>
      </c>
      <c r="F589" s="37" t="s">
        <v>1782</v>
      </c>
      <c r="G589" s="44">
        <v>8200</v>
      </c>
      <c r="H589" s="44">
        <v>49.2</v>
      </c>
      <c r="K589" s="4" t="e">
        <f>VLOOKUP(A589,Detallado!$C$5:$H$1570,6,FALSE)</f>
        <v>#N/A</v>
      </c>
    </row>
    <row r="590" spans="1:11">
      <c r="A590" s="90">
        <v>125453742521</v>
      </c>
      <c r="B590" s="1" t="s">
        <v>1790</v>
      </c>
      <c r="C590" s="43" t="s">
        <v>1864</v>
      </c>
      <c r="D590" s="1" t="s">
        <v>1780</v>
      </c>
      <c r="E590" s="43" t="s">
        <v>1864</v>
      </c>
      <c r="F590" s="37" t="s">
        <v>1782</v>
      </c>
      <c r="G590" s="44">
        <v>40100</v>
      </c>
      <c r="H590" s="44">
        <v>240.6</v>
      </c>
      <c r="K590" s="4" t="e">
        <f>VLOOKUP(A590,Detallado!$C$5:$H$1570,6,FALSE)</f>
        <v>#N/A</v>
      </c>
    </row>
    <row r="591" spans="1:11">
      <c r="A591" s="90">
        <v>125453295123</v>
      </c>
      <c r="B591" s="1" t="s">
        <v>8</v>
      </c>
      <c r="C591" s="43" t="s">
        <v>1864</v>
      </c>
      <c r="D591" s="1" t="s">
        <v>1780</v>
      </c>
      <c r="E591" s="43" t="s">
        <v>1864</v>
      </c>
      <c r="F591" s="37" t="s">
        <v>1782</v>
      </c>
      <c r="G591" s="44">
        <v>8200</v>
      </c>
      <c r="H591" s="44">
        <v>49.2</v>
      </c>
      <c r="K591" s="4" t="e">
        <f>VLOOKUP(A591,Detallado!$C$5:$H$1570,6,FALSE)</f>
        <v>#N/A</v>
      </c>
    </row>
    <row r="592" spans="1:11">
      <c r="A592" s="90">
        <v>125452973303</v>
      </c>
      <c r="B592" s="1" t="s">
        <v>8</v>
      </c>
      <c r="C592" s="43" t="s">
        <v>1864</v>
      </c>
      <c r="D592" s="1" t="s">
        <v>1780</v>
      </c>
      <c r="E592" s="43" t="s">
        <v>1864</v>
      </c>
      <c r="F592" s="37" t="s">
        <v>1782</v>
      </c>
      <c r="G592" s="44">
        <v>21700</v>
      </c>
      <c r="H592" s="44">
        <v>130.19999999999999</v>
      </c>
      <c r="K592" s="4" t="e">
        <f>VLOOKUP(A592,Detallado!$C$5:$H$1570,6,FALSE)</f>
        <v>#N/A</v>
      </c>
    </row>
    <row r="593" spans="1:11">
      <c r="A593" s="90">
        <v>125451713543</v>
      </c>
      <c r="B593" s="1" t="s">
        <v>1790</v>
      </c>
      <c r="C593" s="43" t="s">
        <v>1864</v>
      </c>
      <c r="D593" s="1" t="s">
        <v>1780</v>
      </c>
      <c r="E593" s="43" t="s">
        <v>1864</v>
      </c>
      <c r="F593" s="37" t="s">
        <v>1782</v>
      </c>
      <c r="G593" s="44">
        <v>54600</v>
      </c>
      <c r="H593" s="44">
        <v>327.60000000000002</v>
      </c>
      <c r="K593" s="4" t="e">
        <f>VLOOKUP(A593,Detallado!$C$5:$H$1570,6,FALSE)</f>
        <v>#N/A</v>
      </c>
    </row>
    <row r="594" spans="1:11">
      <c r="A594" s="90">
        <v>125451470875</v>
      </c>
      <c r="B594" s="1" t="s">
        <v>8</v>
      </c>
      <c r="C594" s="43" t="s">
        <v>1864</v>
      </c>
      <c r="D594" s="1" t="s">
        <v>1780</v>
      </c>
      <c r="E594" s="43" t="s">
        <v>1864</v>
      </c>
      <c r="F594" s="37" t="s">
        <v>1782</v>
      </c>
      <c r="G594" s="44">
        <v>8000</v>
      </c>
      <c r="H594" s="44">
        <v>48</v>
      </c>
      <c r="K594" s="4" t="e">
        <f>VLOOKUP(A594,Detallado!$C$5:$H$1570,6,FALSE)</f>
        <v>#N/A</v>
      </c>
    </row>
    <row r="595" spans="1:11">
      <c r="A595" s="90">
        <v>125449622091</v>
      </c>
      <c r="B595" s="1" t="s">
        <v>8</v>
      </c>
      <c r="C595" s="43" t="s">
        <v>1864</v>
      </c>
      <c r="D595" s="1" t="s">
        <v>1780</v>
      </c>
      <c r="E595" s="43" t="s">
        <v>1864</v>
      </c>
      <c r="F595" s="37" t="s">
        <v>1782</v>
      </c>
      <c r="G595" s="44">
        <v>31000</v>
      </c>
      <c r="H595" s="44">
        <v>186</v>
      </c>
      <c r="K595" s="4" t="e">
        <f>VLOOKUP(A595,Detallado!$C$5:$H$1570,6,FALSE)</f>
        <v>#N/A</v>
      </c>
    </row>
    <row r="596" spans="1:11">
      <c r="A596" s="90">
        <v>125449242459</v>
      </c>
      <c r="B596" s="1" t="s">
        <v>8</v>
      </c>
      <c r="C596" s="43" t="s">
        <v>1864</v>
      </c>
      <c r="D596" s="1" t="s">
        <v>1780</v>
      </c>
      <c r="E596" s="43" t="s">
        <v>1864</v>
      </c>
      <c r="F596" s="37" t="s">
        <v>1782</v>
      </c>
      <c r="G596" s="44">
        <v>39000</v>
      </c>
      <c r="H596" s="44">
        <v>234</v>
      </c>
      <c r="K596" s="4" t="e">
        <f>VLOOKUP(A596,Detallado!$C$5:$H$1570,6,FALSE)</f>
        <v>#N/A</v>
      </c>
    </row>
    <row r="597" spans="1:11">
      <c r="A597" s="90">
        <v>125449173473</v>
      </c>
      <c r="B597" s="1" t="s">
        <v>1870</v>
      </c>
      <c r="C597" s="43" t="s">
        <v>1864</v>
      </c>
      <c r="D597" s="1" t="s">
        <v>1780</v>
      </c>
      <c r="E597" s="43" t="s">
        <v>1864</v>
      </c>
      <c r="F597" s="37" t="s">
        <v>1782</v>
      </c>
      <c r="G597" s="44">
        <v>1950</v>
      </c>
      <c r="H597" s="44">
        <v>11.7</v>
      </c>
      <c r="K597" s="4" t="e">
        <f>VLOOKUP(A597,Detallado!$C$5:$H$1570,6,FALSE)</f>
        <v>#N/A</v>
      </c>
    </row>
    <row r="598" spans="1:11">
      <c r="A598" s="90">
        <v>125449062915</v>
      </c>
      <c r="B598" s="1" t="s">
        <v>8</v>
      </c>
      <c r="C598" s="43" t="s">
        <v>1864</v>
      </c>
      <c r="D598" s="1" t="s">
        <v>1780</v>
      </c>
      <c r="E598" s="43" t="s">
        <v>1864</v>
      </c>
      <c r="F598" s="37" t="s">
        <v>1782</v>
      </c>
      <c r="G598" s="44">
        <v>27800</v>
      </c>
      <c r="H598" s="44">
        <v>166.8</v>
      </c>
      <c r="K598" s="4" t="e">
        <f>VLOOKUP(A598,Detallado!$C$5:$H$1570,6,FALSE)</f>
        <v>#N/A</v>
      </c>
    </row>
    <row r="599" spans="1:11">
      <c r="A599" s="90">
        <v>125447857505</v>
      </c>
      <c r="B599" s="1" t="s">
        <v>1790</v>
      </c>
      <c r="C599" s="43" t="s">
        <v>1864</v>
      </c>
      <c r="D599" s="1" t="s">
        <v>1780</v>
      </c>
      <c r="E599" s="43" t="s">
        <v>1864</v>
      </c>
      <c r="F599" s="37" t="s">
        <v>1782</v>
      </c>
      <c r="G599" s="44">
        <v>4300</v>
      </c>
      <c r="H599" s="44">
        <v>25.8</v>
      </c>
      <c r="K599" s="4" t="e">
        <f>VLOOKUP(A599,Detallado!$C$5:$H$1570,6,FALSE)</f>
        <v>#N/A</v>
      </c>
    </row>
    <row r="600" spans="1:11">
      <c r="A600" s="90">
        <v>125446989707</v>
      </c>
      <c r="B600" s="1" t="s">
        <v>1790</v>
      </c>
      <c r="C600" s="43" t="s">
        <v>1864</v>
      </c>
      <c r="D600" s="1" t="s">
        <v>1780</v>
      </c>
      <c r="E600" s="43" t="s">
        <v>1864</v>
      </c>
      <c r="F600" s="37" t="s">
        <v>1782</v>
      </c>
      <c r="G600" s="44">
        <v>26500</v>
      </c>
      <c r="H600" s="44">
        <v>159</v>
      </c>
      <c r="K600" s="4" t="e">
        <f>VLOOKUP(A600,Detallado!$C$5:$H$1570,6,FALSE)</f>
        <v>#N/A</v>
      </c>
    </row>
    <row r="601" spans="1:11">
      <c r="A601" s="90">
        <v>125446961843</v>
      </c>
      <c r="B601" s="1" t="s">
        <v>1790</v>
      </c>
      <c r="C601" s="43" t="s">
        <v>1864</v>
      </c>
      <c r="D601" s="1" t="s">
        <v>1780</v>
      </c>
      <c r="E601" s="43" t="s">
        <v>1864</v>
      </c>
      <c r="F601" s="37" t="s">
        <v>1782</v>
      </c>
      <c r="G601" s="44">
        <v>32700</v>
      </c>
      <c r="H601" s="44">
        <v>196.2</v>
      </c>
      <c r="K601" s="4" t="e">
        <f>VLOOKUP(A601,Detallado!$C$5:$H$1570,6,FALSE)</f>
        <v>#N/A</v>
      </c>
    </row>
    <row r="602" spans="1:11">
      <c r="A602" s="90">
        <v>125437996133</v>
      </c>
      <c r="B602" s="1" t="s">
        <v>1790</v>
      </c>
      <c r="C602" s="43" t="s">
        <v>1864</v>
      </c>
      <c r="D602" s="1" t="s">
        <v>1780</v>
      </c>
      <c r="E602" s="43" t="s">
        <v>1864</v>
      </c>
      <c r="F602" s="37" t="s">
        <v>1782</v>
      </c>
      <c r="G602" s="44">
        <v>25600</v>
      </c>
      <c r="H602" s="44">
        <v>153.6</v>
      </c>
      <c r="K602" s="4" t="e">
        <f>VLOOKUP(A602,Detallado!$C$5:$H$1570,6,FALSE)</f>
        <v>#N/A</v>
      </c>
    </row>
    <row r="603" spans="1:11">
      <c r="A603" s="90">
        <v>125437828867</v>
      </c>
      <c r="B603" s="1" t="s">
        <v>8</v>
      </c>
      <c r="C603" s="43" t="s">
        <v>1864</v>
      </c>
      <c r="D603" s="1" t="s">
        <v>1780</v>
      </c>
      <c r="E603" s="43" t="s">
        <v>1864</v>
      </c>
      <c r="F603" s="37" t="s">
        <v>1782</v>
      </c>
      <c r="G603" s="44">
        <v>8800</v>
      </c>
      <c r="H603" s="44">
        <v>52.8</v>
      </c>
      <c r="K603" s="4" t="e">
        <f>VLOOKUP(A603,Detallado!$C$5:$H$1570,6,FALSE)</f>
        <v>#N/A</v>
      </c>
    </row>
    <row r="604" spans="1:11">
      <c r="A604" s="90">
        <v>125437433757</v>
      </c>
      <c r="B604" s="1" t="s">
        <v>1790</v>
      </c>
      <c r="C604" s="43" t="s">
        <v>1864</v>
      </c>
      <c r="D604" s="1" t="s">
        <v>1780</v>
      </c>
      <c r="E604" s="43" t="s">
        <v>1864</v>
      </c>
      <c r="F604" s="37" t="s">
        <v>1782</v>
      </c>
      <c r="G604" s="44">
        <v>12100</v>
      </c>
      <c r="H604" s="44">
        <v>72.599999999999994</v>
      </c>
      <c r="K604" s="4" t="e">
        <f>VLOOKUP(A604,Detallado!$C$5:$H$1570,6,FALSE)</f>
        <v>#N/A</v>
      </c>
    </row>
    <row r="605" spans="1:11">
      <c r="A605" s="90">
        <v>125437359297</v>
      </c>
      <c r="B605" s="1" t="s">
        <v>1790</v>
      </c>
      <c r="C605" s="43" t="s">
        <v>1864</v>
      </c>
      <c r="D605" s="1" t="s">
        <v>1780</v>
      </c>
      <c r="E605" s="43" t="s">
        <v>1864</v>
      </c>
      <c r="F605" s="37" t="s">
        <v>1782</v>
      </c>
      <c r="G605" s="44">
        <v>4100</v>
      </c>
      <c r="H605" s="44">
        <v>24.6</v>
      </c>
      <c r="K605" s="4" t="e">
        <f>VLOOKUP(A605,Detallado!$C$5:$H$1570,6,FALSE)</f>
        <v>#N/A</v>
      </c>
    </row>
    <row r="606" spans="1:11">
      <c r="A606" s="90">
        <v>125433898761</v>
      </c>
      <c r="B606" s="1" t="s">
        <v>8</v>
      </c>
      <c r="C606" s="43" t="s">
        <v>1864</v>
      </c>
      <c r="D606" s="1" t="s">
        <v>1780</v>
      </c>
      <c r="E606" s="43" t="s">
        <v>1864</v>
      </c>
      <c r="F606" s="37" t="s">
        <v>1782</v>
      </c>
      <c r="G606" s="44">
        <v>35700</v>
      </c>
      <c r="H606" s="44">
        <v>214.2</v>
      </c>
      <c r="K606" s="4" t="e">
        <f>VLOOKUP(A606,Detallado!$C$5:$H$1570,6,FALSE)</f>
        <v>#N/A</v>
      </c>
    </row>
    <row r="607" spans="1:11">
      <c r="A607" s="90">
        <v>125433504737</v>
      </c>
      <c r="B607" s="1" t="s">
        <v>1790</v>
      </c>
      <c r="C607" s="43" t="s">
        <v>1864</v>
      </c>
      <c r="D607" s="1" t="s">
        <v>1780</v>
      </c>
      <c r="E607" s="43" t="s">
        <v>1864</v>
      </c>
      <c r="F607" s="37" t="s">
        <v>1782</v>
      </c>
      <c r="G607" s="44">
        <v>10800</v>
      </c>
      <c r="H607" s="44">
        <v>64.8</v>
      </c>
      <c r="K607" s="4" t="e">
        <f>VLOOKUP(A607,Detallado!$C$5:$H$1570,6,FALSE)</f>
        <v>#N/A</v>
      </c>
    </row>
    <row r="608" spans="1:11">
      <c r="A608" s="90">
        <v>125427741477</v>
      </c>
      <c r="B608" s="1" t="s">
        <v>8</v>
      </c>
      <c r="C608" s="43" t="s">
        <v>1864</v>
      </c>
      <c r="D608" s="1" t="s">
        <v>1780</v>
      </c>
      <c r="E608" s="43" t="s">
        <v>1864</v>
      </c>
      <c r="F608" s="37" t="s">
        <v>1782</v>
      </c>
      <c r="G608" s="44">
        <v>12900</v>
      </c>
      <c r="H608" s="44">
        <v>77.400000000000006</v>
      </c>
      <c r="K608" s="4" t="e">
        <f>VLOOKUP(A608,Detallado!$C$5:$H$1570,6,FALSE)</f>
        <v>#N/A</v>
      </c>
    </row>
    <row r="609" spans="1:16">
      <c r="A609" s="90">
        <v>125323011517</v>
      </c>
      <c r="B609" s="1" t="s">
        <v>8</v>
      </c>
      <c r="C609" s="43" t="s">
        <v>1864</v>
      </c>
      <c r="D609" s="1" t="s">
        <v>1780</v>
      </c>
      <c r="E609" s="43" t="s">
        <v>1864</v>
      </c>
      <c r="F609" s="37" t="s">
        <v>1782</v>
      </c>
      <c r="G609" s="44">
        <v>48500</v>
      </c>
      <c r="H609" s="44">
        <v>291</v>
      </c>
      <c r="K609" s="4" t="e">
        <f>VLOOKUP(A609,Detallado!$C$5:$H$1570,6,FALSE)</f>
        <v>#N/A</v>
      </c>
    </row>
    <row r="610" spans="1:16">
      <c r="A610" s="90">
        <v>125322888369</v>
      </c>
      <c r="B610" s="1" t="s">
        <v>8</v>
      </c>
      <c r="C610" s="43" t="s">
        <v>1864</v>
      </c>
      <c r="D610" s="1" t="s">
        <v>1780</v>
      </c>
      <c r="E610" s="43" t="s">
        <v>1864</v>
      </c>
      <c r="F610" s="37" t="s">
        <v>1782</v>
      </c>
      <c r="G610" s="44">
        <v>28400</v>
      </c>
      <c r="H610" s="44">
        <v>170.4</v>
      </c>
      <c r="K610" s="4" t="e">
        <f>VLOOKUP(A610,Detallado!$C$5:$H$1570,6,FALSE)</f>
        <v>#N/A</v>
      </c>
    </row>
    <row r="611" spans="1:16">
      <c r="A611" s="90">
        <v>125322736611</v>
      </c>
      <c r="B611" s="1" t="s">
        <v>8</v>
      </c>
      <c r="C611" s="43" t="s">
        <v>1864</v>
      </c>
      <c r="D611" s="1" t="s">
        <v>1780</v>
      </c>
      <c r="E611" s="43" t="s">
        <v>1864</v>
      </c>
      <c r="F611" s="37" t="s">
        <v>1782</v>
      </c>
      <c r="G611" s="44">
        <v>4300</v>
      </c>
      <c r="H611" s="44">
        <v>25.8</v>
      </c>
      <c r="K611" s="4" t="e">
        <f>VLOOKUP(A611,Detallado!$C$5:$H$1570,6,FALSE)</f>
        <v>#N/A</v>
      </c>
    </row>
    <row r="612" spans="1:16">
      <c r="A612" s="90">
        <v>125322503897</v>
      </c>
      <c r="B612" s="1" t="s">
        <v>1790</v>
      </c>
      <c r="C612" s="43" t="s">
        <v>1864</v>
      </c>
      <c r="D612" s="1" t="s">
        <v>1780</v>
      </c>
      <c r="E612" s="43" t="s">
        <v>1864</v>
      </c>
      <c r="F612" s="37" t="s">
        <v>1782</v>
      </c>
      <c r="G612" s="44">
        <v>53500</v>
      </c>
      <c r="H612" s="44">
        <v>321</v>
      </c>
      <c r="K612" s="4" t="e">
        <f>VLOOKUP(A612,Detallado!$C$5:$H$1570,6,FALSE)</f>
        <v>#N/A</v>
      </c>
    </row>
    <row r="613" spans="1:16">
      <c r="A613" s="90">
        <v>125322493613</v>
      </c>
      <c r="B613" s="1" t="s">
        <v>1866</v>
      </c>
      <c r="C613" s="43" t="s">
        <v>1864</v>
      </c>
      <c r="D613" s="1" t="s">
        <v>1780</v>
      </c>
      <c r="E613" s="43" t="s">
        <v>1864</v>
      </c>
      <c r="F613" s="37" t="s">
        <v>1782</v>
      </c>
      <c r="G613" s="44">
        <v>215</v>
      </c>
      <c r="H613" s="44">
        <v>1.29</v>
      </c>
      <c r="K613" s="4" t="e">
        <f>VLOOKUP(A613,Detallado!$C$5:$H$1570,6,FALSE)</f>
        <v>#N/A</v>
      </c>
    </row>
    <row r="614" spans="1:16">
      <c r="A614" s="90">
        <v>125322493065</v>
      </c>
      <c r="B614" s="1" t="s">
        <v>8</v>
      </c>
      <c r="C614" s="43" t="s">
        <v>1864</v>
      </c>
      <c r="D614" s="1" t="s">
        <v>1780</v>
      </c>
      <c r="E614" s="43" t="s">
        <v>1864</v>
      </c>
      <c r="F614" s="37" t="s">
        <v>1782</v>
      </c>
      <c r="G614" s="44">
        <v>7000</v>
      </c>
      <c r="H614" s="44">
        <v>42</v>
      </c>
      <c r="K614" s="4" t="e">
        <f>VLOOKUP(A614,Detallado!$C$5:$H$1570,6,FALSE)</f>
        <v>#N/A</v>
      </c>
    </row>
    <row r="615" spans="1:16">
      <c r="A615" s="90">
        <v>125322405401</v>
      </c>
      <c r="B615" s="1" t="s">
        <v>8</v>
      </c>
      <c r="C615" s="43" t="s">
        <v>1864</v>
      </c>
      <c r="D615" s="1" t="s">
        <v>1780</v>
      </c>
      <c r="E615" s="43" t="s">
        <v>1864</v>
      </c>
      <c r="F615" s="37" t="s">
        <v>1782</v>
      </c>
      <c r="G615" s="44">
        <v>8600</v>
      </c>
      <c r="H615" s="44">
        <v>51.6</v>
      </c>
      <c r="K615" s="4" t="e">
        <f>VLOOKUP(A615,Detallado!$C$5:$H$1570,6,FALSE)</f>
        <v>#N/A</v>
      </c>
    </row>
    <row r="616" spans="1:16">
      <c r="A616" s="90">
        <v>125322062757</v>
      </c>
      <c r="B616" s="1" t="s">
        <v>8</v>
      </c>
      <c r="C616" s="43" t="s">
        <v>1864</v>
      </c>
      <c r="D616" s="1" t="s">
        <v>1780</v>
      </c>
      <c r="E616" s="43" t="s">
        <v>1864</v>
      </c>
      <c r="F616" s="37" t="s">
        <v>1782</v>
      </c>
      <c r="G616" s="44">
        <v>14800</v>
      </c>
      <c r="H616" s="44">
        <v>88.8</v>
      </c>
      <c r="K616" s="4" t="e">
        <f>VLOOKUP(A616,Detallado!$C$5:$H$1570,6,FALSE)</f>
        <v>#N/A</v>
      </c>
    </row>
    <row r="617" spans="1:16">
      <c r="A617" s="90">
        <v>125321324087</v>
      </c>
      <c r="B617" s="1" t="s">
        <v>1790</v>
      </c>
      <c r="C617" s="43" t="s">
        <v>1864</v>
      </c>
      <c r="D617" s="1" t="s">
        <v>1780</v>
      </c>
      <c r="E617" s="43" t="s">
        <v>1864</v>
      </c>
      <c r="F617" s="37" t="s">
        <v>1782</v>
      </c>
      <c r="G617" s="44">
        <v>71200</v>
      </c>
      <c r="H617" s="44">
        <v>427.2</v>
      </c>
      <c r="K617" s="4" t="e">
        <f>VLOOKUP(A617,Detallado!$C$5:$H$1570,6,FALSE)</f>
        <v>#N/A</v>
      </c>
    </row>
    <row r="618" spans="1:16">
      <c r="A618" s="90">
        <v>125320564485</v>
      </c>
      <c r="B618" s="1" t="s">
        <v>1790</v>
      </c>
      <c r="C618" s="43" t="s">
        <v>1864</v>
      </c>
      <c r="D618" s="1" t="s">
        <v>1780</v>
      </c>
      <c r="E618" s="43" t="s">
        <v>1864</v>
      </c>
      <c r="F618" s="37" t="s">
        <v>1782</v>
      </c>
      <c r="G618" s="44">
        <v>5000</v>
      </c>
      <c r="H618" s="44">
        <v>30</v>
      </c>
      <c r="K618" s="4" t="e">
        <f>VLOOKUP(A618,Detallado!$C$5:$H$1570,6,FALSE)</f>
        <v>#N/A</v>
      </c>
    </row>
    <row r="619" spans="1:16">
      <c r="A619" s="90">
        <v>125320457011</v>
      </c>
      <c r="B619" s="1" t="s">
        <v>1790</v>
      </c>
      <c r="C619" s="43" t="s">
        <v>1864</v>
      </c>
      <c r="D619" s="1" t="s">
        <v>1780</v>
      </c>
      <c r="E619" s="43" t="s">
        <v>1864</v>
      </c>
      <c r="F619" s="37" t="s">
        <v>1782</v>
      </c>
      <c r="G619" s="44">
        <v>10000</v>
      </c>
      <c r="H619" s="44">
        <v>60</v>
      </c>
      <c r="K619" s="4" t="e">
        <f>VLOOKUP(A619,Detallado!$C$5:$H$1570,6,FALSE)</f>
        <v>#N/A</v>
      </c>
    </row>
    <row r="620" spans="1:16">
      <c r="A620" s="90">
        <v>125320055657</v>
      </c>
      <c r="B620" s="1" t="s">
        <v>1790</v>
      </c>
      <c r="C620" s="43" t="s">
        <v>1864</v>
      </c>
      <c r="D620" s="1" t="s">
        <v>1780</v>
      </c>
      <c r="E620" s="43" t="s">
        <v>1864</v>
      </c>
      <c r="F620" s="37" t="s">
        <v>1782</v>
      </c>
      <c r="G620" s="44">
        <v>8200</v>
      </c>
      <c r="H620" s="44">
        <v>49.2</v>
      </c>
      <c r="K620" s="4" t="e">
        <f>VLOOKUP(A620,Detallado!$C$5:$H$1570,6,FALSE)</f>
        <v>#N/A</v>
      </c>
    </row>
    <row r="621" spans="1:16">
      <c r="A621" s="90">
        <v>125319036607</v>
      </c>
      <c r="B621" s="1" t="s">
        <v>8</v>
      </c>
      <c r="C621" s="43" t="s">
        <v>1864</v>
      </c>
      <c r="D621" s="1" t="s">
        <v>1780</v>
      </c>
      <c r="E621" s="43" t="s">
        <v>1864</v>
      </c>
      <c r="F621" s="37" t="s">
        <v>1782</v>
      </c>
      <c r="G621" s="44">
        <v>12900</v>
      </c>
      <c r="H621" s="44">
        <v>77.400000000000006</v>
      </c>
      <c r="K621" s="4" t="e">
        <f>VLOOKUP(A621,Detallado!$C$5:$H$1570,6,FALSE)</f>
        <v>#N/A</v>
      </c>
    </row>
    <row r="622" spans="1:16">
      <c r="A622" s="90">
        <v>125319017341</v>
      </c>
      <c r="B622" s="1" t="s">
        <v>8</v>
      </c>
      <c r="C622" s="43" t="s">
        <v>1864</v>
      </c>
      <c r="D622" s="1" t="s">
        <v>1780</v>
      </c>
      <c r="E622" s="43" t="s">
        <v>1864</v>
      </c>
      <c r="F622" s="37" t="s">
        <v>1782</v>
      </c>
      <c r="G622" s="44">
        <v>18500</v>
      </c>
      <c r="H622" s="44">
        <v>111</v>
      </c>
      <c r="K622" s="4" t="e">
        <f>VLOOKUP(A622,Detallado!$C$5:$H$1570,6,FALSE)</f>
        <v>#N/A</v>
      </c>
    </row>
    <row r="623" spans="1:16">
      <c r="A623" s="90">
        <v>125318831565</v>
      </c>
      <c r="B623" s="1" t="s">
        <v>8</v>
      </c>
      <c r="C623" s="43" t="s">
        <v>1864</v>
      </c>
      <c r="D623" s="1" t="s">
        <v>1780</v>
      </c>
      <c r="E623" s="43" t="s">
        <v>1864</v>
      </c>
      <c r="F623" s="37" t="s">
        <v>1782</v>
      </c>
      <c r="G623" s="44">
        <v>17100</v>
      </c>
      <c r="H623" s="44">
        <v>102.6</v>
      </c>
      <c r="K623" s="4" t="e">
        <f>VLOOKUP(A623,Detallado!$C$5:$H$1570,6,FALSE)</f>
        <v>#N/A</v>
      </c>
    </row>
    <row r="624" spans="1:16">
      <c r="A624" s="101" t="s">
        <v>1868</v>
      </c>
      <c r="B624" s="59" t="s">
        <v>1867</v>
      </c>
      <c r="C624" s="60" t="s">
        <v>1864</v>
      </c>
      <c r="D624" s="59" t="s">
        <v>1780</v>
      </c>
      <c r="E624" s="60" t="s">
        <v>1864</v>
      </c>
      <c r="F624" s="61" t="s">
        <v>1782</v>
      </c>
      <c r="G624" s="62">
        <v>37003</v>
      </c>
      <c r="H624" s="74">
        <v>222.02</v>
      </c>
      <c r="I624" s="59"/>
      <c r="J624" s="59"/>
      <c r="K624" s="27">
        <f>-H624</f>
        <v>-222.02</v>
      </c>
      <c r="M624" s="4">
        <v>-222.01801192842686</v>
      </c>
      <c r="N624" s="66">
        <f>+K624-M624</f>
        <v>-1.9880715731517284E-3</v>
      </c>
      <c r="O624" s="1" t="s">
        <v>619</v>
      </c>
      <c r="P624" s="1">
        <f>+E624-O624</f>
        <v>0</v>
      </c>
    </row>
    <row r="625" spans="1:11">
      <c r="A625" s="90">
        <v>126010551652</v>
      </c>
      <c r="B625" s="1" t="s">
        <v>1790</v>
      </c>
      <c r="C625" s="43" t="s">
        <v>1864</v>
      </c>
      <c r="D625" s="1" t="s">
        <v>1780</v>
      </c>
      <c r="E625" s="43" t="s">
        <v>1874</v>
      </c>
      <c r="F625" s="37" t="s">
        <v>1782</v>
      </c>
      <c r="G625" s="44">
        <v>30500</v>
      </c>
      <c r="H625" s="44">
        <v>183</v>
      </c>
      <c r="K625" s="4" t="e">
        <f>VLOOKUP(A625,Detallado!$C$5:$H$1570,6,FALSE)</f>
        <v>#N/A</v>
      </c>
    </row>
    <row r="626" spans="1:11">
      <c r="A626" s="90">
        <v>126009033428</v>
      </c>
      <c r="B626" s="1" t="s">
        <v>1790</v>
      </c>
      <c r="C626" s="43" t="s">
        <v>1864</v>
      </c>
      <c r="D626" s="1" t="s">
        <v>1780</v>
      </c>
      <c r="E626" s="43" t="s">
        <v>1874</v>
      </c>
      <c r="F626" s="37" t="s">
        <v>1782</v>
      </c>
      <c r="G626" s="44">
        <v>17000</v>
      </c>
      <c r="H626" s="44">
        <v>102</v>
      </c>
      <c r="K626" s="4" t="e">
        <f>VLOOKUP(A626,Detallado!$C$5:$H$1570,6,FALSE)</f>
        <v>#N/A</v>
      </c>
    </row>
    <row r="627" spans="1:11">
      <c r="A627" s="90">
        <v>126008998174</v>
      </c>
      <c r="B627" s="1" t="s">
        <v>1790</v>
      </c>
      <c r="C627" s="43" t="s">
        <v>1864</v>
      </c>
      <c r="D627" s="1" t="s">
        <v>1780</v>
      </c>
      <c r="E627" s="43" t="s">
        <v>1874</v>
      </c>
      <c r="F627" s="37" t="s">
        <v>1782</v>
      </c>
      <c r="G627" s="44">
        <v>50700</v>
      </c>
      <c r="H627" s="44">
        <v>304.2</v>
      </c>
      <c r="K627" s="4" t="e">
        <f>VLOOKUP(A627,Detallado!$C$5:$H$1570,6,FALSE)</f>
        <v>#N/A</v>
      </c>
    </row>
    <row r="628" spans="1:11">
      <c r="A628" s="90">
        <v>126008508224</v>
      </c>
      <c r="B628" s="1" t="s">
        <v>8</v>
      </c>
      <c r="C628" s="43" t="s">
        <v>1864</v>
      </c>
      <c r="D628" s="1" t="s">
        <v>1780</v>
      </c>
      <c r="E628" s="43" t="s">
        <v>1874</v>
      </c>
      <c r="F628" s="37" t="s">
        <v>1782</v>
      </c>
      <c r="G628" s="44">
        <v>28300</v>
      </c>
      <c r="H628" s="44">
        <v>169.8</v>
      </c>
      <c r="K628" s="4" t="e">
        <f>VLOOKUP(A628,Detallado!$C$5:$H$1570,6,FALSE)</f>
        <v>#N/A</v>
      </c>
    </row>
    <row r="629" spans="1:11">
      <c r="A629" s="90">
        <v>126008501598</v>
      </c>
      <c r="B629" s="1" t="s">
        <v>1790</v>
      </c>
      <c r="C629" s="43" t="s">
        <v>1864</v>
      </c>
      <c r="D629" s="1" t="s">
        <v>1780</v>
      </c>
      <c r="E629" s="43" t="s">
        <v>1874</v>
      </c>
      <c r="F629" s="37" t="s">
        <v>1782</v>
      </c>
      <c r="G629" s="44">
        <v>43100</v>
      </c>
      <c r="H629" s="44">
        <v>258.60000000000002</v>
      </c>
      <c r="K629" s="4" t="e">
        <f>VLOOKUP(A629,Detallado!$C$5:$H$1570,6,FALSE)</f>
        <v>#N/A</v>
      </c>
    </row>
    <row r="630" spans="1:11">
      <c r="A630" s="90">
        <v>126008404306</v>
      </c>
      <c r="B630" s="1" t="s">
        <v>1790</v>
      </c>
      <c r="C630" s="43" t="s">
        <v>1864</v>
      </c>
      <c r="D630" s="1" t="s">
        <v>1780</v>
      </c>
      <c r="E630" s="43" t="s">
        <v>1874</v>
      </c>
      <c r="F630" s="37" t="s">
        <v>1782</v>
      </c>
      <c r="G630" s="44">
        <v>15600</v>
      </c>
      <c r="H630" s="44">
        <v>93.6</v>
      </c>
      <c r="K630" s="4" t="e">
        <f>VLOOKUP(A630,Detallado!$C$5:$H$1570,6,FALSE)</f>
        <v>#N/A</v>
      </c>
    </row>
    <row r="631" spans="1:11">
      <c r="A631" s="90">
        <v>126008199580</v>
      </c>
      <c r="B631" s="1" t="s">
        <v>8</v>
      </c>
      <c r="C631" s="43" t="s">
        <v>1864</v>
      </c>
      <c r="D631" s="1" t="s">
        <v>1780</v>
      </c>
      <c r="E631" s="43" t="s">
        <v>1874</v>
      </c>
      <c r="F631" s="37" t="s">
        <v>1782</v>
      </c>
      <c r="G631" s="44">
        <v>35900</v>
      </c>
      <c r="H631" s="44">
        <v>215.4</v>
      </c>
      <c r="K631" s="4" t="e">
        <f>VLOOKUP(A631,Detallado!$C$5:$H$1570,6,FALSE)</f>
        <v>#N/A</v>
      </c>
    </row>
    <row r="632" spans="1:11">
      <c r="A632" s="90">
        <v>126007613112</v>
      </c>
      <c r="B632" s="1" t="s">
        <v>8</v>
      </c>
      <c r="C632" s="43" t="s">
        <v>1864</v>
      </c>
      <c r="D632" s="1" t="s">
        <v>1780</v>
      </c>
      <c r="E632" s="43" t="s">
        <v>1874</v>
      </c>
      <c r="F632" s="37" t="s">
        <v>1782</v>
      </c>
      <c r="G632" s="44">
        <v>37000</v>
      </c>
      <c r="H632" s="44">
        <v>222</v>
      </c>
      <c r="K632" s="4" t="e">
        <f>VLOOKUP(A632,Detallado!$C$5:$H$1570,6,FALSE)</f>
        <v>#N/A</v>
      </c>
    </row>
    <row r="633" spans="1:11">
      <c r="A633" s="90">
        <v>125459061033</v>
      </c>
      <c r="B633" s="1" t="s">
        <v>1875</v>
      </c>
      <c r="C633" s="43" t="s">
        <v>1864</v>
      </c>
      <c r="D633" s="1" t="s">
        <v>1780</v>
      </c>
      <c r="E633" s="43" t="s">
        <v>1874</v>
      </c>
      <c r="F633" s="37" t="s">
        <v>1782</v>
      </c>
      <c r="G633" s="44">
        <v>2540</v>
      </c>
      <c r="H633" s="44">
        <v>15.24</v>
      </c>
      <c r="K633" s="4" t="e">
        <f>VLOOKUP(A633,Detallado!$C$5:$H$1570,6,FALSE)</f>
        <v>#N/A</v>
      </c>
    </row>
    <row r="634" spans="1:11">
      <c r="A634" s="90">
        <v>125458908029</v>
      </c>
      <c r="B634" s="1" t="s">
        <v>8</v>
      </c>
      <c r="C634" s="43" t="s">
        <v>1864</v>
      </c>
      <c r="D634" s="1" t="s">
        <v>1780</v>
      </c>
      <c r="E634" s="43" t="s">
        <v>1874</v>
      </c>
      <c r="F634" s="37" t="s">
        <v>1782</v>
      </c>
      <c r="G634" s="44">
        <v>25400</v>
      </c>
      <c r="H634" s="44">
        <v>152.4</v>
      </c>
      <c r="K634" s="4" t="e">
        <f>VLOOKUP(A634,Detallado!$C$5:$H$1570,6,FALSE)</f>
        <v>#N/A</v>
      </c>
    </row>
    <row r="635" spans="1:11">
      <c r="A635" s="90">
        <v>125458625329</v>
      </c>
      <c r="B635" s="1" t="s">
        <v>8</v>
      </c>
      <c r="C635" s="43" t="s">
        <v>1864</v>
      </c>
      <c r="D635" s="1" t="s">
        <v>1780</v>
      </c>
      <c r="E635" s="43" t="s">
        <v>1874</v>
      </c>
      <c r="F635" s="37" t="s">
        <v>1782</v>
      </c>
      <c r="G635" s="44">
        <v>8200</v>
      </c>
      <c r="H635" s="44">
        <v>49.2</v>
      </c>
      <c r="K635" s="4" t="e">
        <f>VLOOKUP(A635,Detallado!$C$5:$H$1570,6,FALSE)</f>
        <v>#N/A</v>
      </c>
    </row>
    <row r="636" spans="1:11">
      <c r="A636" s="90">
        <v>125458240273</v>
      </c>
      <c r="B636" s="1" t="s">
        <v>8</v>
      </c>
      <c r="C636" s="43" t="s">
        <v>1864</v>
      </c>
      <c r="D636" s="1" t="s">
        <v>1780</v>
      </c>
      <c r="E636" s="43" t="s">
        <v>1874</v>
      </c>
      <c r="F636" s="37" t="s">
        <v>1782</v>
      </c>
      <c r="G636" s="44">
        <v>11600</v>
      </c>
      <c r="H636" s="44">
        <v>69.599999999999994</v>
      </c>
      <c r="K636" s="4" t="e">
        <f>VLOOKUP(A636,Detallado!$C$5:$H$1570,6,FALSE)</f>
        <v>#N/A</v>
      </c>
    </row>
    <row r="637" spans="1:11">
      <c r="A637" s="90">
        <v>125457113205</v>
      </c>
      <c r="B637" s="1" t="s">
        <v>1790</v>
      </c>
      <c r="C637" s="43" t="s">
        <v>1864</v>
      </c>
      <c r="D637" s="1" t="s">
        <v>1780</v>
      </c>
      <c r="E637" s="43" t="s">
        <v>1874</v>
      </c>
      <c r="F637" s="37" t="s">
        <v>1782</v>
      </c>
      <c r="G637" s="44">
        <v>48900</v>
      </c>
      <c r="H637" s="44">
        <v>293.39999999999998</v>
      </c>
      <c r="K637" s="4" t="e">
        <f>VLOOKUP(A637,Detallado!$C$5:$H$1570,6,FALSE)</f>
        <v>#N/A</v>
      </c>
    </row>
    <row r="638" spans="1:11">
      <c r="A638" s="90">
        <v>125457086371</v>
      </c>
      <c r="B638" s="1" t="s">
        <v>8</v>
      </c>
      <c r="C638" s="43" t="s">
        <v>1864</v>
      </c>
      <c r="D638" s="1" t="s">
        <v>1780</v>
      </c>
      <c r="E638" s="43" t="s">
        <v>1874</v>
      </c>
      <c r="F638" s="37" t="s">
        <v>1782</v>
      </c>
      <c r="G638" s="44">
        <v>38400</v>
      </c>
      <c r="H638" s="44">
        <v>230.4</v>
      </c>
      <c r="K638" s="4" t="e">
        <f>VLOOKUP(A638,Detallado!$C$5:$H$1570,6,FALSE)</f>
        <v>#N/A</v>
      </c>
    </row>
    <row r="639" spans="1:11">
      <c r="A639" s="90">
        <v>125456304867</v>
      </c>
      <c r="B639" s="1" t="s">
        <v>8</v>
      </c>
      <c r="C639" s="43" t="s">
        <v>1864</v>
      </c>
      <c r="D639" s="1" t="s">
        <v>1780</v>
      </c>
      <c r="E639" s="43" t="s">
        <v>1874</v>
      </c>
      <c r="F639" s="37" t="s">
        <v>1782</v>
      </c>
      <c r="G639" s="44">
        <v>41800</v>
      </c>
      <c r="H639" s="44">
        <v>250.8</v>
      </c>
      <c r="K639" s="4" t="e">
        <f>VLOOKUP(A639,Detallado!$C$5:$H$1570,6,FALSE)</f>
        <v>#N/A</v>
      </c>
    </row>
    <row r="640" spans="1:11">
      <c r="A640" s="90">
        <v>126124056584</v>
      </c>
      <c r="B640" s="1" t="s">
        <v>1790</v>
      </c>
      <c r="C640" s="43" t="s">
        <v>1874</v>
      </c>
      <c r="D640" s="1" t="s">
        <v>1780</v>
      </c>
      <c r="E640" s="43" t="s">
        <v>1874</v>
      </c>
      <c r="F640" s="37" t="s">
        <v>1782</v>
      </c>
      <c r="G640" s="44">
        <v>104200</v>
      </c>
      <c r="H640" s="44">
        <v>625.20000000000005</v>
      </c>
      <c r="K640" s="4" t="e">
        <f>VLOOKUP(A640,Detallado!$C$5:$H$1570,6,FALSE)</f>
        <v>#N/A</v>
      </c>
    </row>
    <row r="641" spans="1:11">
      <c r="A641" s="90">
        <v>126123126956</v>
      </c>
      <c r="B641" s="1" t="s">
        <v>1790</v>
      </c>
      <c r="C641" s="43" t="s">
        <v>1874</v>
      </c>
      <c r="D641" s="1" t="s">
        <v>1780</v>
      </c>
      <c r="E641" s="43" t="s">
        <v>1874</v>
      </c>
      <c r="F641" s="37" t="s">
        <v>1782</v>
      </c>
      <c r="G641" s="44">
        <v>41200</v>
      </c>
      <c r="H641" s="44">
        <v>247.2</v>
      </c>
      <c r="K641" s="4" t="e">
        <f>VLOOKUP(A641,Detallado!$C$5:$H$1570,6,FALSE)</f>
        <v>#N/A</v>
      </c>
    </row>
    <row r="642" spans="1:11">
      <c r="A642" s="90">
        <v>126122277928</v>
      </c>
      <c r="B642" s="1" t="s">
        <v>1790</v>
      </c>
      <c r="C642" s="43" t="s">
        <v>1874</v>
      </c>
      <c r="D642" s="1" t="s">
        <v>1780</v>
      </c>
      <c r="E642" s="43" t="s">
        <v>1874</v>
      </c>
      <c r="F642" s="37" t="s">
        <v>1782</v>
      </c>
      <c r="G642" s="44">
        <v>38100</v>
      </c>
      <c r="H642" s="44">
        <v>228.6</v>
      </c>
      <c r="K642" s="4" t="e">
        <f>VLOOKUP(A642,Detallado!$C$5:$H$1570,6,FALSE)</f>
        <v>#N/A</v>
      </c>
    </row>
    <row r="643" spans="1:11">
      <c r="A643" s="90">
        <v>126121826612</v>
      </c>
      <c r="B643" s="1" t="s">
        <v>8</v>
      </c>
      <c r="C643" s="43" t="s">
        <v>1874</v>
      </c>
      <c r="D643" s="1" t="s">
        <v>1780</v>
      </c>
      <c r="E643" s="43" t="s">
        <v>1874</v>
      </c>
      <c r="F643" s="37" t="s">
        <v>1782</v>
      </c>
      <c r="G643" s="44">
        <v>22100</v>
      </c>
      <c r="H643" s="44">
        <v>132.6</v>
      </c>
      <c r="K643" s="4" t="e">
        <f>VLOOKUP(A643,Detallado!$C$5:$H$1570,6,FALSE)</f>
        <v>#N/A</v>
      </c>
    </row>
    <row r="644" spans="1:11">
      <c r="A644" s="90">
        <v>126121449144</v>
      </c>
      <c r="B644" s="1" t="s">
        <v>8</v>
      </c>
      <c r="C644" s="43" t="s">
        <v>1874</v>
      </c>
      <c r="D644" s="1" t="s">
        <v>1780</v>
      </c>
      <c r="E644" s="43" t="s">
        <v>1874</v>
      </c>
      <c r="F644" s="37" t="s">
        <v>1782</v>
      </c>
      <c r="G644" s="44">
        <v>32300</v>
      </c>
      <c r="H644" s="44">
        <v>193.8</v>
      </c>
      <c r="K644" s="4" t="e">
        <f>VLOOKUP(A644,Detallado!$C$5:$H$1570,6,FALSE)</f>
        <v>#N/A</v>
      </c>
    </row>
    <row r="645" spans="1:11">
      <c r="A645" s="90">
        <v>126121433118</v>
      </c>
      <c r="B645" s="1" t="s">
        <v>1882</v>
      </c>
      <c r="C645" s="43" t="s">
        <v>1874</v>
      </c>
      <c r="D645" s="1" t="s">
        <v>1780</v>
      </c>
      <c r="E645" s="43" t="s">
        <v>1874</v>
      </c>
      <c r="F645" s="37" t="s">
        <v>1782</v>
      </c>
      <c r="G645" s="44">
        <v>3230</v>
      </c>
      <c r="H645" s="44">
        <v>19.38</v>
      </c>
      <c r="K645" s="4" t="e">
        <f>VLOOKUP(A645,Detallado!$C$5:$H$1570,6,FALSE)</f>
        <v>#N/A</v>
      </c>
    </row>
    <row r="646" spans="1:11">
      <c r="A646" s="90">
        <v>126121422420</v>
      </c>
      <c r="B646" s="1" t="s">
        <v>8</v>
      </c>
      <c r="C646" s="43" t="s">
        <v>1874</v>
      </c>
      <c r="D646" s="1" t="s">
        <v>1780</v>
      </c>
      <c r="E646" s="43" t="s">
        <v>1874</v>
      </c>
      <c r="F646" s="37" t="s">
        <v>1782</v>
      </c>
      <c r="G646" s="44">
        <v>43100</v>
      </c>
      <c r="H646" s="44">
        <v>258.60000000000002</v>
      </c>
      <c r="K646" s="4" t="e">
        <f>VLOOKUP(A646,Detallado!$C$5:$H$1570,6,FALSE)</f>
        <v>#N/A</v>
      </c>
    </row>
    <row r="647" spans="1:11">
      <c r="A647" s="90">
        <v>126121361624</v>
      </c>
      <c r="B647" s="1" t="s">
        <v>1790</v>
      </c>
      <c r="C647" s="43" t="s">
        <v>1874</v>
      </c>
      <c r="D647" s="1" t="s">
        <v>1780</v>
      </c>
      <c r="E647" s="43" t="s">
        <v>1874</v>
      </c>
      <c r="F647" s="37" t="s">
        <v>1782</v>
      </c>
      <c r="G647" s="44">
        <v>66400</v>
      </c>
      <c r="H647" s="44">
        <v>398.4</v>
      </c>
      <c r="K647" s="4" t="e">
        <f>VLOOKUP(A647,Detallado!$C$5:$H$1570,6,FALSE)</f>
        <v>#N/A</v>
      </c>
    </row>
    <row r="648" spans="1:11">
      <c r="A648" s="90">
        <v>126120191518</v>
      </c>
      <c r="B648" s="1" t="s">
        <v>1790</v>
      </c>
      <c r="C648" s="43" t="s">
        <v>1874</v>
      </c>
      <c r="D648" s="1" t="s">
        <v>1780</v>
      </c>
      <c r="E648" s="43" t="s">
        <v>1874</v>
      </c>
      <c r="F648" s="37" t="s">
        <v>1782</v>
      </c>
      <c r="G648" s="44">
        <v>32400</v>
      </c>
      <c r="H648" s="44">
        <v>194.4</v>
      </c>
      <c r="K648" s="4" t="e">
        <f>VLOOKUP(A648,Detallado!$C$5:$H$1570,6,FALSE)</f>
        <v>#N/A</v>
      </c>
    </row>
    <row r="649" spans="1:11">
      <c r="A649" s="90">
        <v>126120126774</v>
      </c>
      <c r="B649" s="1" t="s">
        <v>1790</v>
      </c>
      <c r="C649" s="43" t="s">
        <v>1874</v>
      </c>
      <c r="D649" s="1" t="s">
        <v>1780</v>
      </c>
      <c r="E649" s="43" t="s">
        <v>1874</v>
      </c>
      <c r="F649" s="37" t="s">
        <v>1782</v>
      </c>
      <c r="G649" s="44">
        <v>27700</v>
      </c>
      <c r="H649" s="44">
        <v>166.2</v>
      </c>
      <c r="K649" s="4" t="e">
        <f>VLOOKUP(A649,Detallado!$C$5:$H$1570,6,FALSE)</f>
        <v>#N/A</v>
      </c>
    </row>
    <row r="650" spans="1:11">
      <c r="A650" s="90">
        <v>126118455600</v>
      </c>
      <c r="B650" s="1" t="s">
        <v>1790</v>
      </c>
      <c r="C650" s="43" t="s">
        <v>1874</v>
      </c>
      <c r="D650" s="1" t="s">
        <v>1780</v>
      </c>
      <c r="E650" s="43" t="s">
        <v>1874</v>
      </c>
      <c r="F650" s="37" t="s">
        <v>1782</v>
      </c>
      <c r="G650" s="44">
        <v>49600</v>
      </c>
      <c r="H650" s="44">
        <v>297.60000000000002</v>
      </c>
      <c r="K650" s="4" t="e">
        <f>VLOOKUP(A650,Detallado!$C$5:$H$1570,6,FALSE)</f>
        <v>#N/A</v>
      </c>
    </row>
    <row r="651" spans="1:11">
      <c r="A651" s="90">
        <v>126117918928</v>
      </c>
      <c r="B651" s="1" t="s">
        <v>1880</v>
      </c>
      <c r="C651" s="43" t="s">
        <v>1874</v>
      </c>
      <c r="D651" s="1" t="s">
        <v>1780</v>
      </c>
      <c r="E651" s="43" t="s">
        <v>1874</v>
      </c>
      <c r="F651" s="37" t="s">
        <v>1782</v>
      </c>
      <c r="G651" s="44">
        <v>1500</v>
      </c>
      <c r="H651" s="44">
        <v>9</v>
      </c>
      <c r="K651" s="4" t="e">
        <f>VLOOKUP(A651,Detallado!$C$5:$H$1570,6,FALSE)</f>
        <v>#N/A</v>
      </c>
    </row>
    <row r="652" spans="1:11">
      <c r="A652" s="90">
        <v>126111930026</v>
      </c>
      <c r="B652" s="1" t="s">
        <v>1790</v>
      </c>
      <c r="C652" s="43" t="s">
        <v>1874</v>
      </c>
      <c r="D652" s="1" t="s">
        <v>1780</v>
      </c>
      <c r="E652" s="43" t="s">
        <v>1874</v>
      </c>
      <c r="F652" s="37" t="s">
        <v>1782</v>
      </c>
      <c r="G652" s="44">
        <v>49600</v>
      </c>
      <c r="H652" s="44">
        <v>297.60000000000002</v>
      </c>
      <c r="K652" s="4" t="e">
        <f>VLOOKUP(A652,Detallado!$C$5:$H$1570,6,FALSE)</f>
        <v>#N/A</v>
      </c>
    </row>
    <row r="653" spans="1:11">
      <c r="A653" s="90">
        <v>126110608540</v>
      </c>
      <c r="B653" s="1" t="s">
        <v>8</v>
      </c>
      <c r="C653" s="43" t="s">
        <v>1874</v>
      </c>
      <c r="D653" s="1" t="s">
        <v>1780</v>
      </c>
      <c r="E653" s="43" t="s">
        <v>1874</v>
      </c>
      <c r="F653" s="37" t="s">
        <v>1782</v>
      </c>
      <c r="G653" s="44">
        <v>12600</v>
      </c>
      <c r="H653" s="44">
        <v>75.599999999999994</v>
      </c>
      <c r="K653" s="4" t="e">
        <f>VLOOKUP(A653,Detallado!$C$5:$H$1570,6,FALSE)</f>
        <v>#N/A</v>
      </c>
    </row>
    <row r="654" spans="1:11">
      <c r="A654" s="90">
        <v>126110485752</v>
      </c>
      <c r="B654" s="1" t="s">
        <v>8</v>
      </c>
      <c r="C654" s="43" t="s">
        <v>1874</v>
      </c>
      <c r="D654" s="1" t="s">
        <v>1780</v>
      </c>
      <c r="E654" s="43" t="s">
        <v>1874</v>
      </c>
      <c r="F654" s="37" t="s">
        <v>1782</v>
      </c>
      <c r="G654" s="44">
        <v>4300</v>
      </c>
      <c r="H654" s="44">
        <v>25.8</v>
      </c>
      <c r="K654" s="4" t="e">
        <f>VLOOKUP(A654,Detallado!$C$5:$H$1570,6,FALSE)</f>
        <v>#N/A</v>
      </c>
    </row>
    <row r="655" spans="1:11">
      <c r="A655" s="90">
        <v>126109192968</v>
      </c>
      <c r="B655" s="1" t="s">
        <v>8</v>
      </c>
      <c r="C655" s="43" t="s">
        <v>1874</v>
      </c>
      <c r="D655" s="1" t="s">
        <v>1780</v>
      </c>
      <c r="E655" s="43" t="s">
        <v>1874</v>
      </c>
      <c r="F655" s="37" t="s">
        <v>1782</v>
      </c>
      <c r="G655" s="44">
        <v>10900</v>
      </c>
      <c r="H655" s="44">
        <v>65.400000000000006</v>
      </c>
      <c r="K655" s="4" t="e">
        <f>VLOOKUP(A655,Detallado!$C$5:$H$1570,6,FALSE)</f>
        <v>#N/A</v>
      </c>
    </row>
    <row r="656" spans="1:11">
      <c r="A656" s="90">
        <v>126105964490</v>
      </c>
      <c r="B656" s="1" t="s">
        <v>1790</v>
      </c>
      <c r="C656" s="43" t="s">
        <v>1874</v>
      </c>
      <c r="D656" s="1" t="s">
        <v>1780</v>
      </c>
      <c r="E656" s="43" t="s">
        <v>1874</v>
      </c>
      <c r="F656" s="37" t="s">
        <v>1782</v>
      </c>
      <c r="G656" s="44">
        <v>12100</v>
      </c>
      <c r="H656" s="44">
        <v>72.599999999999994</v>
      </c>
      <c r="K656" s="4" t="e">
        <f>VLOOKUP(A656,Detallado!$C$5:$H$1570,6,FALSE)</f>
        <v>#N/A</v>
      </c>
    </row>
    <row r="657" spans="1:11">
      <c r="A657" s="90">
        <v>126105503786</v>
      </c>
      <c r="B657" s="1" t="s">
        <v>8</v>
      </c>
      <c r="C657" s="43" t="s">
        <v>1874</v>
      </c>
      <c r="D657" s="1" t="s">
        <v>1780</v>
      </c>
      <c r="E657" s="43" t="s">
        <v>1874</v>
      </c>
      <c r="F657" s="37" t="s">
        <v>1782</v>
      </c>
      <c r="G657" s="44">
        <v>15900</v>
      </c>
      <c r="H657" s="44">
        <v>95.4</v>
      </c>
      <c r="K657" s="4" t="e">
        <f>VLOOKUP(A657,Detallado!$C$5:$H$1570,6,FALSE)</f>
        <v>#N/A</v>
      </c>
    </row>
    <row r="658" spans="1:11">
      <c r="A658" s="90">
        <v>126103502012</v>
      </c>
      <c r="B658" s="1" t="s">
        <v>8</v>
      </c>
      <c r="C658" s="43" t="s">
        <v>1874</v>
      </c>
      <c r="D658" s="1" t="s">
        <v>1780</v>
      </c>
      <c r="E658" s="43" t="s">
        <v>1874</v>
      </c>
      <c r="F658" s="37" t="s">
        <v>1782</v>
      </c>
      <c r="G658" s="44">
        <v>39200</v>
      </c>
      <c r="H658" s="44">
        <v>235.2</v>
      </c>
      <c r="K658" s="4" t="e">
        <f>VLOOKUP(A658,Detallado!$C$5:$H$1570,6,FALSE)</f>
        <v>#N/A</v>
      </c>
    </row>
    <row r="659" spans="1:11">
      <c r="A659" s="90">
        <v>126099304852</v>
      </c>
      <c r="B659" s="1" t="s">
        <v>8</v>
      </c>
      <c r="C659" s="43" t="s">
        <v>1874</v>
      </c>
      <c r="D659" s="1" t="s">
        <v>1780</v>
      </c>
      <c r="E659" s="43" t="s">
        <v>1874</v>
      </c>
      <c r="F659" s="37" t="s">
        <v>1782</v>
      </c>
      <c r="G659" s="44">
        <v>15300</v>
      </c>
      <c r="H659" s="44">
        <v>91.8</v>
      </c>
      <c r="K659" s="4" t="e">
        <f>VLOOKUP(A659,Detallado!$C$5:$H$1570,6,FALSE)</f>
        <v>#N/A</v>
      </c>
    </row>
    <row r="660" spans="1:11">
      <c r="A660" s="90">
        <v>126096640836</v>
      </c>
      <c r="B660" s="1" t="s">
        <v>1790</v>
      </c>
      <c r="C660" s="43" t="s">
        <v>1874</v>
      </c>
      <c r="D660" s="1" t="s">
        <v>1780</v>
      </c>
      <c r="E660" s="43" t="s">
        <v>1874</v>
      </c>
      <c r="F660" s="37" t="s">
        <v>1782</v>
      </c>
      <c r="G660" s="44">
        <v>7800</v>
      </c>
      <c r="H660" s="44">
        <v>46.8</v>
      </c>
      <c r="K660" s="4" t="e">
        <f>VLOOKUP(A660,Detallado!$C$5:$H$1570,6,FALSE)</f>
        <v>#N/A</v>
      </c>
    </row>
    <row r="661" spans="1:11">
      <c r="A661" s="90">
        <v>126014664178</v>
      </c>
      <c r="B661" s="1" t="s">
        <v>1790</v>
      </c>
      <c r="C661" s="43" t="s">
        <v>1874</v>
      </c>
      <c r="D661" s="1" t="s">
        <v>1780</v>
      </c>
      <c r="E661" s="43" t="s">
        <v>1874</v>
      </c>
      <c r="F661" s="37" t="s">
        <v>1782</v>
      </c>
      <c r="G661" s="44">
        <v>121000</v>
      </c>
      <c r="H661" s="44">
        <v>726</v>
      </c>
      <c r="K661" s="4" t="e">
        <f>VLOOKUP(A661,Detallado!$C$5:$H$1570,6,FALSE)</f>
        <v>#N/A</v>
      </c>
    </row>
    <row r="662" spans="1:11">
      <c r="A662" s="90">
        <v>126014567370</v>
      </c>
      <c r="B662" s="1" t="s">
        <v>8</v>
      </c>
      <c r="C662" s="43" t="s">
        <v>1874</v>
      </c>
      <c r="D662" s="1" t="s">
        <v>1780</v>
      </c>
      <c r="E662" s="43" t="s">
        <v>1874</v>
      </c>
      <c r="F662" s="37" t="s">
        <v>1782</v>
      </c>
      <c r="G662" s="44">
        <v>36800</v>
      </c>
      <c r="H662" s="44">
        <v>220.8</v>
      </c>
      <c r="K662" s="4" t="e">
        <f>VLOOKUP(A662,Detallado!$C$5:$H$1570,6,FALSE)</f>
        <v>#N/A</v>
      </c>
    </row>
    <row r="663" spans="1:11">
      <c r="A663" s="90">
        <v>126014227310</v>
      </c>
      <c r="B663" s="1" t="s">
        <v>8</v>
      </c>
      <c r="C663" s="43" t="s">
        <v>1874</v>
      </c>
      <c r="D663" s="1" t="s">
        <v>1780</v>
      </c>
      <c r="E663" s="43" t="s">
        <v>1874</v>
      </c>
      <c r="F663" s="37" t="s">
        <v>1782</v>
      </c>
      <c r="G663" s="44">
        <v>23500</v>
      </c>
      <c r="H663" s="44">
        <v>141</v>
      </c>
      <c r="K663" s="4" t="e">
        <f>VLOOKUP(A663,Detallado!$C$5:$H$1570,6,FALSE)</f>
        <v>#N/A</v>
      </c>
    </row>
    <row r="664" spans="1:11">
      <c r="A664" s="90">
        <v>126014168820</v>
      </c>
      <c r="B664" s="1" t="s">
        <v>8</v>
      </c>
      <c r="C664" s="43" t="s">
        <v>1874</v>
      </c>
      <c r="D664" s="1" t="s">
        <v>1780</v>
      </c>
      <c r="E664" s="43" t="s">
        <v>1874</v>
      </c>
      <c r="F664" s="37" t="s">
        <v>1782</v>
      </c>
      <c r="G664" s="44">
        <v>28700</v>
      </c>
      <c r="H664" s="44">
        <v>172.2</v>
      </c>
      <c r="K664" s="4" t="e">
        <f>VLOOKUP(A664,Detallado!$C$5:$H$1570,6,FALSE)</f>
        <v>#N/A</v>
      </c>
    </row>
    <row r="665" spans="1:11">
      <c r="A665" s="90">
        <v>126013746036</v>
      </c>
      <c r="B665" s="1" t="s">
        <v>8</v>
      </c>
      <c r="C665" s="43" t="s">
        <v>1874</v>
      </c>
      <c r="D665" s="1" t="s">
        <v>1780</v>
      </c>
      <c r="E665" s="43" t="s">
        <v>1874</v>
      </c>
      <c r="F665" s="37" t="s">
        <v>1782</v>
      </c>
      <c r="G665" s="44">
        <v>99200</v>
      </c>
      <c r="H665" s="44">
        <v>595.20000000000005</v>
      </c>
      <c r="K665" s="4" t="e">
        <f>VLOOKUP(A665,Detallado!$C$5:$H$1570,6,FALSE)</f>
        <v>#N/A</v>
      </c>
    </row>
    <row r="666" spans="1:11">
      <c r="A666" s="90">
        <v>126013525296</v>
      </c>
      <c r="B666" s="1" t="s">
        <v>8</v>
      </c>
      <c r="C666" s="43" t="s">
        <v>1874</v>
      </c>
      <c r="D666" s="1" t="s">
        <v>1780</v>
      </c>
      <c r="E666" s="43" t="s">
        <v>1874</v>
      </c>
      <c r="F666" s="37" t="s">
        <v>1782</v>
      </c>
      <c r="G666" s="44">
        <v>23500</v>
      </c>
      <c r="H666" s="44">
        <v>141</v>
      </c>
      <c r="K666" s="4" t="e">
        <f>VLOOKUP(A666,Detallado!$C$5:$H$1570,6,FALSE)</f>
        <v>#N/A</v>
      </c>
    </row>
    <row r="667" spans="1:11">
      <c r="A667" s="90">
        <v>126013114190</v>
      </c>
      <c r="B667" s="1" t="s">
        <v>8</v>
      </c>
      <c r="C667" s="43" t="s">
        <v>1874</v>
      </c>
      <c r="D667" s="1" t="s">
        <v>1780</v>
      </c>
      <c r="E667" s="43" t="s">
        <v>1874</v>
      </c>
      <c r="F667" s="37" t="s">
        <v>1782</v>
      </c>
      <c r="G667" s="44">
        <v>17200</v>
      </c>
      <c r="H667" s="44">
        <v>103.2</v>
      </c>
      <c r="K667" s="4" t="e">
        <f>VLOOKUP(A667,Detallado!$C$5:$H$1570,6,FALSE)</f>
        <v>#N/A</v>
      </c>
    </row>
    <row r="668" spans="1:11">
      <c r="A668" s="90">
        <v>126012972604</v>
      </c>
      <c r="B668" s="1" t="s">
        <v>8</v>
      </c>
      <c r="C668" s="43" t="s">
        <v>1874</v>
      </c>
      <c r="D668" s="1" t="s">
        <v>1780</v>
      </c>
      <c r="E668" s="43" t="s">
        <v>1874</v>
      </c>
      <c r="F668" s="37" t="s">
        <v>1782</v>
      </c>
      <c r="G668" s="44">
        <v>41200</v>
      </c>
      <c r="H668" s="44">
        <v>247.2</v>
      </c>
      <c r="K668" s="4" t="e">
        <f>VLOOKUP(A668,Detallado!$C$5:$H$1570,6,FALSE)</f>
        <v>#N/A</v>
      </c>
    </row>
    <row r="669" spans="1:11">
      <c r="A669" s="90">
        <v>126012871060</v>
      </c>
      <c r="B669" s="1" t="s">
        <v>8</v>
      </c>
      <c r="C669" s="43" t="s">
        <v>1874</v>
      </c>
      <c r="D669" s="1" t="s">
        <v>1780</v>
      </c>
      <c r="E669" s="43" t="s">
        <v>1874</v>
      </c>
      <c r="F669" s="37" t="s">
        <v>1782</v>
      </c>
      <c r="G669" s="44">
        <v>15000</v>
      </c>
      <c r="H669" s="44">
        <v>90</v>
      </c>
      <c r="K669" s="4" t="e">
        <f>VLOOKUP(A669,Detallado!$C$5:$H$1570,6,FALSE)</f>
        <v>#N/A</v>
      </c>
    </row>
    <row r="670" spans="1:11">
      <c r="A670" s="90">
        <v>126012854938</v>
      </c>
      <c r="B670" s="1" t="s">
        <v>8</v>
      </c>
      <c r="C670" s="43" t="s">
        <v>1874</v>
      </c>
      <c r="D670" s="1" t="s">
        <v>1780</v>
      </c>
      <c r="E670" s="43" t="s">
        <v>1874</v>
      </c>
      <c r="F670" s="37" t="s">
        <v>1782</v>
      </c>
      <c r="G670" s="44">
        <v>10600</v>
      </c>
      <c r="H670" s="44">
        <v>63.6</v>
      </c>
      <c r="K670" s="4" t="e">
        <f>VLOOKUP(A670,Detallado!$C$5:$H$1570,6,FALSE)</f>
        <v>#N/A</v>
      </c>
    </row>
    <row r="671" spans="1:11">
      <c r="A671" s="90">
        <v>126012851936</v>
      </c>
      <c r="B671" s="1" t="s">
        <v>8</v>
      </c>
      <c r="C671" s="43" t="s">
        <v>1874</v>
      </c>
      <c r="D671" s="1" t="s">
        <v>1780</v>
      </c>
      <c r="E671" s="43" t="s">
        <v>1874</v>
      </c>
      <c r="F671" s="37" t="s">
        <v>1782</v>
      </c>
      <c r="G671" s="44">
        <v>37700</v>
      </c>
      <c r="H671" s="44">
        <v>226.2</v>
      </c>
      <c r="K671" s="4" t="e">
        <f>VLOOKUP(A671,Detallado!$C$5:$H$1570,6,FALSE)</f>
        <v>#N/A</v>
      </c>
    </row>
    <row r="672" spans="1:11">
      <c r="A672" s="90">
        <v>126012630432</v>
      </c>
      <c r="B672" s="1" t="s">
        <v>1790</v>
      </c>
      <c r="C672" s="43" t="s">
        <v>1874</v>
      </c>
      <c r="D672" s="1" t="s">
        <v>1780</v>
      </c>
      <c r="E672" s="43" t="s">
        <v>1874</v>
      </c>
      <c r="F672" s="37" t="s">
        <v>1782</v>
      </c>
      <c r="G672" s="44">
        <v>4300</v>
      </c>
      <c r="H672" s="44">
        <v>25.8</v>
      </c>
      <c r="K672" s="4" t="e">
        <f>VLOOKUP(A672,Detallado!$C$5:$H$1570,6,FALSE)</f>
        <v>#N/A</v>
      </c>
    </row>
    <row r="673" spans="1:11">
      <c r="A673" s="90">
        <v>126012503986</v>
      </c>
      <c r="B673" s="1" t="s">
        <v>1790</v>
      </c>
      <c r="C673" s="43" t="s">
        <v>1874</v>
      </c>
      <c r="D673" s="1" t="s">
        <v>1780</v>
      </c>
      <c r="E673" s="43" t="s">
        <v>1874</v>
      </c>
      <c r="F673" s="37" t="s">
        <v>1782</v>
      </c>
      <c r="G673" s="44">
        <v>12900</v>
      </c>
      <c r="H673" s="44">
        <v>77.400000000000006</v>
      </c>
      <c r="K673" s="4" t="e">
        <f>VLOOKUP(A673,Detallado!$C$5:$H$1570,6,FALSE)</f>
        <v>#N/A</v>
      </c>
    </row>
    <row r="674" spans="1:11">
      <c r="A674" s="90">
        <v>126012314684</v>
      </c>
      <c r="B674" s="1" t="s">
        <v>1790</v>
      </c>
      <c r="C674" s="43" t="s">
        <v>1874</v>
      </c>
      <c r="D674" s="1" t="s">
        <v>1780</v>
      </c>
      <c r="E674" s="43" t="s">
        <v>1874</v>
      </c>
      <c r="F674" s="37" t="s">
        <v>1782</v>
      </c>
      <c r="G674" s="44">
        <v>41700</v>
      </c>
      <c r="H674" s="44">
        <v>250.2</v>
      </c>
      <c r="K674" s="4" t="e">
        <f>VLOOKUP(A674,Detallado!$C$5:$H$1570,6,FALSE)</f>
        <v>#N/A</v>
      </c>
    </row>
    <row r="675" spans="1:11">
      <c r="A675" s="90">
        <v>126011371400</v>
      </c>
      <c r="B675" s="1" t="s">
        <v>8</v>
      </c>
      <c r="C675" s="43" t="s">
        <v>1874</v>
      </c>
      <c r="D675" s="1" t="s">
        <v>1780</v>
      </c>
      <c r="E675" s="43" t="s">
        <v>1874</v>
      </c>
      <c r="F675" s="37" t="s">
        <v>1782</v>
      </c>
      <c r="G675" s="44">
        <v>12800</v>
      </c>
      <c r="H675" s="44">
        <v>76.8</v>
      </c>
      <c r="K675" s="4" t="e">
        <f>VLOOKUP(A675,Detallado!$C$5:$H$1570,6,FALSE)</f>
        <v>#N/A</v>
      </c>
    </row>
    <row r="676" spans="1:11">
      <c r="A676" s="90">
        <v>126011115826</v>
      </c>
      <c r="B676" s="1" t="s">
        <v>8</v>
      </c>
      <c r="C676" s="43" t="s">
        <v>1874</v>
      </c>
      <c r="D676" s="1" t="s">
        <v>1780</v>
      </c>
      <c r="E676" s="43" t="s">
        <v>1874</v>
      </c>
      <c r="F676" s="37" t="s">
        <v>1782</v>
      </c>
      <c r="G676" s="44">
        <v>16600</v>
      </c>
      <c r="H676" s="44">
        <v>99.6</v>
      </c>
      <c r="K676" s="4" t="e">
        <f>VLOOKUP(A676,Detallado!$C$5:$H$1570,6,FALSE)</f>
        <v>#N/A</v>
      </c>
    </row>
    <row r="677" spans="1:11">
      <c r="A677" s="90">
        <v>125571870311</v>
      </c>
      <c r="B677" s="1" t="s">
        <v>8</v>
      </c>
      <c r="C677" s="43" t="s">
        <v>1874</v>
      </c>
      <c r="D677" s="1" t="s">
        <v>1780</v>
      </c>
      <c r="E677" s="43" t="s">
        <v>1874</v>
      </c>
      <c r="F677" s="37" t="s">
        <v>1782</v>
      </c>
      <c r="G677" s="44">
        <v>38100</v>
      </c>
      <c r="H677" s="44">
        <v>228.6</v>
      </c>
      <c r="K677" s="4" t="e">
        <f>VLOOKUP(A677,Detallado!$C$5:$H$1570,6,FALSE)</f>
        <v>#N/A</v>
      </c>
    </row>
    <row r="678" spans="1:11">
      <c r="A678" s="90">
        <v>125571861443</v>
      </c>
      <c r="B678" s="1" t="s">
        <v>8</v>
      </c>
      <c r="C678" s="43" t="s">
        <v>1874</v>
      </c>
      <c r="D678" s="1" t="s">
        <v>1780</v>
      </c>
      <c r="E678" s="43" t="s">
        <v>1874</v>
      </c>
      <c r="F678" s="37" t="s">
        <v>1782</v>
      </c>
      <c r="G678" s="44">
        <v>3500</v>
      </c>
      <c r="H678" s="44">
        <v>21</v>
      </c>
      <c r="K678" s="4" t="e">
        <f>VLOOKUP(A678,Detallado!$C$5:$H$1570,6,FALSE)</f>
        <v>#N/A</v>
      </c>
    </row>
    <row r="679" spans="1:11">
      <c r="A679" s="90">
        <v>125571811845</v>
      </c>
      <c r="B679" s="1" t="s">
        <v>8</v>
      </c>
      <c r="C679" s="43" t="s">
        <v>1874</v>
      </c>
      <c r="D679" s="1" t="s">
        <v>1780</v>
      </c>
      <c r="E679" s="43" t="s">
        <v>1874</v>
      </c>
      <c r="F679" s="37" t="s">
        <v>1782</v>
      </c>
      <c r="G679" s="44">
        <v>3500</v>
      </c>
      <c r="H679" s="44">
        <v>21</v>
      </c>
      <c r="K679" s="4" t="e">
        <f>VLOOKUP(A679,Detallado!$C$5:$H$1570,6,FALSE)</f>
        <v>#N/A</v>
      </c>
    </row>
    <row r="680" spans="1:11">
      <c r="A680" s="90">
        <v>125569350053</v>
      </c>
      <c r="B680" s="1" t="s">
        <v>1883</v>
      </c>
      <c r="C680" s="43" t="s">
        <v>1874</v>
      </c>
      <c r="D680" s="1" t="s">
        <v>1780</v>
      </c>
      <c r="E680" s="43" t="s">
        <v>1874</v>
      </c>
      <c r="F680" s="37" t="s">
        <v>1782</v>
      </c>
      <c r="G680" s="44">
        <v>1105</v>
      </c>
      <c r="H680" s="44">
        <v>6.63</v>
      </c>
      <c r="K680" s="4" t="e">
        <f>VLOOKUP(A680,Detallado!$C$5:$H$1570,6,FALSE)</f>
        <v>#N/A</v>
      </c>
    </row>
    <row r="681" spans="1:11">
      <c r="A681" s="90">
        <v>125569052645</v>
      </c>
      <c r="B681" s="1" t="s">
        <v>8</v>
      </c>
      <c r="C681" s="43" t="s">
        <v>1874</v>
      </c>
      <c r="D681" s="1" t="s">
        <v>1780</v>
      </c>
      <c r="E681" s="43" t="s">
        <v>1874</v>
      </c>
      <c r="F681" s="37" t="s">
        <v>1782</v>
      </c>
      <c r="G681" s="44">
        <v>33100</v>
      </c>
      <c r="H681" s="44">
        <v>198.6</v>
      </c>
      <c r="K681" s="4" t="e">
        <f>VLOOKUP(A681,Detallado!$C$5:$H$1570,6,FALSE)</f>
        <v>#N/A</v>
      </c>
    </row>
    <row r="682" spans="1:11">
      <c r="A682" s="90">
        <v>125566797827</v>
      </c>
      <c r="B682" s="1" t="s">
        <v>1790</v>
      </c>
      <c r="C682" s="43" t="s">
        <v>1874</v>
      </c>
      <c r="D682" s="1" t="s">
        <v>1780</v>
      </c>
      <c r="E682" s="43" t="s">
        <v>1874</v>
      </c>
      <c r="F682" s="37" t="s">
        <v>1782</v>
      </c>
      <c r="G682" s="44">
        <v>56600</v>
      </c>
      <c r="H682" s="44">
        <v>339.6</v>
      </c>
      <c r="K682" s="4" t="e">
        <f>VLOOKUP(A682,Detallado!$C$5:$H$1570,6,FALSE)</f>
        <v>#N/A</v>
      </c>
    </row>
    <row r="683" spans="1:11">
      <c r="A683" s="90">
        <v>125565748807</v>
      </c>
      <c r="B683" s="1" t="s">
        <v>8</v>
      </c>
      <c r="C683" s="43" t="s">
        <v>1874</v>
      </c>
      <c r="D683" s="1" t="s">
        <v>1780</v>
      </c>
      <c r="E683" s="43" t="s">
        <v>1874</v>
      </c>
      <c r="F683" s="37" t="s">
        <v>1782</v>
      </c>
      <c r="G683" s="44">
        <v>30000</v>
      </c>
      <c r="H683" s="44">
        <v>180</v>
      </c>
      <c r="K683" s="4" t="e">
        <f>VLOOKUP(A683,Detallado!$C$5:$H$1570,6,FALSE)</f>
        <v>#N/A</v>
      </c>
    </row>
    <row r="684" spans="1:11">
      <c r="A684" s="90">
        <v>125565056217</v>
      </c>
      <c r="B684" s="1" t="s">
        <v>1790</v>
      </c>
      <c r="C684" s="43" t="s">
        <v>1874</v>
      </c>
      <c r="D684" s="1" t="s">
        <v>1780</v>
      </c>
      <c r="E684" s="43" t="s">
        <v>1874</v>
      </c>
      <c r="F684" s="37" t="s">
        <v>1782</v>
      </c>
      <c r="G684" s="44">
        <v>38700</v>
      </c>
      <c r="H684" s="44">
        <v>232.2</v>
      </c>
      <c r="K684" s="4" t="e">
        <f>VLOOKUP(A684,Detallado!$C$5:$H$1570,6,FALSE)</f>
        <v>#N/A</v>
      </c>
    </row>
    <row r="685" spans="1:11">
      <c r="A685" s="90">
        <v>125563294919</v>
      </c>
      <c r="B685" s="1" t="s">
        <v>1790</v>
      </c>
      <c r="C685" s="43" t="s">
        <v>1874</v>
      </c>
      <c r="D685" s="1" t="s">
        <v>1780</v>
      </c>
      <c r="E685" s="43" t="s">
        <v>1874</v>
      </c>
      <c r="F685" s="37" t="s">
        <v>1782</v>
      </c>
      <c r="G685" s="44">
        <v>5500</v>
      </c>
      <c r="H685" s="44">
        <v>33</v>
      </c>
      <c r="K685" s="4" t="e">
        <f>VLOOKUP(A685,Detallado!$C$5:$H$1570,6,FALSE)</f>
        <v>#N/A</v>
      </c>
    </row>
    <row r="686" spans="1:11">
      <c r="A686" s="90">
        <v>125562837095</v>
      </c>
      <c r="B686" s="1" t="s">
        <v>8</v>
      </c>
      <c r="C686" s="43" t="s">
        <v>1874</v>
      </c>
      <c r="D686" s="1" t="s">
        <v>1780</v>
      </c>
      <c r="E686" s="43" t="s">
        <v>1874</v>
      </c>
      <c r="F686" s="37" t="s">
        <v>1782</v>
      </c>
      <c r="G686" s="44">
        <v>9000</v>
      </c>
      <c r="H686" s="44">
        <v>54</v>
      </c>
      <c r="K686" s="4" t="e">
        <f>VLOOKUP(A686,Detallado!$C$5:$H$1570,6,FALSE)</f>
        <v>#N/A</v>
      </c>
    </row>
    <row r="687" spans="1:11">
      <c r="A687" s="90">
        <v>125561730289</v>
      </c>
      <c r="B687" s="1" t="s">
        <v>1790</v>
      </c>
      <c r="C687" s="43" t="s">
        <v>1874</v>
      </c>
      <c r="D687" s="1" t="s">
        <v>1780</v>
      </c>
      <c r="E687" s="43" t="s">
        <v>1874</v>
      </c>
      <c r="F687" s="37" t="s">
        <v>1782</v>
      </c>
      <c r="G687" s="44">
        <v>35400</v>
      </c>
      <c r="H687" s="44">
        <v>212.4</v>
      </c>
      <c r="K687" s="4" t="e">
        <f>VLOOKUP(A687,Detallado!$C$5:$H$1570,6,FALSE)</f>
        <v>#N/A</v>
      </c>
    </row>
    <row r="688" spans="1:11">
      <c r="A688" s="90">
        <v>125559982515</v>
      </c>
      <c r="B688" s="1" t="s">
        <v>8</v>
      </c>
      <c r="C688" s="43" t="s">
        <v>1874</v>
      </c>
      <c r="D688" s="1" t="s">
        <v>1780</v>
      </c>
      <c r="E688" s="43" t="s">
        <v>1874</v>
      </c>
      <c r="F688" s="37" t="s">
        <v>1782</v>
      </c>
      <c r="G688" s="44">
        <v>26500</v>
      </c>
      <c r="H688" s="44">
        <v>159</v>
      </c>
      <c r="K688" s="4" t="e">
        <f>VLOOKUP(A688,Detallado!$C$5:$H$1570,6,FALSE)</f>
        <v>#N/A</v>
      </c>
    </row>
    <row r="689" spans="1:11">
      <c r="A689" s="90">
        <v>125558021461</v>
      </c>
      <c r="B689" s="1" t="s">
        <v>1790</v>
      </c>
      <c r="C689" s="43" t="s">
        <v>1874</v>
      </c>
      <c r="D689" s="1" t="s">
        <v>1780</v>
      </c>
      <c r="E689" s="43" t="s">
        <v>1874</v>
      </c>
      <c r="F689" s="37" t="s">
        <v>1782</v>
      </c>
      <c r="G689" s="44">
        <v>4300</v>
      </c>
      <c r="H689" s="44">
        <v>25.8</v>
      </c>
      <c r="K689" s="4" t="e">
        <f>VLOOKUP(A689,Detallado!$C$5:$H$1570,6,FALSE)</f>
        <v>#N/A</v>
      </c>
    </row>
    <row r="690" spans="1:11">
      <c r="A690" s="90">
        <v>125557234739</v>
      </c>
      <c r="B690" s="1" t="s">
        <v>1878</v>
      </c>
      <c r="C690" s="43" t="s">
        <v>1874</v>
      </c>
      <c r="D690" s="1" t="s">
        <v>1780</v>
      </c>
      <c r="E690" s="43" t="s">
        <v>1874</v>
      </c>
      <c r="F690" s="37" t="s">
        <v>1782</v>
      </c>
      <c r="G690" s="44">
        <v>1560</v>
      </c>
      <c r="H690" s="44">
        <v>9.36</v>
      </c>
      <c r="K690" s="4" t="e">
        <f>VLOOKUP(A690,Detallado!$C$5:$H$1570,6,FALSE)</f>
        <v>#N/A</v>
      </c>
    </row>
    <row r="691" spans="1:11">
      <c r="A691" s="90">
        <v>125557181285</v>
      </c>
      <c r="B691" s="1" t="s">
        <v>8</v>
      </c>
      <c r="C691" s="43" t="s">
        <v>1874</v>
      </c>
      <c r="D691" s="1" t="s">
        <v>1780</v>
      </c>
      <c r="E691" s="43" t="s">
        <v>1874</v>
      </c>
      <c r="F691" s="37" t="s">
        <v>1782</v>
      </c>
      <c r="G691" s="44">
        <v>15600</v>
      </c>
      <c r="H691" s="44">
        <v>93.6</v>
      </c>
      <c r="K691" s="4" t="e">
        <f>VLOOKUP(A691,Detallado!$C$5:$H$1570,6,FALSE)</f>
        <v>#N/A</v>
      </c>
    </row>
    <row r="692" spans="1:11">
      <c r="A692" s="90">
        <v>125554633827</v>
      </c>
      <c r="B692" s="1" t="s">
        <v>8</v>
      </c>
      <c r="C692" s="43" t="s">
        <v>1874</v>
      </c>
      <c r="D692" s="1" t="s">
        <v>1780</v>
      </c>
      <c r="E692" s="43" t="s">
        <v>1874</v>
      </c>
      <c r="F692" s="37" t="s">
        <v>1782</v>
      </c>
      <c r="G692" s="44">
        <v>8600</v>
      </c>
      <c r="H692" s="44">
        <v>51.6</v>
      </c>
      <c r="K692" s="4" t="e">
        <f>VLOOKUP(A692,Detallado!$C$5:$H$1570,6,FALSE)</f>
        <v>#N/A</v>
      </c>
    </row>
    <row r="693" spans="1:11">
      <c r="A693" s="90">
        <v>125554253101</v>
      </c>
      <c r="B693" s="1" t="s">
        <v>8</v>
      </c>
      <c r="C693" s="43" t="s">
        <v>1874</v>
      </c>
      <c r="D693" s="1" t="s">
        <v>1780</v>
      </c>
      <c r="E693" s="43" t="s">
        <v>1874</v>
      </c>
      <c r="F693" s="37" t="s">
        <v>1782</v>
      </c>
      <c r="G693" s="44">
        <v>4300</v>
      </c>
      <c r="H693" s="44">
        <v>25.8</v>
      </c>
      <c r="K693" s="4" t="e">
        <f>VLOOKUP(A693,Detallado!$C$5:$H$1570,6,FALSE)</f>
        <v>#N/A</v>
      </c>
    </row>
    <row r="694" spans="1:11">
      <c r="A694" s="90">
        <v>125463562387</v>
      </c>
      <c r="B694" s="1" t="s">
        <v>8</v>
      </c>
      <c r="C694" s="43" t="s">
        <v>1874</v>
      </c>
      <c r="D694" s="1" t="s">
        <v>1780</v>
      </c>
      <c r="E694" s="43" t="s">
        <v>1874</v>
      </c>
      <c r="F694" s="37" t="s">
        <v>1782</v>
      </c>
      <c r="G694" s="44">
        <v>7200</v>
      </c>
      <c r="H694" s="44">
        <v>43.2</v>
      </c>
      <c r="K694" s="4" t="e">
        <f>VLOOKUP(A694,Detallado!$C$5:$H$1570,6,FALSE)</f>
        <v>#N/A</v>
      </c>
    </row>
    <row r="695" spans="1:11">
      <c r="A695" s="90">
        <v>125463455779</v>
      </c>
      <c r="B695" s="1" t="s">
        <v>8</v>
      </c>
      <c r="C695" s="43" t="s">
        <v>1874</v>
      </c>
      <c r="D695" s="1" t="s">
        <v>1780</v>
      </c>
      <c r="E695" s="43" t="s">
        <v>1874</v>
      </c>
      <c r="F695" s="37" t="s">
        <v>1782</v>
      </c>
      <c r="G695" s="44">
        <v>14000</v>
      </c>
      <c r="H695" s="44">
        <v>84</v>
      </c>
      <c r="K695" s="4" t="e">
        <f>VLOOKUP(A695,Detallado!$C$5:$H$1570,6,FALSE)</f>
        <v>#N/A</v>
      </c>
    </row>
    <row r="696" spans="1:11">
      <c r="A696" s="90">
        <v>125463291439</v>
      </c>
      <c r="B696" s="1" t="s">
        <v>8</v>
      </c>
      <c r="C696" s="43" t="s">
        <v>1874</v>
      </c>
      <c r="D696" s="1" t="s">
        <v>1780</v>
      </c>
      <c r="E696" s="43" t="s">
        <v>1874</v>
      </c>
      <c r="F696" s="37" t="s">
        <v>1782</v>
      </c>
      <c r="G696" s="44">
        <v>47200</v>
      </c>
      <c r="H696" s="44">
        <v>283.2</v>
      </c>
      <c r="K696" s="4" t="e">
        <f>VLOOKUP(A696,Detallado!$C$5:$H$1570,6,FALSE)</f>
        <v>#N/A</v>
      </c>
    </row>
    <row r="697" spans="1:11">
      <c r="A697" s="90">
        <v>125463091997</v>
      </c>
      <c r="B697" s="1" t="s">
        <v>8</v>
      </c>
      <c r="C697" s="43" t="s">
        <v>1874</v>
      </c>
      <c r="D697" s="1" t="s">
        <v>1780</v>
      </c>
      <c r="E697" s="43" t="s">
        <v>1874</v>
      </c>
      <c r="F697" s="37" t="s">
        <v>1782</v>
      </c>
      <c r="G697" s="44">
        <v>15800</v>
      </c>
      <c r="H697" s="44">
        <v>94.8</v>
      </c>
      <c r="K697" s="4" t="e">
        <f>VLOOKUP(A697,Detallado!$C$5:$H$1570,6,FALSE)</f>
        <v>#N/A</v>
      </c>
    </row>
    <row r="698" spans="1:11">
      <c r="A698" s="90">
        <v>125463043451</v>
      </c>
      <c r="B698" s="1" t="s">
        <v>8</v>
      </c>
      <c r="C698" s="43" t="s">
        <v>1874</v>
      </c>
      <c r="D698" s="1" t="s">
        <v>1780</v>
      </c>
      <c r="E698" s="43" t="s">
        <v>1874</v>
      </c>
      <c r="F698" s="37" t="s">
        <v>1782</v>
      </c>
      <c r="G698" s="44">
        <v>10500</v>
      </c>
      <c r="H698" s="44">
        <v>63</v>
      </c>
      <c r="K698" s="4" t="e">
        <f>VLOOKUP(A698,Detallado!$C$5:$H$1570,6,FALSE)</f>
        <v>#N/A</v>
      </c>
    </row>
    <row r="699" spans="1:11">
      <c r="A699" s="90">
        <v>125462980105</v>
      </c>
      <c r="B699" s="1" t="s">
        <v>8</v>
      </c>
      <c r="C699" s="43" t="s">
        <v>1874</v>
      </c>
      <c r="D699" s="1" t="s">
        <v>1780</v>
      </c>
      <c r="E699" s="43" t="s">
        <v>1874</v>
      </c>
      <c r="F699" s="37" t="s">
        <v>1782</v>
      </c>
      <c r="G699" s="44">
        <v>58400</v>
      </c>
      <c r="H699" s="44">
        <v>350.4</v>
      </c>
      <c r="K699" s="4" t="e">
        <f>VLOOKUP(A699,Detallado!$C$5:$H$1570,6,FALSE)</f>
        <v>#N/A</v>
      </c>
    </row>
    <row r="700" spans="1:11">
      <c r="A700" s="90">
        <v>125462776275</v>
      </c>
      <c r="B700" s="1" t="s">
        <v>1790</v>
      </c>
      <c r="C700" s="43" t="s">
        <v>1874</v>
      </c>
      <c r="D700" s="1" t="s">
        <v>1780</v>
      </c>
      <c r="E700" s="43" t="s">
        <v>1874</v>
      </c>
      <c r="F700" s="37" t="s">
        <v>1782</v>
      </c>
      <c r="G700" s="44">
        <v>7900</v>
      </c>
      <c r="H700" s="44">
        <v>47.4</v>
      </c>
      <c r="K700" s="4" t="e">
        <f>VLOOKUP(A700,Detallado!$C$5:$H$1570,6,FALSE)</f>
        <v>#N/A</v>
      </c>
    </row>
    <row r="701" spans="1:11">
      <c r="A701" s="90">
        <v>125461936825</v>
      </c>
      <c r="B701" s="1" t="s">
        <v>1790</v>
      </c>
      <c r="C701" s="43" t="s">
        <v>1874</v>
      </c>
      <c r="D701" s="1" t="s">
        <v>1780</v>
      </c>
      <c r="E701" s="43" t="s">
        <v>1874</v>
      </c>
      <c r="F701" s="37" t="s">
        <v>1782</v>
      </c>
      <c r="G701" s="44">
        <v>14700</v>
      </c>
      <c r="H701" s="44">
        <v>88.2</v>
      </c>
      <c r="K701" s="4" t="e">
        <f>VLOOKUP(A701,Detallado!$C$5:$H$1570,6,FALSE)</f>
        <v>#N/A</v>
      </c>
    </row>
    <row r="702" spans="1:11">
      <c r="A702" s="90">
        <v>125461870989</v>
      </c>
      <c r="B702" s="1" t="s">
        <v>8</v>
      </c>
      <c r="C702" s="43" t="s">
        <v>1874</v>
      </c>
      <c r="D702" s="1" t="s">
        <v>1780</v>
      </c>
      <c r="E702" s="43" t="s">
        <v>1874</v>
      </c>
      <c r="F702" s="37" t="s">
        <v>1782</v>
      </c>
      <c r="G702" s="44">
        <v>39700</v>
      </c>
      <c r="H702" s="44">
        <v>238.2</v>
      </c>
      <c r="K702" s="4" t="e">
        <f>VLOOKUP(A702,Detallado!$C$5:$H$1570,6,FALSE)</f>
        <v>#N/A</v>
      </c>
    </row>
    <row r="703" spans="1:11">
      <c r="A703" s="90">
        <v>125461762901</v>
      </c>
      <c r="B703" s="1" t="s">
        <v>1877</v>
      </c>
      <c r="C703" s="43" t="s">
        <v>1874</v>
      </c>
      <c r="D703" s="1" t="s">
        <v>1780</v>
      </c>
      <c r="E703" s="43" t="s">
        <v>1874</v>
      </c>
      <c r="F703" s="37" t="s">
        <v>1782</v>
      </c>
      <c r="G703" s="44">
        <v>750</v>
      </c>
      <c r="H703" s="44">
        <v>4.5</v>
      </c>
      <c r="K703" s="4" t="e">
        <f>VLOOKUP(A703,Detallado!$C$5:$H$1570,6,FALSE)</f>
        <v>#N/A</v>
      </c>
    </row>
    <row r="704" spans="1:11">
      <c r="A704" s="90">
        <v>125461418987</v>
      </c>
      <c r="B704" s="1" t="s">
        <v>8</v>
      </c>
      <c r="C704" s="43" t="s">
        <v>1874</v>
      </c>
      <c r="D704" s="1" t="s">
        <v>1780</v>
      </c>
      <c r="E704" s="43" t="s">
        <v>1874</v>
      </c>
      <c r="F704" s="37" t="s">
        <v>1782</v>
      </c>
      <c r="G704" s="44">
        <v>62300</v>
      </c>
      <c r="H704" s="44">
        <v>373.8</v>
      </c>
      <c r="K704" s="4" t="e">
        <f>VLOOKUP(A704,Detallado!$C$5:$H$1570,6,FALSE)</f>
        <v>#N/A</v>
      </c>
    </row>
    <row r="705" spans="1:16">
      <c r="A705" s="90">
        <v>125460972465</v>
      </c>
      <c r="B705" s="1" t="s">
        <v>1790</v>
      </c>
      <c r="C705" s="43" t="s">
        <v>1874</v>
      </c>
      <c r="D705" s="1" t="s">
        <v>1780</v>
      </c>
      <c r="E705" s="43" t="s">
        <v>1874</v>
      </c>
      <c r="F705" s="37" t="s">
        <v>1782</v>
      </c>
      <c r="G705" s="44">
        <v>7900</v>
      </c>
      <c r="H705" s="44">
        <v>47.4</v>
      </c>
      <c r="K705" s="4" t="e">
        <f>VLOOKUP(A705,Detallado!$C$5:$H$1570,6,FALSE)</f>
        <v>#N/A</v>
      </c>
    </row>
    <row r="706" spans="1:16">
      <c r="A706" s="90">
        <v>125460516437</v>
      </c>
      <c r="B706" s="1" t="s">
        <v>1790</v>
      </c>
      <c r="C706" s="43" t="s">
        <v>1874</v>
      </c>
      <c r="D706" s="1" t="s">
        <v>1780</v>
      </c>
      <c r="E706" s="43" t="s">
        <v>1874</v>
      </c>
      <c r="F706" s="37" t="s">
        <v>1782</v>
      </c>
      <c r="G706" s="44">
        <v>36400</v>
      </c>
      <c r="H706" s="44">
        <v>218.4</v>
      </c>
      <c r="K706" s="4" t="e">
        <f>VLOOKUP(A706,Detallado!$C$5:$H$1570,6,FALSE)</f>
        <v>#N/A</v>
      </c>
    </row>
    <row r="707" spans="1:16">
      <c r="A707" s="90">
        <v>125460460203</v>
      </c>
      <c r="B707" s="1" t="s">
        <v>1790</v>
      </c>
      <c r="C707" s="43" t="s">
        <v>1874</v>
      </c>
      <c r="D707" s="1" t="s">
        <v>1780</v>
      </c>
      <c r="E707" s="43" t="s">
        <v>1874</v>
      </c>
      <c r="F707" s="37" t="s">
        <v>1782</v>
      </c>
      <c r="G707" s="44">
        <v>13600</v>
      </c>
      <c r="H707" s="44">
        <v>81.599999999999994</v>
      </c>
      <c r="K707" s="4" t="e">
        <f>VLOOKUP(A707,Detallado!$C$5:$H$1570,6,FALSE)</f>
        <v>#N/A</v>
      </c>
    </row>
    <row r="708" spans="1:16">
      <c r="A708" s="90">
        <v>125460195335</v>
      </c>
      <c r="B708" s="1" t="s">
        <v>8</v>
      </c>
      <c r="C708" s="43" t="s">
        <v>1874</v>
      </c>
      <c r="D708" s="1" t="s">
        <v>1780</v>
      </c>
      <c r="E708" s="43" t="s">
        <v>1874</v>
      </c>
      <c r="F708" s="37" t="s">
        <v>1782</v>
      </c>
      <c r="G708" s="44">
        <v>7800</v>
      </c>
      <c r="H708" s="44">
        <v>46.8</v>
      </c>
      <c r="K708" s="4" t="e">
        <f>VLOOKUP(A708,Detallado!$C$5:$H$1570,6,FALSE)</f>
        <v>#N/A</v>
      </c>
    </row>
    <row r="709" spans="1:16">
      <c r="A709" s="90">
        <v>125459983441</v>
      </c>
      <c r="B709" s="1" t="s">
        <v>8</v>
      </c>
      <c r="C709" s="43" t="s">
        <v>1874</v>
      </c>
      <c r="D709" s="1" t="s">
        <v>1780</v>
      </c>
      <c r="E709" s="43" t="s">
        <v>1874</v>
      </c>
      <c r="F709" s="37" t="s">
        <v>1782</v>
      </c>
      <c r="G709" s="44">
        <v>20200</v>
      </c>
      <c r="H709" s="44">
        <v>121.2</v>
      </c>
      <c r="K709" s="4" t="e">
        <f>VLOOKUP(A709,Detallado!$C$5:$H$1570,6,FALSE)</f>
        <v>#N/A</v>
      </c>
    </row>
    <row r="710" spans="1:16">
      <c r="A710" s="90">
        <v>125459913579</v>
      </c>
      <c r="B710" s="1" t="s">
        <v>8</v>
      </c>
      <c r="C710" s="43" t="s">
        <v>1874</v>
      </c>
      <c r="D710" s="1" t="s">
        <v>1780</v>
      </c>
      <c r="E710" s="43" t="s">
        <v>1874</v>
      </c>
      <c r="F710" s="37" t="s">
        <v>1782</v>
      </c>
      <c r="G710" s="44">
        <v>7400</v>
      </c>
      <c r="H710" s="44">
        <v>44.4</v>
      </c>
      <c r="K710" s="4" t="e">
        <f>VLOOKUP(A710,Detallado!$C$5:$H$1570,6,FALSE)</f>
        <v>#N/A</v>
      </c>
    </row>
    <row r="711" spans="1:16">
      <c r="A711" s="90">
        <v>125459873031</v>
      </c>
      <c r="B711" s="1" t="s">
        <v>1876</v>
      </c>
      <c r="C711" s="43" t="s">
        <v>1874</v>
      </c>
      <c r="D711" s="1" t="s">
        <v>1780</v>
      </c>
      <c r="E711" s="43" t="s">
        <v>1874</v>
      </c>
      <c r="F711" s="37" t="s">
        <v>1782</v>
      </c>
      <c r="G711" s="44">
        <v>830</v>
      </c>
      <c r="H711" s="44">
        <v>4.9800000000000004</v>
      </c>
      <c r="K711" s="4" t="e">
        <f>VLOOKUP(A711,Detallado!$C$5:$H$1570,6,FALSE)</f>
        <v>#N/A</v>
      </c>
    </row>
    <row r="712" spans="1:16">
      <c r="A712" s="90">
        <v>125459770589</v>
      </c>
      <c r="B712" s="1" t="s">
        <v>1790</v>
      </c>
      <c r="C712" s="43" t="s">
        <v>1874</v>
      </c>
      <c r="D712" s="1" t="s">
        <v>1780</v>
      </c>
      <c r="E712" s="43" t="s">
        <v>1874</v>
      </c>
      <c r="F712" s="37" t="s">
        <v>1782</v>
      </c>
      <c r="G712" s="44">
        <v>42500</v>
      </c>
      <c r="H712" s="44">
        <v>255</v>
      </c>
      <c r="K712" s="4" t="e">
        <f>VLOOKUP(A712,Detallado!$C$5:$H$1570,6,FALSE)</f>
        <v>#N/A</v>
      </c>
    </row>
    <row r="713" spans="1:16">
      <c r="A713" s="90">
        <v>125459627485</v>
      </c>
      <c r="B713" s="1" t="s">
        <v>8</v>
      </c>
      <c r="C713" s="43" t="s">
        <v>1874</v>
      </c>
      <c r="D713" s="1" t="s">
        <v>1780</v>
      </c>
      <c r="E713" s="43" t="s">
        <v>1874</v>
      </c>
      <c r="F713" s="37" t="s">
        <v>1782</v>
      </c>
      <c r="G713" s="44">
        <v>49900</v>
      </c>
      <c r="H713" s="44">
        <v>299.39999999999998</v>
      </c>
      <c r="K713" s="4" t="e">
        <f>VLOOKUP(A713,Detallado!$C$5:$H$1570,6,FALSE)</f>
        <v>#N/A</v>
      </c>
    </row>
    <row r="714" spans="1:16">
      <c r="A714" s="102">
        <v>125494013461</v>
      </c>
      <c r="B714" s="13" t="s">
        <v>8</v>
      </c>
      <c r="C714" s="78" t="s">
        <v>1874</v>
      </c>
      <c r="D714" s="13" t="s">
        <v>1780</v>
      </c>
      <c r="E714" s="78" t="s">
        <v>1874</v>
      </c>
      <c r="F714" s="79" t="s">
        <v>1782</v>
      </c>
      <c r="G714" s="80">
        <v>644900</v>
      </c>
      <c r="H714" s="77">
        <v>3869.4</v>
      </c>
      <c r="I714" s="13"/>
      <c r="J714" s="13"/>
      <c r="K714" s="27" t="e">
        <f>VLOOKUP(A714,Detallado!$C$5:$H$1570,6,FALSE)</f>
        <v>#N/A</v>
      </c>
      <c r="L714" s="13"/>
      <c r="M714" s="28">
        <v>-3846.3220675943885</v>
      </c>
      <c r="N714" s="81" t="e">
        <f>+K714-M714</f>
        <v>#N/A</v>
      </c>
      <c r="O714" s="13" t="s">
        <v>712</v>
      </c>
      <c r="P714" s="13">
        <f>+E714-O714</f>
        <v>0</v>
      </c>
    </row>
    <row r="715" spans="1:16">
      <c r="A715" s="90">
        <v>126127444242</v>
      </c>
      <c r="B715" s="1" t="s">
        <v>1790</v>
      </c>
      <c r="C715" s="43" t="s">
        <v>1874</v>
      </c>
      <c r="D715" s="1" t="s">
        <v>1780</v>
      </c>
      <c r="E715" s="43" t="s">
        <v>1879</v>
      </c>
      <c r="F715" s="37" t="s">
        <v>1782</v>
      </c>
      <c r="G715" s="44">
        <v>36000</v>
      </c>
      <c r="H715" s="44">
        <v>216</v>
      </c>
      <c r="K715" s="4" t="e">
        <f>VLOOKUP(A715,Detallado!$C$5:$H$1570,6,FALSE)</f>
        <v>#N/A</v>
      </c>
    </row>
    <row r="716" spans="1:16">
      <c r="A716" s="90">
        <v>126126279136</v>
      </c>
      <c r="B716" s="1" t="s">
        <v>8</v>
      </c>
      <c r="C716" s="43" t="s">
        <v>1874</v>
      </c>
      <c r="D716" s="1" t="s">
        <v>1780</v>
      </c>
      <c r="E716" s="43" t="s">
        <v>1879</v>
      </c>
      <c r="F716" s="37" t="s">
        <v>1782</v>
      </c>
      <c r="G716" s="44">
        <v>44900</v>
      </c>
      <c r="H716" s="44">
        <v>269.39999999999998</v>
      </c>
      <c r="K716" s="4" t="e">
        <f>VLOOKUP(A716,Detallado!$C$5:$H$1570,6,FALSE)</f>
        <v>#N/A</v>
      </c>
    </row>
    <row r="717" spans="1:16">
      <c r="A717" s="90">
        <v>126126266778</v>
      </c>
      <c r="B717" s="1" t="s">
        <v>1887</v>
      </c>
      <c r="C717" s="43" t="s">
        <v>1874</v>
      </c>
      <c r="D717" s="1" t="s">
        <v>1780</v>
      </c>
      <c r="E717" s="43" t="s">
        <v>1879</v>
      </c>
      <c r="F717" s="37" t="s">
        <v>1782</v>
      </c>
      <c r="G717" s="44">
        <v>5070</v>
      </c>
      <c r="H717" s="44">
        <v>30.42</v>
      </c>
      <c r="K717" s="4" t="e">
        <f>VLOOKUP(A717,Detallado!$C$5:$H$1570,6,FALSE)</f>
        <v>#N/A</v>
      </c>
    </row>
    <row r="718" spans="1:16">
      <c r="A718" s="90">
        <v>126126003700</v>
      </c>
      <c r="B718" s="1" t="s">
        <v>8</v>
      </c>
      <c r="C718" s="43" t="s">
        <v>1874</v>
      </c>
      <c r="D718" s="1" t="s">
        <v>1780</v>
      </c>
      <c r="E718" s="43" t="s">
        <v>1879</v>
      </c>
      <c r="F718" s="37" t="s">
        <v>1782</v>
      </c>
      <c r="G718" s="44">
        <v>55500</v>
      </c>
      <c r="H718" s="44">
        <v>333</v>
      </c>
      <c r="K718" s="4" t="e">
        <f>VLOOKUP(A718,Detallado!$C$5:$H$1570,6,FALSE)</f>
        <v>#N/A</v>
      </c>
    </row>
    <row r="719" spans="1:16">
      <c r="A719" s="90">
        <v>126125865338</v>
      </c>
      <c r="B719" s="1" t="s">
        <v>1790</v>
      </c>
      <c r="C719" s="43" t="s">
        <v>1874</v>
      </c>
      <c r="D719" s="1" t="s">
        <v>1780</v>
      </c>
      <c r="E719" s="43" t="s">
        <v>1879</v>
      </c>
      <c r="F719" s="37" t="s">
        <v>1782</v>
      </c>
      <c r="G719" s="44">
        <v>36700</v>
      </c>
      <c r="H719" s="44">
        <v>220.2</v>
      </c>
      <c r="K719" s="4" t="e">
        <f>VLOOKUP(A719,Detallado!$C$5:$H$1570,6,FALSE)</f>
        <v>#N/A</v>
      </c>
    </row>
    <row r="720" spans="1:16">
      <c r="A720" s="90">
        <v>126125844426</v>
      </c>
      <c r="B720" s="1" t="s">
        <v>1790</v>
      </c>
      <c r="C720" s="43" t="s">
        <v>1874</v>
      </c>
      <c r="D720" s="1" t="s">
        <v>1780</v>
      </c>
      <c r="E720" s="43" t="s">
        <v>1879</v>
      </c>
      <c r="F720" s="37" t="s">
        <v>1782</v>
      </c>
      <c r="G720" s="44">
        <v>92100</v>
      </c>
      <c r="H720" s="44">
        <v>552.6</v>
      </c>
      <c r="K720" s="4" t="e">
        <f>VLOOKUP(A720,Detallado!$C$5:$H$1570,6,FALSE)</f>
        <v>#N/A</v>
      </c>
    </row>
    <row r="721" spans="1:11">
      <c r="A721" s="90">
        <v>126125649050</v>
      </c>
      <c r="B721" s="1" t="s">
        <v>1790</v>
      </c>
      <c r="C721" s="43" t="s">
        <v>1874</v>
      </c>
      <c r="D721" s="1" t="s">
        <v>1780</v>
      </c>
      <c r="E721" s="43" t="s">
        <v>1879</v>
      </c>
      <c r="F721" s="37" t="s">
        <v>1782</v>
      </c>
      <c r="G721" s="44">
        <v>69500</v>
      </c>
      <c r="H721" s="44">
        <v>417</v>
      </c>
      <c r="K721" s="4" t="e">
        <f>VLOOKUP(A721,Detallado!$C$5:$H$1570,6,FALSE)</f>
        <v>#N/A</v>
      </c>
    </row>
    <row r="722" spans="1:11">
      <c r="A722" s="90">
        <v>126125616248</v>
      </c>
      <c r="B722" s="1" t="s">
        <v>8</v>
      </c>
      <c r="C722" s="43" t="s">
        <v>1874</v>
      </c>
      <c r="D722" s="1" t="s">
        <v>1780</v>
      </c>
      <c r="E722" s="43" t="s">
        <v>1879</v>
      </c>
      <c r="F722" s="37" t="s">
        <v>1782</v>
      </c>
      <c r="G722" s="44">
        <v>2200</v>
      </c>
      <c r="H722" s="44">
        <v>13.2</v>
      </c>
      <c r="K722" s="4" t="e">
        <f>VLOOKUP(A722,Detallado!$C$5:$H$1570,6,FALSE)</f>
        <v>#N/A</v>
      </c>
    </row>
    <row r="723" spans="1:11">
      <c r="A723" s="90">
        <v>126125328454</v>
      </c>
      <c r="B723" s="1" t="s">
        <v>8</v>
      </c>
      <c r="C723" s="43" t="s">
        <v>1874</v>
      </c>
      <c r="D723" s="1" t="s">
        <v>1780</v>
      </c>
      <c r="E723" s="43" t="s">
        <v>1879</v>
      </c>
      <c r="F723" s="37" t="s">
        <v>1782</v>
      </c>
      <c r="G723" s="44">
        <v>31900</v>
      </c>
      <c r="H723" s="44">
        <v>191.4</v>
      </c>
      <c r="K723" s="4" t="e">
        <f>VLOOKUP(A723,Detallado!$C$5:$H$1570,6,FALSE)</f>
        <v>#N/A</v>
      </c>
    </row>
    <row r="724" spans="1:11">
      <c r="A724" s="90">
        <v>126125321516</v>
      </c>
      <c r="B724" s="1" t="s">
        <v>1886</v>
      </c>
      <c r="C724" s="43" t="s">
        <v>1874</v>
      </c>
      <c r="D724" s="1" t="s">
        <v>1780</v>
      </c>
      <c r="E724" s="43" t="s">
        <v>1879</v>
      </c>
      <c r="F724" s="37" t="s">
        <v>1782</v>
      </c>
      <c r="G724" s="44">
        <v>2810</v>
      </c>
      <c r="H724" s="44">
        <v>16.86</v>
      </c>
      <c r="K724" s="4" t="e">
        <f>VLOOKUP(A724,Detallado!$C$5:$H$1570,6,FALSE)</f>
        <v>#N/A</v>
      </c>
    </row>
    <row r="725" spans="1:11">
      <c r="A725" s="90">
        <v>126124937948</v>
      </c>
      <c r="B725" s="1" t="s">
        <v>8</v>
      </c>
      <c r="C725" s="43" t="s">
        <v>1874</v>
      </c>
      <c r="D725" s="1" t="s">
        <v>1780</v>
      </c>
      <c r="E725" s="43" t="s">
        <v>1879</v>
      </c>
      <c r="F725" s="37" t="s">
        <v>1782</v>
      </c>
      <c r="G725" s="44">
        <v>15600</v>
      </c>
      <c r="H725" s="44">
        <v>93.6</v>
      </c>
      <c r="K725" s="4" t="e">
        <f>VLOOKUP(A725,Detallado!$C$5:$H$1570,6,FALSE)</f>
        <v>#N/A</v>
      </c>
    </row>
    <row r="726" spans="1:11">
      <c r="A726" s="90">
        <v>125575047745</v>
      </c>
      <c r="B726" s="1" t="s">
        <v>1790</v>
      </c>
      <c r="C726" s="43" t="s">
        <v>1874</v>
      </c>
      <c r="D726" s="1" t="s">
        <v>1780</v>
      </c>
      <c r="E726" s="43" t="s">
        <v>1879</v>
      </c>
      <c r="F726" s="37" t="s">
        <v>1782</v>
      </c>
      <c r="G726" s="44">
        <v>50600</v>
      </c>
      <c r="H726" s="44">
        <v>303.60000000000002</v>
      </c>
      <c r="K726" s="4" t="e">
        <f>VLOOKUP(A726,Detallado!$C$5:$H$1570,6,FALSE)</f>
        <v>#N/A</v>
      </c>
    </row>
    <row r="727" spans="1:11">
      <c r="A727" s="90">
        <v>125574552839</v>
      </c>
      <c r="B727" s="1" t="s">
        <v>8</v>
      </c>
      <c r="C727" s="43" t="s">
        <v>1874</v>
      </c>
      <c r="D727" s="1" t="s">
        <v>1780</v>
      </c>
      <c r="E727" s="43" t="s">
        <v>1879</v>
      </c>
      <c r="F727" s="37" t="s">
        <v>1782</v>
      </c>
      <c r="G727" s="44">
        <v>50700</v>
      </c>
      <c r="H727" s="44">
        <v>304.2</v>
      </c>
      <c r="K727" s="4" t="e">
        <f>VLOOKUP(A727,Detallado!$C$5:$H$1570,6,FALSE)</f>
        <v>#N/A</v>
      </c>
    </row>
    <row r="728" spans="1:11">
      <c r="A728" s="90">
        <v>125573766089</v>
      </c>
      <c r="B728" s="1" t="s">
        <v>1790</v>
      </c>
      <c r="C728" s="43" t="s">
        <v>1874</v>
      </c>
      <c r="D728" s="1" t="s">
        <v>1780</v>
      </c>
      <c r="E728" s="43" t="s">
        <v>1879</v>
      </c>
      <c r="F728" s="37" t="s">
        <v>1782</v>
      </c>
      <c r="G728" s="44">
        <v>6900</v>
      </c>
      <c r="H728" s="44">
        <v>41.4</v>
      </c>
      <c r="K728" s="4" t="e">
        <f>VLOOKUP(A728,Detallado!$C$5:$H$1570,6,FALSE)</f>
        <v>#N/A</v>
      </c>
    </row>
    <row r="729" spans="1:11">
      <c r="A729" s="90">
        <v>125573390505</v>
      </c>
      <c r="B729" s="1" t="s">
        <v>8</v>
      </c>
      <c r="C729" s="43" t="s">
        <v>1874</v>
      </c>
      <c r="D729" s="1" t="s">
        <v>1780</v>
      </c>
      <c r="E729" s="43" t="s">
        <v>1879</v>
      </c>
      <c r="F729" s="37" t="s">
        <v>1782</v>
      </c>
      <c r="G729" s="44">
        <v>56200</v>
      </c>
      <c r="H729" s="44">
        <v>337.2</v>
      </c>
      <c r="K729" s="4" t="e">
        <f>VLOOKUP(A729,Detallado!$C$5:$H$1570,6,FALSE)</f>
        <v>#N/A</v>
      </c>
    </row>
    <row r="730" spans="1:11">
      <c r="A730" s="90">
        <v>125572639149</v>
      </c>
      <c r="B730" s="1" t="s">
        <v>1790</v>
      </c>
      <c r="C730" s="43" t="s">
        <v>1874</v>
      </c>
      <c r="D730" s="1" t="s">
        <v>1780</v>
      </c>
      <c r="E730" s="43" t="s">
        <v>1879</v>
      </c>
      <c r="F730" s="37" t="s">
        <v>1782</v>
      </c>
      <c r="G730" s="44">
        <v>40200</v>
      </c>
      <c r="H730" s="44">
        <v>241.2</v>
      </c>
      <c r="K730" s="4" t="e">
        <f>VLOOKUP(A730,Detallado!$C$5:$H$1570,6,FALSE)</f>
        <v>#N/A</v>
      </c>
    </row>
    <row r="731" spans="1:11">
      <c r="A731" s="90">
        <v>125572517133</v>
      </c>
      <c r="B731" s="1" t="s">
        <v>8</v>
      </c>
      <c r="C731" s="43" t="s">
        <v>1874</v>
      </c>
      <c r="D731" s="1" t="s">
        <v>1780</v>
      </c>
      <c r="E731" s="43" t="s">
        <v>1879</v>
      </c>
      <c r="F731" s="37" t="s">
        <v>1782</v>
      </c>
      <c r="G731" s="44">
        <v>27400</v>
      </c>
      <c r="H731" s="44">
        <v>164.4</v>
      </c>
      <c r="K731" s="4" t="e">
        <f>VLOOKUP(A731,Detallado!$C$5:$H$1570,6,FALSE)</f>
        <v>#N/A</v>
      </c>
    </row>
    <row r="732" spans="1:11">
      <c r="A732" s="90">
        <v>126215681054</v>
      </c>
      <c r="B732" s="1" t="s">
        <v>1790</v>
      </c>
      <c r="C732" s="43" t="s">
        <v>1879</v>
      </c>
      <c r="D732" s="1" t="s">
        <v>1780</v>
      </c>
      <c r="E732" s="43" t="s">
        <v>1879</v>
      </c>
      <c r="F732" s="37" t="s">
        <v>1782</v>
      </c>
      <c r="G732" s="44">
        <v>43500</v>
      </c>
      <c r="H732" s="44">
        <v>261</v>
      </c>
      <c r="K732" s="4" t="e">
        <f>VLOOKUP(A732,Detallado!$C$5:$H$1570,6,FALSE)</f>
        <v>#N/A</v>
      </c>
    </row>
    <row r="733" spans="1:11">
      <c r="A733" s="90">
        <v>126214829960</v>
      </c>
      <c r="B733" s="1" t="s">
        <v>8</v>
      </c>
      <c r="C733" s="43" t="s">
        <v>1879</v>
      </c>
      <c r="D733" s="1" t="s">
        <v>1780</v>
      </c>
      <c r="E733" s="43" t="s">
        <v>1879</v>
      </c>
      <c r="F733" s="37" t="s">
        <v>1782</v>
      </c>
      <c r="G733" s="44">
        <v>49000</v>
      </c>
      <c r="H733" s="44">
        <v>294</v>
      </c>
      <c r="K733" s="4" t="e">
        <f>VLOOKUP(A733,Detallado!$C$5:$H$1570,6,FALSE)</f>
        <v>#N/A</v>
      </c>
    </row>
    <row r="734" spans="1:11">
      <c r="A734" s="90">
        <v>126213444444</v>
      </c>
      <c r="B734" s="1" t="s">
        <v>8</v>
      </c>
      <c r="C734" s="43" t="s">
        <v>1879</v>
      </c>
      <c r="D734" s="1" t="s">
        <v>1780</v>
      </c>
      <c r="E734" s="43" t="s">
        <v>1879</v>
      </c>
      <c r="F734" s="37" t="s">
        <v>1782</v>
      </c>
      <c r="G734" s="44">
        <v>4500</v>
      </c>
      <c r="H734" s="44">
        <v>27</v>
      </c>
      <c r="K734" s="4" t="e">
        <f>VLOOKUP(A734,Detallado!$C$5:$H$1570,6,FALSE)</f>
        <v>#N/A</v>
      </c>
    </row>
    <row r="735" spans="1:11">
      <c r="A735" s="90">
        <v>126213201364</v>
      </c>
      <c r="B735" s="1" t="s">
        <v>8</v>
      </c>
      <c r="C735" s="43" t="s">
        <v>1879</v>
      </c>
      <c r="D735" s="1" t="s">
        <v>1780</v>
      </c>
      <c r="E735" s="43" t="s">
        <v>1879</v>
      </c>
      <c r="F735" s="37" t="s">
        <v>1782</v>
      </c>
      <c r="G735" s="44">
        <v>78900</v>
      </c>
      <c r="H735" s="44">
        <v>473.4</v>
      </c>
      <c r="K735" s="4" t="e">
        <f>VLOOKUP(A735,Detallado!$C$5:$H$1570,6,FALSE)</f>
        <v>#N/A</v>
      </c>
    </row>
    <row r="736" spans="1:11">
      <c r="A736" s="90">
        <v>126213107032</v>
      </c>
      <c r="B736" s="1" t="s">
        <v>8</v>
      </c>
      <c r="C736" s="43" t="s">
        <v>1879</v>
      </c>
      <c r="D736" s="1" t="s">
        <v>1780</v>
      </c>
      <c r="E736" s="43" t="s">
        <v>1879</v>
      </c>
      <c r="F736" s="37" t="s">
        <v>1782</v>
      </c>
      <c r="G736" s="44">
        <v>28900</v>
      </c>
      <c r="H736" s="44">
        <v>173.4</v>
      </c>
      <c r="K736" s="4" t="e">
        <f>VLOOKUP(A736,Detallado!$C$5:$H$1570,6,FALSE)</f>
        <v>#N/A</v>
      </c>
    </row>
    <row r="737" spans="1:11">
      <c r="A737" s="90">
        <v>126212628608</v>
      </c>
      <c r="B737" s="1" t="s">
        <v>1790</v>
      </c>
      <c r="C737" s="43" t="s">
        <v>1879</v>
      </c>
      <c r="D737" s="1" t="s">
        <v>1780</v>
      </c>
      <c r="E737" s="43" t="s">
        <v>1879</v>
      </c>
      <c r="F737" s="37" t="s">
        <v>1782</v>
      </c>
      <c r="G737" s="44">
        <v>10300</v>
      </c>
      <c r="H737" s="44">
        <v>61.8</v>
      </c>
      <c r="K737" s="4" t="e">
        <f>VLOOKUP(A737,Detallado!$C$5:$H$1570,6,FALSE)</f>
        <v>#N/A</v>
      </c>
    </row>
    <row r="738" spans="1:11">
      <c r="A738" s="90">
        <v>126211365010</v>
      </c>
      <c r="B738" s="1" t="s">
        <v>8</v>
      </c>
      <c r="C738" s="43" t="s">
        <v>1879</v>
      </c>
      <c r="D738" s="1" t="s">
        <v>1780</v>
      </c>
      <c r="E738" s="43" t="s">
        <v>1879</v>
      </c>
      <c r="F738" s="37" t="s">
        <v>1782</v>
      </c>
      <c r="G738" s="44">
        <v>32300</v>
      </c>
      <c r="H738" s="44">
        <v>193.8</v>
      </c>
      <c r="K738" s="4" t="e">
        <f>VLOOKUP(A738,Detallado!$C$5:$H$1570,6,FALSE)</f>
        <v>#N/A</v>
      </c>
    </row>
    <row r="739" spans="1:11">
      <c r="A739" s="90">
        <v>126210057176</v>
      </c>
      <c r="B739" s="1" t="s">
        <v>1790</v>
      </c>
      <c r="C739" s="43" t="s">
        <v>1879</v>
      </c>
      <c r="D739" s="1" t="s">
        <v>1780</v>
      </c>
      <c r="E739" s="43" t="s">
        <v>1879</v>
      </c>
      <c r="F739" s="37" t="s">
        <v>1782</v>
      </c>
      <c r="G739" s="44">
        <v>23800</v>
      </c>
      <c r="H739" s="44">
        <v>142.80000000000001</v>
      </c>
      <c r="K739" s="4" t="e">
        <f>VLOOKUP(A739,Detallado!$C$5:$H$1570,6,FALSE)</f>
        <v>#N/A</v>
      </c>
    </row>
    <row r="740" spans="1:11">
      <c r="A740" s="90">
        <v>126209525276</v>
      </c>
      <c r="B740" s="1" t="s">
        <v>8</v>
      </c>
      <c r="C740" s="43" t="s">
        <v>1879</v>
      </c>
      <c r="D740" s="1" t="s">
        <v>1780</v>
      </c>
      <c r="E740" s="43" t="s">
        <v>1879</v>
      </c>
      <c r="F740" s="37" t="s">
        <v>1782</v>
      </c>
      <c r="G740" s="44">
        <v>14000</v>
      </c>
      <c r="H740" s="44">
        <v>84</v>
      </c>
      <c r="K740" s="4" t="e">
        <f>VLOOKUP(A740,Detallado!$C$5:$H$1570,6,FALSE)</f>
        <v>#N/A</v>
      </c>
    </row>
    <row r="741" spans="1:11">
      <c r="A741" s="90">
        <v>126208398932</v>
      </c>
      <c r="B741" s="1" t="s">
        <v>8</v>
      </c>
      <c r="C741" s="43" t="s">
        <v>1879</v>
      </c>
      <c r="D741" s="1" t="s">
        <v>1780</v>
      </c>
      <c r="E741" s="43" t="s">
        <v>1879</v>
      </c>
      <c r="F741" s="37" t="s">
        <v>1782</v>
      </c>
      <c r="G741" s="44">
        <v>38000</v>
      </c>
      <c r="H741" s="44">
        <v>228</v>
      </c>
      <c r="K741" s="4" t="e">
        <f>VLOOKUP(A741,Detallado!$C$5:$H$1570,6,FALSE)</f>
        <v>#N/A</v>
      </c>
    </row>
    <row r="742" spans="1:11">
      <c r="A742" s="90">
        <v>126202107638</v>
      </c>
      <c r="B742" s="1" t="s">
        <v>1790</v>
      </c>
      <c r="C742" s="43" t="s">
        <v>1879</v>
      </c>
      <c r="D742" s="1" t="s">
        <v>1780</v>
      </c>
      <c r="E742" s="43" t="s">
        <v>1879</v>
      </c>
      <c r="F742" s="37" t="s">
        <v>1782</v>
      </c>
      <c r="G742" s="44">
        <v>27000</v>
      </c>
      <c r="H742" s="44">
        <v>162</v>
      </c>
      <c r="K742" s="4" t="e">
        <f>VLOOKUP(A742,Detallado!$C$5:$H$1570,6,FALSE)</f>
        <v>#N/A</v>
      </c>
    </row>
    <row r="743" spans="1:11">
      <c r="A743" s="90">
        <v>126199806570</v>
      </c>
      <c r="B743" s="1" t="s">
        <v>8</v>
      </c>
      <c r="C743" s="43" t="s">
        <v>1879</v>
      </c>
      <c r="D743" s="1" t="s">
        <v>1780</v>
      </c>
      <c r="E743" s="43" t="s">
        <v>1879</v>
      </c>
      <c r="F743" s="37" t="s">
        <v>1782</v>
      </c>
      <c r="G743" s="44">
        <v>23000</v>
      </c>
      <c r="H743" s="44">
        <v>138</v>
      </c>
      <c r="K743" s="4" t="e">
        <f>VLOOKUP(A743,Detallado!$C$5:$H$1570,6,FALSE)</f>
        <v>#N/A</v>
      </c>
    </row>
    <row r="744" spans="1:11">
      <c r="A744" s="90">
        <v>126195667264</v>
      </c>
      <c r="B744" s="1" t="s">
        <v>1790</v>
      </c>
      <c r="C744" s="43" t="s">
        <v>1879</v>
      </c>
      <c r="D744" s="1" t="s">
        <v>1780</v>
      </c>
      <c r="E744" s="43" t="s">
        <v>1879</v>
      </c>
      <c r="F744" s="37" t="s">
        <v>1782</v>
      </c>
      <c r="G744" s="44">
        <v>9000</v>
      </c>
      <c r="H744" s="44">
        <v>54</v>
      </c>
      <c r="K744" s="4" t="e">
        <f>VLOOKUP(A744,Detallado!$C$5:$H$1570,6,FALSE)</f>
        <v>#N/A</v>
      </c>
    </row>
    <row r="745" spans="1:11">
      <c r="A745" s="90">
        <v>126131790334</v>
      </c>
      <c r="B745" s="1" t="s">
        <v>8</v>
      </c>
      <c r="C745" s="43" t="s">
        <v>1879</v>
      </c>
      <c r="D745" s="1" t="s">
        <v>1780</v>
      </c>
      <c r="E745" s="43" t="s">
        <v>1879</v>
      </c>
      <c r="F745" s="37" t="s">
        <v>1782</v>
      </c>
      <c r="G745" s="44">
        <v>25400</v>
      </c>
      <c r="H745" s="44">
        <v>152.4</v>
      </c>
      <c r="K745" s="4" t="e">
        <f>VLOOKUP(A745,Detallado!$C$5:$H$1570,6,FALSE)</f>
        <v>#N/A</v>
      </c>
    </row>
    <row r="746" spans="1:11">
      <c r="A746" s="90">
        <v>126131769430</v>
      </c>
      <c r="B746" s="1" t="s">
        <v>8</v>
      </c>
      <c r="C746" s="43" t="s">
        <v>1879</v>
      </c>
      <c r="D746" s="1" t="s">
        <v>1780</v>
      </c>
      <c r="E746" s="43" t="s">
        <v>1879</v>
      </c>
      <c r="F746" s="37" t="s">
        <v>1782</v>
      </c>
      <c r="G746" s="44">
        <v>8000</v>
      </c>
      <c r="H746" s="44">
        <v>48</v>
      </c>
      <c r="K746" s="4" t="e">
        <f>VLOOKUP(A746,Detallado!$C$5:$H$1570,6,FALSE)</f>
        <v>#N/A</v>
      </c>
    </row>
    <row r="747" spans="1:11">
      <c r="A747" s="90">
        <v>126131685768</v>
      </c>
      <c r="B747" s="1" t="s">
        <v>8</v>
      </c>
      <c r="C747" s="43" t="s">
        <v>1879</v>
      </c>
      <c r="D747" s="1" t="s">
        <v>1780</v>
      </c>
      <c r="E747" s="43" t="s">
        <v>1879</v>
      </c>
      <c r="F747" s="37" t="s">
        <v>1782</v>
      </c>
      <c r="G747" s="44">
        <v>61100</v>
      </c>
      <c r="H747" s="44">
        <v>366.6</v>
      </c>
      <c r="K747" s="4" t="e">
        <f>VLOOKUP(A747,Detallado!$C$5:$H$1570,6,FALSE)</f>
        <v>#N/A</v>
      </c>
    </row>
    <row r="748" spans="1:11">
      <c r="A748" s="90">
        <v>126131480124</v>
      </c>
      <c r="B748" s="1" t="s">
        <v>8</v>
      </c>
      <c r="C748" s="43" t="s">
        <v>1879</v>
      </c>
      <c r="D748" s="1" t="s">
        <v>1780</v>
      </c>
      <c r="E748" s="43" t="s">
        <v>1879</v>
      </c>
      <c r="F748" s="37" t="s">
        <v>1782</v>
      </c>
      <c r="G748" s="44">
        <v>24600</v>
      </c>
      <c r="H748" s="44">
        <v>147.6</v>
      </c>
      <c r="K748" s="4" t="e">
        <f>VLOOKUP(A748,Detallado!$C$5:$H$1570,6,FALSE)</f>
        <v>#N/A</v>
      </c>
    </row>
    <row r="749" spans="1:11">
      <c r="A749" s="90">
        <v>126131385030</v>
      </c>
      <c r="B749" s="1" t="s">
        <v>1885</v>
      </c>
      <c r="C749" s="43" t="s">
        <v>1879</v>
      </c>
      <c r="D749" s="1" t="s">
        <v>1780</v>
      </c>
      <c r="E749" s="43" t="s">
        <v>1879</v>
      </c>
      <c r="F749" s="37" t="s">
        <v>1782</v>
      </c>
      <c r="G749" s="44">
        <v>2460</v>
      </c>
      <c r="H749" s="44">
        <v>14.76</v>
      </c>
      <c r="K749" s="4" t="e">
        <f>VLOOKUP(A749,Detallado!$C$5:$H$1570,6,FALSE)</f>
        <v>#N/A</v>
      </c>
    </row>
    <row r="750" spans="1:11">
      <c r="A750" s="90">
        <v>126131278306</v>
      </c>
      <c r="B750" s="1" t="s">
        <v>8</v>
      </c>
      <c r="C750" s="43" t="s">
        <v>1879</v>
      </c>
      <c r="D750" s="1" t="s">
        <v>1780</v>
      </c>
      <c r="E750" s="43" t="s">
        <v>1879</v>
      </c>
      <c r="F750" s="37" t="s">
        <v>1782</v>
      </c>
      <c r="G750" s="44">
        <v>19900</v>
      </c>
      <c r="H750" s="44">
        <v>119.4</v>
      </c>
      <c r="K750" s="4" t="e">
        <f>VLOOKUP(A750,Detallado!$C$5:$H$1570,6,FALSE)</f>
        <v>#N/A</v>
      </c>
    </row>
    <row r="751" spans="1:11">
      <c r="A751" s="90">
        <v>126131164784</v>
      </c>
      <c r="B751" s="1" t="s">
        <v>1790</v>
      </c>
      <c r="C751" s="43" t="s">
        <v>1879</v>
      </c>
      <c r="D751" s="1" t="s">
        <v>1780</v>
      </c>
      <c r="E751" s="43" t="s">
        <v>1879</v>
      </c>
      <c r="F751" s="37" t="s">
        <v>1782</v>
      </c>
      <c r="G751" s="44">
        <v>25200</v>
      </c>
      <c r="H751" s="44">
        <v>151.19999999999999</v>
      </c>
      <c r="K751" s="4" t="e">
        <f>VLOOKUP(A751,Detallado!$C$5:$H$1570,6,FALSE)</f>
        <v>#N/A</v>
      </c>
    </row>
    <row r="752" spans="1:11">
      <c r="A752" s="90">
        <v>126131114974</v>
      </c>
      <c r="B752" s="1" t="s">
        <v>8</v>
      </c>
      <c r="C752" s="43" t="s">
        <v>1879</v>
      </c>
      <c r="D752" s="1" t="s">
        <v>1780</v>
      </c>
      <c r="E752" s="43" t="s">
        <v>1879</v>
      </c>
      <c r="F752" s="37" t="s">
        <v>1782</v>
      </c>
      <c r="G752" s="44">
        <v>57000</v>
      </c>
      <c r="H752" s="44">
        <v>342</v>
      </c>
      <c r="K752" s="4" t="e">
        <f>VLOOKUP(A752,Detallado!$C$5:$H$1570,6,FALSE)</f>
        <v>#N/A</v>
      </c>
    </row>
    <row r="753" spans="1:11">
      <c r="A753" s="90">
        <v>126130624264</v>
      </c>
      <c r="B753" s="1" t="s">
        <v>1790</v>
      </c>
      <c r="C753" s="43" t="s">
        <v>1879</v>
      </c>
      <c r="D753" s="1" t="s">
        <v>1780</v>
      </c>
      <c r="E753" s="43" t="s">
        <v>1879</v>
      </c>
      <c r="F753" s="37" t="s">
        <v>1782</v>
      </c>
      <c r="G753" s="44">
        <v>7800</v>
      </c>
      <c r="H753" s="44">
        <v>46.8</v>
      </c>
      <c r="K753" s="4" t="e">
        <f>VLOOKUP(A753,Detallado!$C$5:$H$1570,6,FALSE)</f>
        <v>#N/A</v>
      </c>
    </row>
    <row r="754" spans="1:11">
      <c r="A754" s="90">
        <v>126129504564</v>
      </c>
      <c r="B754" s="1" t="s">
        <v>8</v>
      </c>
      <c r="C754" s="43" t="s">
        <v>1879</v>
      </c>
      <c r="D754" s="1" t="s">
        <v>1780</v>
      </c>
      <c r="E754" s="43" t="s">
        <v>1879</v>
      </c>
      <c r="F754" s="37" t="s">
        <v>1782</v>
      </c>
      <c r="G754" s="44">
        <v>51600</v>
      </c>
      <c r="H754" s="44">
        <v>309.60000000000002</v>
      </c>
      <c r="K754" s="4" t="e">
        <f>VLOOKUP(A754,Detallado!$C$5:$H$1570,6,FALSE)</f>
        <v>#N/A</v>
      </c>
    </row>
    <row r="755" spans="1:11">
      <c r="A755" s="90">
        <v>126129426494</v>
      </c>
      <c r="B755" s="1" t="s">
        <v>1790</v>
      </c>
      <c r="C755" s="43" t="s">
        <v>1879</v>
      </c>
      <c r="D755" s="1" t="s">
        <v>1780</v>
      </c>
      <c r="E755" s="43" t="s">
        <v>1879</v>
      </c>
      <c r="F755" s="37" t="s">
        <v>1782</v>
      </c>
      <c r="G755" s="44">
        <v>12000</v>
      </c>
      <c r="H755" s="44">
        <v>72</v>
      </c>
      <c r="K755" s="4" t="e">
        <f>VLOOKUP(A755,Detallado!$C$5:$H$1570,6,FALSE)</f>
        <v>#N/A</v>
      </c>
    </row>
    <row r="756" spans="1:11">
      <c r="A756" s="90">
        <v>126128996208</v>
      </c>
      <c r="B756" s="1" t="s">
        <v>8</v>
      </c>
      <c r="C756" s="43" t="s">
        <v>1879</v>
      </c>
      <c r="D756" s="1" t="s">
        <v>1780</v>
      </c>
      <c r="E756" s="43" t="s">
        <v>1879</v>
      </c>
      <c r="F756" s="37" t="s">
        <v>1782</v>
      </c>
      <c r="G756" s="44">
        <v>3900</v>
      </c>
      <c r="H756" s="44">
        <v>23.4</v>
      </c>
      <c r="K756" s="4" t="e">
        <f>VLOOKUP(A756,Detallado!$C$5:$H$1570,6,FALSE)</f>
        <v>#N/A</v>
      </c>
    </row>
    <row r="757" spans="1:11">
      <c r="A757" s="90">
        <v>126128875098</v>
      </c>
      <c r="B757" s="1" t="s">
        <v>8</v>
      </c>
      <c r="C757" s="43" t="s">
        <v>1879</v>
      </c>
      <c r="D757" s="1" t="s">
        <v>1780</v>
      </c>
      <c r="E757" s="43" t="s">
        <v>1879</v>
      </c>
      <c r="F757" s="37" t="s">
        <v>1782</v>
      </c>
      <c r="G757" s="44">
        <v>15300</v>
      </c>
      <c r="H757" s="44">
        <v>91.8</v>
      </c>
      <c r="K757" s="4" t="e">
        <f>VLOOKUP(A757,Detallado!$C$5:$H$1570,6,FALSE)</f>
        <v>#N/A</v>
      </c>
    </row>
    <row r="758" spans="1:11">
      <c r="A758" s="90">
        <v>126128849374</v>
      </c>
      <c r="B758" s="1" t="s">
        <v>8</v>
      </c>
      <c r="C758" s="43" t="s">
        <v>1879</v>
      </c>
      <c r="D758" s="1" t="s">
        <v>1780</v>
      </c>
      <c r="E758" s="43" t="s">
        <v>1879</v>
      </c>
      <c r="F758" s="37" t="s">
        <v>1782</v>
      </c>
      <c r="G758" s="44">
        <v>5300</v>
      </c>
      <c r="H758" s="44">
        <v>31.8</v>
      </c>
      <c r="K758" s="4" t="e">
        <f>VLOOKUP(A758,Detallado!$C$5:$H$1570,6,FALSE)</f>
        <v>#N/A</v>
      </c>
    </row>
    <row r="759" spans="1:11">
      <c r="A759" s="90">
        <v>126128807772</v>
      </c>
      <c r="B759" s="1" t="s">
        <v>8</v>
      </c>
      <c r="C759" s="43" t="s">
        <v>1879</v>
      </c>
      <c r="D759" s="1" t="s">
        <v>1780</v>
      </c>
      <c r="E759" s="43" t="s">
        <v>1879</v>
      </c>
      <c r="F759" s="37" t="s">
        <v>1782</v>
      </c>
      <c r="G759" s="44">
        <v>10300</v>
      </c>
      <c r="H759" s="44">
        <v>61.8</v>
      </c>
      <c r="K759" s="4" t="e">
        <f>VLOOKUP(A759,Detallado!$C$5:$H$1570,6,FALSE)</f>
        <v>#N/A</v>
      </c>
    </row>
    <row r="760" spans="1:11">
      <c r="A760" s="90">
        <v>126128502728</v>
      </c>
      <c r="B760" s="1" t="s">
        <v>1790</v>
      </c>
      <c r="C760" s="43" t="s">
        <v>1879</v>
      </c>
      <c r="D760" s="1" t="s">
        <v>1780</v>
      </c>
      <c r="E760" s="43" t="s">
        <v>1879</v>
      </c>
      <c r="F760" s="37" t="s">
        <v>1782</v>
      </c>
      <c r="G760" s="44">
        <v>17900</v>
      </c>
      <c r="H760" s="44">
        <v>107.4</v>
      </c>
      <c r="K760" s="4" t="e">
        <f>VLOOKUP(A760,Detallado!$C$5:$H$1570,6,FALSE)</f>
        <v>#N/A</v>
      </c>
    </row>
    <row r="761" spans="1:11">
      <c r="A761" s="90">
        <v>126128476864</v>
      </c>
      <c r="B761" s="1" t="s">
        <v>8</v>
      </c>
      <c r="C761" s="43" t="s">
        <v>1879</v>
      </c>
      <c r="D761" s="1" t="s">
        <v>1780</v>
      </c>
      <c r="E761" s="43" t="s">
        <v>1879</v>
      </c>
      <c r="F761" s="37" t="s">
        <v>1782</v>
      </c>
      <c r="G761" s="44">
        <v>121200</v>
      </c>
      <c r="H761" s="44">
        <v>727.2</v>
      </c>
      <c r="K761" s="4" t="e">
        <f>VLOOKUP(A761,Detallado!$C$5:$H$1570,6,FALSE)</f>
        <v>#N/A</v>
      </c>
    </row>
    <row r="762" spans="1:11">
      <c r="A762" s="90">
        <v>126128300134</v>
      </c>
      <c r="B762" s="1" t="s">
        <v>1790</v>
      </c>
      <c r="C762" s="43" t="s">
        <v>1879</v>
      </c>
      <c r="D762" s="1" t="s">
        <v>1780</v>
      </c>
      <c r="E762" s="43" t="s">
        <v>1879</v>
      </c>
      <c r="F762" s="37" t="s">
        <v>1782</v>
      </c>
      <c r="G762" s="44">
        <v>37200</v>
      </c>
      <c r="H762" s="44">
        <v>223.2</v>
      </c>
      <c r="K762" s="4" t="e">
        <f>VLOOKUP(A762,Detallado!$C$5:$H$1570,6,FALSE)</f>
        <v>#N/A</v>
      </c>
    </row>
    <row r="763" spans="1:11">
      <c r="A763" s="90">
        <v>126127972920</v>
      </c>
      <c r="B763" s="1" t="s">
        <v>8</v>
      </c>
      <c r="C763" s="43" t="s">
        <v>1879</v>
      </c>
      <c r="D763" s="1" t="s">
        <v>1780</v>
      </c>
      <c r="E763" s="43" t="s">
        <v>1879</v>
      </c>
      <c r="F763" s="37" t="s">
        <v>1782</v>
      </c>
      <c r="G763" s="44">
        <v>9000</v>
      </c>
      <c r="H763" s="44">
        <v>54</v>
      </c>
      <c r="K763" s="4" t="e">
        <f>VLOOKUP(A763,Detallado!$C$5:$H$1570,6,FALSE)</f>
        <v>#N/A</v>
      </c>
    </row>
    <row r="764" spans="1:11">
      <c r="A764" s="90">
        <v>125663262315</v>
      </c>
      <c r="B764" s="1" t="s">
        <v>8</v>
      </c>
      <c r="C764" s="43" t="s">
        <v>1879</v>
      </c>
      <c r="D764" s="1" t="s">
        <v>1780</v>
      </c>
      <c r="E764" s="43" t="s">
        <v>1879</v>
      </c>
      <c r="F764" s="37" t="s">
        <v>1782</v>
      </c>
      <c r="G764" s="44">
        <v>17800</v>
      </c>
      <c r="H764" s="44">
        <v>106.8</v>
      </c>
      <c r="K764" s="4" t="e">
        <f>VLOOKUP(A764,Detallado!$C$5:$H$1570,6,FALSE)</f>
        <v>#N/A</v>
      </c>
    </row>
    <row r="765" spans="1:11">
      <c r="A765" s="90">
        <v>125663240327</v>
      </c>
      <c r="B765" s="1" t="s">
        <v>1790</v>
      </c>
      <c r="C765" s="43" t="s">
        <v>1879</v>
      </c>
      <c r="D765" s="1" t="s">
        <v>1780</v>
      </c>
      <c r="E765" s="43" t="s">
        <v>1879</v>
      </c>
      <c r="F765" s="37" t="s">
        <v>1782</v>
      </c>
      <c r="G765" s="44">
        <v>11900</v>
      </c>
      <c r="H765" s="44">
        <v>71.400000000000006</v>
      </c>
      <c r="K765" s="4" t="e">
        <f>VLOOKUP(A765,Detallado!$C$5:$H$1570,6,FALSE)</f>
        <v>#N/A</v>
      </c>
    </row>
    <row r="766" spans="1:11">
      <c r="A766" s="90">
        <v>125662860685</v>
      </c>
      <c r="B766" s="1" t="s">
        <v>1790</v>
      </c>
      <c r="C766" s="43" t="s">
        <v>1879</v>
      </c>
      <c r="D766" s="1" t="s">
        <v>1780</v>
      </c>
      <c r="E766" s="43" t="s">
        <v>1879</v>
      </c>
      <c r="F766" s="37" t="s">
        <v>1782</v>
      </c>
      <c r="G766" s="44">
        <v>41900</v>
      </c>
      <c r="H766" s="44">
        <v>251.4</v>
      </c>
      <c r="K766" s="4" t="e">
        <f>VLOOKUP(A766,Detallado!$C$5:$H$1570,6,FALSE)</f>
        <v>#N/A</v>
      </c>
    </row>
    <row r="767" spans="1:11">
      <c r="A767" s="90">
        <v>125662278353</v>
      </c>
      <c r="B767" s="1" t="s">
        <v>8</v>
      </c>
      <c r="C767" s="43" t="s">
        <v>1879</v>
      </c>
      <c r="D767" s="1" t="s">
        <v>1780</v>
      </c>
      <c r="E767" s="43" t="s">
        <v>1879</v>
      </c>
      <c r="F767" s="37" t="s">
        <v>1782</v>
      </c>
      <c r="G767" s="44">
        <v>20500</v>
      </c>
      <c r="H767" s="44">
        <v>123</v>
      </c>
      <c r="K767" s="4" t="e">
        <f>VLOOKUP(A767,Detallado!$C$5:$H$1570,6,FALSE)</f>
        <v>#N/A</v>
      </c>
    </row>
    <row r="768" spans="1:11">
      <c r="A768" s="90">
        <v>125661802007</v>
      </c>
      <c r="B768" s="1" t="s">
        <v>1790</v>
      </c>
      <c r="C768" s="43" t="s">
        <v>1879</v>
      </c>
      <c r="D768" s="1" t="s">
        <v>1780</v>
      </c>
      <c r="E768" s="43" t="s">
        <v>1879</v>
      </c>
      <c r="F768" s="37" t="s">
        <v>1782</v>
      </c>
      <c r="G768" s="44">
        <v>70000</v>
      </c>
      <c r="H768" s="44">
        <v>420</v>
      </c>
      <c r="K768" s="4" t="e">
        <f>VLOOKUP(A768,Detallado!$C$5:$H$1570,6,FALSE)</f>
        <v>#N/A</v>
      </c>
    </row>
    <row r="769" spans="1:11">
      <c r="A769" s="90">
        <v>125659996117</v>
      </c>
      <c r="B769" s="1" t="s">
        <v>8</v>
      </c>
      <c r="C769" s="43" t="s">
        <v>1879</v>
      </c>
      <c r="D769" s="1" t="s">
        <v>1780</v>
      </c>
      <c r="E769" s="43" t="s">
        <v>1879</v>
      </c>
      <c r="F769" s="37" t="s">
        <v>1782</v>
      </c>
      <c r="G769" s="44">
        <v>43800</v>
      </c>
      <c r="H769" s="44">
        <v>262.8</v>
      </c>
      <c r="K769" s="4" t="e">
        <f>VLOOKUP(A769,Detallado!$C$5:$H$1570,6,FALSE)</f>
        <v>#N/A</v>
      </c>
    </row>
    <row r="770" spans="1:11">
      <c r="A770" s="90">
        <v>125659954419</v>
      </c>
      <c r="B770" s="1" t="s">
        <v>8</v>
      </c>
      <c r="C770" s="43" t="s">
        <v>1879</v>
      </c>
      <c r="D770" s="1" t="s">
        <v>1780</v>
      </c>
      <c r="E770" s="43" t="s">
        <v>1879</v>
      </c>
      <c r="F770" s="37" t="s">
        <v>1782</v>
      </c>
      <c r="G770" s="44">
        <v>40400</v>
      </c>
      <c r="H770" s="44">
        <v>242.4</v>
      </c>
      <c r="K770" s="4" t="e">
        <f>VLOOKUP(A770,Detallado!$C$5:$H$1570,6,FALSE)</f>
        <v>#N/A</v>
      </c>
    </row>
    <row r="771" spans="1:11">
      <c r="A771" s="90">
        <v>125659456895</v>
      </c>
      <c r="B771" s="1" t="s">
        <v>8</v>
      </c>
      <c r="C771" s="43" t="s">
        <v>1879</v>
      </c>
      <c r="D771" s="1" t="s">
        <v>1780</v>
      </c>
      <c r="E771" s="43" t="s">
        <v>1879</v>
      </c>
      <c r="F771" s="37" t="s">
        <v>1782</v>
      </c>
      <c r="G771" s="44">
        <v>8600</v>
      </c>
      <c r="H771" s="44">
        <v>51.6</v>
      </c>
      <c r="K771" s="4" t="e">
        <f>VLOOKUP(A771,Detallado!$C$5:$H$1570,6,FALSE)</f>
        <v>#N/A</v>
      </c>
    </row>
    <row r="772" spans="1:11">
      <c r="A772" s="90">
        <v>125656403991</v>
      </c>
      <c r="B772" s="1" t="s">
        <v>8</v>
      </c>
      <c r="C772" s="43" t="s">
        <v>1879</v>
      </c>
      <c r="D772" s="1" t="s">
        <v>1780</v>
      </c>
      <c r="E772" s="43" t="s">
        <v>1879</v>
      </c>
      <c r="F772" s="37" t="s">
        <v>1782</v>
      </c>
      <c r="G772" s="44">
        <v>18600</v>
      </c>
      <c r="H772" s="44">
        <v>111.6</v>
      </c>
      <c r="K772" s="4" t="e">
        <f>VLOOKUP(A772,Detallado!$C$5:$H$1570,6,FALSE)</f>
        <v>#N/A</v>
      </c>
    </row>
    <row r="773" spans="1:11">
      <c r="A773" s="90">
        <v>125650842711</v>
      </c>
      <c r="B773" s="1" t="s">
        <v>1790</v>
      </c>
      <c r="C773" s="43" t="s">
        <v>1879</v>
      </c>
      <c r="D773" s="1" t="s">
        <v>1780</v>
      </c>
      <c r="E773" s="43" t="s">
        <v>1879</v>
      </c>
      <c r="F773" s="37" t="s">
        <v>1782</v>
      </c>
      <c r="G773" s="44">
        <v>22100</v>
      </c>
      <c r="H773" s="44">
        <v>132.6</v>
      </c>
      <c r="K773" s="4" t="e">
        <f>VLOOKUP(A773,Detallado!$C$5:$H$1570,6,FALSE)</f>
        <v>#N/A</v>
      </c>
    </row>
    <row r="774" spans="1:11">
      <c r="A774" s="90">
        <v>125648509125</v>
      </c>
      <c r="B774" s="1" t="s">
        <v>8</v>
      </c>
      <c r="C774" s="43" t="s">
        <v>1879</v>
      </c>
      <c r="D774" s="1" t="s">
        <v>1780</v>
      </c>
      <c r="E774" s="43" t="s">
        <v>1879</v>
      </c>
      <c r="F774" s="37" t="s">
        <v>1782</v>
      </c>
      <c r="G774" s="44">
        <v>5300</v>
      </c>
      <c r="H774" s="44">
        <v>31.8</v>
      </c>
      <c r="K774" s="4" t="e">
        <f>VLOOKUP(A774,Detallado!$C$5:$H$1570,6,FALSE)</f>
        <v>#N/A</v>
      </c>
    </row>
    <row r="775" spans="1:11">
      <c r="A775" s="90">
        <v>125647221653</v>
      </c>
      <c r="B775" s="1" t="s">
        <v>8</v>
      </c>
      <c r="C775" s="43" t="s">
        <v>1879</v>
      </c>
      <c r="D775" s="1" t="s">
        <v>1780</v>
      </c>
      <c r="E775" s="43" t="s">
        <v>1879</v>
      </c>
      <c r="F775" s="37" t="s">
        <v>1782</v>
      </c>
      <c r="G775" s="44">
        <v>7800</v>
      </c>
      <c r="H775" s="44">
        <v>46.8</v>
      </c>
      <c r="K775" s="4" t="e">
        <f>VLOOKUP(A775,Detallado!$C$5:$H$1570,6,FALSE)</f>
        <v>#N/A</v>
      </c>
    </row>
    <row r="776" spans="1:11">
      <c r="A776" s="90">
        <v>125647203977</v>
      </c>
      <c r="B776" s="1" t="s">
        <v>1890</v>
      </c>
      <c r="C776" s="43" t="s">
        <v>1879</v>
      </c>
      <c r="D776" s="1" t="s">
        <v>1780</v>
      </c>
      <c r="E776" s="43" t="s">
        <v>1879</v>
      </c>
      <c r="F776" s="37" t="s">
        <v>1782</v>
      </c>
      <c r="G776" s="44">
        <v>780</v>
      </c>
      <c r="H776" s="44">
        <v>4.68</v>
      </c>
      <c r="K776" s="4" t="e">
        <f>VLOOKUP(A776,Detallado!$C$5:$H$1570,6,FALSE)</f>
        <v>#N/A</v>
      </c>
    </row>
    <row r="777" spans="1:11">
      <c r="A777" s="90">
        <v>125641720659</v>
      </c>
      <c r="B777" s="1" t="s">
        <v>1889</v>
      </c>
      <c r="C777" s="43" t="s">
        <v>1879</v>
      </c>
      <c r="D777" s="1" t="s">
        <v>1780</v>
      </c>
      <c r="E777" s="43" t="s">
        <v>1879</v>
      </c>
      <c r="F777" s="37" t="s">
        <v>1782</v>
      </c>
      <c r="G777" s="44">
        <v>550</v>
      </c>
      <c r="H777" s="44">
        <v>3.3</v>
      </c>
      <c r="K777" s="4" t="e">
        <f>VLOOKUP(A777,Detallado!$C$5:$H$1570,6,FALSE)</f>
        <v>#N/A</v>
      </c>
    </row>
    <row r="778" spans="1:11">
      <c r="A778" s="90">
        <v>125641694887</v>
      </c>
      <c r="B778" s="1" t="s">
        <v>8</v>
      </c>
      <c r="C778" s="43" t="s">
        <v>1879</v>
      </c>
      <c r="D778" s="1" t="s">
        <v>1780</v>
      </c>
      <c r="E778" s="43" t="s">
        <v>1879</v>
      </c>
      <c r="F778" s="37" t="s">
        <v>1782</v>
      </c>
      <c r="G778" s="44">
        <v>11000</v>
      </c>
      <c r="H778" s="44">
        <v>66</v>
      </c>
      <c r="K778" s="4" t="e">
        <f>VLOOKUP(A778,Detallado!$C$5:$H$1570,6,FALSE)</f>
        <v>#N/A</v>
      </c>
    </row>
    <row r="779" spans="1:11">
      <c r="A779" s="90">
        <v>125579583955</v>
      </c>
      <c r="B779" s="1" t="s">
        <v>8</v>
      </c>
      <c r="C779" s="43" t="s">
        <v>1879</v>
      </c>
      <c r="D779" s="1" t="s">
        <v>1780</v>
      </c>
      <c r="E779" s="43" t="s">
        <v>1879</v>
      </c>
      <c r="F779" s="37" t="s">
        <v>1782</v>
      </c>
      <c r="G779" s="44">
        <v>9500</v>
      </c>
      <c r="H779" s="44">
        <v>57</v>
      </c>
      <c r="K779" s="4" t="e">
        <f>VLOOKUP(A779,Detallado!$C$5:$H$1570,6,FALSE)</f>
        <v>#N/A</v>
      </c>
    </row>
    <row r="780" spans="1:11">
      <c r="A780" s="90">
        <v>125579567091</v>
      </c>
      <c r="B780" s="1" t="s">
        <v>8</v>
      </c>
      <c r="C780" s="43" t="s">
        <v>1879</v>
      </c>
      <c r="D780" s="1" t="s">
        <v>1780</v>
      </c>
      <c r="E780" s="43" t="s">
        <v>1879</v>
      </c>
      <c r="F780" s="37" t="s">
        <v>1782</v>
      </c>
      <c r="G780" s="44">
        <v>27000</v>
      </c>
      <c r="H780" s="44">
        <v>162</v>
      </c>
      <c r="K780" s="4" t="e">
        <f>VLOOKUP(A780,Detallado!$C$5:$H$1570,6,FALSE)</f>
        <v>#N/A</v>
      </c>
    </row>
    <row r="781" spans="1:11">
      <c r="A781" s="90">
        <v>125579346241</v>
      </c>
      <c r="B781" s="1" t="s">
        <v>1790</v>
      </c>
      <c r="C781" s="43" t="s">
        <v>1879</v>
      </c>
      <c r="D781" s="1" t="s">
        <v>1780</v>
      </c>
      <c r="E781" s="43" t="s">
        <v>1879</v>
      </c>
      <c r="F781" s="37" t="s">
        <v>1782</v>
      </c>
      <c r="G781" s="44">
        <v>32100</v>
      </c>
      <c r="H781" s="44">
        <v>192.6</v>
      </c>
      <c r="K781" s="4" t="e">
        <f>VLOOKUP(A781,Detallado!$C$5:$H$1570,6,FALSE)</f>
        <v>#N/A</v>
      </c>
    </row>
    <row r="782" spans="1:11">
      <c r="A782" s="90">
        <v>125579320835</v>
      </c>
      <c r="B782" s="1" t="s">
        <v>1790</v>
      </c>
      <c r="C782" s="43" t="s">
        <v>1879</v>
      </c>
      <c r="D782" s="1" t="s">
        <v>1780</v>
      </c>
      <c r="E782" s="43" t="s">
        <v>1879</v>
      </c>
      <c r="F782" s="37" t="s">
        <v>1782</v>
      </c>
      <c r="G782" s="44">
        <v>11700</v>
      </c>
      <c r="H782" s="44">
        <v>70.2</v>
      </c>
      <c r="K782" s="4" t="e">
        <f>VLOOKUP(A782,Detallado!$C$5:$H$1570,6,FALSE)</f>
        <v>#N/A</v>
      </c>
    </row>
    <row r="783" spans="1:11">
      <c r="A783" s="90">
        <v>125579030099</v>
      </c>
      <c r="B783" s="1" t="s">
        <v>8</v>
      </c>
      <c r="C783" s="43" t="s">
        <v>1879</v>
      </c>
      <c r="D783" s="1" t="s">
        <v>1780</v>
      </c>
      <c r="E783" s="43" t="s">
        <v>1879</v>
      </c>
      <c r="F783" s="37" t="s">
        <v>1782</v>
      </c>
      <c r="G783" s="44">
        <v>20900</v>
      </c>
      <c r="H783" s="44">
        <v>125.4</v>
      </c>
      <c r="K783" s="4" t="e">
        <f>VLOOKUP(A783,Detallado!$C$5:$H$1570,6,FALSE)</f>
        <v>#N/A</v>
      </c>
    </row>
    <row r="784" spans="1:11">
      <c r="A784" s="90">
        <v>125578968239</v>
      </c>
      <c r="B784" s="1" t="s">
        <v>1884</v>
      </c>
      <c r="C784" s="43" t="s">
        <v>1879</v>
      </c>
      <c r="D784" s="1" t="s">
        <v>1780</v>
      </c>
      <c r="E784" s="43" t="s">
        <v>1879</v>
      </c>
      <c r="F784" s="37" t="s">
        <v>1782</v>
      </c>
      <c r="G784" s="44">
        <v>995</v>
      </c>
      <c r="H784" s="44">
        <v>5.97</v>
      </c>
      <c r="K784" s="4" t="e">
        <f>VLOOKUP(A784,Detallado!$C$5:$H$1570,6,FALSE)</f>
        <v>#N/A</v>
      </c>
    </row>
    <row r="785" spans="1:11">
      <c r="A785" s="90">
        <v>125578892085</v>
      </c>
      <c r="B785" s="1" t="s">
        <v>8</v>
      </c>
      <c r="C785" s="43" t="s">
        <v>1879</v>
      </c>
      <c r="D785" s="1" t="s">
        <v>1780</v>
      </c>
      <c r="E785" s="43" t="s">
        <v>1879</v>
      </c>
      <c r="F785" s="37" t="s">
        <v>1782</v>
      </c>
      <c r="G785" s="44">
        <v>13100</v>
      </c>
      <c r="H785" s="44">
        <v>78.599999999999994</v>
      </c>
      <c r="K785" s="4" t="e">
        <f>VLOOKUP(A785,Detallado!$C$5:$H$1570,6,FALSE)</f>
        <v>#N/A</v>
      </c>
    </row>
    <row r="786" spans="1:11">
      <c r="A786" s="90">
        <v>125578259241</v>
      </c>
      <c r="B786" s="1" t="s">
        <v>1790</v>
      </c>
      <c r="C786" s="43" t="s">
        <v>1879</v>
      </c>
      <c r="D786" s="1" t="s">
        <v>1780</v>
      </c>
      <c r="E786" s="43" t="s">
        <v>1879</v>
      </c>
      <c r="F786" s="37" t="s">
        <v>1782</v>
      </c>
      <c r="G786" s="44">
        <v>3900</v>
      </c>
      <c r="H786" s="44">
        <v>23.4</v>
      </c>
      <c r="K786" s="4" t="e">
        <f>VLOOKUP(A786,Detallado!$C$5:$H$1570,6,FALSE)</f>
        <v>#N/A</v>
      </c>
    </row>
    <row r="787" spans="1:11">
      <c r="A787" s="90">
        <v>125578192035</v>
      </c>
      <c r="B787" s="1" t="s">
        <v>1790</v>
      </c>
      <c r="C787" s="43" t="s">
        <v>1879</v>
      </c>
      <c r="D787" s="1" t="s">
        <v>1780</v>
      </c>
      <c r="E787" s="43" t="s">
        <v>1879</v>
      </c>
      <c r="F787" s="37" t="s">
        <v>1782</v>
      </c>
      <c r="G787" s="44">
        <v>16100</v>
      </c>
      <c r="H787" s="44">
        <v>96.6</v>
      </c>
      <c r="K787" s="4" t="e">
        <f>VLOOKUP(A787,Detallado!$C$5:$H$1570,6,FALSE)</f>
        <v>#N/A</v>
      </c>
    </row>
    <row r="788" spans="1:11">
      <c r="A788" s="90">
        <v>125577491253</v>
      </c>
      <c r="B788" s="1" t="s">
        <v>1790</v>
      </c>
      <c r="C788" s="43" t="s">
        <v>1879</v>
      </c>
      <c r="D788" s="1" t="s">
        <v>1780</v>
      </c>
      <c r="E788" s="43" t="s">
        <v>1879</v>
      </c>
      <c r="F788" s="37" t="s">
        <v>1782</v>
      </c>
      <c r="G788" s="44">
        <v>44400</v>
      </c>
      <c r="H788" s="44">
        <v>266.39999999999998</v>
      </c>
      <c r="K788" s="4" t="e">
        <f>VLOOKUP(A788,Detallado!$C$5:$H$1570,6,FALSE)</f>
        <v>#N/A</v>
      </c>
    </row>
    <row r="789" spans="1:11">
      <c r="A789" s="90">
        <v>125577313229</v>
      </c>
      <c r="B789" s="1" t="s">
        <v>8</v>
      </c>
      <c r="C789" s="43" t="s">
        <v>1879</v>
      </c>
      <c r="D789" s="1" t="s">
        <v>1780</v>
      </c>
      <c r="E789" s="43" t="s">
        <v>1879</v>
      </c>
      <c r="F789" s="37" t="s">
        <v>1782</v>
      </c>
      <c r="G789" s="44">
        <v>16500</v>
      </c>
      <c r="H789" s="44">
        <v>99</v>
      </c>
      <c r="K789" s="4" t="e">
        <f>VLOOKUP(A789,Detallado!$C$5:$H$1570,6,FALSE)</f>
        <v>#N/A</v>
      </c>
    </row>
    <row r="790" spans="1:11">
      <c r="A790" s="90">
        <v>125577184425</v>
      </c>
      <c r="B790" s="1" t="s">
        <v>8</v>
      </c>
      <c r="C790" s="43" t="s">
        <v>1879</v>
      </c>
      <c r="D790" s="1" t="s">
        <v>1780</v>
      </c>
      <c r="E790" s="43" t="s">
        <v>1879</v>
      </c>
      <c r="F790" s="37" t="s">
        <v>1782</v>
      </c>
      <c r="G790" s="44">
        <v>25800</v>
      </c>
      <c r="H790" s="44">
        <v>154.80000000000001</v>
      </c>
      <c r="K790" s="4" t="e">
        <f>VLOOKUP(A790,Detallado!$C$5:$H$1570,6,FALSE)</f>
        <v>#N/A</v>
      </c>
    </row>
    <row r="791" spans="1:11">
      <c r="A791" s="90">
        <v>125576972801</v>
      </c>
      <c r="B791" s="1" t="s">
        <v>8</v>
      </c>
      <c r="C791" s="43" t="s">
        <v>1879</v>
      </c>
      <c r="D791" s="1" t="s">
        <v>1780</v>
      </c>
      <c r="E791" s="43" t="s">
        <v>1879</v>
      </c>
      <c r="F791" s="37" t="s">
        <v>1782</v>
      </c>
      <c r="G791" s="44">
        <v>5300</v>
      </c>
      <c r="H791" s="44">
        <v>31.8</v>
      </c>
      <c r="K791" s="4" t="e">
        <f>VLOOKUP(A791,Detallado!$C$5:$H$1570,6,FALSE)</f>
        <v>#N/A</v>
      </c>
    </row>
    <row r="792" spans="1:11">
      <c r="A792" s="90">
        <v>125576905955</v>
      </c>
      <c r="B792" s="1" t="s">
        <v>1790</v>
      </c>
      <c r="C792" s="43" t="s">
        <v>1879</v>
      </c>
      <c r="D792" s="1" t="s">
        <v>1780</v>
      </c>
      <c r="E792" s="43" t="s">
        <v>1879</v>
      </c>
      <c r="F792" s="37" t="s">
        <v>1782</v>
      </c>
      <c r="G792" s="44">
        <v>9800</v>
      </c>
      <c r="H792" s="44">
        <v>58.8</v>
      </c>
      <c r="K792" s="4" t="e">
        <f>VLOOKUP(A792,Detallado!$C$5:$H$1570,6,FALSE)</f>
        <v>#N/A</v>
      </c>
    </row>
    <row r="793" spans="1:11">
      <c r="A793" s="90">
        <v>125576891613</v>
      </c>
      <c r="B793" s="1" t="s">
        <v>1888</v>
      </c>
      <c r="C793" s="43" t="s">
        <v>1879</v>
      </c>
      <c r="D793" s="1" t="s">
        <v>1780</v>
      </c>
      <c r="E793" s="43" t="s">
        <v>1879</v>
      </c>
      <c r="F793" s="37" t="s">
        <v>1782</v>
      </c>
      <c r="G793" s="44">
        <v>530</v>
      </c>
      <c r="H793" s="44">
        <v>3.18</v>
      </c>
      <c r="K793" s="4" t="e">
        <f>VLOOKUP(A793,Detallado!$C$5:$H$1570,6,FALSE)</f>
        <v>#N/A</v>
      </c>
    </row>
    <row r="794" spans="1:11">
      <c r="A794" s="90">
        <v>125576738331</v>
      </c>
      <c r="B794" s="1" t="s">
        <v>8</v>
      </c>
      <c r="C794" s="43" t="s">
        <v>1879</v>
      </c>
      <c r="D794" s="1" t="s">
        <v>1780</v>
      </c>
      <c r="E794" s="43" t="s">
        <v>1879</v>
      </c>
      <c r="F794" s="37" t="s">
        <v>1782</v>
      </c>
      <c r="G794" s="44">
        <v>71600</v>
      </c>
      <c r="H794" s="44">
        <v>429.6</v>
      </c>
      <c r="K794" s="4" t="e">
        <f>VLOOKUP(A794,Detallado!$C$5:$H$1570,6,FALSE)</f>
        <v>#N/A</v>
      </c>
    </row>
    <row r="795" spans="1:11">
      <c r="A795" s="90">
        <v>125576459167</v>
      </c>
      <c r="B795" s="1" t="s">
        <v>1881</v>
      </c>
      <c r="C795" s="43" t="s">
        <v>1879</v>
      </c>
      <c r="D795" s="1" t="s">
        <v>1780</v>
      </c>
      <c r="E795" s="43" t="s">
        <v>1879</v>
      </c>
      <c r="F795" s="37" t="s">
        <v>1782</v>
      </c>
      <c r="G795" s="44">
        <v>3960</v>
      </c>
      <c r="H795" s="44">
        <v>23.76</v>
      </c>
      <c r="K795" s="4" t="e">
        <f>VLOOKUP(A795,Detallado!$C$5:$H$1570,6,FALSE)</f>
        <v>#N/A</v>
      </c>
    </row>
    <row r="796" spans="1:11">
      <c r="A796" s="90">
        <v>125576351683</v>
      </c>
      <c r="B796" s="1" t="s">
        <v>8</v>
      </c>
      <c r="C796" s="43" t="s">
        <v>1879</v>
      </c>
      <c r="D796" s="1" t="s">
        <v>1780</v>
      </c>
      <c r="E796" s="43" t="s">
        <v>1879</v>
      </c>
      <c r="F796" s="37" t="s">
        <v>1782</v>
      </c>
      <c r="G796" s="44">
        <v>39600</v>
      </c>
      <c r="H796" s="44">
        <v>237.6</v>
      </c>
      <c r="K796" s="4" t="e">
        <f>VLOOKUP(A796,Detallado!$C$5:$H$1570,6,FALSE)</f>
        <v>#N/A</v>
      </c>
    </row>
    <row r="797" spans="1:11">
      <c r="A797" s="90">
        <v>125575777739</v>
      </c>
      <c r="B797" s="1" t="s">
        <v>1790</v>
      </c>
      <c r="C797" s="43" t="s">
        <v>1879</v>
      </c>
      <c r="D797" s="1" t="s">
        <v>1780</v>
      </c>
      <c r="E797" s="43" t="s">
        <v>1879</v>
      </c>
      <c r="F797" s="37" t="s">
        <v>1782</v>
      </c>
      <c r="G797" s="44">
        <v>18600</v>
      </c>
      <c r="H797" s="44">
        <v>111.6</v>
      </c>
      <c r="K797" s="4" t="e">
        <f>VLOOKUP(A797,Detallado!$C$5:$H$1570,6,FALSE)</f>
        <v>#N/A</v>
      </c>
    </row>
    <row r="798" spans="1:11">
      <c r="A798" s="90">
        <v>125575646461</v>
      </c>
      <c r="B798" s="1" t="s">
        <v>8</v>
      </c>
      <c r="C798" s="43" t="s">
        <v>1879</v>
      </c>
      <c r="D798" s="1" t="s">
        <v>1780</v>
      </c>
      <c r="E798" s="43" t="s">
        <v>1879</v>
      </c>
      <c r="F798" s="37" t="s">
        <v>1782</v>
      </c>
      <c r="G798" s="44">
        <v>66600</v>
      </c>
      <c r="H798" s="44">
        <v>399.6</v>
      </c>
      <c r="K798" s="4" t="e">
        <f>VLOOKUP(A798,Detallado!$C$5:$H$1570,6,FALSE)</f>
        <v>#N/A</v>
      </c>
    </row>
    <row r="799" spans="1:11">
      <c r="A799" s="90">
        <v>126218238140</v>
      </c>
      <c r="B799" s="1" t="s">
        <v>8</v>
      </c>
      <c r="C799" s="43" t="s">
        <v>1879</v>
      </c>
      <c r="D799" s="1" t="s">
        <v>1780</v>
      </c>
      <c r="E799" s="43" t="s">
        <v>1891</v>
      </c>
      <c r="F799" s="37" t="s">
        <v>1782</v>
      </c>
      <c r="G799" s="44">
        <v>36100</v>
      </c>
      <c r="H799" s="44">
        <v>216.6</v>
      </c>
      <c r="K799" s="4" t="e">
        <f>VLOOKUP(A799,Detallado!$C$5:$H$1570,6,FALSE)</f>
        <v>#N/A</v>
      </c>
    </row>
    <row r="800" spans="1:11">
      <c r="A800" s="90">
        <v>126218221652</v>
      </c>
      <c r="B800" s="1" t="s">
        <v>1790</v>
      </c>
      <c r="C800" s="43" t="s">
        <v>1879</v>
      </c>
      <c r="D800" s="1" t="s">
        <v>1780</v>
      </c>
      <c r="E800" s="43" t="s">
        <v>1891</v>
      </c>
      <c r="F800" s="37" t="s">
        <v>1782</v>
      </c>
      <c r="G800" s="44">
        <v>23200</v>
      </c>
      <c r="H800" s="44">
        <v>139.19999999999999</v>
      </c>
      <c r="K800" s="4" t="e">
        <f>VLOOKUP(A800,Detallado!$C$5:$H$1570,6,FALSE)</f>
        <v>#N/A</v>
      </c>
    </row>
    <row r="801" spans="1:16">
      <c r="A801" s="90">
        <v>126218156282</v>
      </c>
      <c r="B801" s="1" t="s">
        <v>1892</v>
      </c>
      <c r="C801" s="43" t="s">
        <v>1879</v>
      </c>
      <c r="D801" s="1" t="s">
        <v>1780</v>
      </c>
      <c r="E801" s="43" t="s">
        <v>1891</v>
      </c>
      <c r="F801" s="37" t="s">
        <v>1782</v>
      </c>
      <c r="G801" s="44">
        <v>5010</v>
      </c>
      <c r="H801" s="44">
        <v>30.06</v>
      </c>
      <c r="K801" s="4" t="e">
        <f>VLOOKUP(A801,Detallado!$C$5:$H$1570,6,FALSE)</f>
        <v>#N/A</v>
      </c>
    </row>
    <row r="802" spans="1:16">
      <c r="A802" s="90">
        <v>126217984052</v>
      </c>
      <c r="B802" s="1" t="s">
        <v>8</v>
      </c>
      <c r="C802" s="43" t="s">
        <v>1879</v>
      </c>
      <c r="D802" s="1" t="s">
        <v>1780</v>
      </c>
      <c r="E802" s="43" t="s">
        <v>1891</v>
      </c>
      <c r="F802" s="37" t="s">
        <v>1782</v>
      </c>
      <c r="G802" s="44">
        <v>50100</v>
      </c>
      <c r="H802" s="44">
        <v>300.60000000000002</v>
      </c>
      <c r="K802" s="4" t="e">
        <f>VLOOKUP(A802,Detallado!$C$5:$H$1570,6,FALSE)</f>
        <v>#N/A</v>
      </c>
    </row>
    <row r="803" spans="1:16">
      <c r="A803" s="90">
        <v>126217490808</v>
      </c>
      <c r="B803" s="1" t="s">
        <v>8</v>
      </c>
      <c r="C803" s="43" t="s">
        <v>1879</v>
      </c>
      <c r="D803" s="1" t="s">
        <v>1780</v>
      </c>
      <c r="E803" s="43" t="s">
        <v>1891</v>
      </c>
      <c r="F803" s="37" t="s">
        <v>1782</v>
      </c>
      <c r="G803" s="44">
        <v>9000</v>
      </c>
      <c r="H803" s="44">
        <v>54</v>
      </c>
      <c r="K803" s="4" t="e">
        <f>VLOOKUP(A803,Detallado!$C$5:$H$1570,6,FALSE)</f>
        <v>#N/A</v>
      </c>
    </row>
    <row r="804" spans="1:16">
      <c r="A804" s="90">
        <v>126217102720</v>
      </c>
      <c r="B804" s="1" t="s">
        <v>8</v>
      </c>
      <c r="C804" s="43" t="s">
        <v>1879</v>
      </c>
      <c r="D804" s="1" t="s">
        <v>1780</v>
      </c>
      <c r="E804" s="43" t="s">
        <v>1891</v>
      </c>
      <c r="F804" s="37" t="s">
        <v>1782</v>
      </c>
      <c r="G804" s="44">
        <v>27700</v>
      </c>
      <c r="H804" s="44">
        <v>166.2</v>
      </c>
      <c r="K804" s="4" t="e">
        <f>VLOOKUP(A804,Detallado!$C$5:$H$1570,6,FALSE)</f>
        <v>#N/A</v>
      </c>
    </row>
    <row r="805" spans="1:16">
      <c r="A805" s="90">
        <v>126216807538</v>
      </c>
      <c r="B805" s="1" t="s">
        <v>8</v>
      </c>
      <c r="C805" s="43" t="s">
        <v>1879</v>
      </c>
      <c r="D805" s="1" t="s">
        <v>1780</v>
      </c>
      <c r="E805" s="43" t="s">
        <v>1891</v>
      </c>
      <c r="F805" s="37" t="s">
        <v>1782</v>
      </c>
      <c r="G805" s="44">
        <v>23500</v>
      </c>
      <c r="H805" s="44">
        <v>141</v>
      </c>
      <c r="K805" s="4" t="e">
        <f>VLOOKUP(A805,Detallado!$C$5:$H$1570,6,FALSE)</f>
        <v>#N/A</v>
      </c>
    </row>
    <row r="806" spans="1:16">
      <c r="A806" s="90">
        <v>126216706478</v>
      </c>
      <c r="B806" s="1" t="s">
        <v>8</v>
      </c>
      <c r="C806" s="43" t="s">
        <v>1879</v>
      </c>
      <c r="D806" s="1" t="s">
        <v>1780</v>
      </c>
      <c r="E806" s="43" t="s">
        <v>1891</v>
      </c>
      <c r="F806" s="37" t="s">
        <v>1782</v>
      </c>
      <c r="G806" s="44">
        <v>85900</v>
      </c>
      <c r="H806" s="44">
        <v>515.4</v>
      </c>
      <c r="K806" s="4" t="e">
        <f>VLOOKUP(A806,Detallado!$C$5:$H$1570,6,FALSE)</f>
        <v>#N/A</v>
      </c>
    </row>
    <row r="807" spans="1:16">
      <c r="A807" s="90">
        <v>126216657442</v>
      </c>
      <c r="B807" s="1" t="s">
        <v>1790</v>
      </c>
      <c r="C807" s="43" t="s">
        <v>1879</v>
      </c>
      <c r="D807" s="1" t="s">
        <v>1780</v>
      </c>
      <c r="E807" s="43" t="s">
        <v>1891</v>
      </c>
      <c r="F807" s="37" t="s">
        <v>1782</v>
      </c>
      <c r="G807" s="44">
        <v>33700</v>
      </c>
      <c r="H807" s="44">
        <v>202.2</v>
      </c>
      <c r="K807" s="4" t="e">
        <f>VLOOKUP(A807,Detallado!$C$5:$H$1570,6,FALSE)</f>
        <v>#N/A</v>
      </c>
    </row>
    <row r="808" spans="1:16">
      <c r="A808" s="90">
        <v>125664117927</v>
      </c>
      <c r="B808" s="1" t="s">
        <v>8</v>
      </c>
      <c r="C808" s="43" t="s">
        <v>1879</v>
      </c>
      <c r="D808" s="1" t="s">
        <v>1780</v>
      </c>
      <c r="E808" s="43" t="s">
        <v>1891</v>
      </c>
      <c r="F808" s="37" t="s">
        <v>1782</v>
      </c>
      <c r="G808" s="44">
        <v>58800</v>
      </c>
      <c r="H808" s="44">
        <v>352.8</v>
      </c>
      <c r="K808" s="4" t="e">
        <f>VLOOKUP(A808,Detallado!$C$5:$H$1570,6,FALSE)</f>
        <v>#N/A</v>
      </c>
    </row>
    <row r="809" spans="1:16">
      <c r="A809" s="90">
        <v>125666113965</v>
      </c>
      <c r="B809" s="1" t="s">
        <v>8</v>
      </c>
      <c r="C809" s="43" t="s">
        <v>1891</v>
      </c>
      <c r="D809" s="1" t="s">
        <v>1780</v>
      </c>
      <c r="E809" s="43" t="s">
        <v>1891</v>
      </c>
      <c r="F809" s="37" t="s">
        <v>1782</v>
      </c>
      <c r="G809" s="44">
        <v>38600</v>
      </c>
      <c r="H809" s="44">
        <v>231.6</v>
      </c>
      <c r="K809" s="4" t="e">
        <f>VLOOKUP(A809,Detallado!$C$5:$H$1570,6,FALSE)</f>
        <v>#N/A</v>
      </c>
    </row>
    <row r="810" spans="1:16">
      <c r="A810" s="101" t="s">
        <v>1896</v>
      </c>
      <c r="B810" s="59" t="s">
        <v>8</v>
      </c>
      <c r="C810" s="60" t="s">
        <v>1891</v>
      </c>
      <c r="D810" s="59" t="s">
        <v>1780</v>
      </c>
      <c r="E810" s="60" t="s">
        <v>1891</v>
      </c>
      <c r="F810" s="61" t="s">
        <v>1782</v>
      </c>
      <c r="G810" s="62">
        <v>15960</v>
      </c>
      <c r="H810" s="74">
        <v>95.76</v>
      </c>
      <c r="I810" s="59"/>
      <c r="J810" s="59"/>
      <c r="K810" s="27">
        <f>-H810</f>
        <v>-95.76</v>
      </c>
      <c r="M810" s="4">
        <v>-95.760000000000218</v>
      </c>
      <c r="N810" s="66">
        <f t="shared" ref="N810:N824" si="6">+K810-M810</f>
        <v>2.1316282072803006E-13</v>
      </c>
      <c r="O810" s="1" t="s">
        <v>903</v>
      </c>
      <c r="P810" s="1">
        <f t="shared" ref="P810:P824" si="7">+E810-O810</f>
        <v>0</v>
      </c>
    </row>
    <row r="811" spans="1:16">
      <c r="A811" s="101" t="s">
        <v>1901</v>
      </c>
      <c r="B811" s="59" t="s">
        <v>8</v>
      </c>
      <c r="C811" s="60" t="s">
        <v>1891</v>
      </c>
      <c r="D811" s="59" t="s">
        <v>1780</v>
      </c>
      <c r="E811" s="60" t="s">
        <v>1891</v>
      </c>
      <c r="F811" s="61" t="s">
        <v>1782</v>
      </c>
      <c r="G811" s="62">
        <v>21599.99</v>
      </c>
      <c r="H811" s="74">
        <v>129.6</v>
      </c>
      <c r="I811" s="59"/>
      <c r="J811" s="59"/>
      <c r="K811" s="27">
        <f>-H811</f>
        <v>-129.6</v>
      </c>
      <c r="M811" s="4">
        <v>-129.59994035785348</v>
      </c>
      <c r="N811" s="66">
        <f t="shared" si="6"/>
        <v>-5.9642146510441307E-5</v>
      </c>
      <c r="O811" s="1" t="s">
        <v>65</v>
      </c>
      <c r="P811" s="1">
        <f t="shared" si="7"/>
        <v>11</v>
      </c>
    </row>
    <row r="812" spans="1:16">
      <c r="A812" s="101" t="s">
        <v>1900</v>
      </c>
      <c r="B812" s="59" t="s">
        <v>8</v>
      </c>
      <c r="C812" s="60" t="s">
        <v>1891</v>
      </c>
      <c r="D812" s="59" t="s">
        <v>1780</v>
      </c>
      <c r="E812" s="60" t="s">
        <v>1891</v>
      </c>
      <c r="F812" s="61" t="s">
        <v>1782</v>
      </c>
      <c r="G812" s="62">
        <v>25951.8</v>
      </c>
      <c r="H812" s="74">
        <v>155.71</v>
      </c>
      <c r="I812" s="59"/>
      <c r="J812" s="59"/>
      <c r="K812" s="27">
        <f>-H812</f>
        <v>-155.71</v>
      </c>
      <c r="M812" s="4">
        <v>-155.71079522862783</v>
      </c>
      <c r="N812" s="66">
        <f t="shared" si="6"/>
        <v>7.9522862782255288E-4</v>
      </c>
      <c r="O812" s="1" t="s">
        <v>903</v>
      </c>
      <c r="P812" s="1">
        <f t="shared" si="7"/>
        <v>0</v>
      </c>
    </row>
    <row r="813" spans="1:16">
      <c r="A813" s="90">
        <v>125728344293</v>
      </c>
      <c r="B813" s="1" t="s">
        <v>1897</v>
      </c>
      <c r="C813" s="43" t="s">
        <v>1891</v>
      </c>
      <c r="D813" s="1" t="s">
        <v>1780</v>
      </c>
      <c r="E813" s="43" t="s">
        <v>1891</v>
      </c>
      <c r="F813" s="37" t="s">
        <v>1782</v>
      </c>
      <c r="G813" s="44">
        <v>103014</v>
      </c>
      <c r="H813" s="77">
        <v>618.08000000000004</v>
      </c>
      <c r="K813" s="27" t="e">
        <f>VLOOKUP(A813,Detallado!$C$5:$H$1570,6,FALSE)</f>
        <v>#N/A</v>
      </c>
      <c r="M813" s="4">
        <v>-618.08397614314163</v>
      </c>
      <c r="N813" s="66" t="e">
        <f t="shared" si="6"/>
        <v>#N/A</v>
      </c>
      <c r="O813" s="1" t="s">
        <v>903</v>
      </c>
      <c r="P813" s="1">
        <f t="shared" si="7"/>
        <v>0</v>
      </c>
    </row>
    <row r="814" spans="1:16">
      <c r="A814" s="90">
        <v>125738338007</v>
      </c>
      <c r="B814" s="1" t="s">
        <v>8</v>
      </c>
      <c r="C814" s="43" t="s">
        <v>1891</v>
      </c>
      <c r="D814" s="1" t="s">
        <v>1780</v>
      </c>
      <c r="E814" s="43" t="s">
        <v>1891</v>
      </c>
      <c r="F814" s="37" t="s">
        <v>1782</v>
      </c>
      <c r="G814" s="44">
        <v>113156</v>
      </c>
      <c r="H814" s="77">
        <v>678.94</v>
      </c>
      <c r="K814" s="27" t="e">
        <f>VLOOKUP(A814,Detallado!$C$5:$H$1570,6,FALSE)</f>
        <v>#N/A</v>
      </c>
      <c r="M814" s="4">
        <v>-674.88667992048431</v>
      </c>
      <c r="N814" s="66" t="e">
        <f t="shared" si="6"/>
        <v>#N/A</v>
      </c>
      <c r="O814" s="1" t="s">
        <v>903</v>
      </c>
      <c r="P814" s="1">
        <f t="shared" si="7"/>
        <v>0</v>
      </c>
    </row>
    <row r="815" spans="1:16">
      <c r="A815" s="101" t="s">
        <v>1899</v>
      </c>
      <c r="B815" s="59" t="s">
        <v>8</v>
      </c>
      <c r="C815" s="60" t="s">
        <v>1891</v>
      </c>
      <c r="D815" s="59" t="s">
        <v>1780</v>
      </c>
      <c r="E815" s="60" t="s">
        <v>1891</v>
      </c>
      <c r="F815" s="61" t="s">
        <v>1782</v>
      </c>
      <c r="G815" s="62">
        <v>125325</v>
      </c>
      <c r="H815" s="74">
        <v>751.95</v>
      </c>
      <c r="I815" s="59"/>
      <c r="J815" s="59"/>
      <c r="K815" s="27">
        <f>-H815</f>
        <v>-751.95</v>
      </c>
      <c r="M815" s="4">
        <v>-751.94999999999709</v>
      </c>
      <c r="N815" s="66">
        <f t="shared" si="6"/>
        <v>-2.9558577807620168E-12</v>
      </c>
      <c r="O815" s="1" t="s">
        <v>903</v>
      </c>
      <c r="P815" s="1">
        <f t="shared" si="7"/>
        <v>0</v>
      </c>
    </row>
    <row r="816" spans="1:16">
      <c r="A816" s="101" t="s">
        <v>1898</v>
      </c>
      <c r="B816" s="59" t="s">
        <v>8</v>
      </c>
      <c r="C816" s="60" t="s">
        <v>1891</v>
      </c>
      <c r="D816" s="59" t="s">
        <v>1780</v>
      </c>
      <c r="E816" s="60" t="s">
        <v>1891</v>
      </c>
      <c r="F816" s="61" t="s">
        <v>1782</v>
      </c>
      <c r="G816" s="62">
        <v>213710.4</v>
      </c>
      <c r="H816" s="74">
        <v>1282.26</v>
      </c>
      <c r="I816" s="59"/>
      <c r="J816" s="59"/>
      <c r="K816" s="27">
        <f>-H816</f>
        <v>-1282.26</v>
      </c>
      <c r="M816" s="4">
        <v>-1282.2623856858991</v>
      </c>
      <c r="N816" s="66">
        <f t="shared" si="6"/>
        <v>2.3856858990711771E-3</v>
      </c>
      <c r="O816" s="1" t="s">
        <v>903</v>
      </c>
      <c r="P816" s="1">
        <f t="shared" si="7"/>
        <v>0</v>
      </c>
    </row>
    <row r="817" spans="1:16">
      <c r="A817" s="90">
        <v>125715190737</v>
      </c>
      <c r="B817" s="1" t="s">
        <v>8</v>
      </c>
      <c r="C817" s="43" t="s">
        <v>1891</v>
      </c>
      <c r="D817" s="1" t="s">
        <v>1780</v>
      </c>
      <c r="E817" s="43" t="s">
        <v>1891</v>
      </c>
      <c r="F817" s="37" t="s">
        <v>1782</v>
      </c>
      <c r="G817" s="44">
        <v>264542.99</v>
      </c>
      <c r="H817" s="77">
        <v>1587.26</v>
      </c>
      <c r="K817" s="27" t="e">
        <f>VLOOKUP(A817,Detallado!$C$5:$H$1570,6,FALSE)</f>
        <v>#N/A</v>
      </c>
      <c r="M817" s="4">
        <v>-1577.7911928429385</v>
      </c>
      <c r="N817" s="66" t="e">
        <f t="shared" si="6"/>
        <v>#N/A</v>
      </c>
      <c r="O817" s="1" t="s">
        <v>903</v>
      </c>
      <c r="P817" s="1">
        <f t="shared" si="7"/>
        <v>0</v>
      </c>
    </row>
    <row r="818" spans="1:16">
      <c r="A818" s="101" t="s">
        <v>1895</v>
      </c>
      <c r="B818" s="59" t="s">
        <v>8</v>
      </c>
      <c r="C818" s="60" t="s">
        <v>1891</v>
      </c>
      <c r="D818" s="59" t="s">
        <v>1780</v>
      </c>
      <c r="E818" s="60" t="s">
        <v>1891</v>
      </c>
      <c r="F818" s="61" t="s">
        <v>1782</v>
      </c>
      <c r="G818" s="62">
        <v>318790</v>
      </c>
      <c r="H818" s="74">
        <v>1912.74</v>
      </c>
      <c r="I818" s="59"/>
      <c r="J818" s="59"/>
      <c r="K818" s="27">
        <f>-H818</f>
        <v>-1912.74</v>
      </c>
      <c r="M818" s="4">
        <v>-1912.7399999999907</v>
      </c>
      <c r="N818" s="66">
        <f t="shared" si="6"/>
        <v>-9.3223206931725144E-12</v>
      </c>
      <c r="O818" s="1" t="s">
        <v>903</v>
      </c>
      <c r="P818" s="1">
        <f t="shared" si="7"/>
        <v>0</v>
      </c>
    </row>
    <row r="819" spans="1:16">
      <c r="A819" s="101" t="s">
        <v>1893</v>
      </c>
      <c r="B819" s="59" t="s">
        <v>8</v>
      </c>
      <c r="C819" s="60" t="s">
        <v>1891</v>
      </c>
      <c r="D819" s="59" t="s">
        <v>1780</v>
      </c>
      <c r="E819" s="60" t="s">
        <v>1891</v>
      </c>
      <c r="F819" s="61" t="s">
        <v>1782</v>
      </c>
      <c r="G819" s="62">
        <v>812070</v>
      </c>
      <c r="H819" s="74">
        <v>4872.42</v>
      </c>
      <c r="I819" s="59"/>
      <c r="J819" s="59"/>
      <c r="K819" s="27">
        <f>-H819</f>
        <v>-4872.42</v>
      </c>
      <c r="M819" s="4">
        <v>-4872.4200000000419</v>
      </c>
      <c r="N819" s="66">
        <f t="shared" si="6"/>
        <v>4.1836756281554699E-11</v>
      </c>
      <c r="O819" s="1" t="s">
        <v>903</v>
      </c>
      <c r="P819" s="1">
        <f t="shared" si="7"/>
        <v>0</v>
      </c>
    </row>
    <row r="820" spans="1:16">
      <c r="A820" s="101" t="s">
        <v>1894</v>
      </c>
      <c r="B820" s="59" t="s">
        <v>8</v>
      </c>
      <c r="C820" s="60" t="s">
        <v>1891</v>
      </c>
      <c r="D820" s="59" t="s">
        <v>1780</v>
      </c>
      <c r="E820" s="60" t="s">
        <v>1891</v>
      </c>
      <c r="F820" s="61" t="s">
        <v>1782</v>
      </c>
      <c r="G820" s="62">
        <v>852000</v>
      </c>
      <c r="H820" s="74">
        <v>5112</v>
      </c>
      <c r="I820" s="59"/>
      <c r="J820" s="59"/>
      <c r="K820" s="27">
        <f>-H820</f>
        <v>-5112</v>
      </c>
      <c r="M820" s="4">
        <v>-5112</v>
      </c>
      <c r="N820" s="66">
        <f t="shared" si="6"/>
        <v>0</v>
      </c>
      <c r="O820" s="1" t="s">
        <v>903</v>
      </c>
      <c r="P820" s="1">
        <f t="shared" si="7"/>
        <v>0</v>
      </c>
    </row>
    <row r="821" spans="1:16">
      <c r="A821" s="101" t="s">
        <v>1903</v>
      </c>
      <c r="B821" s="59" t="s">
        <v>8</v>
      </c>
      <c r="C821" s="60" t="s">
        <v>1902</v>
      </c>
      <c r="D821" s="59" t="s">
        <v>1780</v>
      </c>
      <c r="E821" s="60" t="s">
        <v>1902</v>
      </c>
      <c r="F821" s="61" t="s">
        <v>1782</v>
      </c>
      <c r="G821" s="62">
        <v>168610</v>
      </c>
      <c r="H821" s="74">
        <v>1011.66</v>
      </c>
      <c r="I821" s="59"/>
      <c r="J821" s="59"/>
      <c r="K821" s="27">
        <f>-H821</f>
        <v>-1011.66</v>
      </c>
      <c r="M821" s="4">
        <v>-1011.6600000000035</v>
      </c>
      <c r="N821" s="66">
        <f t="shared" si="6"/>
        <v>3.5242919693700969E-12</v>
      </c>
      <c r="O821" s="1" t="s">
        <v>930</v>
      </c>
      <c r="P821" s="1">
        <f t="shared" si="7"/>
        <v>0</v>
      </c>
    </row>
    <row r="822" spans="1:16">
      <c r="A822" s="90">
        <v>125859839609</v>
      </c>
      <c r="B822" s="1" t="s">
        <v>8</v>
      </c>
      <c r="C822" s="43" t="s">
        <v>1902</v>
      </c>
      <c r="D822" s="1" t="s">
        <v>1780</v>
      </c>
      <c r="E822" s="43" t="s">
        <v>1902</v>
      </c>
      <c r="F822" s="37" t="s">
        <v>1782</v>
      </c>
      <c r="G822" s="44">
        <v>281880</v>
      </c>
      <c r="H822" s="77">
        <v>1691.28</v>
      </c>
      <c r="K822" s="27" t="e">
        <f>VLOOKUP(A822,Detallado!$C$5:$H$1570,6,FALSE)</f>
        <v>#N/A</v>
      </c>
      <c r="M822" s="4">
        <v>-1681.1928429423715</v>
      </c>
      <c r="N822" s="66" t="e">
        <f t="shared" si="6"/>
        <v>#N/A</v>
      </c>
      <c r="O822" s="1" t="s">
        <v>930</v>
      </c>
      <c r="P822" s="1">
        <f t="shared" si="7"/>
        <v>0</v>
      </c>
    </row>
    <row r="823" spans="1:16">
      <c r="A823" s="102">
        <v>126403126956</v>
      </c>
      <c r="B823" s="13" t="s">
        <v>8</v>
      </c>
      <c r="C823" s="78" t="s">
        <v>1902</v>
      </c>
      <c r="D823" s="13" t="s">
        <v>1780</v>
      </c>
      <c r="E823" s="78" t="s">
        <v>1902</v>
      </c>
      <c r="F823" s="79" t="s">
        <v>1782</v>
      </c>
      <c r="G823" s="80">
        <v>557501.44999999995</v>
      </c>
      <c r="H823" s="77">
        <v>3345.01</v>
      </c>
      <c r="I823" s="13"/>
      <c r="J823" s="13"/>
      <c r="K823" s="27" t="e">
        <f>VLOOKUP(A823,Detallado!$C$5:$H$1570,6,FALSE)</f>
        <v>#N/A</v>
      </c>
      <c r="L823" s="13"/>
      <c r="M823" s="28">
        <v>-3325.0583499006461</v>
      </c>
      <c r="N823" s="81" t="e">
        <f t="shared" si="6"/>
        <v>#N/A</v>
      </c>
      <c r="O823" s="13" t="s">
        <v>930</v>
      </c>
      <c r="P823" s="13">
        <f t="shared" si="7"/>
        <v>0</v>
      </c>
    </row>
    <row r="824" spans="1:16">
      <c r="A824" s="90">
        <v>126401610954</v>
      </c>
      <c r="B824" s="1" t="s">
        <v>8</v>
      </c>
      <c r="C824" s="43" t="s">
        <v>1902</v>
      </c>
      <c r="D824" s="1" t="s">
        <v>1780</v>
      </c>
      <c r="E824" s="43" t="s">
        <v>1902</v>
      </c>
      <c r="F824" s="37" t="s">
        <v>1782</v>
      </c>
      <c r="G824" s="44">
        <v>1049644.75</v>
      </c>
      <c r="H824" s="77">
        <v>6297.87</v>
      </c>
      <c r="K824" s="27" t="e">
        <f>VLOOKUP(A824,Detallado!$C$5:$H$1570,6,FALSE)</f>
        <v>#N/A</v>
      </c>
      <c r="M824" s="4">
        <v>-6260.3066600398161</v>
      </c>
      <c r="N824" s="66" t="e">
        <f t="shared" si="6"/>
        <v>#N/A</v>
      </c>
      <c r="O824" s="1" t="s">
        <v>930</v>
      </c>
      <c r="P824" s="1">
        <f t="shared" si="7"/>
        <v>0</v>
      </c>
    </row>
    <row r="825" spans="1:16">
      <c r="A825" s="90">
        <v>126605063444</v>
      </c>
      <c r="B825" s="1" t="s">
        <v>1790</v>
      </c>
      <c r="C825" s="43" t="s">
        <v>1904</v>
      </c>
      <c r="D825" s="1" t="s">
        <v>1780</v>
      </c>
      <c r="E825" s="43" t="s">
        <v>1904</v>
      </c>
      <c r="F825" s="37" t="s">
        <v>1782</v>
      </c>
      <c r="G825" s="44">
        <v>84400</v>
      </c>
      <c r="H825" s="44">
        <v>506.4</v>
      </c>
      <c r="K825" s="4" t="e">
        <f>VLOOKUP(A825,Detallado!$C$5:$H$1570,6,FALSE)</f>
        <v>#N/A</v>
      </c>
    </row>
    <row r="826" spans="1:16">
      <c r="A826" s="90">
        <v>126604962718</v>
      </c>
      <c r="B826" s="1" t="s">
        <v>8</v>
      </c>
      <c r="C826" s="43" t="s">
        <v>1904</v>
      </c>
      <c r="D826" s="1" t="s">
        <v>1780</v>
      </c>
      <c r="E826" s="43" t="s">
        <v>1904</v>
      </c>
      <c r="F826" s="37" t="s">
        <v>1782</v>
      </c>
      <c r="G826" s="44">
        <v>28699</v>
      </c>
      <c r="H826" s="44">
        <v>172.19</v>
      </c>
      <c r="K826" s="4" t="e">
        <f>VLOOKUP(A826,Detallado!$C$5:$H$1570,6,FALSE)</f>
        <v>#N/A</v>
      </c>
    </row>
    <row r="827" spans="1:16">
      <c r="A827" s="90">
        <v>126604501712</v>
      </c>
      <c r="B827" s="1" t="s">
        <v>8</v>
      </c>
      <c r="C827" s="43" t="s">
        <v>1904</v>
      </c>
      <c r="D827" s="1" t="s">
        <v>1780</v>
      </c>
      <c r="E827" s="43" t="s">
        <v>1904</v>
      </c>
      <c r="F827" s="37" t="s">
        <v>1782</v>
      </c>
      <c r="G827" s="44">
        <v>20300</v>
      </c>
      <c r="H827" s="44">
        <v>121.8</v>
      </c>
      <c r="K827" s="4" t="e">
        <f>VLOOKUP(A827,Detallado!$C$5:$H$1570,6,FALSE)</f>
        <v>#N/A</v>
      </c>
    </row>
    <row r="828" spans="1:16">
      <c r="A828" s="90">
        <v>126603719712</v>
      </c>
      <c r="B828" s="1" t="s">
        <v>8</v>
      </c>
      <c r="C828" s="43" t="s">
        <v>1904</v>
      </c>
      <c r="D828" s="1" t="s">
        <v>1780</v>
      </c>
      <c r="E828" s="43" t="s">
        <v>1904</v>
      </c>
      <c r="F828" s="37" t="s">
        <v>1782</v>
      </c>
      <c r="G828" s="44">
        <v>4300</v>
      </c>
      <c r="H828" s="44">
        <v>25.8</v>
      </c>
      <c r="K828" s="4" t="e">
        <f>VLOOKUP(A828,Detallado!$C$5:$H$1570,6,FALSE)</f>
        <v>#N/A</v>
      </c>
    </row>
    <row r="829" spans="1:16">
      <c r="A829" s="90">
        <v>126603090892</v>
      </c>
      <c r="B829" s="1" t="s">
        <v>8</v>
      </c>
      <c r="C829" s="43" t="s">
        <v>1904</v>
      </c>
      <c r="D829" s="1" t="s">
        <v>1780</v>
      </c>
      <c r="E829" s="43" t="s">
        <v>1904</v>
      </c>
      <c r="F829" s="37" t="s">
        <v>1782</v>
      </c>
      <c r="G829" s="44">
        <v>34199</v>
      </c>
      <c r="H829" s="44">
        <v>205.19</v>
      </c>
      <c r="K829" s="4" t="e">
        <f>VLOOKUP(A829,Detallado!$C$5:$H$1570,6,FALSE)</f>
        <v>#N/A</v>
      </c>
    </row>
    <row r="830" spans="1:16">
      <c r="A830" s="90">
        <v>126602656096</v>
      </c>
      <c r="B830" s="1" t="s">
        <v>8</v>
      </c>
      <c r="C830" s="43" t="s">
        <v>1904</v>
      </c>
      <c r="D830" s="1" t="s">
        <v>1780</v>
      </c>
      <c r="E830" s="43" t="s">
        <v>1904</v>
      </c>
      <c r="F830" s="37" t="s">
        <v>1782</v>
      </c>
      <c r="G830" s="44">
        <v>34100</v>
      </c>
      <c r="H830" s="44">
        <v>204.6</v>
      </c>
      <c r="K830" s="4" t="e">
        <f>VLOOKUP(A830,Detallado!$C$5:$H$1570,6,FALSE)</f>
        <v>#N/A</v>
      </c>
    </row>
    <row r="831" spans="1:16">
      <c r="A831" s="90">
        <v>126600508822</v>
      </c>
      <c r="B831" s="1" t="s">
        <v>8</v>
      </c>
      <c r="C831" s="43" t="s">
        <v>1904</v>
      </c>
      <c r="D831" s="1" t="s">
        <v>1780</v>
      </c>
      <c r="E831" s="43" t="s">
        <v>1904</v>
      </c>
      <c r="F831" s="37" t="s">
        <v>1782</v>
      </c>
      <c r="G831" s="44">
        <v>19800</v>
      </c>
      <c r="H831" s="44">
        <v>118.8</v>
      </c>
      <c r="K831" s="4" t="e">
        <f>VLOOKUP(A831,Detallado!$C$5:$H$1570,6,FALSE)</f>
        <v>#N/A</v>
      </c>
    </row>
    <row r="832" spans="1:16">
      <c r="A832" s="90">
        <v>126597591802</v>
      </c>
      <c r="B832" s="1" t="s">
        <v>8</v>
      </c>
      <c r="C832" s="43" t="s">
        <v>1904</v>
      </c>
      <c r="D832" s="1" t="s">
        <v>1780</v>
      </c>
      <c r="E832" s="43" t="s">
        <v>1904</v>
      </c>
      <c r="F832" s="37" t="s">
        <v>1782</v>
      </c>
      <c r="G832" s="44">
        <v>38699</v>
      </c>
      <c r="H832" s="44">
        <v>232.19</v>
      </c>
      <c r="K832" s="4" t="e">
        <f>VLOOKUP(A832,Detallado!$C$5:$H$1570,6,FALSE)</f>
        <v>#N/A</v>
      </c>
    </row>
    <row r="833" spans="1:16">
      <c r="A833" s="90">
        <v>126597067472</v>
      </c>
      <c r="B833" s="1" t="s">
        <v>8</v>
      </c>
      <c r="C833" s="43" t="s">
        <v>1904</v>
      </c>
      <c r="D833" s="1" t="s">
        <v>1780</v>
      </c>
      <c r="E833" s="43" t="s">
        <v>1904</v>
      </c>
      <c r="F833" s="37" t="s">
        <v>1782</v>
      </c>
      <c r="G833" s="44">
        <v>8600</v>
      </c>
      <c r="H833" s="44">
        <v>51.6</v>
      </c>
      <c r="K833" s="4" t="e">
        <f>VLOOKUP(A833,Detallado!$C$5:$H$1570,6,FALSE)</f>
        <v>#N/A</v>
      </c>
    </row>
    <row r="834" spans="1:16">
      <c r="A834" s="90">
        <v>126594945894</v>
      </c>
      <c r="B834" s="1" t="s">
        <v>1790</v>
      </c>
      <c r="C834" s="43" t="s">
        <v>1904</v>
      </c>
      <c r="D834" s="1" t="s">
        <v>1780</v>
      </c>
      <c r="E834" s="43" t="s">
        <v>1904</v>
      </c>
      <c r="F834" s="37" t="s">
        <v>1782</v>
      </c>
      <c r="G834" s="44">
        <v>9999</v>
      </c>
      <c r="H834" s="44">
        <v>59.99</v>
      </c>
      <c r="K834" s="4" t="e">
        <f>VLOOKUP(A834,Detallado!$C$5:$H$1570,6,FALSE)</f>
        <v>#N/A</v>
      </c>
    </row>
    <row r="835" spans="1:16">
      <c r="A835" s="90">
        <v>126591409114</v>
      </c>
      <c r="B835" s="1" t="s">
        <v>1790</v>
      </c>
      <c r="C835" s="43" t="s">
        <v>1904</v>
      </c>
      <c r="D835" s="1" t="s">
        <v>1780</v>
      </c>
      <c r="E835" s="43" t="s">
        <v>1904</v>
      </c>
      <c r="F835" s="37" t="s">
        <v>1782</v>
      </c>
      <c r="G835" s="44">
        <v>8600</v>
      </c>
      <c r="H835" s="44">
        <v>51.6</v>
      </c>
      <c r="K835" s="4" t="e">
        <f>VLOOKUP(A835,Detallado!$C$5:$H$1570,6,FALSE)</f>
        <v>#N/A</v>
      </c>
    </row>
    <row r="836" spans="1:16">
      <c r="A836" s="90">
        <v>126047460401</v>
      </c>
      <c r="B836" s="1" t="s">
        <v>8</v>
      </c>
      <c r="C836" s="43" t="s">
        <v>1904</v>
      </c>
      <c r="D836" s="1" t="s">
        <v>1780</v>
      </c>
      <c r="E836" s="43" t="s">
        <v>1904</v>
      </c>
      <c r="F836" s="37" t="s">
        <v>1782</v>
      </c>
      <c r="G836" s="44">
        <v>19998</v>
      </c>
      <c r="H836" s="44">
        <v>119.99</v>
      </c>
      <c r="K836" s="4" t="e">
        <f>VLOOKUP(A836,Detallado!$C$5:$H$1570,6,FALSE)</f>
        <v>#N/A</v>
      </c>
    </row>
    <row r="837" spans="1:16">
      <c r="A837" s="90">
        <v>126047122521</v>
      </c>
      <c r="B837" s="1" t="s">
        <v>8</v>
      </c>
      <c r="C837" s="43" t="s">
        <v>1904</v>
      </c>
      <c r="D837" s="1" t="s">
        <v>1780</v>
      </c>
      <c r="E837" s="43" t="s">
        <v>1904</v>
      </c>
      <c r="F837" s="37" t="s">
        <v>1782</v>
      </c>
      <c r="G837" s="44">
        <v>8600</v>
      </c>
      <c r="H837" s="44">
        <v>51.6</v>
      </c>
      <c r="K837" s="4" t="e">
        <f>VLOOKUP(A837,Detallado!$C$5:$H$1570,6,FALSE)</f>
        <v>#N/A</v>
      </c>
    </row>
    <row r="838" spans="1:16">
      <c r="A838" s="90">
        <v>126046694901</v>
      </c>
      <c r="B838" s="1" t="s">
        <v>8</v>
      </c>
      <c r="C838" s="43" t="s">
        <v>1904</v>
      </c>
      <c r="D838" s="1" t="s">
        <v>1780</v>
      </c>
      <c r="E838" s="43" t="s">
        <v>1904</v>
      </c>
      <c r="F838" s="37" t="s">
        <v>1782</v>
      </c>
      <c r="G838" s="44">
        <v>51300</v>
      </c>
      <c r="H838" s="44">
        <v>307.8</v>
      </c>
      <c r="K838" s="4" t="e">
        <f>VLOOKUP(A838,Detallado!$C$5:$H$1570,6,FALSE)</f>
        <v>#N/A</v>
      </c>
    </row>
    <row r="839" spans="1:16">
      <c r="A839" s="90">
        <v>126046661655</v>
      </c>
      <c r="B839" s="1" t="s">
        <v>8</v>
      </c>
      <c r="C839" s="43" t="s">
        <v>1904</v>
      </c>
      <c r="D839" s="1" t="s">
        <v>1780</v>
      </c>
      <c r="E839" s="43" t="s">
        <v>1904</v>
      </c>
      <c r="F839" s="37" t="s">
        <v>1782</v>
      </c>
      <c r="G839" s="44">
        <v>71300</v>
      </c>
      <c r="H839" s="44">
        <v>427.8</v>
      </c>
      <c r="K839" s="4" t="e">
        <f>VLOOKUP(A839,Detallado!$C$5:$H$1570,6,FALSE)</f>
        <v>#N/A</v>
      </c>
    </row>
    <row r="840" spans="1:16">
      <c r="A840" s="90">
        <v>126045198407</v>
      </c>
      <c r="B840" s="1" t="s">
        <v>8</v>
      </c>
      <c r="C840" s="43" t="s">
        <v>1904</v>
      </c>
      <c r="D840" s="1" t="s">
        <v>1780</v>
      </c>
      <c r="E840" s="43" t="s">
        <v>1904</v>
      </c>
      <c r="F840" s="37" t="s">
        <v>1782</v>
      </c>
      <c r="G840" s="44">
        <v>25800</v>
      </c>
      <c r="H840" s="44">
        <v>154.80000000000001</v>
      </c>
      <c r="K840" s="4" t="e">
        <f>VLOOKUP(A840,Detallado!$C$5:$H$1570,6,FALSE)</f>
        <v>#N/A</v>
      </c>
    </row>
    <row r="841" spans="1:16">
      <c r="A841" s="90">
        <v>126043752843</v>
      </c>
      <c r="B841" s="1" t="s">
        <v>8</v>
      </c>
      <c r="C841" s="43" t="s">
        <v>1904</v>
      </c>
      <c r="D841" s="1" t="s">
        <v>1780</v>
      </c>
      <c r="E841" s="43" t="s">
        <v>1904</v>
      </c>
      <c r="F841" s="37" t="s">
        <v>1782</v>
      </c>
      <c r="G841" s="44">
        <v>43998</v>
      </c>
      <c r="H841" s="44">
        <v>263.99</v>
      </c>
      <c r="K841" s="4" t="e">
        <f>VLOOKUP(A841,Detallado!$C$5:$H$1570,6,FALSE)</f>
        <v>#N/A</v>
      </c>
    </row>
    <row r="842" spans="1:16">
      <c r="A842" s="90">
        <v>126036386561</v>
      </c>
      <c r="B842" s="1" t="s">
        <v>8</v>
      </c>
      <c r="C842" s="43" t="s">
        <v>1904</v>
      </c>
      <c r="D842" s="1" t="s">
        <v>1780</v>
      </c>
      <c r="E842" s="43" t="s">
        <v>1904</v>
      </c>
      <c r="F842" s="37" t="s">
        <v>1782</v>
      </c>
      <c r="G842" s="44">
        <v>12900</v>
      </c>
      <c r="H842" s="44">
        <v>77.400000000000006</v>
      </c>
      <c r="K842" s="4" t="e">
        <f>VLOOKUP(A842,Detallado!$C$5:$H$1570,6,FALSE)</f>
        <v>#N/A</v>
      </c>
    </row>
    <row r="843" spans="1:16">
      <c r="A843" s="90">
        <v>126032999989</v>
      </c>
      <c r="B843" s="1" t="s">
        <v>8</v>
      </c>
      <c r="C843" s="43" t="s">
        <v>1904</v>
      </c>
      <c r="D843" s="1" t="s">
        <v>1780</v>
      </c>
      <c r="E843" s="43" t="s">
        <v>1904</v>
      </c>
      <c r="F843" s="37" t="s">
        <v>1782</v>
      </c>
      <c r="G843" s="44">
        <v>8600</v>
      </c>
      <c r="H843" s="44">
        <v>51.6</v>
      </c>
      <c r="K843" s="4" t="e">
        <f>VLOOKUP(A843,Detallado!$C$5:$H$1570,6,FALSE)</f>
        <v>#N/A</v>
      </c>
    </row>
    <row r="844" spans="1:16">
      <c r="A844" s="90">
        <v>126556131568</v>
      </c>
      <c r="B844" s="1" t="s">
        <v>8</v>
      </c>
      <c r="C844" s="43" t="s">
        <v>1904</v>
      </c>
      <c r="D844" s="1" t="s">
        <v>1780</v>
      </c>
      <c r="E844" s="43" t="s">
        <v>1904</v>
      </c>
      <c r="F844" s="37" t="s">
        <v>1782</v>
      </c>
      <c r="G844" s="44">
        <v>109543.14</v>
      </c>
      <c r="H844" s="77">
        <v>657.26</v>
      </c>
      <c r="K844" s="27" t="e">
        <f>VLOOKUP(A844,Detallado!$C$5:$H$1570,6,FALSE)</f>
        <v>#N/A</v>
      </c>
      <c r="M844" s="4">
        <v>-653.33880715705163</v>
      </c>
      <c r="N844" s="66" t="e">
        <f>+K844-M844</f>
        <v>#N/A</v>
      </c>
      <c r="O844" s="1" t="s">
        <v>936</v>
      </c>
      <c r="P844" s="1">
        <f>+E844-O844</f>
        <v>0</v>
      </c>
    </row>
    <row r="845" spans="1:16">
      <c r="A845" s="90">
        <v>126550128384</v>
      </c>
      <c r="B845" s="1" t="s">
        <v>8</v>
      </c>
      <c r="C845" s="43" t="s">
        <v>1904</v>
      </c>
      <c r="D845" s="1" t="s">
        <v>1780</v>
      </c>
      <c r="E845" s="43" t="s">
        <v>1904</v>
      </c>
      <c r="F845" s="37" t="s">
        <v>1782</v>
      </c>
      <c r="G845" s="44">
        <v>119660.83</v>
      </c>
      <c r="H845" s="77">
        <v>717.96</v>
      </c>
      <c r="K845" s="27" t="e">
        <f>VLOOKUP(A845,Detallado!$C$5:$H$1570,6,FALSE)</f>
        <v>#N/A</v>
      </c>
      <c r="M845" s="4">
        <v>-713.68288270378252</v>
      </c>
      <c r="N845" s="66" t="e">
        <f>+K845-M845</f>
        <v>#N/A</v>
      </c>
      <c r="O845" s="1" t="s">
        <v>936</v>
      </c>
      <c r="P845" s="1">
        <f>+E845-O845</f>
        <v>0</v>
      </c>
    </row>
    <row r="846" spans="1:16">
      <c r="A846" s="90">
        <v>125988349795</v>
      </c>
      <c r="B846" s="1" t="s">
        <v>8</v>
      </c>
      <c r="C846" s="43" t="s">
        <v>1904</v>
      </c>
      <c r="D846" s="1" t="s">
        <v>1780</v>
      </c>
      <c r="E846" s="43" t="s">
        <v>1904</v>
      </c>
      <c r="F846" s="37" t="s">
        <v>1782</v>
      </c>
      <c r="G846" s="44">
        <v>201417.51</v>
      </c>
      <c r="H846" s="77">
        <v>1208.51</v>
      </c>
      <c r="K846" s="27" t="e">
        <f>VLOOKUP(A846,Detallado!$C$5:$H$1570,6,FALSE)</f>
        <v>#N/A</v>
      </c>
      <c r="M846" s="4">
        <v>-1201.2972763419384</v>
      </c>
      <c r="N846" s="66" t="e">
        <f>+K846-M846</f>
        <v>#N/A</v>
      </c>
      <c r="O846" s="1" t="s">
        <v>936</v>
      </c>
      <c r="P846" s="1">
        <f>+E846-O846</f>
        <v>0</v>
      </c>
    </row>
    <row r="847" spans="1:16">
      <c r="A847" s="90">
        <v>126006760321</v>
      </c>
      <c r="B847" s="1" t="s">
        <v>8</v>
      </c>
      <c r="C847" s="43" t="s">
        <v>1904</v>
      </c>
      <c r="D847" s="1" t="s">
        <v>1780</v>
      </c>
      <c r="E847" s="43" t="s">
        <v>1904</v>
      </c>
      <c r="F847" s="37" t="s">
        <v>1782</v>
      </c>
      <c r="G847" s="44">
        <v>1052954.1000000001</v>
      </c>
      <c r="H847" s="77">
        <v>6317.72</v>
      </c>
      <c r="K847" s="27" t="e">
        <f>VLOOKUP(A847,Detallado!$C$5:$H$1570,6,FALSE)</f>
        <v>#N/A</v>
      </c>
      <c r="M847" s="4">
        <v>-6280.0443339960184</v>
      </c>
      <c r="N847" s="66" t="e">
        <f>+K847-M847</f>
        <v>#N/A</v>
      </c>
      <c r="O847" s="1" t="s">
        <v>936</v>
      </c>
      <c r="P847" s="1">
        <f>+E847-O847</f>
        <v>0</v>
      </c>
    </row>
    <row r="848" spans="1:16">
      <c r="A848" s="90">
        <v>126607039216</v>
      </c>
      <c r="B848" s="1" t="s">
        <v>8</v>
      </c>
      <c r="C848" s="43" t="s">
        <v>1904</v>
      </c>
      <c r="D848" s="1" t="s">
        <v>1780</v>
      </c>
      <c r="E848" s="43" t="s">
        <v>1905</v>
      </c>
      <c r="F848" s="37" t="s">
        <v>1782</v>
      </c>
      <c r="G848" s="44">
        <v>8600</v>
      </c>
      <c r="H848" s="44">
        <v>51.6</v>
      </c>
      <c r="K848" s="4" t="e">
        <f>VLOOKUP(A848,Detallado!$C$5:$H$1570,6,FALSE)</f>
        <v>#N/A</v>
      </c>
    </row>
    <row r="849" spans="1:11">
      <c r="A849" s="90">
        <v>126606760284</v>
      </c>
      <c r="B849" s="1" t="s">
        <v>1790</v>
      </c>
      <c r="C849" s="43" t="s">
        <v>1904</v>
      </c>
      <c r="D849" s="1" t="s">
        <v>1780</v>
      </c>
      <c r="E849" s="43" t="s">
        <v>1905</v>
      </c>
      <c r="F849" s="37" t="s">
        <v>1782</v>
      </c>
      <c r="G849" s="44">
        <v>54399</v>
      </c>
      <c r="H849" s="44">
        <v>326.39</v>
      </c>
      <c r="K849" s="4" t="e">
        <f>VLOOKUP(A849,Detallado!$C$5:$H$1570,6,FALSE)</f>
        <v>#N/A</v>
      </c>
    </row>
    <row r="850" spans="1:11">
      <c r="A850" s="90">
        <v>126050976059</v>
      </c>
      <c r="B850" s="1" t="s">
        <v>8</v>
      </c>
      <c r="C850" s="43" t="s">
        <v>1904</v>
      </c>
      <c r="D850" s="1" t="s">
        <v>1780</v>
      </c>
      <c r="E850" s="43" t="s">
        <v>1905</v>
      </c>
      <c r="F850" s="37" t="s">
        <v>1782</v>
      </c>
      <c r="G850" s="44">
        <v>10000</v>
      </c>
      <c r="H850" s="44">
        <v>60</v>
      </c>
      <c r="K850" s="4" t="e">
        <f>VLOOKUP(A850,Detallado!$C$5:$H$1570,6,FALSE)</f>
        <v>#N/A</v>
      </c>
    </row>
    <row r="851" spans="1:11">
      <c r="A851" s="90">
        <v>126735538284</v>
      </c>
      <c r="B851" s="1" t="s">
        <v>8</v>
      </c>
      <c r="C851" s="43" t="s">
        <v>1905</v>
      </c>
      <c r="D851" s="1" t="s">
        <v>1780</v>
      </c>
      <c r="E851" s="43" t="s">
        <v>1905</v>
      </c>
      <c r="F851" s="37" t="s">
        <v>1782</v>
      </c>
      <c r="G851" s="44">
        <v>9300</v>
      </c>
      <c r="H851" s="44">
        <v>55.8</v>
      </c>
      <c r="K851" s="4" t="e">
        <f>VLOOKUP(A851,Detallado!$C$5:$H$1570,6,FALSE)</f>
        <v>#N/A</v>
      </c>
    </row>
    <row r="852" spans="1:11">
      <c r="A852" s="90">
        <v>126735130040</v>
      </c>
      <c r="B852" s="1" t="s">
        <v>8</v>
      </c>
      <c r="C852" s="43" t="s">
        <v>1905</v>
      </c>
      <c r="D852" s="1" t="s">
        <v>1780</v>
      </c>
      <c r="E852" s="43" t="s">
        <v>1905</v>
      </c>
      <c r="F852" s="37" t="s">
        <v>1782</v>
      </c>
      <c r="G852" s="44">
        <v>3500</v>
      </c>
      <c r="H852" s="44">
        <v>21</v>
      </c>
      <c r="K852" s="4" t="e">
        <f>VLOOKUP(A852,Detallado!$C$5:$H$1570,6,FALSE)</f>
        <v>#N/A</v>
      </c>
    </row>
    <row r="853" spans="1:11">
      <c r="A853" s="90">
        <v>126734488490</v>
      </c>
      <c r="B853" s="1" t="s">
        <v>8</v>
      </c>
      <c r="C853" s="43" t="s">
        <v>1905</v>
      </c>
      <c r="D853" s="1" t="s">
        <v>1780</v>
      </c>
      <c r="E853" s="43" t="s">
        <v>1905</v>
      </c>
      <c r="F853" s="37" t="s">
        <v>1782</v>
      </c>
      <c r="G853" s="44">
        <v>21900</v>
      </c>
      <c r="H853" s="44">
        <v>131.4</v>
      </c>
      <c r="K853" s="4" t="e">
        <f>VLOOKUP(A853,Detallado!$C$5:$H$1570,6,FALSE)</f>
        <v>#N/A</v>
      </c>
    </row>
    <row r="854" spans="1:11">
      <c r="A854" s="90">
        <v>126734131932</v>
      </c>
      <c r="B854" s="1" t="s">
        <v>8</v>
      </c>
      <c r="C854" s="43" t="s">
        <v>1905</v>
      </c>
      <c r="D854" s="1" t="s">
        <v>1780</v>
      </c>
      <c r="E854" s="43" t="s">
        <v>1905</v>
      </c>
      <c r="F854" s="37" t="s">
        <v>1782</v>
      </c>
      <c r="G854" s="44">
        <v>4300</v>
      </c>
      <c r="H854" s="44">
        <v>25.8</v>
      </c>
      <c r="K854" s="4" t="e">
        <f>VLOOKUP(A854,Detallado!$C$5:$H$1570,6,FALSE)</f>
        <v>#N/A</v>
      </c>
    </row>
    <row r="855" spans="1:11">
      <c r="A855" s="90">
        <v>126734105004</v>
      </c>
      <c r="B855" s="1" t="s">
        <v>1908</v>
      </c>
      <c r="C855" s="43" t="s">
        <v>1905</v>
      </c>
      <c r="D855" s="1" t="s">
        <v>1780</v>
      </c>
      <c r="E855" s="43" t="s">
        <v>1905</v>
      </c>
      <c r="F855" s="37" t="s">
        <v>1782</v>
      </c>
      <c r="G855" s="44">
        <v>5360</v>
      </c>
      <c r="H855" s="44">
        <v>32.159999999999997</v>
      </c>
      <c r="K855" s="4" t="e">
        <f>VLOOKUP(A855,Detallado!$C$5:$H$1570,6,FALSE)</f>
        <v>#N/A</v>
      </c>
    </row>
    <row r="856" spans="1:11">
      <c r="A856" s="90">
        <v>126734101344</v>
      </c>
      <c r="B856" s="1" t="s">
        <v>8</v>
      </c>
      <c r="C856" s="43" t="s">
        <v>1905</v>
      </c>
      <c r="D856" s="1" t="s">
        <v>1780</v>
      </c>
      <c r="E856" s="43" t="s">
        <v>1905</v>
      </c>
      <c r="F856" s="37" t="s">
        <v>1782</v>
      </c>
      <c r="G856" s="44">
        <v>8600</v>
      </c>
      <c r="H856" s="44">
        <v>51.6</v>
      </c>
      <c r="K856" s="4" t="e">
        <f>VLOOKUP(A856,Detallado!$C$5:$H$1570,6,FALSE)</f>
        <v>#N/A</v>
      </c>
    </row>
    <row r="857" spans="1:11">
      <c r="A857" s="90">
        <v>126733789902</v>
      </c>
      <c r="B857" s="1" t="s">
        <v>8</v>
      </c>
      <c r="C857" s="43" t="s">
        <v>1905</v>
      </c>
      <c r="D857" s="1" t="s">
        <v>1780</v>
      </c>
      <c r="E857" s="43" t="s">
        <v>1905</v>
      </c>
      <c r="F857" s="37" t="s">
        <v>1782</v>
      </c>
      <c r="G857" s="44">
        <v>10600</v>
      </c>
      <c r="H857" s="44">
        <v>63.6</v>
      </c>
      <c r="K857" s="4" t="e">
        <f>VLOOKUP(A857,Detallado!$C$5:$H$1570,6,FALSE)</f>
        <v>#N/A</v>
      </c>
    </row>
    <row r="858" spans="1:11">
      <c r="A858" s="90">
        <v>126733342172</v>
      </c>
      <c r="B858" s="1" t="s">
        <v>1790</v>
      </c>
      <c r="C858" s="43" t="s">
        <v>1905</v>
      </c>
      <c r="D858" s="1" t="s">
        <v>1780</v>
      </c>
      <c r="E858" s="43" t="s">
        <v>1905</v>
      </c>
      <c r="F858" s="37" t="s">
        <v>1782</v>
      </c>
      <c r="G858" s="44">
        <v>25700</v>
      </c>
      <c r="H858" s="44">
        <v>154.19999999999999</v>
      </c>
      <c r="K858" s="4" t="e">
        <f>VLOOKUP(A858,Detallado!$C$5:$H$1570,6,FALSE)</f>
        <v>#N/A</v>
      </c>
    </row>
    <row r="859" spans="1:11">
      <c r="A859" s="90">
        <v>126730960018</v>
      </c>
      <c r="B859" s="1" t="s">
        <v>8</v>
      </c>
      <c r="C859" s="43" t="s">
        <v>1905</v>
      </c>
      <c r="D859" s="1" t="s">
        <v>1780</v>
      </c>
      <c r="E859" s="43" t="s">
        <v>1905</v>
      </c>
      <c r="F859" s="37" t="s">
        <v>1782</v>
      </c>
      <c r="G859" s="44">
        <v>3500</v>
      </c>
      <c r="H859" s="44">
        <v>21</v>
      </c>
      <c r="K859" s="4" t="e">
        <f>VLOOKUP(A859,Detallado!$C$5:$H$1570,6,FALSE)</f>
        <v>#N/A</v>
      </c>
    </row>
    <row r="860" spans="1:11">
      <c r="A860" s="90">
        <v>126730724768</v>
      </c>
      <c r="B860" s="1" t="s">
        <v>8</v>
      </c>
      <c r="C860" s="43" t="s">
        <v>1905</v>
      </c>
      <c r="D860" s="1" t="s">
        <v>1780</v>
      </c>
      <c r="E860" s="43" t="s">
        <v>1905</v>
      </c>
      <c r="F860" s="37" t="s">
        <v>1782</v>
      </c>
      <c r="G860" s="44">
        <v>4300</v>
      </c>
      <c r="H860" s="44">
        <v>25.8</v>
      </c>
      <c r="K860" s="4" t="e">
        <f>VLOOKUP(A860,Detallado!$C$5:$H$1570,6,FALSE)</f>
        <v>#N/A</v>
      </c>
    </row>
    <row r="861" spans="1:11">
      <c r="A861" s="90">
        <v>126730666812</v>
      </c>
      <c r="B861" s="1" t="s">
        <v>8</v>
      </c>
      <c r="C861" s="43" t="s">
        <v>1905</v>
      </c>
      <c r="D861" s="1" t="s">
        <v>1780</v>
      </c>
      <c r="E861" s="43" t="s">
        <v>1905</v>
      </c>
      <c r="F861" s="37" t="s">
        <v>1782</v>
      </c>
      <c r="G861" s="44">
        <v>3500</v>
      </c>
      <c r="H861" s="44">
        <v>21</v>
      </c>
      <c r="K861" s="4" t="e">
        <f>VLOOKUP(A861,Detallado!$C$5:$H$1570,6,FALSE)</f>
        <v>#N/A</v>
      </c>
    </row>
    <row r="862" spans="1:11">
      <c r="A862" s="90">
        <v>126730576680</v>
      </c>
      <c r="B862" s="1" t="s">
        <v>8</v>
      </c>
      <c r="C862" s="43" t="s">
        <v>1905</v>
      </c>
      <c r="D862" s="1" t="s">
        <v>1780</v>
      </c>
      <c r="E862" s="43" t="s">
        <v>1905</v>
      </c>
      <c r="F862" s="37" t="s">
        <v>1782</v>
      </c>
      <c r="G862" s="44">
        <v>21400</v>
      </c>
      <c r="H862" s="44">
        <v>128.4</v>
      </c>
      <c r="K862" s="4" t="e">
        <f>VLOOKUP(A862,Detallado!$C$5:$H$1570,6,FALSE)</f>
        <v>#N/A</v>
      </c>
    </row>
    <row r="863" spans="1:11">
      <c r="A863" s="90">
        <v>126730400096</v>
      </c>
      <c r="B863" s="1" t="s">
        <v>8</v>
      </c>
      <c r="C863" s="43" t="s">
        <v>1905</v>
      </c>
      <c r="D863" s="1" t="s">
        <v>1780</v>
      </c>
      <c r="E863" s="43" t="s">
        <v>1905</v>
      </c>
      <c r="F863" s="37" t="s">
        <v>1782</v>
      </c>
      <c r="G863" s="44">
        <v>56200</v>
      </c>
      <c r="H863" s="44">
        <v>337.2</v>
      </c>
      <c r="K863" s="4" t="e">
        <f>VLOOKUP(A863,Detallado!$C$5:$H$1570,6,FALSE)</f>
        <v>#N/A</v>
      </c>
    </row>
    <row r="864" spans="1:11">
      <c r="A864" s="90">
        <v>126729997528</v>
      </c>
      <c r="B864" s="1" t="s">
        <v>1790</v>
      </c>
      <c r="C864" s="43" t="s">
        <v>1905</v>
      </c>
      <c r="D864" s="1" t="s">
        <v>1780</v>
      </c>
      <c r="E864" s="43" t="s">
        <v>1905</v>
      </c>
      <c r="F864" s="37" t="s">
        <v>1782</v>
      </c>
      <c r="G864" s="44">
        <v>4300</v>
      </c>
      <c r="H864" s="44">
        <v>25.8</v>
      </c>
      <c r="K864" s="4" t="e">
        <f>VLOOKUP(A864,Detallado!$C$5:$H$1570,6,FALSE)</f>
        <v>#N/A</v>
      </c>
    </row>
    <row r="865" spans="1:11">
      <c r="A865" s="90">
        <v>126729595734</v>
      </c>
      <c r="B865" s="1" t="s">
        <v>1790</v>
      </c>
      <c r="C865" s="43" t="s">
        <v>1905</v>
      </c>
      <c r="D865" s="1" t="s">
        <v>1780</v>
      </c>
      <c r="E865" s="43" t="s">
        <v>1905</v>
      </c>
      <c r="F865" s="37" t="s">
        <v>1782</v>
      </c>
      <c r="G865" s="44">
        <v>4300</v>
      </c>
      <c r="H865" s="44">
        <v>25.8</v>
      </c>
      <c r="K865" s="4" t="e">
        <f>VLOOKUP(A865,Detallado!$C$5:$H$1570,6,FALSE)</f>
        <v>#N/A</v>
      </c>
    </row>
    <row r="866" spans="1:11">
      <c r="A866" s="90">
        <v>126729380342</v>
      </c>
      <c r="B866" s="1" t="s">
        <v>8</v>
      </c>
      <c r="C866" s="43" t="s">
        <v>1905</v>
      </c>
      <c r="D866" s="1" t="s">
        <v>1780</v>
      </c>
      <c r="E866" s="43" t="s">
        <v>1905</v>
      </c>
      <c r="F866" s="37" t="s">
        <v>1782</v>
      </c>
      <c r="G866" s="44">
        <v>4300</v>
      </c>
      <c r="H866" s="44">
        <v>25.8</v>
      </c>
      <c r="K866" s="4" t="e">
        <f>VLOOKUP(A866,Detallado!$C$5:$H$1570,6,FALSE)</f>
        <v>#N/A</v>
      </c>
    </row>
    <row r="867" spans="1:11">
      <c r="A867" s="90">
        <v>126729257882</v>
      </c>
      <c r="B867" s="1" t="s">
        <v>8</v>
      </c>
      <c r="C867" s="43" t="s">
        <v>1905</v>
      </c>
      <c r="D867" s="1" t="s">
        <v>1780</v>
      </c>
      <c r="E867" s="43" t="s">
        <v>1905</v>
      </c>
      <c r="F867" s="37" t="s">
        <v>1782</v>
      </c>
      <c r="G867" s="44">
        <v>5300</v>
      </c>
      <c r="H867" s="44">
        <v>31.8</v>
      </c>
      <c r="K867" s="4" t="e">
        <f>VLOOKUP(A867,Detallado!$C$5:$H$1570,6,FALSE)</f>
        <v>#N/A</v>
      </c>
    </row>
    <row r="868" spans="1:11">
      <c r="A868" s="90">
        <v>126728677538</v>
      </c>
      <c r="B868" s="1" t="s">
        <v>1790</v>
      </c>
      <c r="C868" s="43" t="s">
        <v>1905</v>
      </c>
      <c r="D868" s="1" t="s">
        <v>1780</v>
      </c>
      <c r="E868" s="43" t="s">
        <v>1905</v>
      </c>
      <c r="F868" s="37" t="s">
        <v>1782</v>
      </c>
      <c r="G868" s="44">
        <v>4300</v>
      </c>
      <c r="H868" s="44">
        <v>25.8</v>
      </c>
      <c r="K868" s="4" t="e">
        <f>VLOOKUP(A868,Detallado!$C$5:$H$1570,6,FALSE)</f>
        <v>#N/A</v>
      </c>
    </row>
    <row r="869" spans="1:11">
      <c r="A869" s="90">
        <v>126728336370</v>
      </c>
      <c r="B869" s="1" t="s">
        <v>1790</v>
      </c>
      <c r="C869" s="43" t="s">
        <v>1905</v>
      </c>
      <c r="D869" s="1" t="s">
        <v>1780</v>
      </c>
      <c r="E869" s="43" t="s">
        <v>1905</v>
      </c>
      <c r="F869" s="37" t="s">
        <v>1782</v>
      </c>
      <c r="G869" s="44">
        <v>4300</v>
      </c>
      <c r="H869" s="44">
        <v>25.8</v>
      </c>
      <c r="K869" s="4" t="e">
        <f>VLOOKUP(A869,Detallado!$C$5:$H$1570,6,FALSE)</f>
        <v>#N/A</v>
      </c>
    </row>
    <row r="870" spans="1:11">
      <c r="A870" s="90">
        <v>126725608370</v>
      </c>
      <c r="B870" s="1" t="s">
        <v>8</v>
      </c>
      <c r="C870" s="43" t="s">
        <v>1905</v>
      </c>
      <c r="D870" s="1" t="s">
        <v>1780</v>
      </c>
      <c r="E870" s="43" t="s">
        <v>1905</v>
      </c>
      <c r="F870" s="37" t="s">
        <v>1782</v>
      </c>
      <c r="G870" s="44">
        <v>3500</v>
      </c>
      <c r="H870" s="44">
        <v>21</v>
      </c>
      <c r="K870" s="4" t="e">
        <f>VLOOKUP(A870,Detallado!$C$5:$H$1570,6,FALSE)</f>
        <v>#N/A</v>
      </c>
    </row>
    <row r="871" spans="1:11">
      <c r="A871" s="90">
        <v>126725418364</v>
      </c>
      <c r="B871" s="1" t="s">
        <v>8</v>
      </c>
      <c r="C871" s="43" t="s">
        <v>1905</v>
      </c>
      <c r="D871" s="1" t="s">
        <v>1780</v>
      </c>
      <c r="E871" s="43" t="s">
        <v>1905</v>
      </c>
      <c r="F871" s="37" t="s">
        <v>1782</v>
      </c>
      <c r="G871" s="44">
        <v>3500</v>
      </c>
      <c r="H871" s="44">
        <v>21</v>
      </c>
      <c r="K871" s="4" t="e">
        <f>VLOOKUP(A871,Detallado!$C$5:$H$1570,6,FALSE)</f>
        <v>#N/A</v>
      </c>
    </row>
    <row r="872" spans="1:11">
      <c r="A872" s="90">
        <v>126724308446</v>
      </c>
      <c r="B872" s="1" t="s">
        <v>8</v>
      </c>
      <c r="C872" s="43" t="s">
        <v>1905</v>
      </c>
      <c r="D872" s="1" t="s">
        <v>1780</v>
      </c>
      <c r="E872" s="43" t="s">
        <v>1905</v>
      </c>
      <c r="F872" s="37" t="s">
        <v>1782</v>
      </c>
      <c r="G872" s="44">
        <v>4300</v>
      </c>
      <c r="H872" s="44">
        <v>25.8</v>
      </c>
      <c r="K872" s="4" t="e">
        <f>VLOOKUP(A872,Detallado!$C$5:$H$1570,6,FALSE)</f>
        <v>#N/A</v>
      </c>
    </row>
    <row r="873" spans="1:11">
      <c r="A873" s="90">
        <v>126724304832</v>
      </c>
      <c r="B873" s="1" t="s">
        <v>8</v>
      </c>
      <c r="C873" s="43" t="s">
        <v>1905</v>
      </c>
      <c r="D873" s="1" t="s">
        <v>1780</v>
      </c>
      <c r="E873" s="43" t="s">
        <v>1905</v>
      </c>
      <c r="F873" s="37" t="s">
        <v>1782</v>
      </c>
      <c r="G873" s="44">
        <v>3900</v>
      </c>
      <c r="H873" s="44">
        <v>23.4</v>
      </c>
      <c r="K873" s="4" t="e">
        <f>VLOOKUP(A873,Detallado!$C$5:$H$1570,6,FALSE)</f>
        <v>#N/A</v>
      </c>
    </row>
    <row r="874" spans="1:11">
      <c r="A874" s="90">
        <v>126724104590</v>
      </c>
      <c r="B874" s="1" t="s">
        <v>1790</v>
      </c>
      <c r="C874" s="43" t="s">
        <v>1905</v>
      </c>
      <c r="D874" s="1" t="s">
        <v>1780</v>
      </c>
      <c r="E874" s="43" t="s">
        <v>1905</v>
      </c>
      <c r="F874" s="37" t="s">
        <v>1782</v>
      </c>
      <c r="G874" s="44">
        <v>9500</v>
      </c>
      <c r="H874" s="44">
        <v>57</v>
      </c>
      <c r="K874" s="4" t="e">
        <f>VLOOKUP(A874,Detallado!$C$5:$H$1570,6,FALSE)</f>
        <v>#N/A</v>
      </c>
    </row>
    <row r="875" spans="1:11">
      <c r="A875" s="90">
        <v>126723765408</v>
      </c>
      <c r="B875" s="1" t="s">
        <v>8</v>
      </c>
      <c r="C875" s="43" t="s">
        <v>1905</v>
      </c>
      <c r="D875" s="1" t="s">
        <v>1780</v>
      </c>
      <c r="E875" s="43" t="s">
        <v>1905</v>
      </c>
      <c r="F875" s="37" t="s">
        <v>1782</v>
      </c>
      <c r="G875" s="44">
        <v>4300</v>
      </c>
      <c r="H875" s="44">
        <v>25.8</v>
      </c>
      <c r="K875" s="4" t="e">
        <f>VLOOKUP(A875,Detallado!$C$5:$H$1570,6,FALSE)</f>
        <v>#N/A</v>
      </c>
    </row>
    <row r="876" spans="1:11">
      <c r="A876" s="90">
        <v>126723539042</v>
      </c>
      <c r="B876" s="1" t="s">
        <v>1790</v>
      </c>
      <c r="C876" s="43" t="s">
        <v>1905</v>
      </c>
      <c r="D876" s="1" t="s">
        <v>1780</v>
      </c>
      <c r="E876" s="43" t="s">
        <v>1905</v>
      </c>
      <c r="F876" s="37" t="s">
        <v>1782</v>
      </c>
      <c r="G876" s="44">
        <v>4300</v>
      </c>
      <c r="H876" s="44">
        <v>25.8</v>
      </c>
      <c r="K876" s="4" t="e">
        <f>VLOOKUP(A876,Detallado!$C$5:$H$1570,6,FALSE)</f>
        <v>#N/A</v>
      </c>
    </row>
    <row r="877" spans="1:11">
      <c r="A877" s="90">
        <v>126723007268</v>
      </c>
      <c r="B877" s="1" t="s">
        <v>8</v>
      </c>
      <c r="C877" s="43" t="s">
        <v>1905</v>
      </c>
      <c r="D877" s="1" t="s">
        <v>1780</v>
      </c>
      <c r="E877" s="43" t="s">
        <v>1905</v>
      </c>
      <c r="F877" s="37" t="s">
        <v>1782</v>
      </c>
      <c r="G877" s="44">
        <v>7900</v>
      </c>
      <c r="H877" s="44">
        <v>47.4</v>
      </c>
      <c r="K877" s="4" t="e">
        <f>VLOOKUP(A877,Detallado!$C$5:$H$1570,6,FALSE)</f>
        <v>#N/A</v>
      </c>
    </row>
    <row r="878" spans="1:11">
      <c r="A878" s="90">
        <v>126720731270</v>
      </c>
      <c r="B878" s="1" t="s">
        <v>8</v>
      </c>
      <c r="C878" s="43" t="s">
        <v>1905</v>
      </c>
      <c r="D878" s="1" t="s">
        <v>1780</v>
      </c>
      <c r="E878" s="43" t="s">
        <v>1905</v>
      </c>
      <c r="F878" s="37" t="s">
        <v>1782</v>
      </c>
      <c r="G878" s="44">
        <v>4300</v>
      </c>
      <c r="H878" s="44">
        <v>25.8</v>
      </c>
      <c r="K878" s="4" t="e">
        <f>VLOOKUP(A878,Detallado!$C$5:$H$1570,6,FALSE)</f>
        <v>#N/A</v>
      </c>
    </row>
    <row r="879" spans="1:11">
      <c r="A879" s="90">
        <v>126720176148</v>
      </c>
      <c r="B879" s="1" t="s">
        <v>1790</v>
      </c>
      <c r="C879" s="43" t="s">
        <v>1905</v>
      </c>
      <c r="D879" s="1" t="s">
        <v>1780</v>
      </c>
      <c r="E879" s="43" t="s">
        <v>1905</v>
      </c>
      <c r="F879" s="37" t="s">
        <v>1782</v>
      </c>
      <c r="G879" s="44">
        <v>53500</v>
      </c>
      <c r="H879" s="44">
        <v>321</v>
      </c>
      <c r="K879" s="4" t="e">
        <f>VLOOKUP(A879,Detallado!$C$5:$H$1570,6,FALSE)</f>
        <v>#N/A</v>
      </c>
    </row>
    <row r="880" spans="1:11">
      <c r="A880" s="90">
        <v>126717656802</v>
      </c>
      <c r="B880" s="1" t="s">
        <v>8</v>
      </c>
      <c r="C880" s="43" t="s">
        <v>1905</v>
      </c>
      <c r="D880" s="1" t="s">
        <v>1780</v>
      </c>
      <c r="E880" s="43" t="s">
        <v>1905</v>
      </c>
      <c r="F880" s="37" t="s">
        <v>1782</v>
      </c>
      <c r="G880" s="44">
        <v>4300</v>
      </c>
      <c r="H880" s="44">
        <v>25.8</v>
      </c>
      <c r="K880" s="4" t="e">
        <f>VLOOKUP(A880,Detallado!$C$5:$H$1570,6,FALSE)</f>
        <v>#N/A</v>
      </c>
    </row>
    <row r="881" spans="1:11">
      <c r="A881" s="90">
        <v>126715334666</v>
      </c>
      <c r="B881" s="1" t="s">
        <v>8</v>
      </c>
      <c r="C881" s="43" t="s">
        <v>1905</v>
      </c>
      <c r="D881" s="1" t="s">
        <v>1780</v>
      </c>
      <c r="E881" s="43" t="s">
        <v>1905</v>
      </c>
      <c r="F881" s="37" t="s">
        <v>1782</v>
      </c>
      <c r="G881" s="44">
        <v>25800</v>
      </c>
      <c r="H881" s="44">
        <v>154.80000000000001</v>
      </c>
      <c r="K881" s="4" t="e">
        <f>VLOOKUP(A881,Detallado!$C$5:$H$1570,6,FALSE)</f>
        <v>#N/A</v>
      </c>
    </row>
    <row r="882" spans="1:11">
      <c r="A882" s="90">
        <v>126608907260</v>
      </c>
      <c r="B882" s="1" t="s">
        <v>8</v>
      </c>
      <c r="C882" s="43" t="s">
        <v>1905</v>
      </c>
      <c r="D882" s="1" t="s">
        <v>1780</v>
      </c>
      <c r="E882" s="43" t="s">
        <v>1905</v>
      </c>
      <c r="F882" s="37" t="s">
        <v>1782</v>
      </c>
      <c r="G882" s="44">
        <v>43999</v>
      </c>
      <c r="H882" s="44">
        <v>263.99</v>
      </c>
      <c r="K882" s="4" t="e">
        <f>VLOOKUP(A882,Detallado!$C$5:$H$1570,6,FALSE)</f>
        <v>#N/A</v>
      </c>
    </row>
    <row r="883" spans="1:11">
      <c r="A883" s="90">
        <v>126608518506</v>
      </c>
      <c r="B883" s="1" t="s">
        <v>1790</v>
      </c>
      <c r="C883" s="43" t="s">
        <v>1905</v>
      </c>
      <c r="D883" s="1" t="s">
        <v>1780</v>
      </c>
      <c r="E883" s="43" t="s">
        <v>1905</v>
      </c>
      <c r="F883" s="37" t="s">
        <v>1782</v>
      </c>
      <c r="G883" s="44">
        <v>9100</v>
      </c>
      <c r="H883" s="44">
        <v>54.6</v>
      </c>
      <c r="K883" s="4" t="e">
        <f>VLOOKUP(A883,Detallado!$C$5:$H$1570,6,FALSE)</f>
        <v>#N/A</v>
      </c>
    </row>
    <row r="884" spans="1:11">
      <c r="A884" s="90">
        <v>126179218399</v>
      </c>
      <c r="B884" s="1" t="s">
        <v>8</v>
      </c>
      <c r="C884" s="43" t="s">
        <v>1905</v>
      </c>
      <c r="D884" s="1" t="s">
        <v>1780</v>
      </c>
      <c r="E884" s="43" t="s">
        <v>1905</v>
      </c>
      <c r="F884" s="37" t="s">
        <v>1782</v>
      </c>
      <c r="G884" s="44">
        <v>9600</v>
      </c>
      <c r="H884" s="44">
        <v>57.6</v>
      </c>
      <c r="K884" s="4" t="e">
        <f>VLOOKUP(A884,Detallado!$C$5:$H$1570,6,FALSE)</f>
        <v>#N/A</v>
      </c>
    </row>
    <row r="885" spans="1:11">
      <c r="A885" s="90">
        <v>126179214869</v>
      </c>
      <c r="B885" s="1" t="s">
        <v>1911</v>
      </c>
      <c r="C885" s="43" t="s">
        <v>1905</v>
      </c>
      <c r="D885" s="1" t="s">
        <v>1780</v>
      </c>
      <c r="E885" s="43" t="s">
        <v>1905</v>
      </c>
      <c r="F885" s="37" t="s">
        <v>1782</v>
      </c>
      <c r="G885" s="44">
        <v>175</v>
      </c>
      <c r="H885" s="44">
        <v>1.05</v>
      </c>
      <c r="K885" s="4" t="e">
        <f>VLOOKUP(A885,Detallado!$C$5:$H$1570,6,FALSE)</f>
        <v>#N/A</v>
      </c>
    </row>
    <row r="886" spans="1:11">
      <c r="A886" s="90">
        <v>126179069627</v>
      </c>
      <c r="B886" s="1" t="s">
        <v>1909</v>
      </c>
      <c r="C886" s="43" t="s">
        <v>1905</v>
      </c>
      <c r="D886" s="1" t="s">
        <v>1780</v>
      </c>
      <c r="E886" s="43" t="s">
        <v>1905</v>
      </c>
      <c r="F886" s="37" t="s">
        <v>1782</v>
      </c>
      <c r="G886" s="44">
        <v>480</v>
      </c>
      <c r="H886" s="44">
        <v>2.88</v>
      </c>
      <c r="K886" s="4" t="e">
        <f>VLOOKUP(A886,Detallado!$C$5:$H$1570,6,FALSE)</f>
        <v>#N/A</v>
      </c>
    </row>
    <row r="887" spans="1:11">
      <c r="A887" s="90">
        <v>126178996297</v>
      </c>
      <c r="B887" s="1" t="s">
        <v>8</v>
      </c>
      <c r="C887" s="43" t="s">
        <v>1905</v>
      </c>
      <c r="D887" s="1" t="s">
        <v>1780</v>
      </c>
      <c r="E887" s="43" t="s">
        <v>1905</v>
      </c>
      <c r="F887" s="37" t="s">
        <v>1782</v>
      </c>
      <c r="G887" s="44">
        <v>8600</v>
      </c>
      <c r="H887" s="44">
        <v>51.6</v>
      </c>
      <c r="K887" s="4" t="e">
        <f>VLOOKUP(A887,Detallado!$C$5:$H$1570,6,FALSE)</f>
        <v>#N/A</v>
      </c>
    </row>
    <row r="888" spans="1:11">
      <c r="A888" s="90">
        <v>126177996273</v>
      </c>
      <c r="B888" s="1" t="s">
        <v>8</v>
      </c>
      <c r="C888" s="43" t="s">
        <v>1905</v>
      </c>
      <c r="D888" s="1" t="s">
        <v>1780</v>
      </c>
      <c r="E888" s="43" t="s">
        <v>1905</v>
      </c>
      <c r="F888" s="37" t="s">
        <v>1782</v>
      </c>
      <c r="G888" s="44">
        <v>17200</v>
      </c>
      <c r="H888" s="44">
        <v>103.2</v>
      </c>
      <c r="K888" s="4" t="e">
        <f>VLOOKUP(A888,Detallado!$C$5:$H$1570,6,FALSE)</f>
        <v>#N/A</v>
      </c>
    </row>
    <row r="889" spans="1:11">
      <c r="A889" s="90">
        <v>126177858555</v>
      </c>
      <c r="B889" s="1" t="s">
        <v>8</v>
      </c>
      <c r="C889" s="43" t="s">
        <v>1905</v>
      </c>
      <c r="D889" s="1" t="s">
        <v>1780</v>
      </c>
      <c r="E889" s="43" t="s">
        <v>1905</v>
      </c>
      <c r="F889" s="37" t="s">
        <v>1782</v>
      </c>
      <c r="G889" s="44">
        <v>107200</v>
      </c>
      <c r="H889" s="44">
        <v>643.20000000000005</v>
      </c>
      <c r="K889" s="4" t="e">
        <f>VLOOKUP(A889,Detallado!$C$5:$H$1570,6,FALSE)</f>
        <v>#N/A</v>
      </c>
    </row>
    <row r="890" spans="1:11">
      <c r="A890" s="90">
        <v>126177394425</v>
      </c>
      <c r="B890" s="1" t="s">
        <v>8</v>
      </c>
      <c r="C890" s="43" t="s">
        <v>1905</v>
      </c>
      <c r="D890" s="1" t="s">
        <v>1780</v>
      </c>
      <c r="E890" s="43" t="s">
        <v>1905</v>
      </c>
      <c r="F890" s="37" t="s">
        <v>1782</v>
      </c>
      <c r="G890" s="44">
        <v>5300</v>
      </c>
      <c r="H890" s="44">
        <v>31.8</v>
      </c>
      <c r="K890" s="4" t="e">
        <f>VLOOKUP(A890,Detallado!$C$5:$H$1570,6,FALSE)</f>
        <v>#N/A</v>
      </c>
    </row>
    <row r="891" spans="1:11">
      <c r="A891" s="90">
        <v>126176356419</v>
      </c>
      <c r="B891" s="1" t="s">
        <v>8</v>
      </c>
      <c r="C891" s="43" t="s">
        <v>1905</v>
      </c>
      <c r="D891" s="1" t="s">
        <v>1780</v>
      </c>
      <c r="E891" s="43" t="s">
        <v>1905</v>
      </c>
      <c r="F891" s="37" t="s">
        <v>1782</v>
      </c>
      <c r="G891" s="44">
        <v>8600</v>
      </c>
      <c r="H891" s="44">
        <v>51.6</v>
      </c>
      <c r="K891" s="4" t="e">
        <f>VLOOKUP(A891,Detallado!$C$5:$H$1570,6,FALSE)</f>
        <v>#N/A</v>
      </c>
    </row>
    <row r="892" spans="1:11">
      <c r="A892" s="90">
        <v>126176306385</v>
      </c>
      <c r="B892" s="1" t="s">
        <v>8</v>
      </c>
      <c r="C892" s="43" t="s">
        <v>1905</v>
      </c>
      <c r="D892" s="1" t="s">
        <v>1780</v>
      </c>
      <c r="E892" s="43" t="s">
        <v>1905</v>
      </c>
      <c r="F892" s="37" t="s">
        <v>1782</v>
      </c>
      <c r="G892" s="44">
        <v>8600</v>
      </c>
      <c r="H892" s="44">
        <v>51.6</v>
      </c>
      <c r="K892" s="4" t="e">
        <f>VLOOKUP(A892,Detallado!$C$5:$H$1570,6,FALSE)</f>
        <v>#N/A</v>
      </c>
    </row>
    <row r="893" spans="1:11">
      <c r="A893" s="90">
        <v>126176295955</v>
      </c>
      <c r="B893" s="1" t="s">
        <v>8</v>
      </c>
      <c r="C893" s="43" t="s">
        <v>1905</v>
      </c>
      <c r="D893" s="1" t="s">
        <v>1780</v>
      </c>
      <c r="E893" s="43" t="s">
        <v>1905</v>
      </c>
      <c r="F893" s="37" t="s">
        <v>1782</v>
      </c>
      <c r="G893" s="44">
        <v>14800</v>
      </c>
      <c r="H893" s="44">
        <v>88.8</v>
      </c>
      <c r="K893" s="4" t="e">
        <f>VLOOKUP(A893,Detallado!$C$5:$H$1570,6,FALSE)</f>
        <v>#N/A</v>
      </c>
    </row>
    <row r="894" spans="1:11">
      <c r="A894" s="90">
        <v>126175205521</v>
      </c>
      <c r="B894" s="1" t="s">
        <v>8</v>
      </c>
      <c r="C894" s="43" t="s">
        <v>1905</v>
      </c>
      <c r="D894" s="1" t="s">
        <v>1780</v>
      </c>
      <c r="E894" s="43" t="s">
        <v>1905</v>
      </c>
      <c r="F894" s="37" t="s">
        <v>1782</v>
      </c>
      <c r="G894" s="44">
        <v>13700</v>
      </c>
      <c r="H894" s="44">
        <v>82.2</v>
      </c>
      <c r="K894" s="4" t="e">
        <f>VLOOKUP(A894,Detallado!$C$5:$H$1570,6,FALSE)</f>
        <v>#N/A</v>
      </c>
    </row>
    <row r="895" spans="1:11">
      <c r="A895" s="90">
        <v>126174840651</v>
      </c>
      <c r="B895" s="1" t="s">
        <v>8</v>
      </c>
      <c r="C895" s="43" t="s">
        <v>1905</v>
      </c>
      <c r="D895" s="1" t="s">
        <v>1780</v>
      </c>
      <c r="E895" s="43" t="s">
        <v>1905</v>
      </c>
      <c r="F895" s="37" t="s">
        <v>1782</v>
      </c>
      <c r="G895" s="44">
        <v>53800</v>
      </c>
      <c r="H895" s="44">
        <v>322.8</v>
      </c>
      <c r="K895" s="4" t="e">
        <f>VLOOKUP(A895,Detallado!$C$5:$H$1570,6,FALSE)</f>
        <v>#N/A</v>
      </c>
    </row>
    <row r="896" spans="1:11">
      <c r="A896" s="90">
        <v>126173878017</v>
      </c>
      <c r="B896" s="1" t="s">
        <v>1907</v>
      </c>
      <c r="C896" s="43" t="s">
        <v>1905</v>
      </c>
      <c r="D896" s="1" t="s">
        <v>1780</v>
      </c>
      <c r="E896" s="43" t="s">
        <v>1905</v>
      </c>
      <c r="F896" s="37" t="s">
        <v>1782</v>
      </c>
      <c r="G896" s="44">
        <v>2810</v>
      </c>
      <c r="H896" s="44">
        <v>16.86</v>
      </c>
      <c r="K896" s="4" t="e">
        <f>VLOOKUP(A896,Detallado!$C$5:$H$1570,6,FALSE)</f>
        <v>#N/A</v>
      </c>
    </row>
    <row r="897" spans="1:16">
      <c r="A897" s="90">
        <v>126173864405</v>
      </c>
      <c r="B897" s="1" t="s">
        <v>8</v>
      </c>
      <c r="C897" s="43" t="s">
        <v>1905</v>
      </c>
      <c r="D897" s="1" t="s">
        <v>1780</v>
      </c>
      <c r="E897" s="43" t="s">
        <v>1905</v>
      </c>
      <c r="F897" s="37" t="s">
        <v>1782</v>
      </c>
      <c r="G897" s="44">
        <v>17200</v>
      </c>
      <c r="H897" s="44">
        <v>103.2</v>
      </c>
      <c r="K897" s="4" t="e">
        <f>VLOOKUP(A897,Detallado!$C$5:$H$1570,6,FALSE)</f>
        <v>#N/A</v>
      </c>
    </row>
    <row r="898" spans="1:16">
      <c r="A898" s="90">
        <v>126172609131</v>
      </c>
      <c r="B898" s="1" t="s">
        <v>1790</v>
      </c>
      <c r="C898" s="43" t="s">
        <v>1905</v>
      </c>
      <c r="D898" s="1" t="s">
        <v>1780</v>
      </c>
      <c r="E898" s="43" t="s">
        <v>1905</v>
      </c>
      <c r="F898" s="37" t="s">
        <v>1782</v>
      </c>
      <c r="G898" s="44">
        <v>19100</v>
      </c>
      <c r="H898" s="44">
        <v>114.6</v>
      </c>
      <c r="K898" s="4" t="e">
        <f>VLOOKUP(A898,Detallado!$C$5:$H$1570,6,FALSE)</f>
        <v>#N/A</v>
      </c>
    </row>
    <row r="899" spans="1:16">
      <c r="A899" s="90">
        <v>126172507849</v>
      </c>
      <c r="B899" s="1" t="s">
        <v>1790</v>
      </c>
      <c r="C899" s="43" t="s">
        <v>1905</v>
      </c>
      <c r="D899" s="1" t="s">
        <v>1780</v>
      </c>
      <c r="E899" s="43" t="s">
        <v>1905</v>
      </c>
      <c r="F899" s="37" t="s">
        <v>1782</v>
      </c>
      <c r="G899" s="44">
        <v>7900</v>
      </c>
      <c r="H899" s="44">
        <v>47.4</v>
      </c>
      <c r="K899" s="4" t="e">
        <f>VLOOKUP(A899,Detallado!$C$5:$H$1570,6,FALSE)</f>
        <v>#N/A</v>
      </c>
    </row>
    <row r="900" spans="1:16">
      <c r="A900" s="90">
        <v>126171958661</v>
      </c>
      <c r="B900" s="1" t="s">
        <v>8</v>
      </c>
      <c r="C900" s="43" t="s">
        <v>1905</v>
      </c>
      <c r="D900" s="1" t="s">
        <v>1780</v>
      </c>
      <c r="E900" s="43" t="s">
        <v>1905</v>
      </c>
      <c r="F900" s="37" t="s">
        <v>1782</v>
      </c>
      <c r="G900" s="44">
        <v>12200</v>
      </c>
      <c r="H900" s="44">
        <v>73.2</v>
      </c>
      <c r="K900" s="4" t="e">
        <f>VLOOKUP(A900,Detallado!$C$5:$H$1570,6,FALSE)</f>
        <v>#N/A</v>
      </c>
    </row>
    <row r="901" spans="1:16">
      <c r="A901" s="90">
        <v>126171264709</v>
      </c>
      <c r="B901" s="1" t="s">
        <v>8</v>
      </c>
      <c r="C901" s="43" t="s">
        <v>1905</v>
      </c>
      <c r="D901" s="1" t="s">
        <v>1780</v>
      </c>
      <c r="E901" s="43" t="s">
        <v>1905</v>
      </c>
      <c r="F901" s="37" t="s">
        <v>1782</v>
      </c>
      <c r="G901" s="44">
        <v>4300</v>
      </c>
      <c r="H901" s="44">
        <v>25.8</v>
      </c>
      <c r="K901" s="4" t="e">
        <f>VLOOKUP(A901,Detallado!$C$5:$H$1570,6,FALSE)</f>
        <v>#N/A</v>
      </c>
    </row>
    <row r="902" spans="1:16">
      <c r="A902" s="90">
        <v>126171003423</v>
      </c>
      <c r="B902" s="1" t="s">
        <v>8</v>
      </c>
      <c r="C902" s="43" t="s">
        <v>1905</v>
      </c>
      <c r="D902" s="1" t="s">
        <v>1780</v>
      </c>
      <c r="E902" s="43" t="s">
        <v>1905</v>
      </c>
      <c r="F902" s="37" t="s">
        <v>1782</v>
      </c>
      <c r="G902" s="44">
        <v>3500</v>
      </c>
      <c r="H902" s="44">
        <v>21</v>
      </c>
      <c r="K902" s="4" t="e">
        <f>VLOOKUP(A902,Detallado!$C$5:$H$1570,6,FALSE)</f>
        <v>#N/A</v>
      </c>
    </row>
    <row r="903" spans="1:16">
      <c r="A903" s="90">
        <v>126170159241</v>
      </c>
      <c r="B903" s="1" t="s">
        <v>1790</v>
      </c>
      <c r="C903" s="43" t="s">
        <v>1905</v>
      </c>
      <c r="D903" s="1" t="s">
        <v>1780</v>
      </c>
      <c r="E903" s="43" t="s">
        <v>1905</v>
      </c>
      <c r="F903" s="37" t="s">
        <v>1782</v>
      </c>
      <c r="G903" s="44">
        <v>39200</v>
      </c>
      <c r="H903" s="44">
        <v>235.2</v>
      </c>
      <c r="K903" s="4" t="e">
        <f>VLOOKUP(A903,Detallado!$C$5:$H$1570,6,FALSE)</f>
        <v>#N/A</v>
      </c>
    </row>
    <row r="904" spans="1:16">
      <c r="A904" s="90">
        <v>126169270677</v>
      </c>
      <c r="B904" s="1" t="s">
        <v>8</v>
      </c>
      <c r="C904" s="43" t="s">
        <v>1905</v>
      </c>
      <c r="D904" s="1" t="s">
        <v>1780</v>
      </c>
      <c r="E904" s="43" t="s">
        <v>1905</v>
      </c>
      <c r="F904" s="37" t="s">
        <v>1782</v>
      </c>
      <c r="G904" s="44">
        <v>5700</v>
      </c>
      <c r="H904" s="44">
        <v>34.200000000000003</v>
      </c>
      <c r="K904" s="4" t="e">
        <f>VLOOKUP(A904,Detallado!$C$5:$H$1570,6,FALSE)</f>
        <v>#N/A</v>
      </c>
    </row>
    <row r="905" spans="1:16">
      <c r="A905" s="90">
        <v>126165274867</v>
      </c>
      <c r="B905" s="1" t="s">
        <v>1790</v>
      </c>
      <c r="C905" s="43" t="s">
        <v>1905</v>
      </c>
      <c r="D905" s="1" t="s">
        <v>1780</v>
      </c>
      <c r="E905" s="43" t="s">
        <v>1905</v>
      </c>
      <c r="F905" s="37" t="s">
        <v>1782</v>
      </c>
      <c r="G905" s="44">
        <v>4300</v>
      </c>
      <c r="H905" s="44">
        <v>25.8</v>
      </c>
      <c r="K905" s="4" t="e">
        <f>VLOOKUP(A905,Detallado!$C$5:$H$1570,6,FALSE)</f>
        <v>#N/A</v>
      </c>
    </row>
    <row r="906" spans="1:16">
      <c r="A906" s="90">
        <v>126163696217</v>
      </c>
      <c r="B906" s="1" t="s">
        <v>1790</v>
      </c>
      <c r="C906" s="43" t="s">
        <v>1905</v>
      </c>
      <c r="D906" s="1" t="s">
        <v>1780</v>
      </c>
      <c r="E906" s="43" t="s">
        <v>1905</v>
      </c>
      <c r="F906" s="37" t="s">
        <v>1782</v>
      </c>
      <c r="G906" s="44">
        <v>24200</v>
      </c>
      <c r="H906" s="44">
        <v>145.19999999999999</v>
      </c>
      <c r="K906" s="4" t="e">
        <f>VLOOKUP(A906,Detallado!$C$5:$H$1570,6,FALSE)</f>
        <v>#N/A</v>
      </c>
    </row>
    <row r="907" spans="1:16">
      <c r="A907" s="90">
        <v>126163201675</v>
      </c>
      <c r="B907" s="1" t="s">
        <v>8</v>
      </c>
      <c r="C907" s="43" t="s">
        <v>1905</v>
      </c>
      <c r="D907" s="1" t="s">
        <v>1780</v>
      </c>
      <c r="E907" s="43" t="s">
        <v>1905</v>
      </c>
      <c r="F907" s="37" t="s">
        <v>1782</v>
      </c>
      <c r="G907" s="44">
        <v>8600</v>
      </c>
      <c r="H907" s="44">
        <v>51.6</v>
      </c>
      <c r="K907" s="4" t="e">
        <f>VLOOKUP(A907,Detallado!$C$5:$H$1570,6,FALSE)</f>
        <v>#N/A</v>
      </c>
    </row>
    <row r="908" spans="1:16">
      <c r="A908" s="90">
        <v>126159013621</v>
      </c>
      <c r="B908" s="1" t="s">
        <v>8</v>
      </c>
      <c r="C908" s="43" t="s">
        <v>1905</v>
      </c>
      <c r="D908" s="1" t="s">
        <v>1780</v>
      </c>
      <c r="E908" s="43" t="s">
        <v>1905</v>
      </c>
      <c r="F908" s="37" t="s">
        <v>1782</v>
      </c>
      <c r="G908" s="44">
        <v>4300</v>
      </c>
      <c r="H908" s="44">
        <v>25.8</v>
      </c>
      <c r="K908" s="4" t="e">
        <f>VLOOKUP(A908,Detallado!$C$5:$H$1570,6,FALSE)</f>
        <v>#N/A</v>
      </c>
    </row>
    <row r="909" spans="1:16">
      <c r="A909" s="90">
        <v>126157000377</v>
      </c>
      <c r="B909" s="1" t="s">
        <v>8</v>
      </c>
      <c r="C909" s="43" t="s">
        <v>1905</v>
      </c>
      <c r="D909" s="1" t="s">
        <v>1780</v>
      </c>
      <c r="E909" s="43" t="s">
        <v>1905</v>
      </c>
      <c r="F909" s="37" t="s">
        <v>1782</v>
      </c>
      <c r="G909" s="44">
        <v>9000</v>
      </c>
      <c r="H909" s="44">
        <v>54</v>
      </c>
      <c r="K909" s="4" t="e">
        <f>VLOOKUP(A909,Detallado!$C$5:$H$1570,6,FALSE)</f>
        <v>#N/A</v>
      </c>
    </row>
    <row r="910" spans="1:16">
      <c r="A910" s="90">
        <v>126054219383</v>
      </c>
      <c r="B910" s="1" t="s">
        <v>8</v>
      </c>
      <c r="C910" s="43" t="s">
        <v>1905</v>
      </c>
      <c r="D910" s="1" t="s">
        <v>1780</v>
      </c>
      <c r="E910" s="43" t="s">
        <v>1905</v>
      </c>
      <c r="F910" s="37" t="s">
        <v>1782</v>
      </c>
      <c r="G910" s="44">
        <v>25299</v>
      </c>
      <c r="H910" s="44">
        <v>151.79</v>
      </c>
      <c r="K910" s="4" t="e">
        <f>VLOOKUP(A910,Detallado!$C$5:$H$1570,6,FALSE)</f>
        <v>#N/A</v>
      </c>
    </row>
    <row r="911" spans="1:16">
      <c r="A911" s="90">
        <v>126053089055</v>
      </c>
      <c r="B911" s="1" t="s">
        <v>8</v>
      </c>
      <c r="C911" s="43" t="s">
        <v>1905</v>
      </c>
      <c r="D911" s="1" t="s">
        <v>1780</v>
      </c>
      <c r="E911" s="43" t="s">
        <v>1905</v>
      </c>
      <c r="F911" s="37" t="s">
        <v>1782</v>
      </c>
      <c r="G911" s="44">
        <v>51099</v>
      </c>
      <c r="H911" s="44">
        <v>306.58999999999997</v>
      </c>
      <c r="K911" s="4" t="e">
        <f>VLOOKUP(A911,Detallado!$C$5:$H$1570,6,FALSE)</f>
        <v>#N/A</v>
      </c>
    </row>
    <row r="912" spans="1:16">
      <c r="A912" s="101" t="s">
        <v>1906</v>
      </c>
      <c r="B912" s="59" t="s">
        <v>8</v>
      </c>
      <c r="C912" s="60" t="s">
        <v>1905</v>
      </c>
      <c r="D912" s="59" t="s">
        <v>1780</v>
      </c>
      <c r="E912" s="60" t="s">
        <v>1905</v>
      </c>
      <c r="F912" s="61" t="s">
        <v>1782</v>
      </c>
      <c r="G912" s="62">
        <v>984000</v>
      </c>
      <c r="H912" s="74">
        <v>5904</v>
      </c>
      <c r="I912" s="59"/>
      <c r="J912" s="59"/>
      <c r="K912" s="27">
        <f>-H912</f>
        <v>-5904</v>
      </c>
      <c r="M912" s="4">
        <v>-5904</v>
      </c>
      <c r="N912" s="66">
        <f>+K912-M912</f>
        <v>0</v>
      </c>
      <c r="O912" s="1" t="s">
        <v>960</v>
      </c>
      <c r="P912" s="1">
        <f>+E912-O912</f>
        <v>0</v>
      </c>
    </row>
    <row r="913" spans="1:11">
      <c r="A913" s="90">
        <v>126738333100</v>
      </c>
      <c r="B913" s="1" t="s">
        <v>8</v>
      </c>
      <c r="C913" s="43" t="s">
        <v>1905</v>
      </c>
      <c r="D913" s="1" t="s">
        <v>1780</v>
      </c>
      <c r="E913" s="43" t="s">
        <v>1910</v>
      </c>
      <c r="F913" s="37" t="s">
        <v>1782</v>
      </c>
      <c r="G913" s="44">
        <v>35000</v>
      </c>
      <c r="H913" s="44">
        <v>210</v>
      </c>
      <c r="K913" s="4" t="e">
        <f>VLOOKUP(A913,Detallado!$C$5:$H$1570,6,FALSE)</f>
        <v>#N/A</v>
      </c>
    </row>
    <row r="914" spans="1:11">
      <c r="A914" s="90">
        <v>126737129400</v>
      </c>
      <c r="B914" s="1" t="s">
        <v>8</v>
      </c>
      <c r="C914" s="43" t="s">
        <v>1905</v>
      </c>
      <c r="D914" s="1" t="s">
        <v>1780</v>
      </c>
      <c r="E914" s="43" t="s">
        <v>1910</v>
      </c>
      <c r="F914" s="37" t="s">
        <v>1782</v>
      </c>
      <c r="G914" s="44">
        <v>9300</v>
      </c>
      <c r="H914" s="44">
        <v>55.8</v>
      </c>
      <c r="K914" s="4" t="e">
        <f>VLOOKUP(A914,Detallado!$C$5:$H$1570,6,FALSE)</f>
        <v>#N/A</v>
      </c>
    </row>
    <row r="915" spans="1:11">
      <c r="A915" s="90">
        <v>126737086952</v>
      </c>
      <c r="B915" s="1" t="s">
        <v>1790</v>
      </c>
      <c r="C915" s="43" t="s">
        <v>1905</v>
      </c>
      <c r="D915" s="1" t="s">
        <v>1780</v>
      </c>
      <c r="E915" s="43" t="s">
        <v>1910</v>
      </c>
      <c r="F915" s="37" t="s">
        <v>1782</v>
      </c>
      <c r="G915" s="44">
        <v>17500</v>
      </c>
      <c r="H915" s="44">
        <v>105</v>
      </c>
      <c r="K915" s="4" t="e">
        <f>VLOOKUP(A915,Detallado!$C$5:$H$1570,6,FALSE)</f>
        <v>#N/A</v>
      </c>
    </row>
    <row r="916" spans="1:11">
      <c r="A916" s="90">
        <v>126736925278</v>
      </c>
      <c r="B916" s="1" t="s">
        <v>1790</v>
      </c>
      <c r="C916" s="43" t="s">
        <v>1905</v>
      </c>
      <c r="D916" s="1" t="s">
        <v>1780</v>
      </c>
      <c r="E916" s="43" t="s">
        <v>1910</v>
      </c>
      <c r="F916" s="37" t="s">
        <v>1782</v>
      </c>
      <c r="G916" s="44">
        <v>23000</v>
      </c>
      <c r="H916" s="44">
        <v>138</v>
      </c>
      <c r="K916" s="4" t="e">
        <f>VLOOKUP(A916,Detallado!$C$5:$H$1570,6,FALSE)</f>
        <v>#N/A</v>
      </c>
    </row>
    <row r="917" spans="1:11">
      <c r="A917" s="90">
        <v>126736920096</v>
      </c>
      <c r="B917" s="1" t="s">
        <v>1790</v>
      </c>
      <c r="C917" s="43" t="s">
        <v>1905</v>
      </c>
      <c r="D917" s="1" t="s">
        <v>1780</v>
      </c>
      <c r="E917" s="43" t="s">
        <v>1910</v>
      </c>
      <c r="F917" s="37" t="s">
        <v>1782</v>
      </c>
      <c r="G917" s="44">
        <v>86100</v>
      </c>
      <c r="H917" s="44">
        <v>516.6</v>
      </c>
      <c r="K917" s="4" t="e">
        <f>VLOOKUP(A917,Detallado!$C$5:$H$1570,6,FALSE)</f>
        <v>#N/A</v>
      </c>
    </row>
    <row r="918" spans="1:11">
      <c r="A918" s="90">
        <v>126736781276</v>
      </c>
      <c r="B918" s="1" t="s">
        <v>8</v>
      </c>
      <c r="C918" s="43" t="s">
        <v>1905</v>
      </c>
      <c r="D918" s="1" t="s">
        <v>1780</v>
      </c>
      <c r="E918" s="43" t="s">
        <v>1910</v>
      </c>
      <c r="F918" s="37" t="s">
        <v>1782</v>
      </c>
      <c r="G918" s="44">
        <v>8600</v>
      </c>
      <c r="H918" s="44">
        <v>51.6</v>
      </c>
      <c r="K918" s="4" t="e">
        <f>VLOOKUP(A918,Detallado!$C$5:$H$1570,6,FALSE)</f>
        <v>#N/A</v>
      </c>
    </row>
    <row r="919" spans="1:11">
      <c r="A919" s="90">
        <v>126736088642</v>
      </c>
      <c r="B919" s="1" t="s">
        <v>8</v>
      </c>
      <c r="C919" s="43" t="s">
        <v>1905</v>
      </c>
      <c r="D919" s="1" t="s">
        <v>1780</v>
      </c>
      <c r="E919" s="43" t="s">
        <v>1910</v>
      </c>
      <c r="F919" s="37" t="s">
        <v>1782</v>
      </c>
      <c r="G919" s="44">
        <v>21300</v>
      </c>
      <c r="H919" s="44">
        <v>127.8</v>
      </c>
      <c r="K919" s="4" t="e">
        <f>VLOOKUP(A919,Detallado!$C$5:$H$1570,6,FALSE)</f>
        <v>#N/A</v>
      </c>
    </row>
    <row r="920" spans="1:11">
      <c r="A920" s="90">
        <v>126736031606</v>
      </c>
      <c r="B920" s="1" t="s">
        <v>8</v>
      </c>
      <c r="C920" s="43" t="s">
        <v>1905</v>
      </c>
      <c r="D920" s="1" t="s">
        <v>1780</v>
      </c>
      <c r="E920" s="43" t="s">
        <v>1910</v>
      </c>
      <c r="F920" s="37" t="s">
        <v>1782</v>
      </c>
      <c r="G920" s="44">
        <v>4500</v>
      </c>
      <c r="H920" s="44">
        <v>27</v>
      </c>
      <c r="K920" s="4" t="e">
        <f>VLOOKUP(A920,Detallado!$C$5:$H$1570,6,FALSE)</f>
        <v>#N/A</v>
      </c>
    </row>
    <row r="921" spans="1:11">
      <c r="A921" s="90">
        <v>126735449040</v>
      </c>
      <c r="B921" s="1" t="s">
        <v>1790</v>
      </c>
      <c r="C921" s="43" t="s">
        <v>1905</v>
      </c>
      <c r="D921" s="1" t="s">
        <v>1780</v>
      </c>
      <c r="E921" s="43" t="s">
        <v>1910</v>
      </c>
      <c r="F921" s="37" t="s">
        <v>1782</v>
      </c>
      <c r="G921" s="44">
        <v>4300</v>
      </c>
      <c r="H921" s="44">
        <v>25.8</v>
      </c>
      <c r="K921" s="4" t="e">
        <f>VLOOKUP(A921,Detallado!$C$5:$H$1570,6,FALSE)</f>
        <v>#N/A</v>
      </c>
    </row>
    <row r="922" spans="1:11">
      <c r="A922" s="90">
        <v>126182042267</v>
      </c>
      <c r="B922" s="1" t="s">
        <v>8</v>
      </c>
      <c r="C922" s="43" t="s">
        <v>1905</v>
      </c>
      <c r="D922" s="1" t="s">
        <v>1780</v>
      </c>
      <c r="E922" s="43" t="s">
        <v>1910</v>
      </c>
      <c r="F922" s="37" t="s">
        <v>1782</v>
      </c>
      <c r="G922" s="44">
        <v>22500</v>
      </c>
      <c r="H922" s="44">
        <v>135</v>
      </c>
      <c r="K922" s="4" t="e">
        <f>VLOOKUP(A922,Detallado!$C$5:$H$1570,6,FALSE)</f>
        <v>#N/A</v>
      </c>
    </row>
    <row r="923" spans="1:11">
      <c r="A923" s="90">
        <v>126181421567</v>
      </c>
      <c r="B923" s="1" t="s">
        <v>8</v>
      </c>
      <c r="C923" s="43" t="s">
        <v>1905</v>
      </c>
      <c r="D923" s="1" t="s">
        <v>1780</v>
      </c>
      <c r="E923" s="43" t="s">
        <v>1910</v>
      </c>
      <c r="F923" s="37" t="s">
        <v>1782</v>
      </c>
      <c r="G923" s="44">
        <v>32700</v>
      </c>
      <c r="H923" s="44">
        <v>196.2</v>
      </c>
      <c r="K923" s="4" t="e">
        <f>VLOOKUP(A923,Detallado!$C$5:$H$1570,6,FALSE)</f>
        <v>#N/A</v>
      </c>
    </row>
    <row r="924" spans="1:11">
      <c r="A924" s="90">
        <v>126181139963</v>
      </c>
      <c r="B924" s="1" t="s">
        <v>8</v>
      </c>
      <c r="C924" s="43" t="s">
        <v>1905</v>
      </c>
      <c r="D924" s="1" t="s">
        <v>1780</v>
      </c>
      <c r="E924" s="43" t="s">
        <v>1910</v>
      </c>
      <c r="F924" s="37" t="s">
        <v>1782</v>
      </c>
      <c r="G924" s="44">
        <v>12900</v>
      </c>
      <c r="H924" s="44">
        <v>77.400000000000006</v>
      </c>
      <c r="K924" s="4" t="e">
        <f>VLOOKUP(A924,Detallado!$C$5:$H$1570,6,FALSE)</f>
        <v>#N/A</v>
      </c>
    </row>
    <row r="925" spans="1:11">
      <c r="A925" s="90">
        <v>126180758335</v>
      </c>
      <c r="B925" s="1" t="s">
        <v>1790</v>
      </c>
      <c r="C925" s="43" t="s">
        <v>1905</v>
      </c>
      <c r="D925" s="1" t="s">
        <v>1780</v>
      </c>
      <c r="E925" s="43" t="s">
        <v>1910</v>
      </c>
      <c r="F925" s="37" t="s">
        <v>1782</v>
      </c>
      <c r="G925" s="44">
        <v>20800</v>
      </c>
      <c r="H925" s="44">
        <v>124.8</v>
      </c>
      <c r="K925" s="4" t="e">
        <f>VLOOKUP(A925,Detallado!$C$5:$H$1570,6,FALSE)</f>
        <v>#N/A</v>
      </c>
    </row>
    <row r="926" spans="1:11">
      <c r="A926" s="90">
        <v>126180519317</v>
      </c>
      <c r="B926" s="1" t="s">
        <v>8</v>
      </c>
      <c r="C926" s="43" t="s">
        <v>1905</v>
      </c>
      <c r="D926" s="1" t="s">
        <v>1780</v>
      </c>
      <c r="E926" s="43" t="s">
        <v>1910</v>
      </c>
      <c r="F926" s="37" t="s">
        <v>1782</v>
      </c>
      <c r="G926" s="44">
        <v>67600</v>
      </c>
      <c r="H926" s="44">
        <v>405.6</v>
      </c>
      <c r="K926" s="4" t="e">
        <f>VLOOKUP(A926,Detallado!$C$5:$H$1570,6,FALSE)</f>
        <v>#N/A</v>
      </c>
    </row>
    <row r="927" spans="1:11">
      <c r="A927" s="90">
        <v>126179853579</v>
      </c>
      <c r="B927" s="1" t="s">
        <v>8</v>
      </c>
      <c r="C927" s="43" t="s">
        <v>1905</v>
      </c>
      <c r="D927" s="1" t="s">
        <v>1780</v>
      </c>
      <c r="E927" s="43" t="s">
        <v>1910</v>
      </c>
      <c r="F927" s="37" t="s">
        <v>1782</v>
      </c>
      <c r="G927" s="44">
        <v>9300</v>
      </c>
      <c r="H927" s="44">
        <v>55.8</v>
      </c>
      <c r="K927" s="4" t="e">
        <f>VLOOKUP(A927,Detallado!$C$5:$H$1570,6,FALSE)</f>
        <v>#N/A</v>
      </c>
    </row>
    <row r="928" spans="1:11">
      <c r="A928" s="90">
        <v>126179543345</v>
      </c>
      <c r="B928" s="1" t="s">
        <v>8</v>
      </c>
      <c r="C928" s="43" t="s">
        <v>1905</v>
      </c>
      <c r="D928" s="1" t="s">
        <v>1780</v>
      </c>
      <c r="E928" s="43" t="s">
        <v>1910</v>
      </c>
      <c r="F928" s="37" t="s">
        <v>1782</v>
      </c>
      <c r="G928" s="44">
        <v>12900</v>
      </c>
      <c r="H928" s="44">
        <v>77.400000000000006</v>
      </c>
      <c r="K928" s="4" t="e">
        <f>VLOOKUP(A928,Detallado!$C$5:$H$1570,6,FALSE)</f>
        <v>#N/A</v>
      </c>
    </row>
    <row r="929" spans="1:11">
      <c r="A929" s="90">
        <v>126179338967</v>
      </c>
      <c r="B929" s="1" t="s">
        <v>1790</v>
      </c>
      <c r="C929" s="43" t="s">
        <v>1905</v>
      </c>
      <c r="D929" s="1" t="s">
        <v>1780</v>
      </c>
      <c r="E929" s="43" t="s">
        <v>1910</v>
      </c>
      <c r="F929" s="37" t="s">
        <v>1782</v>
      </c>
      <c r="G929" s="44">
        <v>4300</v>
      </c>
      <c r="H929" s="44">
        <v>25.8</v>
      </c>
      <c r="K929" s="4" t="e">
        <f>VLOOKUP(A929,Detallado!$C$5:$H$1570,6,FALSE)</f>
        <v>#N/A</v>
      </c>
    </row>
    <row r="930" spans="1:11">
      <c r="A930" s="90">
        <v>126179317665</v>
      </c>
      <c r="B930" s="1" t="s">
        <v>1790</v>
      </c>
      <c r="C930" s="43" t="s">
        <v>1905</v>
      </c>
      <c r="D930" s="1" t="s">
        <v>1780</v>
      </c>
      <c r="E930" s="43" t="s">
        <v>1910</v>
      </c>
      <c r="F930" s="37" t="s">
        <v>1782</v>
      </c>
      <c r="G930" s="44">
        <v>8600</v>
      </c>
      <c r="H930" s="44">
        <v>51.6</v>
      </c>
      <c r="K930" s="4" t="e">
        <f>VLOOKUP(A930,Detallado!$C$5:$H$1570,6,FALSE)</f>
        <v>#N/A</v>
      </c>
    </row>
    <row r="931" spans="1:11">
      <c r="A931" s="90">
        <v>126873074156</v>
      </c>
      <c r="B931" s="1" t="s">
        <v>8</v>
      </c>
      <c r="C931" s="43" t="s">
        <v>1910</v>
      </c>
      <c r="D931" s="1" t="s">
        <v>1780</v>
      </c>
      <c r="E931" s="43" t="s">
        <v>1910</v>
      </c>
      <c r="F931" s="37" t="s">
        <v>1782</v>
      </c>
      <c r="G931" s="44">
        <v>4300</v>
      </c>
      <c r="H931" s="44">
        <v>25.8</v>
      </c>
      <c r="K931" s="4" t="e">
        <f>VLOOKUP(A931,Detallado!$C$5:$H$1570,6,FALSE)</f>
        <v>#N/A</v>
      </c>
    </row>
    <row r="932" spans="1:11">
      <c r="A932" s="90">
        <v>126871817554</v>
      </c>
      <c r="B932" s="1" t="s">
        <v>8</v>
      </c>
      <c r="C932" s="43" t="s">
        <v>1910</v>
      </c>
      <c r="D932" s="1" t="s">
        <v>1780</v>
      </c>
      <c r="E932" s="43" t="s">
        <v>1910</v>
      </c>
      <c r="F932" s="37" t="s">
        <v>1782</v>
      </c>
      <c r="G932" s="44">
        <v>17200</v>
      </c>
      <c r="H932" s="44">
        <v>103.2</v>
      </c>
      <c r="K932" s="4" t="e">
        <f>VLOOKUP(A932,Detallado!$C$5:$H$1570,6,FALSE)</f>
        <v>#N/A</v>
      </c>
    </row>
    <row r="933" spans="1:11">
      <c r="A933" s="90">
        <v>126870052406</v>
      </c>
      <c r="B933" s="1" t="s">
        <v>1790</v>
      </c>
      <c r="C933" s="43" t="s">
        <v>1910</v>
      </c>
      <c r="D933" s="1" t="s">
        <v>1780</v>
      </c>
      <c r="E933" s="43" t="s">
        <v>1910</v>
      </c>
      <c r="F933" s="37" t="s">
        <v>1782</v>
      </c>
      <c r="G933" s="44">
        <v>49500</v>
      </c>
      <c r="H933" s="44">
        <v>297</v>
      </c>
      <c r="K933" s="4" t="e">
        <f>VLOOKUP(A933,Detallado!$C$5:$H$1570,6,FALSE)</f>
        <v>#N/A</v>
      </c>
    </row>
    <row r="934" spans="1:11">
      <c r="A934" s="90">
        <v>126869842594</v>
      </c>
      <c r="B934" s="1" t="s">
        <v>1790</v>
      </c>
      <c r="C934" s="43" t="s">
        <v>1910</v>
      </c>
      <c r="D934" s="1" t="s">
        <v>1780</v>
      </c>
      <c r="E934" s="43" t="s">
        <v>1910</v>
      </c>
      <c r="F934" s="37" t="s">
        <v>1782</v>
      </c>
      <c r="G934" s="44">
        <v>10000</v>
      </c>
      <c r="H934" s="44">
        <v>60</v>
      </c>
      <c r="K934" s="4" t="e">
        <f>VLOOKUP(A934,Detallado!$C$5:$H$1570,6,FALSE)</f>
        <v>#N/A</v>
      </c>
    </row>
    <row r="935" spans="1:11">
      <c r="A935" s="90">
        <v>126869531676</v>
      </c>
      <c r="B935" s="1" t="s">
        <v>1790</v>
      </c>
      <c r="C935" s="43" t="s">
        <v>1910</v>
      </c>
      <c r="D935" s="1" t="s">
        <v>1780</v>
      </c>
      <c r="E935" s="43" t="s">
        <v>1910</v>
      </c>
      <c r="F935" s="37" t="s">
        <v>1782</v>
      </c>
      <c r="G935" s="44">
        <v>17200</v>
      </c>
      <c r="H935" s="44">
        <v>103.2</v>
      </c>
      <c r="K935" s="4" t="e">
        <f>VLOOKUP(A935,Detallado!$C$5:$H$1570,6,FALSE)</f>
        <v>#N/A</v>
      </c>
    </row>
    <row r="936" spans="1:11">
      <c r="A936" s="90">
        <v>126868129818</v>
      </c>
      <c r="B936" s="1" t="s">
        <v>8</v>
      </c>
      <c r="C936" s="43" t="s">
        <v>1910</v>
      </c>
      <c r="D936" s="1" t="s">
        <v>1780</v>
      </c>
      <c r="E936" s="43" t="s">
        <v>1910</v>
      </c>
      <c r="F936" s="37" t="s">
        <v>1782</v>
      </c>
      <c r="G936" s="44">
        <v>60100</v>
      </c>
      <c r="H936" s="44">
        <v>360.6</v>
      </c>
      <c r="K936" s="4" t="e">
        <f>VLOOKUP(A936,Detallado!$C$5:$H$1570,6,FALSE)</f>
        <v>#N/A</v>
      </c>
    </row>
    <row r="937" spans="1:11">
      <c r="A937" s="90">
        <v>126865877842</v>
      </c>
      <c r="B937" s="1" t="s">
        <v>1790</v>
      </c>
      <c r="C937" s="43" t="s">
        <v>1910</v>
      </c>
      <c r="D937" s="1" t="s">
        <v>1780</v>
      </c>
      <c r="E937" s="43" t="s">
        <v>1910</v>
      </c>
      <c r="F937" s="37" t="s">
        <v>1782</v>
      </c>
      <c r="G937" s="44">
        <v>35900</v>
      </c>
      <c r="H937" s="44">
        <v>215.4</v>
      </c>
      <c r="K937" s="4" t="e">
        <f>VLOOKUP(A937,Detallado!$C$5:$H$1570,6,FALSE)</f>
        <v>#N/A</v>
      </c>
    </row>
    <row r="938" spans="1:11">
      <c r="A938" s="90">
        <v>126862230908</v>
      </c>
      <c r="B938" s="1" t="s">
        <v>8</v>
      </c>
      <c r="C938" s="43" t="s">
        <v>1910</v>
      </c>
      <c r="D938" s="1" t="s">
        <v>1780</v>
      </c>
      <c r="E938" s="43" t="s">
        <v>1910</v>
      </c>
      <c r="F938" s="37" t="s">
        <v>1782</v>
      </c>
      <c r="G938" s="44">
        <v>3900</v>
      </c>
      <c r="H938" s="44">
        <v>23.4</v>
      </c>
      <c r="K938" s="4" t="e">
        <f>VLOOKUP(A938,Detallado!$C$5:$H$1570,6,FALSE)</f>
        <v>#N/A</v>
      </c>
    </row>
    <row r="939" spans="1:11">
      <c r="A939" s="90">
        <v>126861716336</v>
      </c>
      <c r="B939" s="1" t="s">
        <v>8</v>
      </c>
      <c r="C939" s="43" t="s">
        <v>1910</v>
      </c>
      <c r="D939" s="1" t="s">
        <v>1780</v>
      </c>
      <c r="E939" s="43" t="s">
        <v>1910</v>
      </c>
      <c r="F939" s="37" t="s">
        <v>1782</v>
      </c>
      <c r="G939" s="44">
        <v>5300</v>
      </c>
      <c r="H939" s="44">
        <v>31.8</v>
      </c>
      <c r="K939" s="4" t="e">
        <f>VLOOKUP(A939,Detallado!$C$5:$H$1570,6,FALSE)</f>
        <v>#N/A</v>
      </c>
    </row>
    <row r="940" spans="1:11">
      <c r="A940" s="90">
        <v>126861692506</v>
      </c>
      <c r="B940" s="1" t="s">
        <v>1916</v>
      </c>
      <c r="C940" s="43" t="s">
        <v>1910</v>
      </c>
      <c r="D940" s="1" t="s">
        <v>1780</v>
      </c>
      <c r="E940" s="43" t="s">
        <v>1910</v>
      </c>
      <c r="F940" s="37" t="s">
        <v>1782</v>
      </c>
      <c r="G940" s="44">
        <v>265</v>
      </c>
      <c r="H940" s="44">
        <v>1.59</v>
      </c>
      <c r="K940" s="4" t="e">
        <f>VLOOKUP(A940,Detallado!$C$5:$H$1570,6,FALSE)</f>
        <v>#N/A</v>
      </c>
    </row>
    <row r="941" spans="1:11">
      <c r="A941" s="90">
        <v>126859782450</v>
      </c>
      <c r="B941" s="1" t="s">
        <v>1790</v>
      </c>
      <c r="C941" s="43" t="s">
        <v>1910</v>
      </c>
      <c r="D941" s="1" t="s">
        <v>1780</v>
      </c>
      <c r="E941" s="43" t="s">
        <v>1910</v>
      </c>
      <c r="F941" s="37" t="s">
        <v>1782</v>
      </c>
      <c r="G941" s="44">
        <v>4300</v>
      </c>
      <c r="H941" s="44">
        <v>25.8</v>
      </c>
      <c r="K941" s="4" t="e">
        <f>VLOOKUP(A941,Detallado!$C$5:$H$1570,6,FALSE)</f>
        <v>#N/A</v>
      </c>
    </row>
    <row r="942" spans="1:11">
      <c r="A942" s="90">
        <v>126853170834</v>
      </c>
      <c r="B942" s="1" t="s">
        <v>1790</v>
      </c>
      <c r="C942" s="43" t="s">
        <v>1910</v>
      </c>
      <c r="D942" s="1" t="s">
        <v>1780</v>
      </c>
      <c r="E942" s="43" t="s">
        <v>1910</v>
      </c>
      <c r="F942" s="37" t="s">
        <v>1782</v>
      </c>
      <c r="G942" s="44">
        <v>9000</v>
      </c>
      <c r="H942" s="44">
        <v>54</v>
      </c>
      <c r="K942" s="4" t="e">
        <f>VLOOKUP(A942,Detallado!$C$5:$H$1570,6,FALSE)</f>
        <v>#N/A</v>
      </c>
    </row>
    <row r="943" spans="1:11">
      <c r="A943" s="90">
        <v>126741893182</v>
      </c>
      <c r="B943" s="1" t="s">
        <v>1790</v>
      </c>
      <c r="C943" s="43" t="s">
        <v>1910</v>
      </c>
      <c r="D943" s="1" t="s">
        <v>1780</v>
      </c>
      <c r="E943" s="43" t="s">
        <v>1910</v>
      </c>
      <c r="F943" s="37" t="s">
        <v>1782</v>
      </c>
      <c r="G943" s="44">
        <v>19500</v>
      </c>
      <c r="H943" s="44">
        <v>117</v>
      </c>
      <c r="K943" s="4" t="e">
        <f>VLOOKUP(A943,Detallado!$C$5:$H$1570,6,FALSE)</f>
        <v>#N/A</v>
      </c>
    </row>
    <row r="944" spans="1:11">
      <c r="A944" s="90">
        <v>126741631900</v>
      </c>
      <c r="B944" s="1" t="s">
        <v>8</v>
      </c>
      <c r="C944" s="43" t="s">
        <v>1910</v>
      </c>
      <c r="D944" s="1" t="s">
        <v>1780</v>
      </c>
      <c r="E944" s="43" t="s">
        <v>1910</v>
      </c>
      <c r="F944" s="37" t="s">
        <v>1782</v>
      </c>
      <c r="G944" s="44">
        <v>12300</v>
      </c>
      <c r="H944" s="44">
        <v>73.8</v>
      </c>
      <c r="K944" s="4" t="e">
        <f>VLOOKUP(A944,Detallado!$C$5:$H$1570,6,FALSE)</f>
        <v>#N/A</v>
      </c>
    </row>
    <row r="945" spans="1:11">
      <c r="A945" s="90">
        <v>126740843732</v>
      </c>
      <c r="B945" s="1" t="s">
        <v>8</v>
      </c>
      <c r="C945" s="43" t="s">
        <v>1910</v>
      </c>
      <c r="D945" s="1" t="s">
        <v>1780</v>
      </c>
      <c r="E945" s="43" t="s">
        <v>1910</v>
      </c>
      <c r="F945" s="37" t="s">
        <v>1782</v>
      </c>
      <c r="G945" s="44">
        <v>9600</v>
      </c>
      <c r="H945" s="44">
        <v>57.6</v>
      </c>
      <c r="K945" s="4" t="e">
        <f>VLOOKUP(A945,Detallado!$C$5:$H$1570,6,FALSE)</f>
        <v>#N/A</v>
      </c>
    </row>
    <row r="946" spans="1:11">
      <c r="A946" s="90">
        <v>126740494230</v>
      </c>
      <c r="B946" s="1" t="s">
        <v>1790</v>
      </c>
      <c r="C946" s="43" t="s">
        <v>1910</v>
      </c>
      <c r="D946" s="1" t="s">
        <v>1780</v>
      </c>
      <c r="E946" s="43" t="s">
        <v>1910</v>
      </c>
      <c r="F946" s="37" t="s">
        <v>1782</v>
      </c>
      <c r="G946" s="44">
        <v>5700</v>
      </c>
      <c r="H946" s="44">
        <v>34.200000000000003</v>
      </c>
      <c r="K946" s="4" t="e">
        <f>VLOOKUP(A946,Detallado!$C$5:$H$1570,6,FALSE)</f>
        <v>#N/A</v>
      </c>
    </row>
    <row r="947" spans="1:11">
      <c r="A947" s="90">
        <v>126740392456</v>
      </c>
      <c r="B947" s="1" t="s">
        <v>8</v>
      </c>
      <c r="C947" s="43" t="s">
        <v>1910</v>
      </c>
      <c r="D947" s="1" t="s">
        <v>1780</v>
      </c>
      <c r="E947" s="43" t="s">
        <v>1910</v>
      </c>
      <c r="F947" s="37" t="s">
        <v>1782</v>
      </c>
      <c r="G947" s="44">
        <v>8400</v>
      </c>
      <c r="H947" s="44">
        <v>50.4</v>
      </c>
      <c r="K947" s="4" t="e">
        <f>VLOOKUP(A947,Detallado!$C$5:$H$1570,6,FALSE)</f>
        <v>#N/A</v>
      </c>
    </row>
    <row r="948" spans="1:11">
      <c r="A948" s="90">
        <v>126740171940</v>
      </c>
      <c r="B948" s="1" t="s">
        <v>8</v>
      </c>
      <c r="C948" s="43" t="s">
        <v>1910</v>
      </c>
      <c r="D948" s="1" t="s">
        <v>1780</v>
      </c>
      <c r="E948" s="43" t="s">
        <v>1910</v>
      </c>
      <c r="F948" s="37" t="s">
        <v>1782</v>
      </c>
      <c r="G948" s="44">
        <v>5000</v>
      </c>
      <c r="H948" s="44">
        <v>30</v>
      </c>
      <c r="K948" s="4" t="e">
        <f>VLOOKUP(A948,Detallado!$C$5:$H$1570,6,FALSE)</f>
        <v>#N/A</v>
      </c>
    </row>
    <row r="949" spans="1:11">
      <c r="A949" s="90">
        <v>126740106866</v>
      </c>
      <c r="B949" s="1" t="s">
        <v>8</v>
      </c>
      <c r="C949" s="43" t="s">
        <v>1910</v>
      </c>
      <c r="D949" s="1" t="s">
        <v>1780</v>
      </c>
      <c r="E949" s="43" t="s">
        <v>1910</v>
      </c>
      <c r="F949" s="37" t="s">
        <v>1782</v>
      </c>
      <c r="G949" s="44">
        <v>5000</v>
      </c>
      <c r="H949" s="44">
        <v>30</v>
      </c>
      <c r="K949" s="4" t="e">
        <f>VLOOKUP(A949,Detallado!$C$5:$H$1570,6,FALSE)</f>
        <v>#N/A</v>
      </c>
    </row>
    <row r="950" spans="1:11">
      <c r="A950" s="90">
        <v>126738940502</v>
      </c>
      <c r="B950" s="1" t="s">
        <v>8</v>
      </c>
      <c r="C950" s="43" t="s">
        <v>1910</v>
      </c>
      <c r="D950" s="1" t="s">
        <v>1780</v>
      </c>
      <c r="E950" s="43" t="s">
        <v>1910</v>
      </c>
      <c r="F950" s="37" t="s">
        <v>1782</v>
      </c>
      <c r="G950" s="44">
        <v>3900</v>
      </c>
      <c r="H950" s="44">
        <v>23.4</v>
      </c>
      <c r="K950" s="4" t="e">
        <f>VLOOKUP(A950,Detallado!$C$5:$H$1570,6,FALSE)</f>
        <v>#N/A</v>
      </c>
    </row>
    <row r="951" spans="1:11">
      <c r="A951" s="90">
        <v>126738655450</v>
      </c>
      <c r="B951" s="1" t="s">
        <v>8</v>
      </c>
      <c r="C951" s="43" t="s">
        <v>1910</v>
      </c>
      <c r="D951" s="1" t="s">
        <v>1780</v>
      </c>
      <c r="E951" s="43" t="s">
        <v>1910</v>
      </c>
      <c r="F951" s="37" t="s">
        <v>1782</v>
      </c>
      <c r="G951" s="44">
        <v>13600</v>
      </c>
      <c r="H951" s="44">
        <v>81.599999999999994</v>
      </c>
      <c r="K951" s="4" t="e">
        <f>VLOOKUP(A951,Detallado!$C$5:$H$1570,6,FALSE)</f>
        <v>#N/A</v>
      </c>
    </row>
    <row r="952" spans="1:11">
      <c r="A952" s="90">
        <v>126738441012</v>
      </c>
      <c r="B952" s="1" t="s">
        <v>8</v>
      </c>
      <c r="C952" s="43" t="s">
        <v>1910</v>
      </c>
      <c r="D952" s="1" t="s">
        <v>1780</v>
      </c>
      <c r="E952" s="43" t="s">
        <v>1910</v>
      </c>
      <c r="F952" s="37" t="s">
        <v>1782</v>
      </c>
      <c r="G952" s="44">
        <v>13600</v>
      </c>
      <c r="H952" s="44">
        <v>81.599999999999994</v>
      </c>
      <c r="K952" s="4" t="e">
        <f>VLOOKUP(A952,Detallado!$C$5:$H$1570,6,FALSE)</f>
        <v>#N/A</v>
      </c>
    </row>
    <row r="953" spans="1:11">
      <c r="A953" s="90">
        <v>126314909589</v>
      </c>
      <c r="B953" s="1" t="s">
        <v>8</v>
      </c>
      <c r="C953" s="43" t="s">
        <v>1910</v>
      </c>
      <c r="D953" s="1" t="s">
        <v>1780</v>
      </c>
      <c r="E953" s="43" t="s">
        <v>1910</v>
      </c>
      <c r="F953" s="37" t="s">
        <v>1782</v>
      </c>
      <c r="G953" s="44">
        <v>5000</v>
      </c>
      <c r="H953" s="44">
        <v>30</v>
      </c>
      <c r="K953" s="4" t="e">
        <f>VLOOKUP(A953,Detallado!$C$5:$H$1570,6,FALSE)</f>
        <v>#N/A</v>
      </c>
    </row>
    <row r="954" spans="1:11">
      <c r="A954" s="90">
        <v>126312348037</v>
      </c>
      <c r="B954" s="1" t="s">
        <v>8</v>
      </c>
      <c r="C954" s="43" t="s">
        <v>1910</v>
      </c>
      <c r="D954" s="1" t="s">
        <v>1780</v>
      </c>
      <c r="E954" s="43" t="s">
        <v>1910</v>
      </c>
      <c r="F954" s="37" t="s">
        <v>1782</v>
      </c>
      <c r="G954" s="44">
        <v>3900</v>
      </c>
      <c r="H954" s="44">
        <v>23.4</v>
      </c>
      <c r="K954" s="4" t="e">
        <f>VLOOKUP(A954,Detallado!$C$5:$H$1570,6,FALSE)</f>
        <v>#N/A</v>
      </c>
    </row>
    <row r="955" spans="1:11">
      <c r="A955" s="90">
        <v>126311741457</v>
      </c>
      <c r="B955" s="1" t="s">
        <v>8</v>
      </c>
      <c r="C955" s="43" t="s">
        <v>1910</v>
      </c>
      <c r="D955" s="1" t="s">
        <v>1780</v>
      </c>
      <c r="E955" s="43" t="s">
        <v>1910</v>
      </c>
      <c r="F955" s="37" t="s">
        <v>1782</v>
      </c>
      <c r="G955" s="44">
        <v>35600</v>
      </c>
      <c r="H955" s="44">
        <v>213.6</v>
      </c>
      <c r="K955" s="4" t="e">
        <f>VLOOKUP(A955,Detallado!$C$5:$H$1570,6,FALSE)</f>
        <v>#N/A</v>
      </c>
    </row>
    <row r="956" spans="1:11">
      <c r="A956" s="90">
        <v>126309333557</v>
      </c>
      <c r="B956" s="1" t="s">
        <v>1790</v>
      </c>
      <c r="C956" s="43" t="s">
        <v>1910</v>
      </c>
      <c r="D956" s="1" t="s">
        <v>1780</v>
      </c>
      <c r="E956" s="43" t="s">
        <v>1910</v>
      </c>
      <c r="F956" s="37" t="s">
        <v>1782</v>
      </c>
      <c r="G956" s="44">
        <v>47300</v>
      </c>
      <c r="H956" s="44">
        <v>283.8</v>
      </c>
      <c r="K956" s="4" t="e">
        <f>VLOOKUP(A956,Detallado!$C$5:$H$1570,6,FALSE)</f>
        <v>#N/A</v>
      </c>
    </row>
    <row r="957" spans="1:11">
      <c r="A957" s="90">
        <v>126308248317</v>
      </c>
      <c r="B957" s="1" t="s">
        <v>8</v>
      </c>
      <c r="C957" s="43" t="s">
        <v>1910</v>
      </c>
      <c r="D957" s="1" t="s">
        <v>1780</v>
      </c>
      <c r="E957" s="43" t="s">
        <v>1910</v>
      </c>
      <c r="F957" s="37" t="s">
        <v>1782</v>
      </c>
      <c r="G957" s="44">
        <v>9000</v>
      </c>
      <c r="H957" s="44">
        <v>54</v>
      </c>
      <c r="K957" s="4" t="e">
        <f>VLOOKUP(A957,Detallado!$C$5:$H$1570,6,FALSE)</f>
        <v>#N/A</v>
      </c>
    </row>
    <row r="958" spans="1:11">
      <c r="A958" s="90">
        <v>126306563085</v>
      </c>
      <c r="B958" s="1" t="s">
        <v>8</v>
      </c>
      <c r="C958" s="43" t="s">
        <v>1910</v>
      </c>
      <c r="D958" s="1" t="s">
        <v>1780</v>
      </c>
      <c r="E958" s="43" t="s">
        <v>1910</v>
      </c>
      <c r="F958" s="37" t="s">
        <v>1782</v>
      </c>
      <c r="G958" s="44">
        <v>26700</v>
      </c>
      <c r="H958" s="44">
        <v>160.19999999999999</v>
      </c>
      <c r="K958" s="4" t="e">
        <f>VLOOKUP(A958,Detallado!$C$5:$H$1570,6,FALSE)</f>
        <v>#N/A</v>
      </c>
    </row>
    <row r="959" spans="1:11">
      <c r="A959" s="90">
        <v>126304421967</v>
      </c>
      <c r="B959" s="1" t="s">
        <v>8</v>
      </c>
      <c r="C959" s="43" t="s">
        <v>1910</v>
      </c>
      <c r="D959" s="1" t="s">
        <v>1780</v>
      </c>
      <c r="E959" s="43" t="s">
        <v>1910</v>
      </c>
      <c r="F959" s="37" t="s">
        <v>1782</v>
      </c>
      <c r="G959" s="44">
        <v>48200</v>
      </c>
      <c r="H959" s="44">
        <v>289.2</v>
      </c>
      <c r="K959" s="4" t="e">
        <f>VLOOKUP(A959,Detallado!$C$5:$H$1570,6,FALSE)</f>
        <v>#N/A</v>
      </c>
    </row>
    <row r="960" spans="1:11">
      <c r="A960" s="90">
        <v>126299319221</v>
      </c>
      <c r="B960" s="1" t="s">
        <v>8</v>
      </c>
      <c r="C960" s="43" t="s">
        <v>1910</v>
      </c>
      <c r="D960" s="1" t="s">
        <v>1780</v>
      </c>
      <c r="E960" s="43" t="s">
        <v>1910</v>
      </c>
      <c r="F960" s="37" t="s">
        <v>1782</v>
      </c>
      <c r="G960" s="44">
        <v>21300</v>
      </c>
      <c r="H960" s="44">
        <v>127.8</v>
      </c>
      <c r="K960" s="4" t="e">
        <f>VLOOKUP(A960,Detallado!$C$5:$H$1570,6,FALSE)</f>
        <v>#N/A</v>
      </c>
    </row>
    <row r="961" spans="1:11">
      <c r="A961" s="90">
        <v>126298554027</v>
      </c>
      <c r="B961" s="1" t="s">
        <v>8</v>
      </c>
      <c r="C961" s="43" t="s">
        <v>1910</v>
      </c>
      <c r="D961" s="1" t="s">
        <v>1780</v>
      </c>
      <c r="E961" s="43" t="s">
        <v>1910</v>
      </c>
      <c r="F961" s="37" t="s">
        <v>1782</v>
      </c>
      <c r="G961" s="44">
        <v>9000</v>
      </c>
      <c r="H961" s="44">
        <v>54</v>
      </c>
      <c r="K961" s="4" t="e">
        <f>VLOOKUP(A961,Detallado!$C$5:$H$1570,6,FALSE)</f>
        <v>#N/A</v>
      </c>
    </row>
    <row r="962" spans="1:11">
      <c r="A962" s="90">
        <v>126298474467</v>
      </c>
      <c r="B962" s="1" t="s">
        <v>8</v>
      </c>
      <c r="C962" s="43" t="s">
        <v>1910</v>
      </c>
      <c r="D962" s="1" t="s">
        <v>1780</v>
      </c>
      <c r="E962" s="43" t="s">
        <v>1910</v>
      </c>
      <c r="F962" s="37" t="s">
        <v>1782</v>
      </c>
      <c r="G962" s="44">
        <v>9000</v>
      </c>
      <c r="H962" s="44">
        <v>54</v>
      </c>
      <c r="K962" s="4" t="e">
        <f>VLOOKUP(A962,Detallado!$C$5:$H$1570,6,FALSE)</f>
        <v>#N/A</v>
      </c>
    </row>
    <row r="963" spans="1:11">
      <c r="A963" s="90">
        <v>126296416437</v>
      </c>
      <c r="B963" s="1" t="s">
        <v>1790</v>
      </c>
      <c r="C963" s="43" t="s">
        <v>1910</v>
      </c>
      <c r="D963" s="1" t="s">
        <v>1780</v>
      </c>
      <c r="E963" s="43" t="s">
        <v>1910</v>
      </c>
      <c r="F963" s="37" t="s">
        <v>1782</v>
      </c>
      <c r="G963" s="44">
        <v>8600</v>
      </c>
      <c r="H963" s="44">
        <v>51.6</v>
      </c>
      <c r="K963" s="4" t="e">
        <f>VLOOKUP(A963,Detallado!$C$5:$H$1570,6,FALSE)</f>
        <v>#N/A</v>
      </c>
    </row>
    <row r="964" spans="1:11">
      <c r="A964" s="90">
        <v>126295087115</v>
      </c>
      <c r="B964" s="1" t="s">
        <v>8</v>
      </c>
      <c r="C964" s="43" t="s">
        <v>1910</v>
      </c>
      <c r="D964" s="1" t="s">
        <v>1780</v>
      </c>
      <c r="E964" s="43" t="s">
        <v>1910</v>
      </c>
      <c r="F964" s="37" t="s">
        <v>1782</v>
      </c>
      <c r="G964" s="44">
        <v>9000</v>
      </c>
      <c r="H964" s="44">
        <v>54</v>
      </c>
      <c r="K964" s="4" t="e">
        <f>VLOOKUP(A964,Detallado!$C$5:$H$1570,6,FALSE)</f>
        <v>#N/A</v>
      </c>
    </row>
    <row r="965" spans="1:11">
      <c r="A965" s="90">
        <v>126292935665</v>
      </c>
      <c r="B965" s="1" t="s">
        <v>1790</v>
      </c>
      <c r="C965" s="43" t="s">
        <v>1910</v>
      </c>
      <c r="D965" s="1" t="s">
        <v>1780</v>
      </c>
      <c r="E965" s="43" t="s">
        <v>1910</v>
      </c>
      <c r="F965" s="37" t="s">
        <v>1782</v>
      </c>
      <c r="G965" s="44">
        <v>3900</v>
      </c>
      <c r="H965" s="44">
        <v>23.4</v>
      </c>
      <c r="K965" s="4" t="e">
        <f>VLOOKUP(A965,Detallado!$C$5:$H$1570,6,FALSE)</f>
        <v>#N/A</v>
      </c>
    </row>
    <row r="966" spans="1:11">
      <c r="A966" s="90">
        <v>126284532553</v>
      </c>
      <c r="B966" s="1" t="s">
        <v>1790</v>
      </c>
      <c r="C966" s="43" t="s">
        <v>1910</v>
      </c>
      <c r="D966" s="1" t="s">
        <v>1780</v>
      </c>
      <c r="E966" s="43" t="s">
        <v>1910</v>
      </c>
      <c r="F966" s="37" t="s">
        <v>1782</v>
      </c>
      <c r="G966" s="44">
        <v>8600</v>
      </c>
      <c r="H966" s="44">
        <v>51.6</v>
      </c>
      <c r="K966" s="4" t="e">
        <f>VLOOKUP(A966,Detallado!$C$5:$H$1570,6,FALSE)</f>
        <v>#N/A</v>
      </c>
    </row>
    <row r="967" spans="1:11">
      <c r="A967" s="90">
        <v>126185826419</v>
      </c>
      <c r="B967" s="1" t="s">
        <v>8</v>
      </c>
      <c r="C967" s="43" t="s">
        <v>1910</v>
      </c>
      <c r="D967" s="1" t="s">
        <v>1780</v>
      </c>
      <c r="E967" s="43" t="s">
        <v>1910</v>
      </c>
      <c r="F967" s="37" t="s">
        <v>1782</v>
      </c>
      <c r="G967" s="44">
        <v>7800</v>
      </c>
      <c r="H967" s="44">
        <v>46.8</v>
      </c>
      <c r="K967" s="4" t="e">
        <f>VLOOKUP(A967,Detallado!$C$5:$H$1570,6,FALSE)</f>
        <v>#N/A</v>
      </c>
    </row>
    <row r="968" spans="1:11">
      <c r="A968" s="90">
        <v>126185693425</v>
      </c>
      <c r="B968" s="1" t="s">
        <v>8</v>
      </c>
      <c r="C968" s="43" t="s">
        <v>1910</v>
      </c>
      <c r="D968" s="1" t="s">
        <v>1780</v>
      </c>
      <c r="E968" s="43" t="s">
        <v>1910</v>
      </c>
      <c r="F968" s="37" t="s">
        <v>1782</v>
      </c>
      <c r="G968" s="44">
        <v>46100</v>
      </c>
      <c r="H968" s="44">
        <v>276.60000000000002</v>
      </c>
      <c r="K968" s="4" t="e">
        <f>VLOOKUP(A968,Detallado!$C$5:$H$1570,6,FALSE)</f>
        <v>#N/A</v>
      </c>
    </row>
    <row r="969" spans="1:11">
      <c r="A969" s="90">
        <v>126185692955</v>
      </c>
      <c r="B969" s="1" t="s">
        <v>8</v>
      </c>
      <c r="C969" s="43" t="s">
        <v>1910</v>
      </c>
      <c r="D969" s="1" t="s">
        <v>1780</v>
      </c>
      <c r="E969" s="43" t="s">
        <v>1910</v>
      </c>
      <c r="F969" s="37" t="s">
        <v>1782</v>
      </c>
      <c r="G969" s="44">
        <v>16800</v>
      </c>
      <c r="H969" s="44">
        <v>100.8</v>
      </c>
      <c r="K969" s="4" t="e">
        <f>VLOOKUP(A969,Detallado!$C$5:$H$1570,6,FALSE)</f>
        <v>#N/A</v>
      </c>
    </row>
    <row r="970" spans="1:11">
      <c r="A970" s="90">
        <v>126185585139</v>
      </c>
      <c r="B970" s="1" t="s">
        <v>8</v>
      </c>
      <c r="C970" s="43" t="s">
        <v>1910</v>
      </c>
      <c r="D970" s="1" t="s">
        <v>1780</v>
      </c>
      <c r="E970" s="43" t="s">
        <v>1910</v>
      </c>
      <c r="F970" s="37" t="s">
        <v>1782</v>
      </c>
      <c r="G970" s="44">
        <v>23700</v>
      </c>
      <c r="H970" s="44">
        <v>142.19999999999999</v>
      </c>
      <c r="K970" s="4" t="e">
        <f>VLOOKUP(A970,Detallado!$C$5:$H$1570,6,FALSE)</f>
        <v>#N/A</v>
      </c>
    </row>
    <row r="971" spans="1:11">
      <c r="A971" s="90">
        <v>126185509995</v>
      </c>
      <c r="B971" s="1" t="s">
        <v>8</v>
      </c>
      <c r="C971" s="43" t="s">
        <v>1910</v>
      </c>
      <c r="D971" s="1" t="s">
        <v>1780</v>
      </c>
      <c r="E971" s="43" t="s">
        <v>1910</v>
      </c>
      <c r="F971" s="37" t="s">
        <v>1782</v>
      </c>
      <c r="G971" s="44">
        <v>23000</v>
      </c>
      <c r="H971" s="44">
        <v>138</v>
      </c>
      <c r="K971" s="4" t="e">
        <f>VLOOKUP(A971,Detallado!$C$5:$H$1570,6,FALSE)</f>
        <v>#N/A</v>
      </c>
    </row>
    <row r="972" spans="1:11">
      <c r="A972" s="90">
        <v>126184382547</v>
      </c>
      <c r="B972" s="1" t="s">
        <v>8</v>
      </c>
      <c r="C972" s="43" t="s">
        <v>1910</v>
      </c>
      <c r="D972" s="1" t="s">
        <v>1780</v>
      </c>
      <c r="E972" s="43" t="s">
        <v>1910</v>
      </c>
      <c r="F972" s="37" t="s">
        <v>1782</v>
      </c>
      <c r="G972" s="44">
        <v>52400</v>
      </c>
      <c r="H972" s="44">
        <v>314.39999999999998</v>
      </c>
      <c r="K972" s="4" t="e">
        <f>VLOOKUP(A972,Detallado!$C$5:$H$1570,6,FALSE)</f>
        <v>#N/A</v>
      </c>
    </row>
    <row r="973" spans="1:11">
      <c r="A973" s="90">
        <v>126183676019</v>
      </c>
      <c r="B973" s="1" t="s">
        <v>8</v>
      </c>
      <c r="C973" s="43" t="s">
        <v>1910</v>
      </c>
      <c r="D973" s="1" t="s">
        <v>1780</v>
      </c>
      <c r="E973" s="43" t="s">
        <v>1910</v>
      </c>
      <c r="F973" s="37" t="s">
        <v>1782</v>
      </c>
      <c r="G973" s="44">
        <v>12900</v>
      </c>
      <c r="H973" s="44">
        <v>77.400000000000006</v>
      </c>
      <c r="K973" s="4" t="e">
        <f>VLOOKUP(A973,Detallado!$C$5:$H$1570,6,FALSE)</f>
        <v>#N/A</v>
      </c>
    </row>
    <row r="974" spans="1:11">
      <c r="A974" s="90">
        <v>126183601699</v>
      </c>
      <c r="B974" s="1" t="s">
        <v>1790</v>
      </c>
      <c r="C974" s="43" t="s">
        <v>1910</v>
      </c>
      <c r="D974" s="1" t="s">
        <v>1780</v>
      </c>
      <c r="E974" s="43" t="s">
        <v>1910</v>
      </c>
      <c r="F974" s="37" t="s">
        <v>1782</v>
      </c>
      <c r="G974" s="44">
        <v>3500</v>
      </c>
      <c r="H974" s="44">
        <v>21</v>
      </c>
      <c r="K974" s="4" t="e">
        <f>VLOOKUP(A974,Detallado!$C$5:$H$1570,6,FALSE)</f>
        <v>#N/A</v>
      </c>
    </row>
    <row r="975" spans="1:11">
      <c r="A975" s="90">
        <v>126183517159</v>
      </c>
      <c r="B975" s="1" t="s">
        <v>8</v>
      </c>
      <c r="C975" s="43" t="s">
        <v>1910</v>
      </c>
      <c r="D975" s="1" t="s">
        <v>1780</v>
      </c>
      <c r="E975" s="43" t="s">
        <v>1910</v>
      </c>
      <c r="F975" s="37" t="s">
        <v>1782</v>
      </c>
      <c r="G975" s="44">
        <v>4300</v>
      </c>
      <c r="H975" s="44">
        <v>25.8</v>
      </c>
      <c r="K975" s="4" t="e">
        <f>VLOOKUP(A975,Detallado!$C$5:$H$1570,6,FALSE)</f>
        <v>#N/A</v>
      </c>
    </row>
    <row r="976" spans="1:11">
      <c r="A976" s="90">
        <v>126183344315</v>
      </c>
      <c r="B976" s="1" t="s">
        <v>8</v>
      </c>
      <c r="C976" s="43" t="s">
        <v>1910</v>
      </c>
      <c r="D976" s="1" t="s">
        <v>1780</v>
      </c>
      <c r="E976" s="43" t="s">
        <v>1910</v>
      </c>
      <c r="F976" s="37" t="s">
        <v>1782</v>
      </c>
      <c r="G976" s="44">
        <v>62800</v>
      </c>
      <c r="H976" s="44">
        <v>376.8</v>
      </c>
      <c r="K976" s="4" t="e">
        <f>VLOOKUP(A976,Detallado!$C$5:$H$1570,6,FALSE)</f>
        <v>#N/A</v>
      </c>
    </row>
    <row r="977" spans="1:16">
      <c r="A977" s="90">
        <v>126183314795</v>
      </c>
      <c r="B977" s="1" t="s">
        <v>8</v>
      </c>
      <c r="C977" s="43" t="s">
        <v>1910</v>
      </c>
      <c r="D977" s="1" t="s">
        <v>1780</v>
      </c>
      <c r="E977" s="43" t="s">
        <v>1910</v>
      </c>
      <c r="F977" s="37" t="s">
        <v>1782</v>
      </c>
      <c r="G977" s="44">
        <v>9300</v>
      </c>
      <c r="H977" s="44">
        <v>55.8</v>
      </c>
      <c r="K977" s="4" t="e">
        <f>VLOOKUP(A977,Detallado!$C$5:$H$1570,6,FALSE)</f>
        <v>#N/A</v>
      </c>
    </row>
    <row r="978" spans="1:16">
      <c r="A978" s="90">
        <v>126183222931</v>
      </c>
      <c r="B978" s="1" t="s">
        <v>8</v>
      </c>
      <c r="C978" s="43" t="s">
        <v>1910</v>
      </c>
      <c r="D978" s="1" t="s">
        <v>1780</v>
      </c>
      <c r="E978" s="43" t="s">
        <v>1910</v>
      </c>
      <c r="F978" s="37" t="s">
        <v>1782</v>
      </c>
      <c r="G978" s="44">
        <v>8200</v>
      </c>
      <c r="H978" s="44">
        <v>49.2</v>
      </c>
      <c r="K978" s="4" t="e">
        <f>VLOOKUP(A978,Detallado!$C$5:$H$1570,6,FALSE)</f>
        <v>#N/A</v>
      </c>
    </row>
    <row r="979" spans="1:16">
      <c r="A979" s="90">
        <v>126182861281</v>
      </c>
      <c r="B979" s="1" t="s">
        <v>8</v>
      </c>
      <c r="C979" s="43" t="s">
        <v>1910</v>
      </c>
      <c r="D979" s="1" t="s">
        <v>1780</v>
      </c>
      <c r="E979" s="43" t="s">
        <v>1910</v>
      </c>
      <c r="F979" s="37" t="s">
        <v>1782</v>
      </c>
      <c r="G979" s="44">
        <v>3900</v>
      </c>
      <c r="H979" s="44">
        <v>23.4</v>
      </c>
      <c r="K979" s="4" t="e">
        <f>VLOOKUP(A979,Detallado!$C$5:$H$1570,6,FALSE)</f>
        <v>#N/A</v>
      </c>
    </row>
    <row r="980" spans="1:16">
      <c r="A980" s="90">
        <v>126182746591</v>
      </c>
      <c r="B980" s="1" t="s">
        <v>8</v>
      </c>
      <c r="C980" s="43" t="s">
        <v>1910</v>
      </c>
      <c r="D980" s="1" t="s">
        <v>1780</v>
      </c>
      <c r="E980" s="43" t="s">
        <v>1910</v>
      </c>
      <c r="F980" s="37" t="s">
        <v>1782</v>
      </c>
      <c r="G980" s="44">
        <v>23900</v>
      </c>
      <c r="H980" s="44">
        <v>143.4</v>
      </c>
      <c r="K980" s="4" t="e">
        <f>VLOOKUP(A980,Detallado!$C$5:$H$1570,6,FALSE)</f>
        <v>#N/A</v>
      </c>
    </row>
    <row r="981" spans="1:16">
      <c r="A981" s="90">
        <v>126182237529</v>
      </c>
      <c r="B981" s="1" t="s">
        <v>1912</v>
      </c>
      <c r="C981" s="43" t="s">
        <v>1910</v>
      </c>
      <c r="D981" s="1" t="s">
        <v>1780</v>
      </c>
      <c r="E981" s="43" t="s">
        <v>1910</v>
      </c>
      <c r="F981" s="37" t="s">
        <v>1782</v>
      </c>
      <c r="G981" s="44">
        <v>680</v>
      </c>
      <c r="H981" s="44">
        <v>4.08</v>
      </c>
      <c r="K981" s="4" t="e">
        <f>VLOOKUP(A981,Detallado!$C$5:$H$1570,6,FALSE)</f>
        <v>#N/A</v>
      </c>
    </row>
    <row r="982" spans="1:16">
      <c r="A982" s="90">
        <v>126237032063</v>
      </c>
      <c r="B982" s="1" t="s">
        <v>8</v>
      </c>
      <c r="C982" s="43" t="s">
        <v>1910</v>
      </c>
      <c r="D982" s="1" t="s">
        <v>1780</v>
      </c>
      <c r="E982" s="43" t="s">
        <v>1910</v>
      </c>
      <c r="F982" s="37" t="s">
        <v>1782</v>
      </c>
      <c r="G982" s="44">
        <v>58278</v>
      </c>
      <c r="H982" s="77">
        <v>349.67</v>
      </c>
      <c r="K982" s="27" t="e">
        <f>VLOOKUP(A982,Detallado!$C$5:$H$1570,6,FALSE)</f>
        <v>#N/A</v>
      </c>
      <c r="M982" s="4">
        <v>-347.58250497018162</v>
      </c>
      <c r="N982" s="66" t="e">
        <f t="shared" ref="N982:N989" si="8">+K982-M982</f>
        <v>#N/A</v>
      </c>
      <c r="O982" s="1" t="s">
        <v>1030</v>
      </c>
      <c r="P982" s="1">
        <f t="shared" ref="P982:P989" si="9">+E982-O982</f>
        <v>0</v>
      </c>
    </row>
    <row r="983" spans="1:16">
      <c r="A983" s="90">
        <v>126770445030</v>
      </c>
      <c r="B983" s="1" t="s">
        <v>8</v>
      </c>
      <c r="C983" s="43" t="s">
        <v>1910</v>
      </c>
      <c r="D983" s="1" t="s">
        <v>1780</v>
      </c>
      <c r="E983" s="43" t="s">
        <v>1910</v>
      </c>
      <c r="F983" s="37" t="s">
        <v>1782</v>
      </c>
      <c r="G983" s="44">
        <v>90750</v>
      </c>
      <c r="H983" s="77">
        <v>544.5</v>
      </c>
      <c r="K983" s="27" t="e">
        <f>VLOOKUP(A983,Detallado!$C$5:$H$1570,6,FALSE)</f>
        <v>#N/A</v>
      </c>
      <c r="M983" s="4">
        <v>-541.2524850894697</v>
      </c>
      <c r="N983" s="66" t="e">
        <f t="shared" si="8"/>
        <v>#N/A</v>
      </c>
      <c r="O983" s="1" t="s">
        <v>1030</v>
      </c>
      <c r="P983" s="1">
        <f t="shared" si="9"/>
        <v>0</v>
      </c>
    </row>
    <row r="984" spans="1:16">
      <c r="A984" s="90">
        <v>126240876525</v>
      </c>
      <c r="B984" s="1" t="s">
        <v>8</v>
      </c>
      <c r="C984" s="43" t="s">
        <v>1910</v>
      </c>
      <c r="D984" s="1" t="s">
        <v>1780</v>
      </c>
      <c r="E984" s="43" t="s">
        <v>1910</v>
      </c>
      <c r="F984" s="37" t="s">
        <v>1782</v>
      </c>
      <c r="G984" s="44">
        <v>149573.5</v>
      </c>
      <c r="H984" s="77">
        <v>897.44</v>
      </c>
      <c r="K984" s="27" t="e">
        <f>VLOOKUP(A984,Detallado!$C$5:$H$1570,6,FALSE)</f>
        <v>#N/A</v>
      </c>
      <c r="M984" s="4">
        <v>-892.08846918487689</v>
      </c>
      <c r="N984" s="66" t="e">
        <f t="shared" si="8"/>
        <v>#N/A</v>
      </c>
      <c r="O984" s="1" t="s">
        <v>1030</v>
      </c>
      <c r="P984" s="1">
        <f t="shared" si="9"/>
        <v>0</v>
      </c>
    </row>
    <row r="985" spans="1:16">
      <c r="A985" s="90">
        <v>126793578000</v>
      </c>
      <c r="B985" s="1" t="s">
        <v>8</v>
      </c>
      <c r="C985" s="43" t="s">
        <v>1910</v>
      </c>
      <c r="D985" s="1" t="s">
        <v>1780</v>
      </c>
      <c r="E985" s="43" t="s">
        <v>1910</v>
      </c>
      <c r="F985" s="37" t="s">
        <v>1782</v>
      </c>
      <c r="G985" s="44">
        <v>158284.69</v>
      </c>
      <c r="H985" s="77">
        <v>949.71</v>
      </c>
      <c r="K985" s="27" t="e">
        <f>VLOOKUP(A985,Detallado!$C$5:$H$1570,6,FALSE)</f>
        <v>#N/A</v>
      </c>
      <c r="M985" s="4">
        <v>-944.04387673956808</v>
      </c>
      <c r="N985" s="66" t="e">
        <f t="shared" si="8"/>
        <v>#N/A</v>
      </c>
      <c r="O985" s="1" t="s">
        <v>1030</v>
      </c>
      <c r="P985" s="1">
        <f t="shared" si="9"/>
        <v>0</v>
      </c>
    </row>
    <row r="986" spans="1:16">
      <c r="A986" s="90">
        <v>126238042751</v>
      </c>
      <c r="B986" s="1" t="s">
        <v>8</v>
      </c>
      <c r="C986" s="43" t="s">
        <v>1910</v>
      </c>
      <c r="D986" s="1" t="s">
        <v>1780</v>
      </c>
      <c r="E986" s="43" t="s">
        <v>1910</v>
      </c>
      <c r="F986" s="37" t="s">
        <v>1782</v>
      </c>
      <c r="G986" s="44">
        <v>197879.97</v>
      </c>
      <c r="H986" s="77">
        <v>1187.28</v>
      </c>
      <c r="K986" s="27" t="e">
        <f>VLOOKUP(A986,Detallado!$C$5:$H$1570,6,FALSE)</f>
        <v>#N/A</v>
      </c>
      <c r="M986" s="4">
        <v>-1180.1986282306316</v>
      </c>
      <c r="N986" s="66" t="e">
        <f t="shared" si="8"/>
        <v>#N/A</v>
      </c>
      <c r="O986" s="1" t="s">
        <v>1030</v>
      </c>
      <c r="P986" s="1">
        <f t="shared" si="9"/>
        <v>0</v>
      </c>
    </row>
    <row r="987" spans="1:16">
      <c r="A987" s="101" t="s">
        <v>1915</v>
      </c>
      <c r="B987" s="59" t="s">
        <v>1914</v>
      </c>
      <c r="C987" s="60" t="s">
        <v>1910</v>
      </c>
      <c r="D987" s="59" t="s">
        <v>1780</v>
      </c>
      <c r="E987" s="60" t="s">
        <v>1910</v>
      </c>
      <c r="F987" s="61" t="s">
        <v>1782</v>
      </c>
      <c r="G987" s="62">
        <v>219111</v>
      </c>
      <c r="H987" s="74">
        <v>1314.67</v>
      </c>
      <c r="I987" s="59"/>
      <c r="J987" s="59"/>
      <c r="K987" s="27">
        <f>-H987</f>
        <v>-1314.67</v>
      </c>
      <c r="M987" s="4">
        <v>-1314.6660238568729</v>
      </c>
      <c r="N987" s="66">
        <f t="shared" si="8"/>
        <v>-3.9761431271472247E-3</v>
      </c>
      <c r="O987" s="1" t="s">
        <v>1282</v>
      </c>
      <c r="P987" s="1">
        <f t="shared" si="9"/>
        <v>-3</v>
      </c>
    </row>
    <row r="988" spans="1:16">
      <c r="A988" s="90">
        <v>126250049639</v>
      </c>
      <c r="B988" s="1" t="s">
        <v>8</v>
      </c>
      <c r="C988" s="43" t="s">
        <v>1910</v>
      </c>
      <c r="D988" s="1" t="s">
        <v>1780</v>
      </c>
      <c r="E988" s="43" t="s">
        <v>1910</v>
      </c>
      <c r="F988" s="37" t="s">
        <v>1782</v>
      </c>
      <c r="G988" s="44">
        <v>397247.6</v>
      </c>
      <c r="H988" s="77">
        <v>2383.4899999999998</v>
      </c>
      <c r="K988" s="27" t="e">
        <f>VLOOKUP(A988,Detallado!$C$5:$H$1570,6,FALSE)</f>
        <v>#N/A</v>
      </c>
      <c r="M988" s="4">
        <v>-2369.2699801193085</v>
      </c>
      <c r="N988" s="66" t="e">
        <f t="shared" si="8"/>
        <v>#N/A</v>
      </c>
      <c r="O988" s="1" t="s">
        <v>1030</v>
      </c>
      <c r="P988" s="1">
        <f t="shared" si="9"/>
        <v>0</v>
      </c>
    </row>
    <row r="989" spans="1:16">
      <c r="A989" s="101" t="s">
        <v>1913</v>
      </c>
      <c r="B989" s="59" t="s">
        <v>8</v>
      </c>
      <c r="C989" s="60" t="s">
        <v>1910</v>
      </c>
      <c r="D989" s="59" t="s">
        <v>1780</v>
      </c>
      <c r="E989" s="60" t="s">
        <v>1910</v>
      </c>
      <c r="F989" s="61" t="s">
        <v>1782</v>
      </c>
      <c r="G989" s="62">
        <v>490000</v>
      </c>
      <c r="H989" s="74">
        <v>2940</v>
      </c>
      <c r="I989" s="59"/>
      <c r="J989" s="59"/>
      <c r="K989" s="27">
        <f>-H989</f>
        <v>-2940</v>
      </c>
      <c r="M989" s="4">
        <v>-2940</v>
      </c>
      <c r="N989" s="66">
        <f t="shared" si="8"/>
        <v>0</v>
      </c>
      <c r="O989" s="1" t="s">
        <v>1030</v>
      </c>
      <c r="P989" s="1">
        <f t="shared" si="9"/>
        <v>0</v>
      </c>
    </row>
    <row r="990" spans="1:16">
      <c r="A990" s="90">
        <v>126876381400</v>
      </c>
      <c r="B990" s="1" t="s">
        <v>8</v>
      </c>
      <c r="C990" s="43" t="s">
        <v>1910</v>
      </c>
      <c r="D990" s="1" t="s">
        <v>1780</v>
      </c>
      <c r="E990" s="43" t="s">
        <v>1917</v>
      </c>
      <c r="F990" s="37" t="s">
        <v>1782</v>
      </c>
      <c r="G990" s="44">
        <v>7000</v>
      </c>
      <c r="H990" s="44">
        <v>42</v>
      </c>
      <c r="K990" s="4" t="e">
        <f>VLOOKUP(A990,Detallado!$C$5:$H$1570,6,FALSE)</f>
        <v>#N/A</v>
      </c>
    </row>
    <row r="991" spans="1:16">
      <c r="A991" s="90">
        <v>126876254088</v>
      </c>
      <c r="B991" s="1" t="s">
        <v>8</v>
      </c>
      <c r="C991" s="43" t="s">
        <v>1910</v>
      </c>
      <c r="D991" s="1" t="s">
        <v>1780</v>
      </c>
      <c r="E991" s="43" t="s">
        <v>1917</v>
      </c>
      <c r="F991" s="37" t="s">
        <v>1782</v>
      </c>
      <c r="G991" s="44">
        <v>4300</v>
      </c>
      <c r="H991" s="44">
        <v>25.8</v>
      </c>
      <c r="K991" s="4" t="e">
        <f>VLOOKUP(A991,Detallado!$C$5:$H$1570,6,FALSE)</f>
        <v>#N/A</v>
      </c>
    </row>
    <row r="992" spans="1:16">
      <c r="A992" s="90">
        <v>126875172028</v>
      </c>
      <c r="B992" s="1" t="s">
        <v>8</v>
      </c>
      <c r="C992" s="43" t="s">
        <v>1910</v>
      </c>
      <c r="D992" s="1" t="s">
        <v>1780</v>
      </c>
      <c r="E992" s="43" t="s">
        <v>1917</v>
      </c>
      <c r="F992" s="37" t="s">
        <v>1782</v>
      </c>
      <c r="G992" s="44">
        <v>5000</v>
      </c>
      <c r="H992" s="44">
        <v>30</v>
      </c>
      <c r="K992" s="4" t="e">
        <f>VLOOKUP(A992,Detallado!$C$5:$H$1570,6,FALSE)</f>
        <v>#N/A</v>
      </c>
    </row>
    <row r="993" spans="1:11">
      <c r="A993" s="90">
        <v>126875041098</v>
      </c>
      <c r="B993" s="1" t="s">
        <v>1790</v>
      </c>
      <c r="C993" s="43" t="s">
        <v>1910</v>
      </c>
      <c r="D993" s="1" t="s">
        <v>1780</v>
      </c>
      <c r="E993" s="43" t="s">
        <v>1917</v>
      </c>
      <c r="F993" s="37" t="s">
        <v>1782</v>
      </c>
      <c r="G993" s="44">
        <v>15700</v>
      </c>
      <c r="H993" s="44">
        <v>94.2</v>
      </c>
      <c r="K993" s="4" t="e">
        <f>VLOOKUP(A993,Detallado!$C$5:$H$1570,6,FALSE)</f>
        <v>#N/A</v>
      </c>
    </row>
    <row r="994" spans="1:11">
      <c r="A994" s="90">
        <v>126874886990</v>
      </c>
      <c r="B994" s="1" t="s">
        <v>1790</v>
      </c>
      <c r="C994" s="43" t="s">
        <v>1910</v>
      </c>
      <c r="D994" s="1" t="s">
        <v>1780</v>
      </c>
      <c r="E994" s="43" t="s">
        <v>1917</v>
      </c>
      <c r="F994" s="37" t="s">
        <v>1782</v>
      </c>
      <c r="G994" s="44">
        <v>71700</v>
      </c>
      <c r="H994" s="44">
        <v>430.2</v>
      </c>
      <c r="K994" s="4" t="e">
        <f>VLOOKUP(A994,Detallado!$C$5:$H$1570,6,FALSE)</f>
        <v>#N/A</v>
      </c>
    </row>
    <row r="995" spans="1:11">
      <c r="A995" s="90">
        <v>126873295184</v>
      </c>
      <c r="B995" s="1" t="s">
        <v>1919</v>
      </c>
      <c r="C995" s="43" t="s">
        <v>1910</v>
      </c>
      <c r="D995" s="1" t="s">
        <v>1780</v>
      </c>
      <c r="E995" s="43" t="s">
        <v>1917</v>
      </c>
      <c r="F995" s="37" t="s">
        <v>1782</v>
      </c>
      <c r="G995" s="44">
        <v>95</v>
      </c>
      <c r="H995" s="44">
        <v>0.56999999999999995</v>
      </c>
      <c r="K995" s="4" t="e">
        <f>VLOOKUP(A995,Detallado!$C$5:$H$1570,6,FALSE)</f>
        <v>#N/A</v>
      </c>
    </row>
    <row r="996" spans="1:11">
      <c r="A996" s="90">
        <v>126318205615</v>
      </c>
      <c r="B996" s="1" t="s">
        <v>8</v>
      </c>
      <c r="C996" s="43" t="s">
        <v>1910</v>
      </c>
      <c r="D996" s="1" t="s">
        <v>1780</v>
      </c>
      <c r="E996" s="43" t="s">
        <v>1917</v>
      </c>
      <c r="F996" s="37" t="s">
        <v>1782</v>
      </c>
      <c r="G996" s="44">
        <v>7900</v>
      </c>
      <c r="H996" s="44">
        <v>47.4</v>
      </c>
      <c r="K996" s="4" t="e">
        <f>VLOOKUP(A996,Detallado!$C$5:$H$1570,6,FALSE)</f>
        <v>#N/A</v>
      </c>
    </row>
    <row r="997" spans="1:11">
      <c r="A997" s="90">
        <v>126316225841</v>
      </c>
      <c r="B997" s="1" t="s">
        <v>8</v>
      </c>
      <c r="C997" s="43" t="s">
        <v>1910</v>
      </c>
      <c r="D997" s="1" t="s">
        <v>1780</v>
      </c>
      <c r="E997" s="43" t="s">
        <v>1917</v>
      </c>
      <c r="F997" s="37" t="s">
        <v>1782</v>
      </c>
      <c r="G997" s="44">
        <v>1900</v>
      </c>
      <c r="H997" s="44">
        <v>11.4</v>
      </c>
      <c r="K997" s="4" t="e">
        <f>VLOOKUP(A997,Detallado!$C$5:$H$1570,6,FALSE)</f>
        <v>#N/A</v>
      </c>
    </row>
    <row r="998" spans="1:11">
      <c r="A998" s="90">
        <v>126987554710</v>
      </c>
      <c r="B998" s="1" t="s">
        <v>1790</v>
      </c>
      <c r="C998" s="43" t="s">
        <v>1917</v>
      </c>
      <c r="D998" s="1" t="s">
        <v>1780</v>
      </c>
      <c r="E998" s="43" t="s">
        <v>1917</v>
      </c>
      <c r="F998" s="37" t="s">
        <v>1782</v>
      </c>
      <c r="G998" s="44">
        <v>27700</v>
      </c>
      <c r="H998" s="44">
        <v>166.2</v>
      </c>
      <c r="K998" s="4" t="e">
        <f>VLOOKUP(A998,Detallado!$C$5:$H$1570,6,FALSE)</f>
        <v>#N/A</v>
      </c>
    </row>
    <row r="999" spans="1:11">
      <c r="A999" s="90">
        <v>126986973700</v>
      </c>
      <c r="B999" s="1" t="s">
        <v>8</v>
      </c>
      <c r="C999" s="43" t="s">
        <v>1917</v>
      </c>
      <c r="D999" s="1" t="s">
        <v>1780</v>
      </c>
      <c r="E999" s="43" t="s">
        <v>1917</v>
      </c>
      <c r="F999" s="37" t="s">
        <v>1782</v>
      </c>
      <c r="G999" s="44">
        <v>10600</v>
      </c>
      <c r="H999" s="44">
        <v>63.6</v>
      </c>
      <c r="K999" s="4" t="e">
        <f>VLOOKUP(A999,Detallado!$C$5:$H$1570,6,FALSE)</f>
        <v>#N/A</v>
      </c>
    </row>
    <row r="1000" spans="1:11">
      <c r="A1000" s="90">
        <v>126986728354</v>
      </c>
      <c r="B1000" s="1" t="s">
        <v>1790</v>
      </c>
      <c r="C1000" s="43" t="s">
        <v>1917</v>
      </c>
      <c r="D1000" s="1" t="s">
        <v>1780</v>
      </c>
      <c r="E1000" s="43" t="s">
        <v>1917</v>
      </c>
      <c r="F1000" s="37" t="s">
        <v>1782</v>
      </c>
      <c r="G1000" s="44">
        <v>9300</v>
      </c>
      <c r="H1000" s="44">
        <v>55.8</v>
      </c>
      <c r="K1000" s="4" t="e">
        <f>VLOOKUP(A1000,Detallado!$C$5:$H$1570,6,FALSE)</f>
        <v>#N/A</v>
      </c>
    </row>
    <row r="1001" spans="1:11">
      <c r="A1001" s="90">
        <v>126986375372</v>
      </c>
      <c r="B1001" s="1" t="s">
        <v>1924</v>
      </c>
      <c r="C1001" s="43" t="s">
        <v>1917</v>
      </c>
      <c r="D1001" s="1" t="s">
        <v>1780</v>
      </c>
      <c r="E1001" s="43" t="s">
        <v>1917</v>
      </c>
      <c r="F1001" s="37" t="s">
        <v>1782</v>
      </c>
      <c r="G1001" s="44">
        <v>2310</v>
      </c>
      <c r="H1001" s="44">
        <v>13.86</v>
      </c>
      <c r="K1001" s="4" t="e">
        <f>VLOOKUP(A1001,Detallado!$C$5:$H$1570,6,FALSE)</f>
        <v>#N/A</v>
      </c>
    </row>
    <row r="1002" spans="1:11">
      <c r="A1002" s="90">
        <v>126986201156</v>
      </c>
      <c r="B1002" s="1" t="s">
        <v>1790</v>
      </c>
      <c r="C1002" s="43" t="s">
        <v>1917</v>
      </c>
      <c r="D1002" s="1" t="s">
        <v>1780</v>
      </c>
      <c r="E1002" s="43" t="s">
        <v>1917</v>
      </c>
      <c r="F1002" s="37" t="s">
        <v>1782</v>
      </c>
      <c r="G1002" s="44">
        <v>37100</v>
      </c>
      <c r="H1002" s="44">
        <v>222.6</v>
      </c>
      <c r="K1002" s="4" t="e">
        <f>VLOOKUP(A1002,Detallado!$C$5:$H$1570,6,FALSE)</f>
        <v>#N/A</v>
      </c>
    </row>
    <row r="1003" spans="1:11">
      <c r="A1003" s="90">
        <v>126985881488</v>
      </c>
      <c r="B1003" s="1" t="s">
        <v>1790</v>
      </c>
      <c r="C1003" s="43" t="s">
        <v>1917</v>
      </c>
      <c r="D1003" s="1" t="s">
        <v>1780</v>
      </c>
      <c r="E1003" s="43" t="s">
        <v>1917</v>
      </c>
      <c r="F1003" s="37" t="s">
        <v>1782</v>
      </c>
      <c r="G1003" s="44">
        <v>73700</v>
      </c>
      <c r="H1003" s="44">
        <v>442.2</v>
      </c>
      <c r="K1003" s="4" t="e">
        <f>VLOOKUP(A1003,Detallado!$C$5:$H$1570,6,FALSE)</f>
        <v>#N/A</v>
      </c>
    </row>
    <row r="1004" spans="1:11">
      <c r="A1004" s="90">
        <v>126985153914</v>
      </c>
      <c r="B1004" s="1" t="s">
        <v>8</v>
      </c>
      <c r="C1004" s="43" t="s">
        <v>1917</v>
      </c>
      <c r="D1004" s="1" t="s">
        <v>1780</v>
      </c>
      <c r="E1004" s="43" t="s">
        <v>1917</v>
      </c>
      <c r="F1004" s="37" t="s">
        <v>1782</v>
      </c>
      <c r="G1004" s="44">
        <v>3900</v>
      </c>
      <c r="H1004" s="44">
        <v>23.4</v>
      </c>
      <c r="K1004" s="4" t="e">
        <f>VLOOKUP(A1004,Detallado!$C$5:$H$1570,6,FALSE)</f>
        <v>#N/A</v>
      </c>
    </row>
    <row r="1005" spans="1:11">
      <c r="A1005" s="90">
        <v>126984992484</v>
      </c>
      <c r="B1005" s="1" t="s">
        <v>8</v>
      </c>
      <c r="C1005" s="43" t="s">
        <v>1917</v>
      </c>
      <c r="D1005" s="1" t="s">
        <v>1780</v>
      </c>
      <c r="E1005" s="43" t="s">
        <v>1917</v>
      </c>
      <c r="F1005" s="37" t="s">
        <v>1782</v>
      </c>
      <c r="G1005" s="44">
        <v>33400</v>
      </c>
      <c r="H1005" s="44">
        <v>200.4</v>
      </c>
      <c r="K1005" s="4" t="e">
        <f>VLOOKUP(A1005,Detallado!$C$5:$H$1570,6,FALSE)</f>
        <v>#N/A</v>
      </c>
    </row>
    <row r="1006" spans="1:11">
      <c r="A1006" s="90">
        <v>126984981826</v>
      </c>
      <c r="B1006" s="1" t="s">
        <v>1790</v>
      </c>
      <c r="C1006" s="43" t="s">
        <v>1917</v>
      </c>
      <c r="D1006" s="1" t="s">
        <v>1780</v>
      </c>
      <c r="E1006" s="43" t="s">
        <v>1917</v>
      </c>
      <c r="F1006" s="37" t="s">
        <v>1782</v>
      </c>
      <c r="G1006" s="44">
        <v>32000</v>
      </c>
      <c r="H1006" s="44">
        <v>192</v>
      </c>
      <c r="K1006" s="4" t="e">
        <f>VLOOKUP(A1006,Detallado!$C$5:$H$1570,6,FALSE)</f>
        <v>#N/A</v>
      </c>
    </row>
    <row r="1007" spans="1:11">
      <c r="A1007" s="90">
        <v>126984441946</v>
      </c>
      <c r="B1007" s="1" t="s">
        <v>1790</v>
      </c>
      <c r="C1007" s="43" t="s">
        <v>1917</v>
      </c>
      <c r="D1007" s="1" t="s">
        <v>1780</v>
      </c>
      <c r="E1007" s="43" t="s">
        <v>1917</v>
      </c>
      <c r="F1007" s="37" t="s">
        <v>1782</v>
      </c>
      <c r="G1007" s="45">
        <v>21600</v>
      </c>
      <c r="H1007" s="45">
        <v>129.6</v>
      </c>
      <c r="K1007" s="4" t="e">
        <f>VLOOKUP(A1007,Detallado!$C$5:$H$1570,6,FALSE)</f>
        <v>#N/A</v>
      </c>
    </row>
    <row r="1008" spans="1:11">
      <c r="A1008" s="90">
        <v>126983964624</v>
      </c>
      <c r="B1008" s="1" t="s">
        <v>8</v>
      </c>
      <c r="C1008" s="43" t="s">
        <v>1917</v>
      </c>
      <c r="D1008" s="1" t="s">
        <v>1780</v>
      </c>
      <c r="E1008" s="43" t="s">
        <v>1917</v>
      </c>
      <c r="F1008" s="37" t="s">
        <v>1782</v>
      </c>
      <c r="G1008" s="44">
        <v>72700</v>
      </c>
      <c r="H1008" s="44">
        <v>436.2</v>
      </c>
      <c r="K1008" s="4" t="e">
        <f>VLOOKUP(A1008,Detallado!$C$5:$H$1570,6,FALSE)</f>
        <v>#N/A</v>
      </c>
    </row>
    <row r="1009" spans="1:11">
      <c r="A1009" s="90">
        <v>126983720944</v>
      </c>
      <c r="B1009" s="1" t="s">
        <v>8</v>
      </c>
      <c r="C1009" s="43" t="s">
        <v>1917</v>
      </c>
      <c r="D1009" s="1" t="s">
        <v>1780</v>
      </c>
      <c r="E1009" s="43" t="s">
        <v>1917</v>
      </c>
      <c r="F1009" s="37" t="s">
        <v>1782</v>
      </c>
      <c r="G1009" s="44">
        <v>41400</v>
      </c>
      <c r="H1009" s="44">
        <v>248.4</v>
      </c>
      <c r="K1009" s="4" t="e">
        <f>VLOOKUP(A1009,Detallado!$C$5:$H$1570,6,FALSE)</f>
        <v>#N/A</v>
      </c>
    </row>
    <row r="1010" spans="1:11">
      <c r="A1010" s="90">
        <v>126983513620</v>
      </c>
      <c r="B1010" s="1" t="s">
        <v>1921</v>
      </c>
      <c r="C1010" s="43" t="s">
        <v>1917</v>
      </c>
      <c r="D1010" s="1" t="s">
        <v>1780</v>
      </c>
      <c r="E1010" s="43" t="s">
        <v>1917</v>
      </c>
      <c r="F1010" s="37" t="s">
        <v>1782</v>
      </c>
      <c r="G1010" s="44">
        <v>1910</v>
      </c>
      <c r="H1010" s="44">
        <v>11.46</v>
      </c>
      <c r="K1010" s="4" t="e">
        <f>VLOOKUP(A1010,Detallado!$C$5:$H$1570,6,FALSE)</f>
        <v>#N/A</v>
      </c>
    </row>
    <row r="1011" spans="1:11">
      <c r="A1011" s="90">
        <v>126983145714</v>
      </c>
      <c r="B1011" s="1" t="s">
        <v>8</v>
      </c>
      <c r="C1011" s="43" t="s">
        <v>1917</v>
      </c>
      <c r="D1011" s="1" t="s">
        <v>1780</v>
      </c>
      <c r="E1011" s="43" t="s">
        <v>1917</v>
      </c>
      <c r="F1011" s="37" t="s">
        <v>1782</v>
      </c>
      <c r="G1011" s="44">
        <v>8600</v>
      </c>
      <c r="H1011" s="44">
        <v>51.6</v>
      </c>
      <c r="K1011" s="4" t="e">
        <f>VLOOKUP(A1011,Detallado!$C$5:$H$1570,6,FALSE)</f>
        <v>#N/A</v>
      </c>
    </row>
    <row r="1012" spans="1:11">
      <c r="A1012" s="90">
        <v>126982959770</v>
      </c>
      <c r="B1012" s="1" t="s">
        <v>8</v>
      </c>
      <c r="C1012" s="43" t="s">
        <v>1917</v>
      </c>
      <c r="D1012" s="1" t="s">
        <v>1780</v>
      </c>
      <c r="E1012" s="43" t="s">
        <v>1917</v>
      </c>
      <c r="F1012" s="37" t="s">
        <v>1782</v>
      </c>
      <c r="G1012" s="44">
        <v>10900</v>
      </c>
      <c r="H1012" s="44">
        <v>65.400000000000006</v>
      </c>
      <c r="K1012" s="4" t="e">
        <f>VLOOKUP(A1012,Detallado!$C$5:$H$1570,6,FALSE)</f>
        <v>#N/A</v>
      </c>
    </row>
    <row r="1013" spans="1:11">
      <c r="A1013" s="90">
        <v>126981776406</v>
      </c>
      <c r="B1013" s="1" t="s">
        <v>1790</v>
      </c>
      <c r="C1013" s="43" t="s">
        <v>1917</v>
      </c>
      <c r="D1013" s="1" t="s">
        <v>1780</v>
      </c>
      <c r="E1013" s="43" t="s">
        <v>1917</v>
      </c>
      <c r="F1013" s="37" t="s">
        <v>1782</v>
      </c>
      <c r="G1013" s="44">
        <v>34800</v>
      </c>
      <c r="H1013" s="44">
        <v>208.8</v>
      </c>
      <c r="K1013" s="4" t="e">
        <f>VLOOKUP(A1013,Detallado!$C$5:$H$1570,6,FALSE)</f>
        <v>#N/A</v>
      </c>
    </row>
    <row r="1014" spans="1:11">
      <c r="A1014" s="90">
        <v>126981700000</v>
      </c>
      <c r="B1014" s="1" t="s">
        <v>1790</v>
      </c>
      <c r="C1014" s="43" t="s">
        <v>1917</v>
      </c>
      <c r="D1014" s="1" t="s">
        <v>1780</v>
      </c>
      <c r="E1014" s="43" t="s">
        <v>1917</v>
      </c>
      <c r="F1014" s="37" t="s">
        <v>1782</v>
      </c>
      <c r="G1014" s="44">
        <v>75600</v>
      </c>
      <c r="H1014" s="44">
        <v>453.6</v>
      </c>
      <c r="K1014" s="4" t="e">
        <f>VLOOKUP(A1014,Detallado!$C$5:$H$1570,6,FALSE)</f>
        <v>#N/A</v>
      </c>
    </row>
    <row r="1015" spans="1:11">
      <c r="A1015" s="90">
        <v>126980936250</v>
      </c>
      <c r="B1015" s="1" t="s">
        <v>8</v>
      </c>
      <c r="C1015" s="43" t="s">
        <v>1917</v>
      </c>
      <c r="D1015" s="1" t="s">
        <v>1780</v>
      </c>
      <c r="E1015" s="43" t="s">
        <v>1917</v>
      </c>
      <c r="F1015" s="37" t="s">
        <v>1782</v>
      </c>
      <c r="G1015" s="44">
        <v>22800</v>
      </c>
      <c r="H1015" s="44">
        <v>136.80000000000001</v>
      </c>
      <c r="K1015" s="4" t="e">
        <f>VLOOKUP(A1015,Detallado!$C$5:$H$1570,6,FALSE)</f>
        <v>#N/A</v>
      </c>
    </row>
    <row r="1016" spans="1:11">
      <c r="A1016" s="90">
        <v>126979157826</v>
      </c>
      <c r="B1016" s="1" t="s">
        <v>1790</v>
      </c>
      <c r="C1016" s="43" t="s">
        <v>1917</v>
      </c>
      <c r="D1016" s="1" t="s">
        <v>1780</v>
      </c>
      <c r="E1016" s="43" t="s">
        <v>1917</v>
      </c>
      <c r="F1016" s="37" t="s">
        <v>1782</v>
      </c>
      <c r="G1016" s="44">
        <v>36300</v>
      </c>
      <c r="H1016" s="44">
        <v>217.8</v>
      </c>
      <c r="K1016" s="4" t="e">
        <f>VLOOKUP(A1016,Detallado!$C$5:$H$1570,6,FALSE)</f>
        <v>#N/A</v>
      </c>
    </row>
    <row r="1017" spans="1:11">
      <c r="A1017" s="90">
        <v>126978302556</v>
      </c>
      <c r="B1017" s="1" t="s">
        <v>8</v>
      </c>
      <c r="C1017" s="43" t="s">
        <v>1917</v>
      </c>
      <c r="D1017" s="1" t="s">
        <v>1780</v>
      </c>
      <c r="E1017" s="43" t="s">
        <v>1917</v>
      </c>
      <c r="F1017" s="37" t="s">
        <v>1782</v>
      </c>
      <c r="G1017" s="44">
        <v>28100</v>
      </c>
      <c r="H1017" s="44">
        <v>168.6</v>
      </c>
      <c r="K1017" s="4" t="e">
        <f>VLOOKUP(A1017,Detallado!$C$5:$H$1570,6,FALSE)</f>
        <v>#N/A</v>
      </c>
    </row>
    <row r="1018" spans="1:11">
      <c r="A1018" s="90">
        <v>126971190364</v>
      </c>
      <c r="B1018" s="1" t="s">
        <v>1790</v>
      </c>
      <c r="C1018" s="43" t="s">
        <v>1917</v>
      </c>
      <c r="D1018" s="1" t="s">
        <v>1780</v>
      </c>
      <c r="E1018" s="43" t="s">
        <v>1917</v>
      </c>
      <c r="F1018" s="37" t="s">
        <v>1782</v>
      </c>
      <c r="G1018" s="44">
        <v>8000</v>
      </c>
      <c r="H1018" s="44">
        <v>48</v>
      </c>
      <c r="K1018" s="4" t="e">
        <f>VLOOKUP(A1018,Detallado!$C$5:$H$1570,6,FALSE)</f>
        <v>#N/A</v>
      </c>
    </row>
    <row r="1019" spans="1:11">
      <c r="A1019" s="90">
        <v>126970599066</v>
      </c>
      <c r="B1019" s="1" t="s">
        <v>1790</v>
      </c>
      <c r="C1019" s="43" t="s">
        <v>1917</v>
      </c>
      <c r="D1019" s="1" t="s">
        <v>1780</v>
      </c>
      <c r="E1019" s="43" t="s">
        <v>1917</v>
      </c>
      <c r="F1019" s="37" t="s">
        <v>1782</v>
      </c>
      <c r="G1019" s="44">
        <v>4300</v>
      </c>
      <c r="H1019" s="44">
        <v>25.8</v>
      </c>
      <c r="K1019" s="4" t="e">
        <f>VLOOKUP(A1019,Detallado!$C$5:$H$1570,6,FALSE)</f>
        <v>#N/A</v>
      </c>
    </row>
    <row r="1020" spans="1:11">
      <c r="A1020" s="90">
        <v>126960677984</v>
      </c>
      <c r="B1020" s="1" t="s">
        <v>1790</v>
      </c>
      <c r="C1020" s="43" t="s">
        <v>1917</v>
      </c>
      <c r="D1020" s="1" t="s">
        <v>1780</v>
      </c>
      <c r="E1020" s="43" t="s">
        <v>1917</v>
      </c>
      <c r="F1020" s="37" t="s">
        <v>1782</v>
      </c>
      <c r="G1020" s="44">
        <v>12600</v>
      </c>
      <c r="H1020" s="44">
        <v>75.599999999999994</v>
      </c>
      <c r="K1020" s="4" t="e">
        <f>VLOOKUP(A1020,Detallado!$C$5:$H$1570,6,FALSE)</f>
        <v>#N/A</v>
      </c>
    </row>
    <row r="1021" spans="1:11">
      <c r="A1021" s="90">
        <v>126879997894</v>
      </c>
      <c r="B1021" s="1" t="s">
        <v>8</v>
      </c>
      <c r="C1021" s="43" t="s">
        <v>1917</v>
      </c>
      <c r="D1021" s="1" t="s">
        <v>1780</v>
      </c>
      <c r="E1021" s="43" t="s">
        <v>1917</v>
      </c>
      <c r="F1021" s="37" t="s">
        <v>1782</v>
      </c>
      <c r="G1021" s="44">
        <v>67700</v>
      </c>
      <c r="H1021" s="44">
        <v>406.2</v>
      </c>
      <c r="K1021" s="4" t="e">
        <f>VLOOKUP(A1021,Detallado!$C$5:$H$1570,6,FALSE)</f>
        <v>#N/A</v>
      </c>
    </row>
    <row r="1022" spans="1:11">
      <c r="A1022" s="90">
        <v>126879711336</v>
      </c>
      <c r="B1022" s="1" t="s">
        <v>1790</v>
      </c>
      <c r="C1022" s="43" t="s">
        <v>1917</v>
      </c>
      <c r="D1022" s="1" t="s">
        <v>1780</v>
      </c>
      <c r="E1022" s="43" t="s">
        <v>1917</v>
      </c>
      <c r="F1022" s="37" t="s">
        <v>1782</v>
      </c>
      <c r="G1022" s="44">
        <v>9000</v>
      </c>
      <c r="H1022" s="44">
        <v>54</v>
      </c>
      <c r="K1022" s="4" t="e">
        <f>VLOOKUP(A1022,Detallado!$C$5:$H$1570,6,FALSE)</f>
        <v>#N/A</v>
      </c>
    </row>
    <row r="1023" spans="1:11">
      <c r="A1023" s="90">
        <v>126879442386</v>
      </c>
      <c r="B1023" s="1" t="s">
        <v>1790</v>
      </c>
      <c r="C1023" s="43" t="s">
        <v>1917</v>
      </c>
      <c r="D1023" s="1" t="s">
        <v>1780</v>
      </c>
      <c r="E1023" s="43" t="s">
        <v>1917</v>
      </c>
      <c r="F1023" s="37" t="s">
        <v>1782</v>
      </c>
      <c r="G1023" s="44">
        <v>46200</v>
      </c>
      <c r="H1023" s="44">
        <v>277.2</v>
      </c>
      <c r="K1023" s="4" t="e">
        <f>VLOOKUP(A1023,Detallado!$C$5:$H$1570,6,FALSE)</f>
        <v>#N/A</v>
      </c>
    </row>
    <row r="1024" spans="1:11">
      <c r="A1024" s="90">
        <v>126878375750</v>
      </c>
      <c r="B1024" s="1" t="s">
        <v>1790</v>
      </c>
      <c r="C1024" s="43" t="s">
        <v>1917</v>
      </c>
      <c r="D1024" s="1" t="s">
        <v>1780</v>
      </c>
      <c r="E1024" s="43" t="s">
        <v>1917</v>
      </c>
      <c r="F1024" s="37" t="s">
        <v>1782</v>
      </c>
      <c r="G1024" s="44">
        <v>239400</v>
      </c>
      <c r="H1024" s="44">
        <v>1436.4</v>
      </c>
      <c r="K1024" s="4" t="e">
        <f>VLOOKUP(A1024,Detallado!$C$5:$H$1570,6,FALSE)</f>
        <v>#N/A</v>
      </c>
    </row>
    <row r="1025" spans="1:11">
      <c r="A1025" s="90">
        <v>126877870800</v>
      </c>
      <c r="B1025" s="1" t="s">
        <v>8</v>
      </c>
      <c r="C1025" s="43" t="s">
        <v>1917</v>
      </c>
      <c r="D1025" s="1" t="s">
        <v>1780</v>
      </c>
      <c r="E1025" s="43" t="s">
        <v>1917</v>
      </c>
      <c r="F1025" s="37" t="s">
        <v>1782</v>
      </c>
      <c r="G1025" s="44">
        <v>9400</v>
      </c>
      <c r="H1025" s="44">
        <v>56.4</v>
      </c>
      <c r="K1025" s="4" t="e">
        <f>VLOOKUP(A1025,Detallado!$C$5:$H$1570,6,FALSE)</f>
        <v>#N/A</v>
      </c>
    </row>
    <row r="1026" spans="1:11">
      <c r="A1026" s="90">
        <v>126429190877</v>
      </c>
      <c r="B1026" s="1" t="s">
        <v>8</v>
      </c>
      <c r="C1026" s="43" t="s">
        <v>1917</v>
      </c>
      <c r="D1026" s="1" t="s">
        <v>1780</v>
      </c>
      <c r="E1026" s="43" t="s">
        <v>1917</v>
      </c>
      <c r="F1026" s="37" t="s">
        <v>1782</v>
      </c>
      <c r="G1026" s="44">
        <v>52000</v>
      </c>
      <c r="H1026" s="44">
        <v>312</v>
      </c>
      <c r="K1026" s="4" t="e">
        <f>VLOOKUP(A1026,Detallado!$C$5:$H$1570,6,FALSE)</f>
        <v>#N/A</v>
      </c>
    </row>
    <row r="1027" spans="1:11">
      <c r="A1027" s="90">
        <v>126428827067</v>
      </c>
      <c r="B1027" s="1" t="s">
        <v>8</v>
      </c>
      <c r="C1027" s="43" t="s">
        <v>1917</v>
      </c>
      <c r="D1027" s="1" t="s">
        <v>1780</v>
      </c>
      <c r="E1027" s="43" t="s">
        <v>1917</v>
      </c>
      <c r="F1027" s="37" t="s">
        <v>1782</v>
      </c>
      <c r="G1027" s="44">
        <v>46200</v>
      </c>
      <c r="H1027" s="44">
        <v>277.2</v>
      </c>
      <c r="K1027" s="4" t="e">
        <f>VLOOKUP(A1027,Detallado!$C$5:$H$1570,6,FALSE)</f>
        <v>#N/A</v>
      </c>
    </row>
    <row r="1028" spans="1:11">
      <c r="A1028" s="90">
        <v>126428591035</v>
      </c>
      <c r="B1028" s="1" t="s">
        <v>1790</v>
      </c>
      <c r="C1028" s="43" t="s">
        <v>1917</v>
      </c>
      <c r="D1028" s="1" t="s">
        <v>1780</v>
      </c>
      <c r="E1028" s="43" t="s">
        <v>1917</v>
      </c>
      <c r="F1028" s="37" t="s">
        <v>1782</v>
      </c>
      <c r="G1028" s="44">
        <v>39400</v>
      </c>
      <c r="H1028" s="44">
        <v>236.4</v>
      </c>
      <c r="K1028" s="4" t="e">
        <f>VLOOKUP(A1028,Detallado!$C$5:$H$1570,6,FALSE)</f>
        <v>#N/A</v>
      </c>
    </row>
    <row r="1029" spans="1:11">
      <c r="A1029" s="90">
        <v>126428160507</v>
      </c>
      <c r="B1029" s="1" t="s">
        <v>1790</v>
      </c>
      <c r="C1029" s="43" t="s">
        <v>1917</v>
      </c>
      <c r="D1029" s="1" t="s">
        <v>1780</v>
      </c>
      <c r="E1029" s="43" t="s">
        <v>1917</v>
      </c>
      <c r="F1029" s="37" t="s">
        <v>1782</v>
      </c>
      <c r="G1029" s="44">
        <v>40000</v>
      </c>
      <c r="H1029" s="44">
        <v>240</v>
      </c>
      <c r="K1029" s="4" t="e">
        <f>VLOOKUP(A1029,Detallado!$C$5:$H$1570,6,FALSE)</f>
        <v>#N/A</v>
      </c>
    </row>
    <row r="1030" spans="1:11">
      <c r="A1030" s="90">
        <v>126428154421</v>
      </c>
      <c r="B1030" s="1" t="s">
        <v>8</v>
      </c>
      <c r="C1030" s="43" t="s">
        <v>1917</v>
      </c>
      <c r="D1030" s="1" t="s">
        <v>1780</v>
      </c>
      <c r="E1030" s="43" t="s">
        <v>1917</v>
      </c>
      <c r="F1030" s="37" t="s">
        <v>1782</v>
      </c>
      <c r="G1030" s="44">
        <v>10000</v>
      </c>
      <c r="H1030" s="44">
        <v>60</v>
      </c>
      <c r="K1030" s="4" t="e">
        <f>VLOOKUP(A1030,Detallado!$C$5:$H$1570,6,FALSE)</f>
        <v>#N/A</v>
      </c>
    </row>
    <row r="1031" spans="1:11">
      <c r="A1031" s="90">
        <v>126427840519</v>
      </c>
      <c r="B1031" s="1" t="s">
        <v>8</v>
      </c>
      <c r="C1031" s="43" t="s">
        <v>1917</v>
      </c>
      <c r="D1031" s="1" t="s">
        <v>1780</v>
      </c>
      <c r="E1031" s="43" t="s">
        <v>1917</v>
      </c>
      <c r="F1031" s="37" t="s">
        <v>1782</v>
      </c>
      <c r="G1031" s="44">
        <v>33400</v>
      </c>
      <c r="H1031" s="44">
        <v>200.4</v>
      </c>
      <c r="K1031" s="4" t="e">
        <f>VLOOKUP(A1031,Detallado!$C$5:$H$1570,6,FALSE)</f>
        <v>#N/A</v>
      </c>
    </row>
    <row r="1032" spans="1:11">
      <c r="A1032" s="90">
        <v>126427745647</v>
      </c>
      <c r="B1032" s="1" t="s">
        <v>1923</v>
      </c>
      <c r="C1032" s="43" t="s">
        <v>1917</v>
      </c>
      <c r="D1032" s="1" t="s">
        <v>1780</v>
      </c>
      <c r="E1032" s="43" t="s">
        <v>1917</v>
      </c>
      <c r="F1032" s="37" t="s">
        <v>1782</v>
      </c>
      <c r="G1032" s="44">
        <v>1670</v>
      </c>
      <c r="H1032" s="44">
        <v>10.02</v>
      </c>
      <c r="K1032" s="4" t="e">
        <f>VLOOKUP(A1032,Detallado!$C$5:$H$1570,6,FALSE)</f>
        <v>#N/A</v>
      </c>
    </row>
    <row r="1033" spans="1:11">
      <c r="A1033" s="90">
        <v>126427734197</v>
      </c>
      <c r="B1033" s="1" t="s">
        <v>8</v>
      </c>
      <c r="C1033" s="43" t="s">
        <v>1917</v>
      </c>
      <c r="D1033" s="1" t="s">
        <v>1780</v>
      </c>
      <c r="E1033" s="43" t="s">
        <v>1917</v>
      </c>
      <c r="F1033" s="37" t="s">
        <v>1782</v>
      </c>
      <c r="G1033" s="44">
        <v>7500</v>
      </c>
      <c r="H1033" s="44">
        <v>45</v>
      </c>
      <c r="K1033" s="4" t="e">
        <f>VLOOKUP(A1033,Detallado!$C$5:$H$1570,6,FALSE)</f>
        <v>#N/A</v>
      </c>
    </row>
    <row r="1034" spans="1:11">
      <c r="A1034" s="90">
        <v>126427704535</v>
      </c>
      <c r="B1034" s="1" t="s">
        <v>1927</v>
      </c>
      <c r="C1034" s="43" t="s">
        <v>1917</v>
      </c>
      <c r="D1034" s="1" t="s">
        <v>1780</v>
      </c>
      <c r="E1034" s="43" t="s">
        <v>1917</v>
      </c>
      <c r="F1034" s="37" t="s">
        <v>1782</v>
      </c>
      <c r="G1034" s="44">
        <v>750</v>
      </c>
      <c r="H1034" s="44">
        <v>4.5</v>
      </c>
      <c r="K1034" s="4" t="e">
        <f>VLOOKUP(A1034,Detallado!$C$5:$H$1570,6,FALSE)</f>
        <v>#N/A</v>
      </c>
    </row>
    <row r="1035" spans="1:11">
      <c r="A1035" s="90">
        <v>126426592653</v>
      </c>
      <c r="B1035" s="1" t="s">
        <v>8</v>
      </c>
      <c r="C1035" s="43" t="s">
        <v>1917</v>
      </c>
      <c r="D1035" s="1" t="s">
        <v>1780</v>
      </c>
      <c r="E1035" s="43" t="s">
        <v>1917</v>
      </c>
      <c r="F1035" s="37" t="s">
        <v>1782</v>
      </c>
      <c r="G1035" s="44">
        <v>40800</v>
      </c>
      <c r="H1035" s="44">
        <v>244.8</v>
      </c>
      <c r="K1035" s="4" t="e">
        <f>VLOOKUP(A1035,Detallado!$C$5:$H$1570,6,FALSE)</f>
        <v>#N/A</v>
      </c>
    </row>
    <row r="1036" spans="1:11">
      <c r="A1036" s="90">
        <v>126426524043</v>
      </c>
      <c r="B1036" s="1" t="s">
        <v>1790</v>
      </c>
      <c r="C1036" s="43" t="s">
        <v>1917</v>
      </c>
      <c r="D1036" s="1" t="s">
        <v>1780</v>
      </c>
      <c r="E1036" s="43" t="s">
        <v>1917</v>
      </c>
      <c r="F1036" s="37" t="s">
        <v>1782</v>
      </c>
      <c r="G1036" s="44">
        <v>29200</v>
      </c>
      <c r="H1036" s="44">
        <v>175.2</v>
      </c>
      <c r="K1036" s="4" t="e">
        <f>VLOOKUP(A1036,Detallado!$C$5:$H$1570,6,FALSE)</f>
        <v>#N/A</v>
      </c>
    </row>
    <row r="1037" spans="1:11">
      <c r="A1037" s="90">
        <v>126426033467</v>
      </c>
      <c r="B1037" s="1" t="s">
        <v>8</v>
      </c>
      <c r="C1037" s="43" t="s">
        <v>1917</v>
      </c>
      <c r="D1037" s="1" t="s">
        <v>1780</v>
      </c>
      <c r="E1037" s="43" t="s">
        <v>1917</v>
      </c>
      <c r="F1037" s="37" t="s">
        <v>1782</v>
      </c>
      <c r="G1037" s="44">
        <v>38200</v>
      </c>
      <c r="H1037" s="44">
        <v>229.2</v>
      </c>
      <c r="K1037" s="4" t="e">
        <f>VLOOKUP(A1037,Detallado!$C$5:$H$1570,6,FALSE)</f>
        <v>#N/A</v>
      </c>
    </row>
    <row r="1038" spans="1:11">
      <c r="A1038" s="90">
        <v>126425131863</v>
      </c>
      <c r="B1038" s="1" t="s">
        <v>1790</v>
      </c>
      <c r="C1038" s="43" t="s">
        <v>1917</v>
      </c>
      <c r="D1038" s="1" t="s">
        <v>1780</v>
      </c>
      <c r="E1038" s="43" t="s">
        <v>1917</v>
      </c>
      <c r="F1038" s="37" t="s">
        <v>1782</v>
      </c>
      <c r="G1038" s="44">
        <v>26800</v>
      </c>
      <c r="H1038" s="44">
        <v>160.80000000000001</v>
      </c>
      <c r="K1038" s="4" t="e">
        <f>VLOOKUP(A1038,Detallado!$C$5:$H$1570,6,FALSE)</f>
        <v>#N/A</v>
      </c>
    </row>
    <row r="1039" spans="1:11">
      <c r="A1039" s="90">
        <v>126424804149</v>
      </c>
      <c r="B1039" s="1" t="s">
        <v>8</v>
      </c>
      <c r="C1039" s="43" t="s">
        <v>1917</v>
      </c>
      <c r="D1039" s="1" t="s">
        <v>1780</v>
      </c>
      <c r="E1039" s="43" t="s">
        <v>1917</v>
      </c>
      <c r="F1039" s="37" t="s">
        <v>1782</v>
      </c>
      <c r="G1039" s="44">
        <v>52300</v>
      </c>
      <c r="H1039" s="44">
        <v>313.8</v>
      </c>
      <c r="K1039" s="4" t="e">
        <f>VLOOKUP(A1039,Detallado!$C$5:$H$1570,6,FALSE)</f>
        <v>#N/A</v>
      </c>
    </row>
    <row r="1040" spans="1:11">
      <c r="A1040" s="90">
        <v>126424486673</v>
      </c>
      <c r="B1040" s="1" t="s">
        <v>8</v>
      </c>
      <c r="C1040" s="43" t="s">
        <v>1917</v>
      </c>
      <c r="D1040" s="1" t="s">
        <v>1780</v>
      </c>
      <c r="E1040" s="43" t="s">
        <v>1917</v>
      </c>
      <c r="F1040" s="37" t="s">
        <v>1782</v>
      </c>
      <c r="G1040" s="44">
        <v>10600</v>
      </c>
      <c r="H1040" s="44">
        <v>63.6</v>
      </c>
      <c r="K1040" s="4" t="e">
        <f>VLOOKUP(A1040,Detallado!$C$5:$H$1570,6,FALSE)</f>
        <v>#N/A</v>
      </c>
    </row>
    <row r="1041" spans="1:11">
      <c r="A1041" s="90">
        <v>126423667935</v>
      </c>
      <c r="B1041" s="1" t="s">
        <v>1790</v>
      </c>
      <c r="C1041" s="43" t="s">
        <v>1917</v>
      </c>
      <c r="D1041" s="1" t="s">
        <v>1780</v>
      </c>
      <c r="E1041" s="43" t="s">
        <v>1917</v>
      </c>
      <c r="F1041" s="37" t="s">
        <v>1782</v>
      </c>
      <c r="G1041" s="44">
        <v>33200</v>
      </c>
      <c r="H1041" s="44">
        <v>199.2</v>
      </c>
      <c r="K1041" s="4" t="e">
        <f>VLOOKUP(A1041,Detallado!$C$5:$H$1570,6,FALSE)</f>
        <v>#N/A</v>
      </c>
    </row>
    <row r="1042" spans="1:11">
      <c r="A1042" s="90">
        <v>126423501303</v>
      </c>
      <c r="B1042" s="1" t="s">
        <v>1790</v>
      </c>
      <c r="C1042" s="43" t="s">
        <v>1917</v>
      </c>
      <c r="D1042" s="1" t="s">
        <v>1780</v>
      </c>
      <c r="E1042" s="43" t="s">
        <v>1917</v>
      </c>
      <c r="F1042" s="37" t="s">
        <v>1782</v>
      </c>
      <c r="G1042" s="44">
        <v>24700</v>
      </c>
      <c r="H1042" s="44">
        <v>148.19999999999999</v>
      </c>
      <c r="K1042" s="4" t="e">
        <f>VLOOKUP(A1042,Detallado!$C$5:$H$1570,6,FALSE)</f>
        <v>#N/A</v>
      </c>
    </row>
    <row r="1043" spans="1:11">
      <c r="A1043" s="90">
        <v>126421871761</v>
      </c>
      <c r="B1043" s="1" t="s">
        <v>8</v>
      </c>
      <c r="C1043" s="43" t="s">
        <v>1917</v>
      </c>
      <c r="D1043" s="1" t="s">
        <v>1780</v>
      </c>
      <c r="E1043" s="43" t="s">
        <v>1917</v>
      </c>
      <c r="F1043" s="37" t="s">
        <v>1782</v>
      </c>
      <c r="G1043" s="44">
        <v>8600</v>
      </c>
      <c r="H1043" s="44">
        <v>51.6</v>
      </c>
      <c r="K1043" s="4" t="e">
        <f>VLOOKUP(A1043,Detallado!$C$5:$H$1570,6,FALSE)</f>
        <v>#N/A</v>
      </c>
    </row>
    <row r="1044" spans="1:11">
      <c r="A1044" s="90">
        <v>126418469315</v>
      </c>
      <c r="B1044" s="1" t="s">
        <v>1922</v>
      </c>
      <c r="C1044" s="43" t="s">
        <v>1917</v>
      </c>
      <c r="D1044" s="1" t="s">
        <v>1780</v>
      </c>
      <c r="E1044" s="43" t="s">
        <v>1917</v>
      </c>
      <c r="F1044" s="37" t="s">
        <v>1782</v>
      </c>
      <c r="G1044" s="44">
        <v>655</v>
      </c>
      <c r="H1044" s="44">
        <v>3.93</v>
      </c>
      <c r="K1044" s="4" t="e">
        <f>VLOOKUP(A1044,Detallado!$C$5:$H$1570,6,FALSE)</f>
        <v>#N/A</v>
      </c>
    </row>
    <row r="1045" spans="1:11">
      <c r="A1045" s="90">
        <v>126418419939</v>
      </c>
      <c r="B1045" s="1" t="s">
        <v>8</v>
      </c>
      <c r="C1045" s="43" t="s">
        <v>1917</v>
      </c>
      <c r="D1045" s="1" t="s">
        <v>1780</v>
      </c>
      <c r="E1045" s="43" t="s">
        <v>1917</v>
      </c>
      <c r="F1045" s="37" t="s">
        <v>1782</v>
      </c>
      <c r="G1045" s="44">
        <v>13100</v>
      </c>
      <c r="H1045" s="44">
        <v>78.599999999999994</v>
      </c>
      <c r="K1045" s="4" t="e">
        <f>VLOOKUP(A1045,Detallado!$C$5:$H$1570,6,FALSE)</f>
        <v>#N/A</v>
      </c>
    </row>
    <row r="1046" spans="1:11">
      <c r="A1046" s="90">
        <v>126418008273</v>
      </c>
      <c r="B1046" s="1" t="s">
        <v>8</v>
      </c>
      <c r="C1046" s="43" t="s">
        <v>1917</v>
      </c>
      <c r="D1046" s="1" t="s">
        <v>1780</v>
      </c>
      <c r="E1046" s="43" t="s">
        <v>1917</v>
      </c>
      <c r="F1046" s="37" t="s">
        <v>1782</v>
      </c>
      <c r="G1046" s="44">
        <v>27300</v>
      </c>
      <c r="H1046" s="44">
        <v>163.80000000000001</v>
      </c>
      <c r="K1046" s="4" t="e">
        <f>VLOOKUP(A1046,Detallado!$C$5:$H$1570,6,FALSE)</f>
        <v>#N/A</v>
      </c>
    </row>
    <row r="1047" spans="1:11">
      <c r="A1047" s="90">
        <v>126417976831</v>
      </c>
      <c r="B1047" s="1" t="s">
        <v>1920</v>
      </c>
      <c r="C1047" s="43" t="s">
        <v>1917</v>
      </c>
      <c r="D1047" s="1" t="s">
        <v>1780</v>
      </c>
      <c r="E1047" s="43" t="s">
        <v>1917</v>
      </c>
      <c r="F1047" s="37" t="s">
        <v>1782</v>
      </c>
      <c r="G1047" s="44">
        <v>1365</v>
      </c>
      <c r="H1047" s="44">
        <v>8.19</v>
      </c>
      <c r="K1047" s="4" t="e">
        <f>VLOOKUP(A1047,Detallado!$C$5:$H$1570,6,FALSE)</f>
        <v>#N/A</v>
      </c>
    </row>
    <row r="1048" spans="1:11">
      <c r="A1048" s="90">
        <v>126417744443</v>
      </c>
      <c r="B1048" s="1" t="s">
        <v>8</v>
      </c>
      <c r="C1048" s="43" t="s">
        <v>1917</v>
      </c>
      <c r="D1048" s="1" t="s">
        <v>1780</v>
      </c>
      <c r="E1048" s="43" t="s">
        <v>1917</v>
      </c>
      <c r="F1048" s="37" t="s">
        <v>1782</v>
      </c>
      <c r="G1048" s="44">
        <v>18000</v>
      </c>
      <c r="H1048" s="44">
        <v>108</v>
      </c>
      <c r="K1048" s="4" t="e">
        <f>VLOOKUP(A1048,Detallado!$C$5:$H$1570,6,FALSE)</f>
        <v>#N/A</v>
      </c>
    </row>
    <row r="1049" spans="1:11">
      <c r="A1049" s="90">
        <v>126417189235</v>
      </c>
      <c r="B1049" s="1" t="s">
        <v>1790</v>
      </c>
      <c r="C1049" s="43" t="s">
        <v>1917</v>
      </c>
      <c r="D1049" s="1" t="s">
        <v>1780</v>
      </c>
      <c r="E1049" s="43" t="s">
        <v>1917</v>
      </c>
      <c r="F1049" s="37" t="s">
        <v>1782</v>
      </c>
      <c r="G1049" s="44">
        <v>58800</v>
      </c>
      <c r="H1049" s="44">
        <v>352.8</v>
      </c>
      <c r="K1049" s="4" t="e">
        <f>VLOOKUP(A1049,Detallado!$C$5:$H$1570,6,FALSE)</f>
        <v>#N/A</v>
      </c>
    </row>
    <row r="1050" spans="1:11">
      <c r="A1050" s="90">
        <v>126416744717</v>
      </c>
      <c r="B1050" s="1" t="s">
        <v>1790</v>
      </c>
      <c r="C1050" s="43" t="s">
        <v>1917</v>
      </c>
      <c r="D1050" s="1" t="s">
        <v>1780</v>
      </c>
      <c r="E1050" s="43" t="s">
        <v>1917</v>
      </c>
      <c r="F1050" s="37" t="s">
        <v>1782</v>
      </c>
      <c r="G1050" s="44">
        <v>7800</v>
      </c>
      <c r="H1050" s="44">
        <v>46.8</v>
      </c>
      <c r="K1050" s="4" t="e">
        <f>VLOOKUP(A1050,Detallado!$C$5:$H$1570,6,FALSE)</f>
        <v>#N/A</v>
      </c>
    </row>
    <row r="1051" spans="1:11">
      <c r="A1051" s="90">
        <v>126416100771</v>
      </c>
      <c r="B1051" s="1" t="s">
        <v>8</v>
      </c>
      <c r="C1051" s="43" t="s">
        <v>1917</v>
      </c>
      <c r="D1051" s="1" t="s">
        <v>1780</v>
      </c>
      <c r="E1051" s="43" t="s">
        <v>1917</v>
      </c>
      <c r="F1051" s="37" t="s">
        <v>1782</v>
      </c>
      <c r="G1051" s="44">
        <v>18700</v>
      </c>
      <c r="H1051" s="44">
        <v>112.2</v>
      </c>
      <c r="K1051" s="4" t="e">
        <f>VLOOKUP(A1051,Detallado!$C$5:$H$1570,6,FALSE)</f>
        <v>#N/A</v>
      </c>
    </row>
    <row r="1052" spans="1:11">
      <c r="A1052" s="90">
        <v>126415952795</v>
      </c>
      <c r="B1052" s="1" t="s">
        <v>8</v>
      </c>
      <c r="C1052" s="43" t="s">
        <v>1917</v>
      </c>
      <c r="D1052" s="1" t="s">
        <v>1780</v>
      </c>
      <c r="E1052" s="43" t="s">
        <v>1917</v>
      </c>
      <c r="F1052" s="37" t="s">
        <v>1782</v>
      </c>
      <c r="G1052" s="44">
        <v>3900</v>
      </c>
      <c r="H1052" s="44">
        <v>23.4</v>
      </c>
      <c r="K1052" s="4" t="e">
        <f>VLOOKUP(A1052,Detallado!$C$5:$H$1570,6,FALSE)</f>
        <v>#N/A</v>
      </c>
    </row>
    <row r="1053" spans="1:11">
      <c r="A1053" s="90">
        <v>126412724811</v>
      </c>
      <c r="B1053" s="1" t="s">
        <v>1790</v>
      </c>
      <c r="C1053" s="43" t="s">
        <v>1917</v>
      </c>
      <c r="D1053" s="1" t="s">
        <v>1780</v>
      </c>
      <c r="E1053" s="43" t="s">
        <v>1917</v>
      </c>
      <c r="F1053" s="37" t="s">
        <v>1782</v>
      </c>
      <c r="G1053" s="44">
        <v>7800</v>
      </c>
      <c r="H1053" s="44">
        <v>46.8</v>
      </c>
      <c r="K1053" s="4" t="e">
        <f>VLOOKUP(A1053,Detallado!$C$5:$H$1570,6,FALSE)</f>
        <v>#N/A</v>
      </c>
    </row>
    <row r="1054" spans="1:11">
      <c r="A1054" s="90">
        <v>126410422343</v>
      </c>
      <c r="B1054" s="1" t="s">
        <v>8</v>
      </c>
      <c r="C1054" s="43" t="s">
        <v>1917</v>
      </c>
      <c r="D1054" s="1" t="s">
        <v>1780</v>
      </c>
      <c r="E1054" s="43" t="s">
        <v>1917</v>
      </c>
      <c r="F1054" s="37" t="s">
        <v>1782</v>
      </c>
      <c r="G1054" s="44">
        <v>4300</v>
      </c>
      <c r="H1054" s="44">
        <v>25.8</v>
      </c>
      <c r="K1054" s="4" t="e">
        <f>VLOOKUP(A1054,Detallado!$C$5:$H$1570,6,FALSE)</f>
        <v>#N/A</v>
      </c>
    </row>
    <row r="1055" spans="1:11">
      <c r="A1055" s="90">
        <v>126410121599</v>
      </c>
      <c r="B1055" s="1" t="s">
        <v>8</v>
      </c>
      <c r="C1055" s="43" t="s">
        <v>1917</v>
      </c>
      <c r="D1055" s="1" t="s">
        <v>1780</v>
      </c>
      <c r="E1055" s="43" t="s">
        <v>1917</v>
      </c>
      <c r="F1055" s="37" t="s">
        <v>1782</v>
      </c>
      <c r="G1055" s="44">
        <v>5300</v>
      </c>
      <c r="H1055" s="44">
        <v>31.8</v>
      </c>
      <c r="K1055" s="4" t="e">
        <f>VLOOKUP(A1055,Detallado!$C$5:$H$1570,6,FALSE)</f>
        <v>#N/A</v>
      </c>
    </row>
    <row r="1056" spans="1:11">
      <c r="A1056" s="90">
        <v>126323027433</v>
      </c>
      <c r="B1056" s="1" t="s">
        <v>1790</v>
      </c>
      <c r="C1056" s="43" t="s">
        <v>1917</v>
      </c>
      <c r="D1056" s="1" t="s">
        <v>1780</v>
      </c>
      <c r="E1056" s="43" t="s">
        <v>1917</v>
      </c>
      <c r="F1056" s="37" t="s">
        <v>1782</v>
      </c>
      <c r="G1056" s="44">
        <v>23700</v>
      </c>
      <c r="H1056" s="44">
        <v>142.19999999999999</v>
      </c>
      <c r="K1056" s="4" t="e">
        <f>VLOOKUP(A1056,Detallado!$C$5:$H$1570,6,FALSE)</f>
        <v>#N/A</v>
      </c>
    </row>
    <row r="1057" spans="1:11">
      <c r="A1057" s="90">
        <v>126322987383</v>
      </c>
      <c r="B1057" s="1" t="s">
        <v>8</v>
      </c>
      <c r="C1057" s="43" t="s">
        <v>1917</v>
      </c>
      <c r="D1057" s="1" t="s">
        <v>1780</v>
      </c>
      <c r="E1057" s="43" t="s">
        <v>1917</v>
      </c>
      <c r="F1057" s="37" t="s">
        <v>1782</v>
      </c>
      <c r="G1057" s="44">
        <v>45200</v>
      </c>
      <c r="H1057" s="44">
        <v>271.2</v>
      </c>
      <c r="K1057" s="4" t="e">
        <f>VLOOKUP(A1057,Detallado!$C$5:$H$1570,6,FALSE)</f>
        <v>#N/A</v>
      </c>
    </row>
    <row r="1058" spans="1:11">
      <c r="A1058" s="90">
        <v>126322417111</v>
      </c>
      <c r="B1058" s="1" t="s">
        <v>8</v>
      </c>
      <c r="C1058" s="43" t="s">
        <v>1917</v>
      </c>
      <c r="D1058" s="1" t="s">
        <v>1780</v>
      </c>
      <c r="E1058" s="43" t="s">
        <v>1917</v>
      </c>
      <c r="F1058" s="37" t="s">
        <v>1782</v>
      </c>
      <c r="G1058" s="44">
        <v>13000</v>
      </c>
      <c r="H1058" s="44">
        <v>78</v>
      </c>
      <c r="K1058" s="4" t="e">
        <f>VLOOKUP(A1058,Detallado!$C$5:$H$1570,6,FALSE)</f>
        <v>#N/A</v>
      </c>
    </row>
    <row r="1059" spans="1:11">
      <c r="A1059" s="90">
        <v>126322416275</v>
      </c>
      <c r="B1059" s="1" t="s">
        <v>8</v>
      </c>
      <c r="C1059" s="43" t="s">
        <v>1917</v>
      </c>
      <c r="D1059" s="1" t="s">
        <v>1780</v>
      </c>
      <c r="E1059" s="43" t="s">
        <v>1917</v>
      </c>
      <c r="F1059" s="37" t="s">
        <v>1782</v>
      </c>
      <c r="G1059" s="44">
        <v>10000</v>
      </c>
      <c r="H1059" s="44">
        <v>60</v>
      </c>
      <c r="K1059" s="4" t="e">
        <f>VLOOKUP(A1059,Detallado!$C$5:$H$1570,6,FALSE)</f>
        <v>#N/A</v>
      </c>
    </row>
    <row r="1060" spans="1:11">
      <c r="A1060" s="90">
        <v>126322363921</v>
      </c>
      <c r="B1060" s="1" t="s">
        <v>8</v>
      </c>
      <c r="C1060" s="43" t="s">
        <v>1917</v>
      </c>
      <c r="D1060" s="1" t="s">
        <v>1780</v>
      </c>
      <c r="E1060" s="43" t="s">
        <v>1917</v>
      </c>
      <c r="F1060" s="37" t="s">
        <v>1782</v>
      </c>
      <c r="G1060" s="44">
        <v>51300</v>
      </c>
      <c r="H1060" s="44">
        <v>307.8</v>
      </c>
      <c r="K1060" s="4" t="e">
        <f>VLOOKUP(A1060,Detallado!$C$5:$H$1570,6,FALSE)</f>
        <v>#N/A</v>
      </c>
    </row>
    <row r="1061" spans="1:11">
      <c r="A1061" s="90">
        <v>126322107825</v>
      </c>
      <c r="B1061" s="1" t="s">
        <v>1790</v>
      </c>
      <c r="C1061" s="43" t="s">
        <v>1917</v>
      </c>
      <c r="D1061" s="1" t="s">
        <v>1780</v>
      </c>
      <c r="E1061" s="43" t="s">
        <v>1917</v>
      </c>
      <c r="F1061" s="37" t="s">
        <v>1782</v>
      </c>
      <c r="G1061" s="44">
        <v>66400</v>
      </c>
      <c r="H1061" s="44">
        <v>398.4</v>
      </c>
      <c r="K1061" s="4" t="e">
        <f>VLOOKUP(A1061,Detallado!$C$5:$H$1570,6,FALSE)</f>
        <v>#N/A</v>
      </c>
    </row>
    <row r="1062" spans="1:11">
      <c r="A1062" s="90">
        <v>126321636735</v>
      </c>
      <c r="B1062" s="1" t="s">
        <v>8</v>
      </c>
      <c r="C1062" s="43" t="s">
        <v>1917</v>
      </c>
      <c r="D1062" s="1" t="s">
        <v>1780</v>
      </c>
      <c r="E1062" s="43" t="s">
        <v>1917</v>
      </c>
      <c r="F1062" s="37" t="s">
        <v>1782</v>
      </c>
      <c r="G1062" s="44">
        <v>42800</v>
      </c>
      <c r="H1062" s="44">
        <v>256.8</v>
      </c>
      <c r="K1062" s="4" t="e">
        <f>VLOOKUP(A1062,Detallado!$C$5:$H$1570,6,FALSE)</f>
        <v>#N/A</v>
      </c>
    </row>
    <row r="1063" spans="1:11">
      <c r="A1063" s="90">
        <v>126320288243</v>
      </c>
      <c r="B1063" s="1" t="s">
        <v>8</v>
      </c>
      <c r="C1063" s="43" t="s">
        <v>1917</v>
      </c>
      <c r="D1063" s="1" t="s">
        <v>1780</v>
      </c>
      <c r="E1063" s="43" t="s">
        <v>1917</v>
      </c>
      <c r="F1063" s="37" t="s">
        <v>1782</v>
      </c>
      <c r="G1063" s="44">
        <v>4300</v>
      </c>
      <c r="H1063" s="44">
        <v>25.8</v>
      </c>
      <c r="K1063" s="4" t="e">
        <f>VLOOKUP(A1063,Detallado!$C$5:$H$1570,6,FALSE)</f>
        <v>#N/A</v>
      </c>
    </row>
    <row r="1064" spans="1:11">
      <c r="A1064" s="90">
        <v>126320241673</v>
      </c>
      <c r="B1064" s="1" t="s">
        <v>1918</v>
      </c>
      <c r="C1064" s="43" t="s">
        <v>1917</v>
      </c>
      <c r="D1064" s="1" t="s">
        <v>1780</v>
      </c>
      <c r="E1064" s="43" t="s">
        <v>1917</v>
      </c>
      <c r="F1064" s="37" t="s">
        <v>1782</v>
      </c>
      <c r="G1064" s="44">
        <v>1725</v>
      </c>
      <c r="H1064" s="44">
        <v>10.35</v>
      </c>
      <c r="K1064" s="4" t="e">
        <f>VLOOKUP(A1064,Detallado!$C$5:$H$1570,6,FALSE)</f>
        <v>#N/A</v>
      </c>
    </row>
    <row r="1065" spans="1:11">
      <c r="A1065" s="90">
        <v>126320241659</v>
      </c>
      <c r="B1065" s="1" t="s">
        <v>8</v>
      </c>
      <c r="C1065" s="43" t="s">
        <v>1917</v>
      </c>
      <c r="D1065" s="1" t="s">
        <v>1780</v>
      </c>
      <c r="E1065" s="43" t="s">
        <v>1917</v>
      </c>
      <c r="F1065" s="37" t="s">
        <v>1782</v>
      </c>
      <c r="G1065" s="44">
        <v>11500</v>
      </c>
      <c r="H1065" s="44">
        <v>69</v>
      </c>
      <c r="K1065" s="4" t="e">
        <f>VLOOKUP(A1065,Detallado!$C$5:$H$1570,6,FALSE)</f>
        <v>#N/A</v>
      </c>
    </row>
    <row r="1066" spans="1:11">
      <c r="A1066" s="90">
        <v>126320141423</v>
      </c>
      <c r="B1066" s="1" t="s">
        <v>8</v>
      </c>
      <c r="C1066" s="43" t="s">
        <v>1917</v>
      </c>
      <c r="D1066" s="1" t="s">
        <v>1780</v>
      </c>
      <c r="E1066" s="43" t="s">
        <v>1917</v>
      </c>
      <c r="F1066" s="37" t="s">
        <v>1782</v>
      </c>
      <c r="G1066" s="44">
        <v>13300</v>
      </c>
      <c r="H1066" s="44">
        <v>79.8</v>
      </c>
      <c r="K1066" s="4" t="e">
        <f>VLOOKUP(A1066,Detallado!$C$5:$H$1570,6,FALSE)</f>
        <v>#N/A</v>
      </c>
    </row>
    <row r="1067" spans="1:11">
      <c r="A1067" s="90">
        <v>126319844955</v>
      </c>
      <c r="B1067" s="1" t="s">
        <v>8</v>
      </c>
      <c r="C1067" s="43" t="s">
        <v>1917</v>
      </c>
      <c r="D1067" s="1" t="s">
        <v>1780</v>
      </c>
      <c r="E1067" s="43" t="s">
        <v>1917</v>
      </c>
      <c r="F1067" s="37" t="s">
        <v>1782</v>
      </c>
      <c r="G1067" s="44">
        <v>30900</v>
      </c>
      <c r="H1067" s="44">
        <v>185.4</v>
      </c>
      <c r="K1067" s="4" t="e">
        <f>VLOOKUP(A1067,Detallado!$C$5:$H$1570,6,FALSE)</f>
        <v>#N/A</v>
      </c>
    </row>
    <row r="1068" spans="1:11">
      <c r="A1068" s="90">
        <v>126990463684</v>
      </c>
      <c r="B1068" s="1" t="s">
        <v>8</v>
      </c>
      <c r="C1068" s="43" t="s">
        <v>1917</v>
      </c>
      <c r="D1068" s="1" t="s">
        <v>1780</v>
      </c>
      <c r="E1068" s="43" t="s">
        <v>1925</v>
      </c>
      <c r="F1068" s="37" t="s">
        <v>1782</v>
      </c>
      <c r="G1068" s="44">
        <v>80200</v>
      </c>
      <c r="H1068" s="44">
        <v>481.2</v>
      </c>
      <c r="K1068" s="4" t="e">
        <f>VLOOKUP(A1068,Detallado!$C$5:$H$1570,6,FALSE)</f>
        <v>#N/A</v>
      </c>
    </row>
    <row r="1069" spans="1:11">
      <c r="A1069" s="90">
        <v>126990455038</v>
      </c>
      <c r="B1069" s="1" t="s">
        <v>8</v>
      </c>
      <c r="C1069" s="43" t="s">
        <v>1917</v>
      </c>
      <c r="D1069" s="1" t="s">
        <v>1780</v>
      </c>
      <c r="E1069" s="43" t="s">
        <v>1925</v>
      </c>
      <c r="F1069" s="37" t="s">
        <v>1782</v>
      </c>
      <c r="G1069" s="44">
        <v>57100</v>
      </c>
      <c r="H1069" s="44">
        <v>342.6</v>
      </c>
      <c r="K1069" s="4" t="e">
        <f>VLOOKUP(A1069,Detallado!$C$5:$H$1570,6,FALSE)</f>
        <v>#N/A</v>
      </c>
    </row>
    <row r="1070" spans="1:11">
      <c r="A1070" s="90">
        <v>126990295636</v>
      </c>
      <c r="B1070" s="1" t="s">
        <v>8</v>
      </c>
      <c r="C1070" s="43" t="s">
        <v>1917</v>
      </c>
      <c r="D1070" s="1" t="s">
        <v>1780</v>
      </c>
      <c r="E1070" s="43" t="s">
        <v>1925</v>
      </c>
      <c r="F1070" s="37" t="s">
        <v>1782</v>
      </c>
      <c r="G1070" s="44">
        <v>44300</v>
      </c>
      <c r="H1070" s="44">
        <v>265.8</v>
      </c>
      <c r="K1070" s="4" t="e">
        <f>VLOOKUP(A1070,Detallado!$C$5:$H$1570,6,FALSE)</f>
        <v>#N/A</v>
      </c>
    </row>
    <row r="1071" spans="1:11">
      <c r="A1071" s="90">
        <v>126988634112</v>
      </c>
      <c r="B1071" s="1" t="s">
        <v>1790</v>
      </c>
      <c r="C1071" s="43" t="s">
        <v>1917</v>
      </c>
      <c r="D1071" s="1" t="s">
        <v>1780</v>
      </c>
      <c r="E1071" s="43" t="s">
        <v>1925</v>
      </c>
      <c r="F1071" s="37" t="s">
        <v>1782</v>
      </c>
      <c r="G1071" s="44">
        <v>11500</v>
      </c>
      <c r="H1071" s="44">
        <v>69</v>
      </c>
      <c r="K1071" s="4" t="e">
        <f>VLOOKUP(A1071,Detallado!$C$5:$H$1570,6,FALSE)</f>
        <v>#N/A</v>
      </c>
    </row>
    <row r="1072" spans="1:11">
      <c r="A1072" s="90">
        <v>126988152896</v>
      </c>
      <c r="B1072" s="1" t="s">
        <v>8</v>
      </c>
      <c r="C1072" s="43" t="s">
        <v>1917</v>
      </c>
      <c r="D1072" s="1" t="s">
        <v>1780</v>
      </c>
      <c r="E1072" s="43" t="s">
        <v>1925</v>
      </c>
      <c r="F1072" s="37" t="s">
        <v>1782</v>
      </c>
      <c r="G1072" s="44">
        <v>58200</v>
      </c>
      <c r="H1072" s="44">
        <v>349.2</v>
      </c>
      <c r="K1072" s="4" t="e">
        <f>VLOOKUP(A1072,Detallado!$C$5:$H$1570,6,FALSE)</f>
        <v>#N/A</v>
      </c>
    </row>
    <row r="1073" spans="1:11">
      <c r="A1073" s="90">
        <v>126432682049</v>
      </c>
      <c r="B1073" s="1" t="s">
        <v>1790</v>
      </c>
      <c r="C1073" s="43" t="s">
        <v>1917</v>
      </c>
      <c r="D1073" s="1" t="s">
        <v>1780</v>
      </c>
      <c r="E1073" s="43" t="s">
        <v>1925</v>
      </c>
      <c r="F1073" s="37" t="s">
        <v>1782</v>
      </c>
      <c r="G1073" s="44">
        <v>12100</v>
      </c>
      <c r="H1073" s="44">
        <v>72.599999999999994</v>
      </c>
      <c r="K1073" s="4" t="e">
        <f>VLOOKUP(A1073,Detallado!$C$5:$H$1570,6,FALSE)</f>
        <v>#N/A</v>
      </c>
    </row>
    <row r="1074" spans="1:11">
      <c r="A1074" s="90">
        <v>126432046519</v>
      </c>
      <c r="B1074" s="1" t="s">
        <v>8</v>
      </c>
      <c r="C1074" s="43" t="s">
        <v>1917</v>
      </c>
      <c r="D1074" s="1" t="s">
        <v>1780</v>
      </c>
      <c r="E1074" s="43" t="s">
        <v>1925</v>
      </c>
      <c r="F1074" s="37" t="s">
        <v>1782</v>
      </c>
      <c r="G1074" s="44">
        <v>10000</v>
      </c>
      <c r="H1074" s="44">
        <v>60</v>
      </c>
      <c r="K1074" s="4" t="e">
        <f>VLOOKUP(A1074,Detallado!$C$5:$H$1570,6,FALSE)</f>
        <v>#N/A</v>
      </c>
    </row>
    <row r="1075" spans="1:11">
      <c r="A1075" s="90">
        <v>126431466333</v>
      </c>
      <c r="B1075" s="1" t="s">
        <v>8</v>
      </c>
      <c r="C1075" s="43" t="s">
        <v>1917</v>
      </c>
      <c r="D1075" s="1" t="s">
        <v>1780</v>
      </c>
      <c r="E1075" s="43" t="s">
        <v>1925</v>
      </c>
      <c r="F1075" s="37" t="s">
        <v>1782</v>
      </c>
      <c r="G1075" s="44">
        <v>70400</v>
      </c>
      <c r="H1075" s="44">
        <v>422.4</v>
      </c>
      <c r="K1075" s="4" t="e">
        <f>VLOOKUP(A1075,Detallado!$C$5:$H$1570,6,FALSE)</f>
        <v>#N/A</v>
      </c>
    </row>
    <row r="1076" spans="1:11">
      <c r="A1076" s="90">
        <v>126431285979</v>
      </c>
      <c r="B1076" s="1" t="s">
        <v>8</v>
      </c>
      <c r="C1076" s="43" t="s">
        <v>1917</v>
      </c>
      <c r="D1076" s="1" t="s">
        <v>1780</v>
      </c>
      <c r="E1076" s="43" t="s">
        <v>1925</v>
      </c>
      <c r="F1076" s="37" t="s">
        <v>1782</v>
      </c>
      <c r="G1076" s="44">
        <v>54300</v>
      </c>
      <c r="H1076" s="44">
        <v>325.8</v>
      </c>
      <c r="K1076" s="4" t="e">
        <f>VLOOKUP(A1076,Detallado!$C$5:$H$1570,6,FALSE)</f>
        <v>#N/A</v>
      </c>
    </row>
    <row r="1077" spans="1:11">
      <c r="A1077" s="90">
        <v>126430980121</v>
      </c>
      <c r="B1077" s="1" t="s">
        <v>8</v>
      </c>
      <c r="C1077" s="43" t="s">
        <v>1917</v>
      </c>
      <c r="D1077" s="1" t="s">
        <v>1780</v>
      </c>
      <c r="E1077" s="43" t="s">
        <v>1925</v>
      </c>
      <c r="F1077" s="37" t="s">
        <v>1782</v>
      </c>
      <c r="G1077" s="44">
        <v>8200</v>
      </c>
      <c r="H1077" s="44">
        <v>49.2</v>
      </c>
      <c r="K1077" s="4" t="e">
        <f>VLOOKUP(A1077,Detallado!$C$5:$H$1570,6,FALSE)</f>
        <v>#N/A</v>
      </c>
    </row>
    <row r="1078" spans="1:11">
      <c r="A1078" s="90">
        <v>126430926107</v>
      </c>
      <c r="B1078" s="1" t="s">
        <v>1790</v>
      </c>
      <c r="C1078" s="43" t="s">
        <v>1917</v>
      </c>
      <c r="D1078" s="1" t="s">
        <v>1780</v>
      </c>
      <c r="E1078" s="43" t="s">
        <v>1925</v>
      </c>
      <c r="F1078" s="37" t="s">
        <v>1782</v>
      </c>
      <c r="G1078" s="44">
        <v>18700</v>
      </c>
      <c r="H1078" s="44">
        <v>112.2</v>
      </c>
      <c r="K1078" s="4" t="e">
        <f>VLOOKUP(A1078,Detallado!$C$5:$H$1570,6,FALSE)</f>
        <v>#N/A</v>
      </c>
    </row>
    <row r="1079" spans="1:11">
      <c r="A1079" s="90">
        <v>126430431329</v>
      </c>
      <c r="B1079" s="1" t="s">
        <v>1790</v>
      </c>
      <c r="C1079" s="43" t="s">
        <v>1917</v>
      </c>
      <c r="D1079" s="1" t="s">
        <v>1780</v>
      </c>
      <c r="E1079" s="43" t="s">
        <v>1925</v>
      </c>
      <c r="F1079" s="37" t="s">
        <v>1782</v>
      </c>
      <c r="G1079" s="44">
        <v>16600</v>
      </c>
      <c r="H1079" s="44">
        <v>99.6</v>
      </c>
      <c r="K1079" s="4" t="e">
        <f>VLOOKUP(A1079,Detallado!$C$5:$H$1570,6,FALSE)</f>
        <v>#N/A</v>
      </c>
    </row>
    <row r="1080" spans="1:11">
      <c r="A1080" s="90">
        <v>126430310225</v>
      </c>
      <c r="B1080" s="1" t="s">
        <v>1790</v>
      </c>
      <c r="C1080" s="43" t="s">
        <v>1917</v>
      </c>
      <c r="D1080" s="1" t="s">
        <v>1780</v>
      </c>
      <c r="E1080" s="43" t="s">
        <v>1925</v>
      </c>
      <c r="F1080" s="37" t="s">
        <v>1782</v>
      </c>
      <c r="G1080" s="44">
        <v>23000</v>
      </c>
      <c r="H1080" s="44">
        <v>138</v>
      </c>
      <c r="K1080" s="4" t="e">
        <f>VLOOKUP(A1080,Detallado!$C$5:$H$1570,6,FALSE)</f>
        <v>#N/A</v>
      </c>
    </row>
    <row r="1081" spans="1:11">
      <c r="A1081" s="90">
        <v>127076367736</v>
      </c>
      <c r="B1081" s="1" t="s">
        <v>1790</v>
      </c>
      <c r="C1081" s="43" t="s">
        <v>1925</v>
      </c>
      <c r="D1081" s="1" t="s">
        <v>1780</v>
      </c>
      <c r="E1081" s="43" t="s">
        <v>1925</v>
      </c>
      <c r="F1081" s="37" t="s">
        <v>1782</v>
      </c>
      <c r="G1081" s="44">
        <v>8600</v>
      </c>
      <c r="H1081" s="44">
        <v>51.6</v>
      </c>
      <c r="K1081" s="4" t="e">
        <f>VLOOKUP(A1081,Detallado!$C$5:$H$1570,6,FALSE)</f>
        <v>#N/A</v>
      </c>
    </row>
    <row r="1082" spans="1:11">
      <c r="A1082" s="90">
        <v>127075428606</v>
      </c>
      <c r="B1082" s="1" t="s">
        <v>8</v>
      </c>
      <c r="C1082" s="43" t="s">
        <v>1925</v>
      </c>
      <c r="D1082" s="1" t="s">
        <v>1780</v>
      </c>
      <c r="E1082" s="43" t="s">
        <v>1925</v>
      </c>
      <c r="F1082" s="37" t="s">
        <v>1782</v>
      </c>
      <c r="G1082" s="44">
        <v>33600</v>
      </c>
      <c r="H1082" s="44">
        <v>201.6</v>
      </c>
      <c r="K1082" s="4" t="e">
        <f>VLOOKUP(A1082,Detallado!$C$5:$H$1570,6,FALSE)</f>
        <v>#N/A</v>
      </c>
    </row>
    <row r="1083" spans="1:11">
      <c r="A1083" s="90">
        <v>127073157830</v>
      </c>
      <c r="B1083" s="1" t="s">
        <v>1790</v>
      </c>
      <c r="C1083" s="43" t="s">
        <v>1925</v>
      </c>
      <c r="D1083" s="1" t="s">
        <v>1780</v>
      </c>
      <c r="E1083" s="43" t="s">
        <v>1925</v>
      </c>
      <c r="F1083" s="37" t="s">
        <v>1782</v>
      </c>
      <c r="G1083" s="44">
        <v>61700</v>
      </c>
      <c r="H1083" s="44">
        <v>370.2</v>
      </c>
      <c r="K1083" s="4" t="e">
        <f>VLOOKUP(A1083,Detallado!$C$5:$H$1570,6,FALSE)</f>
        <v>#N/A</v>
      </c>
    </row>
    <row r="1084" spans="1:11">
      <c r="A1084" s="90">
        <v>127073051828</v>
      </c>
      <c r="B1084" s="1" t="s">
        <v>8</v>
      </c>
      <c r="C1084" s="43" t="s">
        <v>1925</v>
      </c>
      <c r="D1084" s="1" t="s">
        <v>1780</v>
      </c>
      <c r="E1084" s="43" t="s">
        <v>1925</v>
      </c>
      <c r="F1084" s="37" t="s">
        <v>1782</v>
      </c>
      <c r="G1084" s="44">
        <v>10600</v>
      </c>
      <c r="H1084" s="44">
        <v>63.6</v>
      </c>
      <c r="K1084" s="4" t="e">
        <f>VLOOKUP(A1084,Detallado!$C$5:$H$1570,6,FALSE)</f>
        <v>#N/A</v>
      </c>
    </row>
    <row r="1085" spans="1:11">
      <c r="A1085" s="90">
        <v>127072983012</v>
      </c>
      <c r="B1085" s="1" t="s">
        <v>1790</v>
      </c>
      <c r="C1085" s="43" t="s">
        <v>1925</v>
      </c>
      <c r="D1085" s="1" t="s">
        <v>1780</v>
      </c>
      <c r="E1085" s="43" t="s">
        <v>1925</v>
      </c>
      <c r="F1085" s="37" t="s">
        <v>1782</v>
      </c>
      <c r="G1085" s="44">
        <v>87600</v>
      </c>
      <c r="H1085" s="44">
        <v>525.6</v>
      </c>
      <c r="K1085" s="4" t="e">
        <f>VLOOKUP(A1085,Detallado!$C$5:$H$1570,6,FALSE)</f>
        <v>#N/A</v>
      </c>
    </row>
    <row r="1086" spans="1:11">
      <c r="A1086" s="90">
        <v>127070575668</v>
      </c>
      <c r="B1086" s="1" t="s">
        <v>1790</v>
      </c>
      <c r="C1086" s="43" t="s">
        <v>1925</v>
      </c>
      <c r="D1086" s="1" t="s">
        <v>1780</v>
      </c>
      <c r="E1086" s="43" t="s">
        <v>1925</v>
      </c>
      <c r="F1086" s="37" t="s">
        <v>1782</v>
      </c>
      <c r="G1086" s="44">
        <v>27300</v>
      </c>
      <c r="H1086" s="44">
        <v>163.80000000000001</v>
      </c>
      <c r="K1086" s="4" t="e">
        <f>VLOOKUP(A1086,Detallado!$C$5:$H$1570,6,FALSE)</f>
        <v>#N/A</v>
      </c>
    </row>
    <row r="1087" spans="1:11">
      <c r="A1087" s="90">
        <v>127066369438</v>
      </c>
      <c r="B1087" s="1" t="s">
        <v>8</v>
      </c>
      <c r="C1087" s="43" t="s">
        <v>1925</v>
      </c>
      <c r="D1087" s="1" t="s">
        <v>1780</v>
      </c>
      <c r="E1087" s="43" t="s">
        <v>1925</v>
      </c>
      <c r="F1087" s="37" t="s">
        <v>1782</v>
      </c>
      <c r="G1087" s="44">
        <v>17100</v>
      </c>
      <c r="H1087" s="44">
        <v>102.6</v>
      </c>
      <c r="K1087" s="4" t="e">
        <f>VLOOKUP(A1087,Detallado!$C$5:$H$1570,6,FALSE)</f>
        <v>#N/A</v>
      </c>
    </row>
    <row r="1088" spans="1:11">
      <c r="A1088" s="90">
        <v>127064546278</v>
      </c>
      <c r="B1088" s="1" t="s">
        <v>8</v>
      </c>
      <c r="C1088" s="43" t="s">
        <v>1925</v>
      </c>
      <c r="D1088" s="1" t="s">
        <v>1780</v>
      </c>
      <c r="E1088" s="43" t="s">
        <v>1925</v>
      </c>
      <c r="F1088" s="37" t="s">
        <v>1782</v>
      </c>
      <c r="G1088" s="44">
        <v>19500</v>
      </c>
      <c r="H1088" s="44">
        <v>117</v>
      </c>
      <c r="K1088" s="4" t="e">
        <f>VLOOKUP(A1088,Detallado!$C$5:$H$1570,6,FALSE)</f>
        <v>#N/A</v>
      </c>
    </row>
    <row r="1089" spans="1:11">
      <c r="A1089" s="90">
        <v>127060015374</v>
      </c>
      <c r="B1089" s="1" t="s">
        <v>8</v>
      </c>
      <c r="C1089" s="43" t="s">
        <v>1925</v>
      </c>
      <c r="D1089" s="1" t="s">
        <v>1780</v>
      </c>
      <c r="E1089" s="43" t="s">
        <v>1925</v>
      </c>
      <c r="F1089" s="37" t="s">
        <v>1782</v>
      </c>
      <c r="G1089" s="44">
        <v>9000</v>
      </c>
      <c r="H1089" s="44">
        <v>54</v>
      </c>
      <c r="K1089" s="4" t="e">
        <f>VLOOKUP(A1089,Detallado!$C$5:$H$1570,6,FALSE)</f>
        <v>#N/A</v>
      </c>
    </row>
    <row r="1090" spans="1:11">
      <c r="A1090" s="90">
        <v>127057252498</v>
      </c>
      <c r="B1090" s="1" t="s">
        <v>8</v>
      </c>
      <c r="C1090" s="43" t="s">
        <v>1925</v>
      </c>
      <c r="D1090" s="1" t="s">
        <v>1780</v>
      </c>
      <c r="E1090" s="43" t="s">
        <v>1925</v>
      </c>
      <c r="F1090" s="37" t="s">
        <v>1782</v>
      </c>
      <c r="G1090" s="44">
        <v>4300</v>
      </c>
      <c r="H1090" s="44">
        <v>25.8</v>
      </c>
      <c r="K1090" s="4" t="e">
        <f>VLOOKUP(A1090,Detallado!$C$5:$H$1570,6,FALSE)</f>
        <v>#N/A</v>
      </c>
    </row>
    <row r="1091" spans="1:11">
      <c r="A1091" s="90">
        <v>126995028620</v>
      </c>
      <c r="B1091" s="1" t="s">
        <v>1790</v>
      </c>
      <c r="C1091" s="43" t="s">
        <v>1925</v>
      </c>
      <c r="D1091" s="1" t="s">
        <v>1780</v>
      </c>
      <c r="E1091" s="43" t="s">
        <v>1925</v>
      </c>
      <c r="F1091" s="37" t="s">
        <v>1782</v>
      </c>
      <c r="G1091" s="44">
        <v>37200</v>
      </c>
      <c r="H1091" s="44">
        <v>223.2</v>
      </c>
      <c r="K1091" s="4" t="e">
        <f>VLOOKUP(A1091,Detallado!$C$5:$H$1570,6,FALSE)</f>
        <v>#N/A</v>
      </c>
    </row>
    <row r="1092" spans="1:11">
      <c r="A1092" s="90">
        <v>126994870920</v>
      </c>
      <c r="B1092" s="1" t="s">
        <v>8</v>
      </c>
      <c r="C1092" s="43" t="s">
        <v>1925</v>
      </c>
      <c r="D1092" s="1" t="s">
        <v>1780</v>
      </c>
      <c r="E1092" s="43" t="s">
        <v>1925</v>
      </c>
      <c r="F1092" s="37" t="s">
        <v>1782</v>
      </c>
      <c r="G1092" s="44">
        <v>19300</v>
      </c>
      <c r="H1092" s="44">
        <v>115.8</v>
      </c>
      <c r="K1092" s="4" t="e">
        <f>VLOOKUP(A1092,Detallado!$C$5:$H$1570,6,FALSE)</f>
        <v>#N/A</v>
      </c>
    </row>
    <row r="1093" spans="1:11">
      <c r="A1093" s="90">
        <v>126994860808</v>
      </c>
      <c r="B1093" s="1" t="s">
        <v>8</v>
      </c>
      <c r="C1093" s="43" t="s">
        <v>1925</v>
      </c>
      <c r="D1093" s="1" t="s">
        <v>1780</v>
      </c>
      <c r="E1093" s="43" t="s">
        <v>1925</v>
      </c>
      <c r="F1093" s="37" t="s">
        <v>1782</v>
      </c>
      <c r="G1093" s="44">
        <v>23500</v>
      </c>
      <c r="H1093" s="44">
        <v>141</v>
      </c>
      <c r="K1093" s="4" t="e">
        <f>VLOOKUP(A1093,Detallado!$C$5:$H$1570,6,FALSE)</f>
        <v>#N/A</v>
      </c>
    </row>
    <row r="1094" spans="1:11">
      <c r="A1094" s="90">
        <v>126994834838</v>
      </c>
      <c r="B1094" s="1" t="s">
        <v>1790</v>
      </c>
      <c r="C1094" s="43" t="s">
        <v>1925</v>
      </c>
      <c r="D1094" s="1" t="s">
        <v>1780</v>
      </c>
      <c r="E1094" s="43" t="s">
        <v>1925</v>
      </c>
      <c r="F1094" s="37" t="s">
        <v>1782</v>
      </c>
      <c r="G1094" s="44">
        <v>8600</v>
      </c>
      <c r="H1094" s="44">
        <v>51.6</v>
      </c>
      <c r="K1094" s="4" t="e">
        <f>VLOOKUP(A1094,Detallado!$C$5:$H$1570,6,FALSE)</f>
        <v>#N/A</v>
      </c>
    </row>
    <row r="1095" spans="1:11">
      <c r="A1095" s="90">
        <v>126994733000</v>
      </c>
      <c r="B1095" s="1" t="s">
        <v>8</v>
      </c>
      <c r="C1095" s="43" t="s">
        <v>1925</v>
      </c>
      <c r="D1095" s="1" t="s">
        <v>1780</v>
      </c>
      <c r="E1095" s="43" t="s">
        <v>1925</v>
      </c>
      <c r="F1095" s="37" t="s">
        <v>1782</v>
      </c>
      <c r="G1095" s="44">
        <v>18500</v>
      </c>
      <c r="H1095" s="44">
        <v>111</v>
      </c>
      <c r="K1095" s="4" t="e">
        <f>VLOOKUP(A1095,Detallado!$C$5:$H$1570,6,FALSE)</f>
        <v>#N/A</v>
      </c>
    </row>
    <row r="1096" spans="1:11">
      <c r="A1096" s="90">
        <v>126994713226</v>
      </c>
      <c r="B1096" s="1" t="s">
        <v>8</v>
      </c>
      <c r="C1096" s="43" t="s">
        <v>1925</v>
      </c>
      <c r="D1096" s="1" t="s">
        <v>1780</v>
      </c>
      <c r="E1096" s="43" t="s">
        <v>1925</v>
      </c>
      <c r="F1096" s="37" t="s">
        <v>1782</v>
      </c>
      <c r="G1096" s="44">
        <v>44400</v>
      </c>
      <c r="H1096" s="44">
        <v>266.39999999999998</v>
      </c>
      <c r="K1096" s="4" t="e">
        <f>VLOOKUP(A1096,Detallado!$C$5:$H$1570,6,FALSE)</f>
        <v>#N/A</v>
      </c>
    </row>
    <row r="1097" spans="1:11">
      <c r="A1097" s="90">
        <v>126994702036</v>
      </c>
      <c r="B1097" s="1" t="s">
        <v>8</v>
      </c>
      <c r="C1097" s="43" t="s">
        <v>1925</v>
      </c>
      <c r="D1097" s="1" t="s">
        <v>1780</v>
      </c>
      <c r="E1097" s="43" t="s">
        <v>1925</v>
      </c>
      <c r="F1097" s="37" t="s">
        <v>1782</v>
      </c>
      <c r="G1097" s="44">
        <v>15900</v>
      </c>
      <c r="H1097" s="44">
        <v>95.4</v>
      </c>
      <c r="K1097" s="4" t="e">
        <f>VLOOKUP(A1097,Detallado!$C$5:$H$1570,6,FALSE)</f>
        <v>#N/A</v>
      </c>
    </row>
    <row r="1098" spans="1:11">
      <c r="A1098" s="90">
        <v>126993923076</v>
      </c>
      <c r="B1098" s="1" t="s">
        <v>8</v>
      </c>
      <c r="C1098" s="43" t="s">
        <v>1925</v>
      </c>
      <c r="D1098" s="1" t="s">
        <v>1780</v>
      </c>
      <c r="E1098" s="43" t="s">
        <v>1925</v>
      </c>
      <c r="F1098" s="37" t="s">
        <v>1782</v>
      </c>
      <c r="G1098" s="44">
        <v>26100</v>
      </c>
      <c r="H1098" s="44">
        <v>156.6</v>
      </c>
      <c r="K1098" s="4" t="e">
        <f>VLOOKUP(A1098,Detallado!$C$5:$H$1570,6,FALSE)</f>
        <v>#N/A</v>
      </c>
    </row>
    <row r="1099" spans="1:11">
      <c r="A1099" s="90">
        <v>126993816968</v>
      </c>
      <c r="B1099" s="1" t="s">
        <v>8</v>
      </c>
      <c r="C1099" s="43" t="s">
        <v>1925</v>
      </c>
      <c r="D1099" s="1" t="s">
        <v>1780</v>
      </c>
      <c r="E1099" s="43" t="s">
        <v>1925</v>
      </c>
      <c r="F1099" s="37" t="s">
        <v>1782</v>
      </c>
      <c r="G1099" s="44">
        <v>8800</v>
      </c>
      <c r="H1099" s="44">
        <v>52.8</v>
      </c>
      <c r="K1099" s="4" t="e">
        <f>VLOOKUP(A1099,Detallado!$C$5:$H$1570,6,FALSE)</f>
        <v>#N/A</v>
      </c>
    </row>
    <row r="1100" spans="1:11">
      <c r="A1100" s="90">
        <v>126993731584</v>
      </c>
      <c r="B1100" s="1" t="s">
        <v>1930</v>
      </c>
      <c r="C1100" s="43" t="s">
        <v>1925</v>
      </c>
      <c r="D1100" s="1" t="s">
        <v>1780</v>
      </c>
      <c r="E1100" s="43" t="s">
        <v>1925</v>
      </c>
      <c r="F1100" s="37" t="s">
        <v>1782</v>
      </c>
      <c r="G1100" s="44">
        <v>1030</v>
      </c>
      <c r="H1100" s="44">
        <v>6.18</v>
      </c>
      <c r="K1100" s="4" t="e">
        <f>VLOOKUP(A1100,Detallado!$C$5:$H$1570,6,FALSE)</f>
        <v>#N/A</v>
      </c>
    </row>
    <row r="1101" spans="1:11">
      <c r="A1101" s="90">
        <v>126992956554</v>
      </c>
      <c r="B1101" s="1" t="s">
        <v>1790</v>
      </c>
      <c r="C1101" s="43" t="s">
        <v>1925</v>
      </c>
      <c r="D1101" s="1" t="s">
        <v>1780</v>
      </c>
      <c r="E1101" s="43" t="s">
        <v>1925</v>
      </c>
      <c r="F1101" s="37" t="s">
        <v>1782</v>
      </c>
      <c r="G1101" s="44">
        <v>86400</v>
      </c>
      <c r="H1101" s="44">
        <v>518.4</v>
      </c>
      <c r="K1101" s="4" t="e">
        <f>VLOOKUP(A1101,Detallado!$C$5:$H$1570,6,FALSE)</f>
        <v>#N/A</v>
      </c>
    </row>
    <row r="1102" spans="1:11">
      <c r="A1102" s="90">
        <v>126992767926</v>
      </c>
      <c r="B1102" s="1" t="s">
        <v>8</v>
      </c>
      <c r="C1102" s="43" t="s">
        <v>1925</v>
      </c>
      <c r="D1102" s="1" t="s">
        <v>1780</v>
      </c>
      <c r="E1102" s="43" t="s">
        <v>1925</v>
      </c>
      <c r="F1102" s="37" t="s">
        <v>1782</v>
      </c>
      <c r="G1102" s="44">
        <v>46700</v>
      </c>
      <c r="H1102" s="44">
        <v>280.2</v>
      </c>
      <c r="K1102" s="4" t="e">
        <f>VLOOKUP(A1102,Detallado!$C$5:$H$1570,6,FALSE)</f>
        <v>#N/A</v>
      </c>
    </row>
    <row r="1103" spans="1:11">
      <c r="A1103" s="90">
        <v>126992667842</v>
      </c>
      <c r="B1103" s="1" t="s">
        <v>1790</v>
      </c>
      <c r="C1103" s="43" t="s">
        <v>1925</v>
      </c>
      <c r="D1103" s="1" t="s">
        <v>1780</v>
      </c>
      <c r="E1103" s="43" t="s">
        <v>1925</v>
      </c>
      <c r="F1103" s="37" t="s">
        <v>1782</v>
      </c>
      <c r="G1103" s="44">
        <v>22500</v>
      </c>
      <c r="H1103" s="44">
        <v>135</v>
      </c>
      <c r="K1103" s="4" t="e">
        <f>VLOOKUP(A1103,Detallado!$C$5:$H$1570,6,FALSE)</f>
        <v>#N/A</v>
      </c>
    </row>
    <row r="1104" spans="1:11">
      <c r="A1104" s="90">
        <v>126992591204</v>
      </c>
      <c r="B1104" s="1" t="s">
        <v>8</v>
      </c>
      <c r="C1104" s="43" t="s">
        <v>1925</v>
      </c>
      <c r="D1104" s="1" t="s">
        <v>1780</v>
      </c>
      <c r="E1104" s="43" t="s">
        <v>1925</v>
      </c>
      <c r="F1104" s="37" t="s">
        <v>1782</v>
      </c>
      <c r="G1104" s="44">
        <v>14000</v>
      </c>
      <c r="H1104" s="44">
        <v>84</v>
      </c>
      <c r="K1104" s="4" t="e">
        <f>VLOOKUP(A1104,Detallado!$C$5:$H$1570,6,FALSE)</f>
        <v>#N/A</v>
      </c>
    </row>
    <row r="1105" spans="1:11">
      <c r="A1105" s="90">
        <v>126992555472</v>
      </c>
      <c r="B1105" s="1" t="s">
        <v>8</v>
      </c>
      <c r="C1105" s="43" t="s">
        <v>1925</v>
      </c>
      <c r="D1105" s="1" t="s">
        <v>1780</v>
      </c>
      <c r="E1105" s="43" t="s">
        <v>1925</v>
      </c>
      <c r="F1105" s="37" t="s">
        <v>1782</v>
      </c>
      <c r="G1105" s="44">
        <v>8600</v>
      </c>
      <c r="H1105" s="44">
        <v>51.6</v>
      </c>
      <c r="K1105" s="4" t="e">
        <f>VLOOKUP(A1105,Detallado!$C$5:$H$1570,6,FALSE)</f>
        <v>#N/A</v>
      </c>
    </row>
    <row r="1106" spans="1:11">
      <c r="A1106" s="90">
        <v>126992434810</v>
      </c>
      <c r="B1106" s="1" t="s">
        <v>1790</v>
      </c>
      <c r="C1106" s="43" t="s">
        <v>1925</v>
      </c>
      <c r="D1106" s="1" t="s">
        <v>1780</v>
      </c>
      <c r="E1106" s="43" t="s">
        <v>1925</v>
      </c>
      <c r="F1106" s="37" t="s">
        <v>1782</v>
      </c>
      <c r="G1106" s="44">
        <v>35900</v>
      </c>
      <c r="H1106" s="44">
        <v>215.4</v>
      </c>
      <c r="K1106" s="4" t="e">
        <f>VLOOKUP(A1106,Detallado!$C$5:$H$1570,6,FALSE)</f>
        <v>#N/A</v>
      </c>
    </row>
    <row r="1107" spans="1:11">
      <c r="A1107" s="90">
        <v>126992294948</v>
      </c>
      <c r="B1107" s="1" t="s">
        <v>1929</v>
      </c>
      <c r="C1107" s="43" t="s">
        <v>1925</v>
      </c>
      <c r="D1107" s="1" t="s">
        <v>1780</v>
      </c>
      <c r="E1107" s="43" t="s">
        <v>1925</v>
      </c>
      <c r="F1107" s="37" t="s">
        <v>1782</v>
      </c>
      <c r="G1107" s="44">
        <v>2695</v>
      </c>
      <c r="H1107" s="44">
        <v>16.170000000000002</v>
      </c>
      <c r="K1107" s="4" t="e">
        <f>VLOOKUP(A1107,Detallado!$C$5:$H$1570,6,FALSE)</f>
        <v>#N/A</v>
      </c>
    </row>
    <row r="1108" spans="1:11">
      <c r="A1108" s="90">
        <v>126992251400</v>
      </c>
      <c r="B1108" s="1" t="s">
        <v>8</v>
      </c>
      <c r="C1108" s="43" t="s">
        <v>1925</v>
      </c>
      <c r="D1108" s="1" t="s">
        <v>1780</v>
      </c>
      <c r="E1108" s="43" t="s">
        <v>1925</v>
      </c>
      <c r="F1108" s="37" t="s">
        <v>1782</v>
      </c>
      <c r="G1108" s="44">
        <v>53900</v>
      </c>
      <c r="H1108" s="44">
        <v>323.39999999999998</v>
      </c>
      <c r="K1108" s="4" t="e">
        <f>VLOOKUP(A1108,Detallado!$C$5:$H$1570,6,FALSE)</f>
        <v>#N/A</v>
      </c>
    </row>
    <row r="1109" spans="1:11">
      <c r="A1109" s="90">
        <v>126991676568</v>
      </c>
      <c r="B1109" s="1" t="s">
        <v>1926</v>
      </c>
      <c r="C1109" s="43" t="s">
        <v>1925</v>
      </c>
      <c r="D1109" s="1" t="s">
        <v>1780</v>
      </c>
      <c r="E1109" s="43" t="s">
        <v>1925</v>
      </c>
      <c r="F1109" s="37" t="s">
        <v>1782</v>
      </c>
      <c r="G1109" s="44">
        <v>1175</v>
      </c>
      <c r="H1109" s="44">
        <v>7.05</v>
      </c>
      <c r="K1109" s="4" t="e">
        <f>VLOOKUP(A1109,Detallado!$C$5:$H$1570,6,FALSE)</f>
        <v>#N/A</v>
      </c>
    </row>
    <row r="1110" spans="1:11">
      <c r="A1110" s="90">
        <v>126991562026</v>
      </c>
      <c r="B1110" s="1" t="s">
        <v>8</v>
      </c>
      <c r="C1110" s="43" t="s">
        <v>1925</v>
      </c>
      <c r="D1110" s="1" t="s">
        <v>1780</v>
      </c>
      <c r="E1110" s="43" t="s">
        <v>1925</v>
      </c>
      <c r="F1110" s="37" t="s">
        <v>1782</v>
      </c>
      <c r="G1110" s="44">
        <v>23500</v>
      </c>
      <c r="H1110" s="44">
        <v>141</v>
      </c>
      <c r="K1110" s="4" t="e">
        <f>VLOOKUP(A1110,Detallado!$C$5:$H$1570,6,FALSE)</f>
        <v>#N/A</v>
      </c>
    </row>
    <row r="1111" spans="1:11">
      <c r="A1111" s="90">
        <v>126991162222</v>
      </c>
      <c r="B1111" s="1" t="s">
        <v>8</v>
      </c>
      <c r="C1111" s="43" t="s">
        <v>1925</v>
      </c>
      <c r="D1111" s="1" t="s">
        <v>1780</v>
      </c>
      <c r="E1111" s="43" t="s">
        <v>1925</v>
      </c>
      <c r="F1111" s="37" t="s">
        <v>1782</v>
      </c>
      <c r="G1111" s="44">
        <v>156700</v>
      </c>
      <c r="H1111" s="44">
        <v>940.2</v>
      </c>
      <c r="K1111" s="4" t="e">
        <f>VLOOKUP(A1111,Detallado!$C$5:$H$1570,6,FALSE)</f>
        <v>#N/A</v>
      </c>
    </row>
    <row r="1112" spans="1:11">
      <c r="A1112" s="90">
        <v>126991147208</v>
      </c>
      <c r="B1112" s="1" t="s">
        <v>8</v>
      </c>
      <c r="C1112" s="43" t="s">
        <v>1925</v>
      </c>
      <c r="D1112" s="1" t="s">
        <v>1780</v>
      </c>
      <c r="E1112" s="43" t="s">
        <v>1925</v>
      </c>
      <c r="F1112" s="37" t="s">
        <v>1782</v>
      </c>
      <c r="G1112" s="44">
        <v>43800</v>
      </c>
      <c r="H1112" s="44">
        <v>262.8</v>
      </c>
      <c r="K1112" s="4" t="e">
        <f>VLOOKUP(A1112,Detallado!$C$5:$H$1570,6,FALSE)</f>
        <v>#N/A</v>
      </c>
    </row>
    <row r="1113" spans="1:11">
      <c r="A1113" s="90">
        <v>126517605135</v>
      </c>
      <c r="B1113" s="1" t="s">
        <v>1933</v>
      </c>
      <c r="C1113" s="43" t="s">
        <v>1925</v>
      </c>
      <c r="D1113" s="1" t="s">
        <v>1780</v>
      </c>
      <c r="E1113" s="43" t="s">
        <v>1925</v>
      </c>
      <c r="F1113" s="37" t="s">
        <v>1782</v>
      </c>
      <c r="G1113" s="44">
        <v>1680</v>
      </c>
      <c r="H1113" s="44">
        <v>10.08</v>
      </c>
      <c r="K1113" s="4" t="e">
        <f>VLOOKUP(A1113,Detallado!$C$5:$H$1570,6,FALSE)</f>
        <v>#N/A</v>
      </c>
    </row>
    <row r="1114" spans="1:11">
      <c r="A1114" s="90">
        <v>126517378719</v>
      </c>
      <c r="B1114" s="1" t="s">
        <v>1934</v>
      </c>
      <c r="C1114" s="43" t="s">
        <v>1925</v>
      </c>
      <c r="D1114" s="1" t="s">
        <v>1780</v>
      </c>
      <c r="E1114" s="43" t="s">
        <v>1925</v>
      </c>
      <c r="F1114" s="37" t="s">
        <v>1782</v>
      </c>
      <c r="G1114" s="44">
        <v>700</v>
      </c>
      <c r="H1114" s="44">
        <v>4.2</v>
      </c>
      <c r="K1114" s="4" t="e">
        <f>VLOOKUP(A1114,Detallado!$C$5:$H$1570,6,FALSE)</f>
        <v>#N/A</v>
      </c>
    </row>
    <row r="1115" spans="1:11">
      <c r="A1115" s="90">
        <v>126517327301</v>
      </c>
      <c r="B1115" s="1" t="s">
        <v>8</v>
      </c>
      <c r="C1115" s="43" t="s">
        <v>1925</v>
      </c>
      <c r="D1115" s="1" t="s">
        <v>1780</v>
      </c>
      <c r="E1115" s="43" t="s">
        <v>1925</v>
      </c>
      <c r="F1115" s="37" t="s">
        <v>1782</v>
      </c>
      <c r="G1115" s="44">
        <v>7000</v>
      </c>
      <c r="H1115" s="44">
        <v>42</v>
      </c>
      <c r="K1115" s="4" t="e">
        <f>VLOOKUP(A1115,Detallado!$C$5:$H$1570,6,FALSE)</f>
        <v>#N/A</v>
      </c>
    </row>
    <row r="1116" spans="1:11">
      <c r="A1116" s="90">
        <v>126515369669</v>
      </c>
      <c r="B1116" s="1" t="s">
        <v>8</v>
      </c>
      <c r="C1116" s="43" t="s">
        <v>1925</v>
      </c>
      <c r="D1116" s="1" t="s">
        <v>1780</v>
      </c>
      <c r="E1116" s="43" t="s">
        <v>1925</v>
      </c>
      <c r="F1116" s="37" t="s">
        <v>1782</v>
      </c>
      <c r="G1116" s="44">
        <v>33700</v>
      </c>
      <c r="H1116" s="44">
        <v>202.2</v>
      </c>
      <c r="K1116" s="4" t="e">
        <f>VLOOKUP(A1116,Detallado!$C$5:$H$1570,6,FALSE)</f>
        <v>#N/A</v>
      </c>
    </row>
    <row r="1117" spans="1:11">
      <c r="A1117" s="90">
        <v>126515332807</v>
      </c>
      <c r="B1117" s="1" t="s">
        <v>1790</v>
      </c>
      <c r="C1117" s="43" t="s">
        <v>1925</v>
      </c>
      <c r="D1117" s="1" t="s">
        <v>1780</v>
      </c>
      <c r="E1117" s="43" t="s">
        <v>1925</v>
      </c>
      <c r="F1117" s="37" t="s">
        <v>1782</v>
      </c>
      <c r="G1117" s="44">
        <v>10500</v>
      </c>
      <c r="H1117" s="44">
        <v>63</v>
      </c>
      <c r="K1117" s="4" t="e">
        <f>VLOOKUP(A1117,Detallado!$C$5:$H$1570,6,FALSE)</f>
        <v>#N/A</v>
      </c>
    </row>
    <row r="1118" spans="1:11">
      <c r="A1118" s="90">
        <v>126514090825</v>
      </c>
      <c r="B1118" s="1" t="s">
        <v>1790</v>
      </c>
      <c r="C1118" s="43" t="s">
        <v>1925</v>
      </c>
      <c r="D1118" s="1" t="s">
        <v>1780</v>
      </c>
      <c r="E1118" s="43" t="s">
        <v>1925</v>
      </c>
      <c r="F1118" s="37" t="s">
        <v>1782</v>
      </c>
      <c r="G1118" s="44">
        <v>15300</v>
      </c>
      <c r="H1118" s="44">
        <v>91.8</v>
      </c>
      <c r="K1118" s="4" t="e">
        <f>VLOOKUP(A1118,Detallado!$C$5:$H$1570,6,FALSE)</f>
        <v>#N/A</v>
      </c>
    </row>
    <row r="1119" spans="1:11">
      <c r="A1119" s="90">
        <v>126512641065</v>
      </c>
      <c r="B1119" s="1" t="s">
        <v>8</v>
      </c>
      <c r="C1119" s="43" t="s">
        <v>1925</v>
      </c>
      <c r="D1119" s="1" t="s">
        <v>1780</v>
      </c>
      <c r="E1119" s="43" t="s">
        <v>1925</v>
      </c>
      <c r="F1119" s="37" t="s">
        <v>1782</v>
      </c>
      <c r="G1119" s="44">
        <v>8000</v>
      </c>
      <c r="H1119" s="44">
        <v>48</v>
      </c>
      <c r="K1119" s="4" t="e">
        <f>VLOOKUP(A1119,Detallado!$C$5:$H$1570,6,FALSE)</f>
        <v>#N/A</v>
      </c>
    </row>
    <row r="1120" spans="1:11">
      <c r="A1120" s="90">
        <v>126511948803</v>
      </c>
      <c r="B1120" s="1" t="s">
        <v>8</v>
      </c>
      <c r="C1120" s="43" t="s">
        <v>1925</v>
      </c>
      <c r="D1120" s="1" t="s">
        <v>1780</v>
      </c>
      <c r="E1120" s="43" t="s">
        <v>1925</v>
      </c>
      <c r="F1120" s="37" t="s">
        <v>1782</v>
      </c>
      <c r="G1120" s="44">
        <v>64400</v>
      </c>
      <c r="H1120" s="44">
        <v>386.4</v>
      </c>
      <c r="K1120" s="4" t="e">
        <f>VLOOKUP(A1120,Detallado!$C$5:$H$1570,6,FALSE)</f>
        <v>#N/A</v>
      </c>
    </row>
    <row r="1121" spans="1:11">
      <c r="A1121" s="90">
        <v>126511461547</v>
      </c>
      <c r="B1121" s="1" t="s">
        <v>8</v>
      </c>
      <c r="C1121" s="43" t="s">
        <v>1925</v>
      </c>
      <c r="D1121" s="1" t="s">
        <v>1780</v>
      </c>
      <c r="E1121" s="43" t="s">
        <v>1925</v>
      </c>
      <c r="F1121" s="37" t="s">
        <v>1782</v>
      </c>
      <c r="G1121" s="44">
        <v>23500</v>
      </c>
      <c r="H1121" s="44">
        <v>141</v>
      </c>
      <c r="K1121" s="4" t="e">
        <f>VLOOKUP(A1121,Detallado!$C$5:$H$1570,6,FALSE)</f>
        <v>#N/A</v>
      </c>
    </row>
    <row r="1122" spans="1:11">
      <c r="A1122" s="90">
        <v>126510073927</v>
      </c>
      <c r="B1122" s="1" t="s">
        <v>1790</v>
      </c>
      <c r="C1122" s="43" t="s">
        <v>1925</v>
      </c>
      <c r="D1122" s="1" t="s">
        <v>1780</v>
      </c>
      <c r="E1122" s="43" t="s">
        <v>1925</v>
      </c>
      <c r="F1122" s="37" t="s">
        <v>1782</v>
      </c>
      <c r="G1122" s="44">
        <v>26100</v>
      </c>
      <c r="H1122" s="44">
        <v>156.6</v>
      </c>
      <c r="K1122" s="4" t="e">
        <f>VLOOKUP(A1122,Detallado!$C$5:$H$1570,6,FALSE)</f>
        <v>#N/A</v>
      </c>
    </row>
    <row r="1123" spans="1:11">
      <c r="A1123" s="90">
        <v>126509739927</v>
      </c>
      <c r="B1123" s="1" t="s">
        <v>1790</v>
      </c>
      <c r="C1123" s="43" t="s">
        <v>1925</v>
      </c>
      <c r="D1123" s="1" t="s">
        <v>1780</v>
      </c>
      <c r="E1123" s="43" t="s">
        <v>1925</v>
      </c>
      <c r="F1123" s="37" t="s">
        <v>1782</v>
      </c>
      <c r="G1123" s="44">
        <v>19500</v>
      </c>
      <c r="H1123" s="44">
        <v>117</v>
      </c>
      <c r="K1123" s="4" t="e">
        <f>VLOOKUP(A1123,Detallado!$C$5:$H$1570,6,FALSE)</f>
        <v>#N/A</v>
      </c>
    </row>
    <row r="1124" spans="1:11">
      <c r="A1124" s="90">
        <v>126508269011</v>
      </c>
      <c r="B1124" s="1" t="s">
        <v>8</v>
      </c>
      <c r="C1124" s="43" t="s">
        <v>1925</v>
      </c>
      <c r="D1124" s="1" t="s">
        <v>1780</v>
      </c>
      <c r="E1124" s="43" t="s">
        <v>1925</v>
      </c>
      <c r="F1124" s="37" t="s">
        <v>1782</v>
      </c>
      <c r="G1124" s="44">
        <v>8600</v>
      </c>
      <c r="H1124" s="44">
        <v>51.6</v>
      </c>
      <c r="K1124" s="4" t="e">
        <f>VLOOKUP(A1124,Detallado!$C$5:$H$1570,6,FALSE)</f>
        <v>#N/A</v>
      </c>
    </row>
    <row r="1125" spans="1:11">
      <c r="A1125" s="90">
        <v>126502326417</v>
      </c>
      <c r="B1125" s="1" t="s">
        <v>8</v>
      </c>
      <c r="C1125" s="43" t="s">
        <v>1925</v>
      </c>
      <c r="D1125" s="1" t="s">
        <v>1780</v>
      </c>
      <c r="E1125" s="43" t="s">
        <v>1925</v>
      </c>
      <c r="F1125" s="37" t="s">
        <v>1782</v>
      </c>
      <c r="G1125" s="44">
        <v>4500</v>
      </c>
      <c r="H1125" s="44">
        <v>27</v>
      </c>
      <c r="K1125" s="4" t="e">
        <f>VLOOKUP(A1125,Detallado!$C$5:$H$1570,6,FALSE)</f>
        <v>#N/A</v>
      </c>
    </row>
    <row r="1126" spans="1:11">
      <c r="A1126" s="90">
        <v>126501121485</v>
      </c>
      <c r="B1126" s="1" t="s">
        <v>1790</v>
      </c>
      <c r="C1126" s="43" t="s">
        <v>1925</v>
      </c>
      <c r="D1126" s="1" t="s">
        <v>1780</v>
      </c>
      <c r="E1126" s="43" t="s">
        <v>1925</v>
      </c>
      <c r="F1126" s="37" t="s">
        <v>1782</v>
      </c>
      <c r="G1126" s="44">
        <v>7000</v>
      </c>
      <c r="H1126" s="44">
        <v>42</v>
      </c>
      <c r="K1126" s="4" t="e">
        <f>VLOOKUP(A1126,Detallado!$C$5:$H$1570,6,FALSE)</f>
        <v>#N/A</v>
      </c>
    </row>
    <row r="1127" spans="1:11">
      <c r="A1127" s="90">
        <v>126499013865</v>
      </c>
      <c r="B1127" s="1" t="s">
        <v>1790</v>
      </c>
      <c r="C1127" s="43" t="s">
        <v>1925</v>
      </c>
      <c r="D1127" s="1" t="s">
        <v>1780</v>
      </c>
      <c r="E1127" s="43" t="s">
        <v>1925</v>
      </c>
      <c r="F1127" s="37" t="s">
        <v>1782</v>
      </c>
      <c r="G1127" s="44">
        <v>5300</v>
      </c>
      <c r="H1127" s="44">
        <v>31.8</v>
      </c>
      <c r="K1127" s="4" t="e">
        <f>VLOOKUP(A1127,Detallado!$C$5:$H$1570,6,FALSE)</f>
        <v>#N/A</v>
      </c>
    </row>
    <row r="1128" spans="1:11">
      <c r="A1128" s="90">
        <v>126498711815</v>
      </c>
      <c r="B1128" s="1" t="s">
        <v>8</v>
      </c>
      <c r="C1128" s="43" t="s">
        <v>1925</v>
      </c>
      <c r="D1128" s="1" t="s">
        <v>1780</v>
      </c>
      <c r="E1128" s="43" t="s">
        <v>1925</v>
      </c>
      <c r="F1128" s="37" t="s">
        <v>1782</v>
      </c>
      <c r="G1128" s="44">
        <v>8600</v>
      </c>
      <c r="H1128" s="44">
        <v>51.6</v>
      </c>
      <c r="K1128" s="4" t="e">
        <f>VLOOKUP(A1128,Detallado!$C$5:$H$1570,6,FALSE)</f>
        <v>#N/A</v>
      </c>
    </row>
    <row r="1129" spans="1:11">
      <c r="A1129" s="90">
        <v>126437258399</v>
      </c>
      <c r="B1129" s="1" t="s">
        <v>8</v>
      </c>
      <c r="C1129" s="43" t="s">
        <v>1925</v>
      </c>
      <c r="D1129" s="1" t="s">
        <v>1780</v>
      </c>
      <c r="E1129" s="43" t="s">
        <v>1925</v>
      </c>
      <c r="F1129" s="37" t="s">
        <v>1782</v>
      </c>
      <c r="G1129" s="44">
        <v>18600</v>
      </c>
      <c r="H1129" s="44">
        <v>111.6</v>
      </c>
      <c r="K1129" s="4" t="e">
        <f>VLOOKUP(A1129,Detallado!$C$5:$H$1570,6,FALSE)</f>
        <v>#N/A</v>
      </c>
    </row>
    <row r="1130" spans="1:11">
      <c r="A1130" s="90">
        <v>126436885759</v>
      </c>
      <c r="B1130" s="1" t="s">
        <v>8</v>
      </c>
      <c r="C1130" s="43" t="s">
        <v>1925</v>
      </c>
      <c r="D1130" s="1" t="s">
        <v>1780</v>
      </c>
      <c r="E1130" s="43" t="s">
        <v>1925</v>
      </c>
      <c r="F1130" s="37" t="s">
        <v>1782</v>
      </c>
      <c r="G1130" s="44">
        <v>19000</v>
      </c>
      <c r="H1130" s="44">
        <v>114</v>
      </c>
      <c r="K1130" s="4" t="e">
        <f>VLOOKUP(A1130,Detallado!$C$5:$H$1570,6,FALSE)</f>
        <v>#N/A</v>
      </c>
    </row>
    <row r="1131" spans="1:11">
      <c r="A1131" s="90">
        <v>126436687071</v>
      </c>
      <c r="B1131" s="1" t="s">
        <v>8</v>
      </c>
      <c r="C1131" s="43" t="s">
        <v>1925</v>
      </c>
      <c r="D1131" s="1" t="s">
        <v>1780</v>
      </c>
      <c r="E1131" s="43" t="s">
        <v>1925</v>
      </c>
      <c r="F1131" s="37" t="s">
        <v>1782</v>
      </c>
      <c r="G1131" s="44">
        <v>39000</v>
      </c>
      <c r="H1131" s="44">
        <v>234</v>
      </c>
      <c r="K1131" s="4" t="e">
        <f>VLOOKUP(A1131,Detallado!$C$5:$H$1570,6,FALSE)</f>
        <v>#N/A</v>
      </c>
    </row>
    <row r="1132" spans="1:11">
      <c r="A1132" s="90">
        <v>126436481429</v>
      </c>
      <c r="B1132" s="1" t="s">
        <v>1790</v>
      </c>
      <c r="C1132" s="43" t="s">
        <v>1925</v>
      </c>
      <c r="D1132" s="1" t="s">
        <v>1780</v>
      </c>
      <c r="E1132" s="43" t="s">
        <v>1925</v>
      </c>
      <c r="F1132" s="37" t="s">
        <v>1782</v>
      </c>
      <c r="G1132" s="44">
        <v>52300</v>
      </c>
      <c r="H1132" s="44">
        <v>313.8</v>
      </c>
      <c r="K1132" s="4" t="e">
        <f>VLOOKUP(A1132,Detallado!$C$5:$H$1570,6,FALSE)</f>
        <v>#N/A</v>
      </c>
    </row>
    <row r="1133" spans="1:11">
      <c r="A1133" s="90">
        <v>126436273079</v>
      </c>
      <c r="B1133" s="1" t="s">
        <v>8</v>
      </c>
      <c r="C1133" s="43" t="s">
        <v>1925</v>
      </c>
      <c r="D1133" s="1" t="s">
        <v>1780</v>
      </c>
      <c r="E1133" s="43" t="s">
        <v>1925</v>
      </c>
      <c r="F1133" s="37" t="s">
        <v>1782</v>
      </c>
      <c r="G1133" s="44">
        <v>10300</v>
      </c>
      <c r="H1133" s="44">
        <v>61.8</v>
      </c>
      <c r="K1133" s="4" t="e">
        <f>VLOOKUP(A1133,Detallado!$C$5:$H$1570,6,FALSE)</f>
        <v>#N/A</v>
      </c>
    </row>
    <row r="1134" spans="1:11">
      <c r="A1134" s="90">
        <v>126435988375</v>
      </c>
      <c r="B1134" s="1" t="s">
        <v>8</v>
      </c>
      <c r="C1134" s="43" t="s">
        <v>1925</v>
      </c>
      <c r="D1134" s="1" t="s">
        <v>1780</v>
      </c>
      <c r="E1134" s="43" t="s">
        <v>1925</v>
      </c>
      <c r="F1134" s="37" t="s">
        <v>1782</v>
      </c>
      <c r="G1134" s="44">
        <v>20600</v>
      </c>
      <c r="H1134" s="44">
        <v>123.6</v>
      </c>
      <c r="K1134" s="4" t="e">
        <f>VLOOKUP(A1134,Detallado!$C$5:$H$1570,6,FALSE)</f>
        <v>#N/A</v>
      </c>
    </row>
    <row r="1135" spans="1:11">
      <c r="A1135" s="90">
        <v>126435881501</v>
      </c>
      <c r="B1135" s="1" t="s">
        <v>8</v>
      </c>
      <c r="C1135" s="43" t="s">
        <v>1925</v>
      </c>
      <c r="D1135" s="1" t="s">
        <v>1780</v>
      </c>
      <c r="E1135" s="43" t="s">
        <v>1925</v>
      </c>
      <c r="F1135" s="37" t="s">
        <v>1782</v>
      </c>
      <c r="G1135" s="44">
        <v>117300</v>
      </c>
      <c r="H1135" s="44">
        <v>703.8</v>
      </c>
      <c r="K1135" s="4" t="e">
        <f>VLOOKUP(A1135,Detallado!$C$5:$H$1570,6,FALSE)</f>
        <v>#N/A</v>
      </c>
    </row>
    <row r="1136" spans="1:11">
      <c r="A1136" s="90">
        <v>126435878863</v>
      </c>
      <c r="B1136" s="1" t="s">
        <v>1790</v>
      </c>
      <c r="C1136" s="43" t="s">
        <v>1925</v>
      </c>
      <c r="D1136" s="1" t="s">
        <v>1780</v>
      </c>
      <c r="E1136" s="43" t="s">
        <v>1925</v>
      </c>
      <c r="F1136" s="37" t="s">
        <v>1782</v>
      </c>
      <c r="G1136" s="44">
        <v>24800</v>
      </c>
      <c r="H1136" s="44">
        <v>148.80000000000001</v>
      </c>
      <c r="K1136" s="4" t="e">
        <f>VLOOKUP(A1136,Detallado!$C$5:$H$1570,6,FALSE)</f>
        <v>#N/A</v>
      </c>
    </row>
    <row r="1137" spans="1:16">
      <c r="A1137" s="90">
        <v>126435168221</v>
      </c>
      <c r="B1137" s="1" t="s">
        <v>8</v>
      </c>
      <c r="C1137" s="43" t="s">
        <v>1925</v>
      </c>
      <c r="D1137" s="1" t="s">
        <v>1780</v>
      </c>
      <c r="E1137" s="43" t="s">
        <v>1925</v>
      </c>
      <c r="F1137" s="37" t="s">
        <v>1782</v>
      </c>
      <c r="G1137" s="44">
        <v>117100</v>
      </c>
      <c r="H1137" s="44">
        <v>702.6</v>
      </c>
      <c r="K1137" s="4" t="e">
        <f>VLOOKUP(A1137,Detallado!$C$5:$H$1570,6,FALSE)</f>
        <v>#N/A</v>
      </c>
    </row>
    <row r="1138" spans="1:16">
      <c r="A1138" s="90">
        <v>126434616539</v>
      </c>
      <c r="B1138" s="1" t="s">
        <v>1790</v>
      </c>
      <c r="C1138" s="43" t="s">
        <v>1925</v>
      </c>
      <c r="D1138" s="1" t="s">
        <v>1780</v>
      </c>
      <c r="E1138" s="43" t="s">
        <v>1925</v>
      </c>
      <c r="F1138" s="37" t="s">
        <v>1782</v>
      </c>
      <c r="G1138" s="44">
        <v>24600</v>
      </c>
      <c r="H1138" s="44">
        <v>147.6</v>
      </c>
      <c r="K1138" s="4" t="e">
        <f>VLOOKUP(A1138,Detallado!$C$5:$H$1570,6,FALSE)</f>
        <v>#N/A</v>
      </c>
    </row>
    <row r="1139" spans="1:16">
      <c r="A1139" s="90">
        <v>126434588095</v>
      </c>
      <c r="B1139" s="1" t="s">
        <v>1790</v>
      </c>
      <c r="C1139" s="43" t="s">
        <v>1925</v>
      </c>
      <c r="D1139" s="1" t="s">
        <v>1780</v>
      </c>
      <c r="E1139" s="43" t="s">
        <v>1925</v>
      </c>
      <c r="F1139" s="37" t="s">
        <v>1782</v>
      </c>
      <c r="G1139" s="44">
        <v>19800</v>
      </c>
      <c r="H1139" s="44">
        <v>118.8</v>
      </c>
      <c r="K1139" s="4" t="e">
        <f>VLOOKUP(A1139,Detallado!$C$5:$H$1570,6,FALSE)</f>
        <v>#N/A</v>
      </c>
    </row>
    <row r="1140" spans="1:16">
      <c r="A1140" s="90">
        <v>126433647229</v>
      </c>
      <c r="B1140" s="1" t="s">
        <v>8</v>
      </c>
      <c r="C1140" s="43" t="s">
        <v>1925</v>
      </c>
      <c r="D1140" s="1" t="s">
        <v>1780</v>
      </c>
      <c r="E1140" s="43" t="s">
        <v>1925</v>
      </c>
      <c r="F1140" s="37" t="s">
        <v>1782</v>
      </c>
      <c r="G1140" s="44">
        <v>5900</v>
      </c>
      <c r="H1140" s="44">
        <v>35.4</v>
      </c>
      <c r="K1140" s="4" t="e">
        <f>VLOOKUP(A1140,Detallado!$C$5:$H$1570,6,FALSE)</f>
        <v>#N/A</v>
      </c>
    </row>
    <row r="1141" spans="1:16">
      <c r="A1141" s="90">
        <v>126433503641</v>
      </c>
      <c r="B1141" s="1" t="s">
        <v>1928</v>
      </c>
      <c r="C1141" s="43" t="s">
        <v>1925</v>
      </c>
      <c r="D1141" s="1" t="s">
        <v>1780</v>
      </c>
      <c r="E1141" s="43" t="s">
        <v>1925</v>
      </c>
      <c r="F1141" s="37" t="s">
        <v>1782</v>
      </c>
      <c r="G1141" s="44">
        <v>7835</v>
      </c>
      <c r="H1141" s="44">
        <v>47.01</v>
      </c>
      <c r="K1141" s="4" t="e">
        <f>VLOOKUP(A1141,Detallado!$C$5:$H$1570,6,FALSE)</f>
        <v>#N/A</v>
      </c>
    </row>
    <row r="1142" spans="1:16">
      <c r="A1142" s="90">
        <v>126433454335</v>
      </c>
      <c r="B1142" s="1" t="s">
        <v>1790</v>
      </c>
      <c r="C1142" s="43" t="s">
        <v>1925</v>
      </c>
      <c r="D1142" s="1" t="s">
        <v>1780</v>
      </c>
      <c r="E1142" s="43" t="s">
        <v>1925</v>
      </c>
      <c r="F1142" s="37" t="s">
        <v>1782</v>
      </c>
      <c r="G1142" s="44">
        <v>103500</v>
      </c>
      <c r="H1142" s="44">
        <v>621</v>
      </c>
      <c r="K1142" s="4" t="e">
        <f>VLOOKUP(A1142,Detallado!$C$5:$H$1570,6,FALSE)</f>
        <v>#N/A</v>
      </c>
    </row>
    <row r="1143" spans="1:16">
      <c r="A1143" s="101" t="s">
        <v>1932</v>
      </c>
      <c r="B1143" s="59" t="s">
        <v>1931</v>
      </c>
      <c r="C1143" s="60" t="s">
        <v>1925</v>
      </c>
      <c r="D1143" s="59" t="s">
        <v>1780</v>
      </c>
      <c r="E1143" s="60" t="s">
        <v>1925</v>
      </c>
      <c r="F1143" s="61" t="s">
        <v>1782</v>
      </c>
      <c r="G1143" s="62">
        <v>88999</v>
      </c>
      <c r="H1143" s="74">
        <v>533.99</v>
      </c>
      <c r="I1143" s="59"/>
      <c r="J1143" s="59"/>
      <c r="K1143" s="27">
        <f>-H1143</f>
        <v>-533.99</v>
      </c>
      <c r="M1143" s="4">
        <v>-533.99397614314512</v>
      </c>
      <c r="N1143" s="66">
        <f t="shared" ref="N1143:N1159" si="10">+K1143-M1143</f>
        <v>3.9761431451097451E-3</v>
      </c>
      <c r="O1143" s="1" t="s">
        <v>1282</v>
      </c>
      <c r="P1143" s="1">
        <f t="shared" ref="P1143:P1159" si="11">+E1143-O1143</f>
        <v>-1</v>
      </c>
    </row>
    <row r="1144" spans="1:16">
      <c r="A1144" s="90">
        <v>126569211701</v>
      </c>
      <c r="B1144" s="1" t="s">
        <v>8</v>
      </c>
      <c r="C1144" s="43" t="s">
        <v>1935</v>
      </c>
      <c r="D1144" s="1" t="s">
        <v>1780</v>
      </c>
      <c r="E1144" s="43" t="s">
        <v>1935</v>
      </c>
      <c r="F1144" s="37" t="s">
        <v>1782</v>
      </c>
      <c r="G1144" s="44">
        <v>5000</v>
      </c>
      <c r="H1144" s="44">
        <v>30</v>
      </c>
      <c r="K1144" s="27" t="e">
        <f>VLOOKUP(A1144,Detallado!$C$5:$H$1570,6,FALSE)</f>
        <v>#N/A</v>
      </c>
      <c r="M1144" s="4">
        <v>-29.821073558648095</v>
      </c>
      <c r="N1144" s="66" t="e">
        <f t="shared" si="10"/>
        <v>#N/A</v>
      </c>
      <c r="O1144" s="1" t="s">
        <v>1282</v>
      </c>
      <c r="P1144" s="1">
        <f t="shared" si="11"/>
        <v>0</v>
      </c>
    </row>
    <row r="1145" spans="1:16">
      <c r="A1145" s="101" t="s">
        <v>1936</v>
      </c>
      <c r="B1145" s="59" t="s">
        <v>8</v>
      </c>
      <c r="C1145" s="60" t="s">
        <v>1935</v>
      </c>
      <c r="D1145" s="59" t="s">
        <v>1780</v>
      </c>
      <c r="E1145" s="60" t="s">
        <v>1935</v>
      </c>
      <c r="F1145" s="61" t="s">
        <v>1782</v>
      </c>
      <c r="G1145" s="62">
        <v>9750.01</v>
      </c>
      <c r="H1145" s="74">
        <v>58.5</v>
      </c>
      <c r="I1145" s="59"/>
      <c r="J1145" s="59"/>
      <c r="K1145" s="27">
        <f t="shared" ref="K1145:K1150" si="12">-H1145</f>
        <v>-58.5</v>
      </c>
      <c r="M1145" s="4">
        <v>-58.50005964214688</v>
      </c>
      <c r="N1145" s="66">
        <f t="shared" si="10"/>
        <v>5.964214687992353E-5</v>
      </c>
      <c r="O1145" s="1" t="s">
        <v>1282</v>
      </c>
      <c r="P1145" s="1">
        <f t="shared" si="11"/>
        <v>0</v>
      </c>
    </row>
    <row r="1146" spans="1:16">
      <c r="A1146" s="101" t="s">
        <v>1941</v>
      </c>
      <c r="B1146" s="59" t="s">
        <v>8</v>
      </c>
      <c r="C1146" s="60" t="s">
        <v>1935</v>
      </c>
      <c r="D1146" s="59" t="s">
        <v>1780</v>
      </c>
      <c r="E1146" s="60" t="s">
        <v>1935</v>
      </c>
      <c r="F1146" s="61" t="s">
        <v>1782</v>
      </c>
      <c r="G1146" s="62">
        <v>25600.01</v>
      </c>
      <c r="H1146" s="74">
        <v>153.6</v>
      </c>
      <c r="I1146" s="59"/>
      <c r="J1146" s="59"/>
      <c r="K1146" s="27">
        <f t="shared" si="12"/>
        <v>-153.6</v>
      </c>
      <c r="M1146" s="4">
        <v>-153.60005964214724</v>
      </c>
      <c r="N1146" s="66">
        <f t="shared" si="10"/>
        <v>5.9642147249405753E-5</v>
      </c>
      <c r="O1146" s="1" t="s">
        <v>1282</v>
      </c>
      <c r="P1146" s="1">
        <f t="shared" si="11"/>
        <v>0</v>
      </c>
    </row>
    <row r="1147" spans="1:16">
      <c r="A1147" s="101" t="s">
        <v>1939</v>
      </c>
      <c r="B1147" s="59" t="s">
        <v>8</v>
      </c>
      <c r="C1147" s="60" t="s">
        <v>1935</v>
      </c>
      <c r="D1147" s="59" t="s">
        <v>1780</v>
      </c>
      <c r="E1147" s="60" t="s">
        <v>1935</v>
      </c>
      <c r="F1147" s="61" t="s">
        <v>1782</v>
      </c>
      <c r="G1147" s="62">
        <v>69480</v>
      </c>
      <c r="H1147" s="74">
        <v>416.88</v>
      </c>
      <c r="I1147" s="59"/>
      <c r="J1147" s="59"/>
      <c r="K1147" s="27">
        <f t="shared" si="12"/>
        <v>-416.88</v>
      </c>
      <c r="M1147" s="4">
        <v>-416.88000000000466</v>
      </c>
      <c r="N1147" s="66">
        <f t="shared" si="10"/>
        <v>4.6611603465862572E-12</v>
      </c>
      <c r="O1147" s="1" t="s">
        <v>1282</v>
      </c>
      <c r="P1147" s="1">
        <f t="shared" si="11"/>
        <v>0</v>
      </c>
    </row>
    <row r="1148" spans="1:16">
      <c r="A1148" s="101" t="s">
        <v>1940</v>
      </c>
      <c r="B1148" s="59" t="s">
        <v>8</v>
      </c>
      <c r="C1148" s="60" t="s">
        <v>1935</v>
      </c>
      <c r="D1148" s="59" t="s">
        <v>1780</v>
      </c>
      <c r="E1148" s="60" t="s">
        <v>1935</v>
      </c>
      <c r="F1148" s="61" t="s">
        <v>1782</v>
      </c>
      <c r="G1148" s="62">
        <v>73900.02</v>
      </c>
      <c r="H1148" s="74">
        <v>443.4</v>
      </c>
      <c r="I1148" s="59"/>
      <c r="J1148" s="59"/>
      <c r="K1148" s="27">
        <f t="shared" si="12"/>
        <v>-443.4</v>
      </c>
      <c r="M1148" s="4">
        <v>-443.40011928429885</v>
      </c>
      <c r="N1148" s="66">
        <f t="shared" si="10"/>
        <v>1.1928429887575476E-4</v>
      </c>
      <c r="O1148" s="1" t="s">
        <v>1282</v>
      </c>
      <c r="P1148" s="1">
        <f t="shared" si="11"/>
        <v>0</v>
      </c>
    </row>
    <row r="1149" spans="1:16">
      <c r="A1149" s="101" t="s">
        <v>1945</v>
      </c>
      <c r="B1149" s="59" t="s">
        <v>1944</v>
      </c>
      <c r="C1149" s="60" t="s">
        <v>1935</v>
      </c>
      <c r="D1149" s="59" t="s">
        <v>1780</v>
      </c>
      <c r="E1149" s="60" t="s">
        <v>1935</v>
      </c>
      <c r="F1149" s="61" t="s">
        <v>1782</v>
      </c>
      <c r="G1149" s="62">
        <v>88999</v>
      </c>
      <c r="H1149" s="74">
        <v>533.99</v>
      </c>
      <c r="I1149" s="59"/>
      <c r="J1149" s="59"/>
      <c r="K1149" s="27">
        <f t="shared" si="12"/>
        <v>-533.99</v>
      </c>
      <c r="M1149" s="4">
        <v>-533.99397614314512</v>
      </c>
      <c r="N1149" s="66">
        <f t="shared" si="10"/>
        <v>3.9761431451097451E-3</v>
      </c>
      <c r="O1149" s="1" t="s">
        <v>1198</v>
      </c>
      <c r="P1149" s="1">
        <f t="shared" si="11"/>
        <v>1</v>
      </c>
    </row>
    <row r="1150" spans="1:16">
      <c r="A1150" s="101" t="s">
        <v>1942</v>
      </c>
      <c r="B1150" s="59" t="s">
        <v>8</v>
      </c>
      <c r="C1150" s="60" t="s">
        <v>1935</v>
      </c>
      <c r="D1150" s="59" t="s">
        <v>1780</v>
      </c>
      <c r="E1150" s="60" t="s">
        <v>1935</v>
      </c>
      <c r="F1150" s="61" t="s">
        <v>1782</v>
      </c>
      <c r="G1150" s="62">
        <v>149575</v>
      </c>
      <c r="H1150" s="74">
        <v>897.45</v>
      </c>
      <c r="I1150" s="59"/>
      <c r="J1150" s="59"/>
      <c r="K1150" s="27">
        <f t="shared" si="12"/>
        <v>-897.45</v>
      </c>
      <c r="M1150" s="4">
        <v>-897.45000000001164</v>
      </c>
      <c r="N1150" s="66">
        <f t="shared" si="10"/>
        <v>1.1596057447604835E-11</v>
      </c>
      <c r="O1150" s="1" t="s">
        <v>1282</v>
      </c>
      <c r="P1150" s="1">
        <f t="shared" si="11"/>
        <v>0</v>
      </c>
    </row>
    <row r="1151" spans="1:16">
      <c r="A1151" s="90">
        <v>127124821744</v>
      </c>
      <c r="B1151" s="1" t="s">
        <v>8</v>
      </c>
      <c r="C1151" s="43" t="s">
        <v>1935</v>
      </c>
      <c r="D1151" s="1" t="s">
        <v>1780</v>
      </c>
      <c r="E1151" s="43" t="s">
        <v>1935</v>
      </c>
      <c r="F1151" s="37" t="s">
        <v>1782</v>
      </c>
      <c r="G1151" s="44">
        <v>176361.99</v>
      </c>
      <c r="H1151" s="77">
        <v>1058.17</v>
      </c>
      <c r="K1151" s="27" t="e">
        <f>VLOOKUP(A1151,Detallado!$C$5:$H$1570,6,FALSE)</f>
        <v>#N/A</v>
      </c>
      <c r="M1151" s="4">
        <v>-1051.8607753479155</v>
      </c>
      <c r="N1151" s="66" t="e">
        <f t="shared" si="10"/>
        <v>#N/A</v>
      </c>
      <c r="O1151" s="1" t="s">
        <v>1282</v>
      </c>
      <c r="P1151" s="1">
        <f t="shared" si="11"/>
        <v>0</v>
      </c>
    </row>
    <row r="1152" spans="1:16">
      <c r="A1152" s="101" t="s">
        <v>1937</v>
      </c>
      <c r="B1152" s="59" t="s">
        <v>8</v>
      </c>
      <c r="C1152" s="60" t="s">
        <v>1935</v>
      </c>
      <c r="D1152" s="59" t="s">
        <v>1780</v>
      </c>
      <c r="E1152" s="60" t="s">
        <v>1935</v>
      </c>
      <c r="F1152" s="61" t="s">
        <v>1782</v>
      </c>
      <c r="G1152" s="62">
        <v>177980</v>
      </c>
      <c r="H1152" s="74">
        <v>1067.8800000000001</v>
      </c>
      <c r="I1152" s="59"/>
      <c r="J1152" s="59"/>
      <c r="K1152" s="27">
        <f t="shared" ref="K1152:K1159" si="13">-H1152</f>
        <v>-1067.8800000000001</v>
      </c>
      <c r="M1152" s="4">
        <v>-1067.8800000000047</v>
      </c>
      <c r="N1152" s="76">
        <f t="shared" si="10"/>
        <v>4.5474735088646412E-12</v>
      </c>
      <c r="O1152" s="1" t="s">
        <v>1282</v>
      </c>
      <c r="P1152" s="1">
        <f t="shared" si="11"/>
        <v>0</v>
      </c>
    </row>
    <row r="1153" spans="1:16">
      <c r="A1153" s="101" t="s">
        <v>1947</v>
      </c>
      <c r="B1153" s="59" t="s">
        <v>1946</v>
      </c>
      <c r="C1153" s="60" t="s">
        <v>1935</v>
      </c>
      <c r="D1153" s="59" t="s">
        <v>1780</v>
      </c>
      <c r="E1153" s="60" t="s">
        <v>1935</v>
      </c>
      <c r="F1153" s="61" t="s">
        <v>1782</v>
      </c>
      <c r="G1153" s="62">
        <v>219111</v>
      </c>
      <c r="H1153" s="74">
        <v>1314.67</v>
      </c>
      <c r="I1153" s="59"/>
      <c r="J1153" s="59"/>
      <c r="K1153" s="27">
        <f t="shared" si="13"/>
        <v>-1314.67</v>
      </c>
      <c r="M1153" s="4">
        <v>-1314.6660238568729</v>
      </c>
      <c r="N1153" s="66">
        <f t="shared" si="10"/>
        <v>-3.9761431271472247E-3</v>
      </c>
      <c r="O1153" s="1" t="s">
        <v>1030</v>
      </c>
      <c r="P1153" s="1">
        <f t="shared" si="11"/>
        <v>3</v>
      </c>
    </row>
    <row r="1154" spans="1:16">
      <c r="A1154" s="101" t="s">
        <v>1949</v>
      </c>
      <c r="B1154" s="59" t="s">
        <v>8</v>
      </c>
      <c r="C1154" s="60" t="s">
        <v>1935</v>
      </c>
      <c r="D1154" s="59" t="s">
        <v>1780</v>
      </c>
      <c r="E1154" s="60" t="s">
        <v>1935</v>
      </c>
      <c r="F1154" s="61" t="s">
        <v>1782</v>
      </c>
      <c r="G1154" s="62">
        <v>284511.12</v>
      </c>
      <c r="H1154" s="74">
        <v>1707.07</v>
      </c>
      <c r="I1154" s="59"/>
      <c r="J1154" s="59"/>
      <c r="K1154" s="27">
        <f t="shared" si="13"/>
        <v>-1707.07</v>
      </c>
      <c r="M1154" s="4">
        <v>-1707.0667395626078</v>
      </c>
      <c r="N1154" s="66">
        <f t="shared" si="10"/>
        <v>-3.2604373921003571E-3</v>
      </c>
      <c r="O1154" s="1" t="s">
        <v>1282</v>
      </c>
      <c r="P1154" s="1">
        <f t="shared" si="11"/>
        <v>0</v>
      </c>
    </row>
    <row r="1155" spans="1:16">
      <c r="A1155" s="101" t="s">
        <v>1938</v>
      </c>
      <c r="B1155" s="59" t="s">
        <v>8</v>
      </c>
      <c r="C1155" s="60" t="s">
        <v>1935</v>
      </c>
      <c r="D1155" s="59" t="s">
        <v>1780</v>
      </c>
      <c r="E1155" s="60" t="s">
        <v>1935</v>
      </c>
      <c r="F1155" s="61" t="s">
        <v>1782</v>
      </c>
      <c r="G1155" s="62">
        <v>524290.14</v>
      </c>
      <c r="H1155" s="74">
        <v>3145.74</v>
      </c>
      <c r="I1155" s="59"/>
      <c r="J1155" s="59"/>
      <c r="K1155" s="27">
        <f t="shared" si="13"/>
        <v>-3145.74</v>
      </c>
      <c r="M1155" s="4">
        <v>-3145.7408349900506</v>
      </c>
      <c r="N1155" s="66">
        <f t="shared" si="10"/>
        <v>8.3499005086196121E-4</v>
      </c>
      <c r="O1155" s="1" t="s">
        <v>1282</v>
      </c>
      <c r="P1155" s="1">
        <f t="shared" si="11"/>
        <v>0</v>
      </c>
    </row>
    <row r="1156" spans="1:16">
      <c r="A1156" s="101" t="s">
        <v>1948</v>
      </c>
      <c r="B1156" s="59" t="s">
        <v>8</v>
      </c>
      <c r="C1156" s="60" t="s">
        <v>1935</v>
      </c>
      <c r="D1156" s="59" t="s">
        <v>1780</v>
      </c>
      <c r="E1156" s="60" t="s">
        <v>1935</v>
      </c>
      <c r="F1156" s="61" t="s">
        <v>1782</v>
      </c>
      <c r="G1156" s="62">
        <v>732461.11</v>
      </c>
      <c r="H1156" s="74">
        <v>4394.7700000000004</v>
      </c>
      <c r="I1156" s="59"/>
      <c r="J1156" s="59"/>
      <c r="K1156" s="27">
        <f t="shared" si="13"/>
        <v>-4394.7700000000004</v>
      </c>
      <c r="M1156" s="4">
        <v>-4394.766679920489</v>
      </c>
      <c r="N1156" s="66">
        <f t="shared" si="10"/>
        <v>-3.3200795114680659E-3</v>
      </c>
      <c r="O1156" s="1" t="s">
        <v>1282</v>
      </c>
      <c r="P1156" s="1">
        <f t="shared" si="11"/>
        <v>0</v>
      </c>
    </row>
    <row r="1157" spans="1:16">
      <c r="A1157" s="101" t="s">
        <v>1943</v>
      </c>
      <c r="B1157" s="59" t="s">
        <v>8</v>
      </c>
      <c r="C1157" s="60" t="s">
        <v>1935</v>
      </c>
      <c r="D1157" s="59" t="s">
        <v>1780</v>
      </c>
      <c r="E1157" s="60" t="s">
        <v>1935</v>
      </c>
      <c r="F1157" s="61" t="s">
        <v>1782</v>
      </c>
      <c r="G1157" s="62">
        <v>818627.5</v>
      </c>
      <c r="H1157" s="74">
        <v>4911.7700000000004</v>
      </c>
      <c r="I1157" s="59"/>
      <c r="J1157" s="59"/>
      <c r="K1157" s="27">
        <f t="shared" si="13"/>
        <v>-4911.7700000000004</v>
      </c>
      <c r="M1157" s="4">
        <v>-4911.7650298210792</v>
      </c>
      <c r="N1157" s="66">
        <f t="shared" si="10"/>
        <v>-4.9701789212122094E-3</v>
      </c>
      <c r="O1157" s="1" t="s">
        <v>1282</v>
      </c>
      <c r="P1157" s="1">
        <f t="shared" si="11"/>
        <v>0</v>
      </c>
    </row>
    <row r="1158" spans="1:16">
      <c r="A1158" s="101" t="s">
        <v>1951</v>
      </c>
      <c r="B1158" s="59" t="s">
        <v>8</v>
      </c>
      <c r="C1158" s="60" t="s">
        <v>1950</v>
      </c>
      <c r="D1158" s="59" t="s">
        <v>1780</v>
      </c>
      <c r="E1158" s="60" t="s">
        <v>1950</v>
      </c>
      <c r="F1158" s="61" t="s">
        <v>1782</v>
      </c>
      <c r="G1158" s="62">
        <v>141967.5</v>
      </c>
      <c r="H1158" s="74">
        <v>851.81</v>
      </c>
      <c r="I1158" s="59"/>
      <c r="J1158" s="59"/>
      <c r="K1158" s="27">
        <f t="shared" si="13"/>
        <v>-851.81</v>
      </c>
      <c r="M1158" s="4">
        <v>-851.80502982108737</v>
      </c>
      <c r="N1158" s="66">
        <f t="shared" si="10"/>
        <v>-4.9701789125720097E-3</v>
      </c>
      <c r="O1158" s="1" t="s">
        <v>1299</v>
      </c>
      <c r="P1158" s="1">
        <f t="shared" si="11"/>
        <v>0</v>
      </c>
    </row>
    <row r="1159" spans="1:16">
      <c r="A1159" s="101" t="s">
        <v>1953</v>
      </c>
      <c r="B1159" s="59" t="s">
        <v>1952</v>
      </c>
      <c r="C1159" s="60" t="s">
        <v>1950</v>
      </c>
      <c r="D1159" s="59" t="s">
        <v>1780</v>
      </c>
      <c r="E1159" s="60" t="s">
        <v>1950</v>
      </c>
      <c r="F1159" s="61" t="s">
        <v>1782</v>
      </c>
      <c r="G1159" s="62">
        <v>249860.6</v>
      </c>
      <c r="H1159" s="74">
        <v>1499.16</v>
      </c>
      <c r="I1159" s="59"/>
      <c r="J1159" s="59"/>
      <c r="K1159" s="27">
        <f t="shared" si="13"/>
        <v>-1499.16</v>
      </c>
      <c r="M1159" s="4">
        <v>-1499.1635785288236</v>
      </c>
      <c r="N1159" s="66">
        <f t="shared" si="10"/>
        <v>3.5785288234819745E-3</v>
      </c>
      <c r="O1159" s="1" t="s">
        <v>1299</v>
      </c>
      <c r="P1159" s="1">
        <f t="shared" si="11"/>
        <v>0</v>
      </c>
    </row>
    <row r="1160" spans="1:16">
      <c r="A1160" s="90">
        <v>127448262384</v>
      </c>
      <c r="B1160" s="1" t="s">
        <v>8</v>
      </c>
      <c r="C1160" s="43" t="s">
        <v>1954</v>
      </c>
      <c r="D1160" s="1" t="s">
        <v>1780</v>
      </c>
      <c r="E1160" s="43" t="s">
        <v>1954</v>
      </c>
      <c r="F1160" s="37" t="s">
        <v>1782</v>
      </c>
      <c r="G1160" s="44">
        <v>26494</v>
      </c>
      <c r="H1160" s="44">
        <v>158.96</v>
      </c>
      <c r="K1160" s="4" t="e">
        <f>VLOOKUP(A1160,Detallado!$C$5:$H$1570,6,FALSE)</f>
        <v>#N/A</v>
      </c>
    </row>
    <row r="1161" spans="1:16">
      <c r="A1161" s="90">
        <v>127448143966</v>
      </c>
      <c r="B1161" s="1" t="s">
        <v>1957</v>
      </c>
      <c r="C1161" s="43" t="s">
        <v>1954</v>
      </c>
      <c r="D1161" s="1" t="s">
        <v>1780</v>
      </c>
      <c r="E1161" s="43" t="s">
        <v>1954</v>
      </c>
      <c r="F1161" s="37" t="s">
        <v>1782</v>
      </c>
      <c r="G1161" s="44">
        <v>2649</v>
      </c>
      <c r="H1161" s="44">
        <v>15.89</v>
      </c>
      <c r="K1161" s="4" t="e">
        <f>VLOOKUP(A1161,Detallado!$C$5:$H$1570,6,FALSE)</f>
        <v>#N/A</v>
      </c>
    </row>
    <row r="1162" spans="1:16">
      <c r="A1162" s="90">
        <v>127448024726</v>
      </c>
      <c r="B1162" s="1" t="s">
        <v>1955</v>
      </c>
      <c r="C1162" s="43" t="s">
        <v>1954</v>
      </c>
      <c r="D1162" s="1" t="s">
        <v>1780</v>
      </c>
      <c r="E1162" s="43" t="s">
        <v>1954</v>
      </c>
      <c r="F1162" s="37" t="s">
        <v>1782</v>
      </c>
      <c r="G1162" s="44">
        <v>999</v>
      </c>
      <c r="H1162" s="44">
        <v>5.99</v>
      </c>
      <c r="K1162" s="4" t="e">
        <f>VLOOKUP(A1162,Detallado!$C$5:$H$1570,6,FALSE)</f>
        <v>#N/A</v>
      </c>
    </row>
    <row r="1163" spans="1:16">
      <c r="A1163" s="90">
        <v>127446508562</v>
      </c>
      <c r="B1163" s="1" t="s">
        <v>1790</v>
      </c>
      <c r="C1163" s="43" t="s">
        <v>1954</v>
      </c>
      <c r="D1163" s="1" t="s">
        <v>1780</v>
      </c>
      <c r="E1163" s="43" t="s">
        <v>1954</v>
      </c>
      <c r="F1163" s="37" t="s">
        <v>1782</v>
      </c>
      <c r="G1163" s="44">
        <v>34697</v>
      </c>
      <c r="H1163" s="44">
        <v>208.18</v>
      </c>
      <c r="K1163" s="4" t="e">
        <f>VLOOKUP(A1163,Detallado!$C$5:$H$1570,6,FALSE)</f>
        <v>#N/A</v>
      </c>
    </row>
    <row r="1164" spans="1:16">
      <c r="A1164" s="90">
        <v>126887615459</v>
      </c>
      <c r="B1164" s="1" t="s">
        <v>8</v>
      </c>
      <c r="C1164" s="43" t="s">
        <v>1954</v>
      </c>
      <c r="D1164" s="1" t="s">
        <v>1780</v>
      </c>
      <c r="E1164" s="43" t="s">
        <v>1954</v>
      </c>
      <c r="F1164" s="37" t="s">
        <v>1782</v>
      </c>
      <c r="G1164" s="44">
        <v>19998</v>
      </c>
      <c r="H1164" s="44">
        <v>119.99</v>
      </c>
      <c r="K1164" s="4" t="e">
        <f>VLOOKUP(A1164,Detallado!$C$5:$H$1570,6,FALSE)</f>
        <v>#N/A</v>
      </c>
    </row>
    <row r="1165" spans="1:16">
      <c r="A1165" s="90">
        <v>126887451621</v>
      </c>
      <c r="B1165" s="1" t="s">
        <v>8</v>
      </c>
      <c r="C1165" s="43" t="s">
        <v>1954</v>
      </c>
      <c r="D1165" s="1" t="s">
        <v>1780</v>
      </c>
      <c r="E1165" s="43" t="s">
        <v>1954</v>
      </c>
      <c r="F1165" s="37" t="s">
        <v>1782</v>
      </c>
      <c r="G1165" s="44">
        <v>30898</v>
      </c>
      <c r="H1165" s="44">
        <v>185.39</v>
      </c>
      <c r="K1165" s="4" t="e">
        <f>VLOOKUP(A1165,Detallado!$C$5:$H$1570,6,FALSE)</f>
        <v>#N/A</v>
      </c>
    </row>
    <row r="1166" spans="1:16">
      <c r="A1166" s="90">
        <v>126886865607</v>
      </c>
      <c r="B1166" s="1" t="s">
        <v>8</v>
      </c>
      <c r="C1166" s="43" t="s">
        <v>1954</v>
      </c>
      <c r="D1166" s="1" t="s">
        <v>1780</v>
      </c>
      <c r="E1166" s="43" t="s">
        <v>1954</v>
      </c>
      <c r="F1166" s="37" t="s">
        <v>1782</v>
      </c>
      <c r="G1166" s="44">
        <v>87999</v>
      </c>
      <c r="H1166" s="44">
        <v>527.99</v>
      </c>
      <c r="K1166" s="4" t="e">
        <f>VLOOKUP(A1166,Detallado!$C$5:$H$1570,6,FALSE)</f>
        <v>#N/A</v>
      </c>
    </row>
    <row r="1167" spans="1:16">
      <c r="A1167" s="90">
        <v>126885640855</v>
      </c>
      <c r="B1167" s="1" t="s">
        <v>1790</v>
      </c>
      <c r="C1167" s="43" t="s">
        <v>1954</v>
      </c>
      <c r="D1167" s="1" t="s">
        <v>1780</v>
      </c>
      <c r="E1167" s="43" t="s">
        <v>1954</v>
      </c>
      <c r="F1167" s="37" t="s">
        <v>1782</v>
      </c>
      <c r="G1167" s="44">
        <v>37400</v>
      </c>
      <c r="H1167" s="44">
        <v>224.4</v>
      </c>
      <c r="K1167" s="4" t="e">
        <f>VLOOKUP(A1167,Detallado!$C$5:$H$1570,6,FALSE)</f>
        <v>#N/A</v>
      </c>
    </row>
    <row r="1168" spans="1:16">
      <c r="A1168" s="90">
        <v>126879534625</v>
      </c>
      <c r="B1168" s="1" t="s">
        <v>1790</v>
      </c>
      <c r="C1168" s="43" t="s">
        <v>1954</v>
      </c>
      <c r="D1168" s="1" t="s">
        <v>1780</v>
      </c>
      <c r="E1168" s="43" t="s">
        <v>1954</v>
      </c>
      <c r="F1168" s="37" t="s">
        <v>1782</v>
      </c>
      <c r="G1168" s="44">
        <v>39698</v>
      </c>
      <c r="H1168" s="44">
        <v>238.19</v>
      </c>
      <c r="K1168" s="4" t="e">
        <f>VLOOKUP(A1168,Detallado!$C$5:$H$1570,6,FALSE)</f>
        <v>#N/A</v>
      </c>
    </row>
    <row r="1169" spans="1:16">
      <c r="A1169" s="90">
        <v>126879032923</v>
      </c>
      <c r="B1169" s="1" t="s">
        <v>8</v>
      </c>
      <c r="C1169" s="43" t="s">
        <v>1954</v>
      </c>
      <c r="D1169" s="1" t="s">
        <v>1780</v>
      </c>
      <c r="E1169" s="43" t="s">
        <v>1954</v>
      </c>
      <c r="F1169" s="37" t="s">
        <v>1782</v>
      </c>
      <c r="G1169" s="44">
        <v>17500</v>
      </c>
      <c r="H1169" s="44">
        <v>105</v>
      </c>
      <c r="K1169" s="4" t="e">
        <f>VLOOKUP(A1169,Detallado!$C$5:$H$1570,6,FALSE)</f>
        <v>#N/A</v>
      </c>
    </row>
    <row r="1170" spans="1:16">
      <c r="A1170" s="90">
        <v>126876188659</v>
      </c>
      <c r="B1170" s="1" t="s">
        <v>8</v>
      </c>
      <c r="C1170" s="43" t="s">
        <v>1954</v>
      </c>
      <c r="D1170" s="1" t="s">
        <v>1780</v>
      </c>
      <c r="E1170" s="43" t="s">
        <v>1954</v>
      </c>
      <c r="F1170" s="37" t="s">
        <v>1782</v>
      </c>
      <c r="G1170" s="44">
        <v>9900</v>
      </c>
      <c r="H1170" s="44">
        <v>59.4</v>
      </c>
      <c r="K1170" s="4" t="e">
        <f>VLOOKUP(A1170,Detallado!$C$5:$H$1570,6,FALSE)</f>
        <v>#N/A</v>
      </c>
    </row>
    <row r="1171" spans="1:16">
      <c r="A1171" s="90">
        <v>126870455355</v>
      </c>
      <c r="B1171" s="1" t="s">
        <v>8</v>
      </c>
      <c r="C1171" s="43" t="s">
        <v>1954</v>
      </c>
      <c r="D1171" s="1" t="s">
        <v>1780</v>
      </c>
      <c r="E1171" s="43" t="s">
        <v>1954</v>
      </c>
      <c r="F1171" s="37" t="s">
        <v>1782</v>
      </c>
      <c r="G1171" s="44">
        <v>8200</v>
      </c>
      <c r="H1171" s="44">
        <v>49.2</v>
      </c>
      <c r="K1171" s="4" t="e">
        <f>VLOOKUP(A1171,Detallado!$C$5:$H$1570,6,FALSE)</f>
        <v>#N/A</v>
      </c>
    </row>
    <row r="1172" spans="1:16">
      <c r="A1172" s="90">
        <v>126870127477</v>
      </c>
      <c r="B1172" s="1" t="s">
        <v>8</v>
      </c>
      <c r="C1172" s="43" t="s">
        <v>1954</v>
      </c>
      <c r="D1172" s="1" t="s">
        <v>1780</v>
      </c>
      <c r="E1172" s="43" t="s">
        <v>1954</v>
      </c>
      <c r="F1172" s="37" t="s">
        <v>1782</v>
      </c>
      <c r="G1172" s="44">
        <v>9400</v>
      </c>
      <c r="H1172" s="44">
        <v>56.4</v>
      </c>
      <c r="K1172" s="4" t="e">
        <f>VLOOKUP(A1172,Detallado!$C$5:$H$1570,6,FALSE)</f>
        <v>#N/A</v>
      </c>
    </row>
    <row r="1173" spans="1:16">
      <c r="A1173" s="90">
        <v>127363517828</v>
      </c>
      <c r="B1173" s="1" t="s">
        <v>8</v>
      </c>
      <c r="C1173" s="43" t="s">
        <v>1954</v>
      </c>
      <c r="D1173" s="1" t="s">
        <v>1780</v>
      </c>
      <c r="E1173" s="43" t="s">
        <v>1954</v>
      </c>
      <c r="F1173" s="37" t="s">
        <v>1782</v>
      </c>
      <c r="G1173" s="44">
        <v>184602.4</v>
      </c>
      <c r="H1173" s="77">
        <v>1107.6099999999999</v>
      </c>
      <c r="K1173" s="27" t="e">
        <f>VLOOKUP(A1173,Detallado!$C$5:$H$1570,6,FALSE)</f>
        <v>#N/A</v>
      </c>
      <c r="M1173" s="4">
        <v>-1101.0083499005996</v>
      </c>
      <c r="N1173" s="66" t="e">
        <f>+K1173-M1173</f>
        <v>#N/A</v>
      </c>
      <c r="O1173" s="1" t="s">
        <v>1303</v>
      </c>
      <c r="P1173" s="1">
        <f>+E1173-O1173</f>
        <v>0</v>
      </c>
    </row>
    <row r="1174" spans="1:16">
      <c r="A1174" s="90">
        <v>127365725240</v>
      </c>
      <c r="B1174" s="1" t="s">
        <v>8</v>
      </c>
      <c r="C1174" s="43" t="s">
        <v>1954</v>
      </c>
      <c r="D1174" s="1" t="s">
        <v>1780</v>
      </c>
      <c r="E1174" s="43" t="s">
        <v>1954</v>
      </c>
      <c r="F1174" s="37" t="s">
        <v>1782</v>
      </c>
      <c r="G1174" s="44">
        <v>325277.90000000002</v>
      </c>
      <c r="H1174" s="77">
        <v>1951.67</v>
      </c>
      <c r="K1174" s="27" t="e">
        <f>VLOOKUP(A1174,Detallado!$C$5:$H$1570,6,FALSE)</f>
        <v>#N/A</v>
      </c>
      <c r="M1174" s="4">
        <v>-1940.0272365804994</v>
      </c>
      <c r="N1174" s="66" t="e">
        <f>+K1174-M1174</f>
        <v>#N/A</v>
      </c>
      <c r="O1174" s="1" t="s">
        <v>1303</v>
      </c>
      <c r="P1174" s="1">
        <f>+E1174-O1174</f>
        <v>0</v>
      </c>
    </row>
    <row r="1175" spans="1:16">
      <c r="A1175" s="90">
        <v>127450599184</v>
      </c>
      <c r="B1175" s="1" t="s">
        <v>8</v>
      </c>
      <c r="C1175" s="43" t="s">
        <v>1954</v>
      </c>
      <c r="D1175" s="1" t="s">
        <v>1780</v>
      </c>
      <c r="E1175" s="43" t="s">
        <v>1956</v>
      </c>
      <c r="F1175" s="37" t="s">
        <v>1782</v>
      </c>
      <c r="G1175" s="44">
        <v>19600</v>
      </c>
      <c r="H1175" s="44">
        <v>117.6</v>
      </c>
      <c r="K1175" s="4" t="e">
        <f>VLOOKUP(A1175,Detallado!$C$5:$H$1570,6,FALSE)</f>
        <v>#N/A</v>
      </c>
    </row>
    <row r="1176" spans="1:16">
      <c r="A1176" s="90">
        <v>126890006531</v>
      </c>
      <c r="B1176" s="1" t="s">
        <v>1790</v>
      </c>
      <c r="C1176" s="43" t="s">
        <v>1954</v>
      </c>
      <c r="D1176" s="1" t="s">
        <v>1780</v>
      </c>
      <c r="E1176" s="43" t="s">
        <v>1956</v>
      </c>
      <c r="F1176" s="37" t="s">
        <v>1782</v>
      </c>
      <c r="G1176" s="44">
        <v>27100</v>
      </c>
      <c r="H1176" s="44">
        <v>162.6</v>
      </c>
      <c r="K1176" s="4" t="e">
        <f>VLOOKUP(A1176,Detallado!$C$5:$H$1570,6,FALSE)</f>
        <v>#N/A</v>
      </c>
    </row>
    <row r="1177" spans="1:16">
      <c r="A1177" s="90">
        <v>127570530222</v>
      </c>
      <c r="B1177" s="1" t="s">
        <v>8</v>
      </c>
      <c r="C1177" s="43" t="s">
        <v>1956</v>
      </c>
      <c r="D1177" s="1" t="s">
        <v>1780</v>
      </c>
      <c r="E1177" s="43" t="s">
        <v>1956</v>
      </c>
      <c r="F1177" s="37" t="s">
        <v>1782</v>
      </c>
      <c r="G1177" s="44">
        <v>35450</v>
      </c>
      <c r="H1177" s="44">
        <v>212.7</v>
      </c>
      <c r="K1177" s="4" t="e">
        <f>VLOOKUP(A1177,Detallado!$C$5:$H$1570,6,FALSE)</f>
        <v>#N/A</v>
      </c>
    </row>
    <row r="1178" spans="1:16">
      <c r="A1178" s="90">
        <v>127570168514</v>
      </c>
      <c r="B1178" s="1" t="s">
        <v>8</v>
      </c>
      <c r="C1178" s="43" t="s">
        <v>1956</v>
      </c>
      <c r="D1178" s="1" t="s">
        <v>1780</v>
      </c>
      <c r="E1178" s="43" t="s">
        <v>1956</v>
      </c>
      <c r="F1178" s="37" t="s">
        <v>1782</v>
      </c>
      <c r="G1178" s="44">
        <v>4500</v>
      </c>
      <c r="H1178" s="44">
        <v>27</v>
      </c>
      <c r="K1178" s="4" t="e">
        <f>VLOOKUP(A1178,Detallado!$C$5:$H$1570,6,FALSE)</f>
        <v>#N/A</v>
      </c>
    </row>
    <row r="1179" spans="1:16">
      <c r="A1179" s="90">
        <v>127569878656</v>
      </c>
      <c r="B1179" s="1" t="s">
        <v>8</v>
      </c>
      <c r="C1179" s="43" t="s">
        <v>1956</v>
      </c>
      <c r="D1179" s="1" t="s">
        <v>1780</v>
      </c>
      <c r="E1179" s="43" t="s">
        <v>1956</v>
      </c>
      <c r="F1179" s="37" t="s">
        <v>1782</v>
      </c>
      <c r="G1179" s="44">
        <v>8100</v>
      </c>
      <c r="H1179" s="44">
        <v>48.6</v>
      </c>
      <c r="K1179" s="4" t="e">
        <f>VLOOKUP(A1179,Detallado!$C$5:$H$1570,6,FALSE)</f>
        <v>#N/A</v>
      </c>
    </row>
    <row r="1180" spans="1:16">
      <c r="A1180" s="90">
        <v>127569760408</v>
      </c>
      <c r="B1180" s="1" t="s">
        <v>1962</v>
      </c>
      <c r="C1180" s="43" t="s">
        <v>1956</v>
      </c>
      <c r="D1180" s="1" t="s">
        <v>1780</v>
      </c>
      <c r="E1180" s="43" t="s">
        <v>1956</v>
      </c>
      <c r="F1180" s="37" t="s">
        <v>1782</v>
      </c>
      <c r="G1180" s="44">
        <v>10460</v>
      </c>
      <c r="H1180" s="44">
        <v>62.76</v>
      </c>
      <c r="K1180" s="4" t="e">
        <f>VLOOKUP(A1180,Detallado!$C$5:$H$1570,6,FALSE)</f>
        <v>#N/A</v>
      </c>
    </row>
    <row r="1181" spans="1:16">
      <c r="A1181" s="90">
        <v>127569711396</v>
      </c>
      <c r="B1181" s="1" t="s">
        <v>8</v>
      </c>
      <c r="C1181" s="43" t="s">
        <v>1956</v>
      </c>
      <c r="D1181" s="1" t="s">
        <v>1780</v>
      </c>
      <c r="E1181" s="43" t="s">
        <v>1956</v>
      </c>
      <c r="F1181" s="37" t="s">
        <v>1782</v>
      </c>
      <c r="G1181" s="44">
        <v>100450</v>
      </c>
      <c r="H1181" s="44">
        <v>602.70000000000005</v>
      </c>
      <c r="K1181" s="4" t="e">
        <f>VLOOKUP(A1181,Detallado!$C$5:$H$1570,6,FALSE)</f>
        <v>#N/A</v>
      </c>
    </row>
    <row r="1182" spans="1:16">
      <c r="A1182" s="90">
        <v>127569643602</v>
      </c>
      <c r="B1182" s="1" t="s">
        <v>8</v>
      </c>
      <c r="C1182" s="43" t="s">
        <v>1956</v>
      </c>
      <c r="D1182" s="1" t="s">
        <v>1780</v>
      </c>
      <c r="E1182" s="43" t="s">
        <v>1956</v>
      </c>
      <c r="F1182" s="37" t="s">
        <v>1782</v>
      </c>
      <c r="G1182" s="44">
        <v>104600</v>
      </c>
      <c r="H1182" s="44">
        <v>627.6</v>
      </c>
      <c r="K1182" s="4" t="e">
        <f>VLOOKUP(A1182,Detallado!$C$5:$H$1570,6,FALSE)</f>
        <v>#N/A</v>
      </c>
    </row>
    <row r="1183" spans="1:16">
      <c r="A1183" s="90">
        <v>127569343110</v>
      </c>
      <c r="B1183" s="1" t="s">
        <v>8</v>
      </c>
      <c r="C1183" s="43" t="s">
        <v>1956</v>
      </c>
      <c r="D1183" s="1" t="s">
        <v>1780</v>
      </c>
      <c r="E1183" s="43" t="s">
        <v>1956</v>
      </c>
      <c r="F1183" s="37" t="s">
        <v>1782</v>
      </c>
      <c r="G1183" s="44">
        <v>4500</v>
      </c>
      <c r="H1183" s="44">
        <v>27</v>
      </c>
      <c r="K1183" s="4" t="e">
        <f>VLOOKUP(A1183,Detallado!$C$5:$H$1570,6,FALSE)</f>
        <v>#N/A</v>
      </c>
    </row>
    <row r="1184" spans="1:16">
      <c r="A1184" s="90">
        <v>127568899816</v>
      </c>
      <c r="B1184" s="1" t="s">
        <v>8</v>
      </c>
      <c r="C1184" s="43" t="s">
        <v>1956</v>
      </c>
      <c r="D1184" s="1" t="s">
        <v>1780</v>
      </c>
      <c r="E1184" s="43" t="s">
        <v>1956</v>
      </c>
      <c r="F1184" s="37" t="s">
        <v>1782</v>
      </c>
      <c r="G1184" s="44">
        <v>3600</v>
      </c>
      <c r="H1184" s="44">
        <v>21.6</v>
      </c>
      <c r="K1184" s="4" t="e">
        <f>VLOOKUP(A1184,Detallado!$C$5:$H$1570,6,FALSE)</f>
        <v>#N/A</v>
      </c>
    </row>
    <row r="1185" spans="1:11">
      <c r="A1185" s="90">
        <v>127568769746</v>
      </c>
      <c r="B1185" s="1" t="s">
        <v>8</v>
      </c>
      <c r="C1185" s="43" t="s">
        <v>1956</v>
      </c>
      <c r="D1185" s="1" t="s">
        <v>1780</v>
      </c>
      <c r="E1185" s="43" t="s">
        <v>1956</v>
      </c>
      <c r="F1185" s="37" t="s">
        <v>1782</v>
      </c>
      <c r="G1185" s="44">
        <v>39900</v>
      </c>
      <c r="H1185" s="44">
        <v>239.4</v>
      </c>
      <c r="K1185" s="4" t="e">
        <f>VLOOKUP(A1185,Detallado!$C$5:$H$1570,6,FALSE)</f>
        <v>#N/A</v>
      </c>
    </row>
    <row r="1186" spans="1:11">
      <c r="A1186" s="90">
        <v>127568666708</v>
      </c>
      <c r="B1186" s="1" t="s">
        <v>8</v>
      </c>
      <c r="C1186" s="43" t="s">
        <v>1956</v>
      </c>
      <c r="D1186" s="1" t="s">
        <v>1780</v>
      </c>
      <c r="E1186" s="43" t="s">
        <v>1956</v>
      </c>
      <c r="F1186" s="37" t="s">
        <v>1782</v>
      </c>
      <c r="G1186" s="44">
        <v>9000</v>
      </c>
      <c r="H1186" s="44">
        <v>54</v>
      </c>
      <c r="K1186" s="4" t="e">
        <f>VLOOKUP(A1186,Detallado!$C$5:$H$1570,6,FALSE)</f>
        <v>#N/A</v>
      </c>
    </row>
    <row r="1187" spans="1:11">
      <c r="A1187" s="90">
        <v>127568624334</v>
      </c>
      <c r="B1187" s="1" t="s">
        <v>1790</v>
      </c>
      <c r="C1187" s="43" t="s">
        <v>1956</v>
      </c>
      <c r="D1187" s="1" t="s">
        <v>1780</v>
      </c>
      <c r="E1187" s="43" t="s">
        <v>1956</v>
      </c>
      <c r="F1187" s="37" t="s">
        <v>1782</v>
      </c>
      <c r="G1187" s="44">
        <v>4300</v>
      </c>
      <c r="H1187" s="44">
        <v>25.8</v>
      </c>
      <c r="K1187" s="4" t="e">
        <f>VLOOKUP(A1187,Detallado!$C$5:$H$1570,6,FALSE)</f>
        <v>#N/A</v>
      </c>
    </row>
    <row r="1188" spans="1:11">
      <c r="A1188" s="90">
        <v>127567646980</v>
      </c>
      <c r="B1188" s="1" t="s">
        <v>8</v>
      </c>
      <c r="C1188" s="43" t="s">
        <v>1956</v>
      </c>
      <c r="D1188" s="1" t="s">
        <v>1780</v>
      </c>
      <c r="E1188" s="43" t="s">
        <v>1956</v>
      </c>
      <c r="F1188" s="37" t="s">
        <v>1782</v>
      </c>
      <c r="G1188" s="44">
        <v>3600</v>
      </c>
      <c r="H1188" s="44">
        <v>21.6</v>
      </c>
      <c r="K1188" s="4" t="e">
        <f>VLOOKUP(A1188,Detallado!$C$5:$H$1570,6,FALSE)</f>
        <v>#N/A</v>
      </c>
    </row>
    <row r="1189" spans="1:11">
      <c r="A1189" s="90">
        <v>127567163882</v>
      </c>
      <c r="B1189" s="1" t="s">
        <v>1960</v>
      </c>
      <c r="C1189" s="43" t="s">
        <v>1956</v>
      </c>
      <c r="D1189" s="1" t="s">
        <v>1780</v>
      </c>
      <c r="E1189" s="43" t="s">
        <v>1956</v>
      </c>
      <c r="F1189" s="37" t="s">
        <v>1782</v>
      </c>
      <c r="G1189" s="44">
        <v>270</v>
      </c>
      <c r="H1189" s="44">
        <v>1.62</v>
      </c>
      <c r="K1189" s="4" t="e">
        <f>VLOOKUP(A1189,Detallado!$C$5:$H$1570,6,FALSE)</f>
        <v>#N/A</v>
      </c>
    </row>
    <row r="1190" spans="1:11">
      <c r="A1190" s="90">
        <v>127565988078</v>
      </c>
      <c r="B1190" s="1" t="s">
        <v>8</v>
      </c>
      <c r="C1190" s="43" t="s">
        <v>1956</v>
      </c>
      <c r="D1190" s="1" t="s">
        <v>1780</v>
      </c>
      <c r="E1190" s="43" t="s">
        <v>1956</v>
      </c>
      <c r="F1190" s="37" t="s">
        <v>1782</v>
      </c>
      <c r="G1190" s="44">
        <v>24400</v>
      </c>
      <c r="H1190" s="44">
        <v>146.4</v>
      </c>
      <c r="K1190" s="4" t="e">
        <f>VLOOKUP(A1190,Detallado!$C$5:$H$1570,6,FALSE)</f>
        <v>#N/A</v>
      </c>
    </row>
    <row r="1191" spans="1:11">
      <c r="A1191" s="90">
        <v>127564884982</v>
      </c>
      <c r="B1191" s="1" t="s">
        <v>8</v>
      </c>
      <c r="C1191" s="43" t="s">
        <v>1956</v>
      </c>
      <c r="D1191" s="1" t="s">
        <v>1780</v>
      </c>
      <c r="E1191" s="43" t="s">
        <v>1956</v>
      </c>
      <c r="F1191" s="37" t="s">
        <v>1782</v>
      </c>
      <c r="G1191" s="44">
        <v>131000</v>
      </c>
      <c r="H1191" s="44">
        <v>786</v>
      </c>
      <c r="K1191" s="4" t="e">
        <f>VLOOKUP(A1191,Detallado!$C$5:$H$1570,6,FALSE)</f>
        <v>#N/A</v>
      </c>
    </row>
    <row r="1192" spans="1:11">
      <c r="A1192" s="90">
        <v>127564523660</v>
      </c>
      <c r="B1192" s="1" t="s">
        <v>8</v>
      </c>
      <c r="C1192" s="43" t="s">
        <v>1956</v>
      </c>
      <c r="D1192" s="1" t="s">
        <v>1780</v>
      </c>
      <c r="E1192" s="43" t="s">
        <v>1956</v>
      </c>
      <c r="F1192" s="37" t="s">
        <v>1782</v>
      </c>
      <c r="G1192" s="44">
        <v>4000</v>
      </c>
      <c r="H1192" s="44">
        <v>24</v>
      </c>
      <c r="K1192" s="4" t="e">
        <f>VLOOKUP(A1192,Detallado!$C$5:$H$1570,6,FALSE)</f>
        <v>#N/A</v>
      </c>
    </row>
    <row r="1193" spans="1:11">
      <c r="A1193" s="90">
        <v>127563642228</v>
      </c>
      <c r="B1193" s="1" t="s">
        <v>8</v>
      </c>
      <c r="C1193" s="43" t="s">
        <v>1956</v>
      </c>
      <c r="D1193" s="1" t="s">
        <v>1780</v>
      </c>
      <c r="E1193" s="43" t="s">
        <v>1956</v>
      </c>
      <c r="F1193" s="37" t="s">
        <v>1782</v>
      </c>
      <c r="G1193" s="44">
        <v>3800</v>
      </c>
      <c r="H1193" s="44">
        <v>22.8</v>
      </c>
      <c r="K1193" s="4" t="e">
        <f>VLOOKUP(A1193,Detallado!$C$5:$H$1570,6,FALSE)</f>
        <v>#N/A</v>
      </c>
    </row>
    <row r="1194" spans="1:11">
      <c r="A1194" s="90">
        <v>127563396870</v>
      </c>
      <c r="B1194" s="1" t="s">
        <v>8</v>
      </c>
      <c r="C1194" s="43" t="s">
        <v>1956</v>
      </c>
      <c r="D1194" s="1" t="s">
        <v>1780</v>
      </c>
      <c r="E1194" s="43" t="s">
        <v>1956</v>
      </c>
      <c r="F1194" s="37" t="s">
        <v>1782</v>
      </c>
      <c r="G1194" s="44">
        <v>7000</v>
      </c>
      <c r="H1194" s="44">
        <v>42</v>
      </c>
      <c r="K1194" s="4" t="e">
        <f>VLOOKUP(A1194,Detallado!$C$5:$H$1570,6,FALSE)</f>
        <v>#N/A</v>
      </c>
    </row>
    <row r="1195" spans="1:11">
      <c r="A1195" s="90">
        <v>127562995342</v>
      </c>
      <c r="B1195" s="1" t="s">
        <v>1790</v>
      </c>
      <c r="C1195" s="43" t="s">
        <v>1956</v>
      </c>
      <c r="D1195" s="1" t="s">
        <v>1780</v>
      </c>
      <c r="E1195" s="43" t="s">
        <v>1956</v>
      </c>
      <c r="F1195" s="37" t="s">
        <v>1782</v>
      </c>
      <c r="G1195" s="44">
        <v>19900</v>
      </c>
      <c r="H1195" s="44">
        <v>119.4</v>
      </c>
      <c r="K1195" s="4" t="e">
        <f>VLOOKUP(A1195,Detallado!$C$5:$H$1570,6,FALSE)</f>
        <v>#N/A</v>
      </c>
    </row>
    <row r="1196" spans="1:11">
      <c r="A1196" s="90">
        <v>127562966336</v>
      </c>
      <c r="B1196" s="1" t="s">
        <v>1959</v>
      </c>
      <c r="C1196" s="43" t="s">
        <v>1956</v>
      </c>
      <c r="D1196" s="1" t="s">
        <v>1780</v>
      </c>
      <c r="E1196" s="43" t="s">
        <v>1956</v>
      </c>
      <c r="F1196" s="37" t="s">
        <v>1782</v>
      </c>
      <c r="G1196" s="44">
        <v>1240</v>
      </c>
      <c r="H1196" s="44">
        <v>7.44</v>
      </c>
      <c r="K1196" s="4" t="e">
        <f>VLOOKUP(A1196,Detallado!$C$5:$H$1570,6,FALSE)</f>
        <v>#N/A</v>
      </c>
    </row>
    <row r="1197" spans="1:11">
      <c r="A1197" s="90">
        <v>127562889506</v>
      </c>
      <c r="B1197" s="1" t="s">
        <v>1790</v>
      </c>
      <c r="C1197" s="43" t="s">
        <v>1956</v>
      </c>
      <c r="D1197" s="1" t="s">
        <v>1780</v>
      </c>
      <c r="E1197" s="43" t="s">
        <v>1956</v>
      </c>
      <c r="F1197" s="37" t="s">
        <v>1782</v>
      </c>
      <c r="G1197" s="44">
        <v>79500</v>
      </c>
      <c r="H1197" s="44">
        <v>477</v>
      </c>
      <c r="K1197" s="4" t="e">
        <f>VLOOKUP(A1197,Detallado!$C$5:$H$1570,6,FALSE)</f>
        <v>#N/A</v>
      </c>
    </row>
    <row r="1198" spans="1:11">
      <c r="A1198" s="90">
        <v>127562689912</v>
      </c>
      <c r="B1198" s="1" t="s">
        <v>8</v>
      </c>
      <c r="C1198" s="43" t="s">
        <v>1956</v>
      </c>
      <c r="D1198" s="1" t="s">
        <v>1780</v>
      </c>
      <c r="E1198" s="43" t="s">
        <v>1956</v>
      </c>
      <c r="F1198" s="37" t="s">
        <v>1782</v>
      </c>
      <c r="G1198" s="44">
        <v>12400</v>
      </c>
      <c r="H1198" s="44">
        <v>74.400000000000006</v>
      </c>
      <c r="K1198" s="4" t="e">
        <f>VLOOKUP(A1198,Detallado!$C$5:$H$1570,6,FALSE)</f>
        <v>#N/A</v>
      </c>
    </row>
    <row r="1199" spans="1:11">
      <c r="A1199" s="90">
        <v>127560080358</v>
      </c>
      <c r="B1199" s="1" t="s">
        <v>8</v>
      </c>
      <c r="C1199" s="43" t="s">
        <v>1956</v>
      </c>
      <c r="D1199" s="1" t="s">
        <v>1780</v>
      </c>
      <c r="E1199" s="43" t="s">
        <v>1956</v>
      </c>
      <c r="F1199" s="37" t="s">
        <v>1782</v>
      </c>
      <c r="G1199" s="44">
        <v>4500</v>
      </c>
      <c r="H1199" s="44">
        <v>27</v>
      </c>
      <c r="K1199" s="4" t="e">
        <f>VLOOKUP(A1199,Detallado!$C$5:$H$1570,6,FALSE)</f>
        <v>#N/A</v>
      </c>
    </row>
    <row r="1200" spans="1:11">
      <c r="A1200" s="90">
        <v>127559378722</v>
      </c>
      <c r="B1200" s="1" t="s">
        <v>8</v>
      </c>
      <c r="C1200" s="43" t="s">
        <v>1956</v>
      </c>
      <c r="D1200" s="1" t="s">
        <v>1780</v>
      </c>
      <c r="E1200" s="43" t="s">
        <v>1956</v>
      </c>
      <c r="F1200" s="37" t="s">
        <v>1782</v>
      </c>
      <c r="G1200" s="44">
        <v>4500</v>
      </c>
      <c r="H1200" s="44">
        <v>27</v>
      </c>
      <c r="K1200" s="4" t="e">
        <f>VLOOKUP(A1200,Detallado!$C$5:$H$1570,6,FALSE)</f>
        <v>#N/A</v>
      </c>
    </row>
    <row r="1201" spans="1:11">
      <c r="A1201" s="90">
        <v>127558376292</v>
      </c>
      <c r="B1201" s="1" t="s">
        <v>1790</v>
      </c>
      <c r="C1201" s="43" t="s">
        <v>1956</v>
      </c>
      <c r="D1201" s="1" t="s">
        <v>1780</v>
      </c>
      <c r="E1201" s="43" t="s">
        <v>1956</v>
      </c>
      <c r="F1201" s="37" t="s">
        <v>1782</v>
      </c>
      <c r="G1201" s="44">
        <v>25400</v>
      </c>
      <c r="H1201" s="44">
        <v>152.4</v>
      </c>
      <c r="K1201" s="4" t="e">
        <f>VLOOKUP(A1201,Detallado!$C$5:$H$1570,6,FALSE)</f>
        <v>#N/A</v>
      </c>
    </row>
    <row r="1202" spans="1:11">
      <c r="A1202" s="90">
        <v>127551863294</v>
      </c>
      <c r="B1202" s="1" t="s">
        <v>1790</v>
      </c>
      <c r="C1202" s="43" t="s">
        <v>1956</v>
      </c>
      <c r="D1202" s="1" t="s">
        <v>1780</v>
      </c>
      <c r="E1202" s="43" t="s">
        <v>1956</v>
      </c>
      <c r="F1202" s="37" t="s">
        <v>1782</v>
      </c>
      <c r="G1202" s="44">
        <v>40800</v>
      </c>
      <c r="H1202" s="44">
        <v>244.8</v>
      </c>
      <c r="K1202" s="4" t="e">
        <f>VLOOKUP(A1202,Detallado!$C$5:$H$1570,6,FALSE)</f>
        <v>#N/A</v>
      </c>
    </row>
    <row r="1203" spans="1:11">
      <c r="A1203" s="90">
        <v>127451720802</v>
      </c>
      <c r="B1203" s="1" t="s">
        <v>8</v>
      </c>
      <c r="C1203" s="43" t="s">
        <v>1956</v>
      </c>
      <c r="D1203" s="1" t="s">
        <v>1780</v>
      </c>
      <c r="E1203" s="43" t="s">
        <v>1956</v>
      </c>
      <c r="F1203" s="37" t="s">
        <v>1782</v>
      </c>
      <c r="G1203" s="44">
        <v>36000</v>
      </c>
      <c r="H1203" s="44">
        <v>216</v>
      </c>
      <c r="K1203" s="4" t="e">
        <f>VLOOKUP(A1203,Detallado!$C$5:$H$1570,6,FALSE)</f>
        <v>#N/A</v>
      </c>
    </row>
    <row r="1204" spans="1:11">
      <c r="A1204" s="90">
        <v>127008737071</v>
      </c>
      <c r="B1204" s="1" t="s">
        <v>8</v>
      </c>
      <c r="C1204" s="43" t="s">
        <v>1956</v>
      </c>
      <c r="D1204" s="1" t="s">
        <v>1780</v>
      </c>
      <c r="E1204" s="43" t="s">
        <v>1956</v>
      </c>
      <c r="F1204" s="37" t="s">
        <v>1782</v>
      </c>
      <c r="G1204" s="44">
        <v>31750</v>
      </c>
      <c r="H1204" s="44">
        <v>190.5</v>
      </c>
      <c r="K1204" s="4" t="e">
        <f>VLOOKUP(A1204,Detallado!$C$5:$H$1570,6,FALSE)</f>
        <v>#N/A</v>
      </c>
    </row>
    <row r="1205" spans="1:11">
      <c r="A1205" s="90">
        <v>127007916917</v>
      </c>
      <c r="B1205" s="1" t="s">
        <v>8</v>
      </c>
      <c r="C1205" s="43" t="s">
        <v>1956</v>
      </c>
      <c r="D1205" s="1" t="s">
        <v>1780</v>
      </c>
      <c r="E1205" s="43" t="s">
        <v>1956</v>
      </c>
      <c r="F1205" s="37" t="s">
        <v>1782</v>
      </c>
      <c r="G1205" s="44">
        <v>9500</v>
      </c>
      <c r="H1205" s="44">
        <v>57</v>
      </c>
      <c r="K1205" s="4" t="e">
        <f>VLOOKUP(A1205,Detallado!$C$5:$H$1570,6,FALSE)</f>
        <v>#N/A</v>
      </c>
    </row>
    <row r="1206" spans="1:11">
      <c r="A1206" s="90">
        <v>127007619411</v>
      </c>
      <c r="B1206" s="1" t="s">
        <v>1961</v>
      </c>
      <c r="C1206" s="43" t="s">
        <v>1956</v>
      </c>
      <c r="D1206" s="1" t="s">
        <v>1780</v>
      </c>
      <c r="E1206" s="43" t="s">
        <v>1956</v>
      </c>
      <c r="F1206" s="37" t="s">
        <v>1782</v>
      </c>
      <c r="G1206" s="44">
        <v>180</v>
      </c>
      <c r="H1206" s="44">
        <v>1.08</v>
      </c>
      <c r="K1206" s="4" t="e">
        <f>VLOOKUP(A1206,Detallado!$C$5:$H$1570,6,FALSE)</f>
        <v>#N/A</v>
      </c>
    </row>
    <row r="1207" spans="1:11">
      <c r="A1207" s="90">
        <v>127007460091</v>
      </c>
      <c r="B1207" s="1" t="s">
        <v>8</v>
      </c>
      <c r="C1207" s="43" t="s">
        <v>1956</v>
      </c>
      <c r="D1207" s="1" t="s">
        <v>1780</v>
      </c>
      <c r="E1207" s="43" t="s">
        <v>1956</v>
      </c>
      <c r="F1207" s="37" t="s">
        <v>1782</v>
      </c>
      <c r="G1207" s="44">
        <v>21300</v>
      </c>
      <c r="H1207" s="44">
        <v>127.8</v>
      </c>
      <c r="K1207" s="4" t="e">
        <f>VLOOKUP(A1207,Detallado!$C$5:$H$1570,6,FALSE)</f>
        <v>#N/A</v>
      </c>
    </row>
    <row r="1208" spans="1:11">
      <c r="A1208" s="90">
        <v>127007204939</v>
      </c>
      <c r="B1208" s="1" t="s">
        <v>8</v>
      </c>
      <c r="C1208" s="43" t="s">
        <v>1956</v>
      </c>
      <c r="D1208" s="1" t="s">
        <v>1780</v>
      </c>
      <c r="E1208" s="43" t="s">
        <v>1956</v>
      </c>
      <c r="F1208" s="37" t="s">
        <v>1782</v>
      </c>
      <c r="G1208" s="44">
        <v>4500</v>
      </c>
      <c r="H1208" s="44">
        <v>27</v>
      </c>
      <c r="K1208" s="4" t="e">
        <f>VLOOKUP(A1208,Detallado!$C$5:$H$1570,6,FALSE)</f>
        <v>#N/A</v>
      </c>
    </row>
    <row r="1209" spans="1:11">
      <c r="A1209" s="90">
        <v>127007093447</v>
      </c>
      <c r="B1209" s="1" t="s">
        <v>8</v>
      </c>
      <c r="C1209" s="43" t="s">
        <v>1956</v>
      </c>
      <c r="D1209" s="1" t="s">
        <v>1780</v>
      </c>
      <c r="E1209" s="43" t="s">
        <v>1956</v>
      </c>
      <c r="F1209" s="37" t="s">
        <v>1782</v>
      </c>
      <c r="G1209" s="44">
        <v>60600</v>
      </c>
      <c r="H1209" s="44">
        <v>363.6</v>
      </c>
      <c r="K1209" s="4" t="e">
        <f>VLOOKUP(A1209,Detallado!$C$5:$H$1570,6,FALSE)</f>
        <v>#N/A</v>
      </c>
    </row>
    <row r="1210" spans="1:11">
      <c r="A1210" s="90">
        <v>127006095161</v>
      </c>
      <c r="B1210" s="1" t="s">
        <v>8</v>
      </c>
      <c r="C1210" s="43" t="s">
        <v>1956</v>
      </c>
      <c r="D1210" s="1" t="s">
        <v>1780</v>
      </c>
      <c r="E1210" s="43" t="s">
        <v>1956</v>
      </c>
      <c r="F1210" s="37" t="s">
        <v>1782</v>
      </c>
      <c r="G1210" s="44">
        <v>1800</v>
      </c>
      <c r="H1210" s="44">
        <v>10.8</v>
      </c>
      <c r="K1210" s="4" t="e">
        <f>VLOOKUP(A1210,Detallado!$C$5:$H$1570,6,FALSE)</f>
        <v>#N/A</v>
      </c>
    </row>
    <row r="1211" spans="1:11">
      <c r="A1211" s="90">
        <v>127005540781</v>
      </c>
      <c r="B1211" s="1" t="s">
        <v>8</v>
      </c>
      <c r="C1211" s="43" t="s">
        <v>1956</v>
      </c>
      <c r="D1211" s="1" t="s">
        <v>1780</v>
      </c>
      <c r="E1211" s="43" t="s">
        <v>1956</v>
      </c>
      <c r="F1211" s="37" t="s">
        <v>1782</v>
      </c>
      <c r="G1211" s="44">
        <v>5000</v>
      </c>
      <c r="H1211" s="44">
        <v>30</v>
      </c>
      <c r="K1211" s="4" t="e">
        <f>VLOOKUP(A1211,Detallado!$C$5:$H$1570,6,FALSE)</f>
        <v>#N/A</v>
      </c>
    </row>
    <row r="1212" spans="1:11">
      <c r="A1212" s="90">
        <v>127005490421</v>
      </c>
      <c r="B1212" s="1" t="s">
        <v>8</v>
      </c>
      <c r="C1212" s="43" t="s">
        <v>1956</v>
      </c>
      <c r="D1212" s="1" t="s">
        <v>1780</v>
      </c>
      <c r="E1212" s="43" t="s">
        <v>1956</v>
      </c>
      <c r="F1212" s="37" t="s">
        <v>1782</v>
      </c>
      <c r="G1212" s="44">
        <v>5000</v>
      </c>
      <c r="H1212" s="44">
        <v>30</v>
      </c>
      <c r="K1212" s="4" t="e">
        <f>VLOOKUP(A1212,Detallado!$C$5:$H$1570,6,FALSE)</f>
        <v>#N/A</v>
      </c>
    </row>
    <row r="1213" spans="1:11">
      <c r="A1213" s="90">
        <v>127005216387</v>
      </c>
      <c r="B1213" s="1" t="s">
        <v>1790</v>
      </c>
      <c r="C1213" s="43" t="s">
        <v>1956</v>
      </c>
      <c r="D1213" s="1" t="s">
        <v>1780</v>
      </c>
      <c r="E1213" s="43" t="s">
        <v>1956</v>
      </c>
      <c r="F1213" s="37" t="s">
        <v>1782</v>
      </c>
      <c r="G1213" s="44">
        <v>8500</v>
      </c>
      <c r="H1213" s="44">
        <v>51</v>
      </c>
      <c r="K1213" s="4" t="e">
        <f>VLOOKUP(A1213,Detallado!$C$5:$H$1570,6,FALSE)</f>
        <v>#N/A</v>
      </c>
    </row>
    <row r="1214" spans="1:11">
      <c r="A1214" s="90">
        <v>127004301425</v>
      </c>
      <c r="B1214" s="1" t="s">
        <v>8</v>
      </c>
      <c r="C1214" s="43" t="s">
        <v>1956</v>
      </c>
      <c r="D1214" s="1" t="s">
        <v>1780</v>
      </c>
      <c r="E1214" s="43" t="s">
        <v>1956</v>
      </c>
      <c r="F1214" s="37" t="s">
        <v>1782</v>
      </c>
      <c r="G1214" s="44">
        <v>4050</v>
      </c>
      <c r="H1214" s="44">
        <v>24.3</v>
      </c>
      <c r="K1214" s="4" t="e">
        <f>VLOOKUP(A1214,Detallado!$C$5:$H$1570,6,FALSE)</f>
        <v>#N/A</v>
      </c>
    </row>
    <row r="1215" spans="1:11">
      <c r="A1215" s="90">
        <v>127004006243</v>
      </c>
      <c r="B1215" s="1" t="s">
        <v>8</v>
      </c>
      <c r="C1215" s="43" t="s">
        <v>1956</v>
      </c>
      <c r="D1215" s="1" t="s">
        <v>1780</v>
      </c>
      <c r="E1215" s="43" t="s">
        <v>1956</v>
      </c>
      <c r="F1215" s="37" t="s">
        <v>1782</v>
      </c>
      <c r="G1215" s="44">
        <v>4500</v>
      </c>
      <c r="H1215" s="44">
        <v>27</v>
      </c>
      <c r="K1215" s="4" t="e">
        <f>VLOOKUP(A1215,Detallado!$C$5:$H$1570,6,FALSE)</f>
        <v>#N/A</v>
      </c>
    </row>
    <row r="1216" spans="1:11">
      <c r="A1216" s="90">
        <v>127003793721</v>
      </c>
      <c r="B1216" s="1" t="s">
        <v>1790</v>
      </c>
      <c r="C1216" s="43" t="s">
        <v>1956</v>
      </c>
      <c r="D1216" s="1" t="s">
        <v>1780</v>
      </c>
      <c r="E1216" s="43" t="s">
        <v>1956</v>
      </c>
      <c r="F1216" s="37" t="s">
        <v>1782</v>
      </c>
      <c r="G1216" s="44">
        <v>4500</v>
      </c>
      <c r="H1216" s="44">
        <v>27</v>
      </c>
      <c r="K1216" s="4" t="e">
        <f>VLOOKUP(A1216,Detallado!$C$5:$H$1570,6,FALSE)</f>
        <v>#N/A</v>
      </c>
    </row>
    <row r="1217" spans="1:16">
      <c r="A1217" s="90">
        <v>127003432415</v>
      </c>
      <c r="B1217" s="1" t="s">
        <v>8</v>
      </c>
      <c r="C1217" s="43" t="s">
        <v>1956</v>
      </c>
      <c r="D1217" s="1" t="s">
        <v>1780</v>
      </c>
      <c r="E1217" s="43" t="s">
        <v>1956</v>
      </c>
      <c r="F1217" s="37" t="s">
        <v>1782</v>
      </c>
      <c r="G1217" s="44">
        <v>8400</v>
      </c>
      <c r="H1217" s="44">
        <v>50.4</v>
      </c>
      <c r="K1217" s="4" t="e">
        <f>VLOOKUP(A1217,Detallado!$C$5:$H$1570,6,FALSE)</f>
        <v>#N/A</v>
      </c>
    </row>
    <row r="1218" spans="1:16">
      <c r="A1218" s="90">
        <v>127003299949</v>
      </c>
      <c r="B1218" s="1" t="s">
        <v>1964</v>
      </c>
      <c r="C1218" s="43" t="s">
        <v>1956</v>
      </c>
      <c r="D1218" s="1" t="s">
        <v>1780</v>
      </c>
      <c r="E1218" s="43" t="s">
        <v>1956</v>
      </c>
      <c r="F1218" s="37" t="s">
        <v>1782</v>
      </c>
      <c r="G1218" s="44">
        <v>1260</v>
      </c>
      <c r="H1218" s="44">
        <v>7.56</v>
      </c>
      <c r="K1218" s="4" t="e">
        <f>VLOOKUP(A1218,Detallado!$C$5:$H$1570,6,FALSE)</f>
        <v>#N/A</v>
      </c>
    </row>
    <row r="1219" spans="1:16">
      <c r="A1219" s="90">
        <v>127002777527</v>
      </c>
      <c r="B1219" s="1" t="s">
        <v>8</v>
      </c>
      <c r="C1219" s="43" t="s">
        <v>1956</v>
      </c>
      <c r="D1219" s="1" t="s">
        <v>1780</v>
      </c>
      <c r="E1219" s="43" t="s">
        <v>1956</v>
      </c>
      <c r="F1219" s="37" t="s">
        <v>1782</v>
      </c>
      <c r="G1219" s="44">
        <v>4500</v>
      </c>
      <c r="H1219" s="44">
        <v>27</v>
      </c>
      <c r="K1219" s="4" t="e">
        <f>VLOOKUP(A1219,Detallado!$C$5:$H$1570,6,FALSE)</f>
        <v>#N/A</v>
      </c>
    </row>
    <row r="1220" spans="1:16">
      <c r="A1220" s="90">
        <v>127002660243</v>
      </c>
      <c r="B1220" s="1" t="s">
        <v>8</v>
      </c>
      <c r="C1220" s="43" t="s">
        <v>1956</v>
      </c>
      <c r="D1220" s="1" t="s">
        <v>1780</v>
      </c>
      <c r="E1220" s="43" t="s">
        <v>1956</v>
      </c>
      <c r="F1220" s="37" t="s">
        <v>1782</v>
      </c>
      <c r="G1220" s="44">
        <v>3800</v>
      </c>
      <c r="H1220" s="44">
        <v>22.8</v>
      </c>
      <c r="K1220" s="4" t="e">
        <f>VLOOKUP(A1220,Detallado!$C$5:$H$1570,6,FALSE)</f>
        <v>#N/A</v>
      </c>
    </row>
    <row r="1221" spans="1:16">
      <c r="A1221" s="90">
        <v>127000155083</v>
      </c>
      <c r="B1221" s="1" t="s">
        <v>8</v>
      </c>
      <c r="C1221" s="43" t="s">
        <v>1956</v>
      </c>
      <c r="D1221" s="1" t="s">
        <v>1780</v>
      </c>
      <c r="E1221" s="43" t="s">
        <v>1956</v>
      </c>
      <c r="F1221" s="37" t="s">
        <v>1782</v>
      </c>
      <c r="G1221" s="44">
        <v>9000</v>
      </c>
      <c r="H1221" s="44">
        <v>54</v>
      </c>
      <c r="K1221" s="4" t="e">
        <f>VLOOKUP(A1221,Detallado!$C$5:$H$1570,6,FALSE)</f>
        <v>#N/A</v>
      </c>
    </row>
    <row r="1222" spans="1:16">
      <c r="A1222" s="90">
        <v>126999420385</v>
      </c>
      <c r="B1222" s="1" t="s">
        <v>8</v>
      </c>
      <c r="C1222" s="43" t="s">
        <v>1956</v>
      </c>
      <c r="D1222" s="1" t="s">
        <v>1780</v>
      </c>
      <c r="E1222" s="43" t="s">
        <v>1956</v>
      </c>
      <c r="F1222" s="37" t="s">
        <v>1782</v>
      </c>
      <c r="G1222" s="44">
        <v>9200</v>
      </c>
      <c r="H1222" s="44">
        <v>55.2</v>
      </c>
      <c r="K1222" s="4" t="e">
        <f>VLOOKUP(A1222,Detallado!$C$5:$H$1570,6,FALSE)</f>
        <v>#N/A</v>
      </c>
    </row>
    <row r="1223" spans="1:16">
      <c r="A1223" s="90">
        <v>126998588149</v>
      </c>
      <c r="B1223" s="1" t="s">
        <v>8</v>
      </c>
      <c r="C1223" s="43" t="s">
        <v>1956</v>
      </c>
      <c r="D1223" s="1" t="s">
        <v>1780</v>
      </c>
      <c r="E1223" s="43" t="s">
        <v>1956</v>
      </c>
      <c r="F1223" s="37" t="s">
        <v>1782</v>
      </c>
      <c r="G1223" s="44">
        <v>18000</v>
      </c>
      <c r="H1223" s="44">
        <v>108</v>
      </c>
      <c r="K1223" s="4" t="e">
        <f>VLOOKUP(A1223,Detallado!$C$5:$H$1570,6,FALSE)</f>
        <v>#N/A</v>
      </c>
    </row>
    <row r="1224" spans="1:16">
      <c r="A1224" s="90">
        <v>126998023247</v>
      </c>
      <c r="B1224" s="1" t="s">
        <v>1958</v>
      </c>
      <c r="C1224" s="43" t="s">
        <v>1956</v>
      </c>
      <c r="D1224" s="1" t="s">
        <v>1780</v>
      </c>
      <c r="E1224" s="43" t="s">
        <v>1956</v>
      </c>
      <c r="F1224" s="37" t="s">
        <v>1782</v>
      </c>
      <c r="G1224" s="44">
        <v>450</v>
      </c>
      <c r="H1224" s="44">
        <v>2.7</v>
      </c>
      <c r="K1224" s="4" t="e">
        <f>VLOOKUP(A1224,Detallado!$C$5:$H$1570,6,FALSE)</f>
        <v>#N/A</v>
      </c>
    </row>
    <row r="1225" spans="1:16">
      <c r="A1225" s="90">
        <v>126997229679</v>
      </c>
      <c r="B1225" s="1" t="s">
        <v>8</v>
      </c>
      <c r="C1225" s="43" t="s">
        <v>1956</v>
      </c>
      <c r="D1225" s="1" t="s">
        <v>1780</v>
      </c>
      <c r="E1225" s="43" t="s">
        <v>1956</v>
      </c>
      <c r="F1225" s="37" t="s">
        <v>1782</v>
      </c>
      <c r="G1225" s="44">
        <v>5500</v>
      </c>
      <c r="H1225" s="44">
        <v>33</v>
      </c>
      <c r="K1225" s="4" t="e">
        <f>VLOOKUP(A1225,Detallado!$C$5:$H$1570,6,FALSE)</f>
        <v>#N/A</v>
      </c>
    </row>
    <row r="1226" spans="1:16">
      <c r="A1226" s="90">
        <v>126995125095</v>
      </c>
      <c r="B1226" s="1" t="s">
        <v>8</v>
      </c>
      <c r="C1226" s="43" t="s">
        <v>1956</v>
      </c>
      <c r="D1226" s="1" t="s">
        <v>1780</v>
      </c>
      <c r="E1226" s="43" t="s">
        <v>1956</v>
      </c>
      <c r="F1226" s="37" t="s">
        <v>1782</v>
      </c>
      <c r="G1226" s="44">
        <v>3600</v>
      </c>
      <c r="H1226" s="44">
        <v>21.6</v>
      </c>
      <c r="K1226" s="4" t="e">
        <f>VLOOKUP(A1226,Detallado!$C$5:$H$1570,6,FALSE)</f>
        <v>#N/A</v>
      </c>
    </row>
    <row r="1227" spans="1:16">
      <c r="A1227" s="90">
        <v>126993096283</v>
      </c>
      <c r="B1227" s="1" t="s">
        <v>8</v>
      </c>
      <c r="C1227" s="43" t="s">
        <v>1956</v>
      </c>
      <c r="D1227" s="1" t="s">
        <v>1780</v>
      </c>
      <c r="E1227" s="43" t="s">
        <v>1956</v>
      </c>
      <c r="F1227" s="37" t="s">
        <v>1782</v>
      </c>
      <c r="G1227" s="44">
        <v>9000</v>
      </c>
      <c r="H1227" s="44">
        <v>54</v>
      </c>
      <c r="K1227" s="4" t="e">
        <f>VLOOKUP(A1227,Detallado!$C$5:$H$1570,6,FALSE)</f>
        <v>#N/A</v>
      </c>
    </row>
    <row r="1228" spans="1:16">
      <c r="A1228" s="90">
        <v>126992616729</v>
      </c>
      <c r="B1228" s="1" t="s">
        <v>8</v>
      </c>
      <c r="C1228" s="43" t="s">
        <v>1956</v>
      </c>
      <c r="D1228" s="1" t="s">
        <v>1780</v>
      </c>
      <c r="E1228" s="43" t="s">
        <v>1956</v>
      </c>
      <c r="F1228" s="37" t="s">
        <v>1782</v>
      </c>
      <c r="G1228" s="44">
        <v>4500</v>
      </c>
      <c r="H1228" s="44">
        <v>27</v>
      </c>
      <c r="K1228" s="4" t="e">
        <f>VLOOKUP(A1228,Detallado!$C$5:$H$1570,6,FALSE)</f>
        <v>#N/A</v>
      </c>
    </row>
    <row r="1229" spans="1:16">
      <c r="A1229" s="90">
        <v>126987851295</v>
      </c>
      <c r="B1229" s="1" t="s">
        <v>1790</v>
      </c>
      <c r="C1229" s="43" t="s">
        <v>1956</v>
      </c>
      <c r="D1229" s="1" t="s">
        <v>1780</v>
      </c>
      <c r="E1229" s="43" t="s">
        <v>1956</v>
      </c>
      <c r="F1229" s="37" t="s">
        <v>1782</v>
      </c>
      <c r="G1229" s="44">
        <v>9000</v>
      </c>
      <c r="H1229" s="44">
        <v>54</v>
      </c>
      <c r="K1229" s="4" t="e">
        <f>VLOOKUP(A1229,Detallado!$C$5:$H$1570,6,FALSE)</f>
        <v>#N/A</v>
      </c>
    </row>
    <row r="1230" spans="1:16">
      <c r="A1230" s="90">
        <v>126932959003</v>
      </c>
      <c r="B1230" s="1" t="s">
        <v>8</v>
      </c>
      <c r="C1230" s="43" t="s">
        <v>1956</v>
      </c>
      <c r="D1230" s="1" t="s">
        <v>1780</v>
      </c>
      <c r="E1230" s="43" t="s">
        <v>1956</v>
      </c>
      <c r="F1230" s="37" t="s">
        <v>1782</v>
      </c>
      <c r="G1230" s="44">
        <v>98090.03</v>
      </c>
      <c r="H1230" s="77">
        <v>588.54</v>
      </c>
      <c r="K1230" s="27" t="e">
        <f>VLOOKUP(A1230,Detallado!$C$5:$H$1570,6,FALSE)</f>
        <v>#N/A</v>
      </c>
      <c r="M1230" s="4">
        <v>-585.02999999999884</v>
      </c>
      <c r="N1230" s="66" t="e">
        <f>+K1230-M1230</f>
        <v>#N/A</v>
      </c>
      <c r="O1230" s="1" t="s">
        <v>1320</v>
      </c>
      <c r="P1230" s="1">
        <f>+E1230-O1230</f>
        <v>0</v>
      </c>
    </row>
    <row r="1231" spans="1:16">
      <c r="A1231" s="90">
        <v>127573266632</v>
      </c>
      <c r="B1231" s="1" t="s">
        <v>8</v>
      </c>
      <c r="C1231" s="43" t="s">
        <v>1956</v>
      </c>
      <c r="D1231" s="1" t="s">
        <v>1780</v>
      </c>
      <c r="E1231" s="43" t="s">
        <v>1963</v>
      </c>
      <c r="F1231" s="37" t="s">
        <v>1782</v>
      </c>
      <c r="G1231" s="44">
        <v>15300</v>
      </c>
      <c r="H1231" s="44">
        <v>91.8</v>
      </c>
      <c r="K1231" s="4" t="e">
        <f>VLOOKUP(A1231,Detallado!$C$5:$H$1570,6,FALSE)</f>
        <v>#N/A</v>
      </c>
    </row>
    <row r="1232" spans="1:16">
      <c r="A1232" s="90">
        <v>127573121230</v>
      </c>
      <c r="B1232" s="1" t="s">
        <v>1790</v>
      </c>
      <c r="C1232" s="43" t="s">
        <v>1956</v>
      </c>
      <c r="D1232" s="1" t="s">
        <v>1780</v>
      </c>
      <c r="E1232" s="43" t="s">
        <v>1963</v>
      </c>
      <c r="F1232" s="37" t="s">
        <v>1782</v>
      </c>
      <c r="G1232" s="44">
        <v>9000</v>
      </c>
      <c r="H1232" s="44">
        <v>54</v>
      </c>
      <c r="K1232" s="4" t="e">
        <f>VLOOKUP(A1232,Detallado!$C$5:$H$1570,6,FALSE)</f>
        <v>#N/A</v>
      </c>
    </row>
    <row r="1233" spans="1:11">
      <c r="A1233" s="90">
        <v>127572984226</v>
      </c>
      <c r="B1233" s="1" t="s">
        <v>8</v>
      </c>
      <c r="C1233" s="43" t="s">
        <v>1956</v>
      </c>
      <c r="D1233" s="1" t="s">
        <v>1780</v>
      </c>
      <c r="E1233" s="43" t="s">
        <v>1963</v>
      </c>
      <c r="F1233" s="37" t="s">
        <v>1782</v>
      </c>
      <c r="G1233" s="44">
        <v>11500</v>
      </c>
      <c r="H1233" s="44">
        <v>69</v>
      </c>
      <c r="K1233" s="4" t="e">
        <f>VLOOKUP(A1233,Detallado!$C$5:$H$1570,6,FALSE)</f>
        <v>#N/A</v>
      </c>
    </row>
    <row r="1234" spans="1:11">
      <c r="A1234" s="90">
        <v>127572677794</v>
      </c>
      <c r="B1234" s="1" t="s">
        <v>8</v>
      </c>
      <c r="C1234" s="43" t="s">
        <v>1956</v>
      </c>
      <c r="D1234" s="1" t="s">
        <v>1780</v>
      </c>
      <c r="E1234" s="43" t="s">
        <v>1963</v>
      </c>
      <c r="F1234" s="37" t="s">
        <v>1782</v>
      </c>
      <c r="G1234" s="44">
        <v>3600</v>
      </c>
      <c r="H1234" s="44">
        <v>21.6</v>
      </c>
      <c r="K1234" s="4" t="e">
        <f>VLOOKUP(A1234,Detallado!$C$5:$H$1570,6,FALSE)</f>
        <v>#N/A</v>
      </c>
    </row>
    <row r="1235" spans="1:11">
      <c r="A1235" s="90">
        <v>127572547690</v>
      </c>
      <c r="B1235" s="1" t="s">
        <v>8</v>
      </c>
      <c r="C1235" s="43" t="s">
        <v>1956</v>
      </c>
      <c r="D1235" s="1" t="s">
        <v>1780</v>
      </c>
      <c r="E1235" s="43" t="s">
        <v>1963</v>
      </c>
      <c r="F1235" s="37" t="s">
        <v>1782</v>
      </c>
      <c r="G1235" s="44">
        <v>85550</v>
      </c>
      <c r="H1235" s="44">
        <v>513.29999999999995</v>
      </c>
      <c r="K1235" s="4" t="e">
        <f>VLOOKUP(A1235,Detallado!$C$5:$H$1570,6,FALSE)</f>
        <v>#N/A</v>
      </c>
    </row>
    <row r="1236" spans="1:11">
      <c r="A1236" s="90">
        <v>127572489702</v>
      </c>
      <c r="B1236" s="1" t="s">
        <v>1790</v>
      </c>
      <c r="C1236" s="43" t="s">
        <v>1956</v>
      </c>
      <c r="D1236" s="1" t="s">
        <v>1780</v>
      </c>
      <c r="E1236" s="43" t="s">
        <v>1963</v>
      </c>
      <c r="F1236" s="37" t="s">
        <v>1782</v>
      </c>
      <c r="G1236" s="44">
        <v>3600</v>
      </c>
      <c r="H1236" s="44">
        <v>21.6</v>
      </c>
      <c r="K1236" s="4" t="e">
        <f>VLOOKUP(A1236,Detallado!$C$5:$H$1570,6,FALSE)</f>
        <v>#N/A</v>
      </c>
    </row>
    <row r="1237" spans="1:11">
      <c r="A1237" s="90">
        <v>127572308076</v>
      </c>
      <c r="B1237" s="1" t="s">
        <v>8</v>
      </c>
      <c r="C1237" s="43" t="s">
        <v>1956</v>
      </c>
      <c r="D1237" s="1" t="s">
        <v>1780</v>
      </c>
      <c r="E1237" s="43" t="s">
        <v>1963</v>
      </c>
      <c r="F1237" s="37" t="s">
        <v>1782</v>
      </c>
      <c r="G1237" s="44">
        <v>4500</v>
      </c>
      <c r="H1237" s="44">
        <v>27</v>
      </c>
      <c r="K1237" s="4" t="e">
        <f>VLOOKUP(A1237,Detallado!$C$5:$H$1570,6,FALSE)</f>
        <v>#N/A</v>
      </c>
    </row>
    <row r="1238" spans="1:11">
      <c r="A1238" s="90">
        <v>127572204974</v>
      </c>
      <c r="B1238" s="1" t="s">
        <v>1965</v>
      </c>
      <c r="C1238" s="43" t="s">
        <v>1956</v>
      </c>
      <c r="D1238" s="1" t="s">
        <v>1780</v>
      </c>
      <c r="E1238" s="43" t="s">
        <v>1963</v>
      </c>
      <c r="F1238" s="37" t="s">
        <v>1782</v>
      </c>
      <c r="G1238" s="44">
        <v>660</v>
      </c>
      <c r="H1238" s="44">
        <v>3.96</v>
      </c>
      <c r="K1238" s="4" t="e">
        <f>VLOOKUP(A1238,Detallado!$C$5:$H$1570,6,FALSE)</f>
        <v>#N/A</v>
      </c>
    </row>
    <row r="1239" spans="1:11">
      <c r="A1239" s="90">
        <v>127572103516</v>
      </c>
      <c r="B1239" s="1" t="s">
        <v>8</v>
      </c>
      <c r="C1239" s="43" t="s">
        <v>1956</v>
      </c>
      <c r="D1239" s="1" t="s">
        <v>1780</v>
      </c>
      <c r="E1239" s="43" t="s">
        <v>1963</v>
      </c>
      <c r="F1239" s="37" t="s">
        <v>1782</v>
      </c>
      <c r="G1239" s="44">
        <v>4400</v>
      </c>
      <c r="H1239" s="44">
        <v>26.4</v>
      </c>
      <c r="K1239" s="4" t="e">
        <f>VLOOKUP(A1239,Detallado!$C$5:$H$1570,6,FALSE)</f>
        <v>#N/A</v>
      </c>
    </row>
    <row r="1240" spans="1:11">
      <c r="A1240" s="90">
        <v>127571538018</v>
      </c>
      <c r="B1240" s="1" t="s">
        <v>1790</v>
      </c>
      <c r="C1240" s="43" t="s">
        <v>1956</v>
      </c>
      <c r="D1240" s="1" t="s">
        <v>1780</v>
      </c>
      <c r="E1240" s="43" t="s">
        <v>1963</v>
      </c>
      <c r="F1240" s="37" t="s">
        <v>1782</v>
      </c>
      <c r="G1240" s="44">
        <v>37200</v>
      </c>
      <c r="H1240" s="44">
        <v>223.2</v>
      </c>
      <c r="K1240" s="4" t="e">
        <f>VLOOKUP(A1240,Detallado!$C$5:$H$1570,6,FALSE)</f>
        <v>#N/A</v>
      </c>
    </row>
    <row r="1241" spans="1:11">
      <c r="A1241" s="90">
        <v>127571110712</v>
      </c>
      <c r="B1241" s="1" t="s">
        <v>8</v>
      </c>
      <c r="C1241" s="43" t="s">
        <v>1956</v>
      </c>
      <c r="D1241" s="1" t="s">
        <v>1780</v>
      </c>
      <c r="E1241" s="43" t="s">
        <v>1963</v>
      </c>
      <c r="F1241" s="37" t="s">
        <v>1782</v>
      </c>
      <c r="G1241" s="44">
        <v>4500</v>
      </c>
      <c r="H1241" s="44">
        <v>27</v>
      </c>
      <c r="K1241" s="4" t="e">
        <f>VLOOKUP(A1241,Detallado!$C$5:$H$1570,6,FALSE)</f>
        <v>#N/A</v>
      </c>
    </row>
    <row r="1242" spans="1:11">
      <c r="A1242" s="90">
        <v>127011203685</v>
      </c>
      <c r="B1242" s="1" t="s">
        <v>8</v>
      </c>
      <c r="C1242" s="43" t="s">
        <v>1956</v>
      </c>
      <c r="D1242" s="1" t="s">
        <v>1780</v>
      </c>
      <c r="E1242" s="43" t="s">
        <v>1963</v>
      </c>
      <c r="F1242" s="37" t="s">
        <v>1782</v>
      </c>
      <c r="G1242" s="44">
        <v>4500</v>
      </c>
      <c r="H1242" s="44">
        <v>27</v>
      </c>
      <c r="K1242" s="4" t="e">
        <f>VLOOKUP(A1242,Detallado!$C$5:$H$1570,6,FALSE)</f>
        <v>#N/A</v>
      </c>
    </row>
    <row r="1243" spans="1:11">
      <c r="A1243" s="90">
        <v>127010996009</v>
      </c>
      <c r="B1243" s="1" t="s">
        <v>8</v>
      </c>
      <c r="C1243" s="43" t="s">
        <v>1956</v>
      </c>
      <c r="D1243" s="1" t="s">
        <v>1780</v>
      </c>
      <c r="E1243" s="43" t="s">
        <v>1963</v>
      </c>
      <c r="F1243" s="37" t="s">
        <v>1782</v>
      </c>
      <c r="G1243" s="44">
        <v>8100</v>
      </c>
      <c r="H1243" s="44">
        <v>48.6</v>
      </c>
      <c r="K1243" s="4" t="e">
        <f>VLOOKUP(A1243,Detallado!$C$5:$H$1570,6,FALSE)</f>
        <v>#N/A</v>
      </c>
    </row>
    <row r="1244" spans="1:11">
      <c r="A1244" s="90">
        <v>127010232283</v>
      </c>
      <c r="B1244" s="1" t="s">
        <v>8</v>
      </c>
      <c r="C1244" s="43" t="s">
        <v>1956</v>
      </c>
      <c r="D1244" s="1" t="s">
        <v>1780</v>
      </c>
      <c r="E1244" s="43" t="s">
        <v>1963</v>
      </c>
      <c r="F1244" s="37" t="s">
        <v>1782</v>
      </c>
      <c r="G1244" s="44">
        <v>10000</v>
      </c>
      <c r="H1244" s="44">
        <v>60</v>
      </c>
      <c r="K1244" s="4" t="e">
        <f>VLOOKUP(A1244,Detallado!$C$5:$H$1570,6,FALSE)</f>
        <v>#N/A</v>
      </c>
    </row>
    <row r="1245" spans="1:11">
      <c r="A1245" s="90">
        <v>127010211831</v>
      </c>
      <c r="B1245" s="1" t="s">
        <v>8</v>
      </c>
      <c r="C1245" s="43" t="s">
        <v>1956</v>
      </c>
      <c r="D1245" s="1" t="s">
        <v>1780</v>
      </c>
      <c r="E1245" s="43" t="s">
        <v>1963</v>
      </c>
      <c r="F1245" s="37" t="s">
        <v>1782</v>
      </c>
      <c r="G1245" s="44">
        <v>15300</v>
      </c>
      <c r="H1245" s="44">
        <v>91.8</v>
      </c>
      <c r="K1245" s="4" t="e">
        <f>VLOOKUP(A1245,Detallado!$C$5:$H$1570,6,FALSE)</f>
        <v>#N/A</v>
      </c>
    </row>
    <row r="1246" spans="1:11">
      <c r="A1246" s="90">
        <v>127010025919</v>
      </c>
      <c r="B1246" s="1" t="s">
        <v>8</v>
      </c>
      <c r="C1246" s="43" t="s">
        <v>1956</v>
      </c>
      <c r="D1246" s="1" t="s">
        <v>1780</v>
      </c>
      <c r="E1246" s="43" t="s">
        <v>1963</v>
      </c>
      <c r="F1246" s="37" t="s">
        <v>1782</v>
      </c>
      <c r="G1246" s="44">
        <v>4500</v>
      </c>
      <c r="H1246" s="44">
        <v>27</v>
      </c>
      <c r="K1246" s="4" t="e">
        <f>VLOOKUP(A1246,Detallado!$C$5:$H$1570,6,FALSE)</f>
        <v>#N/A</v>
      </c>
    </row>
    <row r="1247" spans="1:11">
      <c r="A1247" s="90">
        <v>127009987447</v>
      </c>
      <c r="B1247" s="1" t="s">
        <v>8</v>
      </c>
      <c r="C1247" s="43" t="s">
        <v>1956</v>
      </c>
      <c r="D1247" s="1" t="s">
        <v>1780</v>
      </c>
      <c r="E1247" s="43" t="s">
        <v>1963</v>
      </c>
      <c r="F1247" s="37" t="s">
        <v>1782</v>
      </c>
      <c r="G1247" s="44">
        <v>46000</v>
      </c>
      <c r="H1247" s="44">
        <v>276</v>
      </c>
      <c r="K1247" s="4" t="e">
        <f>VLOOKUP(A1247,Detallado!$C$5:$H$1570,6,FALSE)</f>
        <v>#N/A</v>
      </c>
    </row>
    <row r="1248" spans="1:11">
      <c r="A1248" s="90">
        <v>127009741659</v>
      </c>
      <c r="B1248" s="1" t="s">
        <v>8</v>
      </c>
      <c r="C1248" s="43" t="s">
        <v>1956</v>
      </c>
      <c r="D1248" s="1" t="s">
        <v>1780</v>
      </c>
      <c r="E1248" s="43" t="s">
        <v>1963</v>
      </c>
      <c r="F1248" s="37" t="s">
        <v>1782</v>
      </c>
      <c r="G1248" s="44">
        <v>7600</v>
      </c>
      <c r="H1248" s="44">
        <v>45.6</v>
      </c>
      <c r="K1248" s="4" t="e">
        <f>VLOOKUP(A1248,Detallado!$C$5:$H$1570,6,FALSE)</f>
        <v>#N/A</v>
      </c>
    </row>
    <row r="1249" spans="1:11">
      <c r="A1249" s="90">
        <v>127699484268</v>
      </c>
      <c r="B1249" s="1" t="s">
        <v>1790</v>
      </c>
      <c r="C1249" s="43" t="s">
        <v>1963</v>
      </c>
      <c r="D1249" s="1" t="s">
        <v>1780</v>
      </c>
      <c r="E1249" s="43" t="s">
        <v>1963</v>
      </c>
      <c r="F1249" s="37" t="s">
        <v>1782</v>
      </c>
      <c r="G1249" s="44">
        <v>40200</v>
      </c>
      <c r="H1249" s="44">
        <v>241.2</v>
      </c>
      <c r="K1249" s="4" t="e">
        <f>VLOOKUP(A1249,Detallado!$C$5:$H$1570,6,FALSE)</f>
        <v>#N/A</v>
      </c>
    </row>
    <row r="1250" spans="1:11">
      <c r="A1250" s="90">
        <v>127699173378</v>
      </c>
      <c r="B1250" s="1" t="s">
        <v>8</v>
      </c>
      <c r="C1250" s="43" t="s">
        <v>1963</v>
      </c>
      <c r="D1250" s="1" t="s">
        <v>1780</v>
      </c>
      <c r="E1250" s="43" t="s">
        <v>1963</v>
      </c>
      <c r="F1250" s="37" t="s">
        <v>1782</v>
      </c>
      <c r="G1250" s="44">
        <v>15800</v>
      </c>
      <c r="H1250" s="44">
        <v>94.8</v>
      </c>
      <c r="K1250" s="4" t="e">
        <f>VLOOKUP(A1250,Detallado!$C$5:$H$1570,6,FALSE)</f>
        <v>#N/A</v>
      </c>
    </row>
    <row r="1251" spans="1:11">
      <c r="A1251" s="90">
        <v>127698564448</v>
      </c>
      <c r="B1251" s="1" t="s">
        <v>8</v>
      </c>
      <c r="C1251" s="43" t="s">
        <v>1963</v>
      </c>
      <c r="D1251" s="1" t="s">
        <v>1780</v>
      </c>
      <c r="E1251" s="43" t="s">
        <v>1963</v>
      </c>
      <c r="F1251" s="37" t="s">
        <v>1782</v>
      </c>
      <c r="G1251" s="44">
        <v>13500</v>
      </c>
      <c r="H1251" s="44">
        <v>81</v>
      </c>
      <c r="K1251" s="4" t="e">
        <f>VLOOKUP(A1251,Detallado!$C$5:$H$1570,6,FALSE)</f>
        <v>#N/A</v>
      </c>
    </row>
    <row r="1252" spans="1:11">
      <c r="A1252" s="90">
        <v>127697846676</v>
      </c>
      <c r="B1252" s="1" t="s">
        <v>8</v>
      </c>
      <c r="C1252" s="43" t="s">
        <v>1963</v>
      </c>
      <c r="D1252" s="1" t="s">
        <v>1780</v>
      </c>
      <c r="E1252" s="43" t="s">
        <v>1963</v>
      </c>
      <c r="F1252" s="37" t="s">
        <v>1782</v>
      </c>
      <c r="G1252" s="44">
        <v>15100</v>
      </c>
      <c r="H1252" s="44">
        <v>90.6</v>
      </c>
      <c r="K1252" s="4" t="e">
        <f>VLOOKUP(A1252,Detallado!$C$5:$H$1570,6,FALSE)</f>
        <v>#N/A</v>
      </c>
    </row>
    <row r="1253" spans="1:11">
      <c r="A1253" s="90">
        <v>127697127812</v>
      </c>
      <c r="B1253" s="1" t="s">
        <v>1790</v>
      </c>
      <c r="C1253" s="43" t="s">
        <v>1963</v>
      </c>
      <c r="D1253" s="1" t="s">
        <v>1780</v>
      </c>
      <c r="E1253" s="43" t="s">
        <v>1963</v>
      </c>
      <c r="F1253" s="37" t="s">
        <v>1782</v>
      </c>
      <c r="G1253" s="44">
        <v>176000</v>
      </c>
      <c r="H1253" s="44">
        <v>1056</v>
      </c>
      <c r="K1253" s="4" t="e">
        <f>VLOOKUP(A1253,Detallado!$C$5:$H$1570,6,FALSE)</f>
        <v>#N/A</v>
      </c>
    </row>
    <row r="1254" spans="1:11">
      <c r="A1254" s="90">
        <v>127696927036</v>
      </c>
      <c r="B1254" s="1" t="s">
        <v>1973</v>
      </c>
      <c r="C1254" s="43" t="s">
        <v>1963</v>
      </c>
      <c r="D1254" s="1" t="s">
        <v>1780</v>
      </c>
      <c r="E1254" s="43" t="s">
        <v>1963</v>
      </c>
      <c r="F1254" s="37" t="s">
        <v>1782</v>
      </c>
      <c r="G1254" s="44">
        <v>1580</v>
      </c>
      <c r="H1254" s="44">
        <v>9.48</v>
      </c>
      <c r="K1254" s="4" t="e">
        <f>VLOOKUP(A1254,Detallado!$C$5:$H$1570,6,FALSE)</f>
        <v>#N/A</v>
      </c>
    </row>
    <row r="1255" spans="1:11">
      <c r="A1255" s="90">
        <v>127696845350</v>
      </c>
      <c r="B1255" s="1" t="s">
        <v>8</v>
      </c>
      <c r="C1255" s="43" t="s">
        <v>1963</v>
      </c>
      <c r="D1255" s="1" t="s">
        <v>1780</v>
      </c>
      <c r="E1255" s="43" t="s">
        <v>1963</v>
      </c>
      <c r="F1255" s="37" t="s">
        <v>1782</v>
      </c>
      <c r="G1255" s="44">
        <v>31600</v>
      </c>
      <c r="H1255" s="44">
        <v>189.6</v>
      </c>
      <c r="K1255" s="4" t="e">
        <f>VLOOKUP(A1255,Detallado!$C$5:$H$1570,6,FALSE)</f>
        <v>#N/A</v>
      </c>
    </row>
    <row r="1256" spans="1:11">
      <c r="A1256" s="90">
        <v>127694198004</v>
      </c>
      <c r="B1256" s="1" t="s">
        <v>8</v>
      </c>
      <c r="C1256" s="43" t="s">
        <v>1963</v>
      </c>
      <c r="D1256" s="1" t="s">
        <v>1780</v>
      </c>
      <c r="E1256" s="43" t="s">
        <v>1963</v>
      </c>
      <c r="F1256" s="37" t="s">
        <v>1782</v>
      </c>
      <c r="G1256" s="44">
        <v>26500</v>
      </c>
      <c r="H1256" s="44">
        <v>159</v>
      </c>
      <c r="K1256" s="4" t="e">
        <f>VLOOKUP(A1256,Detallado!$C$5:$H$1570,6,FALSE)</f>
        <v>#N/A</v>
      </c>
    </row>
    <row r="1257" spans="1:11">
      <c r="A1257" s="90">
        <v>127694197476</v>
      </c>
      <c r="B1257" s="1" t="s">
        <v>1970</v>
      </c>
      <c r="C1257" s="43" t="s">
        <v>1963</v>
      </c>
      <c r="D1257" s="1" t="s">
        <v>1780</v>
      </c>
      <c r="E1257" s="43" t="s">
        <v>1963</v>
      </c>
      <c r="F1257" s="37" t="s">
        <v>1782</v>
      </c>
      <c r="G1257" s="44">
        <v>3190</v>
      </c>
      <c r="H1257" s="44">
        <v>19.14</v>
      </c>
      <c r="K1257" s="4" t="e">
        <f>VLOOKUP(A1257,Detallado!$C$5:$H$1570,6,FALSE)</f>
        <v>#N/A</v>
      </c>
    </row>
    <row r="1258" spans="1:11">
      <c r="A1258" s="90">
        <v>127694163582</v>
      </c>
      <c r="B1258" s="1" t="s">
        <v>8</v>
      </c>
      <c r="C1258" s="43" t="s">
        <v>1963</v>
      </c>
      <c r="D1258" s="1" t="s">
        <v>1780</v>
      </c>
      <c r="E1258" s="43" t="s">
        <v>1963</v>
      </c>
      <c r="F1258" s="37" t="s">
        <v>1782</v>
      </c>
      <c r="G1258" s="44">
        <v>31900</v>
      </c>
      <c r="H1258" s="44">
        <v>191.4</v>
      </c>
      <c r="K1258" s="4" t="e">
        <f>VLOOKUP(A1258,Detallado!$C$5:$H$1570,6,FALSE)</f>
        <v>#N/A</v>
      </c>
    </row>
    <row r="1259" spans="1:11">
      <c r="A1259" s="90">
        <v>127694077596</v>
      </c>
      <c r="B1259" s="1" t="s">
        <v>8</v>
      </c>
      <c r="C1259" s="43" t="s">
        <v>1963</v>
      </c>
      <c r="D1259" s="1" t="s">
        <v>1780</v>
      </c>
      <c r="E1259" s="43" t="s">
        <v>1963</v>
      </c>
      <c r="F1259" s="37" t="s">
        <v>1782</v>
      </c>
      <c r="G1259" s="44">
        <v>4500</v>
      </c>
      <c r="H1259" s="44">
        <v>27</v>
      </c>
      <c r="K1259" s="4" t="e">
        <f>VLOOKUP(A1259,Detallado!$C$5:$H$1570,6,FALSE)</f>
        <v>#N/A</v>
      </c>
    </row>
    <row r="1260" spans="1:11">
      <c r="A1260" s="90">
        <v>127693996562</v>
      </c>
      <c r="B1260" s="1" t="s">
        <v>1790</v>
      </c>
      <c r="C1260" s="43" t="s">
        <v>1963</v>
      </c>
      <c r="D1260" s="1" t="s">
        <v>1780</v>
      </c>
      <c r="E1260" s="43" t="s">
        <v>1963</v>
      </c>
      <c r="F1260" s="37" t="s">
        <v>1782</v>
      </c>
      <c r="G1260" s="44">
        <v>4500</v>
      </c>
      <c r="H1260" s="44">
        <v>27</v>
      </c>
      <c r="K1260" s="4" t="e">
        <f>VLOOKUP(A1260,Detallado!$C$5:$H$1570,6,FALSE)</f>
        <v>#N/A</v>
      </c>
    </row>
    <row r="1261" spans="1:11">
      <c r="A1261" s="90">
        <v>127692795340</v>
      </c>
      <c r="B1261" s="1" t="s">
        <v>1790</v>
      </c>
      <c r="C1261" s="43" t="s">
        <v>1963</v>
      </c>
      <c r="D1261" s="1" t="s">
        <v>1780</v>
      </c>
      <c r="E1261" s="43" t="s">
        <v>1963</v>
      </c>
      <c r="F1261" s="37" t="s">
        <v>1782</v>
      </c>
      <c r="G1261" s="44">
        <v>25800</v>
      </c>
      <c r="H1261" s="44">
        <v>154.80000000000001</v>
      </c>
      <c r="K1261" s="4" t="e">
        <f>VLOOKUP(A1261,Detallado!$C$5:$H$1570,6,FALSE)</f>
        <v>#N/A</v>
      </c>
    </row>
    <row r="1262" spans="1:11">
      <c r="A1262" s="90">
        <v>127692414538</v>
      </c>
      <c r="B1262" s="1" t="s">
        <v>8</v>
      </c>
      <c r="C1262" s="43" t="s">
        <v>1963</v>
      </c>
      <c r="D1262" s="1" t="s">
        <v>1780</v>
      </c>
      <c r="E1262" s="43" t="s">
        <v>1963</v>
      </c>
      <c r="F1262" s="37" t="s">
        <v>1782</v>
      </c>
      <c r="G1262" s="44">
        <v>126100</v>
      </c>
      <c r="H1262" s="44">
        <v>756.6</v>
      </c>
      <c r="K1262" s="4" t="e">
        <f>VLOOKUP(A1262,Detallado!$C$5:$H$1570,6,FALSE)</f>
        <v>#N/A</v>
      </c>
    </row>
    <row r="1263" spans="1:11">
      <c r="A1263" s="90">
        <v>127691820066</v>
      </c>
      <c r="B1263" s="1" t="s">
        <v>8</v>
      </c>
      <c r="C1263" s="43" t="s">
        <v>1963</v>
      </c>
      <c r="D1263" s="1" t="s">
        <v>1780</v>
      </c>
      <c r="E1263" s="43" t="s">
        <v>1963</v>
      </c>
      <c r="F1263" s="37" t="s">
        <v>1782</v>
      </c>
      <c r="G1263" s="44">
        <v>29300</v>
      </c>
      <c r="H1263" s="44">
        <v>175.8</v>
      </c>
      <c r="K1263" s="4" t="e">
        <f>VLOOKUP(A1263,Detallado!$C$5:$H$1570,6,FALSE)</f>
        <v>#N/A</v>
      </c>
    </row>
    <row r="1264" spans="1:11">
      <c r="A1264" s="90">
        <v>127688724722</v>
      </c>
      <c r="B1264" s="1" t="s">
        <v>1790</v>
      </c>
      <c r="C1264" s="43" t="s">
        <v>1963</v>
      </c>
      <c r="D1264" s="1" t="s">
        <v>1780</v>
      </c>
      <c r="E1264" s="43" t="s">
        <v>1963</v>
      </c>
      <c r="F1264" s="37" t="s">
        <v>1782</v>
      </c>
      <c r="G1264" s="44">
        <v>26900</v>
      </c>
      <c r="H1264" s="44">
        <v>161.4</v>
      </c>
      <c r="K1264" s="4" t="e">
        <f>VLOOKUP(A1264,Detallado!$C$5:$H$1570,6,FALSE)</f>
        <v>#N/A</v>
      </c>
    </row>
    <row r="1265" spans="1:11">
      <c r="A1265" s="90">
        <v>127687107476</v>
      </c>
      <c r="B1265" s="1" t="s">
        <v>8</v>
      </c>
      <c r="C1265" s="43" t="s">
        <v>1963</v>
      </c>
      <c r="D1265" s="1" t="s">
        <v>1780</v>
      </c>
      <c r="E1265" s="43" t="s">
        <v>1963</v>
      </c>
      <c r="F1265" s="37" t="s">
        <v>1782</v>
      </c>
      <c r="G1265" s="44">
        <v>8000</v>
      </c>
      <c r="H1265" s="44">
        <v>48</v>
      </c>
      <c r="K1265" s="4" t="e">
        <f>VLOOKUP(A1265,Detallado!$C$5:$H$1570,6,FALSE)</f>
        <v>#N/A</v>
      </c>
    </row>
    <row r="1266" spans="1:11">
      <c r="A1266" s="90">
        <v>127686983606</v>
      </c>
      <c r="B1266" s="1" t="s">
        <v>1790</v>
      </c>
      <c r="C1266" s="43" t="s">
        <v>1963</v>
      </c>
      <c r="D1266" s="1" t="s">
        <v>1780</v>
      </c>
      <c r="E1266" s="43" t="s">
        <v>1963</v>
      </c>
      <c r="F1266" s="37" t="s">
        <v>1782</v>
      </c>
      <c r="G1266" s="44">
        <v>4500</v>
      </c>
      <c r="H1266" s="44">
        <v>27</v>
      </c>
      <c r="K1266" s="4" t="e">
        <f>VLOOKUP(A1266,Detallado!$C$5:$H$1570,6,FALSE)</f>
        <v>#N/A</v>
      </c>
    </row>
    <row r="1267" spans="1:11">
      <c r="A1267" s="90">
        <v>127685463730</v>
      </c>
      <c r="B1267" s="1" t="s">
        <v>1790</v>
      </c>
      <c r="C1267" s="43" t="s">
        <v>1963</v>
      </c>
      <c r="D1267" s="1" t="s">
        <v>1780</v>
      </c>
      <c r="E1267" s="43" t="s">
        <v>1963</v>
      </c>
      <c r="F1267" s="37" t="s">
        <v>1782</v>
      </c>
      <c r="G1267" s="44">
        <v>4500</v>
      </c>
      <c r="H1267" s="44">
        <v>27</v>
      </c>
      <c r="K1267" s="4" t="e">
        <f>VLOOKUP(A1267,Detallado!$C$5:$H$1570,6,FALSE)</f>
        <v>#N/A</v>
      </c>
    </row>
    <row r="1268" spans="1:11">
      <c r="A1268" s="90">
        <v>127685431266</v>
      </c>
      <c r="B1268" s="1" t="s">
        <v>8</v>
      </c>
      <c r="C1268" s="43" t="s">
        <v>1963</v>
      </c>
      <c r="D1268" s="1" t="s">
        <v>1780</v>
      </c>
      <c r="E1268" s="43" t="s">
        <v>1963</v>
      </c>
      <c r="F1268" s="37" t="s">
        <v>1782</v>
      </c>
      <c r="G1268" s="44">
        <v>9400</v>
      </c>
      <c r="H1268" s="44">
        <v>56.4</v>
      </c>
      <c r="K1268" s="4" t="e">
        <f>VLOOKUP(A1268,Detallado!$C$5:$H$1570,6,FALSE)</f>
        <v>#N/A</v>
      </c>
    </row>
    <row r="1269" spans="1:11">
      <c r="A1269" s="90">
        <v>127682236964</v>
      </c>
      <c r="B1269" s="1" t="s">
        <v>1790</v>
      </c>
      <c r="C1269" s="43" t="s">
        <v>1963</v>
      </c>
      <c r="D1269" s="1" t="s">
        <v>1780</v>
      </c>
      <c r="E1269" s="43" t="s">
        <v>1963</v>
      </c>
      <c r="F1269" s="37" t="s">
        <v>1782</v>
      </c>
      <c r="G1269" s="44">
        <v>30300</v>
      </c>
      <c r="H1269" s="44">
        <v>181.8</v>
      </c>
      <c r="K1269" s="4" t="e">
        <f>VLOOKUP(A1269,Detallado!$C$5:$H$1570,6,FALSE)</f>
        <v>#N/A</v>
      </c>
    </row>
    <row r="1270" spans="1:11">
      <c r="A1270" s="90">
        <v>127680295528</v>
      </c>
      <c r="B1270" s="1" t="s">
        <v>8</v>
      </c>
      <c r="C1270" s="43" t="s">
        <v>1963</v>
      </c>
      <c r="D1270" s="1" t="s">
        <v>1780</v>
      </c>
      <c r="E1270" s="43" t="s">
        <v>1963</v>
      </c>
      <c r="F1270" s="37" t="s">
        <v>1782</v>
      </c>
      <c r="G1270" s="44">
        <v>13700</v>
      </c>
      <c r="H1270" s="44">
        <v>82.2</v>
      </c>
      <c r="K1270" s="4" t="e">
        <f>VLOOKUP(A1270,Detallado!$C$5:$H$1570,6,FALSE)</f>
        <v>#N/A</v>
      </c>
    </row>
    <row r="1271" spans="1:11">
      <c r="A1271" s="90">
        <v>127680169218</v>
      </c>
      <c r="B1271" s="1" t="s">
        <v>8</v>
      </c>
      <c r="C1271" s="43" t="s">
        <v>1963</v>
      </c>
      <c r="D1271" s="1" t="s">
        <v>1780</v>
      </c>
      <c r="E1271" s="43" t="s">
        <v>1963</v>
      </c>
      <c r="F1271" s="37" t="s">
        <v>1782</v>
      </c>
      <c r="G1271" s="44">
        <v>29400</v>
      </c>
      <c r="H1271" s="44">
        <v>176.4</v>
      </c>
      <c r="K1271" s="4" t="e">
        <f>VLOOKUP(A1271,Detallado!$C$5:$H$1570,6,FALSE)</f>
        <v>#N/A</v>
      </c>
    </row>
    <row r="1272" spans="1:11">
      <c r="A1272" s="90">
        <v>127679388200</v>
      </c>
      <c r="B1272" s="1" t="s">
        <v>1790</v>
      </c>
      <c r="C1272" s="43" t="s">
        <v>1963</v>
      </c>
      <c r="D1272" s="1" t="s">
        <v>1780</v>
      </c>
      <c r="E1272" s="43" t="s">
        <v>1963</v>
      </c>
      <c r="F1272" s="37" t="s">
        <v>1782</v>
      </c>
      <c r="G1272" s="44">
        <v>13000</v>
      </c>
      <c r="H1272" s="44">
        <v>78</v>
      </c>
      <c r="K1272" s="4" t="e">
        <f>VLOOKUP(A1272,Detallado!$C$5:$H$1570,6,FALSE)</f>
        <v>#N/A</v>
      </c>
    </row>
    <row r="1273" spans="1:11">
      <c r="A1273" s="90">
        <v>127679194174</v>
      </c>
      <c r="B1273" s="1" t="s">
        <v>1790</v>
      </c>
      <c r="C1273" s="43" t="s">
        <v>1963</v>
      </c>
      <c r="D1273" s="1" t="s">
        <v>1780</v>
      </c>
      <c r="E1273" s="43" t="s">
        <v>1963</v>
      </c>
      <c r="F1273" s="37" t="s">
        <v>1782</v>
      </c>
      <c r="G1273" s="44">
        <v>7000</v>
      </c>
      <c r="H1273" s="44">
        <v>42</v>
      </c>
      <c r="K1273" s="4" t="e">
        <f>VLOOKUP(A1273,Detallado!$C$5:$H$1570,6,FALSE)</f>
        <v>#N/A</v>
      </c>
    </row>
    <row r="1274" spans="1:11">
      <c r="A1274" s="90">
        <v>127576831188</v>
      </c>
      <c r="B1274" s="1" t="s">
        <v>8</v>
      </c>
      <c r="C1274" s="43" t="s">
        <v>1963</v>
      </c>
      <c r="D1274" s="1" t="s">
        <v>1780</v>
      </c>
      <c r="E1274" s="43" t="s">
        <v>1963</v>
      </c>
      <c r="F1274" s="37" t="s">
        <v>1782</v>
      </c>
      <c r="G1274" s="44">
        <v>4500</v>
      </c>
      <c r="H1274" s="44">
        <v>27</v>
      </c>
      <c r="K1274" s="4" t="e">
        <f>VLOOKUP(A1274,Detallado!$C$5:$H$1570,6,FALSE)</f>
        <v>#N/A</v>
      </c>
    </row>
    <row r="1275" spans="1:11">
      <c r="A1275" s="90">
        <v>127576590324</v>
      </c>
      <c r="B1275" s="1" t="s">
        <v>1790</v>
      </c>
      <c r="C1275" s="43" t="s">
        <v>1963</v>
      </c>
      <c r="D1275" s="1" t="s">
        <v>1780</v>
      </c>
      <c r="E1275" s="43" t="s">
        <v>1963</v>
      </c>
      <c r="F1275" s="37" t="s">
        <v>1782</v>
      </c>
      <c r="G1275" s="44">
        <v>3600</v>
      </c>
      <c r="H1275" s="44">
        <v>21.6</v>
      </c>
      <c r="K1275" s="4" t="e">
        <f>VLOOKUP(A1275,Detallado!$C$5:$H$1570,6,FALSE)</f>
        <v>#N/A</v>
      </c>
    </row>
    <row r="1276" spans="1:11">
      <c r="A1276" s="90">
        <v>127576557502</v>
      </c>
      <c r="B1276" s="1" t="s">
        <v>8</v>
      </c>
      <c r="C1276" s="43" t="s">
        <v>1963</v>
      </c>
      <c r="D1276" s="1" t="s">
        <v>1780</v>
      </c>
      <c r="E1276" s="43" t="s">
        <v>1963</v>
      </c>
      <c r="F1276" s="37" t="s">
        <v>1782</v>
      </c>
      <c r="G1276" s="44">
        <v>158850</v>
      </c>
      <c r="H1276" s="44">
        <v>953.1</v>
      </c>
      <c r="K1276" s="4" t="e">
        <f>VLOOKUP(A1276,Detallado!$C$5:$H$1570,6,FALSE)</f>
        <v>#N/A</v>
      </c>
    </row>
    <row r="1277" spans="1:11">
      <c r="A1277" s="90">
        <v>127576545044</v>
      </c>
      <c r="B1277" s="1" t="s">
        <v>1790</v>
      </c>
      <c r="C1277" s="43" t="s">
        <v>1963</v>
      </c>
      <c r="D1277" s="1" t="s">
        <v>1780</v>
      </c>
      <c r="E1277" s="43" t="s">
        <v>1963</v>
      </c>
      <c r="F1277" s="37" t="s">
        <v>1782</v>
      </c>
      <c r="G1277" s="44">
        <v>6500</v>
      </c>
      <c r="H1277" s="44">
        <v>39</v>
      </c>
      <c r="K1277" s="4" t="e">
        <f>VLOOKUP(A1277,Detallado!$C$5:$H$1570,6,FALSE)</f>
        <v>#N/A</v>
      </c>
    </row>
    <row r="1278" spans="1:11">
      <c r="A1278" s="90">
        <v>127576498344</v>
      </c>
      <c r="B1278" s="1" t="s">
        <v>8</v>
      </c>
      <c r="C1278" s="43" t="s">
        <v>1963</v>
      </c>
      <c r="D1278" s="1" t="s">
        <v>1780</v>
      </c>
      <c r="E1278" s="43" t="s">
        <v>1963</v>
      </c>
      <c r="F1278" s="37" t="s">
        <v>1782</v>
      </c>
      <c r="G1278" s="44">
        <v>53750</v>
      </c>
      <c r="H1278" s="44">
        <v>322.5</v>
      </c>
      <c r="K1278" s="4" t="e">
        <f>VLOOKUP(A1278,Detallado!$C$5:$H$1570,6,FALSE)</f>
        <v>#N/A</v>
      </c>
    </row>
    <row r="1279" spans="1:11">
      <c r="A1279" s="90">
        <v>127576327400</v>
      </c>
      <c r="B1279" s="1" t="s">
        <v>8</v>
      </c>
      <c r="C1279" s="43" t="s">
        <v>1963</v>
      </c>
      <c r="D1279" s="1" t="s">
        <v>1780</v>
      </c>
      <c r="E1279" s="43" t="s">
        <v>1963</v>
      </c>
      <c r="F1279" s="37" t="s">
        <v>1782</v>
      </c>
      <c r="G1279" s="44">
        <v>9000</v>
      </c>
      <c r="H1279" s="44">
        <v>54</v>
      </c>
      <c r="K1279" s="4" t="e">
        <f>VLOOKUP(A1279,Detallado!$C$5:$H$1570,6,FALSE)</f>
        <v>#N/A</v>
      </c>
    </row>
    <row r="1280" spans="1:11">
      <c r="A1280" s="90">
        <v>127575732242</v>
      </c>
      <c r="B1280" s="1" t="s">
        <v>8</v>
      </c>
      <c r="C1280" s="43" t="s">
        <v>1963</v>
      </c>
      <c r="D1280" s="1" t="s">
        <v>1780</v>
      </c>
      <c r="E1280" s="43" t="s">
        <v>1963</v>
      </c>
      <c r="F1280" s="37" t="s">
        <v>1782</v>
      </c>
      <c r="G1280" s="44">
        <v>38100</v>
      </c>
      <c r="H1280" s="44">
        <v>228.6</v>
      </c>
      <c r="K1280" s="4" t="e">
        <f>VLOOKUP(A1280,Detallado!$C$5:$H$1570,6,FALSE)</f>
        <v>#N/A</v>
      </c>
    </row>
    <row r="1281" spans="1:11">
      <c r="A1281" s="90">
        <v>127575709104</v>
      </c>
      <c r="B1281" s="1" t="s">
        <v>8</v>
      </c>
      <c r="C1281" s="43" t="s">
        <v>1963</v>
      </c>
      <c r="D1281" s="1" t="s">
        <v>1780</v>
      </c>
      <c r="E1281" s="43" t="s">
        <v>1963</v>
      </c>
      <c r="F1281" s="37" t="s">
        <v>1782</v>
      </c>
      <c r="G1281" s="44">
        <v>8650</v>
      </c>
      <c r="H1281" s="44">
        <v>51.9</v>
      </c>
      <c r="K1281" s="4" t="e">
        <f>VLOOKUP(A1281,Detallado!$C$5:$H$1570,6,FALSE)</f>
        <v>#N/A</v>
      </c>
    </row>
    <row r="1282" spans="1:11">
      <c r="A1282" s="90">
        <v>127575489108</v>
      </c>
      <c r="B1282" s="1" t="s">
        <v>8</v>
      </c>
      <c r="C1282" s="43" t="s">
        <v>1963</v>
      </c>
      <c r="D1282" s="1" t="s">
        <v>1780</v>
      </c>
      <c r="E1282" s="43" t="s">
        <v>1963</v>
      </c>
      <c r="F1282" s="37" t="s">
        <v>1782</v>
      </c>
      <c r="G1282" s="44">
        <v>5000</v>
      </c>
      <c r="H1282" s="44">
        <v>30</v>
      </c>
      <c r="K1282" s="4" t="e">
        <f>VLOOKUP(A1282,Detallado!$C$5:$H$1570,6,FALSE)</f>
        <v>#N/A</v>
      </c>
    </row>
    <row r="1283" spans="1:11">
      <c r="A1283" s="90">
        <v>127575157346</v>
      </c>
      <c r="B1283" s="1" t="s">
        <v>8</v>
      </c>
      <c r="C1283" s="43" t="s">
        <v>1963</v>
      </c>
      <c r="D1283" s="1" t="s">
        <v>1780</v>
      </c>
      <c r="E1283" s="43" t="s">
        <v>1963</v>
      </c>
      <c r="F1283" s="37" t="s">
        <v>1782</v>
      </c>
      <c r="G1283" s="44">
        <v>4500</v>
      </c>
      <c r="H1283" s="44">
        <v>27</v>
      </c>
      <c r="K1283" s="4" t="e">
        <f>VLOOKUP(A1283,Detallado!$C$5:$H$1570,6,FALSE)</f>
        <v>#N/A</v>
      </c>
    </row>
    <row r="1284" spans="1:11">
      <c r="A1284" s="90">
        <v>127575113918</v>
      </c>
      <c r="B1284" s="1" t="s">
        <v>8</v>
      </c>
      <c r="C1284" s="43" t="s">
        <v>1963</v>
      </c>
      <c r="D1284" s="1" t="s">
        <v>1780</v>
      </c>
      <c r="E1284" s="43" t="s">
        <v>1963</v>
      </c>
      <c r="F1284" s="37" t="s">
        <v>1782</v>
      </c>
      <c r="G1284" s="44">
        <v>42500</v>
      </c>
      <c r="H1284" s="44">
        <v>255</v>
      </c>
      <c r="K1284" s="4" t="e">
        <f>VLOOKUP(A1284,Detallado!$C$5:$H$1570,6,FALSE)</f>
        <v>#N/A</v>
      </c>
    </row>
    <row r="1285" spans="1:11">
      <c r="A1285" s="90">
        <v>127575063154</v>
      </c>
      <c r="B1285" s="1" t="s">
        <v>1790</v>
      </c>
      <c r="C1285" s="43" t="s">
        <v>1963</v>
      </c>
      <c r="D1285" s="1" t="s">
        <v>1780</v>
      </c>
      <c r="E1285" s="43" t="s">
        <v>1963</v>
      </c>
      <c r="F1285" s="37" t="s">
        <v>1782</v>
      </c>
      <c r="G1285" s="44">
        <v>30550</v>
      </c>
      <c r="H1285" s="44">
        <v>183.3</v>
      </c>
      <c r="K1285" s="4" t="e">
        <f>VLOOKUP(A1285,Detallado!$C$5:$H$1570,6,FALSE)</f>
        <v>#N/A</v>
      </c>
    </row>
    <row r="1286" spans="1:11">
      <c r="A1286" s="90">
        <v>127574760394</v>
      </c>
      <c r="B1286" s="1" t="s">
        <v>8</v>
      </c>
      <c r="C1286" s="43" t="s">
        <v>1963</v>
      </c>
      <c r="D1286" s="1" t="s">
        <v>1780</v>
      </c>
      <c r="E1286" s="43" t="s">
        <v>1963</v>
      </c>
      <c r="F1286" s="37" t="s">
        <v>1782</v>
      </c>
      <c r="G1286" s="44">
        <v>10750</v>
      </c>
      <c r="H1286" s="44">
        <v>64.5</v>
      </c>
      <c r="K1286" s="4" t="e">
        <f>VLOOKUP(A1286,Detallado!$C$5:$H$1570,6,FALSE)</f>
        <v>#N/A</v>
      </c>
    </row>
    <row r="1287" spans="1:11">
      <c r="A1287" s="90">
        <v>127574595412</v>
      </c>
      <c r="B1287" s="1" t="s">
        <v>1966</v>
      </c>
      <c r="C1287" s="43" t="s">
        <v>1963</v>
      </c>
      <c r="D1287" s="1" t="s">
        <v>1780</v>
      </c>
      <c r="E1287" s="43" t="s">
        <v>1963</v>
      </c>
      <c r="F1287" s="37" t="s">
        <v>1782</v>
      </c>
      <c r="G1287" s="44">
        <v>450</v>
      </c>
      <c r="H1287" s="44">
        <v>2.7</v>
      </c>
      <c r="K1287" s="4" t="e">
        <f>VLOOKUP(A1287,Detallado!$C$5:$H$1570,6,FALSE)</f>
        <v>#N/A</v>
      </c>
    </row>
    <row r="1288" spans="1:11">
      <c r="A1288" s="90">
        <v>127574484086</v>
      </c>
      <c r="B1288" s="1" t="s">
        <v>8</v>
      </c>
      <c r="C1288" s="43" t="s">
        <v>1963</v>
      </c>
      <c r="D1288" s="1" t="s">
        <v>1780</v>
      </c>
      <c r="E1288" s="43" t="s">
        <v>1963</v>
      </c>
      <c r="F1288" s="37" t="s">
        <v>1782</v>
      </c>
      <c r="G1288" s="44">
        <v>4500</v>
      </c>
      <c r="H1288" s="44">
        <v>27</v>
      </c>
      <c r="K1288" s="4" t="e">
        <f>VLOOKUP(A1288,Detallado!$C$5:$H$1570,6,FALSE)</f>
        <v>#N/A</v>
      </c>
    </row>
    <row r="1289" spans="1:11">
      <c r="A1289" s="90">
        <v>127574467208</v>
      </c>
      <c r="B1289" s="1" t="s">
        <v>8</v>
      </c>
      <c r="C1289" s="43" t="s">
        <v>1963</v>
      </c>
      <c r="D1289" s="1" t="s">
        <v>1780</v>
      </c>
      <c r="E1289" s="43" t="s">
        <v>1963</v>
      </c>
      <c r="F1289" s="37" t="s">
        <v>1782</v>
      </c>
      <c r="G1289" s="44">
        <v>3600</v>
      </c>
      <c r="H1289" s="44">
        <v>21.6</v>
      </c>
      <c r="K1289" s="4" t="e">
        <f>VLOOKUP(A1289,Detallado!$C$5:$H$1570,6,FALSE)</f>
        <v>#N/A</v>
      </c>
    </row>
    <row r="1290" spans="1:11">
      <c r="A1290" s="90">
        <v>127574413546</v>
      </c>
      <c r="B1290" s="1" t="s">
        <v>1967</v>
      </c>
      <c r="C1290" s="43" t="s">
        <v>1963</v>
      </c>
      <c r="D1290" s="1" t="s">
        <v>1780</v>
      </c>
      <c r="E1290" s="43" t="s">
        <v>1963</v>
      </c>
      <c r="F1290" s="37" t="s">
        <v>1782</v>
      </c>
      <c r="G1290" s="44">
        <v>180</v>
      </c>
      <c r="H1290" s="44">
        <v>1.08</v>
      </c>
      <c r="K1290" s="4" t="e">
        <f>VLOOKUP(A1290,Detallado!$C$5:$H$1570,6,FALSE)</f>
        <v>#N/A</v>
      </c>
    </row>
    <row r="1291" spans="1:11">
      <c r="A1291" s="90">
        <v>127573927294</v>
      </c>
      <c r="B1291" s="1" t="s">
        <v>8</v>
      </c>
      <c r="C1291" s="43" t="s">
        <v>1963</v>
      </c>
      <c r="D1291" s="1" t="s">
        <v>1780</v>
      </c>
      <c r="E1291" s="43" t="s">
        <v>1963</v>
      </c>
      <c r="F1291" s="37" t="s">
        <v>1782</v>
      </c>
      <c r="G1291" s="44">
        <v>3600</v>
      </c>
      <c r="H1291" s="44">
        <v>21.6</v>
      </c>
      <c r="K1291" s="4" t="e">
        <f>VLOOKUP(A1291,Detallado!$C$5:$H$1570,6,FALSE)</f>
        <v>#N/A</v>
      </c>
    </row>
    <row r="1292" spans="1:11">
      <c r="A1292" s="90">
        <v>127573340062</v>
      </c>
      <c r="B1292" s="1" t="s">
        <v>8</v>
      </c>
      <c r="C1292" s="43" t="s">
        <v>1963</v>
      </c>
      <c r="D1292" s="1" t="s">
        <v>1780</v>
      </c>
      <c r="E1292" s="43" t="s">
        <v>1963</v>
      </c>
      <c r="F1292" s="37" t="s">
        <v>1782</v>
      </c>
      <c r="G1292" s="44">
        <v>12900</v>
      </c>
      <c r="H1292" s="44">
        <v>77.400000000000006</v>
      </c>
      <c r="K1292" s="4" t="e">
        <f>VLOOKUP(A1292,Detallado!$C$5:$H$1570,6,FALSE)</f>
        <v>#N/A</v>
      </c>
    </row>
    <row r="1293" spans="1:11">
      <c r="A1293" s="90">
        <v>127573233874</v>
      </c>
      <c r="B1293" s="1" t="s">
        <v>8</v>
      </c>
      <c r="C1293" s="43" t="s">
        <v>1963</v>
      </c>
      <c r="D1293" s="1" t="s">
        <v>1780</v>
      </c>
      <c r="E1293" s="43" t="s">
        <v>1963</v>
      </c>
      <c r="F1293" s="37" t="s">
        <v>1782</v>
      </c>
      <c r="G1293" s="44">
        <v>8100</v>
      </c>
      <c r="H1293" s="44">
        <v>48.6</v>
      </c>
      <c r="K1293" s="4" t="e">
        <f>VLOOKUP(A1293,Detallado!$C$5:$H$1570,6,FALSE)</f>
        <v>#N/A</v>
      </c>
    </row>
    <row r="1294" spans="1:11">
      <c r="A1294" s="90">
        <v>127138858083</v>
      </c>
      <c r="B1294" s="1" t="s">
        <v>8</v>
      </c>
      <c r="C1294" s="43" t="s">
        <v>1963</v>
      </c>
      <c r="D1294" s="1" t="s">
        <v>1780</v>
      </c>
      <c r="E1294" s="43" t="s">
        <v>1963</v>
      </c>
      <c r="F1294" s="37" t="s">
        <v>1782</v>
      </c>
      <c r="G1294" s="44">
        <v>28900</v>
      </c>
      <c r="H1294" s="44">
        <v>173.4</v>
      </c>
      <c r="K1294" s="4" t="e">
        <f>VLOOKUP(A1294,Detallado!$C$5:$H$1570,6,FALSE)</f>
        <v>#N/A</v>
      </c>
    </row>
    <row r="1295" spans="1:11">
      <c r="A1295" s="90">
        <v>127138754811</v>
      </c>
      <c r="B1295" s="1" t="s">
        <v>8</v>
      </c>
      <c r="C1295" s="43" t="s">
        <v>1963</v>
      </c>
      <c r="D1295" s="1" t="s">
        <v>1780</v>
      </c>
      <c r="E1295" s="43" t="s">
        <v>1963</v>
      </c>
      <c r="F1295" s="37" t="s">
        <v>1782</v>
      </c>
      <c r="G1295" s="44">
        <v>45000</v>
      </c>
      <c r="H1295" s="44">
        <v>270</v>
      </c>
      <c r="K1295" s="4" t="e">
        <f>VLOOKUP(A1295,Detallado!$C$5:$H$1570,6,FALSE)</f>
        <v>#N/A</v>
      </c>
    </row>
    <row r="1296" spans="1:11">
      <c r="A1296" s="90">
        <v>127138622917</v>
      </c>
      <c r="B1296" s="1" t="s">
        <v>1790</v>
      </c>
      <c r="C1296" s="43" t="s">
        <v>1963</v>
      </c>
      <c r="D1296" s="1" t="s">
        <v>1780</v>
      </c>
      <c r="E1296" s="43" t="s">
        <v>1963</v>
      </c>
      <c r="F1296" s="37" t="s">
        <v>1782</v>
      </c>
      <c r="G1296" s="44">
        <v>4300</v>
      </c>
      <c r="H1296" s="44">
        <v>25.8</v>
      </c>
      <c r="K1296" s="4" t="e">
        <f>VLOOKUP(A1296,Detallado!$C$5:$H$1570,6,FALSE)</f>
        <v>#N/A</v>
      </c>
    </row>
    <row r="1297" spans="1:11">
      <c r="A1297" s="90">
        <v>127138460989</v>
      </c>
      <c r="B1297" s="1" t="s">
        <v>1790</v>
      </c>
      <c r="C1297" s="43" t="s">
        <v>1963</v>
      </c>
      <c r="D1297" s="1" t="s">
        <v>1780</v>
      </c>
      <c r="E1297" s="43" t="s">
        <v>1963</v>
      </c>
      <c r="F1297" s="37" t="s">
        <v>1782</v>
      </c>
      <c r="G1297" s="44">
        <v>42100</v>
      </c>
      <c r="H1297" s="44">
        <v>252.6</v>
      </c>
      <c r="K1297" s="4" t="e">
        <f>VLOOKUP(A1297,Detallado!$C$5:$H$1570,6,FALSE)</f>
        <v>#N/A</v>
      </c>
    </row>
    <row r="1298" spans="1:11">
      <c r="A1298" s="90">
        <v>127137188773</v>
      </c>
      <c r="B1298" s="1" t="s">
        <v>1790</v>
      </c>
      <c r="C1298" s="43" t="s">
        <v>1963</v>
      </c>
      <c r="D1298" s="1" t="s">
        <v>1780</v>
      </c>
      <c r="E1298" s="43" t="s">
        <v>1963</v>
      </c>
      <c r="F1298" s="37" t="s">
        <v>1782</v>
      </c>
      <c r="G1298" s="44">
        <v>12900</v>
      </c>
      <c r="H1298" s="44">
        <v>77.400000000000006</v>
      </c>
      <c r="K1298" s="4" t="e">
        <f>VLOOKUP(A1298,Detallado!$C$5:$H$1570,6,FALSE)</f>
        <v>#N/A</v>
      </c>
    </row>
    <row r="1299" spans="1:11">
      <c r="A1299" s="90">
        <v>127137102327</v>
      </c>
      <c r="B1299" s="1" t="s">
        <v>1790</v>
      </c>
      <c r="C1299" s="43" t="s">
        <v>1963</v>
      </c>
      <c r="D1299" s="1" t="s">
        <v>1780</v>
      </c>
      <c r="E1299" s="43" t="s">
        <v>1963</v>
      </c>
      <c r="F1299" s="37" t="s">
        <v>1782</v>
      </c>
      <c r="G1299" s="44">
        <v>39900</v>
      </c>
      <c r="H1299" s="44">
        <v>239.4</v>
      </c>
      <c r="K1299" s="4" t="e">
        <f>VLOOKUP(A1299,Detallado!$C$5:$H$1570,6,FALSE)</f>
        <v>#N/A</v>
      </c>
    </row>
    <row r="1300" spans="1:11">
      <c r="A1300" s="90">
        <v>127135874547</v>
      </c>
      <c r="B1300" s="1" t="s">
        <v>1790</v>
      </c>
      <c r="C1300" s="43" t="s">
        <v>1963</v>
      </c>
      <c r="D1300" s="1" t="s">
        <v>1780</v>
      </c>
      <c r="E1300" s="43" t="s">
        <v>1963</v>
      </c>
      <c r="F1300" s="37" t="s">
        <v>1782</v>
      </c>
      <c r="G1300" s="44">
        <v>54900</v>
      </c>
      <c r="H1300" s="44">
        <v>329.4</v>
      </c>
      <c r="K1300" s="4" t="e">
        <f>VLOOKUP(A1300,Detallado!$C$5:$H$1570,6,FALSE)</f>
        <v>#N/A</v>
      </c>
    </row>
    <row r="1301" spans="1:11">
      <c r="A1301" s="90">
        <v>127135807619</v>
      </c>
      <c r="B1301" s="1" t="s">
        <v>1969</v>
      </c>
      <c r="C1301" s="43" t="s">
        <v>1963</v>
      </c>
      <c r="D1301" s="1" t="s">
        <v>1780</v>
      </c>
      <c r="E1301" s="43" t="s">
        <v>1963</v>
      </c>
      <c r="F1301" s="37" t="s">
        <v>1782</v>
      </c>
      <c r="G1301" s="44">
        <v>1770</v>
      </c>
      <c r="H1301" s="44">
        <v>10.62</v>
      </c>
      <c r="K1301" s="4" t="e">
        <f>VLOOKUP(A1301,Detallado!$C$5:$H$1570,6,FALSE)</f>
        <v>#N/A</v>
      </c>
    </row>
    <row r="1302" spans="1:11">
      <c r="A1302" s="90">
        <v>127135739949</v>
      </c>
      <c r="B1302" s="1" t="s">
        <v>8</v>
      </c>
      <c r="C1302" s="43" t="s">
        <v>1963</v>
      </c>
      <c r="D1302" s="1" t="s">
        <v>1780</v>
      </c>
      <c r="E1302" s="43" t="s">
        <v>1963</v>
      </c>
      <c r="F1302" s="37" t="s">
        <v>1782</v>
      </c>
      <c r="G1302" s="44">
        <v>35400</v>
      </c>
      <c r="H1302" s="44">
        <v>212.4</v>
      </c>
      <c r="K1302" s="4" t="e">
        <f>VLOOKUP(A1302,Detallado!$C$5:$H$1570,6,FALSE)</f>
        <v>#N/A</v>
      </c>
    </row>
    <row r="1303" spans="1:11">
      <c r="A1303" s="90">
        <v>127132666919</v>
      </c>
      <c r="B1303" s="1" t="s">
        <v>1971</v>
      </c>
      <c r="C1303" s="43" t="s">
        <v>1963</v>
      </c>
      <c r="D1303" s="1" t="s">
        <v>1780</v>
      </c>
      <c r="E1303" s="43" t="s">
        <v>1963</v>
      </c>
      <c r="F1303" s="37" t="s">
        <v>1782</v>
      </c>
      <c r="G1303" s="44">
        <v>1325</v>
      </c>
      <c r="H1303" s="44">
        <v>7.95</v>
      </c>
      <c r="K1303" s="4" t="e">
        <f>VLOOKUP(A1303,Detallado!$C$5:$H$1570,6,FALSE)</f>
        <v>#N/A</v>
      </c>
    </row>
    <row r="1304" spans="1:11">
      <c r="A1304" s="90">
        <v>127132281045</v>
      </c>
      <c r="B1304" s="1" t="s">
        <v>8</v>
      </c>
      <c r="C1304" s="43" t="s">
        <v>1963</v>
      </c>
      <c r="D1304" s="1" t="s">
        <v>1780</v>
      </c>
      <c r="E1304" s="43" t="s">
        <v>1963</v>
      </c>
      <c r="F1304" s="37" t="s">
        <v>1782</v>
      </c>
      <c r="G1304" s="44">
        <v>43900</v>
      </c>
      <c r="H1304" s="44">
        <v>263.39999999999998</v>
      </c>
      <c r="K1304" s="4" t="e">
        <f>VLOOKUP(A1304,Detallado!$C$5:$H$1570,6,FALSE)</f>
        <v>#N/A</v>
      </c>
    </row>
    <row r="1305" spans="1:11">
      <c r="A1305" s="90">
        <v>127132211439</v>
      </c>
      <c r="B1305" s="1" t="s">
        <v>1968</v>
      </c>
      <c r="C1305" s="43" t="s">
        <v>1963</v>
      </c>
      <c r="D1305" s="1" t="s">
        <v>1780</v>
      </c>
      <c r="E1305" s="43" t="s">
        <v>1963</v>
      </c>
      <c r="F1305" s="37" t="s">
        <v>1782</v>
      </c>
      <c r="G1305" s="44">
        <v>2195</v>
      </c>
      <c r="H1305" s="44">
        <v>13.17</v>
      </c>
      <c r="K1305" s="4" t="e">
        <f>VLOOKUP(A1305,Detallado!$C$5:$H$1570,6,FALSE)</f>
        <v>#N/A</v>
      </c>
    </row>
    <row r="1306" spans="1:11">
      <c r="A1306" s="90">
        <v>127132014539</v>
      </c>
      <c r="B1306" s="1" t="s">
        <v>1790</v>
      </c>
      <c r="C1306" s="43" t="s">
        <v>1963</v>
      </c>
      <c r="D1306" s="1" t="s">
        <v>1780</v>
      </c>
      <c r="E1306" s="43" t="s">
        <v>1963</v>
      </c>
      <c r="F1306" s="37" t="s">
        <v>1782</v>
      </c>
      <c r="G1306" s="44">
        <v>45900</v>
      </c>
      <c r="H1306" s="44">
        <v>275.39999999999998</v>
      </c>
      <c r="K1306" s="4" t="e">
        <f>VLOOKUP(A1306,Detallado!$C$5:$H$1570,6,FALSE)</f>
        <v>#N/A</v>
      </c>
    </row>
    <row r="1307" spans="1:11">
      <c r="A1307" s="90">
        <v>127130788563</v>
      </c>
      <c r="B1307" s="1" t="s">
        <v>8</v>
      </c>
      <c r="C1307" s="43" t="s">
        <v>1963</v>
      </c>
      <c r="D1307" s="1" t="s">
        <v>1780</v>
      </c>
      <c r="E1307" s="43" t="s">
        <v>1963</v>
      </c>
      <c r="F1307" s="37" t="s">
        <v>1782</v>
      </c>
      <c r="G1307" s="44">
        <v>37400</v>
      </c>
      <c r="H1307" s="44">
        <v>224.4</v>
      </c>
      <c r="K1307" s="4" t="e">
        <f>VLOOKUP(A1307,Detallado!$C$5:$H$1570,6,FALSE)</f>
        <v>#N/A</v>
      </c>
    </row>
    <row r="1308" spans="1:11">
      <c r="A1308" s="90">
        <v>127130305985</v>
      </c>
      <c r="B1308" s="1" t="s">
        <v>8</v>
      </c>
      <c r="C1308" s="43" t="s">
        <v>1963</v>
      </c>
      <c r="D1308" s="1" t="s">
        <v>1780</v>
      </c>
      <c r="E1308" s="43" t="s">
        <v>1963</v>
      </c>
      <c r="F1308" s="37" t="s">
        <v>1782</v>
      </c>
      <c r="G1308" s="44">
        <v>47800</v>
      </c>
      <c r="H1308" s="44">
        <v>286.8</v>
      </c>
      <c r="K1308" s="4" t="e">
        <f>VLOOKUP(A1308,Detallado!$C$5:$H$1570,6,FALSE)</f>
        <v>#N/A</v>
      </c>
    </row>
    <row r="1309" spans="1:11">
      <c r="A1309" s="90">
        <v>127127545649</v>
      </c>
      <c r="B1309" s="1" t="s">
        <v>8</v>
      </c>
      <c r="C1309" s="43" t="s">
        <v>1963</v>
      </c>
      <c r="D1309" s="1" t="s">
        <v>1780</v>
      </c>
      <c r="E1309" s="43" t="s">
        <v>1963</v>
      </c>
      <c r="F1309" s="37" t="s">
        <v>1782</v>
      </c>
      <c r="G1309" s="44">
        <v>61400</v>
      </c>
      <c r="H1309" s="44">
        <v>368.4</v>
      </c>
      <c r="K1309" s="4" t="e">
        <f>VLOOKUP(A1309,Detallado!$C$5:$H$1570,6,FALSE)</f>
        <v>#N/A</v>
      </c>
    </row>
    <row r="1310" spans="1:11">
      <c r="A1310" s="90">
        <v>127126712461</v>
      </c>
      <c r="B1310" s="1" t="s">
        <v>8</v>
      </c>
      <c r="C1310" s="43" t="s">
        <v>1963</v>
      </c>
      <c r="D1310" s="1" t="s">
        <v>1780</v>
      </c>
      <c r="E1310" s="43" t="s">
        <v>1963</v>
      </c>
      <c r="F1310" s="37" t="s">
        <v>1782</v>
      </c>
      <c r="G1310" s="44">
        <v>179000</v>
      </c>
      <c r="H1310" s="44">
        <v>1074</v>
      </c>
      <c r="K1310" s="4" t="e">
        <f>VLOOKUP(A1310,Detallado!$C$5:$H$1570,6,FALSE)</f>
        <v>#N/A</v>
      </c>
    </row>
    <row r="1311" spans="1:11">
      <c r="A1311" s="90">
        <v>127015860511</v>
      </c>
      <c r="B1311" s="1" t="s">
        <v>8</v>
      </c>
      <c r="C1311" s="43" t="s">
        <v>1963</v>
      </c>
      <c r="D1311" s="1" t="s">
        <v>1780</v>
      </c>
      <c r="E1311" s="43" t="s">
        <v>1963</v>
      </c>
      <c r="F1311" s="37" t="s">
        <v>1782</v>
      </c>
      <c r="G1311" s="44">
        <v>4500</v>
      </c>
      <c r="H1311" s="44">
        <v>27</v>
      </c>
      <c r="K1311" s="4" t="e">
        <f>VLOOKUP(A1311,Detallado!$C$5:$H$1570,6,FALSE)</f>
        <v>#N/A</v>
      </c>
    </row>
    <row r="1312" spans="1:11">
      <c r="A1312" s="90">
        <v>127015646835</v>
      </c>
      <c r="B1312" s="1" t="s">
        <v>8</v>
      </c>
      <c r="C1312" s="43" t="s">
        <v>1963</v>
      </c>
      <c r="D1312" s="1" t="s">
        <v>1780</v>
      </c>
      <c r="E1312" s="43" t="s">
        <v>1963</v>
      </c>
      <c r="F1312" s="37" t="s">
        <v>1782</v>
      </c>
      <c r="G1312" s="44">
        <v>12600</v>
      </c>
      <c r="H1312" s="44">
        <v>75.599999999999994</v>
      </c>
      <c r="K1312" s="4" t="e">
        <f>VLOOKUP(A1312,Detallado!$C$5:$H$1570,6,FALSE)</f>
        <v>#N/A</v>
      </c>
    </row>
    <row r="1313" spans="1:16">
      <c r="A1313" s="90">
        <v>127015620133</v>
      </c>
      <c r="B1313" s="1" t="s">
        <v>8</v>
      </c>
      <c r="C1313" s="43" t="s">
        <v>1963</v>
      </c>
      <c r="D1313" s="1" t="s">
        <v>1780</v>
      </c>
      <c r="E1313" s="43" t="s">
        <v>1963</v>
      </c>
      <c r="F1313" s="37" t="s">
        <v>1782</v>
      </c>
      <c r="G1313" s="44">
        <v>13500</v>
      </c>
      <c r="H1313" s="44">
        <v>81</v>
      </c>
      <c r="K1313" s="4" t="e">
        <f>VLOOKUP(A1313,Detallado!$C$5:$H$1570,6,FALSE)</f>
        <v>#N/A</v>
      </c>
    </row>
    <row r="1314" spans="1:16">
      <c r="A1314" s="90">
        <v>127015606063</v>
      </c>
      <c r="B1314" s="1" t="s">
        <v>1790</v>
      </c>
      <c r="C1314" s="43" t="s">
        <v>1963</v>
      </c>
      <c r="D1314" s="1" t="s">
        <v>1780</v>
      </c>
      <c r="E1314" s="43" t="s">
        <v>1963</v>
      </c>
      <c r="F1314" s="37" t="s">
        <v>1782</v>
      </c>
      <c r="G1314" s="44">
        <v>6200</v>
      </c>
      <c r="H1314" s="44">
        <v>37.200000000000003</v>
      </c>
      <c r="K1314" s="4" t="e">
        <f>VLOOKUP(A1314,Detallado!$C$5:$H$1570,6,FALSE)</f>
        <v>#N/A</v>
      </c>
    </row>
    <row r="1315" spans="1:16">
      <c r="A1315" s="90">
        <v>127015403685</v>
      </c>
      <c r="B1315" s="1" t="s">
        <v>8</v>
      </c>
      <c r="C1315" s="43" t="s">
        <v>1963</v>
      </c>
      <c r="D1315" s="1" t="s">
        <v>1780</v>
      </c>
      <c r="E1315" s="43" t="s">
        <v>1963</v>
      </c>
      <c r="F1315" s="37" t="s">
        <v>1782</v>
      </c>
      <c r="G1315" s="44">
        <v>7200</v>
      </c>
      <c r="H1315" s="44">
        <v>43.2</v>
      </c>
      <c r="K1315" s="4" t="e">
        <f>VLOOKUP(A1315,Detallado!$C$5:$H$1570,6,FALSE)</f>
        <v>#N/A</v>
      </c>
    </row>
    <row r="1316" spans="1:16">
      <c r="A1316" s="90">
        <v>127014134823</v>
      </c>
      <c r="B1316" s="1" t="s">
        <v>8</v>
      </c>
      <c r="C1316" s="43" t="s">
        <v>1963</v>
      </c>
      <c r="D1316" s="1" t="s">
        <v>1780</v>
      </c>
      <c r="E1316" s="43" t="s">
        <v>1963</v>
      </c>
      <c r="F1316" s="37" t="s">
        <v>1782</v>
      </c>
      <c r="G1316" s="44">
        <v>4050</v>
      </c>
      <c r="H1316" s="44">
        <v>24.3</v>
      </c>
      <c r="K1316" s="4" t="e">
        <f>VLOOKUP(A1316,Detallado!$C$5:$H$1570,6,FALSE)</f>
        <v>#N/A</v>
      </c>
    </row>
    <row r="1317" spans="1:16">
      <c r="A1317" s="90">
        <v>127013893873</v>
      </c>
      <c r="B1317" s="1" t="s">
        <v>8</v>
      </c>
      <c r="C1317" s="43" t="s">
        <v>1963</v>
      </c>
      <c r="D1317" s="1" t="s">
        <v>1780</v>
      </c>
      <c r="E1317" s="43" t="s">
        <v>1963</v>
      </c>
      <c r="F1317" s="37" t="s">
        <v>1782</v>
      </c>
      <c r="G1317" s="44">
        <v>15300</v>
      </c>
      <c r="H1317" s="44">
        <v>91.8</v>
      </c>
      <c r="K1317" s="4" t="e">
        <f>VLOOKUP(A1317,Detallado!$C$5:$H$1570,6,FALSE)</f>
        <v>#N/A</v>
      </c>
    </row>
    <row r="1318" spans="1:16">
      <c r="A1318" s="90">
        <v>127013820395</v>
      </c>
      <c r="B1318" s="1" t="s">
        <v>8</v>
      </c>
      <c r="C1318" s="43" t="s">
        <v>1963</v>
      </c>
      <c r="D1318" s="1" t="s">
        <v>1780</v>
      </c>
      <c r="E1318" s="43" t="s">
        <v>1963</v>
      </c>
      <c r="F1318" s="37" t="s">
        <v>1782</v>
      </c>
      <c r="G1318" s="44">
        <v>18000</v>
      </c>
      <c r="H1318" s="44">
        <v>108</v>
      </c>
      <c r="K1318" s="4" t="e">
        <f>VLOOKUP(A1318,Detallado!$C$5:$H$1570,6,FALSE)</f>
        <v>#N/A</v>
      </c>
    </row>
    <row r="1319" spans="1:16">
      <c r="A1319" s="90">
        <v>127012562167</v>
      </c>
      <c r="B1319" s="1" t="s">
        <v>8</v>
      </c>
      <c r="C1319" s="43" t="s">
        <v>1963</v>
      </c>
      <c r="D1319" s="1" t="s">
        <v>1780</v>
      </c>
      <c r="E1319" s="43" t="s">
        <v>1963</v>
      </c>
      <c r="F1319" s="37" t="s">
        <v>1782</v>
      </c>
      <c r="G1319" s="44">
        <v>4500</v>
      </c>
      <c r="H1319" s="44">
        <v>27</v>
      </c>
      <c r="K1319" s="4" t="e">
        <f>VLOOKUP(A1319,Detallado!$C$5:$H$1570,6,FALSE)</f>
        <v>#N/A</v>
      </c>
    </row>
    <row r="1320" spans="1:16">
      <c r="A1320" s="90">
        <v>127087676739</v>
      </c>
      <c r="B1320" s="1" t="s">
        <v>8</v>
      </c>
      <c r="C1320" s="43" t="s">
        <v>1963</v>
      </c>
      <c r="D1320" s="1" t="s">
        <v>1780</v>
      </c>
      <c r="E1320" s="43" t="s">
        <v>1963</v>
      </c>
      <c r="F1320" s="37" t="s">
        <v>1782</v>
      </c>
      <c r="G1320" s="44">
        <v>233204.26</v>
      </c>
      <c r="H1320" s="77">
        <v>1399.23</v>
      </c>
      <c r="K1320" s="27" t="e">
        <f>VLOOKUP(A1320,Detallado!$C$5:$H$1570,6,FALSE)</f>
        <v>#N/A</v>
      </c>
      <c r="M1320" s="4">
        <v>-1390.8802783300343</v>
      </c>
      <c r="N1320" s="66" t="e">
        <f>+K1320-M1320</f>
        <v>#N/A</v>
      </c>
      <c r="O1320" s="1" t="s">
        <v>1382</v>
      </c>
      <c r="P1320" s="1">
        <f>+E1320-O1320</f>
        <v>0</v>
      </c>
    </row>
    <row r="1321" spans="1:16">
      <c r="A1321" s="90">
        <v>127610741100</v>
      </c>
      <c r="B1321" s="1" t="s">
        <v>8</v>
      </c>
      <c r="C1321" s="43" t="s">
        <v>1963</v>
      </c>
      <c r="D1321" s="1" t="s">
        <v>1780</v>
      </c>
      <c r="E1321" s="43" t="s">
        <v>1963</v>
      </c>
      <c r="F1321" s="37" t="s">
        <v>1782</v>
      </c>
      <c r="G1321" s="44">
        <v>1267900</v>
      </c>
      <c r="H1321" s="77">
        <v>7607.4</v>
      </c>
      <c r="K1321" s="27" t="e">
        <f>VLOOKUP(A1321,Detallado!$C$5:$H$1570,6,FALSE)</f>
        <v>#N/A</v>
      </c>
      <c r="M1321" s="4">
        <v>-7562.027833001921</v>
      </c>
      <c r="N1321" s="66" t="e">
        <f>+K1321-M1321</f>
        <v>#N/A</v>
      </c>
      <c r="O1321" s="1" t="s">
        <v>1382</v>
      </c>
      <c r="P1321" s="1">
        <f>+E1321-O1321</f>
        <v>0</v>
      </c>
    </row>
    <row r="1322" spans="1:16">
      <c r="A1322" s="90">
        <v>127703776340</v>
      </c>
      <c r="B1322" s="1" t="s">
        <v>8</v>
      </c>
      <c r="C1322" s="43" t="s">
        <v>1963</v>
      </c>
      <c r="D1322" s="1" t="s">
        <v>1780</v>
      </c>
      <c r="E1322" s="43" t="s">
        <v>1972</v>
      </c>
      <c r="F1322" s="37" t="s">
        <v>1782</v>
      </c>
      <c r="G1322" s="44">
        <v>122000</v>
      </c>
      <c r="H1322" s="44">
        <v>732</v>
      </c>
      <c r="K1322" s="4" t="e">
        <f>VLOOKUP(A1322,Detallado!$C$5:$H$1570,6,FALSE)</f>
        <v>#N/A</v>
      </c>
    </row>
    <row r="1323" spans="1:16">
      <c r="A1323" s="90">
        <v>127702629144</v>
      </c>
      <c r="B1323" s="1" t="s">
        <v>8</v>
      </c>
      <c r="C1323" s="43" t="s">
        <v>1963</v>
      </c>
      <c r="D1323" s="1" t="s">
        <v>1780</v>
      </c>
      <c r="E1323" s="43" t="s">
        <v>1972</v>
      </c>
      <c r="F1323" s="37" t="s">
        <v>1782</v>
      </c>
      <c r="G1323" s="44">
        <v>5000</v>
      </c>
      <c r="H1323" s="44">
        <v>30</v>
      </c>
      <c r="K1323" s="4" t="e">
        <f>VLOOKUP(A1323,Detallado!$C$5:$H$1570,6,FALSE)</f>
        <v>#N/A</v>
      </c>
    </row>
    <row r="1324" spans="1:16">
      <c r="A1324" s="90">
        <v>127702622786</v>
      </c>
      <c r="B1324" s="1" t="s">
        <v>8</v>
      </c>
      <c r="C1324" s="43" t="s">
        <v>1963</v>
      </c>
      <c r="D1324" s="1" t="s">
        <v>1780</v>
      </c>
      <c r="E1324" s="43" t="s">
        <v>1972</v>
      </c>
      <c r="F1324" s="37" t="s">
        <v>1782</v>
      </c>
      <c r="G1324" s="44">
        <v>229400</v>
      </c>
      <c r="H1324" s="44">
        <v>1376.4</v>
      </c>
      <c r="K1324" s="4" t="e">
        <f>VLOOKUP(A1324,Detallado!$C$5:$H$1570,6,FALSE)</f>
        <v>#N/A</v>
      </c>
    </row>
    <row r="1325" spans="1:16">
      <c r="A1325" s="90">
        <v>127702181460</v>
      </c>
      <c r="B1325" s="1" t="s">
        <v>8</v>
      </c>
      <c r="C1325" s="43" t="s">
        <v>1963</v>
      </c>
      <c r="D1325" s="1" t="s">
        <v>1780</v>
      </c>
      <c r="E1325" s="43" t="s">
        <v>1972</v>
      </c>
      <c r="F1325" s="37" t="s">
        <v>1782</v>
      </c>
      <c r="G1325" s="44">
        <v>7400</v>
      </c>
      <c r="H1325" s="44">
        <v>44.4</v>
      </c>
      <c r="K1325" s="4" t="e">
        <f>VLOOKUP(A1325,Detallado!$C$5:$H$1570,6,FALSE)</f>
        <v>#N/A</v>
      </c>
    </row>
    <row r="1326" spans="1:16">
      <c r="A1326" s="90">
        <v>127141989725</v>
      </c>
      <c r="B1326" s="1" t="s">
        <v>8</v>
      </c>
      <c r="C1326" s="43" t="s">
        <v>1963</v>
      </c>
      <c r="D1326" s="1" t="s">
        <v>1780</v>
      </c>
      <c r="E1326" s="43" t="s">
        <v>1972</v>
      </c>
      <c r="F1326" s="37" t="s">
        <v>1782</v>
      </c>
      <c r="G1326" s="44">
        <v>18600</v>
      </c>
      <c r="H1326" s="44">
        <v>111.6</v>
      </c>
      <c r="K1326" s="4" t="e">
        <f>VLOOKUP(A1326,Detallado!$C$5:$H$1570,6,FALSE)</f>
        <v>#N/A</v>
      </c>
    </row>
    <row r="1327" spans="1:16">
      <c r="A1327" s="90">
        <v>127141798509</v>
      </c>
      <c r="B1327" s="1" t="s">
        <v>8</v>
      </c>
      <c r="C1327" s="43" t="s">
        <v>1963</v>
      </c>
      <c r="D1327" s="1" t="s">
        <v>1780</v>
      </c>
      <c r="E1327" s="43" t="s">
        <v>1972</v>
      </c>
      <c r="F1327" s="37" t="s">
        <v>1782</v>
      </c>
      <c r="G1327" s="44">
        <v>23000</v>
      </c>
      <c r="H1327" s="44">
        <v>138</v>
      </c>
      <c r="K1327" s="4" t="e">
        <f>VLOOKUP(A1327,Detallado!$C$5:$H$1570,6,FALSE)</f>
        <v>#N/A</v>
      </c>
    </row>
    <row r="1328" spans="1:16">
      <c r="A1328" s="90">
        <v>127141616145</v>
      </c>
      <c r="B1328" s="1" t="s">
        <v>8</v>
      </c>
      <c r="C1328" s="43" t="s">
        <v>1963</v>
      </c>
      <c r="D1328" s="1" t="s">
        <v>1780</v>
      </c>
      <c r="E1328" s="43" t="s">
        <v>1972</v>
      </c>
      <c r="F1328" s="37" t="s">
        <v>1782</v>
      </c>
      <c r="G1328" s="44">
        <v>5000</v>
      </c>
      <c r="H1328" s="44">
        <v>30</v>
      </c>
      <c r="K1328" s="4" t="e">
        <f>VLOOKUP(A1328,Detallado!$C$5:$H$1570,6,FALSE)</f>
        <v>#N/A</v>
      </c>
    </row>
    <row r="1329" spans="1:11">
      <c r="A1329" s="90">
        <v>127141531181</v>
      </c>
      <c r="B1329" s="1" t="s">
        <v>8</v>
      </c>
      <c r="C1329" s="43" t="s">
        <v>1963</v>
      </c>
      <c r="D1329" s="1" t="s">
        <v>1780</v>
      </c>
      <c r="E1329" s="43" t="s">
        <v>1972</v>
      </c>
      <c r="F1329" s="37" t="s">
        <v>1782</v>
      </c>
      <c r="G1329" s="44">
        <v>2200</v>
      </c>
      <c r="H1329" s="44">
        <v>13.2</v>
      </c>
      <c r="K1329" s="4" t="e">
        <f>VLOOKUP(A1329,Detallado!$C$5:$H$1570,6,FALSE)</f>
        <v>#N/A</v>
      </c>
    </row>
    <row r="1330" spans="1:11">
      <c r="A1330" s="90">
        <v>127807371108</v>
      </c>
      <c r="B1330" s="1" t="s">
        <v>1790</v>
      </c>
      <c r="C1330" s="43" t="s">
        <v>1972</v>
      </c>
      <c r="D1330" s="1" t="s">
        <v>1780</v>
      </c>
      <c r="E1330" s="43" t="s">
        <v>1972</v>
      </c>
      <c r="F1330" s="37" t="s">
        <v>1782</v>
      </c>
      <c r="G1330" s="44">
        <v>10600</v>
      </c>
      <c r="H1330" s="44">
        <v>63.6</v>
      </c>
      <c r="K1330" s="4" t="e">
        <f>VLOOKUP(A1330,Detallado!$C$5:$H$1570,6,FALSE)</f>
        <v>#N/A</v>
      </c>
    </row>
    <row r="1331" spans="1:11">
      <c r="A1331" s="90">
        <v>127807303014</v>
      </c>
      <c r="B1331" s="1" t="s">
        <v>1790</v>
      </c>
      <c r="C1331" s="43" t="s">
        <v>1972</v>
      </c>
      <c r="D1331" s="1" t="s">
        <v>1780</v>
      </c>
      <c r="E1331" s="43" t="s">
        <v>1972</v>
      </c>
      <c r="F1331" s="37" t="s">
        <v>1782</v>
      </c>
      <c r="G1331" s="44">
        <v>50100</v>
      </c>
      <c r="H1331" s="44">
        <v>300.60000000000002</v>
      </c>
      <c r="K1331" s="4" t="e">
        <f>VLOOKUP(A1331,Detallado!$C$5:$H$1570,6,FALSE)</f>
        <v>#N/A</v>
      </c>
    </row>
    <row r="1332" spans="1:11">
      <c r="A1332" s="90">
        <v>127807178114</v>
      </c>
      <c r="B1332" s="1" t="s">
        <v>8</v>
      </c>
      <c r="C1332" s="43" t="s">
        <v>1972</v>
      </c>
      <c r="D1332" s="1" t="s">
        <v>1780</v>
      </c>
      <c r="E1332" s="43" t="s">
        <v>1972</v>
      </c>
      <c r="F1332" s="37" t="s">
        <v>1782</v>
      </c>
      <c r="G1332" s="44">
        <v>125600</v>
      </c>
      <c r="H1332" s="44">
        <v>753.6</v>
      </c>
      <c r="K1332" s="4" t="e">
        <f>VLOOKUP(A1332,Detallado!$C$5:$H$1570,6,FALSE)</f>
        <v>#N/A</v>
      </c>
    </row>
    <row r="1333" spans="1:11">
      <c r="A1333" s="90">
        <v>127807055040</v>
      </c>
      <c r="B1333" s="1" t="s">
        <v>8</v>
      </c>
      <c r="C1333" s="43" t="s">
        <v>1972</v>
      </c>
      <c r="D1333" s="1" t="s">
        <v>1780</v>
      </c>
      <c r="E1333" s="43" t="s">
        <v>1972</v>
      </c>
      <c r="F1333" s="37" t="s">
        <v>1782</v>
      </c>
      <c r="G1333" s="44">
        <v>36800</v>
      </c>
      <c r="H1333" s="44">
        <v>220.8</v>
      </c>
      <c r="K1333" s="4" t="e">
        <f>VLOOKUP(A1333,Detallado!$C$5:$H$1570,6,FALSE)</f>
        <v>#N/A</v>
      </c>
    </row>
    <row r="1334" spans="1:11">
      <c r="A1334" s="90">
        <v>127806313302</v>
      </c>
      <c r="B1334" s="1" t="s">
        <v>1790</v>
      </c>
      <c r="C1334" s="43" t="s">
        <v>1972</v>
      </c>
      <c r="D1334" s="1" t="s">
        <v>1780</v>
      </c>
      <c r="E1334" s="43" t="s">
        <v>1972</v>
      </c>
      <c r="F1334" s="37" t="s">
        <v>1782</v>
      </c>
      <c r="G1334" s="44">
        <v>29400</v>
      </c>
      <c r="H1334" s="44">
        <v>176.4</v>
      </c>
      <c r="K1334" s="4" t="e">
        <f>VLOOKUP(A1334,Detallado!$C$5:$H$1570,6,FALSE)</f>
        <v>#N/A</v>
      </c>
    </row>
    <row r="1335" spans="1:11">
      <c r="A1335" s="90">
        <v>127806286920</v>
      </c>
      <c r="B1335" s="1" t="s">
        <v>8</v>
      </c>
      <c r="C1335" s="43" t="s">
        <v>1972</v>
      </c>
      <c r="D1335" s="1" t="s">
        <v>1780</v>
      </c>
      <c r="E1335" s="43" t="s">
        <v>1972</v>
      </c>
      <c r="F1335" s="37" t="s">
        <v>1782</v>
      </c>
      <c r="G1335" s="44">
        <v>10600</v>
      </c>
      <c r="H1335" s="44">
        <v>63.6</v>
      </c>
      <c r="K1335" s="4" t="e">
        <f>VLOOKUP(A1335,Detallado!$C$5:$H$1570,6,FALSE)</f>
        <v>#N/A</v>
      </c>
    </row>
    <row r="1336" spans="1:11">
      <c r="A1336" s="90">
        <v>127806240328</v>
      </c>
      <c r="B1336" s="1" t="s">
        <v>1790</v>
      </c>
      <c r="C1336" s="43" t="s">
        <v>1972</v>
      </c>
      <c r="D1336" s="1" t="s">
        <v>1780</v>
      </c>
      <c r="E1336" s="43" t="s">
        <v>1972</v>
      </c>
      <c r="F1336" s="37" t="s">
        <v>1782</v>
      </c>
      <c r="G1336" s="44">
        <v>7900</v>
      </c>
      <c r="H1336" s="44">
        <v>47.4</v>
      </c>
      <c r="K1336" s="4" t="e">
        <f>VLOOKUP(A1336,Detallado!$C$5:$H$1570,6,FALSE)</f>
        <v>#N/A</v>
      </c>
    </row>
    <row r="1337" spans="1:11">
      <c r="A1337" s="90">
        <v>127804919688</v>
      </c>
      <c r="B1337" s="1" t="s">
        <v>8</v>
      </c>
      <c r="C1337" s="43" t="s">
        <v>1972</v>
      </c>
      <c r="D1337" s="1" t="s">
        <v>1780</v>
      </c>
      <c r="E1337" s="43" t="s">
        <v>1972</v>
      </c>
      <c r="F1337" s="37" t="s">
        <v>1782</v>
      </c>
      <c r="G1337" s="44">
        <v>4500</v>
      </c>
      <c r="H1337" s="44">
        <v>27</v>
      </c>
      <c r="K1337" s="4" t="e">
        <f>VLOOKUP(A1337,Detallado!$C$5:$H$1570,6,FALSE)</f>
        <v>#N/A</v>
      </c>
    </row>
    <row r="1338" spans="1:11">
      <c r="A1338" s="90">
        <v>127803560186</v>
      </c>
      <c r="B1338" s="1" t="s">
        <v>1981</v>
      </c>
      <c r="C1338" s="43" t="s">
        <v>1972</v>
      </c>
      <c r="D1338" s="1" t="s">
        <v>1780</v>
      </c>
      <c r="E1338" s="43" t="s">
        <v>1972</v>
      </c>
      <c r="F1338" s="37" t="s">
        <v>1782</v>
      </c>
      <c r="G1338" s="44">
        <v>740</v>
      </c>
      <c r="H1338" s="44">
        <v>4.4400000000000004</v>
      </c>
      <c r="K1338" s="4" t="e">
        <f>VLOOKUP(A1338,Detallado!$C$5:$H$1570,6,FALSE)</f>
        <v>#N/A</v>
      </c>
    </row>
    <row r="1339" spans="1:11">
      <c r="A1339" s="90">
        <v>127803525440</v>
      </c>
      <c r="B1339" s="1" t="s">
        <v>8</v>
      </c>
      <c r="C1339" s="43" t="s">
        <v>1972</v>
      </c>
      <c r="D1339" s="1" t="s">
        <v>1780</v>
      </c>
      <c r="E1339" s="43" t="s">
        <v>1972</v>
      </c>
      <c r="F1339" s="37" t="s">
        <v>1782</v>
      </c>
      <c r="G1339" s="44">
        <v>8500</v>
      </c>
      <c r="H1339" s="44">
        <v>51</v>
      </c>
      <c r="K1339" s="4" t="e">
        <f>VLOOKUP(A1339,Detallado!$C$5:$H$1570,6,FALSE)</f>
        <v>#N/A</v>
      </c>
    </row>
    <row r="1340" spans="1:11">
      <c r="A1340" s="90">
        <v>127803499794</v>
      </c>
      <c r="B1340" s="1" t="s">
        <v>1984</v>
      </c>
      <c r="C1340" s="43" t="s">
        <v>1972</v>
      </c>
      <c r="D1340" s="1" t="s">
        <v>1780</v>
      </c>
      <c r="E1340" s="43" t="s">
        <v>1972</v>
      </c>
      <c r="F1340" s="37" t="s">
        <v>1782</v>
      </c>
      <c r="G1340" s="44">
        <v>425</v>
      </c>
      <c r="H1340" s="44">
        <v>2.5499999999999998</v>
      </c>
      <c r="K1340" s="4" t="e">
        <f>VLOOKUP(A1340,Detallado!$C$5:$H$1570,6,FALSE)</f>
        <v>#N/A</v>
      </c>
    </row>
    <row r="1341" spans="1:11">
      <c r="A1341" s="90">
        <v>127803309066</v>
      </c>
      <c r="B1341" s="1" t="s">
        <v>8</v>
      </c>
      <c r="C1341" s="43" t="s">
        <v>1972</v>
      </c>
      <c r="D1341" s="1" t="s">
        <v>1780</v>
      </c>
      <c r="E1341" s="43" t="s">
        <v>1972</v>
      </c>
      <c r="F1341" s="37" t="s">
        <v>1782</v>
      </c>
      <c r="G1341" s="44">
        <v>74100</v>
      </c>
      <c r="H1341" s="44">
        <v>444.6</v>
      </c>
      <c r="K1341" s="4" t="e">
        <f>VLOOKUP(A1341,Detallado!$C$5:$H$1570,6,FALSE)</f>
        <v>#N/A</v>
      </c>
    </row>
    <row r="1342" spans="1:11">
      <c r="A1342" s="90">
        <v>127802564664</v>
      </c>
      <c r="B1342" s="1" t="s">
        <v>1790</v>
      </c>
      <c r="C1342" s="43" t="s">
        <v>1972</v>
      </c>
      <c r="D1342" s="1" t="s">
        <v>1780</v>
      </c>
      <c r="E1342" s="43" t="s">
        <v>1972</v>
      </c>
      <c r="F1342" s="37" t="s">
        <v>1782</v>
      </c>
      <c r="G1342" s="44">
        <v>7900</v>
      </c>
      <c r="H1342" s="44">
        <v>47.4</v>
      </c>
      <c r="K1342" s="4" t="e">
        <f>VLOOKUP(A1342,Detallado!$C$5:$H$1570,6,FALSE)</f>
        <v>#N/A</v>
      </c>
    </row>
    <row r="1343" spans="1:11">
      <c r="A1343" s="90">
        <v>127800943318</v>
      </c>
      <c r="B1343" s="1" t="s">
        <v>8</v>
      </c>
      <c r="C1343" s="43" t="s">
        <v>1972</v>
      </c>
      <c r="D1343" s="1" t="s">
        <v>1780</v>
      </c>
      <c r="E1343" s="43" t="s">
        <v>1972</v>
      </c>
      <c r="F1343" s="37" t="s">
        <v>1782</v>
      </c>
      <c r="G1343" s="44">
        <v>37600</v>
      </c>
      <c r="H1343" s="44">
        <v>225.6</v>
      </c>
      <c r="K1343" s="4" t="e">
        <f>VLOOKUP(A1343,Detallado!$C$5:$H$1570,6,FALSE)</f>
        <v>#N/A</v>
      </c>
    </row>
    <row r="1344" spans="1:11">
      <c r="A1344" s="90">
        <v>127799026568</v>
      </c>
      <c r="B1344" s="1" t="s">
        <v>8</v>
      </c>
      <c r="C1344" s="43" t="s">
        <v>1972</v>
      </c>
      <c r="D1344" s="1" t="s">
        <v>1780</v>
      </c>
      <c r="E1344" s="43" t="s">
        <v>1972</v>
      </c>
      <c r="F1344" s="37" t="s">
        <v>1782</v>
      </c>
      <c r="G1344" s="44">
        <v>8600</v>
      </c>
      <c r="H1344" s="44">
        <v>51.6</v>
      </c>
      <c r="K1344" s="4" t="e">
        <f>VLOOKUP(A1344,Detallado!$C$5:$H$1570,6,FALSE)</f>
        <v>#N/A</v>
      </c>
    </row>
    <row r="1345" spans="1:11">
      <c r="A1345" s="90">
        <v>127796618374</v>
      </c>
      <c r="B1345" s="1" t="s">
        <v>8</v>
      </c>
      <c r="C1345" s="43" t="s">
        <v>1972</v>
      </c>
      <c r="D1345" s="1" t="s">
        <v>1780</v>
      </c>
      <c r="E1345" s="43" t="s">
        <v>1972</v>
      </c>
      <c r="F1345" s="37" t="s">
        <v>1782</v>
      </c>
      <c r="G1345" s="44">
        <v>7400</v>
      </c>
      <c r="H1345" s="44">
        <v>44.4</v>
      </c>
      <c r="K1345" s="4" t="e">
        <f>VLOOKUP(A1345,Detallado!$C$5:$H$1570,6,FALSE)</f>
        <v>#N/A</v>
      </c>
    </row>
    <row r="1346" spans="1:11">
      <c r="A1346" s="90">
        <v>127794377100</v>
      </c>
      <c r="B1346" s="1" t="s">
        <v>8</v>
      </c>
      <c r="C1346" s="43" t="s">
        <v>1972</v>
      </c>
      <c r="D1346" s="1" t="s">
        <v>1780</v>
      </c>
      <c r="E1346" s="43" t="s">
        <v>1972</v>
      </c>
      <c r="F1346" s="37" t="s">
        <v>1782</v>
      </c>
      <c r="G1346" s="44">
        <v>31600</v>
      </c>
      <c r="H1346" s="44">
        <v>189.6</v>
      </c>
      <c r="K1346" s="4" t="e">
        <f>VLOOKUP(A1346,Detallado!$C$5:$H$1570,6,FALSE)</f>
        <v>#N/A</v>
      </c>
    </row>
    <row r="1347" spans="1:11">
      <c r="A1347" s="90">
        <v>127794328414</v>
      </c>
      <c r="B1347" s="1" t="s">
        <v>8</v>
      </c>
      <c r="C1347" s="43" t="s">
        <v>1972</v>
      </c>
      <c r="D1347" s="1" t="s">
        <v>1780</v>
      </c>
      <c r="E1347" s="43" t="s">
        <v>1972</v>
      </c>
      <c r="F1347" s="37" t="s">
        <v>1782</v>
      </c>
      <c r="G1347" s="44">
        <v>12700</v>
      </c>
      <c r="H1347" s="44">
        <v>76.2</v>
      </c>
      <c r="K1347" s="4" t="e">
        <f>VLOOKUP(A1347,Detallado!$C$5:$H$1570,6,FALSE)</f>
        <v>#N/A</v>
      </c>
    </row>
    <row r="1348" spans="1:11">
      <c r="A1348" s="90">
        <v>127792154848</v>
      </c>
      <c r="B1348" s="1" t="s">
        <v>1790</v>
      </c>
      <c r="C1348" s="43" t="s">
        <v>1972</v>
      </c>
      <c r="D1348" s="1" t="s">
        <v>1780</v>
      </c>
      <c r="E1348" s="43" t="s">
        <v>1972</v>
      </c>
      <c r="F1348" s="37" t="s">
        <v>1782</v>
      </c>
      <c r="G1348" s="44">
        <v>9000</v>
      </c>
      <c r="H1348" s="44">
        <v>54</v>
      </c>
      <c r="K1348" s="4" t="e">
        <f>VLOOKUP(A1348,Detallado!$C$5:$H$1570,6,FALSE)</f>
        <v>#N/A</v>
      </c>
    </row>
    <row r="1349" spans="1:11">
      <c r="A1349" s="90">
        <v>127791466702</v>
      </c>
      <c r="B1349" s="1" t="s">
        <v>8</v>
      </c>
      <c r="C1349" s="43" t="s">
        <v>1972</v>
      </c>
      <c r="D1349" s="1" t="s">
        <v>1780</v>
      </c>
      <c r="E1349" s="43" t="s">
        <v>1972</v>
      </c>
      <c r="F1349" s="37" t="s">
        <v>1782</v>
      </c>
      <c r="G1349" s="44">
        <v>10900</v>
      </c>
      <c r="H1349" s="44">
        <v>65.400000000000006</v>
      </c>
      <c r="K1349" s="4" t="e">
        <f>VLOOKUP(A1349,Detallado!$C$5:$H$1570,6,FALSE)</f>
        <v>#N/A</v>
      </c>
    </row>
    <row r="1350" spans="1:11">
      <c r="A1350" s="90">
        <v>127789821032</v>
      </c>
      <c r="B1350" s="1" t="s">
        <v>1790</v>
      </c>
      <c r="C1350" s="43" t="s">
        <v>1972</v>
      </c>
      <c r="D1350" s="1" t="s">
        <v>1780</v>
      </c>
      <c r="E1350" s="43" t="s">
        <v>1972</v>
      </c>
      <c r="F1350" s="37" t="s">
        <v>1782</v>
      </c>
      <c r="G1350" s="44">
        <v>8500</v>
      </c>
      <c r="H1350" s="44">
        <v>51</v>
      </c>
      <c r="K1350" s="4" t="e">
        <f>VLOOKUP(A1350,Detallado!$C$5:$H$1570,6,FALSE)</f>
        <v>#N/A</v>
      </c>
    </row>
    <row r="1351" spans="1:11">
      <c r="A1351" s="90">
        <v>127788429684</v>
      </c>
      <c r="B1351" s="1" t="s">
        <v>8</v>
      </c>
      <c r="C1351" s="43" t="s">
        <v>1972</v>
      </c>
      <c r="D1351" s="1" t="s">
        <v>1780</v>
      </c>
      <c r="E1351" s="43" t="s">
        <v>1972</v>
      </c>
      <c r="F1351" s="37" t="s">
        <v>1782</v>
      </c>
      <c r="G1351" s="44">
        <v>16000</v>
      </c>
      <c r="H1351" s="44">
        <v>96</v>
      </c>
      <c r="K1351" s="4" t="e">
        <f>VLOOKUP(A1351,Detallado!$C$5:$H$1570,6,FALSE)</f>
        <v>#N/A</v>
      </c>
    </row>
    <row r="1352" spans="1:11">
      <c r="A1352" s="90">
        <v>127787969538</v>
      </c>
      <c r="B1352" s="1" t="s">
        <v>1790</v>
      </c>
      <c r="C1352" s="43" t="s">
        <v>1972</v>
      </c>
      <c r="D1352" s="1" t="s">
        <v>1780</v>
      </c>
      <c r="E1352" s="43" t="s">
        <v>1972</v>
      </c>
      <c r="F1352" s="37" t="s">
        <v>1782</v>
      </c>
      <c r="G1352" s="44">
        <v>7800</v>
      </c>
      <c r="H1352" s="44">
        <v>46.8</v>
      </c>
      <c r="K1352" s="4" t="e">
        <f>VLOOKUP(A1352,Detallado!$C$5:$H$1570,6,FALSE)</f>
        <v>#N/A</v>
      </c>
    </row>
    <row r="1353" spans="1:11">
      <c r="A1353" s="90">
        <v>127785493518</v>
      </c>
      <c r="B1353" s="1" t="s">
        <v>1978</v>
      </c>
      <c r="C1353" s="43" t="s">
        <v>1972</v>
      </c>
      <c r="D1353" s="1" t="s">
        <v>1780</v>
      </c>
      <c r="E1353" s="43" t="s">
        <v>1972</v>
      </c>
      <c r="F1353" s="37" t="s">
        <v>1782</v>
      </c>
      <c r="G1353" s="44">
        <v>675</v>
      </c>
      <c r="H1353" s="44">
        <v>4.05</v>
      </c>
      <c r="K1353" s="4" t="e">
        <f>VLOOKUP(A1353,Detallado!$C$5:$H$1570,6,FALSE)</f>
        <v>#N/A</v>
      </c>
    </row>
    <row r="1354" spans="1:11">
      <c r="A1354" s="90">
        <v>127785471812</v>
      </c>
      <c r="B1354" s="1" t="s">
        <v>8</v>
      </c>
      <c r="C1354" s="43" t="s">
        <v>1972</v>
      </c>
      <c r="D1354" s="1" t="s">
        <v>1780</v>
      </c>
      <c r="E1354" s="43" t="s">
        <v>1972</v>
      </c>
      <c r="F1354" s="37" t="s">
        <v>1782</v>
      </c>
      <c r="G1354" s="44">
        <v>13500</v>
      </c>
      <c r="H1354" s="44">
        <v>81</v>
      </c>
      <c r="K1354" s="4" t="e">
        <f>VLOOKUP(A1354,Detallado!$C$5:$H$1570,6,FALSE)</f>
        <v>#N/A</v>
      </c>
    </row>
    <row r="1355" spans="1:11">
      <c r="A1355" s="90">
        <v>127707316320</v>
      </c>
      <c r="B1355" s="1" t="s">
        <v>8</v>
      </c>
      <c r="C1355" s="43" t="s">
        <v>1972</v>
      </c>
      <c r="D1355" s="1" t="s">
        <v>1780</v>
      </c>
      <c r="E1355" s="43" t="s">
        <v>1972</v>
      </c>
      <c r="F1355" s="37" t="s">
        <v>1782</v>
      </c>
      <c r="G1355" s="44">
        <v>29400</v>
      </c>
      <c r="H1355" s="44">
        <v>176.4</v>
      </c>
      <c r="K1355" s="4" t="e">
        <f>VLOOKUP(A1355,Detallado!$C$5:$H$1570,6,FALSE)</f>
        <v>#N/A</v>
      </c>
    </row>
    <row r="1356" spans="1:11">
      <c r="A1356" s="90">
        <v>127707273290</v>
      </c>
      <c r="B1356" s="1" t="s">
        <v>8</v>
      </c>
      <c r="C1356" s="43" t="s">
        <v>1972</v>
      </c>
      <c r="D1356" s="1" t="s">
        <v>1780</v>
      </c>
      <c r="E1356" s="43" t="s">
        <v>1972</v>
      </c>
      <c r="F1356" s="37" t="s">
        <v>1782</v>
      </c>
      <c r="G1356" s="44">
        <v>42400</v>
      </c>
      <c r="H1356" s="44">
        <v>254.4</v>
      </c>
      <c r="K1356" s="4" t="e">
        <f>VLOOKUP(A1356,Detallado!$C$5:$H$1570,6,FALSE)</f>
        <v>#N/A</v>
      </c>
    </row>
    <row r="1357" spans="1:11">
      <c r="A1357" s="90">
        <v>127707143532</v>
      </c>
      <c r="B1357" s="1" t="s">
        <v>1790</v>
      </c>
      <c r="C1357" s="43" t="s">
        <v>1972</v>
      </c>
      <c r="D1357" s="1" t="s">
        <v>1780</v>
      </c>
      <c r="E1357" s="43" t="s">
        <v>1972</v>
      </c>
      <c r="F1357" s="37" t="s">
        <v>1782</v>
      </c>
      <c r="G1357" s="44">
        <v>31600</v>
      </c>
      <c r="H1357" s="44">
        <v>189.6</v>
      </c>
      <c r="K1357" s="4" t="e">
        <f>VLOOKUP(A1357,Detallado!$C$5:$H$1570,6,FALSE)</f>
        <v>#N/A</v>
      </c>
    </row>
    <row r="1358" spans="1:11">
      <c r="A1358" s="90">
        <v>127705564586</v>
      </c>
      <c r="B1358" s="1" t="s">
        <v>1790</v>
      </c>
      <c r="C1358" s="43" t="s">
        <v>1972</v>
      </c>
      <c r="D1358" s="1" t="s">
        <v>1780</v>
      </c>
      <c r="E1358" s="43" t="s">
        <v>1972</v>
      </c>
      <c r="F1358" s="37" t="s">
        <v>1782</v>
      </c>
      <c r="G1358" s="44">
        <v>28600</v>
      </c>
      <c r="H1358" s="44">
        <v>171.6</v>
      </c>
      <c r="K1358" s="4" t="e">
        <f>VLOOKUP(A1358,Detallado!$C$5:$H$1570,6,FALSE)</f>
        <v>#N/A</v>
      </c>
    </row>
    <row r="1359" spans="1:11">
      <c r="A1359" s="90">
        <v>127705296188</v>
      </c>
      <c r="B1359" s="1" t="s">
        <v>8</v>
      </c>
      <c r="C1359" s="43" t="s">
        <v>1972</v>
      </c>
      <c r="D1359" s="1" t="s">
        <v>1780</v>
      </c>
      <c r="E1359" s="43" t="s">
        <v>1972</v>
      </c>
      <c r="F1359" s="37" t="s">
        <v>1782</v>
      </c>
      <c r="G1359" s="44">
        <v>62900</v>
      </c>
      <c r="H1359" s="44">
        <v>377.4</v>
      </c>
      <c r="K1359" s="4" t="e">
        <f>VLOOKUP(A1359,Detallado!$C$5:$H$1570,6,FALSE)</f>
        <v>#N/A</v>
      </c>
    </row>
    <row r="1360" spans="1:11">
      <c r="A1360" s="90">
        <v>127705207416</v>
      </c>
      <c r="B1360" s="1" t="s">
        <v>8</v>
      </c>
      <c r="C1360" s="43" t="s">
        <v>1972</v>
      </c>
      <c r="D1360" s="1" t="s">
        <v>1780</v>
      </c>
      <c r="E1360" s="43" t="s">
        <v>1972</v>
      </c>
      <c r="F1360" s="37" t="s">
        <v>1782</v>
      </c>
      <c r="G1360" s="44">
        <v>10000</v>
      </c>
      <c r="H1360" s="44">
        <v>60</v>
      </c>
      <c r="K1360" s="4" t="e">
        <f>VLOOKUP(A1360,Detallado!$C$5:$H$1570,6,FALSE)</f>
        <v>#N/A</v>
      </c>
    </row>
    <row r="1361" spans="1:11">
      <c r="A1361" s="90">
        <v>127704837868</v>
      </c>
      <c r="B1361" s="1" t="s">
        <v>1790</v>
      </c>
      <c r="C1361" s="43" t="s">
        <v>1972</v>
      </c>
      <c r="D1361" s="1" t="s">
        <v>1780</v>
      </c>
      <c r="E1361" s="43" t="s">
        <v>1972</v>
      </c>
      <c r="F1361" s="37" t="s">
        <v>1782</v>
      </c>
      <c r="G1361" s="44">
        <v>39400</v>
      </c>
      <c r="H1361" s="44">
        <v>236.4</v>
      </c>
      <c r="K1361" s="4" t="e">
        <f>VLOOKUP(A1361,Detallado!$C$5:$H$1570,6,FALSE)</f>
        <v>#N/A</v>
      </c>
    </row>
    <row r="1362" spans="1:11">
      <c r="A1362" s="90">
        <v>127704640858</v>
      </c>
      <c r="B1362" s="1" t="s">
        <v>8</v>
      </c>
      <c r="C1362" s="43" t="s">
        <v>1972</v>
      </c>
      <c r="D1362" s="1" t="s">
        <v>1780</v>
      </c>
      <c r="E1362" s="43" t="s">
        <v>1972</v>
      </c>
      <c r="F1362" s="37" t="s">
        <v>1782</v>
      </c>
      <c r="G1362" s="44">
        <v>12900</v>
      </c>
      <c r="H1362" s="44">
        <v>77.400000000000006</v>
      </c>
      <c r="K1362" s="4" t="e">
        <f>VLOOKUP(A1362,Detallado!$C$5:$H$1570,6,FALSE)</f>
        <v>#N/A</v>
      </c>
    </row>
    <row r="1363" spans="1:11">
      <c r="A1363" s="90">
        <v>127245029875</v>
      </c>
      <c r="B1363" s="1" t="s">
        <v>8</v>
      </c>
      <c r="C1363" s="43" t="s">
        <v>1972</v>
      </c>
      <c r="D1363" s="1" t="s">
        <v>1780</v>
      </c>
      <c r="E1363" s="43" t="s">
        <v>1972</v>
      </c>
      <c r="F1363" s="37" t="s">
        <v>1782</v>
      </c>
      <c r="G1363" s="44">
        <v>10800</v>
      </c>
      <c r="H1363" s="44">
        <v>64.8</v>
      </c>
      <c r="K1363" s="4" t="e">
        <f>VLOOKUP(A1363,Detallado!$C$5:$H$1570,6,FALSE)</f>
        <v>#N/A</v>
      </c>
    </row>
    <row r="1364" spans="1:11">
      <c r="A1364" s="90">
        <v>127244912805</v>
      </c>
      <c r="B1364" s="1" t="s">
        <v>8</v>
      </c>
      <c r="C1364" s="43" t="s">
        <v>1972</v>
      </c>
      <c r="D1364" s="1" t="s">
        <v>1780</v>
      </c>
      <c r="E1364" s="43" t="s">
        <v>1972</v>
      </c>
      <c r="F1364" s="37" t="s">
        <v>1782</v>
      </c>
      <c r="G1364" s="44">
        <v>9500</v>
      </c>
      <c r="H1364" s="44">
        <v>57</v>
      </c>
      <c r="K1364" s="4" t="e">
        <f>VLOOKUP(A1364,Detallado!$C$5:$H$1570,6,FALSE)</f>
        <v>#N/A</v>
      </c>
    </row>
    <row r="1365" spans="1:11">
      <c r="A1365" s="90">
        <v>127243983795</v>
      </c>
      <c r="B1365" s="1" t="s">
        <v>1790</v>
      </c>
      <c r="C1365" s="43" t="s">
        <v>1972</v>
      </c>
      <c r="D1365" s="1" t="s">
        <v>1780</v>
      </c>
      <c r="E1365" s="43" t="s">
        <v>1972</v>
      </c>
      <c r="F1365" s="37" t="s">
        <v>1782</v>
      </c>
      <c r="G1365" s="44">
        <v>18500</v>
      </c>
      <c r="H1365" s="44">
        <v>111</v>
      </c>
      <c r="K1365" s="4" t="e">
        <f>VLOOKUP(A1365,Detallado!$C$5:$H$1570,6,FALSE)</f>
        <v>#N/A</v>
      </c>
    </row>
    <row r="1366" spans="1:11">
      <c r="A1366" s="90">
        <v>127243294621</v>
      </c>
      <c r="B1366" s="1" t="s">
        <v>8</v>
      </c>
      <c r="C1366" s="43" t="s">
        <v>1972</v>
      </c>
      <c r="D1366" s="1" t="s">
        <v>1780</v>
      </c>
      <c r="E1366" s="43" t="s">
        <v>1972</v>
      </c>
      <c r="F1366" s="37" t="s">
        <v>1782</v>
      </c>
      <c r="G1366" s="44">
        <v>51800</v>
      </c>
      <c r="H1366" s="44">
        <v>310.8</v>
      </c>
      <c r="K1366" s="4" t="e">
        <f>VLOOKUP(A1366,Detallado!$C$5:$H$1570,6,FALSE)</f>
        <v>#N/A</v>
      </c>
    </row>
    <row r="1367" spans="1:11">
      <c r="A1367" s="90">
        <v>127242950363</v>
      </c>
      <c r="B1367" s="1" t="s">
        <v>8</v>
      </c>
      <c r="C1367" s="43" t="s">
        <v>1972</v>
      </c>
      <c r="D1367" s="1" t="s">
        <v>1780</v>
      </c>
      <c r="E1367" s="43" t="s">
        <v>1972</v>
      </c>
      <c r="F1367" s="37" t="s">
        <v>1782</v>
      </c>
      <c r="G1367" s="44">
        <v>36900</v>
      </c>
      <c r="H1367" s="44">
        <v>221.4</v>
      </c>
      <c r="K1367" s="4" t="e">
        <f>VLOOKUP(A1367,Detallado!$C$5:$H$1570,6,FALSE)</f>
        <v>#N/A</v>
      </c>
    </row>
    <row r="1368" spans="1:11">
      <c r="A1368" s="90">
        <v>127242782269</v>
      </c>
      <c r="B1368" s="1" t="s">
        <v>1790</v>
      </c>
      <c r="C1368" s="43" t="s">
        <v>1972</v>
      </c>
      <c r="D1368" s="1" t="s">
        <v>1780</v>
      </c>
      <c r="E1368" s="43" t="s">
        <v>1972</v>
      </c>
      <c r="F1368" s="37" t="s">
        <v>1782</v>
      </c>
      <c r="G1368" s="44">
        <v>37800</v>
      </c>
      <c r="H1368" s="44">
        <v>226.8</v>
      </c>
      <c r="K1368" s="4" t="e">
        <f>VLOOKUP(A1368,Detallado!$C$5:$H$1570,6,FALSE)</f>
        <v>#N/A</v>
      </c>
    </row>
    <row r="1369" spans="1:11">
      <c r="A1369" s="90">
        <v>127242751977</v>
      </c>
      <c r="B1369" s="1" t="s">
        <v>1986</v>
      </c>
      <c r="C1369" s="43" t="s">
        <v>1972</v>
      </c>
      <c r="D1369" s="1" t="s">
        <v>1780</v>
      </c>
      <c r="E1369" s="43" t="s">
        <v>1972</v>
      </c>
      <c r="F1369" s="37" t="s">
        <v>1782</v>
      </c>
      <c r="G1369" s="44">
        <v>225</v>
      </c>
      <c r="H1369" s="44">
        <v>1.35</v>
      </c>
      <c r="K1369" s="4" t="e">
        <f>VLOOKUP(A1369,Detallado!$C$5:$H$1570,6,FALSE)</f>
        <v>#N/A</v>
      </c>
    </row>
    <row r="1370" spans="1:11">
      <c r="A1370" s="90">
        <v>127242722135</v>
      </c>
      <c r="B1370" s="1" t="s">
        <v>8</v>
      </c>
      <c r="C1370" s="43" t="s">
        <v>1972</v>
      </c>
      <c r="D1370" s="1" t="s">
        <v>1780</v>
      </c>
      <c r="E1370" s="43" t="s">
        <v>1972</v>
      </c>
      <c r="F1370" s="37" t="s">
        <v>1782</v>
      </c>
      <c r="G1370" s="44">
        <v>13700</v>
      </c>
      <c r="H1370" s="44">
        <v>82.2</v>
      </c>
      <c r="K1370" s="4" t="e">
        <f>VLOOKUP(A1370,Detallado!$C$5:$H$1570,6,FALSE)</f>
        <v>#N/A</v>
      </c>
    </row>
    <row r="1371" spans="1:11">
      <c r="A1371" s="90">
        <v>127241451265</v>
      </c>
      <c r="B1371" s="1" t="s">
        <v>8</v>
      </c>
      <c r="C1371" s="43" t="s">
        <v>1972</v>
      </c>
      <c r="D1371" s="1" t="s">
        <v>1780</v>
      </c>
      <c r="E1371" s="43" t="s">
        <v>1972</v>
      </c>
      <c r="F1371" s="37" t="s">
        <v>1782</v>
      </c>
      <c r="G1371" s="44">
        <v>14800</v>
      </c>
      <c r="H1371" s="44">
        <v>88.8</v>
      </c>
      <c r="K1371" s="4" t="e">
        <f>VLOOKUP(A1371,Detallado!$C$5:$H$1570,6,FALSE)</f>
        <v>#N/A</v>
      </c>
    </row>
    <row r="1372" spans="1:11">
      <c r="A1372" s="90">
        <v>127239890865</v>
      </c>
      <c r="B1372" s="1" t="s">
        <v>8</v>
      </c>
      <c r="C1372" s="43" t="s">
        <v>1972</v>
      </c>
      <c r="D1372" s="1" t="s">
        <v>1780</v>
      </c>
      <c r="E1372" s="43" t="s">
        <v>1972</v>
      </c>
      <c r="F1372" s="37" t="s">
        <v>1782</v>
      </c>
      <c r="G1372" s="44">
        <v>32200</v>
      </c>
      <c r="H1372" s="44">
        <v>193.2</v>
      </c>
      <c r="K1372" s="4" t="e">
        <f>VLOOKUP(A1372,Detallado!$C$5:$H$1570,6,FALSE)</f>
        <v>#N/A</v>
      </c>
    </row>
    <row r="1373" spans="1:11">
      <c r="A1373" s="90">
        <v>127239518551</v>
      </c>
      <c r="B1373" s="1" t="s">
        <v>1790</v>
      </c>
      <c r="C1373" s="43" t="s">
        <v>1972</v>
      </c>
      <c r="D1373" s="1" t="s">
        <v>1780</v>
      </c>
      <c r="E1373" s="43" t="s">
        <v>1972</v>
      </c>
      <c r="F1373" s="37" t="s">
        <v>1782</v>
      </c>
      <c r="G1373" s="44">
        <v>25100</v>
      </c>
      <c r="H1373" s="44">
        <v>150.6</v>
      </c>
      <c r="K1373" s="4" t="e">
        <f>VLOOKUP(A1373,Detallado!$C$5:$H$1570,6,FALSE)</f>
        <v>#N/A</v>
      </c>
    </row>
    <row r="1374" spans="1:11">
      <c r="A1374" s="90">
        <v>127239351455</v>
      </c>
      <c r="B1374" s="1" t="s">
        <v>8</v>
      </c>
      <c r="C1374" s="43" t="s">
        <v>1972</v>
      </c>
      <c r="D1374" s="1" t="s">
        <v>1780</v>
      </c>
      <c r="E1374" s="43" t="s">
        <v>1972</v>
      </c>
      <c r="F1374" s="37" t="s">
        <v>1782</v>
      </c>
      <c r="G1374" s="44">
        <v>22800</v>
      </c>
      <c r="H1374" s="44">
        <v>136.80000000000001</v>
      </c>
      <c r="K1374" s="4" t="e">
        <f>VLOOKUP(A1374,Detallado!$C$5:$H$1570,6,FALSE)</f>
        <v>#N/A</v>
      </c>
    </row>
    <row r="1375" spans="1:11">
      <c r="A1375" s="90">
        <v>127239227751</v>
      </c>
      <c r="B1375" s="1" t="s">
        <v>1790</v>
      </c>
      <c r="C1375" s="43" t="s">
        <v>1972</v>
      </c>
      <c r="D1375" s="1" t="s">
        <v>1780</v>
      </c>
      <c r="E1375" s="43" t="s">
        <v>1972</v>
      </c>
      <c r="F1375" s="37" t="s">
        <v>1782</v>
      </c>
      <c r="G1375" s="44">
        <v>23200</v>
      </c>
      <c r="H1375" s="44">
        <v>139.19999999999999</v>
      </c>
      <c r="K1375" s="4" t="e">
        <f>VLOOKUP(A1375,Detallado!$C$5:$H$1570,6,FALSE)</f>
        <v>#N/A</v>
      </c>
    </row>
    <row r="1376" spans="1:11">
      <c r="A1376" s="90">
        <v>127238466519</v>
      </c>
      <c r="B1376" s="1" t="s">
        <v>8</v>
      </c>
      <c r="C1376" s="43" t="s">
        <v>1972</v>
      </c>
      <c r="D1376" s="1" t="s">
        <v>1780</v>
      </c>
      <c r="E1376" s="43" t="s">
        <v>1972</v>
      </c>
      <c r="F1376" s="37" t="s">
        <v>1782</v>
      </c>
      <c r="G1376" s="44">
        <v>34000</v>
      </c>
      <c r="H1376" s="44">
        <v>204</v>
      </c>
      <c r="K1376" s="4" t="e">
        <f>VLOOKUP(A1376,Detallado!$C$5:$H$1570,6,FALSE)</f>
        <v>#N/A</v>
      </c>
    </row>
    <row r="1377" spans="1:11">
      <c r="A1377" s="90">
        <v>127238351915</v>
      </c>
      <c r="B1377" s="1" t="s">
        <v>8</v>
      </c>
      <c r="C1377" s="43" t="s">
        <v>1972</v>
      </c>
      <c r="D1377" s="1" t="s">
        <v>1780</v>
      </c>
      <c r="E1377" s="43" t="s">
        <v>1972</v>
      </c>
      <c r="F1377" s="37" t="s">
        <v>1782</v>
      </c>
      <c r="G1377" s="44">
        <v>34000</v>
      </c>
      <c r="H1377" s="44">
        <v>204</v>
      </c>
      <c r="K1377" s="4" t="e">
        <f>VLOOKUP(A1377,Detallado!$C$5:$H$1570,6,FALSE)</f>
        <v>#N/A</v>
      </c>
    </row>
    <row r="1378" spans="1:11">
      <c r="A1378" s="90">
        <v>127234704203</v>
      </c>
      <c r="B1378" s="1" t="s">
        <v>8</v>
      </c>
      <c r="C1378" s="43" t="s">
        <v>1972</v>
      </c>
      <c r="D1378" s="1" t="s">
        <v>1780</v>
      </c>
      <c r="E1378" s="43" t="s">
        <v>1972</v>
      </c>
      <c r="F1378" s="37" t="s">
        <v>1782</v>
      </c>
      <c r="G1378" s="44">
        <v>27400</v>
      </c>
      <c r="H1378" s="44">
        <v>164.4</v>
      </c>
      <c r="K1378" s="4" t="e">
        <f>VLOOKUP(A1378,Detallado!$C$5:$H$1570,6,FALSE)</f>
        <v>#N/A</v>
      </c>
    </row>
    <row r="1379" spans="1:11">
      <c r="A1379" s="90">
        <v>127234688415</v>
      </c>
      <c r="B1379" s="1" t="s">
        <v>1979</v>
      </c>
      <c r="C1379" s="43" t="s">
        <v>1972</v>
      </c>
      <c r="D1379" s="1" t="s">
        <v>1780</v>
      </c>
      <c r="E1379" s="43" t="s">
        <v>1972</v>
      </c>
      <c r="F1379" s="37" t="s">
        <v>1782</v>
      </c>
      <c r="G1379" s="44">
        <v>2740</v>
      </c>
      <c r="H1379" s="44">
        <v>16.440000000000001</v>
      </c>
      <c r="K1379" s="4" t="e">
        <f>VLOOKUP(A1379,Detallado!$C$5:$H$1570,6,FALSE)</f>
        <v>#N/A</v>
      </c>
    </row>
    <row r="1380" spans="1:11">
      <c r="A1380" s="90">
        <v>127234256045</v>
      </c>
      <c r="B1380" s="1" t="s">
        <v>1790</v>
      </c>
      <c r="C1380" s="43" t="s">
        <v>1972</v>
      </c>
      <c r="D1380" s="1" t="s">
        <v>1780</v>
      </c>
      <c r="E1380" s="43" t="s">
        <v>1972</v>
      </c>
      <c r="F1380" s="37" t="s">
        <v>1782</v>
      </c>
      <c r="G1380" s="44">
        <v>5700</v>
      </c>
      <c r="H1380" s="44">
        <v>34.200000000000003</v>
      </c>
      <c r="K1380" s="4" t="e">
        <f>VLOOKUP(A1380,Detallado!$C$5:$H$1570,6,FALSE)</f>
        <v>#N/A</v>
      </c>
    </row>
    <row r="1381" spans="1:11">
      <c r="A1381" s="90">
        <v>127233936785</v>
      </c>
      <c r="B1381" s="1" t="s">
        <v>1790</v>
      </c>
      <c r="C1381" s="43" t="s">
        <v>1972</v>
      </c>
      <c r="D1381" s="1" t="s">
        <v>1780</v>
      </c>
      <c r="E1381" s="43" t="s">
        <v>1972</v>
      </c>
      <c r="F1381" s="37" t="s">
        <v>1782</v>
      </c>
      <c r="G1381" s="44">
        <v>9000</v>
      </c>
      <c r="H1381" s="44">
        <v>54</v>
      </c>
      <c r="K1381" s="4" t="e">
        <f>VLOOKUP(A1381,Detallado!$C$5:$H$1570,6,FALSE)</f>
        <v>#N/A</v>
      </c>
    </row>
    <row r="1382" spans="1:11">
      <c r="A1382" s="90">
        <v>127233151759</v>
      </c>
      <c r="B1382" s="1" t="s">
        <v>8</v>
      </c>
      <c r="C1382" s="43" t="s">
        <v>1972</v>
      </c>
      <c r="D1382" s="1" t="s">
        <v>1780</v>
      </c>
      <c r="E1382" s="43" t="s">
        <v>1972</v>
      </c>
      <c r="F1382" s="37" t="s">
        <v>1782</v>
      </c>
      <c r="G1382" s="44">
        <v>5500</v>
      </c>
      <c r="H1382" s="44">
        <v>33</v>
      </c>
      <c r="K1382" s="4" t="e">
        <f>VLOOKUP(A1382,Detallado!$C$5:$H$1570,6,FALSE)</f>
        <v>#N/A</v>
      </c>
    </row>
    <row r="1383" spans="1:11">
      <c r="A1383" s="90">
        <v>127231821275</v>
      </c>
      <c r="B1383" s="1" t="s">
        <v>8</v>
      </c>
      <c r="C1383" s="43" t="s">
        <v>1972</v>
      </c>
      <c r="D1383" s="1" t="s">
        <v>1780</v>
      </c>
      <c r="E1383" s="43" t="s">
        <v>1972</v>
      </c>
      <c r="F1383" s="37" t="s">
        <v>1782</v>
      </c>
      <c r="G1383" s="44">
        <v>4700</v>
      </c>
      <c r="H1383" s="44">
        <v>28.2</v>
      </c>
      <c r="K1383" s="4" t="e">
        <f>VLOOKUP(A1383,Detallado!$C$5:$H$1570,6,FALSE)</f>
        <v>#N/A</v>
      </c>
    </row>
    <row r="1384" spans="1:11">
      <c r="A1384" s="90">
        <v>127229216263</v>
      </c>
      <c r="B1384" s="1" t="s">
        <v>8</v>
      </c>
      <c r="C1384" s="43" t="s">
        <v>1972</v>
      </c>
      <c r="D1384" s="1" t="s">
        <v>1780</v>
      </c>
      <c r="E1384" s="43" t="s">
        <v>1972</v>
      </c>
      <c r="F1384" s="37" t="s">
        <v>1782</v>
      </c>
      <c r="G1384" s="44">
        <v>16500</v>
      </c>
      <c r="H1384" s="44">
        <v>99</v>
      </c>
      <c r="K1384" s="4" t="e">
        <f>VLOOKUP(A1384,Detallado!$C$5:$H$1570,6,FALSE)</f>
        <v>#N/A</v>
      </c>
    </row>
    <row r="1385" spans="1:11">
      <c r="A1385" s="90">
        <v>127228416533</v>
      </c>
      <c r="B1385" s="1" t="s">
        <v>8</v>
      </c>
      <c r="C1385" s="43" t="s">
        <v>1972</v>
      </c>
      <c r="D1385" s="1" t="s">
        <v>1780</v>
      </c>
      <c r="E1385" s="43" t="s">
        <v>1972</v>
      </c>
      <c r="F1385" s="37" t="s">
        <v>1782</v>
      </c>
      <c r="G1385" s="44">
        <v>25200</v>
      </c>
      <c r="H1385" s="44">
        <v>151.19999999999999</v>
      </c>
      <c r="K1385" s="4" t="e">
        <f>VLOOKUP(A1385,Detallado!$C$5:$H$1570,6,FALSE)</f>
        <v>#N/A</v>
      </c>
    </row>
    <row r="1386" spans="1:11">
      <c r="A1386" s="90">
        <v>127228393663</v>
      </c>
      <c r="B1386" s="1" t="s">
        <v>8</v>
      </c>
      <c r="C1386" s="43" t="s">
        <v>1972</v>
      </c>
      <c r="D1386" s="1" t="s">
        <v>1780</v>
      </c>
      <c r="E1386" s="43" t="s">
        <v>1972</v>
      </c>
      <c r="F1386" s="37" t="s">
        <v>1782</v>
      </c>
      <c r="G1386" s="44">
        <v>9400</v>
      </c>
      <c r="H1386" s="44">
        <v>56.4</v>
      </c>
      <c r="K1386" s="4" t="e">
        <f>VLOOKUP(A1386,Detallado!$C$5:$H$1570,6,FALSE)</f>
        <v>#N/A</v>
      </c>
    </row>
    <row r="1387" spans="1:11">
      <c r="A1387" s="90">
        <v>127226319261</v>
      </c>
      <c r="B1387" s="1" t="s">
        <v>1980</v>
      </c>
      <c r="C1387" s="43" t="s">
        <v>1972</v>
      </c>
      <c r="D1387" s="1" t="s">
        <v>1780</v>
      </c>
      <c r="E1387" s="43" t="s">
        <v>1972</v>
      </c>
      <c r="F1387" s="37" t="s">
        <v>1782</v>
      </c>
      <c r="G1387" s="44">
        <v>800</v>
      </c>
      <c r="H1387" s="44">
        <v>4.8</v>
      </c>
      <c r="K1387" s="4" t="e">
        <f>VLOOKUP(A1387,Detallado!$C$5:$H$1570,6,FALSE)</f>
        <v>#N/A</v>
      </c>
    </row>
    <row r="1388" spans="1:11">
      <c r="A1388" s="90">
        <v>127220230833</v>
      </c>
      <c r="B1388" s="1" t="s">
        <v>8</v>
      </c>
      <c r="C1388" s="43" t="s">
        <v>1972</v>
      </c>
      <c r="D1388" s="1" t="s">
        <v>1780</v>
      </c>
      <c r="E1388" s="43" t="s">
        <v>1972</v>
      </c>
      <c r="F1388" s="37" t="s">
        <v>1782</v>
      </c>
      <c r="G1388" s="44">
        <v>5500</v>
      </c>
      <c r="H1388" s="44">
        <v>33</v>
      </c>
      <c r="K1388" s="4" t="e">
        <f>VLOOKUP(A1388,Detallado!$C$5:$H$1570,6,FALSE)</f>
        <v>#N/A</v>
      </c>
    </row>
    <row r="1389" spans="1:11">
      <c r="A1389" s="90">
        <v>127145410663</v>
      </c>
      <c r="B1389" s="1" t="s">
        <v>1790</v>
      </c>
      <c r="C1389" s="43" t="s">
        <v>1972</v>
      </c>
      <c r="D1389" s="1" t="s">
        <v>1780</v>
      </c>
      <c r="E1389" s="43" t="s">
        <v>1972</v>
      </c>
      <c r="F1389" s="37" t="s">
        <v>1782</v>
      </c>
      <c r="G1389" s="44">
        <v>135200</v>
      </c>
      <c r="H1389" s="44">
        <v>811.2</v>
      </c>
      <c r="K1389" s="4" t="e">
        <f>VLOOKUP(A1389,Detallado!$C$5:$H$1570,6,FALSE)</f>
        <v>#N/A</v>
      </c>
    </row>
    <row r="1390" spans="1:11">
      <c r="A1390" s="90">
        <v>127145306205</v>
      </c>
      <c r="B1390" s="1" t="s">
        <v>1790</v>
      </c>
      <c r="C1390" s="43" t="s">
        <v>1972</v>
      </c>
      <c r="D1390" s="1" t="s">
        <v>1780</v>
      </c>
      <c r="E1390" s="43" t="s">
        <v>1972</v>
      </c>
      <c r="F1390" s="37" t="s">
        <v>1782</v>
      </c>
      <c r="G1390" s="44">
        <v>27900</v>
      </c>
      <c r="H1390" s="44">
        <v>167.4</v>
      </c>
      <c r="K1390" s="4" t="e">
        <f>VLOOKUP(A1390,Detallado!$C$5:$H$1570,6,FALSE)</f>
        <v>#N/A</v>
      </c>
    </row>
    <row r="1391" spans="1:11">
      <c r="A1391" s="90">
        <v>127145169313</v>
      </c>
      <c r="B1391" s="1" t="s">
        <v>8</v>
      </c>
      <c r="C1391" s="43" t="s">
        <v>1972</v>
      </c>
      <c r="D1391" s="1" t="s">
        <v>1780</v>
      </c>
      <c r="E1391" s="43" t="s">
        <v>1972</v>
      </c>
      <c r="F1391" s="37" t="s">
        <v>1782</v>
      </c>
      <c r="G1391" s="44">
        <v>10300</v>
      </c>
      <c r="H1391" s="44">
        <v>61.8</v>
      </c>
      <c r="K1391" s="4" t="e">
        <f>VLOOKUP(A1391,Detallado!$C$5:$H$1570,6,FALSE)</f>
        <v>#N/A</v>
      </c>
    </row>
    <row r="1392" spans="1:11">
      <c r="A1392" s="90">
        <v>127145157389</v>
      </c>
      <c r="B1392" s="1" t="s">
        <v>1977</v>
      </c>
      <c r="C1392" s="43" t="s">
        <v>1972</v>
      </c>
      <c r="D1392" s="1" t="s">
        <v>1780</v>
      </c>
      <c r="E1392" s="43" t="s">
        <v>1972</v>
      </c>
      <c r="F1392" s="37" t="s">
        <v>1782</v>
      </c>
      <c r="G1392" s="44">
        <v>515</v>
      </c>
      <c r="H1392" s="44">
        <v>3.09</v>
      </c>
      <c r="K1392" s="4" t="e">
        <f>VLOOKUP(A1392,Detallado!$C$5:$H$1570,6,FALSE)</f>
        <v>#N/A</v>
      </c>
    </row>
    <row r="1393" spans="1:17">
      <c r="A1393" s="90">
        <v>127144733153</v>
      </c>
      <c r="B1393" s="1" t="s">
        <v>8</v>
      </c>
      <c r="C1393" s="43" t="s">
        <v>1972</v>
      </c>
      <c r="D1393" s="1" t="s">
        <v>1780</v>
      </c>
      <c r="E1393" s="43" t="s">
        <v>1972</v>
      </c>
      <c r="F1393" s="37" t="s">
        <v>1782</v>
      </c>
      <c r="G1393" s="44">
        <v>10800</v>
      </c>
      <c r="H1393" s="44">
        <v>64.8</v>
      </c>
      <c r="K1393" s="4" t="e">
        <f>VLOOKUP(A1393,Detallado!$C$5:$H$1570,6,FALSE)</f>
        <v>#N/A</v>
      </c>
    </row>
    <row r="1394" spans="1:17">
      <c r="A1394" s="90">
        <v>127144500403</v>
      </c>
      <c r="B1394" s="1" t="s">
        <v>1974</v>
      </c>
      <c r="C1394" s="43" t="s">
        <v>1972</v>
      </c>
      <c r="D1394" s="1" t="s">
        <v>1780</v>
      </c>
      <c r="E1394" s="43" t="s">
        <v>1972</v>
      </c>
      <c r="F1394" s="37" t="s">
        <v>1782</v>
      </c>
      <c r="G1394" s="44">
        <v>2790</v>
      </c>
      <c r="H1394" s="44">
        <v>16.739999999999998</v>
      </c>
      <c r="K1394" s="4" t="e">
        <f>VLOOKUP(A1394,Detallado!$C$5:$H$1570,6,FALSE)</f>
        <v>#N/A</v>
      </c>
    </row>
    <row r="1395" spans="1:17">
      <c r="A1395" s="90">
        <v>127144478587</v>
      </c>
      <c r="B1395" s="1" t="s">
        <v>8</v>
      </c>
      <c r="C1395" s="43" t="s">
        <v>1972</v>
      </c>
      <c r="D1395" s="1" t="s">
        <v>1780</v>
      </c>
      <c r="E1395" s="43" t="s">
        <v>1972</v>
      </c>
      <c r="F1395" s="37" t="s">
        <v>1782</v>
      </c>
      <c r="G1395" s="44">
        <v>55800</v>
      </c>
      <c r="H1395" s="44">
        <v>334.8</v>
      </c>
      <c r="K1395" s="4" t="e">
        <f>VLOOKUP(A1395,Detallado!$C$5:$H$1570,6,FALSE)</f>
        <v>#N/A</v>
      </c>
    </row>
    <row r="1396" spans="1:17">
      <c r="A1396" s="90">
        <v>127144387259</v>
      </c>
      <c r="B1396" s="1" t="s">
        <v>8</v>
      </c>
      <c r="C1396" s="43" t="s">
        <v>1972</v>
      </c>
      <c r="D1396" s="1" t="s">
        <v>1780</v>
      </c>
      <c r="E1396" s="43" t="s">
        <v>1972</v>
      </c>
      <c r="F1396" s="37" t="s">
        <v>1782</v>
      </c>
      <c r="G1396" s="44">
        <v>15800</v>
      </c>
      <c r="H1396" s="44">
        <v>94.8</v>
      </c>
      <c r="K1396" s="4" t="e">
        <f>VLOOKUP(A1396,Detallado!$C$5:$H$1570,6,FALSE)</f>
        <v>#N/A</v>
      </c>
    </row>
    <row r="1397" spans="1:17">
      <c r="A1397" s="90">
        <v>127143969217</v>
      </c>
      <c r="B1397" s="1" t="s">
        <v>1790</v>
      </c>
      <c r="C1397" s="43" t="s">
        <v>1972</v>
      </c>
      <c r="D1397" s="1" t="s">
        <v>1780</v>
      </c>
      <c r="E1397" s="43" t="s">
        <v>1972</v>
      </c>
      <c r="F1397" s="37" t="s">
        <v>1782</v>
      </c>
      <c r="G1397" s="44">
        <v>28600</v>
      </c>
      <c r="H1397" s="44">
        <v>171.6</v>
      </c>
      <c r="K1397" s="4" t="e">
        <f>VLOOKUP(A1397,Detallado!$C$5:$H$1570,6,FALSE)</f>
        <v>#N/A</v>
      </c>
    </row>
    <row r="1398" spans="1:17">
      <c r="A1398" s="90">
        <v>127143767515</v>
      </c>
      <c r="B1398" s="1" t="s">
        <v>8</v>
      </c>
      <c r="C1398" s="43" t="s">
        <v>1972</v>
      </c>
      <c r="D1398" s="1" t="s">
        <v>1780</v>
      </c>
      <c r="E1398" s="43" t="s">
        <v>1972</v>
      </c>
      <c r="F1398" s="37" t="s">
        <v>1782</v>
      </c>
      <c r="G1398" s="44">
        <v>6200</v>
      </c>
      <c r="H1398" s="44">
        <v>37.200000000000003</v>
      </c>
      <c r="K1398" s="4" t="e">
        <f>VLOOKUP(A1398,Detallado!$C$5:$H$1570,6,FALSE)</f>
        <v>#N/A</v>
      </c>
    </row>
    <row r="1399" spans="1:17">
      <c r="A1399" s="90">
        <v>127143653663</v>
      </c>
      <c r="B1399" s="1" t="s">
        <v>1976</v>
      </c>
      <c r="C1399" s="43" t="s">
        <v>1972</v>
      </c>
      <c r="D1399" s="1" t="s">
        <v>1780</v>
      </c>
      <c r="E1399" s="43" t="s">
        <v>1972</v>
      </c>
      <c r="F1399" s="37" t="s">
        <v>1782</v>
      </c>
      <c r="G1399" s="44">
        <v>9435</v>
      </c>
      <c r="H1399" s="44">
        <v>56.61</v>
      </c>
      <c r="K1399" s="4" t="e">
        <f>VLOOKUP(A1399,Detallado!$C$5:$H$1570,6,FALSE)</f>
        <v>#N/A</v>
      </c>
    </row>
    <row r="1400" spans="1:17">
      <c r="A1400" s="90">
        <v>127142975449</v>
      </c>
      <c r="B1400" s="1" t="s">
        <v>1975</v>
      </c>
      <c r="C1400" s="43" t="s">
        <v>1972</v>
      </c>
      <c r="D1400" s="1" t="s">
        <v>1780</v>
      </c>
      <c r="E1400" s="43" t="s">
        <v>1972</v>
      </c>
      <c r="F1400" s="37" t="s">
        <v>1782</v>
      </c>
      <c r="G1400" s="44">
        <v>1935</v>
      </c>
      <c r="H1400" s="44">
        <v>11.61</v>
      </c>
      <c r="K1400" s="4" t="e">
        <f>VLOOKUP(A1400,Detallado!$C$5:$H$1570,6,FALSE)</f>
        <v>#N/A</v>
      </c>
    </row>
    <row r="1401" spans="1:17">
      <c r="A1401" s="90">
        <v>127142483797</v>
      </c>
      <c r="B1401" s="1" t="s">
        <v>8</v>
      </c>
      <c r="C1401" s="43" t="s">
        <v>1972</v>
      </c>
      <c r="D1401" s="1" t="s">
        <v>1780</v>
      </c>
      <c r="E1401" s="43" t="s">
        <v>1972</v>
      </c>
      <c r="F1401" s="37" t="s">
        <v>1782</v>
      </c>
      <c r="G1401" s="44">
        <v>42000</v>
      </c>
      <c r="H1401" s="44">
        <v>252</v>
      </c>
      <c r="K1401" s="4" t="e">
        <f>VLOOKUP(A1401,Detallado!$C$5:$H$1570,6,FALSE)</f>
        <v>#N/A</v>
      </c>
    </row>
    <row r="1402" spans="1:17">
      <c r="A1402" s="90">
        <v>127142199177</v>
      </c>
      <c r="B1402" s="1" t="s">
        <v>8</v>
      </c>
      <c r="C1402" s="43" t="s">
        <v>1972</v>
      </c>
      <c r="D1402" s="1" t="s">
        <v>1780</v>
      </c>
      <c r="E1402" s="43" t="s">
        <v>1972</v>
      </c>
      <c r="F1402" s="37" t="s">
        <v>1782</v>
      </c>
      <c r="G1402" s="44">
        <v>38600</v>
      </c>
      <c r="H1402" s="44">
        <v>231.6</v>
      </c>
      <c r="K1402" s="4" t="e">
        <f>VLOOKUP(A1402,Detallado!$C$5:$H$1570,6,FALSE)</f>
        <v>#N/A</v>
      </c>
    </row>
    <row r="1403" spans="1:17">
      <c r="A1403" s="90">
        <v>127142183777</v>
      </c>
      <c r="B1403" s="1" t="s">
        <v>8</v>
      </c>
      <c r="C1403" s="43" t="s">
        <v>1972</v>
      </c>
      <c r="D1403" s="1" t="s">
        <v>1780</v>
      </c>
      <c r="E1403" s="43" t="s">
        <v>1972</v>
      </c>
      <c r="F1403" s="37" t="s">
        <v>1782</v>
      </c>
      <c r="G1403" s="44">
        <v>8800</v>
      </c>
      <c r="H1403" s="44">
        <v>52.8</v>
      </c>
      <c r="K1403" s="4" t="e">
        <f>VLOOKUP(A1403,Detallado!$C$5:$H$1570,6,FALSE)</f>
        <v>#N/A</v>
      </c>
    </row>
    <row r="1404" spans="1:17">
      <c r="A1404" s="90">
        <v>127163022479</v>
      </c>
      <c r="B1404" s="1" t="s">
        <v>8</v>
      </c>
      <c r="C1404" s="43" t="s">
        <v>1972</v>
      </c>
      <c r="D1404" s="1" t="s">
        <v>1780</v>
      </c>
      <c r="E1404" s="43" t="s">
        <v>1972</v>
      </c>
      <c r="F1404" s="37" t="s">
        <v>1782</v>
      </c>
      <c r="G1404" s="44">
        <v>36365.769999999997</v>
      </c>
      <c r="H1404" s="77">
        <v>218.19</v>
      </c>
      <c r="K1404" s="27" t="e">
        <f>VLOOKUP(A1404,Detallado!$C$5:$H$1570,6,FALSE)</f>
        <v>#N/A</v>
      </c>
      <c r="M1404" s="4">
        <v>-216.89326043737674</v>
      </c>
      <c r="N1404" s="66" t="e">
        <f>+K1404-M1404</f>
        <v>#N/A</v>
      </c>
      <c r="O1404" s="1" t="s">
        <v>1481</v>
      </c>
      <c r="P1404" s="1">
        <f>+E1404-O1404</f>
        <v>0</v>
      </c>
    </row>
    <row r="1405" spans="1:17">
      <c r="A1405" s="90">
        <v>127161961407</v>
      </c>
      <c r="B1405" s="1" t="s">
        <v>8</v>
      </c>
      <c r="C1405" s="43" t="s">
        <v>1972</v>
      </c>
      <c r="D1405" s="1" t="s">
        <v>1780</v>
      </c>
      <c r="E1405" s="43" t="s">
        <v>1972</v>
      </c>
      <c r="F1405" s="37" t="s">
        <v>1782</v>
      </c>
      <c r="G1405" s="44">
        <v>64624.39</v>
      </c>
      <c r="H1405" s="77">
        <v>387.75</v>
      </c>
      <c r="K1405" s="27" t="e">
        <f>VLOOKUP(A1405,Detallado!$C$5:$H$1570,6,FALSE)</f>
        <v>#N/A</v>
      </c>
      <c r="M1405" s="4">
        <v>-385.43373757455265</v>
      </c>
      <c r="N1405" s="66" t="e">
        <f>+K1405-M1405</f>
        <v>#N/A</v>
      </c>
      <c r="O1405" s="1" t="s">
        <v>1481</v>
      </c>
      <c r="P1405" s="1">
        <f>+E1405-O1405</f>
        <v>0</v>
      </c>
    </row>
    <row r="1406" spans="1:17">
      <c r="A1406" s="90">
        <v>127724094526</v>
      </c>
      <c r="B1406" s="1" t="s">
        <v>8</v>
      </c>
      <c r="C1406" s="43" t="s">
        <v>1972</v>
      </c>
      <c r="D1406" s="1" t="s">
        <v>1780</v>
      </c>
      <c r="E1406" s="43" t="s">
        <v>1972</v>
      </c>
      <c r="F1406" s="37" t="s">
        <v>1782</v>
      </c>
      <c r="G1406" s="44">
        <v>188107.92</v>
      </c>
      <c r="H1406" s="77">
        <v>1128.6500000000001</v>
      </c>
      <c r="K1406" s="27" t="e">
        <f>VLOOKUP(A1406,Detallado!$C$5:$H$1570,6,FALSE)</f>
        <v>#N/A</v>
      </c>
      <c r="M1406" s="4">
        <v>-1121.9160238568729</v>
      </c>
      <c r="N1406" s="66" t="e">
        <f>+K1406-M1406</f>
        <v>#N/A</v>
      </c>
      <c r="O1406" s="1" t="s">
        <v>1481</v>
      </c>
      <c r="P1406" s="1">
        <f>+E1406-O1406</f>
        <v>0</v>
      </c>
    </row>
    <row r="1407" spans="1:17">
      <c r="A1407" s="90">
        <v>127162354947</v>
      </c>
      <c r="B1407" s="1" t="s">
        <v>8</v>
      </c>
      <c r="C1407" s="43" t="s">
        <v>1972</v>
      </c>
      <c r="D1407" s="1" t="s">
        <v>1780</v>
      </c>
      <c r="E1407" s="43" t="s">
        <v>1972</v>
      </c>
      <c r="F1407" s="37" t="s">
        <v>1782</v>
      </c>
      <c r="G1407" s="44">
        <v>206059.47</v>
      </c>
      <c r="H1407" s="77">
        <v>1236.3599999999999</v>
      </c>
      <c r="K1407" s="27" t="e">
        <f>VLOOKUP(A1407,Detallado!$C$5:$H$1570,6,FALSE)</f>
        <v>#N/A</v>
      </c>
      <c r="M1407" s="4">
        <v>-1228.9829224652203</v>
      </c>
      <c r="N1407" s="66" t="e">
        <f>+K1407-M1407</f>
        <v>#N/A</v>
      </c>
      <c r="O1407" s="1" t="s">
        <v>1481</v>
      </c>
      <c r="P1407" s="1">
        <f>+E1407-O1407</f>
        <v>0</v>
      </c>
    </row>
    <row r="1408" spans="1:17">
      <c r="A1408" s="90">
        <v>127810531122</v>
      </c>
      <c r="B1408" s="1" t="s">
        <v>8</v>
      </c>
      <c r="C1408" s="43" t="s">
        <v>1972</v>
      </c>
      <c r="D1408" s="1" t="s">
        <v>1780</v>
      </c>
      <c r="E1408" s="43" t="s">
        <v>1982</v>
      </c>
      <c r="F1408" s="37" t="s">
        <v>1782</v>
      </c>
      <c r="G1408" s="44">
        <v>7000</v>
      </c>
      <c r="H1408" s="44">
        <v>42</v>
      </c>
      <c r="K1408" s="4" t="e">
        <f>VLOOKUP(A1408,Detallado!$C$5:$H$1570,6,FALSE)</f>
        <v>#N/A</v>
      </c>
      <c r="L1408" s="35"/>
      <c r="M1408" s="35"/>
      <c r="N1408" s="35"/>
      <c r="O1408" s="35"/>
      <c r="P1408" s="35"/>
      <c r="Q1408" s="35"/>
    </row>
    <row r="1409" spans="1:17">
      <c r="A1409" s="90">
        <v>127810283682</v>
      </c>
      <c r="B1409" s="1" t="s">
        <v>8</v>
      </c>
      <c r="C1409" s="43" t="s">
        <v>1972</v>
      </c>
      <c r="D1409" s="1" t="s">
        <v>1780</v>
      </c>
      <c r="E1409" s="43" t="s">
        <v>1982</v>
      </c>
      <c r="F1409" s="37" t="s">
        <v>1782</v>
      </c>
      <c r="G1409" s="44">
        <v>6900</v>
      </c>
      <c r="H1409" s="44">
        <v>41.4</v>
      </c>
      <c r="K1409" s="4" t="e">
        <f>VLOOKUP(A1409,Detallado!$C$5:$H$1570,6,FALSE)</f>
        <v>#N/A</v>
      </c>
      <c r="L1409" s="35"/>
      <c r="M1409" s="35"/>
      <c r="N1409" s="35"/>
      <c r="O1409" s="35"/>
      <c r="P1409" s="35"/>
      <c r="Q1409" s="35"/>
    </row>
    <row r="1410" spans="1:17">
      <c r="A1410" s="90">
        <v>127810129960</v>
      </c>
      <c r="B1410" s="1" t="s">
        <v>8</v>
      </c>
      <c r="C1410" s="43" t="s">
        <v>1972</v>
      </c>
      <c r="D1410" s="1" t="s">
        <v>1780</v>
      </c>
      <c r="E1410" s="43" t="s">
        <v>1982</v>
      </c>
      <c r="F1410" s="37" t="s">
        <v>1782</v>
      </c>
      <c r="G1410" s="44">
        <v>4500</v>
      </c>
      <c r="H1410" s="44">
        <v>27</v>
      </c>
      <c r="K1410" s="4" t="e">
        <f>VLOOKUP(A1410,Detallado!$C$5:$H$1570,6,FALSE)</f>
        <v>#N/A</v>
      </c>
      <c r="L1410" s="35"/>
      <c r="M1410" s="35"/>
      <c r="N1410" s="35"/>
      <c r="O1410" s="35"/>
      <c r="P1410" s="35"/>
      <c r="Q1410" s="35"/>
    </row>
    <row r="1411" spans="1:17">
      <c r="A1411" s="90">
        <v>127809918652</v>
      </c>
      <c r="B1411" s="1" t="s">
        <v>1790</v>
      </c>
      <c r="C1411" s="43" t="s">
        <v>1972</v>
      </c>
      <c r="D1411" s="1" t="s">
        <v>1780</v>
      </c>
      <c r="E1411" s="43" t="s">
        <v>1982</v>
      </c>
      <c r="F1411" s="37" t="s">
        <v>1782</v>
      </c>
      <c r="G1411" s="44">
        <v>69700</v>
      </c>
      <c r="H1411" s="44">
        <v>418.2</v>
      </c>
      <c r="K1411" s="4" t="e">
        <f>VLOOKUP(A1411,Detallado!$C$5:$H$1570,6,FALSE)</f>
        <v>#N/A</v>
      </c>
      <c r="L1411" s="35"/>
      <c r="M1411" s="35"/>
      <c r="N1411" s="35"/>
      <c r="O1411" s="35"/>
      <c r="P1411" s="35"/>
      <c r="Q1411" s="35"/>
    </row>
    <row r="1412" spans="1:17">
      <c r="A1412" s="90">
        <v>127809109126</v>
      </c>
      <c r="B1412" s="1" t="s">
        <v>1790</v>
      </c>
      <c r="C1412" s="43" t="s">
        <v>1972</v>
      </c>
      <c r="D1412" s="1" t="s">
        <v>1780</v>
      </c>
      <c r="E1412" s="43" t="s">
        <v>1982</v>
      </c>
      <c r="F1412" s="37" t="s">
        <v>1782</v>
      </c>
      <c r="G1412" s="44">
        <v>46800</v>
      </c>
      <c r="H1412" s="44">
        <v>280.8</v>
      </c>
      <c r="K1412" s="4" t="e">
        <f>VLOOKUP(A1412,Detallado!$C$5:$H$1570,6,FALSE)</f>
        <v>#N/A</v>
      </c>
      <c r="L1412" s="35"/>
      <c r="M1412" s="35"/>
      <c r="N1412" s="35"/>
      <c r="O1412" s="35"/>
      <c r="P1412" s="35"/>
      <c r="Q1412" s="35"/>
    </row>
    <row r="1413" spans="1:17">
      <c r="A1413" s="90">
        <v>127808394028</v>
      </c>
      <c r="B1413" s="1" t="s">
        <v>8</v>
      </c>
      <c r="C1413" s="43" t="s">
        <v>1972</v>
      </c>
      <c r="D1413" s="1" t="s">
        <v>1780</v>
      </c>
      <c r="E1413" s="43" t="s">
        <v>1982</v>
      </c>
      <c r="F1413" s="37" t="s">
        <v>1782</v>
      </c>
      <c r="G1413" s="44">
        <v>60800</v>
      </c>
      <c r="H1413" s="44">
        <v>364.8</v>
      </c>
      <c r="K1413" s="4" t="e">
        <f>VLOOKUP(A1413,Detallado!$C$5:$H$1570,6,FALSE)</f>
        <v>#N/A</v>
      </c>
      <c r="L1413" s="35"/>
      <c r="M1413" s="35"/>
      <c r="N1413" s="35"/>
      <c r="O1413" s="35"/>
      <c r="P1413" s="35"/>
      <c r="Q1413" s="35"/>
    </row>
    <row r="1414" spans="1:17">
      <c r="A1414" s="90">
        <v>127807611922</v>
      </c>
      <c r="B1414" s="1" t="s">
        <v>8</v>
      </c>
      <c r="C1414" s="43" t="s">
        <v>1972</v>
      </c>
      <c r="D1414" s="1" t="s">
        <v>1780</v>
      </c>
      <c r="E1414" s="43" t="s">
        <v>1982</v>
      </c>
      <c r="F1414" s="37" t="s">
        <v>1782</v>
      </c>
      <c r="G1414" s="44">
        <v>39800</v>
      </c>
      <c r="H1414" s="44">
        <v>238.8</v>
      </c>
      <c r="K1414" s="4" t="e">
        <f>VLOOKUP(A1414,Detallado!$C$5:$H$1570,6,FALSE)</f>
        <v>#N/A</v>
      </c>
      <c r="L1414" s="35"/>
      <c r="M1414" s="35"/>
      <c r="N1414" s="35"/>
      <c r="O1414" s="35"/>
      <c r="P1414" s="35"/>
      <c r="Q1414" s="35"/>
    </row>
    <row r="1415" spans="1:17">
      <c r="A1415" s="90">
        <v>127248587365</v>
      </c>
      <c r="B1415" s="1" t="s">
        <v>1790</v>
      </c>
      <c r="C1415" s="43" t="s">
        <v>1972</v>
      </c>
      <c r="D1415" s="1" t="s">
        <v>1780</v>
      </c>
      <c r="E1415" s="43" t="s">
        <v>1982</v>
      </c>
      <c r="F1415" s="37" t="s">
        <v>1782</v>
      </c>
      <c r="G1415" s="44">
        <v>22600</v>
      </c>
      <c r="H1415" s="44">
        <v>135.6</v>
      </c>
      <c r="K1415" s="4" t="e">
        <f>VLOOKUP(A1415,Detallado!$C$5:$H$1570,6,FALSE)</f>
        <v>#N/A</v>
      </c>
      <c r="L1415" s="35"/>
      <c r="M1415" s="35"/>
      <c r="N1415" s="35"/>
      <c r="O1415" s="35"/>
      <c r="P1415" s="35"/>
      <c r="Q1415" s="35"/>
    </row>
    <row r="1416" spans="1:17">
      <c r="A1416" s="90">
        <v>127248087839</v>
      </c>
      <c r="B1416" s="1" t="s">
        <v>8</v>
      </c>
      <c r="C1416" s="43" t="s">
        <v>1972</v>
      </c>
      <c r="D1416" s="1" t="s">
        <v>1780</v>
      </c>
      <c r="E1416" s="43" t="s">
        <v>1982</v>
      </c>
      <c r="F1416" s="37" t="s">
        <v>1782</v>
      </c>
      <c r="G1416" s="44">
        <v>10600</v>
      </c>
      <c r="H1416" s="44">
        <v>63.6</v>
      </c>
      <c r="K1416" s="4" t="e">
        <f>VLOOKUP(A1416,Detallado!$C$5:$H$1570,6,FALSE)</f>
        <v>#N/A</v>
      </c>
      <c r="L1416" s="35"/>
      <c r="M1416" s="35"/>
      <c r="N1416" s="35"/>
      <c r="O1416" s="35"/>
      <c r="P1416" s="35"/>
      <c r="Q1416" s="35"/>
    </row>
    <row r="1417" spans="1:17">
      <c r="A1417" s="90">
        <v>127247172953</v>
      </c>
      <c r="B1417" s="1" t="s">
        <v>8</v>
      </c>
      <c r="C1417" s="43" t="s">
        <v>1972</v>
      </c>
      <c r="D1417" s="1" t="s">
        <v>1780</v>
      </c>
      <c r="E1417" s="43" t="s">
        <v>1982</v>
      </c>
      <c r="F1417" s="37" t="s">
        <v>1782</v>
      </c>
      <c r="G1417" s="44">
        <v>5000</v>
      </c>
      <c r="H1417" s="44">
        <v>30</v>
      </c>
      <c r="K1417" s="4" t="e">
        <f>VLOOKUP(A1417,Detallado!$C$5:$H$1570,6,FALSE)</f>
        <v>#N/A</v>
      </c>
      <c r="L1417" s="35"/>
      <c r="M1417" s="35"/>
      <c r="N1417" s="35"/>
      <c r="O1417" s="35"/>
      <c r="P1417" s="35"/>
      <c r="Q1417" s="35"/>
    </row>
    <row r="1418" spans="1:17">
      <c r="A1418" s="90">
        <v>127247017257</v>
      </c>
      <c r="B1418" s="1" t="s">
        <v>1790</v>
      </c>
      <c r="C1418" s="43" t="s">
        <v>1972</v>
      </c>
      <c r="D1418" s="1" t="s">
        <v>1780</v>
      </c>
      <c r="E1418" s="43" t="s">
        <v>1982</v>
      </c>
      <c r="F1418" s="37" t="s">
        <v>1782</v>
      </c>
      <c r="G1418" s="44">
        <v>12600</v>
      </c>
      <c r="H1418" s="44">
        <v>75.599999999999994</v>
      </c>
      <c r="K1418" s="4" t="e">
        <f>VLOOKUP(A1418,Detallado!$C$5:$H$1570,6,FALSE)</f>
        <v>#N/A</v>
      </c>
      <c r="L1418" s="35"/>
      <c r="M1418" s="35"/>
      <c r="N1418" s="35"/>
      <c r="O1418" s="35"/>
      <c r="P1418" s="35"/>
      <c r="Q1418" s="35"/>
    </row>
    <row r="1419" spans="1:17">
      <c r="A1419" s="90">
        <v>127246970897</v>
      </c>
      <c r="B1419" s="1" t="s">
        <v>1790</v>
      </c>
      <c r="C1419" s="43" t="s">
        <v>1972</v>
      </c>
      <c r="D1419" s="1" t="s">
        <v>1780</v>
      </c>
      <c r="E1419" s="43" t="s">
        <v>1982</v>
      </c>
      <c r="F1419" s="37" t="s">
        <v>1782</v>
      </c>
      <c r="G1419" s="44">
        <v>61200</v>
      </c>
      <c r="H1419" s="44">
        <v>367.2</v>
      </c>
      <c r="K1419" s="4" t="e">
        <f>VLOOKUP(A1419,Detallado!$C$5:$H$1570,6,FALSE)</f>
        <v>#N/A</v>
      </c>
      <c r="L1419" s="35"/>
      <c r="M1419" s="35"/>
      <c r="N1419" s="35"/>
      <c r="O1419" s="35"/>
      <c r="P1419" s="35"/>
      <c r="Q1419" s="35"/>
    </row>
    <row r="1420" spans="1:17">
      <c r="A1420" s="90">
        <v>127246949555</v>
      </c>
      <c r="B1420" s="1" t="s">
        <v>1790</v>
      </c>
      <c r="C1420" s="43" t="s">
        <v>1972</v>
      </c>
      <c r="D1420" s="1" t="s">
        <v>1780</v>
      </c>
      <c r="E1420" s="43" t="s">
        <v>1982</v>
      </c>
      <c r="F1420" s="37" t="s">
        <v>1782</v>
      </c>
      <c r="G1420" s="44">
        <v>74800</v>
      </c>
      <c r="H1420" s="44">
        <v>448.8</v>
      </c>
      <c r="K1420" s="4" t="e">
        <f>VLOOKUP(A1420,Detallado!$C$5:$H$1570,6,FALSE)</f>
        <v>#N/A</v>
      </c>
      <c r="L1420" s="35"/>
      <c r="M1420" s="35"/>
      <c r="N1420" s="35"/>
      <c r="O1420" s="35"/>
      <c r="P1420" s="35"/>
      <c r="Q1420" s="35"/>
    </row>
    <row r="1421" spans="1:17">
      <c r="A1421" s="90">
        <v>127246033175</v>
      </c>
      <c r="B1421" s="1" t="s">
        <v>1790</v>
      </c>
      <c r="C1421" s="43" t="s">
        <v>1972</v>
      </c>
      <c r="D1421" s="1" t="s">
        <v>1780</v>
      </c>
      <c r="E1421" s="43" t="s">
        <v>1982</v>
      </c>
      <c r="F1421" s="37" t="s">
        <v>1782</v>
      </c>
      <c r="G1421" s="44">
        <v>8600</v>
      </c>
      <c r="H1421" s="44">
        <v>51.6</v>
      </c>
      <c r="K1421" s="4" t="e">
        <f>VLOOKUP(A1421,Detallado!$C$5:$H$1570,6,FALSE)</f>
        <v>#N/A</v>
      </c>
      <c r="L1421" s="35"/>
      <c r="M1421" s="35"/>
      <c r="N1421" s="35"/>
      <c r="O1421" s="35"/>
      <c r="P1421" s="35"/>
      <c r="Q1421" s="35"/>
    </row>
    <row r="1422" spans="1:17">
      <c r="A1422" s="90">
        <v>127245659321</v>
      </c>
      <c r="B1422" s="1" t="s">
        <v>8</v>
      </c>
      <c r="C1422" s="43" t="s">
        <v>1972</v>
      </c>
      <c r="D1422" s="1" t="s">
        <v>1780</v>
      </c>
      <c r="E1422" s="43" t="s">
        <v>1982</v>
      </c>
      <c r="F1422" s="37" t="s">
        <v>1782</v>
      </c>
      <c r="G1422" s="44">
        <v>11500</v>
      </c>
      <c r="H1422" s="44">
        <v>69</v>
      </c>
      <c r="K1422" s="4" t="e">
        <f>VLOOKUP(A1422,Detallado!$C$5:$H$1570,6,FALSE)</f>
        <v>#N/A</v>
      </c>
      <c r="L1422" s="35"/>
      <c r="M1422" s="35"/>
      <c r="N1422" s="35"/>
      <c r="O1422" s="35"/>
      <c r="P1422" s="35"/>
      <c r="Q1422" s="35"/>
    </row>
    <row r="1423" spans="1:17">
      <c r="A1423" s="90">
        <v>127894050264</v>
      </c>
      <c r="B1423" s="1" t="s">
        <v>8</v>
      </c>
      <c r="C1423" s="43" t="s">
        <v>1982</v>
      </c>
      <c r="D1423" s="1" t="s">
        <v>1780</v>
      </c>
      <c r="E1423" s="43" t="s">
        <v>1982</v>
      </c>
      <c r="F1423" s="37" t="s">
        <v>1782</v>
      </c>
      <c r="G1423" s="44">
        <v>52800</v>
      </c>
      <c r="H1423" s="44">
        <v>316.8</v>
      </c>
      <c r="K1423" s="4" t="e">
        <f>VLOOKUP(A1423,Detallado!$C$5:$H$1570,6,FALSE)</f>
        <v>#N/A</v>
      </c>
      <c r="L1423" s="59"/>
      <c r="M1423" s="59"/>
      <c r="N1423" s="59"/>
      <c r="O1423" s="59"/>
      <c r="P1423" s="59"/>
      <c r="Q1423" s="59"/>
    </row>
    <row r="1424" spans="1:17">
      <c r="A1424" s="90">
        <v>127893248554</v>
      </c>
      <c r="B1424" s="1" t="s">
        <v>1790</v>
      </c>
      <c r="C1424" s="43" t="s">
        <v>1982</v>
      </c>
      <c r="D1424" s="1" t="s">
        <v>1780</v>
      </c>
      <c r="E1424" s="43" t="s">
        <v>1982</v>
      </c>
      <c r="F1424" s="37" t="s">
        <v>1782</v>
      </c>
      <c r="G1424" s="44">
        <v>23400</v>
      </c>
      <c r="H1424" s="44">
        <v>140.4</v>
      </c>
      <c r="K1424" s="4" t="e">
        <f>VLOOKUP(A1424,Detallado!$C$5:$H$1570,6,FALSE)</f>
        <v>#N/A</v>
      </c>
      <c r="L1424" s="59"/>
      <c r="M1424" s="59"/>
      <c r="N1424" s="59"/>
      <c r="O1424" s="59"/>
      <c r="P1424" s="59"/>
      <c r="Q1424" s="59"/>
    </row>
    <row r="1425" spans="1:17">
      <c r="A1425" s="90">
        <v>127891938390</v>
      </c>
      <c r="B1425" s="1" t="s">
        <v>8</v>
      </c>
      <c r="C1425" s="43" t="s">
        <v>1982</v>
      </c>
      <c r="D1425" s="1" t="s">
        <v>1780</v>
      </c>
      <c r="E1425" s="43" t="s">
        <v>1982</v>
      </c>
      <c r="F1425" s="37" t="s">
        <v>1782</v>
      </c>
      <c r="G1425" s="44">
        <v>33100</v>
      </c>
      <c r="H1425" s="44">
        <v>198.6</v>
      </c>
      <c r="K1425" s="4" t="e">
        <f>VLOOKUP(A1425,Detallado!$C$5:$H$1570,6,FALSE)</f>
        <v>#N/A</v>
      </c>
      <c r="L1425" s="59"/>
      <c r="M1425" s="59"/>
      <c r="N1425" s="59"/>
      <c r="O1425" s="59"/>
      <c r="P1425" s="59"/>
      <c r="Q1425" s="59"/>
    </row>
    <row r="1426" spans="1:17">
      <c r="A1426" s="90">
        <v>127891727240</v>
      </c>
      <c r="B1426" s="1" t="s">
        <v>8</v>
      </c>
      <c r="C1426" s="43" t="s">
        <v>1982</v>
      </c>
      <c r="D1426" s="1" t="s">
        <v>1780</v>
      </c>
      <c r="E1426" s="43" t="s">
        <v>1982</v>
      </c>
      <c r="F1426" s="37" t="s">
        <v>1782</v>
      </c>
      <c r="G1426" s="44">
        <v>34200</v>
      </c>
      <c r="H1426" s="44">
        <v>205.2</v>
      </c>
      <c r="K1426" s="4" t="e">
        <f>VLOOKUP(A1426,Detallado!$C$5:$H$1570,6,FALSE)</f>
        <v>#N/A</v>
      </c>
      <c r="L1426" s="59"/>
      <c r="M1426" s="59"/>
      <c r="N1426" s="59"/>
      <c r="O1426" s="59"/>
      <c r="P1426" s="59"/>
      <c r="Q1426" s="59"/>
    </row>
    <row r="1427" spans="1:17">
      <c r="A1427" s="90">
        <v>127891287160</v>
      </c>
      <c r="B1427" s="1" t="s">
        <v>1790</v>
      </c>
      <c r="C1427" s="43" t="s">
        <v>1982</v>
      </c>
      <c r="D1427" s="1" t="s">
        <v>1780</v>
      </c>
      <c r="E1427" s="43" t="s">
        <v>1982</v>
      </c>
      <c r="F1427" s="37" t="s">
        <v>1782</v>
      </c>
      <c r="G1427" s="44">
        <v>31500</v>
      </c>
      <c r="H1427" s="44">
        <v>189</v>
      </c>
      <c r="K1427" s="4" t="e">
        <f>VLOOKUP(A1427,Detallado!$C$5:$H$1570,6,FALSE)</f>
        <v>#N/A</v>
      </c>
      <c r="L1427" s="59"/>
      <c r="M1427" s="59"/>
      <c r="N1427" s="59"/>
      <c r="O1427" s="59"/>
      <c r="P1427" s="59"/>
      <c r="Q1427" s="59"/>
    </row>
    <row r="1428" spans="1:17">
      <c r="A1428" s="90">
        <v>127890550192</v>
      </c>
      <c r="B1428" s="1" t="s">
        <v>8</v>
      </c>
      <c r="C1428" s="43" t="s">
        <v>1982</v>
      </c>
      <c r="D1428" s="1" t="s">
        <v>1780</v>
      </c>
      <c r="E1428" s="43" t="s">
        <v>1982</v>
      </c>
      <c r="F1428" s="37" t="s">
        <v>1782</v>
      </c>
      <c r="G1428" s="44">
        <v>5500</v>
      </c>
      <c r="H1428" s="44">
        <v>33</v>
      </c>
      <c r="K1428" s="4" t="e">
        <f>VLOOKUP(A1428,Detallado!$C$5:$H$1570,6,FALSE)</f>
        <v>#N/A</v>
      </c>
      <c r="L1428" s="59"/>
      <c r="M1428" s="59"/>
      <c r="N1428" s="59"/>
      <c r="O1428" s="59"/>
      <c r="P1428" s="59"/>
      <c r="Q1428" s="59"/>
    </row>
    <row r="1429" spans="1:17">
      <c r="A1429" s="90">
        <v>127887531604</v>
      </c>
      <c r="B1429" s="1" t="s">
        <v>8</v>
      </c>
      <c r="C1429" s="43" t="s">
        <v>1982</v>
      </c>
      <c r="D1429" s="1" t="s">
        <v>1780</v>
      </c>
      <c r="E1429" s="43" t="s">
        <v>1982</v>
      </c>
      <c r="F1429" s="37" t="s">
        <v>1782</v>
      </c>
      <c r="G1429" s="44">
        <v>46900</v>
      </c>
      <c r="H1429" s="44">
        <v>281.39999999999998</v>
      </c>
      <c r="K1429" s="4" t="e">
        <f>VLOOKUP(A1429,Detallado!$C$5:$H$1570,6,FALSE)</f>
        <v>#N/A</v>
      </c>
      <c r="L1429" s="59"/>
      <c r="M1429" s="59"/>
      <c r="N1429" s="59"/>
      <c r="O1429" s="59"/>
      <c r="P1429" s="59"/>
      <c r="Q1429" s="59"/>
    </row>
    <row r="1430" spans="1:17">
      <c r="A1430" s="90">
        <v>127887369754</v>
      </c>
      <c r="B1430" s="1" t="s">
        <v>1790</v>
      </c>
      <c r="C1430" s="43" t="s">
        <v>1982</v>
      </c>
      <c r="D1430" s="1" t="s">
        <v>1780</v>
      </c>
      <c r="E1430" s="43" t="s">
        <v>1982</v>
      </c>
      <c r="F1430" s="37" t="s">
        <v>1782</v>
      </c>
      <c r="G1430" s="44">
        <v>24900</v>
      </c>
      <c r="H1430" s="44">
        <v>149.4</v>
      </c>
      <c r="K1430" s="4" t="e">
        <f>VLOOKUP(A1430,Detallado!$C$5:$H$1570,6,FALSE)</f>
        <v>#N/A</v>
      </c>
      <c r="L1430" s="59"/>
      <c r="M1430" s="59"/>
      <c r="N1430" s="59"/>
      <c r="O1430" s="59"/>
      <c r="P1430" s="59"/>
      <c r="Q1430" s="59"/>
    </row>
    <row r="1431" spans="1:17">
      <c r="A1431" s="90">
        <v>127887318326</v>
      </c>
      <c r="B1431" s="1" t="s">
        <v>1995</v>
      </c>
      <c r="C1431" s="43" t="s">
        <v>1982</v>
      </c>
      <c r="D1431" s="1" t="s">
        <v>1780</v>
      </c>
      <c r="E1431" s="43" t="s">
        <v>1982</v>
      </c>
      <c r="F1431" s="37" t="s">
        <v>1782</v>
      </c>
      <c r="G1431" s="44">
        <v>1335</v>
      </c>
      <c r="H1431" s="44">
        <v>8.01</v>
      </c>
      <c r="K1431" s="4" t="e">
        <f>VLOOKUP(A1431,Detallado!$C$5:$H$1570,6,FALSE)</f>
        <v>#N/A</v>
      </c>
      <c r="L1431" s="59"/>
      <c r="M1431" s="59"/>
      <c r="N1431" s="59"/>
      <c r="O1431" s="59"/>
      <c r="P1431" s="59"/>
      <c r="Q1431" s="59"/>
    </row>
    <row r="1432" spans="1:17">
      <c r="A1432" s="90">
        <v>127886777148</v>
      </c>
      <c r="B1432" s="1" t="s">
        <v>8</v>
      </c>
      <c r="C1432" s="43" t="s">
        <v>1982</v>
      </c>
      <c r="D1432" s="1" t="s">
        <v>1780</v>
      </c>
      <c r="E1432" s="43" t="s">
        <v>1982</v>
      </c>
      <c r="F1432" s="37" t="s">
        <v>1782</v>
      </c>
      <c r="G1432" s="44">
        <v>74700</v>
      </c>
      <c r="H1432" s="44">
        <v>448.2</v>
      </c>
      <c r="K1432" s="4" t="e">
        <f>VLOOKUP(A1432,Detallado!$C$5:$H$1570,6,FALSE)</f>
        <v>#N/A</v>
      </c>
      <c r="L1432" s="59"/>
      <c r="M1432" s="59"/>
      <c r="N1432" s="59"/>
      <c r="O1432" s="59"/>
      <c r="P1432" s="59"/>
      <c r="Q1432" s="59"/>
    </row>
    <row r="1433" spans="1:17">
      <c r="A1433" s="90">
        <v>127886596694</v>
      </c>
      <c r="B1433" s="1" t="s">
        <v>8</v>
      </c>
      <c r="C1433" s="43" t="s">
        <v>1982</v>
      </c>
      <c r="D1433" s="1" t="s">
        <v>1780</v>
      </c>
      <c r="E1433" s="43" t="s">
        <v>1982</v>
      </c>
      <c r="F1433" s="37" t="s">
        <v>1782</v>
      </c>
      <c r="G1433" s="44">
        <v>17600</v>
      </c>
      <c r="H1433" s="44">
        <v>105.6</v>
      </c>
      <c r="K1433" s="4" t="e">
        <f>VLOOKUP(A1433,Detallado!$C$5:$H$1570,6,FALSE)</f>
        <v>#N/A</v>
      </c>
      <c r="L1433" s="59"/>
      <c r="M1433" s="59"/>
      <c r="N1433" s="59"/>
      <c r="O1433" s="59"/>
      <c r="P1433" s="59"/>
      <c r="Q1433" s="59"/>
    </row>
    <row r="1434" spans="1:17">
      <c r="A1434" s="90">
        <v>127886300768</v>
      </c>
      <c r="B1434" s="1" t="s">
        <v>8</v>
      </c>
      <c r="C1434" s="43" t="s">
        <v>1982</v>
      </c>
      <c r="D1434" s="1" t="s">
        <v>1780</v>
      </c>
      <c r="E1434" s="43" t="s">
        <v>1982</v>
      </c>
      <c r="F1434" s="37" t="s">
        <v>1782</v>
      </c>
      <c r="G1434" s="44">
        <v>5300</v>
      </c>
      <c r="H1434" s="44">
        <v>31.8</v>
      </c>
      <c r="K1434" s="4" t="e">
        <f>VLOOKUP(A1434,Detallado!$C$5:$H$1570,6,FALSE)</f>
        <v>#N/A</v>
      </c>
      <c r="L1434" s="59"/>
      <c r="M1434" s="59"/>
      <c r="N1434" s="59"/>
      <c r="O1434" s="59"/>
      <c r="P1434" s="59"/>
      <c r="Q1434" s="59"/>
    </row>
    <row r="1435" spans="1:17">
      <c r="A1435" s="90">
        <v>127881631044</v>
      </c>
      <c r="B1435" s="1" t="s">
        <v>8</v>
      </c>
      <c r="C1435" s="43" t="s">
        <v>1982</v>
      </c>
      <c r="D1435" s="1" t="s">
        <v>1780</v>
      </c>
      <c r="E1435" s="43" t="s">
        <v>1982</v>
      </c>
      <c r="F1435" s="37" t="s">
        <v>1782</v>
      </c>
      <c r="G1435" s="44">
        <v>7200</v>
      </c>
      <c r="H1435" s="44">
        <v>43.2</v>
      </c>
      <c r="K1435" s="4" t="e">
        <f>VLOOKUP(A1435,Detallado!$C$5:$H$1570,6,FALSE)</f>
        <v>#N/A</v>
      </c>
      <c r="L1435" s="59"/>
      <c r="M1435" s="59"/>
      <c r="N1435" s="59"/>
      <c r="O1435" s="59"/>
      <c r="P1435" s="59"/>
      <c r="Q1435" s="59"/>
    </row>
    <row r="1436" spans="1:17">
      <c r="A1436" s="90">
        <v>127880854096</v>
      </c>
      <c r="B1436" s="1" t="s">
        <v>8</v>
      </c>
      <c r="C1436" s="43" t="s">
        <v>1982</v>
      </c>
      <c r="D1436" s="1" t="s">
        <v>1780</v>
      </c>
      <c r="E1436" s="43" t="s">
        <v>1982</v>
      </c>
      <c r="F1436" s="37" t="s">
        <v>1782</v>
      </c>
      <c r="G1436" s="44">
        <v>41500</v>
      </c>
      <c r="H1436" s="44">
        <v>249</v>
      </c>
      <c r="K1436" s="4" t="e">
        <f>VLOOKUP(A1436,Detallado!$C$5:$H$1570,6,FALSE)</f>
        <v>#N/A</v>
      </c>
      <c r="L1436" s="59"/>
      <c r="M1436" s="59"/>
      <c r="N1436" s="59"/>
      <c r="O1436" s="59"/>
      <c r="P1436" s="59"/>
      <c r="Q1436" s="59"/>
    </row>
    <row r="1437" spans="1:17">
      <c r="A1437" s="90">
        <v>127880430416</v>
      </c>
      <c r="B1437" s="1" t="s">
        <v>1790</v>
      </c>
      <c r="C1437" s="43" t="s">
        <v>1982</v>
      </c>
      <c r="D1437" s="1" t="s">
        <v>1780</v>
      </c>
      <c r="E1437" s="43" t="s">
        <v>1982</v>
      </c>
      <c r="F1437" s="37" t="s">
        <v>1782</v>
      </c>
      <c r="G1437" s="44">
        <v>14500</v>
      </c>
      <c r="H1437" s="44">
        <v>87</v>
      </c>
      <c r="K1437" s="4" t="e">
        <f>VLOOKUP(A1437,Detallado!$C$5:$H$1570,6,FALSE)</f>
        <v>#N/A</v>
      </c>
      <c r="L1437" s="59"/>
      <c r="M1437" s="59"/>
      <c r="N1437" s="59"/>
      <c r="O1437" s="59"/>
      <c r="P1437" s="59"/>
      <c r="Q1437" s="59"/>
    </row>
    <row r="1438" spans="1:17">
      <c r="A1438" s="90">
        <v>127878828956</v>
      </c>
      <c r="B1438" s="1" t="s">
        <v>8</v>
      </c>
      <c r="C1438" s="43" t="s">
        <v>1982</v>
      </c>
      <c r="D1438" s="1" t="s">
        <v>1780</v>
      </c>
      <c r="E1438" s="43" t="s">
        <v>1982</v>
      </c>
      <c r="F1438" s="37" t="s">
        <v>1782</v>
      </c>
      <c r="G1438" s="44">
        <v>4000</v>
      </c>
      <c r="H1438" s="44">
        <v>24</v>
      </c>
      <c r="K1438" s="4" t="e">
        <f>VLOOKUP(A1438,Detallado!$C$5:$H$1570,6,FALSE)</f>
        <v>#N/A</v>
      </c>
      <c r="L1438" s="59"/>
      <c r="M1438" s="59"/>
      <c r="N1438" s="59"/>
      <c r="O1438" s="59"/>
      <c r="P1438" s="59"/>
      <c r="Q1438" s="59"/>
    </row>
    <row r="1439" spans="1:17">
      <c r="A1439" s="90">
        <v>127876057264</v>
      </c>
      <c r="B1439" s="1" t="s">
        <v>1991</v>
      </c>
      <c r="C1439" s="43" t="s">
        <v>1982</v>
      </c>
      <c r="D1439" s="1" t="s">
        <v>1780</v>
      </c>
      <c r="E1439" s="43" t="s">
        <v>1982</v>
      </c>
      <c r="F1439" s="37" t="s">
        <v>1782</v>
      </c>
      <c r="G1439" s="44">
        <v>380</v>
      </c>
      <c r="H1439" s="44">
        <v>2.2799999999999998</v>
      </c>
      <c r="K1439" s="4" t="e">
        <f>VLOOKUP(A1439,Detallado!$C$5:$H$1570,6,FALSE)</f>
        <v>#N/A</v>
      </c>
      <c r="L1439" s="59"/>
      <c r="M1439" s="59"/>
      <c r="N1439" s="59"/>
      <c r="O1439" s="59"/>
      <c r="P1439" s="59"/>
      <c r="Q1439" s="59"/>
    </row>
    <row r="1440" spans="1:17">
      <c r="A1440" s="90">
        <v>127876039514</v>
      </c>
      <c r="B1440" s="1" t="s">
        <v>8</v>
      </c>
      <c r="C1440" s="43" t="s">
        <v>1982</v>
      </c>
      <c r="D1440" s="1" t="s">
        <v>1780</v>
      </c>
      <c r="E1440" s="43" t="s">
        <v>1982</v>
      </c>
      <c r="F1440" s="37" t="s">
        <v>1782</v>
      </c>
      <c r="G1440" s="44">
        <v>7600</v>
      </c>
      <c r="H1440" s="44">
        <v>45.6</v>
      </c>
      <c r="K1440" s="4" t="e">
        <f>VLOOKUP(A1440,Detallado!$C$5:$H$1570,6,FALSE)</f>
        <v>#N/A</v>
      </c>
      <c r="L1440" s="59"/>
      <c r="M1440" s="59"/>
      <c r="N1440" s="59"/>
      <c r="O1440" s="59"/>
      <c r="P1440" s="59"/>
      <c r="Q1440" s="59"/>
    </row>
    <row r="1441" spans="1:17">
      <c r="A1441" s="90">
        <v>127873552906</v>
      </c>
      <c r="B1441" s="1" t="s">
        <v>8</v>
      </c>
      <c r="C1441" s="43" t="s">
        <v>1982</v>
      </c>
      <c r="D1441" s="1" t="s">
        <v>1780</v>
      </c>
      <c r="E1441" s="43" t="s">
        <v>1982</v>
      </c>
      <c r="F1441" s="37" t="s">
        <v>1782</v>
      </c>
      <c r="G1441" s="44">
        <v>9400</v>
      </c>
      <c r="H1441" s="44">
        <v>56.4</v>
      </c>
      <c r="K1441" s="4" t="e">
        <f>VLOOKUP(A1441,Detallado!$C$5:$H$1570,6,FALSE)</f>
        <v>#N/A</v>
      </c>
      <c r="L1441" s="59"/>
      <c r="M1441" s="59"/>
      <c r="N1441" s="59"/>
      <c r="O1441" s="59"/>
      <c r="P1441" s="59"/>
      <c r="Q1441" s="59"/>
    </row>
    <row r="1442" spans="1:17">
      <c r="A1442" s="90">
        <v>127870626052</v>
      </c>
      <c r="B1442" s="1" t="s">
        <v>8</v>
      </c>
      <c r="C1442" s="43" t="s">
        <v>1982</v>
      </c>
      <c r="D1442" s="1" t="s">
        <v>1780</v>
      </c>
      <c r="E1442" s="43" t="s">
        <v>1982</v>
      </c>
      <c r="F1442" s="37" t="s">
        <v>1782</v>
      </c>
      <c r="G1442" s="44">
        <v>9400</v>
      </c>
      <c r="H1442" s="44">
        <v>56.4</v>
      </c>
      <c r="K1442" s="4" t="e">
        <f>VLOOKUP(A1442,Detallado!$C$5:$H$1570,6,FALSE)</f>
        <v>#N/A</v>
      </c>
      <c r="L1442" s="59"/>
      <c r="M1442" s="59"/>
      <c r="N1442" s="59"/>
      <c r="O1442" s="59"/>
      <c r="P1442" s="59"/>
      <c r="Q1442" s="59"/>
    </row>
    <row r="1443" spans="1:17">
      <c r="A1443" s="90">
        <v>127814289146</v>
      </c>
      <c r="B1443" s="1" t="s">
        <v>8</v>
      </c>
      <c r="C1443" s="43" t="s">
        <v>1982</v>
      </c>
      <c r="D1443" s="1" t="s">
        <v>1780</v>
      </c>
      <c r="E1443" s="43" t="s">
        <v>1982</v>
      </c>
      <c r="F1443" s="37" t="s">
        <v>1782</v>
      </c>
      <c r="G1443" s="44">
        <v>16000</v>
      </c>
      <c r="H1443" s="44">
        <v>96</v>
      </c>
      <c r="K1443" s="4" t="e">
        <f>VLOOKUP(A1443,Detallado!$C$5:$H$1570,6,FALSE)</f>
        <v>#N/A</v>
      </c>
      <c r="L1443" s="59"/>
      <c r="M1443" s="59"/>
      <c r="N1443" s="59"/>
      <c r="O1443" s="59"/>
      <c r="P1443" s="59"/>
      <c r="Q1443" s="59"/>
    </row>
    <row r="1444" spans="1:17">
      <c r="A1444" s="90">
        <v>127814176098</v>
      </c>
      <c r="B1444" s="1" t="s">
        <v>8</v>
      </c>
      <c r="C1444" s="43" t="s">
        <v>1982</v>
      </c>
      <c r="D1444" s="1" t="s">
        <v>1780</v>
      </c>
      <c r="E1444" s="43" t="s">
        <v>1982</v>
      </c>
      <c r="F1444" s="37" t="s">
        <v>1782</v>
      </c>
      <c r="G1444" s="44">
        <v>20200</v>
      </c>
      <c r="H1444" s="44">
        <v>121.2</v>
      </c>
      <c r="K1444" s="4" t="e">
        <f>VLOOKUP(A1444,Detallado!$C$5:$H$1570,6,FALSE)</f>
        <v>#N/A</v>
      </c>
      <c r="L1444" s="59"/>
      <c r="M1444" s="59"/>
      <c r="N1444" s="59"/>
      <c r="O1444" s="59"/>
      <c r="P1444" s="59"/>
      <c r="Q1444" s="59"/>
    </row>
    <row r="1445" spans="1:17">
      <c r="A1445" s="90">
        <v>127814092122</v>
      </c>
      <c r="B1445" s="1" t="s">
        <v>8</v>
      </c>
      <c r="C1445" s="43" t="s">
        <v>1982</v>
      </c>
      <c r="D1445" s="1" t="s">
        <v>1780</v>
      </c>
      <c r="E1445" s="43" t="s">
        <v>1982</v>
      </c>
      <c r="F1445" s="37" t="s">
        <v>1782</v>
      </c>
      <c r="G1445" s="44">
        <v>13300</v>
      </c>
      <c r="H1445" s="44">
        <v>79.8</v>
      </c>
      <c r="K1445" s="4" t="e">
        <f>VLOOKUP(A1445,Detallado!$C$5:$H$1570,6,FALSE)</f>
        <v>#N/A</v>
      </c>
      <c r="L1445" s="59"/>
      <c r="M1445" s="59"/>
      <c r="N1445" s="59"/>
      <c r="O1445" s="59"/>
      <c r="P1445" s="59"/>
      <c r="Q1445" s="59"/>
    </row>
    <row r="1446" spans="1:17">
      <c r="A1446" s="90">
        <v>127814011646</v>
      </c>
      <c r="B1446" s="1" t="s">
        <v>8</v>
      </c>
      <c r="C1446" s="43" t="s">
        <v>1982</v>
      </c>
      <c r="D1446" s="1" t="s">
        <v>1780</v>
      </c>
      <c r="E1446" s="43" t="s">
        <v>1982</v>
      </c>
      <c r="F1446" s="37" t="s">
        <v>1782</v>
      </c>
      <c r="G1446" s="44">
        <v>11200</v>
      </c>
      <c r="H1446" s="44">
        <v>67.2</v>
      </c>
      <c r="K1446" s="4" t="e">
        <f>VLOOKUP(A1446,Detallado!$C$5:$H$1570,6,FALSE)</f>
        <v>#N/A</v>
      </c>
      <c r="L1446" s="59"/>
      <c r="M1446" s="59"/>
      <c r="N1446" s="59"/>
      <c r="O1446" s="59"/>
      <c r="P1446" s="59"/>
      <c r="Q1446" s="59"/>
    </row>
    <row r="1447" spans="1:17">
      <c r="A1447" s="90">
        <v>127813968884</v>
      </c>
      <c r="B1447" s="1" t="s">
        <v>8</v>
      </c>
      <c r="C1447" s="43" t="s">
        <v>1982</v>
      </c>
      <c r="D1447" s="1" t="s">
        <v>1780</v>
      </c>
      <c r="E1447" s="43" t="s">
        <v>1982</v>
      </c>
      <c r="F1447" s="37" t="s">
        <v>1782</v>
      </c>
      <c r="G1447" s="44">
        <v>18600</v>
      </c>
      <c r="H1447" s="44">
        <v>111.6</v>
      </c>
      <c r="K1447" s="4" t="e">
        <f>VLOOKUP(A1447,Detallado!$C$5:$H$1570,6,FALSE)</f>
        <v>#N/A</v>
      </c>
      <c r="L1447" s="59"/>
      <c r="M1447" s="59"/>
      <c r="N1447" s="59"/>
      <c r="O1447" s="59"/>
      <c r="P1447" s="59"/>
      <c r="Q1447" s="59"/>
    </row>
    <row r="1448" spans="1:17">
      <c r="A1448" s="90">
        <v>127813946890</v>
      </c>
      <c r="B1448" s="1" t="s">
        <v>8</v>
      </c>
      <c r="C1448" s="43" t="s">
        <v>1982</v>
      </c>
      <c r="D1448" s="1" t="s">
        <v>1780</v>
      </c>
      <c r="E1448" s="43" t="s">
        <v>1982</v>
      </c>
      <c r="F1448" s="37" t="s">
        <v>1782</v>
      </c>
      <c r="G1448" s="44">
        <v>123500</v>
      </c>
      <c r="H1448" s="44">
        <v>741</v>
      </c>
      <c r="K1448" s="4" t="e">
        <f>VLOOKUP(A1448,Detallado!$C$5:$H$1570,6,FALSE)</f>
        <v>#N/A</v>
      </c>
      <c r="L1448" s="59"/>
      <c r="M1448" s="59"/>
      <c r="N1448" s="59"/>
      <c r="O1448" s="59"/>
      <c r="P1448" s="59"/>
      <c r="Q1448" s="59"/>
    </row>
    <row r="1449" spans="1:17">
      <c r="A1449" s="90">
        <v>127813895138</v>
      </c>
      <c r="B1449" s="1" t="s">
        <v>8</v>
      </c>
      <c r="C1449" s="43" t="s">
        <v>1982</v>
      </c>
      <c r="D1449" s="1" t="s">
        <v>1780</v>
      </c>
      <c r="E1449" s="43" t="s">
        <v>1982</v>
      </c>
      <c r="F1449" s="37" t="s">
        <v>1782</v>
      </c>
      <c r="G1449" s="44">
        <v>22800</v>
      </c>
      <c r="H1449" s="44">
        <v>136.80000000000001</v>
      </c>
      <c r="K1449" s="4" t="e">
        <f>VLOOKUP(A1449,Detallado!$C$5:$H$1570,6,FALSE)</f>
        <v>#N/A</v>
      </c>
      <c r="L1449" s="59"/>
      <c r="M1449" s="59"/>
      <c r="N1449" s="59"/>
      <c r="O1449" s="59"/>
      <c r="P1449" s="59"/>
      <c r="Q1449" s="59"/>
    </row>
    <row r="1450" spans="1:17">
      <c r="A1450" s="90">
        <v>127813504838</v>
      </c>
      <c r="B1450" s="1" t="s">
        <v>1985</v>
      </c>
      <c r="C1450" s="43" t="s">
        <v>1982</v>
      </c>
      <c r="D1450" s="1" t="s">
        <v>1780</v>
      </c>
      <c r="E1450" s="43" t="s">
        <v>1982</v>
      </c>
      <c r="F1450" s="37" t="s">
        <v>1782</v>
      </c>
      <c r="G1450" s="44">
        <v>850</v>
      </c>
      <c r="H1450" s="44">
        <v>5.0999999999999996</v>
      </c>
      <c r="K1450" s="4" t="e">
        <f>VLOOKUP(A1450,Detallado!$C$5:$H$1570,6,FALSE)</f>
        <v>#N/A</v>
      </c>
      <c r="L1450" s="59"/>
      <c r="M1450" s="59"/>
      <c r="N1450" s="59"/>
      <c r="O1450" s="59"/>
      <c r="P1450" s="59"/>
      <c r="Q1450" s="59"/>
    </row>
    <row r="1451" spans="1:17">
      <c r="A1451" s="90">
        <v>127813504204</v>
      </c>
      <c r="B1451" s="1" t="s">
        <v>8</v>
      </c>
      <c r="C1451" s="43" t="s">
        <v>1982</v>
      </c>
      <c r="D1451" s="1" t="s">
        <v>1780</v>
      </c>
      <c r="E1451" s="43" t="s">
        <v>1982</v>
      </c>
      <c r="F1451" s="37" t="s">
        <v>1782</v>
      </c>
      <c r="G1451" s="44">
        <v>20300</v>
      </c>
      <c r="H1451" s="44">
        <v>121.8</v>
      </c>
      <c r="K1451" s="4" t="e">
        <f>VLOOKUP(A1451,Detallado!$C$5:$H$1570,6,FALSE)</f>
        <v>#N/A</v>
      </c>
      <c r="L1451" s="59"/>
      <c r="M1451" s="59"/>
      <c r="N1451" s="59"/>
      <c r="O1451" s="59"/>
      <c r="P1451" s="59"/>
      <c r="Q1451" s="59"/>
    </row>
    <row r="1452" spans="1:17">
      <c r="A1452" s="90">
        <v>127813395904</v>
      </c>
      <c r="B1452" s="1" t="s">
        <v>8</v>
      </c>
      <c r="C1452" s="43" t="s">
        <v>1982</v>
      </c>
      <c r="D1452" s="1" t="s">
        <v>1780</v>
      </c>
      <c r="E1452" s="43" t="s">
        <v>1982</v>
      </c>
      <c r="F1452" s="37" t="s">
        <v>1782</v>
      </c>
      <c r="G1452" s="44">
        <v>8500</v>
      </c>
      <c r="H1452" s="44">
        <v>51</v>
      </c>
      <c r="K1452" s="4" t="e">
        <f>VLOOKUP(A1452,Detallado!$C$5:$H$1570,6,FALSE)</f>
        <v>#N/A</v>
      </c>
      <c r="L1452" s="59"/>
      <c r="M1452" s="59"/>
      <c r="N1452" s="59"/>
      <c r="O1452" s="59"/>
      <c r="P1452" s="59"/>
      <c r="Q1452" s="59"/>
    </row>
    <row r="1453" spans="1:17">
      <c r="A1453" s="90">
        <v>127812796320</v>
      </c>
      <c r="B1453" s="1" t="s">
        <v>8</v>
      </c>
      <c r="C1453" s="43" t="s">
        <v>1982</v>
      </c>
      <c r="D1453" s="1" t="s">
        <v>1780</v>
      </c>
      <c r="E1453" s="43" t="s">
        <v>1982</v>
      </c>
      <c r="F1453" s="37" t="s">
        <v>1782</v>
      </c>
      <c r="G1453" s="44">
        <v>5300</v>
      </c>
      <c r="H1453" s="44">
        <v>31.8</v>
      </c>
      <c r="K1453" s="4" t="e">
        <f>VLOOKUP(A1453,Detallado!$C$5:$H$1570,6,FALSE)</f>
        <v>#N/A</v>
      </c>
      <c r="L1453" s="59"/>
      <c r="M1453" s="59"/>
      <c r="N1453" s="59"/>
      <c r="O1453" s="59"/>
      <c r="P1453" s="59"/>
      <c r="Q1453" s="59"/>
    </row>
    <row r="1454" spans="1:17">
      <c r="A1454" s="90">
        <v>127812707210</v>
      </c>
      <c r="B1454" s="1" t="s">
        <v>8</v>
      </c>
      <c r="C1454" s="43" t="s">
        <v>1982</v>
      </c>
      <c r="D1454" s="1" t="s">
        <v>1780</v>
      </c>
      <c r="E1454" s="43" t="s">
        <v>1982</v>
      </c>
      <c r="F1454" s="37" t="s">
        <v>1782</v>
      </c>
      <c r="G1454" s="44">
        <v>20000</v>
      </c>
      <c r="H1454" s="44">
        <v>120</v>
      </c>
      <c r="K1454" s="4" t="e">
        <f>VLOOKUP(A1454,Detallado!$C$5:$H$1570,6,FALSE)</f>
        <v>#N/A</v>
      </c>
      <c r="L1454" s="59"/>
      <c r="M1454" s="59"/>
      <c r="N1454" s="59"/>
      <c r="O1454" s="59"/>
      <c r="P1454" s="59"/>
      <c r="Q1454" s="59"/>
    </row>
    <row r="1455" spans="1:17">
      <c r="A1455" s="90">
        <v>127812503352</v>
      </c>
      <c r="B1455" s="1" t="s">
        <v>1790</v>
      </c>
      <c r="C1455" s="43" t="s">
        <v>1982</v>
      </c>
      <c r="D1455" s="1" t="s">
        <v>1780</v>
      </c>
      <c r="E1455" s="43" t="s">
        <v>1982</v>
      </c>
      <c r="F1455" s="37" t="s">
        <v>1782</v>
      </c>
      <c r="G1455" s="44">
        <v>4700</v>
      </c>
      <c r="H1455" s="44">
        <v>28.2</v>
      </c>
      <c r="K1455" s="4" t="e">
        <f>VLOOKUP(A1455,Detallado!$C$5:$H$1570,6,FALSE)</f>
        <v>#N/A</v>
      </c>
      <c r="L1455" s="59"/>
      <c r="M1455" s="59"/>
      <c r="N1455" s="59"/>
      <c r="O1455" s="59"/>
      <c r="P1455" s="59"/>
      <c r="Q1455" s="59"/>
    </row>
    <row r="1456" spans="1:17">
      <c r="A1456" s="90">
        <v>127812138404</v>
      </c>
      <c r="B1456" s="1" t="s">
        <v>8</v>
      </c>
      <c r="C1456" s="43" t="s">
        <v>1982</v>
      </c>
      <c r="D1456" s="1" t="s">
        <v>1780</v>
      </c>
      <c r="E1456" s="43" t="s">
        <v>1982</v>
      </c>
      <c r="F1456" s="37" t="s">
        <v>1782</v>
      </c>
      <c r="G1456" s="44">
        <v>23100</v>
      </c>
      <c r="H1456" s="44">
        <v>138.6</v>
      </c>
      <c r="K1456" s="4" t="e">
        <f>VLOOKUP(A1456,Detallado!$C$5:$H$1570,6,FALSE)</f>
        <v>#N/A</v>
      </c>
      <c r="L1456" s="59"/>
      <c r="M1456" s="59"/>
      <c r="N1456" s="59"/>
      <c r="O1456" s="59"/>
      <c r="P1456" s="59"/>
      <c r="Q1456" s="59"/>
    </row>
    <row r="1457" spans="1:20">
      <c r="A1457" s="90">
        <v>127811499056</v>
      </c>
      <c r="B1457" s="1" t="s">
        <v>8</v>
      </c>
      <c r="C1457" s="43" t="s">
        <v>1982</v>
      </c>
      <c r="D1457" s="1" t="s">
        <v>1780</v>
      </c>
      <c r="E1457" s="43" t="s">
        <v>1982</v>
      </c>
      <c r="F1457" s="37" t="s">
        <v>1782</v>
      </c>
      <c r="G1457" s="44">
        <v>10000</v>
      </c>
      <c r="H1457" s="44">
        <v>60</v>
      </c>
      <c r="K1457" s="4" t="e">
        <f>VLOOKUP(A1457,Detallado!$C$5:$H$1570,6,FALSE)</f>
        <v>#N/A</v>
      </c>
      <c r="L1457" s="59"/>
      <c r="M1457" s="59"/>
      <c r="N1457" s="59"/>
      <c r="O1457" s="59"/>
      <c r="P1457" s="59"/>
      <c r="Q1457" s="59"/>
    </row>
    <row r="1458" spans="1:20">
      <c r="A1458" s="90">
        <v>127811226742</v>
      </c>
      <c r="B1458" s="1" t="s">
        <v>8</v>
      </c>
      <c r="C1458" s="43" t="s">
        <v>1982</v>
      </c>
      <c r="D1458" s="1" t="s">
        <v>1780</v>
      </c>
      <c r="E1458" s="43" t="s">
        <v>1982</v>
      </c>
      <c r="F1458" s="37" t="s">
        <v>1782</v>
      </c>
      <c r="G1458" s="44">
        <v>9500</v>
      </c>
      <c r="H1458" s="44">
        <v>57</v>
      </c>
      <c r="K1458" s="4" t="e">
        <f>VLOOKUP(A1458,Detallado!$C$5:$H$1570,6,FALSE)</f>
        <v>#N/A</v>
      </c>
      <c r="L1458" s="59"/>
      <c r="M1458" s="59"/>
      <c r="N1458" s="59"/>
      <c r="O1458" s="59"/>
      <c r="P1458" s="59"/>
      <c r="Q1458" s="59"/>
    </row>
    <row r="1459" spans="1:20">
      <c r="A1459" s="90">
        <v>127811111728</v>
      </c>
      <c r="B1459" s="1" t="s">
        <v>1790</v>
      </c>
      <c r="C1459" s="43" t="s">
        <v>1982</v>
      </c>
      <c r="D1459" s="1" t="s">
        <v>1780</v>
      </c>
      <c r="E1459" s="43" t="s">
        <v>1982</v>
      </c>
      <c r="F1459" s="37" t="s">
        <v>1782</v>
      </c>
      <c r="G1459" s="44">
        <v>9500</v>
      </c>
      <c r="H1459" s="44">
        <v>57</v>
      </c>
      <c r="K1459" s="4" t="e">
        <f>VLOOKUP(A1459,Detallado!$C$5:$H$1570,6,FALSE)</f>
        <v>#N/A</v>
      </c>
    </row>
    <row r="1460" spans="1:20">
      <c r="A1460" s="90">
        <v>127811071464</v>
      </c>
      <c r="B1460" s="1" t="s">
        <v>8</v>
      </c>
      <c r="C1460" s="43" t="s">
        <v>1982</v>
      </c>
      <c r="D1460" s="1" t="s">
        <v>1780</v>
      </c>
      <c r="E1460" s="43" t="s">
        <v>1982</v>
      </c>
      <c r="F1460" s="37" t="s">
        <v>1782</v>
      </c>
      <c r="G1460" s="44">
        <v>23800</v>
      </c>
      <c r="H1460" s="44">
        <v>142.80000000000001</v>
      </c>
      <c r="K1460" s="4" t="e">
        <f>VLOOKUP(A1460,Detallado!$C$5:$H$1570,6,FALSE)</f>
        <v>#N/A</v>
      </c>
    </row>
    <row r="1461" spans="1:20">
      <c r="A1461" s="90">
        <v>127810724012</v>
      </c>
      <c r="B1461" s="1" t="s">
        <v>1790</v>
      </c>
      <c r="C1461" s="43" t="s">
        <v>1982</v>
      </c>
      <c r="D1461" s="1" t="s">
        <v>1780</v>
      </c>
      <c r="E1461" s="43" t="s">
        <v>1982</v>
      </c>
      <c r="F1461" s="37" t="s">
        <v>1782</v>
      </c>
      <c r="G1461" s="44">
        <v>9500</v>
      </c>
      <c r="H1461" s="44">
        <v>57</v>
      </c>
      <c r="K1461" s="4" t="e">
        <f>VLOOKUP(A1461,Detallado!$C$5:$H$1570,6,FALSE)</f>
        <v>#N/A</v>
      </c>
    </row>
    <row r="1462" spans="1:20">
      <c r="A1462" s="90">
        <v>127810671348</v>
      </c>
      <c r="B1462" s="1" t="s">
        <v>1983</v>
      </c>
      <c r="C1462" s="43" t="s">
        <v>1982</v>
      </c>
      <c r="D1462" s="1" t="s">
        <v>1780</v>
      </c>
      <c r="E1462" s="43" t="s">
        <v>1982</v>
      </c>
      <c r="F1462" s="37" t="s">
        <v>1782</v>
      </c>
      <c r="G1462" s="44">
        <v>1800</v>
      </c>
      <c r="H1462" s="44">
        <v>10.8</v>
      </c>
      <c r="K1462" s="4" t="e">
        <f>VLOOKUP(A1462,Detallado!$C$5:$H$1570,6,FALSE)</f>
        <v>#N/A</v>
      </c>
    </row>
    <row r="1463" spans="1:20">
      <c r="A1463" s="90">
        <v>127810660446</v>
      </c>
      <c r="B1463" s="1" t="s">
        <v>8</v>
      </c>
      <c r="C1463" s="43" t="s">
        <v>1982</v>
      </c>
      <c r="D1463" s="1" t="s">
        <v>1780</v>
      </c>
      <c r="E1463" s="43" t="s">
        <v>1982</v>
      </c>
      <c r="F1463" s="37" t="s">
        <v>1782</v>
      </c>
      <c r="G1463" s="44">
        <v>11300</v>
      </c>
      <c r="H1463" s="44">
        <v>67.8</v>
      </c>
      <c r="K1463" s="4" t="e">
        <f>VLOOKUP(A1463,Detallado!$C$5:$H$1570,6,FALSE)</f>
        <v>#N/A</v>
      </c>
    </row>
    <row r="1464" spans="1:20">
      <c r="A1464" s="90">
        <v>127810601972</v>
      </c>
      <c r="B1464" s="1" t="s">
        <v>8</v>
      </c>
      <c r="C1464" s="43" t="s">
        <v>1982</v>
      </c>
      <c r="D1464" s="1" t="s">
        <v>1780</v>
      </c>
      <c r="E1464" s="43" t="s">
        <v>1982</v>
      </c>
      <c r="F1464" s="37" t="s">
        <v>1782</v>
      </c>
      <c r="G1464" s="44">
        <v>18000</v>
      </c>
      <c r="H1464" s="44">
        <v>108</v>
      </c>
      <c r="K1464" s="4" t="e">
        <f>VLOOKUP(A1464,Detallado!$C$5:$H$1570,6,FALSE)</f>
        <v>#N/A</v>
      </c>
    </row>
    <row r="1465" spans="1:20">
      <c r="A1465" s="90">
        <v>127331388995</v>
      </c>
      <c r="B1465" s="1" t="s">
        <v>1992</v>
      </c>
      <c r="C1465" s="43" t="s">
        <v>1982</v>
      </c>
      <c r="D1465" s="1" t="s">
        <v>1780</v>
      </c>
      <c r="E1465" s="43" t="s">
        <v>1982</v>
      </c>
      <c r="F1465" s="37" t="s">
        <v>1782</v>
      </c>
      <c r="G1465" s="44">
        <v>7510</v>
      </c>
      <c r="H1465" s="44">
        <v>45.06</v>
      </c>
      <c r="K1465" s="4" t="e">
        <f>VLOOKUP(A1465,Detallado!$C$5:$H$1570,6,FALSE)</f>
        <v>#N/A</v>
      </c>
    </row>
    <row r="1466" spans="1:20">
      <c r="A1466" s="90">
        <v>127331380259</v>
      </c>
      <c r="B1466" s="1" t="s">
        <v>8</v>
      </c>
      <c r="C1466" s="43" t="s">
        <v>1982</v>
      </c>
      <c r="D1466" s="1" t="s">
        <v>1780</v>
      </c>
      <c r="E1466" s="43" t="s">
        <v>1982</v>
      </c>
      <c r="F1466" s="37" t="s">
        <v>1782</v>
      </c>
      <c r="G1466" s="44">
        <v>35100</v>
      </c>
      <c r="H1466" s="44">
        <v>210.6</v>
      </c>
      <c r="K1466" s="4" t="e">
        <f>VLOOKUP(A1466,Detallado!$C$5:$H$1570,6,FALSE)</f>
        <v>#N/A</v>
      </c>
    </row>
    <row r="1467" spans="1:20">
      <c r="A1467" s="90">
        <v>127331363373</v>
      </c>
      <c r="B1467" s="1" t="s">
        <v>8</v>
      </c>
      <c r="C1467" s="43" t="s">
        <v>1982</v>
      </c>
      <c r="D1467" s="1" t="s">
        <v>1780</v>
      </c>
      <c r="E1467" s="43" t="s">
        <v>1982</v>
      </c>
      <c r="F1467" s="37" t="s">
        <v>1782</v>
      </c>
      <c r="G1467" s="44">
        <v>75100</v>
      </c>
      <c r="H1467" s="44">
        <v>450.6</v>
      </c>
      <c r="K1467" s="4" t="e">
        <f>VLOOKUP(A1467,Detallado!$C$5:$H$1570,6,FALSE)</f>
        <v>#N/A</v>
      </c>
    </row>
    <row r="1468" spans="1:20">
      <c r="A1468" s="90">
        <v>127331361971</v>
      </c>
      <c r="B1468" s="1" t="s">
        <v>8</v>
      </c>
      <c r="C1468" s="43" t="s">
        <v>1982</v>
      </c>
      <c r="D1468" s="1" t="s">
        <v>1780</v>
      </c>
      <c r="E1468" s="43" t="s">
        <v>1982</v>
      </c>
      <c r="F1468" s="37" t="s">
        <v>1782</v>
      </c>
      <c r="G1468" s="44">
        <v>34600</v>
      </c>
      <c r="H1468" s="44">
        <v>207.6</v>
      </c>
      <c r="K1468" s="4" t="e">
        <f>VLOOKUP(A1468,Detallado!$C$5:$H$1570,6,FALSE)</f>
        <v>#N/A</v>
      </c>
    </row>
    <row r="1469" spans="1:20">
      <c r="A1469" s="90">
        <v>127331234613</v>
      </c>
      <c r="B1469" s="1" t="s">
        <v>8</v>
      </c>
      <c r="C1469" s="43" t="s">
        <v>1982</v>
      </c>
      <c r="D1469" s="1" t="s">
        <v>1780</v>
      </c>
      <c r="E1469" s="43" t="s">
        <v>1982</v>
      </c>
      <c r="F1469" s="37" t="s">
        <v>1782</v>
      </c>
      <c r="G1469" s="44">
        <v>36000</v>
      </c>
      <c r="H1469" s="44">
        <v>216</v>
      </c>
      <c r="K1469" s="4" t="e">
        <f>VLOOKUP(A1469,Detallado!$C$5:$H$1570,6,FALSE)</f>
        <v>#N/A</v>
      </c>
    </row>
    <row r="1470" spans="1:20">
      <c r="A1470" s="90">
        <v>127331112049</v>
      </c>
      <c r="B1470" s="1" t="s">
        <v>1997</v>
      </c>
      <c r="C1470" s="43" t="s">
        <v>1982</v>
      </c>
      <c r="D1470" s="1" t="s">
        <v>1780</v>
      </c>
      <c r="E1470" s="43" t="s">
        <v>1982</v>
      </c>
      <c r="F1470" s="37" t="s">
        <v>1782</v>
      </c>
      <c r="G1470" s="44">
        <v>3600</v>
      </c>
      <c r="H1470" s="44">
        <v>21.6</v>
      </c>
      <c r="K1470" s="4" t="e">
        <f>VLOOKUP(A1470,Detallado!$C$5:$H$1570,6,FALSE)</f>
        <v>#N/A</v>
      </c>
    </row>
    <row r="1471" spans="1:20">
      <c r="A1471" s="90">
        <v>127330998645</v>
      </c>
      <c r="B1471" s="1" t="s">
        <v>1790</v>
      </c>
      <c r="C1471" s="43" t="s">
        <v>1982</v>
      </c>
      <c r="D1471" s="1" t="s">
        <v>1780</v>
      </c>
      <c r="E1471" s="43" t="s">
        <v>1982</v>
      </c>
      <c r="F1471" s="37" t="s">
        <v>1782</v>
      </c>
      <c r="G1471" s="44">
        <v>39680</v>
      </c>
      <c r="H1471" s="44">
        <v>238.08</v>
      </c>
      <c r="K1471" s="4" t="e">
        <f>VLOOKUP(A1471,Detallado!$C$5:$H$1570,6,FALSE)</f>
        <v>#N/A</v>
      </c>
    </row>
    <row r="1472" spans="1:20">
      <c r="A1472" s="90">
        <v>127330733001</v>
      </c>
      <c r="B1472" s="1" t="s">
        <v>8</v>
      </c>
      <c r="C1472" s="43" t="s">
        <v>1982</v>
      </c>
      <c r="D1472" s="1" t="s">
        <v>1780</v>
      </c>
      <c r="E1472" s="43" t="s">
        <v>1982</v>
      </c>
      <c r="F1472" s="37" t="s">
        <v>1782</v>
      </c>
      <c r="G1472" s="44">
        <v>36400</v>
      </c>
      <c r="H1472" s="44">
        <v>218.4</v>
      </c>
      <c r="K1472" s="4" t="e">
        <f>VLOOKUP(A1472,Detallado!$C$5:$H$1570,6,FALSE)</f>
        <v>#N/A</v>
      </c>
      <c r="S1472" s="4"/>
      <c r="T1472" s="66"/>
    </row>
    <row r="1473" spans="1:20">
      <c r="A1473" s="90">
        <v>127329669179</v>
      </c>
      <c r="B1473" s="1" t="s">
        <v>8</v>
      </c>
      <c r="C1473" s="43" t="s">
        <v>1982</v>
      </c>
      <c r="D1473" s="1" t="s">
        <v>1780</v>
      </c>
      <c r="E1473" s="43" t="s">
        <v>1982</v>
      </c>
      <c r="F1473" s="37" t="s">
        <v>1782</v>
      </c>
      <c r="G1473" s="44">
        <v>29500</v>
      </c>
      <c r="H1473" s="44">
        <v>177</v>
      </c>
      <c r="K1473" s="4" t="e">
        <f>VLOOKUP(A1473,Detallado!$C$5:$H$1570,6,FALSE)</f>
        <v>#N/A</v>
      </c>
    </row>
    <row r="1474" spans="1:20">
      <c r="A1474" s="90">
        <v>127329483271</v>
      </c>
      <c r="B1474" s="1" t="s">
        <v>1790</v>
      </c>
      <c r="C1474" s="43" t="s">
        <v>1982</v>
      </c>
      <c r="D1474" s="1" t="s">
        <v>1780</v>
      </c>
      <c r="E1474" s="43" t="s">
        <v>1982</v>
      </c>
      <c r="F1474" s="37" t="s">
        <v>1782</v>
      </c>
      <c r="G1474" s="44">
        <v>42000</v>
      </c>
      <c r="H1474" s="44">
        <v>252</v>
      </c>
      <c r="K1474" s="4" t="e">
        <f>VLOOKUP(A1474,Detallado!$C$5:$H$1570,6,FALSE)</f>
        <v>#N/A</v>
      </c>
    </row>
    <row r="1475" spans="1:20">
      <c r="A1475" s="90">
        <v>127329293865</v>
      </c>
      <c r="B1475" s="1" t="s">
        <v>1790</v>
      </c>
      <c r="C1475" s="43" t="s">
        <v>1982</v>
      </c>
      <c r="D1475" s="1" t="s">
        <v>1780</v>
      </c>
      <c r="E1475" s="43" t="s">
        <v>1982</v>
      </c>
      <c r="F1475" s="37" t="s">
        <v>1782</v>
      </c>
      <c r="G1475" s="44">
        <v>37300</v>
      </c>
      <c r="H1475" s="44">
        <v>223.8</v>
      </c>
      <c r="K1475" s="4" t="e">
        <f>VLOOKUP(A1475,Detallado!$C$5:$H$1570,6,FALSE)</f>
        <v>#N/A</v>
      </c>
    </row>
    <row r="1476" spans="1:20">
      <c r="A1476" s="90">
        <v>127328855521</v>
      </c>
      <c r="B1476" s="1" t="s">
        <v>8</v>
      </c>
      <c r="C1476" s="43" t="s">
        <v>1982</v>
      </c>
      <c r="D1476" s="1" t="s">
        <v>1780</v>
      </c>
      <c r="E1476" s="43" t="s">
        <v>1982</v>
      </c>
      <c r="F1476" s="37" t="s">
        <v>1782</v>
      </c>
      <c r="G1476" s="44">
        <v>34000</v>
      </c>
      <c r="H1476" s="44">
        <v>204</v>
      </c>
      <c r="K1476" s="4" t="e">
        <f>VLOOKUP(A1476,Detallado!$C$5:$H$1570,6,FALSE)</f>
        <v>#N/A</v>
      </c>
    </row>
    <row r="1477" spans="1:20">
      <c r="A1477" s="90">
        <v>127328690661</v>
      </c>
      <c r="B1477" s="1" t="s">
        <v>8</v>
      </c>
      <c r="C1477" s="43" t="s">
        <v>1982</v>
      </c>
      <c r="D1477" s="1" t="s">
        <v>1780</v>
      </c>
      <c r="E1477" s="43" t="s">
        <v>1982</v>
      </c>
      <c r="F1477" s="37" t="s">
        <v>1782</v>
      </c>
      <c r="G1477" s="44">
        <v>25800</v>
      </c>
      <c r="H1477" s="44">
        <v>154.80000000000001</v>
      </c>
      <c r="K1477" s="4" t="e">
        <f>VLOOKUP(A1477,Detallado!$C$5:$H$1570,6,FALSE)</f>
        <v>#N/A</v>
      </c>
    </row>
    <row r="1478" spans="1:20">
      <c r="A1478" s="90">
        <v>127327134359</v>
      </c>
      <c r="B1478" s="1" t="s">
        <v>8</v>
      </c>
      <c r="C1478" s="43" t="s">
        <v>1982</v>
      </c>
      <c r="D1478" s="1" t="s">
        <v>1780</v>
      </c>
      <c r="E1478" s="43" t="s">
        <v>1982</v>
      </c>
      <c r="F1478" s="37" t="s">
        <v>1782</v>
      </c>
      <c r="G1478" s="44">
        <v>4700</v>
      </c>
      <c r="H1478" s="44">
        <v>28.2</v>
      </c>
      <c r="K1478" s="4" t="e">
        <f>VLOOKUP(A1478,Detallado!$C$5:$H$1570,6,FALSE)</f>
        <v>#N/A</v>
      </c>
    </row>
    <row r="1479" spans="1:20">
      <c r="A1479" s="90">
        <v>127324806483</v>
      </c>
      <c r="B1479" s="1" t="s">
        <v>8</v>
      </c>
      <c r="C1479" s="43" t="s">
        <v>1982</v>
      </c>
      <c r="D1479" s="1" t="s">
        <v>1780</v>
      </c>
      <c r="E1479" s="43" t="s">
        <v>1982</v>
      </c>
      <c r="F1479" s="37" t="s">
        <v>1782</v>
      </c>
      <c r="G1479" s="44">
        <v>26700</v>
      </c>
      <c r="H1479" s="44">
        <v>160.19999999999999</v>
      </c>
      <c r="K1479" s="4" t="e">
        <f>VLOOKUP(A1479,Detallado!$C$5:$H$1570,6,FALSE)</f>
        <v>#N/A</v>
      </c>
    </row>
    <row r="1480" spans="1:20">
      <c r="A1480" s="90">
        <v>127323985443</v>
      </c>
      <c r="B1480" s="1" t="s">
        <v>1994</v>
      </c>
      <c r="C1480" s="43" t="s">
        <v>1982</v>
      </c>
      <c r="D1480" s="1" t="s">
        <v>1780</v>
      </c>
      <c r="E1480" s="43" t="s">
        <v>1982</v>
      </c>
      <c r="F1480" s="37" t="s">
        <v>1782</v>
      </c>
      <c r="G1480" s="44">
        <v>265</v>
      </c>
      <c r="H1480" s="44">
        <v>1.59</v>
      </c>
      <c r="K1480" s="4" t="e">
        <f>VLOOKUP(A1480,Detallado!$C$5:$H$1570,6,FALSE)</f>
        <v>#N/A</v>
      </c>
    </row>
    <row r="1481" spans="1:20">
      <c r="A1481" s="90">
        <v>127321838171</v>
      </c>
      <c r="B1481" s="1" t="s">
        <v>8</v>
      </c>
      <c r="C1481" s="43" t="s">
        <v>1982</v>
      </c>
      <c r="D1481" s="1" t="s">
        <v>1780</v>
      </c>
      <c r="E1481" s="43" t="s">
        <v>1982</v>
      </c>
      <c r="F1481" s="37" t="s">
        <v>1782</v>
      </c>
      <c r="G1481" s="44">
        <v>9000</v>
      </c>
      <c r="H1481" s="44">
        <v>54</v>
      </c>
      <c r="K1481" s="4" t="e">
        <f>VLOOKUP(A1481,Detallado!$C$5:$H$1570,6,FALSE)</f>
        <v>#N/A</v>
      </c>
    </row>
    <row r="1482" spans="1:20">
      <c r="A1482" s="90">
        <v>127321523307</v>
      </c>
      <c r="B1482" s="1" t="s">
        <v>1790</v>
      </c>
      <c r="C1482" s="43" t="s">
        <v>1982</v>
      </c>
      <c r="D1482" s="1" t="s">
        <v>1780</v>
      </c>
      <c r="E1482" s="43" t="s">
        <v>1982</v>
      </c>
      <c r="F1482" s="37" t="s">
        <v>1782</v>
      </c>
      <c r="G1482" s="44">
        <v>64000</v>
      </c>
      <c r="H1482" s="44">
        <v>384</v>
      </c>
      <c r="K1482" s="4" t="e">
        <f>VLOOKUP(A1482,Detallado!$C$5:$H$1570,6,FALSE)</f>
        <v>#N/A</v>
      </c>
    </row>
    <row r="1483" spans="1:20">
      <c r="A1483" s="90">
        <v>127319914109</v>
      </c>
      <c r="B1483" s="1" t="s">
        <v>1790</v>
      </c>
      <c r="C1483" s="43" t="s">
        <v>1982</v>
      </c>
      <c r="D1483" s="1" t="s">
        <v>1780</v>
      </c>
      <c r="E1483" s="43" t="s">
        <v>1982</v>
      </c>
      <c r="F1483" s="37" t="s">
        <v>1782</v>
      </c>
      <c r="G1483" s="44">
        <v>47500</v>
      </c>
      <c r="H1483" s="44">
        <v>285</v>
      </c>
      <c r="K1483" s="4" t="e">
        <f>VLOOKUP(A1483,Detallado!$C$5:$H$1570,6,FALSE)</f>
        <v>#N/A</v>
      </c>
    </row>
    <row r="1484" spans="1:20">
      <c r="A1484" s="90">
        <v>127319553663</v>
      </c>
      <c r="B1484" s="1" t="s">
        <v>1790</v>
      </c>
      <c r="C1484" s="43" t="s">
        <v>1982</v>
      </c>
      <c r="D1484" s="1" t="s">
        <v>1780</v>
      </c>
      <c r="E1484" s="43" t="s">
        <v>1982</v>
      </c>
      <c r="F1484" s="37" t="s">
        <v>1782</v>
      </c>
      <c r="G1484" s="44">
        <v>34700</v>
      </c>
      <c r="H1484" s="44">
        <v>208.2</v>
      </c>
      <c r="K1484" s="4" t="e">
        <f>VLOOKUP(A1484,Detallado!$C$5:$H$1570,6,FALSE)</f>
        <v>#N/A</v>
      </c>
    </row>
    <row r="1485" spans="1:20">
      <c r="A1485" s="90">
        <v>127317995411</v>
      </c>
      <c r="B1485" s="1" t="s">
        <v>1790</v>
      </c>
      <c r="C1485" s="43" t="s">
        <v>1982</v>
      </c>
      <c r="D1485" s="1" t="s">
        <v>1780</v>
      </c>
      <c r="E1485" s="43" t="s">
        <v>1982</v>
      </c>
      <c r="F1485" s="37" t="s">
        <v>1782</v>
      </c>
      <c r="G1485" s="44">
        <v>13700</v>
      </c>
      <c r="H1485" s="44">
        <v>82.2</v>
      </c>
      <c r="K1485" s="4" t="e">
        <f>VLOOKUP(A1485,Detallado!$C$5:$H$1570,6,FALSE)</f>
        <v>#N/A</v>
      </c>
    </row>
    <row r="1486" spans="1:20">
      <c r="A1486" s="90">
        <v>127317375181</v>
      </c>
      <c r="B1486" s="1" t="s">
        <v>8</v>
      </c>
      <c r="C1486" s="43" t="s">
        <v>1982</v>
      </c>
      <c r="D1486" s="1" t="s">
        <v>1780</v>
      </c>
      <c r="E1486" s="43" t="s">
        <v>1982</v>
      </c>
      <c r="F1486" s="37" t="s">
        <v>1782</v>
      </c>
      <c r="G1486" s="44">
        <v>2200</v>
      </c>
      <c r="H1486" s="44">
        <v>13.2</v>
      </c>
      <c r="K1486" s="4" t="e">
        <f>VLOOKUP(A1486,Detallado!$C$5:$H$1570,6,FALSE)</f>
        <v>#N/A</v>
      </c>
      <c r="S1486" s="4"/>
      <c r="T1486" s="66"/>
    </row>
    <row r="1487" spans="1:20">
      <c r="A1487" s="90">
        <v>127315514443</v>
      </c>
      <c r="B1487" s="1" t="s">
        <v>1790</v>
      </c>
      <c r="C1487" s="43" t="s">
        <v>1982</v>
      </c>
      <c r="D1487" s="1" t="s">
        <v>1780</v>
      </c>
      <c r="E1487" s="43" t="s">
        <v>1982</v>
      </c>
      <c r="F1487" s="37" t="s">
        <v>1782</v>
      </c>
      <c r="G1487" s="44">
        <v>7200</v>
      </c>
      <c r="H1487" s="44">
        <v>43.2</v>
      </c>
      <c r="K1487" s="4" t="e">
        <f>VLOOKUP(A1487,Detallado!$C$5:$H$1570,6,FALSE)</f>
        <v>#N/A</v>
      </c>
    </row>
    <row r="1488" spans="1:20">
      <c r="A1488" s="90">
        <v>127252261571</v>
      </c>
      <c r="B1488" s="1" t="s">
        <v>1987</v>
      </c>
      <c r="C1488" s="43" t="s">
        <v>1982</v>
      </c>
      <c r="D1488" s="1" t="s">
        <v>1780</v>
      </c>
      <c r="E1488" s="43" t="s">
        <v>1982</v>
      </c>
      <c r="F1488" s="37" t="s">
        <v>1782</v>
      </c>
      <c r="G1488" s="44">
        <v>800</v>
      </c>
      <c r="H1488" s="44">
        <v>4.8</v>
      </c>
      <c r="K1488" s="4" t="e">
        <f>VLOOKUP(A1488,Detallado!$C$5:$H$1570,6,FALSE)</f>
        <v>#N/A</v>
      </c>
      <c r="S1488" s="4"/>
      <c r="T1488" s="66"/>
    </row>
    <row r="1489" spans="1:17">
      <c r="A1489" s="90">
        <v>127252239517</v>
      </c>
      <c r="B1489" s="1" t="s">
        <v>1990</v>
      </c>
      <c r="C1489" s="43" t="s">
        <v>1982</v>
      </c>
      <c r="D1489" s="1" t="s">
        <v>1780</v>
      </c>
      <c r="E1489" s="43" t="s">
        <v>1982</v>
      </c>
      <c r="F1489" s="37" t="s">
        <v>1782</v>
      </c>
      <c r="G1489" s="44">
        <v>1010</v>
      </c>
      <c r="H1489" s="44">
        <v>6.06</v>
      </c>
      <c r="K1489" s="4" t="e">
        <f>VLOOKUP(A1489,Detallado!$C$5:$H$1570,6,FALSE)</f>
        <v>#N/A</v>
      </c>
    </row>
    <row r="1490" spans="1:17">
      <c r="A1490" s="90">
        <v>127252236479</v>
      </c>
      <c r="B1490" s="1" t="s">
        <v>1790</v>
      </c>
      <c r="C1490" s="43" t="s">
        <v>1982</v>
      </c>
      <c r="D1490" s="1" t="s">
        <v>1780</v>
      </c>
      <c r="E1490" s="43" t="s">
        <v>1982</v>
      </c>
      <c r="F1490" s="37" t="s">
        <v>1782</v>
      </c>
      <c r="G1490" s="44">
        <v>25200</v>
      </c>
      <c r="H1490" s="44">
        <v>151.19999999999999</v>
      </c>
      <c r="K1490" s="4" t="e">
        <f>VLOOKUP(A1490,Detallado!$C$5:$H$1570,6,FALSE)</f>
        <v>#N/A</v>
      </c>
    </row>
    <row r="1491" spans="1:17">
      <c r="A1491" s="90">
        <v>127252116403</v>
      </c>
      <c r="B1491" s="1" t="s">
        <v>8</v>
      </c>
      <c r="C1491" s="43" t="s">
        <v>1982</v>
      </c>
      <c r="D1491" s="1" t="s">
        <v>1780</v>
      </c>
      <c r="E1491" s="43" t="s">
        <v>1982</v>
      </c>
      <c r="F1491" s="37" t="s">
        <v>1782</v>
      </c>
      <c r="G1491" s="44">
        <v>4700</v>
      </c>
      <c r="H1491" s="44">
        <v>28.2</v>
      </c>
      <c r="K1491" s="4" t="e">
        <f>VLOOKUP(A1491,Detallado!$C$5:$H$1570,6,FALSE)</f>
        <v>#N/A</v>
      </c>
    </row>
    <row r="1492" spans="1:17">
      <c r="A1492" s="90">
        <v>127251920723</v>
      </c>
      <c r="B1492" s="1" t="s">
        <v>1989</v>
      </c>
      <c r="C1492" s="43" t="s">
        <v>1982</v>
      </c>
      <c r="D1492" s="1" t="s">
        <v>1780</v>
      </c>
      <c r="E1492" s="43" t="s">
        <v>1982</v>
      </c>
      <c r="F1492" s="37" t="s">
        <v>1782</v>
      </c>
      <c r="G1492" s="44">
        <v>12350</v>
      </c>
      <c r="H1492" s="44">
        <v>74.099999999999994</v>
      </c>
      <c r="K1492" s="4" t="e">
        <f>VLOOKUP(A1492,Detallado!$C$5:$H$1570,6,FALSE)</f>
        <v>#N/A</v>
      </c>
    </row>
    <row r="1493" spans="1:17">
      <c r="A1493" s="90">
        <v>127251757799</v>
      </c>
      <c r="B1493" s="1" t="s">
        <v>8</v>
      </c>
      <c r="C1493" s="43" t="s">
        <v>1982</v>
      </c>
      <c r="D1493" s="1" t="s">
        <v>1780</v>
      </c>
      <c r="E1493" s="43" t="s">
        <v>1982</v>
      </c>
      <c r="F1493" s="37" t="s">
        <v>1782</v>
      </c>
      <c r="G1493" s="44">
        <v>14500</v>
      </c>
      <c r="H1493" s="44">
        <v>87</v>
      </c>
      <c r="K1493" s="4" t="e">
        <f>VLOOKUP(A1493,Detallado!$C$5:$H$1570,6,FALSE)</f>
        <v>#N/A</v>
      </c>
    </row>
    <row r="1494" spans="1:17">
      <c r="A1494" s="90">
        <v>127251614945</v>
      </c>
      <c r="B1494" s="1" t="s">
        <v>8</v>
      </c>
      <c r="C1494" s="43" t="s">
        <v>1982</v>
      </c>
      <c r="D1494" s="1" t="s">
        <v>1780</v>
      </c>
      <c r="E1494" s="43" t="s">
        <v>1982</v>
      </c>
      <c r="F1494" s="37" t="s">
        <v>1782</v>
      </c>
      <c r="G1494" s="44">
        <v>21400</v>
      </c>
      <c r="H1494" s="44">
        <v>128.4</v>
      </c>
      <c r="K1494" s="4" t="e">
        <f>VLOOKUP(A1494,Detallado!$C$5:$H$1570,6,FALSE)</f>
        <v>#N/A</v>
      </c>
    </row>
    <row r="1495" spans="1:17">
      <c r="A1495" s="90">
        <v>127251212637</v>
      </c>
      <c r="B1495" s="1" t="s">
        <v>8</v>
      </c>
      <c r="C1495" s="43" t="s">
        <v>1982</v>
      </c>
      <c r="D1495" s="1" t="s">
        <v>1780</v>
      </c>
      <c r="E1495" s="43" t="s">
        <v>1982</v>
      </c>
      <c r="F1495" s="37" t="s">
        <v>1782</v>
      </c>
      <c r="G1495" s="44">
        <v>4700</v>
      </c>
      <c r="H1495" s="44">
        <v>28.2</v>
      </c>
      <c r="K1495" s="4" t="e">
        <f>VLOOKUP(A1495,Detallado!$C$5:$H$1570,6,FALSE)</f>
        <v>#N/A</v>
      </c>
    </row>
    <row r="1496" spans="1:17">
      <c r="A1496" s="90">
        <v>127250308065</v>
      </c>
      <c r="B1496" s="1" t="s">
        <v>1790</v>
      </c>
      <c r="C1496" s="43" t="s">
        <v>1982</v>
      </c>
      <c r="D1496" s="1" t="s">
        <v>1780</v>
      </c>
      <c r="E1496" s="43" t="s">
        <v>1982</v>
      </c>
      <c r="F1496" s="37" t="s">
        <v>1782</v>
      </c>
      <c r="G1496" s="44">
        <v>17100</v>
      </c>
      <c r="H1496" s="44">
        <v>102.6</v>
      </c>
      <c r="K1496" s="4" t="e">
        <f>VLOOKUP(A1496,Detallado!$C$5:$H$1570,6,FALSE)</f>
        <v>#N/A</v>
      </c>
    </row>
    <row r="1497" spans="1:17">
      <c r="A1497" s="90">
        <v>127250134163</v>
      </c>
      <c r="B1497" s="1" t="s">
        <v>8</v>
      </c>
      <c r="C1497" s="43" t="s">
        <v>1982</v>
      </c>
      <c r="D1497" s="1" t="s">
        <v>1780</v>
      </c>
      <c r="E1497" s="43" t="s">
        <v>1982</v>
      </c>
      <c r="F1497" s="37" t="s">
        <v>1782</v>
      </c>
      <c r="G1497" s="44">
        <v>223700</v>
      </c>
      <c r="H1497" s="44">
        <v>1342.2</v>
      </c>
      <c r="K1497" s="4" t="e">
        <f>VLOOKUP(A1497,Detallado!$C$5:$H$1570,6,FALSE)</f>
        <v>#N/A</v>
      </c>
    </row>
    <row r="1498" spans="1:17">
      <c r="A1498" s="90">
        <v>127250089189</v>
      </c>
      <c r="B1498" s="1" t="s">
        <v>1988</v>
      </c>
      <c r="C1498" s="43" t="s">
        <v>1982</v>
      </c>
      <c r="D1498" s="1" t="s">
        <v>1780</v>
      </c>
      <c r="E1498" s="43" t="s">
        <v>1982</v>
      </c>
      <c r="F1498" s="37" t="s">
        <v>1782</v>
      </c>
      <c r="G1498" s="44">
        <v>1155</v>
      </c>
      <c r="H1498" s="44">
        <v>6.93</v>
      </c>
      <c r="K1498" s="4" t="e">
        <f>VLOOKUP(A1498,Detallado!$C$5:$H$1570,6,FALSE)</f>
        <v>#N/A</v>
      </c>
    </row>
    <row r="1499" spans="1:17">
      <c r="A1499" s="90">
        <v>127248937077</v>
      </c>
      <c r="B1499" s="1" t="s">
        <v>8</v>
      </c>
      <c r="C1499" s="43" t="s">
        <v>1982</v>
      </c>
      <c r="D1499" s="1" t="s">
        <v>1780</v>
      </c>
      <c r="E1499" s="43" t="s">
        <v>1982</v>
      </c>
      <c r="F1499" s="37" t="s">
        <v>1782</v>
      </c>
      <c r="G1499" s="44">
        <v>115400</v>
      </c>
      <c r="H1499" s="44">
        <v>692.4</v>
      </c>
      <c r="K1499" s="4" t="e">
        <f>VLOOKUP(A1499,Detallado!$C$5:$H$1570,6,FALSE)</f>
        <v>#N/A</v>
      </c>
    </row>
    <row r="1500" spans="1:17">
      <c r="A1500" s="90">
        <v>127248897113</v>
      </c>
      <c r="B1500" s="1" t="s">
        <v>1790</v>
      </c>
      <c r="C1500" s="43" t="s">
        <v>1982</v>
      </c>
      <c r="D1500" s="1" t="s">
        <v>1780</v>
      </c>
      <c r="E1500" s="43" t="s">
        <v>1982</v>
      </c>
      <c r="F1500" s="37" t="s">
        <v>1782</v>
      </c>
      <c r="G1500" s="44">
        <v>38900</v>
      </c>
      <c r="H1500" s="44">
        <v>233.4</v>
      </c>
      <c r="K1500" s="4" t="e">
        <f>VLOOKUP(A1500,Detallado!$C$5:$H$1570,6,FALSE)</f>
        <v>#N/A</v>
      </c>
    </row>
    <row r="1501" spans="1:17">
      <c r="A1501" s="90">
        <v>127248792915</v>
      </c>
      <c r="B1501" s="1" t="s">
        <v>1790</v>
      </c>
      <c r="C1501" s="43" t="s">
        <v>1982</v>
      </c>
      <c r="D1501" s="1" t="s">
        <v>1780</v>
      </c>
      <c r="E1501" s="43" t="s">
        <v>1982</v>
      </c>
      <c r="F1501" s="37" t="s">
        <v>1782</v>
      </c>
      <c r="G1501" s="44">
        <v>13900</v>
      </c>
      <c r="H1501" s="44">
        <v>83.4</v>
      </c>
      <c r="K1501" s="4" t="e">
        <f>VLOOKUP(A1501,Detallado!$C$5:$H$1570,6,FALSE)</f>
        <v>#N/A</v>
      </c>
    </row>
    <row r="1502" spans="1:17">
      <c r="A1502" s="90">
        <v>127896570932</v>
      </c>
      <c r="B1502" s="1" t="s">
        <v>1998</v>
      </c>
      <c r="C1502" s="43" t="s">
        <v>1982</v>
      </c>
      <c r="D1502" s="1" t="s">
        <v>1780</v>
      </c>
      <c r="E1502" s="43" t="s">
        <v>1993</v>
      </c>
      <c r="F1502" s="37" t="s">
        <v>1782</v>
      </c>
      <c r="G1502" s="44">
        <v>2465</v>
      </c>
      <c r="H1502" s="44">
        <v>14.79</v>
      </c>
      <c r="K1502" s="4" t="e">
        <f>VLOOKUP(A1502,Detallado!$C$5:$H$1570,6,FALSE)</f>
        <v>#N/A</v>
      </c>
      <c r="L1502" s="59"/>
      <c r="M1502" s="59"/>
      <c r="N1502" s="59"/>
      <c r="O1502" s="59"/>
      <c r="P1502" s="59"/>
      <c r="Q1502" s="59"/>
    </row>
    <row r="1503" spans="1:17">
      <c r="A1503" s="90">
        <v>127895917768</v>
      </c>
      <c r="B1503" s="1" t="s">
        <v>8</v>
      </c>
      <c r="C1503" s="43" t="s">
        <v>1982</v>
      </c>
      <c r="D1503" s="1" t="s">
        <v>1780</v>
      </c>
      <c r="E1503" s="43" t="s">
        <v>1993</v>
      </c>
      <c r="F1503" s="37" t="s">
        <v>1782</v>
      </c>
      <c r="G1503" s="44">
        <v>10400</v>
      </c>
      <c r="H1503" s="44">
        <v>62.4</v>
      </c>
      <c r="K1503" s="4" t="e">
        <f>VLOOKUP(A1503,Detallado!$C$5:$H$1570,6,FALSE)</f>
        <v>#N/A</v>
      </c>
      <c r="L1503" s="59"/>
      <c r="M1503" s="59"/>
      <c r="N1503" s="59"/>
      <c r="O1503" s="59"/>
      <c r="P1503" s="59"/>
      <c r="Q1503" s="59"/>
    </row>
    <row r="1504" spans="1:17">
      <c r="A1504" s="90">
        <v>127895360758</v>
      </c>
      <c r="B1504" s="1" t="s">
        <v>8</v>
      </c>
      <c r="C1504" s="43" t="s">
        <v>1982</v>
      </c>
      <c r="D1504" s="1" t="s">
        <v>1780</v>
      </c>
      <c r="E1504" s="43" t="s">
        <v>1993</v>
      </c>
      <c r="F1504" s="37" t="s">
        <v>1782</v>
      </c>
      <c r="G1504" s="44">
        <v>31400</v>
      </c>
      <c r="H1504" s="44">
        <v>188.4</v>
      </c>
      <c r="K1504" s="4" t="e">
        <f>VLOOKUP(A1504,Detallado!$C$5:$H$1570,6,FALSE)</f>
        <v>#N/A</v>
      </c>
      <c r="L1504" s="59"/>
      <c r="M1504" s="59"/>
      <c r="N1504" s="59"/>
      <c r="O1504" s="59"/>
      <c r="P1504" s="59"/>
      <c r="Q1504" s="59"/>
    </row>
    <row r="1505" spans="1:17">
      <c r="A1505" s="90">
        <v>127895269884</v>
      </c>
      <c r="B1505" s="1" t="s">
        <v>1790</v>
      </c>
      <c r="C1505" s="43" t="s">
        <v>1982</v>
      </c>
      <c r="D1505" s="1" t="s">
        <v>1780</v>
      </c>
      <c r="E1505" s="43" t="s">
        <v>1993</v>
      </c>
      <c r="F1505" s="37" t="s">
        <v>1782</v>
      </c>
      <c r="G1505" s="44">
        <v>88300</v>
      </c>
      <c r="H1505" s="44">
        <v>529.79999999999995</v>
      </c>
      <c r="K1505" s="4" t="e">
        <f>VLOOKUP(A1505,Detallado!$C$5:$H$1570,6,FALSE)</f>
        <v>#N/A</v>
      </c>
      <c r="L1505" s="59"/>
      <c r="M1505" s="59"/>
      <c r="N1505" s="59"/>
      <c r="O1505" s="59"/>
      <c r="P1505" s="59"/>
      <c r="Q1505" s="59"/>
    </row>
    <row r="1506" spans="1:17">
      <c r="A1506" s="90">
        <v>127895243454</v>
      </c>
      <c r="B1506" s="1" t="s">
        <v>1790</v>
      </c>
      <c r="C1506" s="43" t="s">
        <v>1982</v>
      </c>
      <c r="D1506" s="1" t="s">
        <v>1780</v>
      </c>
      <c r="E1506" s="43" t="s">
        <v>1993</v>
      </c>
      <c r="F1506" s="37" t="s">
        <v>1782</v>
      </c>
      <c r="G1506" s="44">
        <v>10000</v>
      </c>
      <c r="H1506" s="44">
        <v>60</v>
      </c>
      <c r="K1506" s="4" t="e">
        <f>VLOOKUP(A1506,Detallado!$C$5:$H$1570,6,FALSE)</f>
        <v>#N/A</v>
      </c>
      <c r="L1506" s="59"/>
      <c r="M1506" s="59"/>
      <c r="N1506" s="59"/>
      <c r="O1506" s="59"/>
      <c r="P1506" s="59"/>
      <c r="Q1506" s="59"/>
    </row>
    <row r="1507" spans="1:17">
      <c r="A1507" s="90">
        <v>127894879810</v>
      </c>
      <c r="B1507" s="1" t="s">
        <v>8</v>
      </c>
      <c r="C1507" s="43" t="s">
        <v>1982</v>
      </c>
      <c r="D1507" s="1" t="s">
        <v>1780</v>
      </c>
      <c r="E1507" s="43" t="s">
        <v>1993</v>
      </c>
      <c r="F1507" s="37" t="s">
        <v>1782</v>
      </c>
      <c r="G1507" s="44">
        <v>49600</v>
      </c>
      <c r="H1507" s="44">
        <v>297.60000000000002</v>
      </c>
      <c r="K1507" s="4" t="e">
        <f>VLOOKUP(A1507,Detallado!$C$5:$H$1570,6,FALSE)</f>
        <v>#N/A</v>
      </c>
      <c r="L1507" s="59"/>
      <c r="M1507" s="59"/>
      <c r="N1507" s="59"/>
      <c r="O1507" s="59"/>
      <c r="P1507" s="59"/>
      <c r="Q1507" s="59"/>
    </row>
    <row r="1508" spans="1:17">
      <c r="A1508" s="90">
        <v>127894833394</v>
      </c>
      <c r="B1508" s="1" t="s">
        <v>8</v>
      </c>
      <c r="C1508" s="43" t="s">
        <v>1982</v>
      </c>
      <c r="D1508" s="1" t="s">
        <v>1780</v>
      </c>
      <c r="E1508" s="43" t="s">
        <v>1993</v>
      </c>
      <c r="F1508" s="37" t="s">
        <v>1782</v>
      </c>
      <c r="G1508" s="44">
        <v>27100</v>
      </c>
      <c r="H1508" s="44">
        <v>162.6</v>
      </c>
      <c r="K1508" s="4" t="e">
        <f>VLOOKUP(A1508,Detallado!$C$5:$H$1570,6,FALSE)</f>
        <v>#N/A</v>
      </c>
      <c r="L1508" s="59"/>
      <c r="M1508" s="59"/>
      <c r="N1508" s="59"/>
      <c r="O1508" s="59"/>
      <c r="P1508" s="59"/>
      <c r="Q1508" s="59"/>
    </row>
    <row r="1509" spans="1:17">
      <c r="A1509" s="90">
        <v>127894737706</v>
      </c>
      <c r="B1509" s="1" t="s">
        <v>8</v>
      </c>
      <c r="C1509" s="43" t="s">
        <v>1982</v>
      </c>
      <c r="D1509" s="1" t="s">
        <v>1780</v>
      </c>
      <c r="E1509" s="43" t="s">
        <v>1993</v>
      </c>
      <c r="F1509" s="37" t="s">
        <v>1782</v>
      </c>
      <c r="G1509" s="44">
        <v>24200</v>
      </c>
      <c r="H1509" s="44">
        <v>145.19999999999999</v>
      </c>
      <c r="K1509" s="4" t="e">
        <f>VLOOKUP(A1509,Detallado!$C$5:$H$1570,6,FALSE)</f>
        <v>#N/A</v>
      </c>
      <c r="L1509" s="59"/>
      <c r="M1509" s="59"/>
      <c r="N1509" s="59"/>
      <c r="O1509" s="59"/>
      <c r="P1509" s="59"/>
      <c r="Q1509" s="59"/>
    </row>
    <row r="1510" spans="1:17">
      <c r="A1510" s="90">
        <v>127894447792</v>
      </c>
      <c r="B1510" s="1" t="s">
        <v>1790</v>
      </c>
      <c r="C1510" s="43" t="s">
        <v>1982</v>
      </c>
      <c r="D1510" s="1" t="s">
        <v>1780</v>
      </c>
      <c r="E1510" s="43" t="s">
        <v>1993</v>
      </c>
      <c r="F1510" s="37" t="s">
        <v>1782</v>
      </c>
      <c r="G1510" s="44">
        <v>8500</v>
      </c>
      <c r="H1510" s="44">
        <v>51</v>
      </c>
      <c r="K1510" s="4" t="e">
        <f>VLOOKUP(A1510,Detallado!$C$5:$H$1570,6,FALSE)</f>
        <v>#N/A</v>
      </c>
      <c r="L1510" s="59"/>
      <c r="M1510" s="59"/>
      <c r="N1510" s="59"/>
      <c r="O1510" s="59"/>
      <c r="P1510" s="59"/>
      <c r="Q1510" s="59"/>
    </row>
    <row r="1511" spans="1:17">
      <c r="A1511" s="90">
        <v>127894055512</v>
      </c>
      <c r="B1511" s="1" t="s">
        <v>8</v>
      </c>
      <c r="C1511" s="43" t="s">
        <v>1982</v>
      </c>
      <c r="D1511" s="1" t="s">
        <v>1780</v>
      </c>
      <c r="E1511" s="43" t="s">
        <v>1993</v>
      </c>
      <c r="F1511" s="37" t="s">
        <v>1782</v>
      </c>
      <c r="G1511" s="44">
        <v>10000</v>
      </c>
      <c r="H1511" s="44">
        <v>60</v>
      </c>
      <c r="K1511" s="4" t="e">
        <f>VLOOKUP(A1511,Detallado!$C$5:$H$1570,6,FALSE)</f>
        <v>#N/A</v>
      </c>
      <c r="L1511" s="59"/>
      <c r="M1511" s="59"/>
      <c r="N1511" s="59"/>
      <c r="O1511" s="59"/>
      <c r="P1511" s="59"/>
      <c r="Q1511" s="59"/>
    </row>
    <row r="1512" spans="1:17">
      <c r="A1512" s="90">
        <v>127334292265</v>
      </c>
      <c r="B1512" s="1" t="s">
        <v>8</v>
      </c>
      <c r="C1512" s="43" t="s">
        <v>1982</v>
      </c>
      <c r="D1512" s="1" t="s">
        <v>1780</v>
      </c>
      <c r="E1512" s="43" t="s">
        <v>1993</v>
      </c>
      <c r="F1512" s="37" t="s">
        <v>1782</v>
      </c>
      <c r="G1512" s="44">
        <v>49300</v>
      </c>
      <c r="H1512" s="44">
        <v>295.8</v>
      </c>
      <c r="K1512" s="4" t="e">
        <f>VLOOKUP(A1512,Detallado!$C$5:$H$1570,6,FALSE)</f>
        <v>#N/A</v>
      </c>
      <c r="L1512" s="35"/>
      <c r="M1512" s="35"/>
      <c r="N1512" s="35"/>
      <c r="O1512" s="35"/>
      <c r="P1512" s="35"/>
      <c r="Q1512" s="35"/>
    </row>
    <row r="1513" spans="1:17">
      <c r="A1513" s="90">
        <v>127334214297</v>
      </c>
      <c r="B1513" s="1" t="s">
        <v>8</v>
      </c>
      <c r="C1513" s="43" t="s">
        <v>1982</v>
      </c>
      <c r="D1513" s="1" t="s">
        <v>1780</v>
      </c>
      <c r="E1513" s="43" t="s">
        <v>1993</v>
      </c>
      <c r="F1513" s="37" t="s">
        <v>1782</v>
      </c>
      <c r="G1513" s="44">
        <v>38700</v>
      </c>
      <c r="H1513" s="44">
        <v>232.2</v>
      </c>
      <c r="K1513" s="4" t="e">
        <f>VLOOKUP(A1513,Detallado!$C$5:$H$1570,6,FALSE)</f>
        <v>#N/A</v>
      </c>
      <c r="L1513" s="35"/>
      <c r="M1513" s="35"/>
      <c r="N1513" s="35"/>
      <c r="O1513" s="35"/>
      <c r="P1513" s="35"/>
      <c r="Q1513" s="35"/>
    </row>
    <row r="1514" spans="1:17">
      <c r="A1514" s="90">
        <v>127333073127</v>
      </c>
      <c r="B1514" s="1" t="s">
        <v>8</v>
      </c>
      <c r="C1514" s="43" t="s">
        <v>1982</v>
      </c>
      <c r="D1514" s="1" t="s">
        <v>1780</v>
      </c>
      <c r="E1514" s="43" t="s">
        <v>1993</v>
      </c>
      <c r="F1514" s="37" t="s">
        <v>1782</v>
      </c>
      <c r="G1514" s="44">
        <v>28500</v>
      </c>
      <c r="H1514" s="44">
        <v>171</v>
      </c>
      <c r="K1514" s="4" t="e">
        <f>VLOOKUP(A1514,Detallado!$C$5:$H$1570,6,FALSE)</f>
        <v>#N/A</v>
      </c>
      <c r="L1514" s="35"/>
      <c r="M1514" s="35"/>
      <c r="N1514" s="35"/>
      <c r="O1514" s="35"/>
      <c r="P1514" s="35"/>
      <c r="Q1514" s="35"/>
    </row>
    <row r="1515" spans="1:17">
      <c r="A1515" s="90">
        <v>127332484489</v>
      </c>
      <c r="B1515" s="1" t="s">
        <v>1790</v>
      </c>
      <c r="C1515" s="43" t="s">
        <v>1982</v>
      </c>
      <c r="D1515" s="1" t="s">
        <v>1780</v>
      </c>
      <c r="E1515" s="43" t="s">
        <v>1993</v>
      </c>
      <c r="F1515" s="37" t="s">
        <v>1782</v>
      </c>
      <c r="G1515" s="44">
        <v>26800</v>
      </c>
      <c r="H1515" s="44">
        <v>160.80000000000001</v>
      </c>
      <c r="K1515" s="4" t="e">
        <f>VLOOKUP(A1515,Detallado!$C$5:$H$1570,6,FALSE)</f>
        <v>#N/A</v>
      </c>
      <c r="L1515" s="35"/>
      <c r="M1515" s="35"/>
      <c r="N1515" s="35"/>
      <c r="O1515" s="35"/>
      <c r="P1515" s="35"/>
      <c r="Q1515" s="35"/>
    </row>
    <row r="1516" spans="1:17">
      <c r="A1516" s="90">
        <v>127332445685</v>
      </c>
      <c r="B1516" s="1" t="s">
        <v>1790</v>
      </c>
      <c r="C1516" s="43" t="s">
        <v>1982</v>
      </c>
      <c r="D1516" s="1" t="s">
        <v>1780</v>
      </c>
      <c r="E1516" s="43" t="s">
        <v>1993</v>
      </c>
      <c r="F1516" s="37" t="s">
        <v>1782</v>
      </c>
      <c r="G1516" s="44">
        <v>66200</v>
      </c>
      <c r="H1516" s="44">
        <v>397.2</v>
      </c>
      <c r="K1516" s="4" t="e">
        <f>VLOOKUP(A1516,Detallado!$C$5:$H$1570,6,FALSE)</f>
        <v>#N/A</v>
      </c>
    </row>
    <row r="1517" spans="1:17">
      <c r="A1517" s="90">
        <v>127332392351</v>
      </c>
      <c r="B1517" s="1" t="s">
        <v>1790</v>
      </c>
      <c r="C1517" s="43" t="s">
        <v>1982</v>
      </c>
      <c r="D1517" s="1" t="s">
        <v>1780</v>
      </c>
      <c r="E1517" s="43" t="s">
        <v>1993</v>
      </c>
      <c r="F1517" s="37" t="s">
        <v>1782</v>
      </c>
      <c r="G1517" s="44">
        <v>101100</v>
      </c>
      <c r="H1517" s="44">
        <v>606.6</v>
      </c>
      <c r="K1517" s="4" t="e">
        <f>VLOOKUP(A1517,Detallado!$C$5:$H$1570,6,FALSE)</f>
        <v>#N/A</v>
      </c>
    </row>
    <row r="1518" spans="1:17">
      <c r="A1518" s="90">
        <v>127898594082</v>
      </c>
      <c r="B1518" s="1" t="s">
        <v>8</v>
      </c>
      <c r="C1518" s="43" t="s">
        <v>1993</v>
      </c>
      <c r="D1518" s="1" t="s">
        <v>1780</v>
      </c>
      <c r="E1518" s="43" t="s">
        <v>1993</v>
      </c>
      <c r="F1518" s="37" t="s">
        <v>1782</v>
      </c>
      <c r="G1518" s="44">
        <v>37000</v>
      </c>
      <c r="H1518" s="44">
        <v>222</v>
      </c>
      <c r="K1518" s="4" t="e">
        <f>VLOOKUP(A1518,Detallado!$C$5:$H$1570,6,FALSE)</f>
        <v>#N/A</v>
      </c>
      <c r="L1518" s="59"/>
      <c r="M1518" s="59"/>
      <c r="N1518" s="59"/>
      <c r="O1518" s="59"/>
      <c r="P1518" s="59"/>
      <c r="Q1518" s="59"/>
    </row>
    <row r="1519" spans="1:17">
      <c r="A1519" s="90">
        <v>127898519072</v>
      </c>
      <c r="B1519" s="1" t="s">
        <v>8</v>
      </c>
      <c r="C1519" s="43" t="s">
        <v>1993</v>
      </c>
      <c r="D1519" s="1" t="s">
        <v>1780</v>
      </c>
      <c r="E1519" s="43" t="s">
        <v>1993</v>
      </c>
      <c r="F1519" s="37" t="s">
        <v>1782</v>
      </c>
      <c r="G1519" s="44">
        <v>23500</v>
      </c>
      <c r="H1519" s="44">
        <v>141</v>
      </c>
      <c r="K1519" s="4" t="e">
        <f>VLOOKUP(A1519,Detallado!$C$5:$H$1570,6,FALSE)</f>
        <v>#N/A</v>
      </c>
      <c r="L1519" s="59"/>
      <c r="M1519" s="59"/>
      <c r="N1519" s="59"/>
      <c r="O1519" s="59"/>
      <c r="P1519" s="59"/>
      <c r="Q1519" s="59"/>
    </row>
    <row r="1520" spans="1:17">
      <c r="A1520" s="90">
        <v>127898260894</v>
      </c>
      <c r="B1520" s="1" t="s">
        <v>8</v>
      </c>
      <c r="C1520" s="43" t="s">
        <v>1993</v>
      </c>
      <c r="D1520" s="1" t="s">
        <v>1780</v>
      </c>
      <c r="E1520" s="43" t="s">
        <v>1993</v>
      </c>
      <c r="F1520" s="37" t="s">
        <v>1782</v>
      </c>
      <c r="G1520" s="44">
        <v>9000</v>
      </c>
      <c r="H1520" s="44">
        <v>54</v>
      </c>
      <c r="K1520" s="4" t="e">
        <f>VLOOKUP(A1520,Detallado!$C$5:$H$1570,6,FALSE)</f>
        <v>#N/A</v>
      </c>
      <c r="L1520" s="59"/>
      <c r="M1520" s="59"/>
      <c r="N1520" s="59"/>
      <c r="O1520" s="59"/>
      <c r="P1520" s="59"/>
      <c r="Q1520" s="59"/>
    </row>
    <row r="1521" spans="1:17">
      <c r="A1521" s="90">
        <v>127897506320</v>
      </c>
      <c r="B1521" s="1" t="s">
        <v>1790</v>
      </c>
      <c r="C1521" s="43" t="s">
        <v>1993</v>
      </c>
      <c r="D1521" s="1" t="s">
        <v>1780</v>
      </c>
      <c r="E1521" s="43" t="s">
        <v>1993</v>
      </c>
      <c r="F1521" s="37" t="s">
        <v>1782</v>
      </c>
      <c r="G1521" s="44">
        <v>10000</v>
      </c>
      <c r="H1521" s="44">
        <v>60</v>
      </c>
      <c r="K1521" s="4" t="e">
        <f>VLOOKUP(A1521,Detallado!$C$5:$H$1570,6,FALSE)</f>
        <v>#N/A</v>
      </c>
      <c r="L1521" s="59"/>
      <c r="M1521" s="59"/>
      <c r="N1521" s="59"/>
      <c r="O1521" s="59"/>
      <c r="P1521" s="59"/>
      <c r="Q1521" s="59"/>
    </row>
    <row r="1522" spans="1:17">
      <c r="A1522" s="90">
        <v>127335749687</v>
      </c>
      <c r="B1522" s="1" t="s">
        <v>1996</v>
      </c>
      <c r="C1522" s="43" t="s">
        <v>1993</v>
      </c>
      <c r="D1522" s="1" t="s">
        <v>1780</v>
      </c>
      <c r="E1522" s="43" t="s">
        <v>1993</v>
      </c>
      <c r="F1522" s="37" t="s">
        <v>1782</v>
      </c>
      <c r="G1522" s="44">
        <v>450</v>
      </c>
      <c r="H1522" s="44">
        <v>2.7</v>
      </c>
      <c r="K1522" s="4" t="e">
        <f>VLOOKUP(A1522,Detallado!$C$5:$H$1570,6,FALSE)</f>
        <v>#N/A</v>
      </c>
    </row>
    <row r="1523" spans="1:17">
      <c r="A1523" s="90">
        <v>127334832777</v>
      </c>
      <c r="B1523" s="1" t="s">
        <v>1790</v>
      </c>
      <c r="C1523" s="43" t="s">
        <v>1993</v>
      </c>
      <c r="D1523" s="1" t="s">
        <v>1780</v>
      </c>
      <c r="E1523" s="43" t="s">
        <v>1993</v>
      </c>
      <c r="F1523" s="37" t="s">
        <v>1782</v>
      </c>
      <c r="G1523" s="44">
        <v>21100</v>
      </c>
      <c r="H1523" s="44">
        <v>126.6</v>
      </c>
      <c r="K1523" s="4" t="e">
        <f>VLOOKUP(A1523,Detallado!$C$5:$H$1570,6,FALSE)</f>
        <v>#N/A</v>
      </c>
    </row>
    <row r="1524" spans="1:17">
      <c r="A1524" s="101" t="s">
        <v>1999</v>
      </c>
      <c r="B1524" s="59" t="s">
        <v>8</v>
      </c>
      <c r="C1524" s="60" t="s">
        <v>1993</v>
      </c>
      <c r="D1524" s="59" t="s">
        <v>1780</v>
      </c>
      <c r="E1524" s="60" t="s">
        <v>1993</v>
      </c>
      <c r="F1524" s="61" t="s">
        <v>1782</v>
      </c>
      <c r="G1524" s="45">
        <v>46079.97</v>
      </c>
      <c r="H1524" s="75">
        <v>276.48</v>
      </c>
      <c r="I1524" s="59"/>
      <c r="J1524" s="59"/>
      <c r="K1524" s="27">
        <f>-H1524</f>
        <v>-276.48</v>
      </c>
      <c r="M1524" s="4">
        <v>-276.47982107356074</v>
      </c>
      <c r="N1524" s="66">
        <f t="shared" ref="N1524:N1532" si="14">+K1524-M1524</f>
        <v>-1.7892643927552854E-4</v>
      </c>
      <c r="O1524" s="1" t="s">
        <v>1683</v>
      </c>
      <c r="P1524" s="1">
        <f t="shared" ref="P1524:P1532" si="15">+E1524-O1524</f>
        <v>0</v>
      </c>
    </row>
    <row r="1525" spans="1:17">
      <c r="A1525" s="90">
        <v>127373245459</v>
      </c>
      <c r="B1525" s="1" t="s">
        <v>2001</v>
      </c>
      <c r="C1525" s="43" t="s">
        <v>1993</v>
      </c>
      <c r="D1525" s="1" t="s">
        <v>1780</v>
      </c>
      <c r="E1525" s="43" t="s">
        <v>1993</v>
      </c>
      <c r="F1525" s="37" t="s">
        <v>1782</v>
      </c>
      <c r="G1525" s="44">
        <v>258381</v>
      </c>
      <c r="H1525" s="77">
        <v>1550.29</v>
      </c>
      <c r="K1525" s="27" t="e">
        <f>VLOOKUP(A1525,Detallado!$C$5:$H$1570,6,FALSE)</f>
        <v>#N/A</v>
      </c>
      <c r="M1525" s="4">
        <v>-1550.2860238568683</v>
      </c>
      <c r="N1525" s="66" t="e">
        <f t="shared" si="14"/>
        <v>#N/A</v>
      </c>
      <c r="O1525" s="1" t="s">
        <v>1683</v>
      </c>
      <c r="P1525" s="1">
        <f t="shared" si="15"/>
        <v>0</v>
      </c>
    </row>
    <row r="1526" spans="1:17">
      <c r="A1526" s="90">
        <v>127373558177</v>
      </c>
      <c r="B1526" s="1" t="s">
        <v>8</v>
      </c>
      <c r="C1526" s="43" t="s">
        <v>1993</v>
      </c>
      <c r="D1526" s="1" t="s">
        <v>1780</v>
      </c>
      <c r="E1526" s="43" t="s">
        <v>1993</v>
      </c>
      <c r="F1526" s="37" t="s">
        <v>1782</v>
      </c>
      <c r="G1526" s="44">
        <v>261502.26</v>
      </c>
      <c r="H1526" s="77">
        <v>1569.01</v>
      </c>
      <c r="K1526" s="27" t="e">
        <f>VLOOKUP(A1526,Detallado!$C$5:$H$1570,6,FALSE)</f>
        <v>#N/A</v>
      </c>
      <c r="M1526" s="4">
        <v>-1559.6556262425438</v>
      </c>
      <c r="N1526" s="66" t="e">
        <f t="shared" si="14"/>
        <v>#N/A</v>
      </c>
      <c r="O1526" s="1" t="s">
        <v>1683</v>
      </c>
      <c r="P1526" s="1">
        <f t="shared" si="15"/>
        <v>0</v>
      </c>
    </row>
    <row r="1527" spans="1:17">
      <c r="A1527" s="101" t="s">
        <v>2000</v>
      </c>
      <c r="B1527" s="59" t="s">
        <v>8</v>
      </c>
      <c r="C1527" s="60" t="s">
        <v>1993</v>
      </c>
      <c r="D1527" s="59" t="s">
        <v>1780</v>
      </c>
      <c r="E1527" s="60" t="s">
        <v>1993</v>
      </c>
      <c r="F1527" s="61" t="s">
        <v>1782</v>
      </c>
      <c r="G1527" s="62">
        <v>932592.5</v>
      </c>
      <c r="H1527" s="74">
        <v>5595.56</v>
      </c>
      <c r="I1527" s="59"/>
      <c r="J1527" s="59"/>
      <c r="K1527" s="27">
        <f t="shared" ref="K1527:K1532" si="16">-H1527</f>
        <v>-5595.56</v>
      </c>
      <c r="M1527" s="4">
        <v>-5595.5550298211165</v>
      </c>
      <c r="N1527" s="66">
        <f t="shared" si="14"/>
        <v>-4.9701788839229266E-3</v>
      </c>
      <c r="O1527" s="1" t="s">
        <v>1683</v>
      </c>
      <c r="P1527" s="1">
        <f t="shared" si="15"/>
        <v>0</v>
      </c>
    </row>
    <row r="1528" spans="1:17">
      <c r="A1528" s="101" t="s">
        <v>2007</v>
      </c>
      <c r="B1528" s="59" t="s">
        <v>8</v>
      </c>
      <c r="C1528" s="60" t="s">
        <v>2002</v>
      </c>
      <c r="D1528" s="59" t="s">
        <v>1780</v>
      </c>
      <c r="E1528" s="60" t="s">
        <v>2002</v>
      </c>
      <c r="F1528" s="61" t="s">
        <v>1782</v>
      </c>
      <c r="G1528" s="62">
        <v>71113.7</v>
      </c>
      <c r="H1528" s="74">
        <v>426.68</v>
      </c>
      <c r="I1528" s="59"/>
      <c r="J1528" s="59"/>
      <c r="K1528" s="27">
        <f t="shared" si="16"/>
        <v>-426.68</v>
      </c>
      <c r="M1528" s="4">
        <v>-426.68218687872286</v>
      </c>
      <c r="N1528" s="66">
        <f t="shared" si="14"/>
        <v>2.1868787228527253E-3</v>
      </c>
      <c r="O1528" s="1" t="s">
        <v>1713</v>
      </c>
      <c r="P1528" s="1">
        <f t="shared" si="15"/>
        <v>0</v>
      </c>
    </row>
    <row r="1529" spans="1:17">
      <c r="A1529" s="101" t="s">
        <v>2006</v>
      </c>
      <c r="B1529" s="59" t="s">
        <v>8</v>
      </c>
      <c r="C1529" s="60" t="s">
        <v>2002</v>
      </c>
      <c r="D1529" s="59" t="s">
        <v>1780</v>
      </c>
      <c r="E1529" s="60" t="s">
        <v>2002</v>
      </c>
      <c r="F1529" s="61" t="s">
        <v>1782</v>
      </c>
      <c r="G1529" s="62">
        <v>181560</v>
      </c>
      <c r="H1529" s="74">
        <v>1089.3599999999999</v>
      </c>
      <c r="I1529" s="59"/>
      <c r="J1529" s="59"/>
      <c r="K1529" s="27">
        <f t="shared" si="16"/>
        <v>-1089.3599999999999</v>
      </c>
      <c r="M1529" s="4">
        <v>-1089.3600000000151</v>
      </c>
      <c r="N1529" s="76">
        <f t="shared" si="14"/>
        <v>1.5234036254696548E-11</v>
      </c>
      <c r="O1529" s="1" t="s">
        <v>1713</v>
      </c>
      <c r="P1529" s="1">
        <f t="shared" si="15"/>
        <v>0</v>
      </c>
    </row>
    <row r="1530" spans="1:17">
      <c r="A1530" s="101" t="s">
        <v>2003</v>
      </c>
      <c r="B1530" s="59" t="s">
        <v>8</v>
      </c>
      <c r="C1530" s="60" t="s">
        <v>2002</v>
      </c>
      <c r="D1530" s="59" t="s">
        <v>1780</v>
      </c>
      <c r="E1530" s="60" t="s">
        <v>2002</v>
      </c>
      <c r="F1530" s="61" t="s">
        <v>1782</v>
      </c>
      <c r="G1530" s="62">
        <v>208575</v>
      </c>
      <c r="H1530" s="74">
        <v>1251.45</v>
      </c>
      <c r="I1530" s="59"/>
      <c r="J1530" s="59"/>
      <c r="K1530" s="27">
        <f t="shared" si="16"/>
        <v>-1251.45</v>
      </c>
      <c r="M1530" s="4">
        <v>-1251.4500000000116</v>
      </c>
      <c r="N1530" s="66">
        <f t="shared" si="14"/>
        <v>1.1596057447604835E-11</v>
      </c>
      <c r="O1530" s="1" t="s">
        <v>1713</v>
      </c>
      <c r="P1530" s="1">
        <f t="shared" si="15"/>
        <v>0</v>
      </c>
    </row>
    <row r="1531" spans="1:17">
      <c r="A1531" s="101" t="s">
        <v>2004</v>
      </c>
      <c r="B1531" s="59" t="s">
        <v>8</v>
      </c>
      <c r="C1531" s="60" t="s">
        <v>2002</v>
      </c>
      <c r="D1531" s="59" t="s">
        <v>1780</v>
      </c>
      <c r="E1531" s="60" t="s">
        <v>2002</v>
      </c>
      <c r="F1531" s="61" t="s">
        <v>1782</v>
      </c>
      <c r="G1531" s="62">
        <v>215175</v>
      </c>
      <c r="H1531" s="74">
        <v>1291.05</v>
      </c>
      <c r="I1531" s="59"/>
      <c r="J1531" s="59"/>
      <c r="K1531" s="27">
        <f t="shared" si="16"/>
        <v>-1291.05</v>
      </c>
      <c r="M1531" s="4">
        <v>-1291.0499999999884</v>
      </c>
      <c r="N1531" s="66">
        <f t="shared" si="14"/>
        <v>-1.1596057447604835E-11</v>
      </c>
      <c r="O1531" s="1" t="s">
        <v>1713</v>
      </c>
      <c r="P1531" s="1">
        <f t="shared" si="15"/>
        <v>0</v>
      </c>
    </row>
    <row r="1532" spans="1:17">
      <c r="A1532" s="101" t="s">
        <v>2005</v>
      </c>
      <c r="B1532" s="59" t="s">
        <v>8</v>
      </c>
      <c r="C1532" s="60" t="s">
        <v>2002</v>
      </c>
      <c r="D1532" s="59" t="s">
        <v>1780</v>
      </c>
      <c r="E1532" s="60" t="s">
        <v>2002</v>
      </c>
      <c r="F1532" s="61" t="s">
        <v>1782</v>
      </c>
      <c r="G1532" s="62">
        <v>690164.26</v>
      </c>
      <c r="H1532" s="74">
        <v>4140.99</v>
      </c>
      <c r="I1532" s="59"/>
      <c r="J1532" s="59"/>
      <c r="K1532" s="27">
        <f t="shared" si="16"/>
        <v>-4140.99</v>
      </c>
      <c r="M1532" s="4">
        <v>-4140.9855864811689</v>
      </c>
      <c r="N1532" s="66">
        <f t="shared" si="14"/>
        <v>-4.4135188309155637E-3</v>
      </c>
      <c r="O1532" s="1" t="s">
        <v>1713</v>
      </c>
      <c r="P1532" s="1">
        <f t="shared" si="15"/>
        <v>0</v>
      </c>
    </row>
    <row r="1533" spans="1:17">
      <c r="B1533" s="43"/>
      <c r="D1533" s="43"/>
      <c r="E1533" s="43"/>
      <c r="F1533" s="37"/>
      <c r="G1533" s="44"/>
      <c r="H1533" s="44"/>
    </row>
    <row r="1534" spans="1:17">
      <c r="G1534" s="69">
        <f>SUM(G20:G1533)</f>
        <v>67169289.379999995</v>
      </c>
      <c r="H1534" s="69">
        <f>SUM(H20:H1533)</f>
        <v>403015.72999999952</v>
      </c>
      <c r="I1534" s="3">
        <f t="shared" ref="I1534:K1534" si="17">SUM(I25:I1533)</f>
        <v>0</v>
      </c>
      <c r="J1534" s="3">
        <f t="shared" si="17"/>
        <v>0</v>
      </c>
      <c r="K1534" s="3" t="e">
        <f t="shared" si="17"/>
        <v>#N/A</v>
      </c>
      <c r="L1534" s="3">
        <f t="shared" ref="L1534" si="18">SUM(L25:L1533)</f>
        <v>0</v>
      </c>
      <c r="M1534" s="3">
        <f>SUM(M25:M1533)</f>
        <v>-202362.62242544725</v>
      </c>
      <c r="N1534" s="3" t="e">
        <f>SUM(N25:N1533)</f>
        <v>#N/A</v>
      </c>
    </row>
    <row r="1535" spans="1:17">
      <c r="N1535" s="66">
        <f>-N1473-N1488-N1491</f>
        <v>0</v>
      </c>
    </row>
    <row r="1536" spans="1:17">
      <c r="G1536" s="70" t="s">
        <v>2740</v>
      </c>
      <c r="H1536" s="71">
        <f>+SIRCUPA!G157</f>
        <v>251540</v>
      </c>
      <c r="N1536" s="66" t="e">
        <f>+N1534+N1535</f>
        <v>#N/A</v>
      </c>
    </row>
    <row r="1537" spans="1:14">
      <c r="G1537" s="70" t="s">
        <v>2741</v>
      </c>
      <c r="H1537" s="71">
        <f>+SIRTAC!G1290</f>
        <v>33096795.990000002</v>
      </c>
      <c r="N1537" s="66" t="e">
        <f>+K1534+H1540</f>
        <v>#N/A</v>
      </c>
    </row>
    <row r="1538" spans="1:14">
      <c r="G1538" s="70" t="s">
        <v>2742</v>
      </c>
      <c r="H1538" s="71">
        <f>+H1536+H1537</f>
        <v>33348335.990000002</v>
      </c>
      <c r="N1538" s="66" t="e">
        <f>+N1536-N1537</f>
        <v>#N/A</v>
      </c>
    </row>
    <row r="1539" spans="1:14">
      <c r="G1539" s="72" t="s">
        <v>2743</v>
      </c>
      <c r="H1539" s="71">
        <f>+H1538*0.006</f>
        <v>200090.01594000001</v>
      </c>
    </row>
    <row r="1540" spans="1:14">
      <c r="G1540" s="72" t="s">
        <v>2737</v>
      </c>
      <c r="H1540" s="71">
        <f>+H1534-H1539</f>
        <v>202925.7140599995</v>
      </c>
      <c r="K1540" s="3" t="e">
        <f>+H1540+K1534</f>
        <v>#N/A</v>
      </c>
    </row>
    <row r="1543" spans="1:14" s="59" customFormat="1">
      <c r="A1543" s="59" t="s">
        <v>8</v>
      </c>
      <c r="B1543" s="60" t="s">
        <v>1779</v>
      </c>
      <c r="C1543" s="59" t="s">
        <v>1780</v>
      </c>
      <c r="D1543" s="60" t="s">
        <v>17</v>
      </c>
      <c r="E1543" s="60" t="s">
        <v>1781</v>
      </c>
      <c r="F1543" s="61" t="s">
        <v>1782</v>
      </c>
      <c r="G1543" s="62">
        <v>17500</v>
      </c>
      <c r="H1543" s="62">
        <v>105</v>
      </c>
    </row>
    <row r="1544" spans="1:14" s="59" customFormat="1">
      <c r="A1544" s="59" t="s">
        <v>1783</v>
      </c>
      <c r="B1544" s="60" t="s">
        <v>1779</v>
      </c>
      <c r="C1544" s="59" t="s">
        <v>1780</v>
      </c>
      <c r="D1544" s="60" t="s">
        <v>20</v>
      </c>
      <c r="E1544" s="60" t="s">
        <v>1781</v>
      </c>
      <c r="F1544" s="61" t="s">
        <v>1782</v>
      </c>
      <c r="G1544" s="62">
        <v>660</v>
      </c>
      <c r="H1544" s="62">
        <v>3.96</v>
      </c>
    </row>
    <row r="1545" spans="1:14" s="59" customFormat="1">
      <c r="A1545" s="59" t="s">
        <v>8</v>
      </c>
      <c r="B1545" s="60" t="s">
        <v>1779</v>
      </c>
      <c r="C1545" s="59" t="s">
        <v>1780</v>
      </c>
      <c r="D1545" s="60" t="s">
        <v>21</v>
      </c>
      <c r="E1545" s="60" t="s">
        <v>1781</v>
      </c>
      <c r="F1545" s="61" t="s">
        <v>1782</v>
      </c>
      <c r="G1545" s="62">
        <v>24500</v>
      </c>
      <c r="H1545" s="62">
        <v>147</v>
      </c>
    </row>
    <row r="1546" spans="1:14" s="59" customFormat="1">
      <c r="A1546" s="59" t="s">
        <v>8</v>
      </c>
      <c r="B1546" s="60" t="s">
        <v>1779</v>
      </c>
      <c r="C1546" s="59" t="s">
        <v>1780</v>
      </c>
      <c r="D1546" s="60" t="s">
        <v>16</v>
      </c>
      <c r="E1546" s="60" t="s">
        <v>1781</v>
      </c>
      <c r="F1546" s="61" t="s">
        <v>1782</v>
      </c>
      <c r="G1546" s="62">
        <v>15000</v>
      </c>
      <c r="H1546" s="62">
        <v>90</v>
      </c>
    </row>
    <row r="1547" spans="1:14" s="59" customFormat="1">
      <c r="A1547" s="59" t="s">
        <v>8</v>
      </c>
      <c r="B1547" s="60" t="s">
        <v>1779</v>
      </c>
      <c r="C1547" s="59" t="s">
        <v>1780</v>
      </c>
      <c r="D1547" s="60" t="s">
        <v>18</v>
      </c>
      <c r="E1547" s="60" t="s">
        <v>1781</v>
      </c>
      <c r="F1547" s="61" t="s">
        <v>1782</v>
      </c>
      <c r="G1547" s="62">
        <v>13200</v>
      </c>
      <c r="H1547" s="62">
        <v>79.2</v>
      </c>
    </row>
  </sheetData>
  <autoFilter ref="A19:Q19">
    <sortState ref="B20:R1527">
      <sortCondition ref="D19"/>
    </sortState>
  </autoFilter>
  <mergeCells count="5">
    <mergeCell ref="A1:H1"/>
    <mergeCell ref="A13:D13"/>
    <mergeCell ref="A15:D15"/>
    <mergeCell ref="A18:D18"/>
    <mergeCell ref="E18:H18"/>
  </mergeCells>
  <hyperlinks>
    <hyperlink ref="A13:D13" r:id="rId1" location="from-section=bitacora" display="Encuentra los movimientos de dinero en tu cuenta de Mercado Pago, en informes de balance.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sheet0</vt:lpstr>
      <vt:lpstr>Detallado</vt:lpstr>
      <vt:lpstr>TR</vt:lpstr>
      <vt:lpstr>Tabla Resumen</vt:lpstr>
      <vt:lpstr>SIRCUPA</vt:lpstr>
      <vt:lpstr>SIRTAC</vt:lpstr>
      <vt:lpstr>Gastos</vt:lpstr>
      <vt:lpstr>IDC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2026-03-18T12:45:10Z</dcterms:created>
  <dcterms:modified xsi:type="dcterms:W3CDTF">2026-05-18T14:39:22Z</dcterms:modified>
</cp:coreProperties>
</file>